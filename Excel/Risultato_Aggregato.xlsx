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https://ts.accenture.com/sites/BPPB-Progetti/Shared Documents/BPPB - AML - TxM/AML - TxM Calibrazione/06 Deliverable/Excel Simulator/20251107_tool excel_scelte_BPPB/tool excel/"/>
    </mc:Choice>
  </mc:AlternateContent>
  <xr:revisionPtr revIDLastSave="1100" documentId="8_{F3A0535E-C1F5-4053-8336-127A163395DB}" xr6:coauthVersionLast="47" xr6:coauthVersionMax="47" xr10:uidLastSave="{0256D4CD-F516-4E49-A98F-5BEF474078F8}"/>
  <bookViews>
    <workbookView xWindow="-110" yWindow="-110" windowWidth="19420" windowHeight="11500" xr2:uid="{00000000-000D-0000-FFFF-FFFF00000000}"/>
  </bookViews>
  <sheets>
    <sheet name="Sintesi" sheetId="9" r:id="rId1"/>
    <sheet name="Analisi" sheetId="7" r:id="rId2"/>
    <sheet name="DATA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2" hidden="1">DATA!$A$1:$AU$3179</definedName>
    <definedName name="_xlchart.v1.0" hidden="1">Analisi!$I$12:$I$18</definedName>
    <definedName name="_xlchart.v1.1" hidden="1">Analisi!$J$12:$J$18</definedName>
  </definedNames>
  <calcPr calcId="191029"/>
  <pivotCaches>
    <pivotCache cacheId="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9" l="1"/>
  <c r="C22" i="9"/>
  <c r="C24" i="9"/>
  <c r="K24" i="9" l="1"/>
  <c r="H41" i="9" s="1"/>
  <c r="K22" i="9"/>
  <c r="H40" i="9" s="1"/>
  <c r="K20" i="9"/>
  <c r="H39" i="9" s="1"/>
  <c r="I24" i="9"/>
  <c r="G41" i="9" s="1"/>
  <c r="I22" i="9"/>
  <c r="G40" i="9" s="1"/>
  <c r="I20" i="9"/>
  <c r="G39" i="9" s="1"/>
  <c r="G20" i="9"/>
  <c r="F39" i="9" s="1"/>
  <c r="R38" i="9"/>
  <c r="Q38" i="9"/>
  <c r="P38" i="9"/>
  <c r="H38" i="9"/>
  <c r="G38" i="9"/>
  <c r="F38" i="9"/>
  <c r="J30" i="9"/>
  <c r="J29" i="9"/>
  <c r="H30" i="9"/>
  <c r="H29" i="9"/>
  <c r="F30" i="9"/>
  <c r="F29" i="9"/>
  <c r="G24" i="9"/>
  <c r="F41" i="9" s="1"/>
  <c r="G22" i="9"/>
  <c r="F40" i="9" s="1"/>
  <c r="T29" i="9" l="1"/>
  <c r="R29" i="9"/>
  <c r="P29" i="9"/>
  <c r="T30" i="9"/>
  <c r="R30" i="9"/>
  <c r="P30" i="9"/>
  <c r="S20" i="9"/>
  <c r="Q39" i="9" s="1"/>
  <c r="S24" i="9"/>
  <c r="Q41" i="9" s="1"/>
  <c r="S22" i="9"/>
  <c r="Q40" i="9" s="1"/>
  <c r="Q20" i="9"/>
  <c r="P39" i="9" s="1"/>
  <c r="Q24" i="9"/>
  <c r="P41" i="9" s="1"/>
  <c r="Q22" i="9"/>
  <c r="P40" i="9" s="1"/>
  <c r="U20" i="9"/>
  <c r="R39" i="9" s="1"/>
  <c r="U24" i="9"/>
  <c r="R41" i="9" s="1"/>
  <c r="U22" i="9"/>
  <c r="R40" i="9" s="1"/>
  <c r="B24" i="9"/>
  <c r="B22" i="9"/>
  <c r="B37" i="7"/>
  <c r="B20" i="9"/>
  <c r="B50" i="7"/>
  <c r="F61" i="7" l="1"/>
  <c r="E61" i="7" l="1"/>
  <c r="D61" i="7" l="1"/>
  <c r="J14" i="7" l="1"/>
  <c r="J12" i="7"/>
  <c r="C61" i="7"/>
  <c r="B61" i="7"/>
  <c r="A61" i="7"/>
  <c r="B45" i="7"/>
  <c r="B44" i="7"/>
  <c r="B51" i="7" l="1"/>
  <c r="D51" i="7"/>
  <c r="B38" i="7" l="1"/>
  <c r="D52" i="7" s="1"/>
  <c r="B36" i="7"/>
  <c r="G18" i="7"/>
  <c r="H18" i="7" s="1"/>
  <c r="G17" i="7"/>
  <c r="H17" i="7" s="1"/>
  <c r="J16" i="7"/>
  <c r="J15" i="7" s="1"/>
  <c r="G16" i="7"/>
  <c r="H16" i="7" s="1"/>
  <c r="J13" i="7"/>
  <c r="J10" i="7"/>
  <c r="J11" i="7" s="1"/>
  <c r="K16" i="7" l="1"/>
  <c r="K15" i="7"/>
  <c r="F60" i="7" l="1"/>
  <c r="G13" i="7" l="1"/>
  <c r="H13" i="7" s="1"/>
  <c r="H42" i="7" l="1"/>
  <c r="H43" i="7" l="1"/>
  <c r="G11" i="7" l="1"/>
  <c r="H11" i="7" s="1"/>
  <c r="F42" i="7"/>
  <c r="D60" i="7" l="1"/>
  <c r="F43" i="7"/>
  <c r="G12" i="7" l="1"/>
  <c r="H12" i="7" s="1"/>
  <c r="E60" i="7"/>
  <c r="G42" i="7" l="1"/>
  <c r="G43" i="7" l="1"/>
  <c r="B60" i="7" l="1"/>
  <c r="G14" i="7" l="1"/>
  <c r="H14" i="7" s="1"/>
  <c r="D42" i="7" l="1"/>
  <c r="D43" i="7" l="1"/>
  <c r="C60" i="7" l="1"/>
  <c r="E42" i="7"/>
  <c r="G15" i="7" l="1"/>
  <c r="H15" i="7" s="1"/>
  <c r="E43" i="7" l="1"/>
  <c r="A60" i="7" l="1"/>
  <c r="C42" i="7"/>
  <c r="B42" i="7" s="1"/>
  <c r="B63" i="7" l="1"/>
  <c r="E63" i="7"/>
  <c r="G60" i="7"/>
  <c r="C63" i="7"/>
  <c r="A63" i="7"/>
  <c r="F63" i="7"/>
  <c r="D63" i="7"/>
  <c r="B21" i="9"/>
  <c r="C21" i="9" s="1"/>
  <c r="B52" i="7"/>
  <c r="B55" i="7" s="1"/>
  <c r="B25" i="9" l="1"/>
  <c r="C25" i="9" s="1"/>
  <c r="G10" i="7"/>
  <c r="H10" i="7" s="1"/>
  <c r="J18" i="7" s="1"/>
  <c r="K18" i="7" l="1"/>
  <c r="C38" i="7"/>
  <c r="C36" i="7"/>
  <c r="J17" i="7"/>
  <c r="C37" i="7"/>
  <c r="C43" i="7"/>
  <c r="B43" i="7" s="1"/>
  <c r="D46" i="7" s="1"/>
  <c r="D47" i="7" s="1"/>
  <c r="B53" i="7" l="1"/>
  <c r="B56" i="7" s="1"/>
  <c r="B23" i="9"/>
  <c r="C23" i="9" s="1"/>
  <c r="B19" i="9" l="1"/>
  <c r="C19" i="9" s="1"/>
</calcChain>
</file>

<file path=xl/sharedStrings.xml><?xml version="1.0" encoding="utf-8"?>
<sst xmlns="http://schemas.openxmlformats.org/spreadsheetml/2006/main" count="56190" uniqueCount="3205">
  <si>
    <t>POSIZIONE</t>
  </si>
  <si>
    <t>CODICE</t>
  </si>
  <si>
    <t>DESCRIZIONE</t>
  </si>
  <si>
    <t>RILEVATA</t>
  </si>
  <si>
    <t>INTERMEDIARIO</t>
  </si>
  <si>
    <t>DIPENDENZA</t>
  </si>
  <si>
    <t>IN CARICO A</t>
  </si>
  <si>
    <t>SISTEMA AR</t>
  </si>
  <si>
    <t>STATO</t>
  </si>
  <si>
    <t>INDICE PREDITTIVO</t>
  </si>
  <si>
    <t>REGISTRAZIONE</t>
  </si>
  <si>
    <t>NUMERO RAPPORTO</t>
  </si>
  <si>
    <t>DATA OPERAZIONE</t>
  </si>
  <si>
    <t>CAUSALE ANALITICA</t>
  </si>
  <si>
    <t>CAUSALE SINTETICA</t>
  </si>
  <si>
    <t>PAESE INTERMED. CONTROP.</t>
  </si>
  <si>
    <t>SEGNO</t>
  </si>
  <si>
    <t>IMPORTO</t>
  </si>
  <si>
    <t>DI CUI CONTANTE</t>
  </si>
  <si>
    <t>TITOLARE NDG</t>
  </si>
  <si>
    <t>CODICE FISCALE</t>
  </si>
  <si>
    <t>COGNOME E NOME / RAGIONE SOCIALE</t>
  </si>
  <si>
    <t>D21 SAE</t>
  </si>
  <si>
    <t>D22 ATECO</t>
  </si>
  <si>
    <t>PAESE RESIDENZA</t>
  </si>
  <si>
    <t>GESTORE</t>
  </si>
  <si>
    <t>STATO VALUTAZIONE</t>
  </si>
  <si>
    <t>ID ECCEZIONE</t>
  </si>
  <si>
    <t>DATA ULT. VALUTAZIONE</t>
  </si>
  <si>
    <t>UFFICIO</t>
  </si>
  <si>
    <t>AUTORE</t>
  </si>
  <si>
    <t>ULTIMA VALUTAZIONE</t>
  </si>
  <si>
    <t>PRESENZA ALLEGATI</t>
  </si>
  <si>
    <t>ALTRE VALUTAZIONI</t>
  </si>
  <si>
    <t>ANNOMESE</t>
  </si>
  <si>
    <t>Stato</t>
  </si>
  <si>
    <t>flag_stato</t>
  </si>
  <si>
    <t>flg_SCEN_IN_USO</t>
  </si>
  <si>
    <t>CDG</t>
  </si>
  <si>
    <t>flag_OggValut</t>
  </si>
  <si>
    <t>flag_anom_causale</t>
  </si>
  <si>
    <t>DF03-02</t>
  </si>
  <si>
    <t>Clienti che registrano elevata movimentazione in ingresso con bonifici e assegni e successiva movimentazione verso l'estero</t>
  </si>
  <si>
    <t>053850_122</t>
  </si>
  <si>
    <t>Discovery Frodi</t>
  </si>
  <si>
    <t>Mai valutato</t>
  </si>
  <si>
    <t xml:space="preserve">48 - Bonifico in arrivo </t>
  </si>
  <si>
    <t>A     - Avere</t>
  </si>
  <si>
    <t>EXPRIVIA S.P.A.</t>
  </si>
  <si>
    <t>430 - Imprese produttive</t>
  </si>
  <si>
    <t>620 - PRODUZIONE DI SOFTWARE, CONSULENZA INFORMATICA E ATTIVITÀ CONNESSE</t>
  </si>
  <si>
    <t>086 - ITALIA</t>
  </si>
  <si>
    <t>ARCHIVIATA DA RPR</t>
  </si>
  <si>
    <t>053850_154</t>
  </si>
  <si>
    <t>SQUISITEZZE SRL</t>
  </si>
  <si>
    <t>472 - COMMERCIO AL DETTAGLIO DI PRODOTTI ALIMENTARI, BEVANDE E TABACCO IN ESERCIZI SPECIALIZZATI</t>
  </si>
  <si>
    <t>ARCHIVIATA</t>
  </si>
  <si>
    <t>053850_169</t>
  </si>
  <si>
    <t>FRATELLI D'ADDATO S.R.L.</t>
  </si>
  <si>
    <t>467 - COMMERCIO ALL'INGROSSO SPECIALIZZATO DI ALTRI PRODOTTI</t>
  </si>
  <si>
    <t>053850_105</t>
  </si>
  <si>
    <t>CAPURSO AZIENDA CASEARIA S.R.L.</t>
  </si>
  <si>
    <t>105 - INDUSTRIA LATTIERO-CASEARIA</t>
  </si>
  <si>
    <t>053850_153</t>
  </si>
  <si>
    <t>COMBES S.R.L.</t>
  </si>
  <si>
    <t>462 - COMMERCIO ALL'INGROSSO DI MATERIE PRIME AGRICOLE E DI ANIMALI VIVI</t>
  </si>
  <si>
    <t>053850_192</t>
  </si>
  <si>
    <t>VLNFNC74H03H096P</t>
  </si>
  <si>
    <t>VALENTE FRANCESCO</t>
  </si>
  <si>
    <t>615 - Altre famiglie produttrici</t>
  </si>
  <si>
    <t>691 - ATTIVITÀ DEGLI STUDI LEGALI</t>
  </si>
  <si>
    <t>053850_264</t>
  </si>
  <si>
    <t>VLLNNL74S19A801N</t>
  </si>
  <si>
    <t>AVALLONE ANTONIO ALFREDO</t>
  </si>
  <si>
    <t>711 - ATTIVITÀ DEGLI STUDI DI ARCHITETTURA, INGEGNERIA ED ALTRI STUDI TECNICI</t>
  </si>
  <si>
    <t>053850_125</t>
  </si>
  <si>
    <t>GIAGUARO - S.P.A.</t>
  </si>
  <si>
    <t>103 - LAVORAZIONE E CONSERVAZIONE DI FRUTTA E ORTAGGI</t>
  </si>
  <si>
    <t>053850_148</t>
  </si>
  <si>
    <t>GLOBAL TRADING S.R.L.S.</t>
  </si>
  <si>
    <t>053850_103</t>
  </si>
  <si>
    <t xml:space="preserve">G1 - Versamento assegni tratti su altro intermediario </t>
  </si>
  <si>
    <t>ITALSUD CARBURANTI SRL</t>
  </si>
  <si>
    <t>053850_268</t>
  </si>
  <si>
    <t>SABOLIO SRL</t>
  </si>
  <si>
    <t>104 - PRODUZIONE DI OLI E GRASSI VEGETALI E ANIMALI</t>
  </si>
  <si>
    <t>IN VALUTAZIONE RPR</t>
  </si>
  <si>
    <t>PVM SRL</t>
  </si>
  <si>
    <t>522 - ATTIVITÀ DI SUPPORTO AI TRASPORTI</t>
  </si>
  <si>
    <t>053850_109</t>
  </si>
  <si>
    <t>ZENTRUM BARI S.R.L.</t>
  </si>
  <si>
    <t>451 - COMMERCIO DI AUTOVEICOLI</t>
  </si>
  <si>
    <t>053850_132</t>
  </si>
  <si>
    <t>DESMA SOCIETA' A RESPONSABILITA' LIMITATA SEMPLIFICATA</t>
  </si>
  <si>
    <t>053850_128</t>
  </si>
  <si>
    <t>SPECIALMANGIMI GALTIERI S.P.A</t>
  </si>
  <si>
    <t>109 - PRODUZIONE DI PRODOTTI PER L'ALIMENTAZIONE DEGLI ANIMALI</t>
  </si>
  <si>
    <t xml:space="preserve">G2 - Versamento assegni tratti sullo stesso intermediario </t>
  </si>
  <si>
    <t>CENTRO AUTOVEICOLI S.R.L.</t>
  </si>
  <si>
    <t>053850_175</t>
  </si>
  <si>
    <t>DE.RA.DO. SRL</t>
  </si>
  <si>
    <t>031 - PESCA</t>
  </si>
  <si>
    <t>053850_191</t>
  </si>
  <si>
    <t>OLEARIA CHIERA S.R.L.</t>
  </si>
  <si>
    <t>E F ALLEVA S.R.L.</t>
  </si>
  <si>
    <t>053850_141</t>
  </si>
  <si>
    <t>UNIONE SPORTIVA LECCE S.P.A.</t>
  </si>
  <si>
    <t>931 - ATTIVITÀ SPORTIVE</t>
  </si>
  <si>
    <t>053850_104</t>
  </si>
  <si>
    <t>MARTINCART SRL</t>
  </si>
  <si>
    <t>464 - COMMERCIO ALL'INGROSSO DI BENI DI CONSUMO FINALE</t>
  </si>
  <si>
    <t>053850_161</t>
  </si>
  <si>
    <t>ZOOTECNICA S.R.L. - SOCIETA' AGRICOLA</t>
  </si>
  <si>
    <t>014 - ALLEVAMENTO DI ANIMALI</t>
  </si>
  <si>
    <t>IN CARICO AL RESPONSABILE</t>
  </si>
  <si>
    <t>053850_145</t>
  </si>
  <si>
    <t>PUNTO DISTRIBUZIONE SRL</t>
  </si>
  <si>
    <t>463 - COMMERCIO ALL'INGROSSO DI PRODOTTI ALIMENTARI, BEVANDE E PRODOTTI DEL TABACCO</t>
  </si>
  <si>
    <t>CO.BE.CA. S.R.L.</t>
  </si>
  <si>
    <t>IN CARICO AL GESTORE</t>
  </si>
  <si>
    <t>INTERTONNO SRL</t>
  </si>
  <si>
    <t>102 - LAVORAZIONE E CONSERVAZIONE DI PESCE, CROSTACEI E MOLLUSCHI</t>
  </si>
  <si>
    <t>AP MONTAGGI S.R.L.</t>
  </si>
  <si>
    <t>433 - COMPLETAMENTO E FINITURA DI EDIFICI</t>
  </si>
  <si>
    <t>053850_108</t>
  </si>
  <si>
    <t>FUSILLO SEBASTIANO S.R.L.</t>
  </si>
  <si>
    <t>053850_116</t>
  </si>
  <si>
    <t>TURBO SERVICE S.R.L.</t>
  </si>
  <si>
    <t>466 - COMMERCIO ALL'INGROSSO DI ALTRI MACCHINARI, ATTREZZATURE E FORNITURE</t>
  </si>
  <si>
    <t>053850_226</t>
  </si>
  <si>
    <t>NUGNES 1920 S.R.L.</t>
  </si>
  <si>
    <t>477 - COMMERCIO AL DETTAGLIO DI ALTRI PRODOTTI IN ESERCIZI SPECIALIZZATI</t>
  </si>
  <si>
    <t>ANEZ SOCIETA' A RESPONSABILITA' LIMITATASEMPLIFICATA</t>
  </si>
  <si>
    <t>053850_273</t>
  </si>
  <si>
    <t>ILA SRLS</t>
  </si>
  <si>
    <t>162 - FABBRICAZIONE DI PRODOTTI IN LEGNO, SUGHERO, PAGLIA E MATERIALI DA INTRECCIO</t>
  </si>
  <si>
    <t>053850_261</t>
  </si>
  <si>
    <t>OVERLAND TARTUFI SRL</t>
  </si>
  <si>
    <t>PM-SA31</t>
  </si>
  <si>
    <t>Ricezione di bonifico e quasi contestuale uscita</t>
  </si>
  <si>
    <t>053850_121</t>
  </si>
  <si>
    <t>Discovery Comportamenti</t>
  </si>
  <si>
    <t/>
  </si>
  <si>
    <t>TERRA VIVA - SOCIETA' COOPERATIVA AGRICOLA</t>
  </si>
  <si>
    <t>016100 - Attività di supporto alla produzione vegetale</t>
  </si>
  <si>
    <t>053850_190</t>
  </si>
  <si>
    <t>MACK &amp; SCHUHLE ITALIA S.P.A.</t>
  </si>
  <si>
    <t>11021 - Produzione di vini da tavola e v.q.p.r.d.</t>
  </si>
  <si>
    <t>LINKS - MANAGEMENT AND TECHNOLOGY - S.P.A. I</t>
  </si>
  <si>
    <t>6202 - Consulenza nel settore delle tecnologie dell'informatica</t>
  </si>
  <si>
    <t>6201 - Produzione di software non connesso all'edizione</t>
  </si>
  <si>
    <t>053850_102</t>
  </si>
  <si>
    <t>FACTORIT S.P.A.</t>
  </si>
  <si>
    <t>259 - Societa' di factoring</t>
  </si>
  <si>
    <t>64992 - Attività di factoring</t>
  </si>
  <si>
    <t>VICTUS HORIZON SRL</t>
  </si>
  <si>
    <t>285 - Holding operative finanziarie</t>
  </si>
  <si>
    <t>642000 - Attività delle società di partecipazione (holding)</t>
  </si>
  <si>
    <t>RENAUTO SOCIETA' PER AZIONI</t>
  </si>
  <si>
    <t>451101 - Commercio all'ingrosso e al dettaglio di autovetture e di autoveicoli leggeri</t>
  </si>
  <si>
    <t>10512 - Produzione dei derivati del latte</t>
  </si>
  <si>
    <t>ALBA LEASING S.P.A.</t>
  </si>
  <si>
    <t>258 - Societa' di leasing</t>
  </si>
  <si>
    <t>6491 - Leasing finanziario</t>
  </si>
  <si>
    <t>90</t>
  </si>
  <si>
    <t>Operazioni con paese controparte ad altissimo rischio</t>
  </si>
  <si>
    <t>053850_137</t>
  </si>
  <si>
    <t>Discovery Day</t>
  </si>
  <si>
    <t xml:space="preserve">AA - Bonifico da e per estero </t>
  </si>
  <si>
    <t>261 - CROAZIA</t>
  </si>
  <si>
    <t>D     - Dare</t>
  </si>
  <si>
    <t>MOLISE SUINI SRL</t>
  </si>
  <si>
    <t>95</t>
  </si>
  <si>
    <t>Versamento giornaliero di importo elevato per la causale ed il soggetto</t>
  </si>
  <si>
    <t>Vari (30/04/2025)</t>
  </si>
  <si>
    <t>VV</t>
  </si>
  <si>
    <t>INDUSTRIA MOLITORIA F.LLI MARTIMUCCI S.R.L.</t>
  </si>
  <si>
    <t>106 - LAVORAZIONE DELLE GRANAGLIE, PRODUZIONE DI AMIDI E DI PRODOTTI AMIDACEI</t>
  </si>
  <si>
    <t>14</t>
  </si>
  <si>
    <t>Operazione per conto di importo elevato per la causale ed il soggetto</t>
  </si>
  <si>
    <t>053850_181</t>
  </si>
  <si>
    <t>202504306485623L</t>
  </si>
  <si>
    <t>TRIBUNALE DI TRANI</t>
  </si>
  <si>
    <t>102 - Amministrazione Statale e Organi Costituzionali</t>
  </si>
  <si>
    <t>053850_284</t>
  </si>
  <si>
    <t>DRZTTR67M02F205J</t>
  </si>
  <si>
    <t>D'ORAZIO ETTORE</t>
  </si>
  <si>
    <t>600 - Famiglie consumatrici</t>
  </si>
  <si>
    <t>053850_114</t>
  </si>
  <si>
    <t>FARMACIA SANTA RITA DEI DOTTORI TERESA EGUSTAVO VASSALLI S.N.C.</t>
  </si>
  <si>
    <t>492 - Quasi societa' non finanziarie altre - Unita' o societa' con meno di 20 addetti</t>
  </si>
  <si>
    <t>PLMVTR81D17B963I</t>
  </si>
  <si>
    <t>PALMIERO VITTORIO</t>
  </si>
  <si>
    <t>100</t>
  </si>
  <si>
    <t>Versamento giornaliero di importo contante elevato per la causale ed il soggetto</t>
  </si>
  <si>
    <t xml:space="preserve">03 - Versamento contante cassa continua </t>
  </si>
  <si>
    <t>CARLO VENTRICELLI &amp; C. S.N.C.</t>
  </si>
  <si>
    <t>920 - ATTIVITÀ RIGUARDANTI LE LOTTERIE, LE SCOMMESSE, LE CASE DA GIOCO</t>
  </si>
  <si>
    <t>053850_171</t>
  </si>
  <si>
    <t>CARELLI S.R.L.</t>
  </si>
  <si>
    <t>471 - COMMERCIO AL DETTAGLIO IN ESERCIZI NON SPECIALIZZATI</t>
  </si>
  <si>
    <t>053850_157</t>
  </si>
  <si>
    <t>202504306484552L</t>
  </si>
  <si>
    <t>091 - PRINCIPATO DI MONACO</t>
  </si>
  <si>
    <t>PTRSFN74P21A854D</t>
  </si>
  <si>
    <t>PETRUCCELLI STEFANO</t>
  </si>
  <si>
    <t>A.I.A. AGRICOLA ITALIANA ALIMENTARE S.P.A.</t>
  </si>
  <si>
    <t>053850_119</t>
  </si>
  <si>
    <t>CSTMGR44D55A881Q</t>
  </si>
  <si>
    <t>CASTELLUCCIO MARIA GRAZIA</t>
  </si>
  <si>
    <t>649 - ALTRE ATTIVITÀ DI SERVIZI FINANZIARI (ESCLUSE LE ASSICURAZIONI E I FONDI PENSIONE)</t>
  </si>
  <si>
    <t>053850_170</t>
  </si>
  <si>
    <t>I NOBILI S.R.L.</t>
  </si>
  <si>
    <t>251 - FABBRICAZIONE DI ELEMENTI DA COSTRUZIONE IN METALLO</t>
  </si>
  <si>
    <t>30</t>
  </si>
  <si>
    <t>Bonifico con Paese dell'intermediario della controparte a rischio</t>
  </si>
  <si>
    <t>053850_131</t>
  </si>
  <si>
    <t>071 - SVIZZERA</t>
  </si>
  <si>
    <t>FRNDRS57D59Z131E</t>
  </si>
  <si>
    <t>FERNANDEZ ESCOBAR DOLORES</t>
  </si>
  <si>
    <t xml:space="preserve">31 - Effetti ritirati </t>
  </si>
  <si>
    <t>BLZDNL77L17F537W</t>
  </si>
  <si>
    <t>BULZOMI' DANILO</t>
  </si>
  <si>
    <t xml:space="preserve">15 - Rimborso finanziamenti </t>
  </si>
  <si>
    <t>053850_174</t>
  </si>
  <si>
    <t>AS LABRUNA S.R.L.</t>
  </si>
  <si>
    <t>281 - FABBRICAZIONE DI MACCHINE DI IMPIEGO GENERALE</t>
  </si>
  <si>
    <t>053850_129</t>
  </si>
  <si>
    <t>MRACMN64P17H831I</t>
  </si>
  <si>
    <t>MARE CARMINE DONATO</t>
  </si>
  <si>
    <t>053850_110</t>
  </si>
  <si>
    <t xml:space="preserve">G7 - Versamento assegno circolare altro intermediario </t>
  </si>
  <si>
    <t>DBNLGU59D17A669H</t>
  </si>
  <si>
    <t>DIBENEDETTO LUIGI</t>
  </si>
  <si>
    <t>012 - COLTIVAZIONE DI COLTURE PERMANENTI</t>
  </si>
  <si>
    <t>053850_185</t>
  </si>
  <si>
    <t xml:space="preserve">26 - Bonifico in partenza </t>
  </si>
  <si>
    <t>SCMNCL81H02C352S</t>
  </si>
  <si>
    <t>SCAMARDI' NICOLA</t>
  </si>
  <si>
    <t>GUACCI SPA</t>
  </si>
  <si>
    <t>TRE P. ABBIGLIAMENTO S.R.L.</t>
  </si>
  <si>
    <t>141 - CONFEZIONE DI ARTICOLI DI ABBIGLIAMENTO (ESCLUSO ABBIGLIAMENTO IN PELLICCIA)</t>
  </si>
  <si>
    <t>A7 - Erogazione finanziamenti diversi e prestiti personali</t>
  </si>
  <si>
    <t>202504306484814L</t>
  </si>
  <si>
    <t>262 - RUSSIA (FEDERAZIONE DI)</t>
  </si>
  <si>
    <t>LRNLCU76C58L181S</t>
  </si>
  <si>
    <t>LAURINO LUCIA</t>
  </si>
  <si>
    <t>CHRFNC69P08A225J</t>
  </si>
  <si>
    <t>CHIERICO FRANCESCO</t>
  </si>
  <si>
    <t>009 - BELGIO</t>
  </si>
  <si>
    <t>DELIZIA S.P.A.</t>
  </si>
  <si>
    <t>053850_187</t>
  </si>
  <si>
    <t>COMUNE DI TARANTO</t>
  </si>
  <si>
    <t>173 - Amministrazioni comunali e unioni di comuni</t>
  </si>
  <si>
    <t>053850_118</t>
  </si>
  <si>
    <t>012 - BULGARIA</t>
  </si>
  <si>
    <t>ITALWOOD SOCIETA' A RESPONSABILITA' LIMITATA</t>
  </si>
  <si>
    <t>310 - FABBRICAZIONE DI MOBILI</t>
  </si>
  <si>
    <t>13 - Addebito per estinzione assegno</t>
  </si>
  <si>
    <t>FORMAT DISTRIBUZIONE SOCIETA' A RESPONSABILITA' LIMITATA</t>
  </si>
  <si>
    <t>469 - COMMERCIO ALL'INGROSSO NON SPECIALIZZATO</t>
  </si>
  <si>
    <t>DBNDNC63C05A669B</t>
  </si>
  <si>
    <t>DIBENEDETTO DOMENICO</t>
  </si>
  <si>
    <t>PTRFNC43S02A854P</t>
  </si>
  <si>
    <t>PETRUCCELLI FRANCESCO</t>
  </si>
  <si>
    <t>053850_269</t>
  </si>
  <si>
    <t xml:space="preserve">D1 - Versamento di contante </t>
  </si>
  <si>
    <t>DSMTRS79H45E372P</t>
  </si>
  <si>
    <t>DE SIMONE TERESA</t>
  </si>
  <si>
    <t>CASILLO SOCIETA' PER AZIONI</t>
  </si>
  <si>
    <t>GAROFOLI SOCIETA' PER AZIONI</t>
  </si>
  <si>
    <t>VETRERIE MERIDIONALI SPA</t>
  </si>
  <si>
    <t>231 - FABBRICAZIONE DI VETRO E DI PRODOTTI IN VETRO</t>
  </si>
  <si>
    <t>LTZRSL51E64B963D</t>
  </si>
  <si>
    <t>LETIZIA CENTONE ROSALIA</t>
  </si>
  <si>
    <t>053850_271</t>
  </si>
  <si>
    <t>DBRLGU61H22G482A</t>
  </si>
  <si>
    <t>DE BERARDINIS LUIGI</t>
  </si>
  <si>
    <t>053850_167</t>
  </si>
  <si>
    <t>NTNFMN59A42E155T</t>
  </si>
  <si>
    <t>ANTONELLI FILOMENA</t>
  </si>
  <si>
    <t>SFRMCL81M12A662T</t>
  </si>
  <si>
    <t>SFORZA MARCELLO</t>
  </si>
  <si>
    <t>DBNGCH53R11A669J</t>
  </si>
  <si>
    <t>DIBENEDETTO GIOACCHINO</t>
  </si>
  <si>
    <t>GESTFOOD - GESTIONE ALIMENTARE SOCIETA' A RESPONSABILITA' LIMITATA</t>
  </si>
  <si>
    <t>053850_189</t>
  </si>
  <si>
    <t>BLDCRN66S60L049O</t>
  </si>
  <si>
    <t>BALDASSARRE CATERINA</t>
  </si>
  <si>
    <t>SFRNCL52E05L220G</t>
  </si>
  <si>
    <t>SFORZA NICOLA</t>
  </si>
  <si>
    <t>053850_106</t>
  </si>
  <si>
    <t>MRGNGL39C62F220E</t>
  </si>
  <si>
    <t>MARGIOTTA ANGELA</t>
  </si>
  <si>
    <t>MSCGPL63R20C983Y</t>
  </si>
  <si>
    <t>MUSCI GIANPAOLO</t>
  </si>
  <si>
    <t>MZZNGL81M27B619S</t>
  </si>
  <si>
    <t>MAZZILLI ANGELO</t>
  </si>
  <si>
    <t>NATURA CARNI S.R.L.</t>
  </si>
  <si>
    <t>101 - LAVORAZIONE E CONSERVAZIONE DI CARNE E PRODUZIONE DI PRODOTTI A BASE DI CARNE</t>
  </si>
  <si>
    <t>053850_198</t>
  </si>
  <si>
    <t>RSSGNN73H12I158W</t>
  </si>
  <si>
    <t>RUSSI GIOVANNI</t>
  </si>
  <si>
    <t xml:space="preserve">BB - Acquisto a pronti titoli e diritti d'opzione </t>
  </si>
  <si>
    <t>LSTFPP52E45E038X</t>
  </si>
  <si>
    <t>LOSITO FILIPPA</t>
  </si>
  <si>
    <t>CNNCSG41A68C983C</t>
  </si>
  <si>
    <t>CANNILLO CONSIGLIA</t>
  </si>
  <si>
    <t>LRSLNT59B27A225O</t>
  </si>
  <si>
    <t>LORUSSO LUIGI ANTONIO</t>
  </si>
  <si>
    <t>39 - Disposizione per emolumenti</t>
  </si>
  <si>
    <t>DENSO MANUFACTURING ITALIA S.P.A.</t>
  </si>
  <si>
    <t>293 - FABBRICAZIONE DI PARTI ED ACCESSORI PER AUTOVEICOLI E LORO MOTORI</t>
  </si>
  <si>
    <t>Vari (29/04/2025)</t>
  </si>
  <si>
    <t>FARMACIA SAN GIOVANNI BOSCO DEI DOTTORI LILIA SPERANDIO &amp; MASSIMILIANO VITTORIO</t>
  </si>
  <si>
    <t>053850_178</t>
  </si>
  <si>
    <t>DGVNGL41D43A669C</t>
  </si>
  <si>
    <t>DIGIOVANNI ANGELA</t>
  </si>
  <si>
    <t>053850_182</t>
  </si>
  <si>
    <t>202504296436702L</t>
  </si>
  <si>
    <t>MLNNNA30H47L049I</t>
  </si>
  <si>
    <t>MALANDRINO ANNA</t>
  </si>
  <si>
    <t>053850_140</t>
  </si>
  <si>
    <t>R.G. MANIFATTURE S.R.L.</t>
  </si>
  <si>
    <t>181 - STAMPA E SERVIZI CONNESSI ALLA STAMPA</t>
  </si>
  <si>
    <t>G8 - Versamento assegno circolare stesso intermediario</t>
  </si>
  <si>
    <t>TCCMRA71T42E155A</t>
  </si>
  <si>
    <t>TUCCI MARIA</t>
  </si>
  <si>
    <t>TRE PASCAL FRUIT S.A.S. DI PIAZZOLLA MATTEO &amp; C.</t>
  </si>
  <si>
    <t>053850_204</t>
  </si>
  <si>
    <t>FARMACIA SPARVIERI S.N.C.</t>
  </si>
  <si>
    <t>LIQUIDAZIONE GIUDIZIALE F.T.V. S.R.L.</t>
  </si>
  <si>
    <t>501 - Istituzioni ed enti con finalita' di assistenza, beneficenza, istruzione, culturali, sindacali, politiche, sportive, ricreative e simili</t>
  </si>
  <si>
    <t>15</t>
  </si>
  <si>
    <t>Operazione fuori conto di importo elevato per la causale ed il soggetto</t>
  </si>
  <si>
    <t>053850_99</t>
  </si>
  <si>
    <t>202504296437636L</t>
  </si>
  <si>
    <t>LCCLNE70E42Z133M</t>
  </si>
  <si>
    <t>LICCIONE ELENA</t>
  </si>
  <si>
    <t>076 - TURCHIA</t>
  </si>
  <si>
    <t>FRRNTN66R18D650V</t>
  </si>
  <si>
    <t>FERRO ANTONIO</t>
  </si>
  <si>
    <t>614 - Artigiani</t>
  </si>
  <si>
    <t>493 - ALTRI TRASPORTI TERRESTRI DI PASSEGGERI</t>
  </si>
  <si>
    <t>10 - Emisione assegni circolari e titoli similari vaglia</t>
  </si>
  <si>
    <t>CCCMRC92H22G942N</t>
  </si>
  <si>
    <t>CUCCARESE MARCO</t>
  </si>
  <si>
    <t>LDDRSO42L49E155P</t>
  </si>
  <si>
    <t>LADDAGA ROSA</t>
  </si>
  <si>
    <t>053850_267</t>
  </si>
  <si>
    <t>202504296443065L</t>
  </si>
  <si>
    <t>DGGNCL26S19D253S</t>
  </si>
  <si>
    <t>DE GIGLIO NICOLA</t>
  </si>
  <si>
    <t>83</t>
  </si>
  <si>
    <t>Triangolazione della controparte</t>
  </si>
  <si>
    <t>NDRGNT93P16E155L</t>
  </si>
  <si>
    <t>ANDRISANI GIACINTO</t>
  </si>
  <si>
    <t>CPLLCU45A01E155T</t>
  </si>
  <si>
    <t>CAPOLONGO LUCA</t>
  </si>
  <si>
    <t>TCCFMN66H47E155I</t>
  </si>
  <si>
    <t>TUCCI FILOMENA</t>
  </si>
  <si>
    <t>053850_259</t>
  </si>
  <si>
    <t>ANGEL4FUTURE S.R.L.</t>
  </si>
  <si>
    <t>STELLA COSTRUZIONI S.R.L.</t>
  </si>
  <si>
    <t>412 - COSTRUZIONE DI EDIFICI RESIDENZIALI E NON RESIDENZIALI</t>
  </si>
  <si>
    <t>202504296437286L</t>
  </si>
  <si>
    <t>BLLLSN78R14A662Q</t>
  </si>
  <si>
    <t>BELLANTUONO ALESSANDRO</t>
  </si>
  <si>
    <t>GENERAL COSTRUZIONI S.R.L.</t>
  </si>
  <si>
    <t>CNSTSN31A42D253I</t>
  </si>
  <si>
    <t>IACONIS TERESINA</t>
  </si>
  <si>
    <t>CRLGNN64B02A225F</t>
  </si>
  <si>
    <t>CARLUCCI GIOVANNI</t>
  </si>
  <si>
    <t>TDSNCL40E20A669R</t>
  </si>
  <si>
    <t>TEDESCHI NICOLA</t>
  </si>
  <si>
    <t>CLLLRD50H04E506J</t>
  </si>
  <si>
    <t>CILLO ALFREDO</t>
  </si>
  <si>
    <t xml:space="preserve">27 - Emolumenti </t>
  </si>
  <si>
    <t>PPPGDU71M05A662Z</t>
  </si>
  <si>
    <t>PAPPONETTI GUIDO</t>
  </si>
  <si>
    <t>CEREAL - FER SEMENTI DI PANTONE DOMENICO&amp; C. S.N.C.</t>
  </si>
  <si>
    <t>016 - ATTIVITÀ DI SUPPORTO ALL'AGRICOLTURA E ATTIVITÀ SUCCESSIVE ALLA RACCOLTA</t>
  </si>
  <si>
    <t>RNRGTT82C45F262C</t>
  </si>
  <si>
    <t>RANIERI GIUDITTA</t>
  </si>
  <si>
    <t>DBSNLC80T55E435P</t>
  </si>
  <si>
    <t>DI BIASE ANGELICA</t>
  </si>
  <si>
    <t>TCCGPP74M66E155X</t>
  </si>
  <si>
    <t>TUCCI GIUSEPPINA</t>
  </si>
  <si>
    <t>PCADNC68C06A893F</t>
  </si>
  <si>
    <t>PACE DOMENICO</t>
  </si>
  <si>
    <t>053850_176</t>
  </si>
  <si>
    <t>TCCMRA55C67E469X</t>
  </si>
  <si>
    <t>TOCCI MARIA</t>
  </si>
  <si>
    <t>TCCGRZ65C62E155O</t>
  </si>
  <si>
    <t>TUCCI GRAZIA</t>
  </si>
  <si>
    <t>PTNRNT84E28H501P</t>
  </si>
  <si>
    <t>POTENZA RENATO</t>
  </si>
  <si>
    <t>015 - COLTIVAZIONI AGRICOLE ASSOCIATE ALL'ALLEVAMENTO DI ANIMALI: ATTIVITÀ MISTA</t>
  </si>
  <si>
    <t>DSDVCN78D10H926U</t>
  </si>
  <si>
    <t>DESIDERIO VINCENZO</t>
  </si>
  <si>
    <t>GLBMHL70H04E506L</t>
  </si>
  <si>
    <t>GILIBERTI MICHELE</t>
  </si>
  <si>
    <t>749 - ALTRE ATTIVITÀ PROFESSIONALI, SCIENTIFICHE E TECNICHE NCA</t>
  </si>
  <si>
    <t>STUDIO NOTARILE STIGLIANO</t>
  </si>
  <si>
    <t>491 - Quasi societa' non finanziarie altre - Unita' o societa' con piu' di 5 e meno di 20 addetti</t>
  </si>
  <si>
    <t>202504296437637L</t>
  </si>
  <si>
    <t>VRGMRT96L66E223V</t>
  </si>
  <si>
    <t>VIRGILIO MARTA</t>
  </si>
  <si>
    <t>053850_286</t>
  </si>
  <si>
    <t>DMRBNL64M53C632D</t>
  </si>
  <si>
    <t>DI MIERO BRUNELLA</t>
  </si>
  <si>
    <t>053850_120</t>
  </si>
  <si>
    <t>F.LLI MIRABELLA S.N.C. DI MIRABELLA MARIO - FRANCESCO E CLAUDIO</t>
  </si>
  <si>
    <t>473 - COMMERCIO AL DETTAGLIO DI CARBURANTE PER AUTOTRAZIONE IN ESERCIZI SPECIALIZZATI</t>
  </si>
  <si>
    <t>182 - ISRAELE</t>
  </si>
  <si>
    <t>LOIUDICED S.R.L.</t>
  </si>
  <si>
    <t xml:space="preserve">25 - Pagamento di documenti su Italia </t>
  </si>
  <si>
    <t>IM.A.F. S.R.L.</t>
  </si>
  <si>
    <t>429 - COSTRUZIONE DI ALTRE OPERE DI INGEGNERIA CIVILE</t>
  </si>
  <si>
    <t>053850_188</t>
  </si>
  <si>
    <t>CASA DI CURA VILLA VERDE FRANCO AUSIELLO S.R.L.</t>
  </si>
  <si>
    <t>861 - SERVIZI OSPEDALIERI</t>
  </si>
  <si>
    <t>BRGCRL94M31L109B</t>
  </si>
  <si>
    <t>BORAGINE CARLO</t>
  </si>
  <si>
    <t>Vari (28/04/2025)</t>
  </si>
  <si>
    <t>VR PETROLI S.R.L.</t>
  </si>
  <si>
    <t>SANROCCO CARBURANTI S.R.L.</t>
  </si>
  <si>
    <t>053850_274</t>
  </si>
  <si>
    <t>202504286334915L</t>
  </si>
  <si>
    <t>MANIFATTURE MONACO DOMENICO S.R.L.</t>
  </si>
  <si>
    <t>222 - FABBRICAZIONE DI ARTICOLI IN MATERIE PLASTICHE</t>
  </si>
  <si>
    <t>TERRADIMARE S.A.S. DI DEBORAH DI TONDO &amp; C.</t>
  </si>
  <si>
    <t>561 - RISTORANTI E ATTIVITÀ DI RISTORAZIONE MOBILE</t>
  </si>
  <si>
    <t>053850_282</t>
  </si>
  <si>
    <t>202504286340489L</t>
  </si>
  <si>
    <t>238 - ABU DHABI</t>
  </si>
  <si>
    <t>CPRDNL87M08E435Y</t>
  </si>
  <si>
    <t>CAPORALE DANILO</t>
  </si>
  <si>
    <t>P.G.S. CATERING &amp; SERVICE S.R.L.</t>
  </si>
  <si>
    <t>GARDEN DI BARBARA SALVA TORE &amp; C. S.A.S.</t>
  </si>
  <si>
    <t>PLMFST61T01C632T</t>
  </si>
  <si>
    <t>PALOMBARO FAUSTO</t>
  </si>
  <si>
    <t>DMBMRZ80M26A662O</t>
  </si>
  <si>
    <t>D'AMBROSIO MAURIZIO</t>
  </si>
  <si>
    <t>NNNGTN73H24C983Q</t>
  </si>
  <si>
    <t>IANNONE GAETANO</t>
  </si>
  <si>
    <t>120 - INDUSTRIA DEL TABACCO</t>
  </si>
  <si>
    <t>SCRGLN63D60E335A</t>
  </si>
  <si>
    <t>SCARSELLI GIULIANA</t>
  </si>
  <si>
    <t>053850_149</t>
  </si>
  <si>
    <t>VITTORIA CAPPELLI SOCIETA' A RESPONSABILITA' LIMITATA SEMPLIFICAT</t>
  </si>
  <si>
    <t>791 - ATTIVITÀ DELLE AGENZIE DI VIAGGIO E DEI TOUR OPERATOR</t>
  </si>
  <si>
    <t>DNGNNL00C47F915Q</t>
  </si>
  <si>
    <t>D'ONGHIA ANTONELLA</t>
  </si>
  <si>
    <t>CASA DI CURA BERNARDINI SRL</t>
  </si>
  <si>
    <t>PLPMNL65B14L049X</t>
  </si>
  <si>
    <t>PULPO EMANUELE</t>
  </si>
  <si>
    <t>CENTRO AGROVETE PUGLIA E BASILICATA SRL</t>
  </si>
  <si>
    <t>053850_111</t>
  </si>
  <si>
    <t>BRLCRN59L50F052O</t>
  </si>
  <si>
    <t>BARILE CATERINA</t>
  </si>
  <si>
    <t>DMRFRI44R07G230X</t>
  </si>
  <si>
    <t>DE MARTINO FIORE</t>
  </si>
  <si>
    <t>MRZFNC89L22L049F</t>
  </si>
  <si>
    <t>MARZO FRANCO</t>
  </si>
  <si>
    <t>NZZGNN37S23A225G</t>
  </si>
  <si>
    <t>NUZZI GIOVANNI</t>
  </si>
  <si>
    <t>202504286340398L</t>
  </si>
  <si>
    <t>GLITTER SISTERS S.R.L.</t>
  </si>
  <si>
    <t>NOVAGORA' S.R.L.</t>
  </si>
  <si>
    <t>MATERA PLAY 3 S.R.L.</t>
  </si>
  <si>
    <t>40</t>
  </si>
  <si>
    <t>Titolare o presentatore residente in paese a rischio</t>
  </si>
  <si>
    <t>053850_199</t>
  </si>
  <si>
    <t>031 - REGNO UNITO</t>
  </si>
  <si>
    <t>SARTY LTD</t>
  </si>
  <si>
    <t>758 - Societa' non finanziarie dei paesi UE non membri dell'area dell'euro</t>
  </si>
  <si>
    <t>GRDNTN77L60A662K</t>
  </si>
  <si>
    <t>GIARDINO ANTONIA</t>
  </si>
  <si>
    <t>NNVGRZ41B66A225D</t>
  </si>
  <si>
    <t>NINIVAGGI GRAZIA</t>
  </si>
  <si>
    <t>RBTLCU49C62H645C</t>
  </si>
  <si>
    <t>RIBATTI LUCIA</t>
  </si>
  <si>
    <t>278 - MACEDONIA</t>
  </si>
  <si>
    <t>LINEA PELLE S.R.L.</t>
  </si>
  <si>
    <t>SUPERMERCATI LELLA SOCIETA' A RESPONSABILITA' LIMITATA</t>
  </si>
  <si>
    <t>FRUTTATTIVA S.R.L.</t>
  </si>
  <si>
    <t>MGLFNC98D09F915W</t>
  </si>
  <si>
    <t>MIGLIACCIO FRANCESCO</t>
  </si>
  <si>
    <t>AC COSTRUZIONI SRL</t>
  </si>
  <si>
    <t>053850_117</t>
  </si>
  <si>
    <t>Vari (27/04/2025)</t>
  </si>
  <si>
    <t>FORASTIERI W. S.R.L.</t>
  </si>
  <si>
    <t>Vari (25/04/2025)</t>
  </si>
  <si>
    <t>RSTFTM63M20Z100G</t>
  </si>
  <si>
    <t>RUSTEMI FITIM</t>
  </si>
  <si>
    <t>Vari (24/04/2025)</t>
  </si>
  <si>
    <t>SOGEDILE S.R.L.</t>
  </si>
  <si>
    <t>053850_195</t>
  </si>
  <si>
    <t>DGSNGL77E03F027Z</t>
  </si>
  <si>
    <t>D'AGOSTINO ANGELO</t>
  </si>
  <si>
    <t>475 - COMMERCIO AL DETTAGLIO DI ALTRI PRODOTTI PER USO DOMESTICO IN ESERCIZI SPECIALIZZATI</t>
  </si>
  <si>
    <t>FARMACIA PALUMBO S.N.C DI PALUMBO ENRICO E ROSALBA</t>
  </si>
  <si>
    <t>CRRDNC57L01A662B</t>
  </si>
  <si>
    <t>CERROTTI DOMENICO</t>
  </si>
  <si>
    <t>053850_277</t>
  </si>
  <si>
    <t>PRSFRN55T04L218F</t>
  </si>
  <si>
    <t>PERSICHITTI FLORINDO ANTONIO</t>
  </si>
  <si>
    <t>ITRIA PROFUMERIE DI CAMPANELLA DOMENICO E C. S.A.S.</t>
  </si>
  <si>
    <t>RSSPRZ61M62E435E</t>
  </si>
  <si>
    <t>RUSSO PATRIZIA</t>
  </si>
  <si>
    <t>103 - HONG KONG</t>
  </si>
  <si>
    <t>LOOP S.R.L.</t>
  </si>
  <si>
    <t>FVAPRZ63C68A662B</t>
  </si>
  <si>
    <t>FAVIA PATRIZIA</t>
  </si>
  <si>
    <t>F1 - Incasso assegno circolare altro intermediario</t>
  </si>
  <si>
    <t>TRAFRZ65A01G023D</t>
  </si>
  <si>
    <t>AUTUORI FABRIZIO</t>
  </si>
  <si>
    <t>202 - JERSEY C.I.</t>
  </si>
  <si>
    <t>STELLA DEL MARE SRL</t>
  </si>
  <si>
    <t>016 - CINA</t>
  </si>
  <si>
    <t>LA MITO S.R.L. DISTRIBUZIONE</t>
  </si>
  <si>
    <t>PPADTL60E30H307C</t>
  </si>
  <si>
    <t>PAPA DONATELLO GIOVANNI</t>
  </si>
  <si>
    <t>053850_270</t>
  </si>
  <si>
    <t>CONSTRUCTORA CARACAS S.R.L.</t>
  </si>
  <si>
    <t>PALUMBO SRL FARMACIA SAN BERNARDINO S.N.C.</t>
  </si>
  <si>
    <t>202504246259356L</t>
  </si>
  <si>
    <t>SUPERCENTRO S.P.A.</t>
  </si>
  <si>
    <t>CRTNTN64P24G906V</t>
  </si>
  <si>
    <t>CORTESE ANTONIO</t>
  </si>
  <si>
    <t>SUPERMERCATO CANNONE S.R.L.</t>
  </si>
  <si>
    <t>DI MARCO SRL</t>
  </si>
  <si>
    <t>ELAIOPOLIO COOPERATIVO DELLA RIFORMA FONDIARIA DI RUVO DI PUGLIA SOCIETA' COOPER</t>
  </si>
  <si>
    <t>MARINGELLI ORTOFRUTTA SOCIETA' A RESPONSABILITA' LIMITATA</t>
  </si>
  <si>
    <t>202504236235780L</t>
  </si>
  <si>
    <t>HOLLY TOUR S.R.L.</t>
  </si>
  <si>
    <t>PDLLSN78A61F839W</t>
  </si>
  <si>
    <t>PADULA ALESSANDRA</t>
  </si>
  <si>
    <t>GIOVANNI MALINCONICO SPA IN AMMINISTRAZIONE GIUDIZIARIA</t>
  </si>
  <si>
    <t>421 - COSTRUZIONE DI STRADE E FERROVIE</t>
  </si>
  <si>
    <t>MRTNCL52R05F262F</t>
  </si>
  <si>
    <t>MARTINO NICOLA</t>
  </si>
  <si>
    <t>NTNMHL49S12E326H</t>
  </si>
  <si>
    <t>ANTONICELLI MICHELE</t>
  </si>
  <si>
    <t>OSPEDALE GENERALE REGIONALE - MIULLI -</t>
  </si>
  <si>
    <t>500 - Istituzioni ed enti ecclesiastici e religiosi</t>
  </si>
  <si>
    <t>Vari (23/04/2025)</t>
  </si>
  <si>
    <t>SELF SERVICE MEAT S.R.L.S.</t>
  </si>
  <si>
    <t>SRRRLB50L45F888O</t>
  </si>
  <si>
    <t>SERRAO ROSALBA</t>
  </si>
  <si>
    <t>053850_136</t>
  </si>
  <si>
    <t>BL - Rimborso finanziamento import</t>
  </si>
  <si>
    <t>IPEM INDUSTRIA PETROLI MERIDIONALE S.P.A.</t>
  </si>
  <si>
    <t>192 - FABBRICAZIONE DI PRODOTTI DERIVANTI DALLA RAFFINAZIONE DEL PETROLIO</t>
  </si>
  <si>
    <t>CSCGRZ59D56F052C</t>
  </si>
  <si>
    <t>CUSCIANNA GRAZIA</t>
  </si>
  <si>
    <t>SPECIALCARNI S.R.L.</t>
  </si>
  <si>
    <t>202504236222374L</t>
  </si>
  <si>
    <t>SMLGNZ48C13A055Y</t>
  </si>
  <si>
    <t>SMALDINI IGNAZIO</t>
  </si>
  <si>
    <t>CCCGNN71D02A930C</t>
  </si>
  <si>
    <t>CACCAVELLI GIOVANNI</t>
  </si>
  <si>
    <t>SRNSRN66M50F537P</t>
  </si>
  <si>
    <t>SORIANO SABRINA</t>
  </si>
  <si>
    <t>DVDFLC64P63F537P</t>
  </si>
  <si>
    <t>DAVID FELICIA</t>
  </si>
  <si>
    <t>053850_196</t>
  </si>
  <si>
    <t>LNGNNZ78C13B619K</t>
  </si>
  <si>
    <t>LUONGO NUNZIO</t>
  </si>
  <si>
    <t>APULIA DISTRIBUZIONE S.R.L.</t>
  </si>
  <si>
    <t>MRTMHL85H13F262D</t>
  </si>
  <si>
    <t>MARTINO MICHELE</t>
  </si>
  <si>
    <t>202504236235816L</t>
  </si>
  <si>
    <t>CLCCLN73M08C134H</t>
  </si>
  <si>
    <t>COLUCCI CARLO ANTONIO MODESTO</t>
  </si>
  <si>
    <t>202504236226467L</t>
  </si>
  <si>
    <t>BSSNTN69L21F104K</t>
  </si>
  <si>
    <t>BASSO ANTONIO</t>
  </si>
  <si>
    <t>FARMACIA BUCCARELLI DI BUCCARELLI VINCENZO &amp; C. S.N.C.</t>
  </si>
  <si>
    <t>480 - Quasi societa' non finanziarie artigiane - Unita' o societa' con 20 o piu' addetti</t>
  </si>
  <si>
    <t>202504236234831L</t>
  </si>
  <si>
    <t>DTTSVN55S44L049F</t>
  </si>
  <si>
    <t>DATTO SILVANA</t>
  </si>
  <si>
    <t>Vari (22/04/2025)</t>
  </si>
  <si>
    <t>CASEIFICIO SETTE COLLI S.R.L.</t>
  </si>
  <si>
    <t>PROGETTO MODA S.R.L.</t>
  </si>
  <si>
    <t>053850_279</t>
  </si>
  <si>
    <t>202504226104916L</t>
  </si>
  <si>
    <t>DAFE' S.N.C. DI DANILO SALVATORE E C.</t>
  </si>
  <si>
    <t>563 - BAR E ALTRI ESERCIZI SIMILI SENZA CUCINA</t>
  </si>
  <si>
    <t>LNEMST53E59A662Q</t>
  </si>
  <si>
    <t>LEONE MARIA STELLA</t>
  </si>
  <si>
    <t>053850_165</t>
  </si>
  <si>
    <t>MASTROPASQUA INTERNATIONAL - S.P.A.</t>
  </si>
  <si>
    <t>011 - COLTIVAZIONE DI COLTURE AGRICOLE NON PERMANENTI</t>
  </si>
  <si>
    <t>BEPINK SRLS</t>
  </si>
  <si>
    <t>479 - COMMERCIO AL DETTAGLIO AL DI FUORI DI NEGOZI, BANCHI E MERCATI</t>
  </si>
  <si>
    <t>GFFFNC86M23A662I</t>
  </si>
  <si>
    <t>GOFFREDO FRANCESCO</t>
  </si>
  <si>
    <t>LNERNG60B10A662I</t>
  </si>
  <si>
    <t>LEONE ARCANGELO GERMANO</t>
  </si>
  <si>
    <t>MNLCML82L66H643P</t>
  </si>
  <si>
    <t>MENELAO CARMELA</t>
  </si>
  <si>
    <t>CRIGNN35L70G290V</t>
  </si>
  <si>
    <t>CIERI GIOVANNA ANTONIETTA</t>
  </si>
  <si>
    <t>BSLTZN76S52H096Y</t>
  </si>
  <si>
    <t>BASILE TIZIANA</t>
  </si>
  <si>
    <t>PRRGLC73P05F052O</t>
  </si>
  <si>
    <t>PERRONE GIANLUCA</t>
  </si>
  <si>
    <t>IMMOBILIARE PATRIZIA S.R.L.</t>
  </si>
  <si>
    <t xml:space="preserve">682 - AFFITTO E GESTIONE DI IMMOBILI DI PROPRIETÀ O IN LEASING </t>
  </si>
  <si>
    <t>DDIFNC80A27Z112W</t>
  </si>
  <si>
    <t>DIDIO FRANCESCO</t>
  </si>
  <si>
    <t>FRRGPP44R58L230X</t>
  </si>
  <si>
    <t>FERRAZZANO GIUSEPPINA</t>
  </si>
  <si>
    <t>053850_168</t>
  </si>
  <si>
    <t>NCSGPP38S28C351Q</t>
  </si>
  <si>
    <t>NICASTRO GIUSEPPE</t>
  </si>
  <si>
    <t>BELLUCCI S.A.S DI TUFARELLI MARIA PATRIZIA &amp; C.</t>
  </si>
  <si>
    <t>482 - Quasi societa' non finanziarie artigiane - Unita' o societa' con meno di 20 addetti</t>
  </si>
  <si>
    <t>292 - FABBRICAZIONE DI CARROZZERIE PER AUTOVEICOLI, RIMORCHI E SEMIRIMORCHI</t>
  </si>
  <si>
    <t>CCCLNE34M58I330P</t>
  </si>
  <si>
    <t>CECCA ELENA</t>
  </si>
  <si>
    <t>BLGSMR51D55A883W</t>
  </si>
  <si>
    <t>BELGIOVINE ISA MARIA</t>
  </si>
  <si>
    <t>SVNPLA75A53A662D</t>
  </si>
  <si>
    <t>SAVINO PAOLA</t>
  </si>
  <si>
    <t>SCHLDM48E30A883V</t>
  </si>
  <si>
    <t>SCHIRALLI LUIGI DOMENICO VITO</t>
  </si>
  <si>
    <t>CNTNMR60S42G290H</t>
  </si>
  <si>
    <t>CONTE ANITA MARIA</t>
  </si>
  <si>
    <t>SAN DOMENICO S.N.C. DI FILIPPO MANCINO &amp; C.</t>
  </si>
  <si>
    <t>AF - Disp.giro conti diversi intestati ordinante(stesso intermed.)</t>
  </si>
  <si>
    <t>EDIL.CO SRL</t>
  </si>
  <si>
    <t>202504226106790L</t>
  </si>
  <si>
    <t>SGNPLM44D60A662S</t>
  </si>
  <si>
    <t>SIGNORILE PALMA</t>
  </si>
  <si>
    <t>SNSRSO86T56E155F</t>
  </si>
  <si>
    <t>SINISI ROSA</t>
  </si>
  <si>
    <t>Vari (21/04/2025)</t>
  </si>
  <si>
    <t>MUZZI' SRL</t>
  </si>
  <si>
    <t>Vari (19/04/2025)</t>
  </si>
  <si>
    <t>UNISFERA S.R.L.</t>
  </si>
  <si>
    <t>FARMACIA GIACCI DI GIACCI ALBERTO E ROBERTA &amp; C. S.A.S.</t>
  </si>
  <si>
    <t>202504186090577L</t>
  </si>
  <si>
    <t xml:space="preserve">C6 - Uscita dossier titoli a fronte c/c diversam.intestato(portatore) </t>
  </si>
  <si>
    <t>Vari (17/04/2025)</t>
  </si>
  <si>
    <t>PLMMRA68A68A893G</t>
  </si>
  <si>
    <t>PALMA MARIA</t>
  </si>
  <si>
    <t>Vari (18/04/2025)</t>
  </si>
  <si>
    <t>053850_164</t>
  </si>
  <si>
    <t>VNZMHL37R01A339J</t>
  </si>
  <si>
    <t>VENEZIANI MICHELE</t>
  </si>
  <si>
    <t>053850_143</t>
  </si>
  <si>
    <t>DLLLCU62C13I158Q</t>
  </si>
  <si>
    <t>DELLISANTI LUCIO</t>
  </si>
  <si>
    <t>CPPPLA74S46E155M</t>
  </si>
  <si>
    <t>CAPPIELLO PAOLA</t>
  </si>
  <si>
    <t>50 - Pagamenti diversi</t>
  </si>
  <si>
    <t>202504186077488L</t>
  </si>
  <si>
    <t>CRBMRC80S16G786H</t>
  </si>
  <si>
    <t>CARBONE MARCO</t>
  </si>
  <si>
    <t>LLGMRA40M53A893U</t>
  </si>
  <si>
    <t>ALLEGRETTI MARIA</t>
  </si>
  <si>
    <t>LTTMNT80D67C983T</t>
  </si>
  <si>
    <t>LOTITO MARIANTONELLA</t>
  </si>
  <si>
    <t>SNTGNN68B13E155B</t>
  </si>
  <si>
    <t>SANTARSIERO GIOVANNI</t>
  </si>
  <si>
    <t>GBRFRT68R69Z315E</t>
  </si>
  <si>
    <t>GEBREYES TEGEGNE FIKIRET</t>
  </si>
  <si>
    <t>PRSGNT90P24L418W</t>
  </si>
  <si>
    <t>PARISI GIACINTO</t>
  </si>
  <si>
    <t>PLLNNT38H65A339W</t>
  </si>
  <si>
    <t>PALLOZZI ANTONIETTA</t>
  </si>
  <si>
    <t>MLIMRA73A43E986S</t>
  </si>
  <si>
    <t>MIALI MARIA</t>
  </si>
  <si>
    <t>FRSGPP32H08A893Q</t>
  </si>
  <si>
    <t>FRASCELLA GIUSEPPE</t>
  </si>
  <si>
    <t>MLITDS39E26E986A</t>
  </si>
  <si>
    <t>MIALI TEODOSIO</t>
  </si>
  <si>
    <t>CLNDNC71C04E155L</t>
  </si>
  <si>
    <t>COLONNA DOMENICO</t>
  </si>
  <si>
    <t>202504186076318L</t>
  </si>
  <si>
    <t>CAM2 SOCIETA' A RESPONSABILITA' LIMITATA</t>
  </si>
  <si>
    <t>450 - Associazioni fra imprese non finanziarie</t>
  </si>
  <si>
    <t>494 - TRASPORTO DI MERCI SU STRADA E SERVIZI DI TRASLOCO</t>
  </si>
  <si>
    <t>CRBNGL74L11F052Z</t>
  </si>
  <si>
    <t>CARBONE ANGELO</t>
  </si>
  <si>
    <t>CRBLRD78M07F052Q</t>
  </si>
  <si>
    <t>CARBONE LEONARDO</t>
  </si>
  <si>
    <t>ALL GAMES S.R.L.</t>
  </si>
  <si>
    <t>CSTFBR63M04B519K</t>
  </si>
  <si>
    <t>CASTIGLIONE FILIBERTO</t>
  </si>
  <si>
    <t>LEOGRL01A20I330R</t>
  </si>
  <si>
    <t>LEO GABRIELE</t>
  </si>
  <si>
    <t>775 - Famiglie consumatrici di paesi non UE</t>
  </si>
  <si>
    <t>LA SFORNATA S.R.L.</t>
  </si>
  <si>
    <t>107 - PRODUZIONE DI PRODOTTI DA FORNO E FARINACEI</t>
  </si>
  <si>
    <t>D7 - Addebito o incasso per contratti derivati</t>
  </si>
  <si>
    <t>202504176018104L</t>
  </si>
  <si>
    <t>DNCCST91E13L109Z</t>
  </si>
  <si>
    <t>DE NICOLO CRISTIANO</t>
  </si>
  <si>
    <t>202504176017961L</t>
  </si>
  <si>
    <t>PLONGL37C51H096Q</t>
  </si>
  <si>
    <t>POLI ANGELA</t>
  </si>
  <si>
    <t>027 - FILIPPINE</t>
  </si>
  <si>
    <t>053850_287</t>
  </si>
  <si>
    <t>GEL.DI. S.P.A.</t>
  </si>
  <si>
    <t>VINORTE S.R.L.</t>
  </si>
  <si>
    <t>110 - INDUSTRIA DELLE BEVANDE</t>
  </si>
  <si>
    <t>202504176017698L</t>
  </si>
  <si>
    <t>HOTEL NAZIONALE S.R.L.</t>
  </si>
  <si>
    <t>551 - ALBERGHI E STRUTTURE SIMILI</t>
  </si>
  <si>
    <t>202504176017962L</t>
  </si>
  <si>
    <t>CCRNTN32L10E986O</t>
  </si>
  <si>
    <t>CICERO ANTONIO</t>
  </si>
  <si>
    <t>FARMACIA TREGLIA S.R.L.</t>
  </si>
  <si>
    <t>CRNRRT78A19A225Y</t>
  </si>
  <si>
    <t>CORNACCHIA ROBERTO</t>
  </si>
  <si>
    <t>MASTER ITALY S.R.L.</t>
  </si>
  <si>
    <t>255 - FUCINATURA, IMBUTITURA, STAMPAGGIO E PROFILATURA DEI METALLI, METALLURGIA DELLE POLVERI</t>
  </si>
  <si>
    <t>TTNLRD60B25A662B</t>
  </si>
  <si>
    <t>ATTANASIO LEONARDO</t>
  </si>
  <si>
    <t>692 - CONTABILITÀ, CONTROLLO E REVISIONE CONTABILE, CONSULENZA IN MATERIA FISCALE E DEL LAVORO</t>
  </si>
  <si>
    <t>NNNVCN76B07A662C</t>
  </si>
  <si>
    <t>IANNONE VINCENZO</t>
  </si>
  <si>
    <t>25</t>
  </si>
  <si>
    <t>Operazione fuori conto di importo contante elevato per la causale ed il soggetto</t>
  </si>
  <si>
    <t>DNCSRA99S47A662K</t>
  </si>
  <si>
    <t>DI NUCCIO SARA</t>
  </si>
  <si>
    <t>D6 - Accred.o incasso per contratti derivati</t>
  </si>
  <si>
    <t>DNCCLD97T46H096X</t>
  </si>
  <si>
    <t>DI NUCCIO CLAUDIA</t>
  </si>
  <si>
    <t>202504176017818L</t>
  </si>
  <si>
    <t>LEONE S.R.L.</t>
  </si>
  <si>
    <t>452 - MANUTENZIONE E RIPARAZIONE DI AUTOVEICOLI</t>
  </si>
  <si>
    <t>202504176014723L</t>
  </si>
  <si>
    <t>LLLGNN63H55A662H</t>
  </si>
  <si>
    <t>LOLLINO GIOVANNA</t>
  </si>
  <si>
    <t>202504176017674L</t>
  </si>
  <si>
    <t>078 - SUDAFRICANA (REPUBBLICA)</t>
  </si>
  <si>
    <t>CTRGRL94T52C514B</t>
  </si>
  <si>
    <t>CATERINA GABRIELLA</t>
  </si>
  <si>
    <t>SPRPRZ56M52A662A</t>
  </si>
  <si>
    <t>SPERANZA PATRIZIA</t>
  </si>
  <si>
    <t>941 - ATTIVITÀ DI ORGANIZZAZIONI ECONOMICHE, DI DATORI DI LAVORO E PROFESSIONALI</t>
  </si>
  <si>
    <t>DNCCRL67D27B445R</t>
  </si>
  <si>
    <t>DI NUCCIO CARLO</t>
  </si>
  <si>
    <t>BRANTN64T10A893Y</t>
  </si>
  <si>
    <t>BARI ANTONIO</t>
  </si>
  <si>
    <t>Vari (16/04/2025)</t>
  </si>
  <si>
    <t>129 - INDONESIA</t>
  </si>
  <si>
    <t>ITALYON S.R.L.</t>
  </si>
  <si>
    <t>RSTNDA62R42Z700H</t>
  </si>
  <si>
    <t>ROSATO NADIA</t>
  </si>
  <si>
    <t>24</t>
  </si>
  <si>
    <t>Operazione per conto di importo contante elevato per la causale ed il soggetto</t>
  </si>
  <si>
    <t>053850_265</t>
  </si>
  <si>
    <t xml:space="preserve">52 - Prelevamento con moduli di sportello </t>
  </si>
  <si>
    <t>PLURIVOX SRL</t>
  </si>
  <si>
    <t>202504165994287L</t>
  </si>
  <si>
    <t>GNTFNN61D15I676G</t>
  </si>
  <si>
    <t>GENTILE FERNANDO</t>
  </si>
  <si>
    <t>CLLNGL31A06A662F</t>
  </si>
  <si>
    <t>CILLO ANGELO</t>
  </si>
  <si>
    <t>AUTOTRASPORTI F.LLI LOMBARDI DI LOMBARDI VINCENZO E GIUSEPPE SNC</t>
  </si>
  <si>
    <t>ZCCGTN68T18L328D</t>
  </si>
  <si>
    <t>ZACCAGNI GAETANO</t>
  </si>
  <si>
    <t>ZCCFDN34D27F220B</t>
  </si>
  <si>
    <t>ZACCAGNI FERDINANDO</t>
  </si>
  <si>
    <t>053850_147</t>
  </si>
  <si>
    <t>202504165994061L</t>
  </si>
  <si>
    <t>SABATINO SRL</t>
  </si>
  <si>
    <t>RCCNLN60L16A662C</t>
  </si>
  <si>
    <t>RUCCIA NICOLA ANTONIO</t>
  </si>
  <si>
    <t>PAOLO SCOPPIO E FIGLIO AUTOLINEE S.R.L.</t>
  </si>
  <si>
    <t>GNTGNI65M09I676Y</t>
  </si>
  <si>
    <t>GENTILE GINO</t>
  </si>
  <si>
    <t>VRNLNR88D41G141N</t>
  </si>
  <si>
    <t>VERNA ELEONORA</t>
  </si>
  <si>
    <t>RREFRC81H70D862X</t>
  </si>
  <si>
    <t>ERROI FEDERICA</t>
  </si>
  <si>
    <t>PULIART SOCIETA' A RESPONSABILITA' LIMITATA</t>
  </si>
  <si>
    <t>812 - ATTIVITÀ DI PULIZIA E DISINFESTAZIONE</t>
  </si>
  <si>
    <t>CLLLRD63B02A662N</t>
  </si>
  <si>
    <t>CILLO LEONARDO</t>
  </si>
  <si>
    <t>ASSOCIAZIONE PRO LOCO MINERVINO MURGE</t>
  </si>
  <si>
    <t>LNGLRC69E23C514Q</t>
  </si>
  <si>
    <t>LUONGO ALBERICO</t>
  </si>
  <si>
    <t>PELLETTERIE NATUZZI S.N.C. DI BITETTI TIZIANA E BITETTI ANTONIO</t>
  </si>
  <si>
    <t>202504166002684L</t>
  </si>
  <si>
    <t>DLLNDR46L26A883Z</t>
  </si>
  <si>
    <t>DELL'ORCO ANDREA</t>
  </si>
  <si>
    <t xml:space="preserve">BT - Rimborso su libretti a risparmio </t>
  </si>
  <si>
    <t>CMPNTN56L14A339U</t>
  </si>
  <si>
    <t>CAMPAGNA ANTONIO</t>
  </si>
  <si>
    <t>Vari (15/04/2025)</t>
  </si>
  <si>
    <t>ELIOS CARNI MILETO S.R.L.</t>
  </si>
  <si>
    <t>202504155917728L</t>
  </si>
  <si>
    <t>TVLNTN80M04A048T</t>
  </si>
  <si>
    <t>TIEVOLI ANTONIO</t>
  </si>
  <si>
    <t>NEXI PAYMENTS S.P.A.</t>
  </si>
  <si>
    <t>248 - Istituti di moneta elettronica</t>
  </si>
  <si>
    <t>053850_134</t>
  </si>
  <si>
    <t>202504155923380L</t>
  </si>
  <si>
    <t>LMTPTR64P07A612G</t>
  </si>
  <si>
    <t>LOMUTO PIETRO</t>
  </si>
  <si>
    <t xml:space="preserve">BU - Deposito su libretti a risparmio </t>
  </si>
  <si>
    <t>CMPMRA58H10A339H</t>
  </si>
  <si>
    <t>CAMPAGNA MARIO</t>
  </si>
  <si>
    <t>053850_193</t>
  </si>
  <si>
    <t>202504155917729L</t>
  </si>
  <si>
    <t>LNTFPP79L13F784B</t>
  </si>
  <si>
    <t>LENTINI FILIPPO</t>
  </si>
  <si>
    <t>SRNMSL43P65M130E</t>
  </si>
  <si>
    <t>SARNO MARIA SILVANA</t>
  </si>
  <si>
    <t>053850_216</t>
  </si>
  <si>
    <t>MTTGPP76D60E058L</t>
  </si>
  <si>
    <t>MATTIUCCI GIUSEPPINA</t>
  </si>
  <si>
    <t>202504155922307L</t>
  </si>
  <si>
    <t>CRCRNT50S09A669P</t>
  </si>
  <si>
    <t>CURCI RENATO</t>
  </si>
  <si>
    <t>205 - FABBRICAZIONE DI ALTRI PRODOTTI CHIMICI</t>
  </si>
  <si>
    <t>GE.DI. GROUP S.P.A.</t>
  </si>
  <si>
    <t>642 - ATTIVITÀ DELLE SOCIETÀ DI PARTECIPAZIONE (HOLDING)</t>
  </si>
  <si>
    <t>RSSNTN66R01F839Z</t>
  </si>
  <si>
    <t>RUSSO ANTONIO</t>
  </si>
  <si>
    <t>FTTCSR53B05F582H</t>
  </si>
  <si>
    <t>FITTI CESARE</t>
  </si>
  <si>
    <t>202504155917316L</t>
  </si>
  <si>
    <t>DDNMHL50P15F923F</t>
  </si>
  <si>
    <t>DIDONNA MICHELE</t>
  </si>
  <si>
    <t>FARMACIA PELAGIO S.R.L.</t>
  </si>
  <si>
    <t>TRIBUNALE DI BRINDISI</t>
  </si>
  <si>
    <t>BNDPIA35L51D643A</t>
  </si>
  <si>
    <t>BONDANESE PIA</t>
  </si>
  <si>
    <t>202504155917015L</t>
  </si>
  <si>
    <t>ENERITALY S.R.L.</t>
  </si>
  <si>
    <t>432 - INSTALLAZIONE DI IMPIANTI ELETTRICI, IDRAULICI ED ALTRI LAVORI DI COSTRUZIONE E INSTALLAZIONE</t>
  </si>
  <si>
    <t>QGLSVN55B43E799H</t>
  </si>
  <si>
    <t>QUAGLIA SILVANA</t>
  </si>
  <si>
    <t>SVNNGL54H51F923K</t>
  </si>
  <si>
    <t>SAVINO ANGELA</t>
  </si>
  <si>
    <t>202504155933129L</t>
  </si>
  <si>
    <t>KRZJSP84S29Z149E</t>
  </si>
  <si>
    <t>KRIZANIC JOSIP</t>
  </si>
  <si>
    <t>202504155923384L</t>
  </si>
  <si>
    <t>DLLLRT95P14A662V</t>
  </si>
  <si>
    <t>DELLINO ALBERTO</t>
  </si>
  <si>
    <t>331 - RIPARAZIONE E MANUTENZIONE DI PRODOTTI IN METALLO, MACCHINE ED APPARECCHIATURE</t>
  </si>
  <si>
    <t>PUNTO BIBITE SRL</t>
  </si>
  <si>
    <t>PRTMRT68E14A662L</t>
  </si>
  <si>
    <t>PREITE UMBERTO</t>
  </si>
  <si>
    <t>SRRRNN56P55D643A</t>
  </si>
  <si>
    <t>SERRONE ROSANNA</t>
  </si>
  <si>
    <t>V.I.M. S.R.L. VENDITA INGROSSO MEDICINALI</t>
  </si>
  <si>
    <t>Vari (14/04/2025)</t>
  </si>
  <si>
    <t>053850_200</t>
  </si>
  <si>
    <t>GGLLCN65C30C632E</t>
  </si>
  <si>
    <t>GAGLIARDI LUCIANO</t>
  </si>
  <si>
    <t>CLSMNT62E67E155U</t>
  </si>
  <si>
    <t>COLASANTI MARIA ANTONIETTA</t>
  </si>
  <si>
    <t>CHRMRA28S19A662J</t>
  </si>
  <si>
    <t>CHIARAPPA MARIO</t>
  </si>
  <si>
    <t>FRNNNZ57M15G252Z</t>
  </si>
  <si>
    <t>FRONZA NUNZIO</t>
  </si>
  <si>
    <t>202504145859409L</t>
  </si>
  <si>
    <t>BSQ CERT S.R.L.</t>
  </si>
  <si>
    <t>202504145859436L</t>
  </si>
  <si>
    <t>RCCGRM83H07C034I</t>
  </si>
  <si>
    <t>RICCI GEREMIA</t>
  </si>
  <si>
    <t>034 - HAITI</t>
  </si>
  <si>
    <t>MEC WELDING SERVICE SOCIETA' A RESPONSABILITA' LIMITATA SEMPLIFICATA</t>
  </si>
  <si>
    <t>332 - INSTALLAZIONE DI MACCHINE ED APPARECCHIATURE INDUSTRIALI</t>
  </si>
  <si>
    <t>MAX DIVANI SOCIETA' A RESPONSABILITA' LIMITATA</t>
  </si>
  <si>
    <t>139 - ALTRE INDUSTRIE TESSILI</t>
  </si>
  <si>
    <t>AUTOEMME S.N.C. - DI DIMAGGIO MICHELE &amp; C.</t>
  </si>
  <si>
    <t>DTTNMR66S68G252L</t>
  </si>
  <si>
    <t>DETTOLI ANNA MARIA</t>
  </si>
  <si>
    <t>ZCCDNC49D12E326K</t>
  </si>
  <si>
    <t>ZICCARDI DOMENICO</t>
  </si>
  <si>
    <t>DBNDTM31P58A225I</t>
  </si>
  <si>
    <t>DIBENEDETTO DONATA MARIA</t>
  </si>
  <si>
    <t>MGLFNC48A02D643D</t>
  </si>
  <si>
    <t>MAGALETTA FRANCESCO</t>
  </si>
  <si>
    <t>202504145854880L</t>
  </si>
  <si>
    <t>RNLNLM66C70I158Q</t>
  </si>
  <si>
    <t>RINALDI ANGELA MARIA</t>
  </si>
  <si>
    <t>202504145856379L</t>
  </si>
  <si>
    <t>MNDLSN67P26D643P</t>
  </si>
  <si>
    <t>MENDUNO ALESSANDRO MATTEO</t>
  </si>
  <si>
    <t>PRIMA EASTERN SPA</t>
  </si>
  <si>
    <t>151 - PREPARAZIONE E CONCIA DEL CUOIO, FABBRICAZIONE DI ARTICOLI DA VIAGGIO, BORSE, PELLETTERIA E SELLERIA, PREPARAZIONE E TINTURA DI PELLICCE</t>
  </si>
  <si>
    <t>CONFERMATA RPR</t>
  </si>
  <si>
    <t>PRNNTN54B53A225Z</t>
  </si>
  <si>
    <t>PERNIOLA ANTONIA</t>
  </si>
  <si>
    <t>RSSGPP57S14A669Q</t>
  </si>
  <si>
    <t>RUSSO GIUSEPPE</t>
  </si>
  <si>
    <t>202504145854879L</t>
  </si>
  <si>
    <t>TRNFME52L52E326F</t>
  </si>
  <si>
    <t>TARANTINO EUFEMIA</t>
  </si>
  <si>
    <t>202504145865144L</t>
  </si>
  <si>
    <t>146 - COSTA D'AVORIO</t>
  </si>
  <si>
    <t>LAICI MISSIONARI - ODV ETS</t>
  </si>
  <si>
    <t xml:space="preserve">949 - ATTIVITÀ DI ALTRE ORGANIZZAZIONI ASSOCIATIVE </t>
  </si>
  <si>
    <t>DFLRRT52M11A893Z</t>
  </si>
  <si>
    <t>DE FLAMMINEIS ROBERTO</t>
  </si>
  <si>
    <t>I.M.E.R. SOCIETA' A RESPONSABILITA' LIMITATA</t>
  </si>
  <si>
    <t>203 - FABBRICAZIONE DI PITTURE, VERNICI E SMALTI, INCHIOSTRI DA STAMPA E ADESIVI SINTETICI (MASTICI)</t>
  </si>
  <si>
    <t>LA PULITA &amp; SERVICE S.C.R.L. COOPERATIVA DI PRODUZIONE E LAVORO A RESPONSABILITA</t>
  </si>
  <si>
    <t>TRTLSN80R55F842D</t>
  </si>
  <si>
    <t>TROTTA ALESSANDRA</t>
  </si>
  <si>
    <t>FBRMRT60R31I148O</t>
  </si>
  <si>
    <t>FABRIZIO UMBERTO ANTONIO</t>
  </si>
  <si>
    <t>F2 - Incasso assegno circolare stesso intermediario</t>
  </si>
  <si>
    <t>CRFPLA68R16E335Y</t>
  </si>
  <si>
    <t>CARFAGNA PAOLO</t>
  </si>
  <si>
    <t>DBRCST26E70A662Z</t>
  </si>
  <si>
    <t>DE BARTOLO CRISTINA</t>
  </si>
  <si>
    <t>Vari (12/04/2025)</t>
  </si>
  <si>
    <t xml:space="preserve">BE - Sottoscrizione titoli e/o fondi comuni </t>
  </si>
  <si>
    <t>DLMCRL58T29L049W</t>
  </si>
  <si>
    <t>DEL MARE CARLO</t>
  </si>
  <si>
    <t xml:space="preserve">BF - Rimborso titoli e/o fondi comuni </t>
  </si>
  <si>
    <t>CHRGNN79D17A225A</t>
  </si>
  <si>
    <t>CHIRONNA GIOVANNI</t>
  </si>
  <si>
    <t>383 - RECUPERO DEI MATERIALI</t>
  </si>
  <si>
    <t>MSSGRZ57M45E155I</t>
  </si>
  <si>
    <t>MASSARI GRAZIA</t>
  </si>
  <si>
    <t>DGSGRL71B60A662X</t>
  </si>
  <si>
    <t>D'AGOSTINO GABRIELLA</t>
  </si>
  <si>
    <t>ENTERPRICE ELVIM SISTEMI S.R.L.</t>
  </si>
  <si>
    <t>619 - ALTRE ATTIVITÀ DI TELECOMUNICAZIONE</t>
  </si>
  <si>
    <t>CLSMHL58T07E155M</t>
  </si>
  <si>
    <t>COLASANTI MICHELE</t>
  </si>
  <si>
    <t>SNTGPP57B16E155R</t>
  </si>
  <si>
    <t>SANTERAMO GIUSEPPE</t>
  </si>
  <si>
    <t>202504115805759L</t>
  </si>
  <si>
    <t>CMPBNC26S61D763B</t>
  </si>
  <si>
    <t>CAMPLI BIANCA</t>
  </si>
  <si>
    <t>202504115811647L</t>
  </si>
  <si>
    <t>LA CASA DEI SOGNI SOCIETA' A RESPONSABILITA LIMITATA SEMPLIFICATA</t>
  </si>
  <si>
    <t>FLMGNN82C26A662U</t>
  </si>
  <si>
    <t>FILIMBENI GIOVANNI</t>
  </si>
  <si>
    <t>FLMRFL46T10E155G</t>
  </si>
  <si>
    <t>FILIMBENI RAFFAELE</t>
  </si>
  <si>
    <t>PRSMVN51H53E155C</t>
  </si>
  <si>
    <t>PARISI MARIA VINCENZA</t>
  </si>
  <si>
    <t>INTIMO ARTU' S.R.L.</t>
  </si>
  <si>
    <t>Vari (11/04/2025)</t>
  </si>
  <si>
    <t>NGRTMS74B24A225L</t>
  </si>
  <si>
    <t>NIGRO TOMMASO</t>
  </si>
  <si>
    <t>799 - ALTRI SERVIZI DI PRENOTAZIONE E ATTIVITÀ CONNESSE</t>
  </si>
  <si>
    <t>FRNDNT40L68I907U</t>
  </si>
  <si>
    <t>FRANCHINI DONATA</t>
  </si>
  <si>
    <t>MARROCCOLI COSTRUZIONI SRL</t>
  </si>
  <si>
    <t>RGSPTR39C26E986C</t>
  </si>
  <si>
    <t>RAGUSO PIETRO</t>
  </si>
  <si>
    <t>CRNDNC48B18A225U</t>
  </si>
  <si>
    <t>CORNACCHIA DOMENICO</t>
  </si>
  <si>
    <t>ARGO S.R.L.</t>
  </si>
  <si>
    <t>202504115810476L</t>
  </si>
  <si>
    <t>TDRMFR66M60F531E</t>
  </si>
  <si>
    <t>TODARO MARIA FIORA</t>
  </si>
  <si>
    <t>202504115804169L</t>
  </si>
  <si>
    <t>PRTNCL73B22F052C</t>
  </si>
  <si>
    <t>PREITE NICOLA</t>
  </si>
  <si>
    <t>PPNDNC76P24A225Q</t>
  </si>
  <si>
    <t>PAPANGELO DOMENICO</t>
  </si>
  <si>
    <t>MNGGPP40C52F531L</t>
  </si>
  <si>
    <t>MANIGRASSO GIUSEPPA</t>
  </si>
  <si>
    <t>LMCGCH71P10A669A</t>
  </si>
  <si>
    <t>LAMACCHIA GIOACCHINO</t>
  </si>
  <si>
    <t>CPPGRD37M15F506P</t>
  </si>
  <si>
    <t>COPPOLA GERARDO</t>
  </si>
  <si>
    <t>LEONGL72C68E038E</t>
  </si>
  <si>
    <t>LEO ANGELA</t>
  </si>
  <si>
    <t>PUGLIA ALBERGHIERA S.R.L.</t>
  </si>
  <si>
    <t>202504105765582L</t>
  </si>
  <si>
    <t>PGLVTR01S56E506B</t>
  </si>
  <si>
    <t>PAGLIARO VITTORIA</t>
  </si>
  <si>
    <t>202504105771058L</t>
  </si>
  <si>
    <t>R.A.I. RICAMBI SRL</t>
  </si>
  <si>
    <t>453 - COMMERCIO DI PARTI E ACCESSORI DI AUTOVEICOLI</t>
  </si>
  <si>
    <t>202504105765702L</t>
  </si>
  <si>
    <t>MORFINI S.P.A.</t>
  </si>
  <si>
    <t>501 - TRASPORTO MARITTIMO E COSTIERO DI PASSEGGERI</t>
  </si>
  <si>
    <t>202504105771693L</t>
  </si>
  <si>
    <t>TRTVCN61D45B238W</t>
  </si>
  <si>
    <t>TORTO VINCENZA</t>
  </si>
  <si>
    <t>202504105772518L</t>
  </si>
  <si>
    <t>CLVLDN69M71L049N</t>
  </si>
  <si>
    <t>CALVIELLO LOREDANA</t>
  </si>
  <si>
    <t>RMNNGL62E13F376R</t>
  </si>
  <si>
    <t>RAIMONDI ANGELO</t>
  </si>
  <si>
    <t>ELETTROCANALI S.R.L.</t>
  </si>
  <si>
    <t>202504105765041L</t>
  </si>
  <si>
    <t>MGGLGU98L15C514B</t>
  </si>
  <si>
    <t>MAGGIO LUIGI</t>
  </si>
  <si>
    <t>202504105771698L</t>
  </si>
  <si>
    <t>Vari (10/04/2025)</t>
  </si>
  <si>
    <t>54 - Incassi diversi</t>
  </si>
  <si>
    <t>KENTROS S.R.L.</t>
  </si>
  <si>
    <t>GRFDNC60E06C632E</t>
  </si>
  <si>
    <t>GAROFALO DOMENICO</t>
  </si>
  <si>
    <t>ACMEI SUD SPA</t>
  </si>
  <si>
    <t>MOLISSO S.R.L.</t>
  </si>
  <si>
    <t>CMBNDR39T41Z110L</t>
  </si>
  <si>
    <t>COMBE ANDREE'</t>
  </si>
  <si>
    <t>SEMOLIFICIO LOIUDICE S.R.L.</t>
  </si>
  <si>
    <t>DOMINI S.R.L.</t>
  </si>
  <si>
    <t>202504105765042L</t>
  </si>
  <si>
    <t>RMNMRN91P07D508U</t>
  </si>
  <si>
    <t>RAIMONDI MARINO</t>
  </si>
  <si>
    <t>CVNRCC77E02L750M</t>
  </si>
  <si>
    <t>COVINO ROCCO</t>
  </si>
  <si>
    <t>LAOPRZ66P65F376K</t>
  </si>
  <si>
    <t>ALO' PORZIA</t>
  </si>
  <si>
    <t>202504105771603L</t>
  </si>
  <si>
    <t>CALCESTRUZZI IRPINI SPA</t>
  </si>
  <si>
    <t>236 - FABBRICAZIONE DI PRODOTTI IN CALCESTRUZZO, CEMENTO E GESSO</t>
  </si>
  <si>
    <t>CTLSVT72T30E155E</t>
  </si>
  <si>
    <t>CATALDI SALVATORE</t>
  </si>
  <si>
    <t>CTLGPP74E03A225F</t>
  </si>
  <si>
    <t>CATALDI GIUSEPPE</t>
  </si>
  <si>
    <t>RSIMSM58T28C034W</t>
  </si>
  <si>
    <t>RISI MASSIMO</t>
  </si>
  <si>
    <t>069 - STATI UNITI</t>
  </si>
  <si>
    <t>BRSVVN76B63G141P</t>
  </si>
  <si>
    <t>BARISCI VIVIANA</t>
  </si>
  <si>
    <t>Vari (09/04/2025)</t>
  </si>
  <si>
    <t>FLCLCU62E65F582L</t>
  </si>
  <si>
    <t>FALCONE LUCIA</t>
  </si>
  <si>
    <t>SPAZIO RELAX S.P.A.</t>
  </si>
  <si>
    <t>DLCGNN87S28D086S</t>
  </si>
  <si>
    <t>DE LUCA GIOVANNI</t>
  </si>
  <si>
    <t>CMTVNI89L64H579T</t>
  </si>
  <si>
    <t>COMITO IVANA</t>
  </si>
  <si>
    <t>DDMPTR53E03F052S</t>
  </si>
  <si>
    <t>ADDAMIANO PIETRO</t>
  </si>
  <si>
    <t>PZZLGU93M28B519O</t>
  </si>
  <si>
    <t>PEZZOTTA LUIGI</t>
  </si>
  <si>
    <t>PTRNTN44M03B985V</t>
  </si>
  <si>
    <t>PIETROPAOLO ANTONIO</t>
  </si>
  <si>
    <t>LRSNTN40A08A662Y</t>
  </si>
  <si>
    <t>LORUSSO ANTONIO</t>
  </si>
  <si>
    <t>BI - Erogazione finanziamento import</t>
  </si>
  <si>
    <t>AGRI VIESTI SRL</t>
  </si>
  <si>
    <t>BQ - Pagam. rimesse docum. da o per estero</t>
  </si>
  <si>
    <t>BNCMRZ68E03L049J</t>
  </si>
  <si>
    <t>BIANCHI MAURIZIO</t>
  </si>
  <si>
    <t>202504095731887L</t>
  </si>
  <si>
    <t>CDM TRASPORTI SOCIETA' COOPERATIVA</t>
  </si>
  <si>
    <t>DGSGPP76C20A662C</t>
  </si>
  <si>
    <t>DIGIESI GIUSEPPE</t>
  </si>
  <si>
    <t>BRNGPP64P17G251N</t>
  </si>
  <si>
    <t>BERNARDI GIUSEPPE</t>
  </si>
  <si>
    <t>067 - SPAGNA</t>
  </si>
  <si>
    <t>202504085725000L</t>
  </si>
  <si>
    <t>CSMCLD59H17C983P</t>
  </si>
  <si>
    <t>CUSMAI CATALDO</t>
  </si>
  <si>
    <t>259 - FABBRICAZIONE DI ALTRI PRODOTTI IN METALLO</t>
  </si>
  <si>
    <t>202504085724999L</t>
  </si>
  <si>
    <t>Vari (08/04/2025)</t>
  </si>
  <si>
    <t xml:space="preserve">U2 - Consegna / Ritiro mezzi di pagamento </t>
  </si>
  <si>
    <t>BNCTZN71R65D761O</t>
  </si>
  <si>
    <t>BIANCO TIZIANA</t>
  </si>
  <si>
    <t>LIDO S.R.L.</t>
  </si>
  <si>
    <t>681 - COMPRAVENDITA DI BENI IMMOBILI EFFETTUATA SU BENI PROPRI</t>
  </si>
  <si>
    <t>202504085668709L</t>
  </si>
  <si>
    <t>PUNTO BUS SERVICE S.R.L.</t>
  </si>
  <si>
    <t>TRIBUNALE DI FOGGIA</t>
  </si>
  <si>
    <t>202504085664989L</t>
  </si>
  <si>
    <t>ENEL ENERGIA S.P.A.</t>
  </si>
  <si>
    <t>475 - Imprese controllate dalle Amministrazioni centrali</t>
  </si>
  <si>
    <t>351 - PRODUZIONE, TRASMISSIONE E DISTRIBUZIONE DI ENERGIA ELETTRICA</t>
  </si>
  <si>
    <t>DISTRIBUZIONE ITALIA SRL</t>
  </si>
  <si>
    <t>SNTMRA48C67L049L</t>
  </si>
  <si>
    <t>SANTURINI MARIA</t>
  </si>
  <si>
    <t>NCLVCN55T22F052Q</t>
  </si>
  <si>
    <t>NICOLETTI VINCENZO</t>
  </si>
  <si>
    <t>FALLIMENTO EUROBREAD &amp; CO. S.A.S. DI MENDOZZA ROSARIA</t>
  </si>
  <si>
    <t>L'OASI - CENTRO RESIDENZA DI RIABILITAZIONE NEUROMOTORIA ANZIANI E DISABILI SRL</t>
  </si>
  <si>
    <t>PROC. ESEC. IMM. RGE 70 2016 TRIB. DI TORRE ANNUNZIATA</t>
  </si>
  <si>
    <t>FNSTMS46A55L049I</t>
  </si>
  <si>
    <t>FONSECA TOMMASINA</t>
  </si>
  <si>
    <t>202504085669361L</t>
  </si>
  <si>
    <t>DLADNC92E29A669L</t>
  </si>
  <si>
    <t>DALO' DOMENICO</t>
  </si>
  <si>
    <t>152 - FABBRICAZIONE DI CALZATURE</t>
  </si>
  <si>
    <t>BRNMCL53M09L049B</t>
  </si>
  <si>
    <t>BERNARDINI MARCELLO</t>
  </si>
  <si>
    <t>202504075610360L</t>
  </si>
  <si>
    <t>ISAIA E ISAIA S.P.A.</t>
  </si>
  <si>
    <t>Vari (07/04/2025)</t>
  </si>
  <si>
    <t>NZZDNC73T48A225O</t>
  </si>
  <si>
    <t>NUZZI DOMENICA</t>
  </si>
  <si>
    <t>ELLECI IMPIANTI S.R.L.</t>
  </si>
  <si>
    <t>202504075613823L</t>
  </si>
  <si>
    <t>451</t>
  </si>
  <si>
    <t>RI.PRO SOCIETA' COOPERATIVA SOCIALE</t>
  </si>
  <si>
    <t>881 - ASSISTENZA SOCIALE NON RESIDENZIALE PER ANZIANI E DISABILI</t>
  </si>
  <si>
    <t>202504075610573L</t>
  </si>
  <si>
    <t>ISI GROUP S.R.L.</t>
  </si>
  <si>
    <t>202504075614001L</t>
  </si>
  <si>
    <t>GABRI' PARK HOTEL S.R.L.</t>
  </si>
  <si>
    <t>202504075610582L</t>
  </si>
  <si>
    <t>MERCATONE M.D. DI MICHELE DI GIULIO E C.SAS</t>
  </si>
  <si>
    <t>202504075609692L</t>
  </si>
  <si>
    <t>202504075610820L</t>
  </si>
  <si>
    <t>MRRDTS54A01A225M</t>
  </si>
  <si>
    <t>MARROCCOLI DONATO SALVATORE</t>
  </si>
  <si>
    <t>202504075614079L</t>
  </si>
  <si>
    <t>IPER PER TE SRL</t>
  </si>
  <si>
    <t>202504075611245L</t>
  </si>
  <si>
    <t>GRAN MARKET SUD SOCIETA' A RESPONSABILITA' LIMITATA</t>
  </si>
  <si>
    <t>202504075609934L</t>
  </si>
  <si>
    <t>NORTH STAR S.R.L.</t>
  </si>
  <si>
    <t>202504075609859L</t>
  </si>
  <si>
    <t>GIAMPA' GROUP S.R.L.</t>
  </si>
  <si>
    <t>PPDMRA59H47I945V</t>
  </si>
  <si>
    <t>PAPADIA MARIA</t>
  </si>
  <si>
    <t>202504075609693L</t>
  </si>
  <si>
    <t>ESTIA SOCIETA' A RESPONSABILITA' LIMITATA</t>
  </si>
  <si>
    <t>202504075610532L</t>
  </si>
  <si>
    <t>EUROPEAN INDUSTRY S.R.L.</t>
  </si>
  <si>
    <t>202504075609896L</t>
  </si>
  <si>
    <t>ELLEBI SOCIETA' A RESPONSABILITA' LIMITATA SEMPLIFICATA</t>
  </si>
  <si>
    <t>COSTRUZIONI SVILUPPO SOCIETA' A RESPONSABILITA' LIMITATA</t>
  </si>
  <si>
    <t>202504075613806L</t>
  </si>
  <si>
    <t>RGSNTN73E30A225P</t>
  </si>
  <si>
    <t>RAGUSO ANTONIO</t>
  </si>
  <si>
    <t>202504075609766L</t>
  </si>
  <si>
    <t>202504045593742L</t>
  </si>
  <si>
    <t>TRANSPORT 68 SOCIETA' A RESPONSABILITA' LIMITATA</t>
  </si>
  <si>
    <t>SCRMRA65R65L220E</t>
  </si>
  <si>
    <t>SCORCA MARIA</t>
  </si>
  <si>
    <t>PIELLE COSTRUZIONI S.R.L.</t>
  </si>
  <si>
    <t>FARMACIA SANTA RITA DEI DOTTORI TERESA EGUST</t>
  </si>
  <si>
    <t>Vari (04/04/2025)</t>
  </si>
  <si>
    <t>LADYES S.R.L.</t>
  </si>
  <si>
    <t>VNCCLN96P58A509F</t>
  </si>
  <si>
    <t>VINCIGUERRA CAROLINA</t>
  </si>
  <si>
    <t>GESTFOOD - GESTIONE ALIMENTARE SOCIETA' A RE</t>
  </si>
  <si>
    <t>202504045555881L</t>
  </si>
  <si>
    <t>PLCNTN78C19F104V</t>
  </si>
  <si>
    <t>PLACIDO ANTONIO</t>
  </si>
  <si>
    <t>053850_126</t>
  </si>
  <si>
    <t>MTTVRN74A70L219F</t>
  </si>
  <si>
    <t>METTA VALERIA ANNA</t>
  </si>
  <si>
    <t>202504045561727L</t>
  </si>
  <si>
    <t>BCCGRZ39C46I158O</t>
  </si>
  <si>
    <t>BICCARI GRAZIA</t>
  </si>
  <si>
    <t>MTTMCR62M11L220K</t>
  </si>
  <si>
    <t>MATTIACE MERCURINO</t>
  </si>
  <si>
    <t>SQCNCL77A22C134E</t>
  </si>
  <si>
    <t>SQUICCIARINI NICOLA</t>
  </si>
  <si>
    <t>ARISTON S.P.A.</t>
  </si>
  <si>
    <t>279 - FABBRICAZIONE DI ALTRE APPARECCHIATURE ELETTRICHE</t>
  </si>
  <si>
    <t>SQCNTN46D15A225Z</t>
  </si>
  <si>
    <t>SQUICCIARINI ANTONIO</t>
  </si>
  <si>
    <t>NSANNZ36R11F537B</t>
  </si>
  <si>
    <t>NASO NUNZIO</t>
  </si>
  <si>
    <t>C.M.D. COSTRUZIONI MOTORI DIESEL S.P.A.</t>
  </si>
  <si>
    <t>256 - TRATTAMENTO E RIVESTIMENTO DEI METALLI, LAVORI DI MECCANICA GENERALE</t>
  </si>
  <si>
    <t>SRRRSO55B58H307X</t>
  </si>
  <si>
    <t>SERRAVALLO ROSA</t>
  </si>
  <si>
    <t>DPTDRD99B18E372T</t>
  </si>
  <si>
    <t>DI PETTA EDOARDO</t>
  </si>
  <si>
    <t>ENERGIE S.R.L.</t>
  </si>
  <si>
    <t>MARINGELLI ORTOFRUTTA SOCIETA' A RESPONSABIL</t>
  </si>
  <si>
    <t>MHARE S.R.L.</t>
  </si>
  <si>
    <t>721 - RICERCA E SVILUPPO SPERIMENTALE NEL CAMPO DELLE SCIENZE NATURALI E DELL'INGEGNERIA</t>
  </si>
  <si>
    <t>SLRFNC64L20F220T</t>
  </si>
  <si>
    <t>SALERNO FRANCESCO</t>
  </si>
  <si>
    <t>202504045562917L</t>
  </si>
  <si>
    <t>KRYSTL66E53Z138T</t>
  </si>
  <si>
    <t>KRYSHCHUCK SVITLANA</t>
  </si>
  <si>
    <t>PTRFCR71H12B619G</t>
  </si>
  <si>
    <t>PETRILLI FELICE ROBERTO</t>
  </si>
  <si>
    <t>PROCEDURA ESECUTIVA IMMOBILIARE N. 55 2019 TRIB. NAPOLI NORD</t>
  </si>
  <si>
    <t>LNGBRN43D02I158G</t>
  </si>
  <si>
    <t>LANGIALONGA BRUNO</t>
  </si>
  <si>
    <t>P. &amp; G. S.A.S. DI GIANNANTONIO JOLE GRAZIA E</t>
  </si>
  <si>
    <t>280 - Mediatori, agenti e consulenti di assicurazione</t>
  </si>
  <si>
    <t>662 - ATTIVITÀ AUSILIARIE DELLE ASSICURAZIONI E DEI FONDI PENSIONE</t>
  </si>
  <si>
    <t>FSNMHL77R19H096V</t>
  </si>
  <si>
    <t>FASANELLI MICHELE</t>
  </si>
  <si>
    <t>SQCRRT80R46A225N</t>
  </si>
  <si>
    <t>SQUICCIARINI ROBERTA</t>
  </si>
  <si>
    <t>BRZCRN35C71L424O</t>
  </si>
  <si>
    <t>BURZACHECHI CATERINA</t>
  </si>
  <si>
    <t>CVLNGL78R24F376R</t>
  </si>
  <si>
    <t>CAVALIERE ANGELO</t>
  </si>
  <si>
    <t>202504045566453L</t>
  </si>
  <si>
    <t>AGRUSTI &amp; C. S.R.L.</t>
  </si>
  <si>
    <t>FARMACIA ANCONA DEL DR.ANCONA ROCCO &amp; C.SOCI</t>
  </si>
  <si>
    <t>LTTMHL58D22F205F</t>
  </si>
  <si>
    <t>LATTANZIO MICHELE</t>
  </si>
  <si>
    <t xml:space="preserve">C4 - Trasferim.titoli a altro istituto(portatore) </t>
  </si>
  <si>
    <t>TRTMHL37E52B519Y</t>
  </si>
  <si>
    <t>TARTAGLIA MICHELINA</t>
  </si>
  <si>
    <t>RUMMO S.P.A. - SOCIETA' PER AZIONI</t>
  </si>
  <si>
    <t>CANTINE PAOLO LEO S.R.L.</t>
  </si>
  <si>
    <t>DYLMRA46T19H501W</t>
  </si>
  <si>
    <t>D'AYALA VALVA MARIO</t>
  </si>
  <si>
    <t>CONSORZIO PANICHI &amp; STREVER</t>
  </si>
  <si>
    <t>202504035518048L</t>
  </si>
  <si>
    <t>LNEDRN79E46L109G</t>
  </si>
  <si>
    <t>LEONE ADRIANA</t>
  </si>
  <si>
    <t>Vari (03/04/2025)</t>
  </si>
  <si>
    <t>FORM DESIGN S.R.L.</t>
  </si>
  <si>
    <t>RMNRCC81E18Z347K</t>
  </si>
  <si>
    <t>ROMANO ROCCO</t>
  </si>
  <si>
    <t>661 - ATTIVITÀ AUSILIARIE DEI SERVIZI FINANZIARI (ESCLUSE LE ASSICURAZIONI E I FONDI PENSIONE)</t>
  </si>
  <si>
    <t>FARMACIA MUMMOLO S.N.C. DI MUMMOLO NARDULLI GIUSEPPE E TOMMASO</t>
  </si>
  <si>
    <t>SOCIETA' AGRICOLA INNOVATIVA LOIUDICE S.R.L.</t>
  </si>
  <si>
    <t>NRDNTN72R11A285I</t>
  </si>
  <si>
    <t>NARDONE ANTONIO</t>
  </si>
  <si>
    <t>DCRSLL71T46A669N</t>
  </si>
  <si>
    <t>DE CARO SAMUELLA</t>
  </si>
  <si>
    <t>CASILLO PARTECIPAZIONI S.P.A.</t>
  </si>
  <si>
    <t>432 - Holding operative private</t>
  </si>
  <si>
    <t>701 - ATTIVITÀ DI DIREZIONE AZIENDALE</t>
  </si>
  <si>
    <t>CITY HOME SOCIETA A RESPONSABILITA LIMITATA</t>
  </si>
  <si>
    <t>CASA DI CURA VILLA VERDE FRANCO AUSIELLO S.R</t>
  </si>
  <si>
    <t>PHARMA CORE S.R.L.</t>
  </si>
  <si>
    <t xml:space="preserve">C2 - Trasf.titoli tra dossier(immissione) </t>
  </si>
  <si>
    <t>CPDVTI65R31C136R</t>
  </si>
  <si>
    <t>CAPODIFERRO VITO</t>
  </si>
  <si>
    <t>BTSLSU33E61C136P</t>
  </si>
  <si>
    <t>BITOSA LUISA</t>
  </si>
  <si>
    <t>Vari (02/04/2025)</t>
  </si>
  <si>
    <t>SCFLRT72E26F839C</t>
  </si>
  <si>
    <t>SCAFARELLI ALBERTO</t>
  </si>
  <si>
    <t>MNGNMR47S43F784Q</t>
  </si>
  <si>
    <t>MONGELLI ANNA MARIA</t>
  </si>
  <si>
    <t>SBRMLL58A41I922G</t>
  </si>
  <si>
    <t>SBORGIA MIRELLA</t>
  </si>
  <si>
    <t>VITTORIA CAPPELLI SOCIETA' A RESPONSABILITA'</t>
  </si>
  <si>
    <t>202504025458099L</t>
  </si>
  <si>
    <t>CENTRO RADIOLOGICO PUGLIESE S.R.L.</t>
  </si>
  <si>
    <t>869 - ALTRI SERVIZI DI ASSISTENZA SANITARIA</t>
  </si>
  <si>
    <t>DCRFNC36B24F784D</t>
  </si>
  <si>
    <t>DE CARLO FRANCESCO ANTONIO</t>
  </si>
  <si>
    <t>DMZMRA55A08C632V</t>
  </si>
  <si>
    <t>DI MUZIO MARIO</t>
  </si>
  <si>
    <t>053850_266</t>
  </si>
  <si>
    <t>NLLCML74E67F537B</t>
  </si>
  <si>
    <t>ANELLO CARMELA</t>
  </si>
  <si>
    <t>BVVPRZ65R53G722T</t>
  </si>
  <si>
    <t>BEVEVINO PATRIZIA</t>
  </si>
  <si>
    <t>CPTBNT39S19G252P</t>
  </si>
  <si>
    <t>CAPUTO BENITO</t>
  </si>
  <si>
    <t>Vari (01/04/2025)</t>
  </si>
  <si>
    <t>FARMACIA BUCCARELLI DI BUCCARELLI VINCENZO &amp;</t>
  </si>
  <si>
    <t>EDIL POLI SOCIETA' A RESPONSABILITA' LIMITAT</t>
  </si>
  <si>
    <t>CPRGPP51L15E038H</t>
  </si>
  <si>
    <t>CAPURSO GIUSEPPE</t>
  </si>
  <si>
    <t>202504015377338L</t>
  </si>
  <si>
    <t>BARRACUDA S.A.S. DI DIROMA LEONARDO &amp; C.</t>
  </si>
  <si>
    <t>476 - COMMERCIO AL DETTAGLIO DI ARTICOLI CULTURALI E RICREATIVI IN ESERCIZI SPECIALIZZATI</t>
  </si>
  <si>
    <t xml:space="preserve">29 - Accrediti o incasso RI.BA. </t>
  </si>
  <si>
    <t>LRSNTN88P06A225I</t>
  </si>
  <si>
    <t>LOLLY &amp; CO. S.R.L.</t>
  </si>
  <si>
    <t>LNZGPP72C63E243R</t>
  </si>
  <si>
    <t>LEONZIO GIUSEPPINA</t>
  </si>
  <si>
    <t>MUPU SOCIETA' A RESPONSABILITA' LIMITATASEMPLIFICATA</t>
  </si>
  <si>
    <t>960 - ALTRE ATTIVITÀ DI SERVIZI PER LA PERSONA</t>
  </si>
  <si>
    <t>090 - LIECHTENSTEIN</t>
  </si>
  <si>
    <t>CRFGPP48C20F842N</t>
  </si>
  <si>
    <t>CARAFA GIUSEPPE</t>
  </si>
  <si>
    <t>CTLCCF50E43F842C</t>
  </si>
  <si>
    <t>CATALDI CROCEFISSA</t>
  </si>
  <si>
    <t>202504015412296L</t>
  </si>
  <si>
    <t>SIET IMPIANTI SOCIETA' A RESPONSABILITA'LIMI</t>
  </si>
  <si>
    <t>MMLNTN47A42L328J</t>
  </si>
  <si>
    <t>MEMOLI ANTONIA</t>
  </si>
  <si>
    <t>RSTFNC34T12I907O</t>
  </si>
  <si>
    <t>ROSATO FRANCESCO</t>
  </si>
  <si>
    <t>FORMAT DISTRIBUZIONE SOCIETA' A RESPONSABILI</t>
  </si>
  <si>
    <t>F. DIVELLA S.P.A.</t>
  </si>
  <si>
    <t>LDCMLR60M60A225B</t>
  </si>
  <si>
    <t>LOIUDICE MARIA LAURA</t>
  </si>
  <si>
    <t>SMNNTN59T13A225S</t>
  </si>
  <si>
    <t>SIMONE ANTONIO</t>
  </si>
  <si>
    <t>DIEMME COSTRUZIONI S.R.L.</t>
  </si>
  <si>
    <t>ORTOCOM PRENCIPE S.R.L.</t>
  </si>
  <si>
    <t>MEDICAL SOLUTIONS &amp; CONSULTING S.R.L.</t>
  </si>
  <si>
    <t>COMALSUR S.R.L.</t>
  </si>
  <si>
    <t>TECNOPACK S.R.L.</t>
  </si>
  <si>
    <t>AZIENDA AGRICOLA LA CORTE - SOCIETA' AGRICOL</t>
  </si>
  <si>
    <t>PRESTITOSI' AUTOMOTIVE S.R.L.</t>
  </si>
  <si>
    <t>284 - Altri ausiliari finanziari</t>
  </si>
  <si>
    <t>CURCIO SERVICE SRL</t>
  </si>
  <si>
    <t>4 M.M. S.R.L.</t>
  </si>
  <si>
    <t>I DUE MARI - SOCIETA' COOPERATIVA</t>
  </si>
  <si>
    <t>032 - ACQUACOLTURA</t>
  </si>
  <si>
    <t>PUBBLIVITA SRL</t>
  </si>
  <si>
    <t>731 - PUBBLICITÀ</t>
  </si>
  <si>
    <t>BANCA POPOLARE DI PUGLIA E BASILICATA SOCIETA' COOPERATIVA PER AZIONI</t>
  </si>
  <si>
    <t>245 - Sistema bancario</t>
  </si>
  <si>
    <t>641 - INTERMEDIAZIONE MONETARIA</t>
  </si>
  <si>
    <t>FREZZA LEGNAMI S.P.A.</t>
  </si>
  <si>
    <t>SANNIOLAT S.R.L.</t>
  </si>
  <si>
    <t>EMMEFFEDI CAR S.R.L.</t>
  </si>
  <si>
    <t>282 - FABBRICAZIONE DI ALTRE MACCHINE DI IMPIEGO GENERALE</t>
  </si>
  <si>
    <t>WORK START SOCIETA' COOPERATIVA A R.L.</t>
  </si>
  <si>
    <t>DRANNL95E23G786D</t>
  </si>
  <si>
    <t>D'AURIA ANTONELLO</t>
  </si>
  <si>
    <t>LA SCUDERIA S.R.L.S.</t>
  </si>
  <si>
    <t>TERRE DELLA LUCE SOCIETA' COOPERATIVA AGRICOLA</t>
  </si>
  <si>
    <t>01132 - Coltivazione di ortaggi (inclusi i meloni) in foglia, a fusto, a frutto, in radici, bulbi e tuberi in colture protette (escluse barbabietola da zucchero e patate)</t>
  </si>
  <si>
    <t>3514 - Commercio di energia elettrica</t>
  </si>
  <si>
    <t>CO.IMM. SOCIETA' A RESPONSABILITA' LIMITATA</t>
  </si>
  <si>
    <t>412000 - Costruzione di edifici residenziali e non residenziali</t>
  </si>
  <si>
    <t>CEREAL - FER SEMENTI DI PANTONE DOMENICO&amp; C.</t>
  </si>
  <si>
    <t>016401 - Pulitura e cernita di semi e granaglie</t>
  </si>
  <si>
    <t>CANTINE DUE PALME - SOCIETA' COOPERATIVAAGRI</t>
  </si>
  <si>
    <t>0121 - Coltivazione di uva</t>
  </si>
  <si>
    <t>47911 - Commercio al dettaglio di qualsiasi tipo di prodotto effettuato via internet</t>
  </si>
  <si>
    <t>Vari (31/05/2025)</t>
  </si>
  <si>
    <t>202505307686251L</t>
  </si>
  <si>
    <t>202505307685713L</t>
  </si>
  <si>
    <t>TRANSPORT 68 SOCIETA' A RESPONSABILITA' LIMI</t>
  </si>
  <si>
    <t xml:space="preserve">C5 - Immiss.dossier titoli a fronte c/c diversam.intestato(portatore) </t>
  </si>
  <si>
    <t>BNRVTI67A19E469T</t>
  </si>
  <si>
    <t>BONORA VITO</t>
  </si>
  <si>
    <t>RCGSVT67E01L049K</t>
  </si>
  <si>
    <t>RACUGNO SALVATORE</t>
  </si>
  <si>
    <t>Vari (30/05/2025)</t>
  </si>
  <si>
    <t>GRCPTR78P05E986Q</t>
  </si>
  <si>
    <t>GRECO PIETRO</t>
  </si>
  <si>
    <t>STUDIO ASSOCIATO NOTAI ALFREDO CILLO-MARIA E</t>
  </si>
  <si>
    <t>FALLIMENTO N. 99 2022 CENTRO ESTER ASSOCIAZIONE IN PARTECIPAZIONE</t>
  </si>
  <si>
    <t>85 - ISTRUZIONE</t>
  </si>
  <si>
    <t>MJ MOTOR'S SRL</t>
  </si>
  <si>
    <t>454 - COMMERCIO, MANUTENZIONE E RIPARAZIONE DI MOTOCICLI E RELATIVE PARTI ED ACCESSORI</t>
  </si>
  <si>
    <t>DRGNGL28E60L049O</t>
  </si>
  <si>
    <t>DRAGONE ANGELA</t>
  </si>
  <si>
    <t>202505307656586L</t>
  </si>
  <si>
    <t>AUT LIVELL SOCIETA' A RESPONSABILITA' LIMITATA</t>
  </si>
  <si>
    <t>ARCA NORD SALENTO</t>
  </si>
  <si>
    <t>178 - Altre amministrazioni locali</t>
  </si>
  <si>
    <t>841 - AMMINISTRAZIONE PUBBLICA: AMMINISTRAZIONE GENERALE, ECONOMICA E SOCIALE</t>
  </si>
  <si>
    <t>FARMACIA SANT'ELIA SOCIETA' A RESPONSABILITA</t>
  </si>
  <si>
    <t>GSLFNC46T43G712D</t>
  </si>
  <si>
    <t>GESUALDI FRANCA LUCIANA</t>
  </si>
  <si>
    <t>053850_135</t>
  </si>
  <si>
    <t>CESAR SPA</t>
  </si>
  <si>
    <t>SVRNGL37L67B520I</t>
  </si>
  <si>
    <t>SAVARINO ANGELA</t>
  </si>
  <si>
    <t>VNBDNC68D02Z401N</t>
  </si>
  <si>
    <t>VIENIBENE DOMENICO</t>
  </si>
  <si>
    <t>478 - COMMERCIO AL DETTAGLIO AMBULANTE</t>
  </si>
  <si>
    <t xml:space="preserve">F3 - Cambio assegni tratti su altro intermediario </t>
  </si>
  <si>
    <t>NTNMGS63M54E155U</t>
  </si>
  <si>
    <t>ANTONUCCI MARIA GIUSEPPE</t>
  </si>
  <si>
    <t>BLLGPP37S03E038V</t>
  </si>
  <si>
    <t>BELLACICCO GIUSEPPE</t>
  </si>
  <si>
    <t>LBNMHL57B04A662Q</t>
  </si>
  <si>
    <t>LABIANCA MICHELE</t>
  </si>
  <si>
    <t>FARMACIE SANTA RITA S.R.L.</t>
  </si>
  <si>
    <t>FEELING MODE SOCIETA' A RESPONSABILITA' LIMI</t>
  </si>
  <si>
    <t>202505307646304L</t>
  </si>
  <si>
    <t>EDIL CMC SOCIETA' A RESPONSABILITA' LIMITATA</t>
  </si>
  <si>
    <t>AGERAPUGLIA SOCIETA' SEMPLICE SOCIETA' AGRIC</t>
  </si>
  <si>
    <t>BLDGRN57A20I148W</t>
  </si>
  <si>
    <t>BALDASSARRE GUERINO</t>
  </si>
  <si>
    <t>RTSMCR57P69I148Y</t>
  </si>
  <si>
    <t>ARTESE MARIA CRISTINA</t>
  </si>
  <si>
    <t>STMNRC53C03E155S</t>
  </si>
  <si>
    <t>STIMOLA ENRICO</t>
  </si>
  <si>
    <t>FRNGTT54P52A662P</t>
  </si>
  <si>
    <t>FRANCIOSO GIUDITTA</t>
  </si>
  <si>
    <t>DGRRTI62A65D763A</t>
  </si>
  <si>
    <t>DI GIROLAMO RITA</t>
  </si>
  <si>
    <t>SVNLRD54R52F052W</t>
  </si>
  <si>
    <t>SAVINO LEONARDA</t>
  </si>
  <si>
    <t>MRTGNN61D54E155R</t>
  </si>
  <si>
    <t>MARTINELLI GIOVANNA</t>
  </si>
  <si>
    <t>GMPMLB49M63L477K</t>
  </si>
  <si>
    <t>GIAMPIETRO MARIA LIBERATA</t>
  </si>
  <si>
    <t>MRTTMS65H22E155O</t>
  </si>
  <si>
    <t>MARTINELLI TOMMASO</t>
  </si>
  <si>
    <t>NCMGPP42S17A225V</t>
  </si>
  <si>
    <t>INCAMPO GIUSEPPE</t>
  </si>
  <si>
    <t>MRTNLN67E09E155X</t>
  </si>
  <si>
    <t>MARTINELLI NICOLANTONIO</t>
  </si>
  <si>
    <t>NVLCLN78C53L049N</t>
  </si>
  <si>
    <t>NOVELLINO CAROLINA</t>
  </si>
  <si>
    <t>LRCGCH48P15A662A</t>
  </si>
  <si>
    <t>LARICCHIUTA GIOACCHINO</t>
  </si>
  <si>
    <t>DFNNMR43R71A225X</t>
  </si>
  <si>
    <t>DIFONZO ANNA MARIA GERONIMA</t>
  </si>
  <si>
    <t>PPULCN79E29F537D</t>
  </si>
  <si>
    <t>PUPO LUCIANO</t>
  </si>
  <si>
    <t>161 - TAGLIO E PIALLATURA DEL LEGNO</t>
  </si>
  <si>
    <t>GIUSEPPE VACCA OLII - S.R.L.</t>
  </si>
  <si>
    <t>GLARCH S.R.L.</t>
  </si>
  <si>
    <t>FIGLI MICHELE ANGIULI S.R.L.</t>
  </si>
  <si>
    <t>Vari (29/05/2025)</t>
  </si>
  <si>
    <t>DPLMHL81D26B519Q</t>
  </si>
  <si>
    <t>DE PAOLA MICHELE</t>
  </si>
  <si>
    <t>202505297583357L</t>
  </si>
  <si>
    <t>202505297587181L</t>
  </si>
  <si>
    <t>NEARTH TARTUFI S.R.L.</t>
  </si>
  <si>
    <t>202505297585019L</t>
  </si>
  <si>
    <t>053850_173</t>
  </si>
  <si>
    <t>202505297586364L</t>
  </si>
  <si>
    <t>M2 EVOLUTION CAR S.R.L.</t>
  </si>
  <si>
    <t>VGNFNC64H01D862C</t>
  </si>
  <si>
    <t>FALLIMENTO VIGNERI FRANCESCO</t>
  </si>
  <si>
    <t>CMMMRA50A57A225H</t>
  </si>
  <si>
    <t>CAMMISA MARIA</t>
  </si>
  <si>
    <t>202505287567276L</t>
  </si>
  <si>
    <t>LNTMHL42M17A669E</t>
  </si>
  <si>
    <t>LANOTTE MICHELE</t>
  </si>
  <si>
    <t>202505287572724L</t>
  </si>
  <si>
    <t>VLNMRA39D49A509N</t>
  </si>
  <si>
    <t>VALENTINO MARIA</t>
  </si>
  <si>
    <t>Vari (28/05/2025)</t>
  </si>
  <si>
    <t>LNCMHL98S51F104S</t>
  </si>
  <si>
    <t>LANCELLOTTI MICHELA</t>
  </si>
  <si>
    <t>CNTFNC90R31A883V</t>
  </si>
  <si>
    <t>CONTO' FRANCESCO PAOLO</t>
  </si>
  <si>
    <t>PSQCCT46D64L328Z</t>
  </si>
  <si>
    <t>PASQUADIBISCEGLIE CONCETTA</t>
  </si>
  <si>
    <t>DRRPQL78S17G964F</t>
  </si>
  <si>
    <t>D'ERRICO PASQUALE</t>
  </si>
  <si>
    <t>202505287569197L</t>
  </si>
  <si>
    <t>202505287567239L</t>
  </si>
  <si>
    <t>PSCVTI61R20D643V</t>
  </si>
  <si>
    <t>PISCOPIELLO VITO</t>
  </si>
  <si>
    <t>CRCFNC38E24L328Y</t>
  </si>
  <si>
    <t>CURCI FRANCESCO</t>
  </si>
  <si>
    <t>SQCGCM49T18A225Y</t>
  </si>
  <si>
    <t>SQUICCIARINI GIACOMO</t>
  </si>
  <si>
    <t>CLVDNC48T23D811K</t>
  </si>
  <si>
    <t>COLAVECCHIO DOMENICANTONIO</t>
  </si>
  <si>
    <t>CFGNTN99M15A669N</t>
  </si>
  <si>
    <t>CAFAGNA ANTONIO</t>
  </si>
  <si>
    <t>ACCIAIERIE VALBRUNA S.P.A.</t>
  </si>
  <si>
    <t>241 - SIDERURGIA</t>
  </si>
  <si>
    <t>DPLGPP54R18Z110S</t>
  </si>
  <si>
    <t>DI PALMA GIUSEPPE FRANCO</t>
  </si>
  <si>
    <t>DSNVCN58A24D969M</t>
  </si>
  <si>
    <t>DE SANTIS VINCENZO</t>
  </si>
  <si>
    <t>LGLMHL80H12A662S</t>
  </si>
  <si>
    <t>LOGLISCI MICHELE</t>
  </si>
  <si>
    <t>LGLGPP48S28E155G</t>
  </si>
  <si>
    <t>LOGLISCI GIUSEPPE DOMENICO</t>
  </si>
  <si>
    <t>BNRSFN73D16E469S</t>
  </si>
  <si>
    <t>BONORA STEFANO</t>
  </si>
  <si>
    <t>DSNMRC46S64E155B</t>
  </si>
  <si>
    <t>DESIANTE MARIA ARCANGELA</t>
  </si>
  <si>
    <t>NTNNTN56R59E038X</t>
  </si>
  <si>
    <t>INTINO ANTONIA</t>
  </si>
  <si>
    <t>CPNMRA55B67A669N</t>
  </si>
  <si>
    <t>CAPUANO MARIA</t>
  </si>
  <si>
    <t>Vari (27/05/2025)</t>
  </si>
  <si>
    <t>TMBMRA40L51A225G</t>
  </si>
  <si>
    <t>TAMBORRA MARIA</t>
  </si>
  <si>
    <t>HIGH PERFORMANCE BUILDINGS S.R.L.</t>
  </si>
  <si>
    <t>MNNPQL67E25A662Z</t>
  </si>
  <si>
    <t>MININNI JANNUZZI PASQUALE</t>
  </si>
  <si>
    <t>202505277500727L</t>
  </si>
  <si>
    <t>CVLFNC90R16E205U</t>
  </si>
  <si>
    <t>CAVALLO FRANCESCO</t>
  </si>
  <si>
    <t>DMTTZN67D69L682B</t>
  </si>
  <si>
    <t>DE MATTIA TIZIANA</t>
  </si>
  <si>
    <t>CSNDNC73R28A225H</t>
  </si>
  <si>
    <t>CASANOVA DOMENICO</t>
  </si>
  <si>
    <t>DI GIAMPAOLO S.R.L.</t>
  </si>
  <si>
    <t>DGRGNN46L06L263T</t>
  </si>
  <si>
    <t>DI GIROLAMO GIOVANNI</t>
  </si>
  <si>
    <t>PTRNNA69R50L219J</t>
  </si>
  <si>
    <t>PETRUZZI ANNA</t>
  </si>
  <si>
    <t>LCNLSN01B11F537Z</t>
  </si>
  <si>
    <t>LUCIANO ALESSANDRO FRANCESCO</t>
  </si>
  <si>
    <t>DGRLNS95R13C349Q</t>
  </si>
  <si>
    <t>DI GREGORIO ALFONSO JUNIOR OSCAR</t>
  </si>
  <si>
    <t>P.L.P. COSTRUZIONI S.R.L.</t>
  </si>
  <si>
    <t>RGNLCN60T21L049B</t>
  </si>
  <si>
    <t>RAGNATELA LUCIANO</t>
  </si>
  <si>
    <t>LZZDRN84C50A662G</t>
  </si>
  <si>
    <t>LOIZZO DORIANA</t>
  </si>
  <si>
    <t>202505267434058L</t>
  </si>
  <si>
    <t>LDCMRA31R70A225Y</t>
  </si>
  <si>
    <t>LOIUDICE MARIA</t>
  </si>
  <si>
    <t>Vari (26/05/2025)</t>
  </si>
  <si>
    <t>PCANCL49A06E326T</t>
  </si>
  <si>
    <t>PACE NICOLA</t>
  </si>
  <si>
    <t>FBRLLN67M58A485O</t>
  </si>
  <si>
    <t>FABRIZIO ELISA ELENA</t>
  </si>
  <si>
    <t>MNFNNA72H68Z614G</t>
  </si>
  <si>
    <t>MANFREDI ANNA</t>
  </si>
  <si>
    <t>LLCMRC56P64E326D</t>
  </si>
  <si>
    <t>LOLAICO MARIA ARCANGELA</t>
  </si>
  <si>
    <t>FRRRCC79B23A662T</t>
  </si>
  <si>
    <t>FERRI ROCCO</t>
  </si>
  <si>
    <t>CORBUILD SOCIETA' A RESPONSABILITA' LIMITATA</t>
  </si>
  <si>
    <t>FRRGTT97R50E372M</t>
  </si>
  <si>
    <t>FERRARA GIUDITTA</t>
  </si>
  <si>
    <t>MRNFBN76S13E058P</t>
  </si>
  <si>
    <t>MARINI FABIANO</t>
  </si>
  <si>
    <t>FNCTNA71L63Z614Z</t>
  </si>
  <si>
    <t>FINOCCHIO TANIA</t>
  </si>
  <si>
    <t>CFLNNT82B41A783T</t>
  </si>
  <si>
    <t>CIFELLI ANTONIETTA</t>
  </si>
  <si>
    <t>202505267441634L</t>
  </si>
  <si>
    <t>CLNMRA67T58C514L</t>
  </si>
  <si>
    <t>COLONNA MARIA</t>
  </si>
  <si>
    <t>SPNMSM70B28G482T</t>
  </si>
  <si>
    <t>SPINOZZI MASSIMILIANO</t>
  </si>
  <si>
    <t>202505267441633L</t>
  </si>
  <si>
    <t>TRIBUNALE DI CHIETI</t>
  </si>
  <si>
    <t>842 - SERVIZI COLLETTIVI DELLE AMMINISTRAZIONI PUBBLICHE</t>
  </si>
  <si>
    <t>MSTGLN96S63A662V</t>
  </si>
  <si>
    <t>MASTROGIACOMO GIULIANA</t>
  </si>
  <si>
    <t>DFBVCN54A21F498J</t>
  </si>
  <si>
    <t>DI FABIO VINCENZO</t>
  </si>
  <si>
    <t>CCLVCN93L17E155O</t>
  </si>
  <si>
    <t>CIACIULLI VINCENZO</t>
  </si>
  <si>
    <t>BCCCMN59A17L218N</t>
  </si>
  <si>
    <t>BOCCHINI CARMINE ANTONIO</t>
  </si>
  <si>
    <t>CPLMNL92L25E372C</t>
  </si>
  <si>
    <t>CUPAIOLO EMANUELE</t>
  </si>
  <si>
    <t>LCNNCL57L02L328T</t>
  </si>
  <si>
    <t>LOCONTE NICOLA</t>
  </si>
  <si>
    <t>PTTLMP50S41I158L</t>
  </si>
  <si>
    <t>PETITTI OLIMPIA</t>
  </si>
  <si>
    <t>DGSDNC47A04E155U</t>
  </si>
  <si>
    <t>DIGIESI DOMENICO</t>
  </si>
  <si>
    <t>BRNCST82R54L049U</t>
  </si>
  <si>
    <t>BERNARDINI CRISTINA</t>
  </si>
  <si>
    <t>TTVMRZ71E02E372N</t>
  </si>
  <si>
    <t>OTTAVIANO MAURIZIO</t>
  </si>
  <si>
    <t>MNCDBR75E54F839T</t>
  </si>
  <si>
    <t>MONACO DEBORA</t>
  </si>
  <si>
    <t>TRLMTT49B09I054M</t>
  </si>
  <si>
    <t>TORELLI MATTEO</t>
  </si>
  <si>
    <t>PGNCNZ70A48L049Y</t>
  </si>
  <si>
    <t>PIGNATELLI CINZIA</t>
  </si>
  <si>
    <t>PGNGDE68A07L049U</t>
  </si>
  <si>
    <t>PIGNATELLI EGIDIO</t>
  </si>
  <si>
    <t>DRGSVN59H63L328P</t>
  </si>
  <si>
    <t>DRAGONETTI SAVINA</t>
  </si>
  <si>
    <t>ZZLLSN93R60L049I</t>
  </si>
  <si>
    <t>AZZOLLINI ALESSANDRA</t>
  </si>
  <si>
    <t>Vari (23/05/2025)</t>
  </si>
  <si>
    <t>LVRNNA54C57L049R</t>
  </si>
  <si>
    <t>OLIVIERI ANNA</t>
  </si>
  <si>
    <t>CASA DEL DETERSIVO DI BIANCO MARIA &amp; C. S.A.S.</t>
  </si>
  <si>
    <t>202505237390665L</t>
  </si>
  <si>
    <t>PRSMNG69T52E435R</t>
  </si>
  <si>
    <t>PERSICHITTI MARINA GABRIELLA</t>
  </si>
  <si>
    <t>MNCGNN73D20E038C</t>
  </si>
  <si>
    <t>MANCINO GIOVANNI</t>
  </si>
  <si>
    <t>PTRGLD26S43Z326W</t>
  </si>
  <si>
    <t>PETRUZZI GILDA</t>
  </si>
  <si>
    <t>RNLLGU45M03C514F</t>
  </si>
  <si>
    <t>RINALDI LUIGI</t>
  </si>
  <si>
    <t>ORGANIZZAZIONE DI PRODUTTORI PUGLIAVIVA - SO</t>
  </si>
  <si>
    <t>DMBVCN42M49L219U</t>
  </si>
  <si>
    <t>D'AMBROSIO VINCENZINA</t>
  </si>
  <si>
    <t>COGNETTI S.A.S. DI FUSCO TERESA</t>
  </si>
  <si>
    <t>LROTRS78P64A225K</t>
  </si>
  <si>
    <t>LORE TERESA</t>
  </si>
  <si>
    <t>202505237391215L</t>
  </si>
  <si>
    <t>TRNDMN49R07A893H</t>
  </si>
  <si>
    <t>TARANTINO DAMIANO</t>
  </si>
  <si>
    <t>CLZVNC74H44C136X</t>
  </si>
  <si>
    <t>COLIZZI VERONICA</t>
  </si>
  <si>
    <t>CLAMHL78P18A225V</t>
  </si>
  <si>
    <t>CALIA MICHELE</t>
  </si>
  <si>
    <t>PRSDDR35E69L218N</t>
  </si>
  <si>
    <t>PRESENZA DESIDERIA</t>
  </si>
  <si>
    <t>DBRDGI68C17A662K</t>
  </si>
  <si>
    <t>DI BARI DIEGO</t>
  </si>
  <si>
    <t>MNSPDN34T55F915F</t>
  </si>
  <si>
    <t>MANSUETO PRUDENZIA</t>
  </si>
  <si>
    <t>Vari (22/05/2025)</t>
  </si>
  <si>
    <t>053850_156</t>
  </si>
  <si>
    <t>DSNFNC37D24I954R</t>
  </si>
  <si>
    <t>DISANTO FRANCESCO</t>
  </si>
  <si>
    <t>BA - Vendita a prodotti titoli e diritti d'opzione</t>
  </si>
  <si>
    <t>202505227343428L</t>
  </si>
  <si>
    <t>NGLDNT52B02A055H</t>
  </si>
  <si>
    <t>ANGIULI DONATO</t>
  </si>
  <si>
    <t>PZZNTN80R28A662J</t>
  </si>
  <si>
    <t>PIZZI ANTONIO</t>
  </si>
  <si>
    <t>CRCNTN51H05D643K</t>
  </si>
  <si>
    <t>CORCETTI ANTONIO</t>
  </si>
  <si>
    <t>202505227343997L</t>
  </si>
  <si>
    <t>S.A.P. COSTRUZIONI SRL</t>
  </si>
  <si>
    <t>202505227344075L</t>
  </si>
  <si>
    <t>TTDMLS55R48D643W</t>
  </si>
  <si>
    <t>ATTADEMO MARIA LUISA</t>
  </si>
  <si>
    <t>202505227343980L</t>
  </si>
  <si>
    <t>SLRNNT44B59I954J</t>
  </si>
  <si>
    <t>SALERNO ANTONIETTA</t>
  </si>
  <si>
    <t>RMOFNC71T10G722S</t>
  </si>
  <si>
    <t>ROMEO FRANCESCO</t>
  </si>
  <si>
    <t>FALLIMENTO AGRICOLA ZAPPONETA S.R.L.</t>
  </si>
  <si>
    <t>202505227344015L</t>
  </si>
  <si>
    <t>ZEROTF S.R.L.</t>
  </si>
  <si>
    <t>CCCMNL89C07H5L1G</t>
  </si>
  <si>
    <t>COCCO EMANUELE</t>
  </si>
  <si>
    <t>DSNPTR73A29L049Q</t>
  </si>
  <si>
    <t>DI SANTO PIETRO</t>
  </si>
  <si>
    <t>202505227342260L</t>
  </si>
  <si>
    <t>026 - ETIOPIA</t>
  </si>
  <si>
    <t>INSIEME PER L'AFRICA - ONLUS</t>
  </si>
  <si>
    <t>CRPVCN75D30F537F</t>
  </si>
  <si>
    <t>CRUPI VINCENZO VALTER</t>
  </si>
  <si>
    <t>202505217341646L</t>
  </si>
  <si>
    <t>Vari (21/05/2025)</t>
  </si>
  <si>
    <t>MANUKA S.R.L.</t>
  </si>
  <si>
    <t>202505217304233L</t>
  </si>
  <si>
    <t>GDLSST82R07A883V</t>
  </si>
  <si>
    <t>GADALETA SEBASTIANO</t>
  </si>
  <si>
    <t>DMNFMN36D46E882U</t>
  </si>
  <si>
    <t>DIMONOPOLI FILOMENA</t>
  </si>
  <si>
    <t>RCCDNC50C23F915D</t>
  </si>
  <si>
    <t>RECCHIA DOMENICO</t>
  </si>
  <si>
    <t>DRNBBR82A64L219H</t>
  </si>
  <si>
    <t>DORONZO BARBARA</t>
  </si>
  <si>
    <t>202505217313268L</t>
  </si>
  <si>
    <t>202505217304232L</t>
  </si>
  <si>
    <t>LGNGNR42S07E147I</t>
  </si>
  <si>
    <t>LAGONIGRO GENNARO</t>
  </si>
  <si>
    <t>202505207235321L</t>
  </si>
  <si>
    <t>PLNFNC07C24A225B</t>
  </si>
  <si>
    <t>PLANTAMURA FRANCESCO</t>
  </si>
  <si>
    <t>MRCCLL71M15E155Z</t>
  </si>
  <si>
    <t>MARCULLI CAMILLO</t>
  </si>
  <si>
    <t>202505207242755L</t>
  </si>
  <si>
    <t>L'ARTIGIANO DELLA NDUJA S.R.L.</t>
  </si>
  <si>
    <t>DNLLBT66S58Z133Q</t>
  </si>
  <si>
    <t>DINELLA ELISABETTA</t>
  </si>
  <si>
    <t>Vari (20/05/2025)</t>
  </si>
  <si>
    <t>BELLUCCI S.A.S DI TUFARELLI MARIA PATRIZIA &amp;</t>
  </si>
  <si>
    <t>LOGIKOMNIA S.R.L.</t>
  </si>
  <si>
    <t>900 - ATTIVITÀ CREATIVE, ARTISTICHE E DI INTRATTENIMENTO</t>
  </si>
  <si>
    <t>RSCVTI83H23L328F</t>
  </si>
  <si>
    <t>RISUCCI VITO</t>
  </si>
  <si>
    <t>CCCCTA05S59A048S</t>
  </si>
  <si>
    <t>CACCIOPPOLI CATIA</t>
  </si>
  <si>
    <t>SPNMRZ69T41A048C</t>
  </si>
  <si>
    <t>SAPONE MARZIA</t>
  </si>
  <si>
    <t>202505207240311L</t>
  </si>
  <si>
    <t>CARONE GIACOMA S.R.L.</t>
  </si>
  <si>
    <t>BRZVCN48A62F220R</t>
  </si>
  <si>
    <t>BRIZZI VINCENZA</t>
  </si>
  <si>
    <t>PNTMRS43L49I158L</t>
  </si>
  <si>
    <t>PINTO MARIA ROSARIA</t>
  </si>
  <si>
    <t>TLSPRN65M05A482Q</t>
  </si>
  <si>
    <t>TELESCA PIETRO ANTONIO</t>
  </si>
  <si>
    <t>202505207237026L</t>
  </si>
  <si>
    <t>202505207242753L</t>
  </si>
  <si>
    <t>ENTERPRISE DIGITAL SOLUTIONS SRL</t>
  </si>
  <si>
    <t xml:space="preserve">C1 - Trasferim.titoli tra dossier(uscita) </t>
  </si>
  <si>
    <t>BRNGNN47H26E155S</t>
  </si>
  <si>
    <t>BRUNO GIOVANNI</t>
  </si>
  <si>
    <t>PELMA SOCIETA' A RESPONSABILITA' LIMITATA SEMPLIFICATA</t>
  </si>
  <si>
    <t>Vari (19/05/2025)</t>
  </si>
  <si>
    <t>MRMFNC67T15E155W</t>
  </si>
  <si>
    <t>MORAMARCO FRANCESCO</t>
  </si>
  <si>
    <t>DDNGNN66R41L425H</t>
  </si>
  <si>
    <t>ADDANTE GIOVANNA</t>
  </si>
  <si>
    <t>SUPERMERCATI LELLA SOCIETA' A RESPONSABILITA</t>
  </si>
  <si>
    <t>202505197175517L</t>
  </si>
  <si>
    <t>202505197180093L</t>
  </si>
  <si>
    <t>NZZMDL53D45A225C</t>
  </si>
  <si>
    <t>NUZZOLESE MADDALENA</t>
  </si>
  <si>
    <t>DMDPTR85R24B619X</t>
  </si>
  <si>
    <t>DI MODUGNO PIETRO</t>
  </si>
  <si>
    <t>202505197179782L</t>
  </si>
  <si>
    <t>CCEMDL41A41F284K</t>
  </si>
  <si>
    <t>CECI MADDALENA</t>
  </si>
  <si>
    <t>202505197179785L</t>
  </si>
  <si>
    <t>FARMACIA SANT'ANDREA S.R.L.</t>
  </si>
  <si>
    <t>DAGEL MANGIMI SRL</t>
  </si>
  <si>
    <t>SQCRNN94T50E155U</t>
  </si>
  <si>
    <t>SQUICCIARINO ARIANNA</t>
  </si>
  <si>
    <t>202505197178620L</t>
  </si>
  <si>
    <t>LPRSMN62B17L425Q</t>
  </si>
  <si>
    <t>LOPRIORE SIMONE</t>
  </si>
  <si>
    <t>NEWAGE S.P.A.</t>
  </si>
  <si>
    <t>SPNNGL66S49E155K</t>
  </si>
  <si>
    <t>SPANO ANGELA</t>
  </si>
  <si>
    <t>SCHFNC89M20F052T</t>
  </si>
  <si>
    <t>SCHINCO FRANCESCO</t>
  </si>
  <si>
    <t>DPRRSO87M71H096A</t>
  </si>
  <si>
    <t>D'APRILE ROSA</t>
  </si>
  <si>
    <t>LTRGNN46E05A225X</t>
  </si>
  <si>
    <t>LATERZA GIOVANNI</t>
  </si>
  <si>
    <t>NUOVA ALTILIA SRL</t>
  </si>
  <si>
    <t>801 - SERVIZI DI VIGILANZA PRIVATA</t>
  </si>
  <si>
    <t>RSG PROPERTY MANAGEMENT SRLS</t>
  </si>
  <si>
    <t>COMUNE DI GRAVINA</t>
  </si>
  <si>
    <t>STMGPP65B24A662A</t>
  </si>
  <si>
    <t>STIMOLA GIUSEPPE</t>
  </si>
  <si>
    <t>Vari (18/05/2025)</t>
  </si>
  <si>
    <t>Vari (17/05/2025)</t>
  </si>
  <si>
    <t>Vari (09/05/2025)</t>
  </si>
  <si>
    <t>FARMACIA SAN PIETRO DELLE DOTT.SSE PATANO M.A. E RICCHETTI R. S.N.C.</t>
  </si>
  <si>
    <t>Vari (16/05/2025)</t>
  </si>
  <si>
    <t>PELLEGRINI S.P.A.</t>
  </si>
  <si>
    <t>562 - FORNITURA DI PASTI PREPARATI (CATERING) E ALTRI SERVIZI DI RISTORAZIONE</t>
  </si>
  <si>
    <t>CESTARO ROSSI &amp; C. - S.P.A.</t>
  </si>
  <si>
    <t>050 - PAESI BASSI</t>
  </si>
  <si>
    <t>FALLIMENTO FRATELLI BRACCIA DI BRACCIA ANTON</t>
  </si>
  <si>
    <t>VNTGNN60H13L425V</t>
  </si>
  <si>
    <t>VENTRELLA GAETANO ANTONIO</t>
  </si>
  <si>
    <t>RSSNNA50P49E882S</t>
  </si>
  <si>
    <t>ROSSETTI ANNA</t>
  </si>
  <si>
    <t>202505167124637L</t>
  </si>
  <si>
    <t>LGRDRD69A55A662X</t>
  </si>
  <si>
    <t>LEGROTTAGLIE IDA LOREDANA</t>
  </si>
  <si>
    <t>FNTVCN90L09A285V</t>
  </si>
  <si>
    <t>FINTO VINCENZO</t>
  </si>
  <si>
    <t>LDCGPP47A18A225P</t>
  </si>
  <si>
    <t>LOIUDICE GIUSEPPE</t>
  </si>
  <si>
    <t>AUTOTRASPORTI F.LLI LOMBARDI DI LOMBARDI VIN</t>
  </si>
  <si>
    <t>DNGMRT31L41F915A</t>
  </si>
  <si>
    <t>D'ONGHIA MARTA</t>
  </si>
  <si>
    <t>SPRGLM56P01A669R</t>
  </si>
  <si>
    <t>SPERA GIROLAMO</t>
  </si>
  <si>
    <t>DBNMHL60A03C514M</t>
  </si>
  <si>
    <t>DIBENEDETTO MICHELE</t>
  </si>
  <si>
    <t>DBRMHL76E10C983Y</t>
  </si>
  <si>
    <t>DI BARTOLOMEO MICHELE</t>
  </si>
  <si>
    <t>LGRRLL70A55A662I</t>
  </si>
  <si>
    <t>LEGROTTAGLIE ORNELLA ANNA</t>
  </si>
  <si>
    <t>SNRFNC60T13E986P</t>
  </si>
  <si>
    <t>SANARICA FRANCESCO</t>
  </si>
  <si>
    <t>290 - MONTENEGRO</t>
  </si>
  <si>
    <t>VESUVIOTOUR S.R.L.S.</t>
  </si>
  <si>
    <t>552 - ALLOGGI PER VACANZE E ALTRE STRUTTURE PER BREVI SOGGIORNI</t>
  </si>
  <si>
    <t>AC BOILERS S.P.A.</t>
  </si>
  <si>
    <t>GGLNNA54A57E155Q</t>
  </si>
  <si>
    <t>GIGLIO ANNA</t>
  </si>
  <si>
    <t>TRNNGL49A24E155M</t>
  </si>
  <si>
    <t>TRANQUILLINO MINERVA ANGELO</t>
  </si>
  <si>
    <t>SNNRKE69B56A952N</t>
  </si>
  <si>
    <t>SINN ERIKA</t>
  </si>
  <si>
    <t>202505157069350L</t>
  </si>
  <si>
    <t>MPALQUADRATO SOCIETA' A RESPONSABILITA' LIMI</t>
  </si>
  <si>
    <t>202505157058592L</t>
  </si>
  <si>
    <t>MTTGUO63D10H501E</t>
  </si>
  <si>
    <t>AMETTA UGO</t>
  </si>
  <si>
    <t>SPRNTN68A30E155V</t>
  </si>
  <si>
    <t>SPORTELLA ANTONIO</t>
  </si>
  <si>
    <t>QLNMHL44A22A339Z</t>
  </si>
  <si>
    <t>AQUILANO MICHELE</t>
  </si>
  <si>
    <t>STRMNC69M63A662Y</t>
  </si>
  <si>
    <t>STRIPPOLI MONICA</t>
  </si>
  <si>
    <t>DMRFNC75H48A225G</t>
  </si>
  <si>
    <t>DEMARZIO FRANCESCA</t>
  </si>
  <si>
    <t>202505157058591L</t>
  </si>
  <si>
    <t>202505157060372L</t>
  </si>
  <si>
    <t>FLRMMT35T68L220V</t>
  </si>
  <si>
    <t>FLORIO MARIA MATTEA</t>
  </si>
  <si>
    <t>Vari (15/05/2025)</t>
  </si>
  <si>
    <t>SICILIANI S.P.A. - INDUSTRIA LAVORAZIONECARN</t>
  </si>
  <si>
    <t>TROMHL60T47L049N</t>
  </si>
  <si>
    <t>TORIO MICHELINA</t>
  </si>
  <si>
    <t>SIMEONE S.P.A.</t>
  </si>
  <si>
    <t>GRVVTI30D25A225E</t>
  </si>
  <si>
    <t>GERVASIO VITO</t>
  </si>
  <si>
    <t>CLNNGL32M42A225B</t>
  </si>
  <si>
    <t>COLONNA ANGELA</t>
  </si>
  <si>
    <t>DPLRNI40R62E155R</t>
  </si>
  <si>
    <t>DIPALO IRENE</t>
  </si>
  <si>
    <t>MNLPQL72H12F839B</t>
  </si>
  <si>
    <t>MENALE PASQUALANTONIO</t>
  </si>
  <si>
    <t>DMRRLB69A45A225H</t>
  </si>
  <si>
    <t>DEMARZIO ROSALBA</t>
  </si>
  <si>
    <t>DMRGPP73H47A225Z</t>
  </si>
  <si>
    <t>DEMARZIO GIUSEPPINA</t>
  </si>
  <si>
    <t>202505157056744L</t>
  </si>
  <si>
    <t>TROMLD67P43L049E</t>
  </si>
  <si>
    <t>TORIO MATILDE</t>
  </si>
  <si>
    <t>LVRFTN39R28E479V</t>
  </si>
  <si>
    <t>ALVARO FORTUNATO</t>
  </si>
  <si>
    <t>PSTPMP40P59D005I</t>
  </si>
  <si>
    <t>PISTOIA POMPEA</t>
  </si>
  <si>
    <t>202505147038544L</t>
  </si>
  <si>
    <t>CVLCLL97D51A662J</t>
  </si>
  <si>
    <t>CAVALCANTI CAMILLA</t>
  </si>
  <si>
    <t>RGGBRT36R11A662B</t>
  </si>
  <si>
    <t>RUGGIERI UBERTO</t>
  </si>
  <si>
    <t>CVLRNI98S53A662Y</t>
  </si>
  <si>
    <t>CAVALCANTI IRENE</t>
  </si>
  <si>
    <t>CVLRFL62S13A662E</t>
  </si>
  <si>
    <t>CAVALCANTI RAFFAELE</t>
  </si>
  <si>
    <t>862 - SERVIZI DEGLI STUDI MEDICI E ODONTOIATRICI</t>
  </si>
  <si>
    <t>Vari (14/05/2025)</t>
  </si>
  <si>
    <t>IMI SUD LAMINATI S.R.L.</t>
  </si>
  <si>
    <t>DPCNMR58R59D763H</t>
  </si>
  <si>
    <t>DI PECO ANNA MARIA</t>
  </si>
  <si>
    <t>TRLNGL36L16A893M</t>
  </si>
  <si>
    <t>TERLIZZI ANGELO</t>
  </si>
  <si>
    <t>FZAGPP63P67A892K</t>
  </si>
  <si>
    <t>FAZIO GIUSEPPINA</t>
  </si>
  <si>
    <t>PRNFNC46C54B819N</t>
  </si>
  <si>
    <t>PRANDI FRANCA</t>
  </si>
  <si>
    <t>LA PULITA &amp; SERVICE S.C.R.L. COOPERATIVA DI</t>
  </si>
  <si>
    <t>202505147041628L</t>
  </si>
  <si>
    <t>ANTONIO FIORE ALIMENTARE S.R.L.</t>
  </si>
  <si>
    <t>202505147036040L</t>
  </si>
  <si>
    <t>STLPPL44L19F112K</t>
  </si>
  <si>
    <t>STILLITANI PIER PAOLO</t>
  </si>
  <si>
    <t>LRRNGL37M71A225X</t>
  </si>
  <si>
    <t>LAURIERO ANGELA</t>
  </si>
  <si>
    <t>BNCLGV45C64C134J</t>
  </si>
  <si>
    <t>BIANCO ELISA GIOVANNA</t>
  </si>
  <si>
    <t>MTTNZE61B13H320C</t>
  </si>
  <si>
    <t>MATTIOLI ENZO</t>
  </si>
  <si>
    <t>202505147040459L</t>
  </si>
  <si>
    <t>DPRFNC43T11H562L</t>
  </si>
  <si>
    <t>DI PROFIO FRANCO</t>
  </si>
  <si>
    <t>GRMNCL63T05G291O</t>
  </si>
  <si>
    <t>GERMANO NICOLA</t>
  </si>
  <si>
    <t>202505147038756L</t>
  </si>
  <si>
    <t>CLVCST66A43A662O</t>
  </si>
  <si>
    <t>CALVANESE CELESTE</t>
  </si>
  <si>
    <t>NTTMHL37M07A662M</t>
  </si>
  <si>
    <t>NITTI MICHELE</t>
  </si>
  <si>
    <t>LSTNTN47E16H643U</t>
  </si>
  <si>
    <t>LOSITO ANTONIO</t>
  </si>
  <si>
    <t>Vari (13/05/2025)</t>
  </si>
  <si>
    <t>202505136970097L</t>
  </si>
  <si>
    <t>TTNTRS22S56F888G</t>
  </si>
  <si>
    <t>ATTANASIO TERESA</t>
  </si>
  <si>
    <t>202505136969919L</t>
  </si>
  <si>
    <t>CRZFNC12D14G290I</t>
  </si>
  <si>
    <t>CORAZZARI FRANCESCO</t>
  </si>
  <si>
    <t>HOLDING ENERGIA SRL</t>
  </si>
  <si>
    <t>GGLDNL97R31E919P</t>
  </si>
  <si>
    <t>GIGLIO DANIELE</t>
  </si>
  <si>
    <t>202505136970099L</t>
  </si>
  <si>
    <t>MZZMTR24D57I854G</t>
  </si>
  <si>
    <t>MAZZOTTA MARIA TERESA</t>
  </si>
  <si>
    <t>DMNMSP66M69E885G</t>
  </si>
  <si>
    <t>DIMONTE MARIA SIPONTINA</t>
  </si>
  <si>
    <t>EDWARD SPOSA S.A.S. DI VINO ANTONIA &amp; C.</t>
  </si>
  <si>
    <t>LGRMSM55B16A783Q</t>
  </si>
  <si>
    <t>LIGUORI MASSIMINO</t>
  </si>
  <si>
    <t>SCZFNC61R09G942P</t>
  </si>
  <si>
    <t>SCAZZARI FRANCESCO</t>
  </si>
  <si>
    <t>202505136969831L</t>
  </si>
  <si>
    <t>FSLDGS43E48C632K</t>
  </si>
  <si>
    <t>FUSELLA ADALGISA</t>
  </si>
  <si>
    <t>GRCFNC77T27B180B</t>
  </si>
  <si>
    <t>GRECO FRANCESCO</t>
  </si>
  <si>
    <t>SVILUPPO ENERGIE S.R.L.</t>
  </si>
  <si>
    <t>290 - Società di partecipazione (holding) di gruppi finanziari e non finanziari</t>
  </si>
  <si>
    <t>202505136970098L</t>
  </si>
  <si>
    <t>FLIFNC26C21F537W</t>
  </si>
  <si>
    <t>FIALA' FRANCESCO</t>
  </si>
  <si>
    <t>DVNFNC67L14A225B</t>
  </si>
  <si>
    <t>DIVINCENZO FRANCESCO</t>
  </si>
  <si>
    <t>RILEVAZIONE SAD</t>
  </si>
  <si>
    <t>CCGMLC76A61E155O</t>
  </si>
  <si>
    <t>CUCUGLIELLI MARIA LUCREZIA</t>
  </si>
  <si>
    <t>CAPORALCEREALI SOCIETA' A RESPONSABILITA' LI</t>
  </si>
  <si>
    <t>LBNNDR37H18E479Y</t>
  </si>
  <si>
    <t>ALBINO FREZZA ANDREA</t>
  </si>
  <si>
    <t>202505136970056L</t>
  </si>
  <si>
    <t>FRGSLV21L21D209Z</t>
  </si>
  <si>
    <t>FORGIONE SILVIO</t>
  </si>
  <si>
    <t>DCINTN37H53I093G</t>
  </si>
  <si>
    <t>DIACO ANTONIA</t>
  </si>
  <si>
    <t>MGRSLV76E43G224K</t>
  </si>
  <si>
    <t>MAGRI SILVIA</t>
  </si>
  <si>
    <t>MARNJN S.R.L. UNIPERSONALE</t>
  </si>
  <si>
    <t>TRSVCN26P29F519D</t>
  </si>
  <si>
    <t>TARSIA VINCENZO</t>
  </si>
  <si>
    <t>CLLVTR32M52H501Z</t>
  </si>
  <si>
    <t>COLELLA VITTORIA</t>
  </si>
  <si>
    <t>202505126963324L</t>
  </si>
  <si>
    <t>DCMCMN64P15I907M</t>
  </si>
  <si>
    <t>DE CAMELIS CARMINE</t>
  </si>
  <si>
    <t>202505126963325L</t>
  </si>
  <si>
    <t>DCMMHL62L06L328M</t>
  </si>
  <si>
    <t>DE CAMELIS MICHELE</t>
  </si>
  <si>
    <t>Vari (12/05/2025)</t>
  </si>
  <si>
    <t>MRSMRA51C56B238E</t>
  </si>
  <si>
    <t>MARUSCO MARIA</t>
  </si>
  <si>
    <t>COMITATOFESTIVAL DEL CARCIOFO 2023</t>
  </si>
  <si>
    <t>202505126907757L</t>
  </si>
  <si>
    <t>CEREALSUD SOCIETA' A RESPONSABILITA' LIMITAT</t>
  </si>
  <si>
    <t>GIOIELLERIA LOGLISCI G. SOCIETA' A RESPONSAB</t>
  </si>
  <si>
    <t>202505126908168L</t>
  </si>
  <si>
    <t>MRTGPP53M15L049C</t>
  </si>
  <si>
    <t>MARTURANO GIUSEPPE</t>
  </si>
  <si>
    <t>SOCIETA' AGRICOLA GREEN ALMOND S.R.L.</t>
  </si>
  <si>
    <t>202505126909305L</t>
  </si>
  <si>
    <t>VRDNTN35H14B466O</t>
  </si>
  <si>
    <t>VERDILE ANTONIO</t>
  </si>
  <si>
    <t>202505126909304L</t>
  </si>
  <si>
    <t>STFDTT37C51F429L</t>
  </si>
  <si>
    <t>STAFFIERI ADILETTA</t>
  </si>
  <si>
    <t>DCRNRT67M57D643S</t>
  </si>
  <si>
    <t>DI CARLO ANNA RITA</t>
  </si>
  <si>
    <t>202505126903098L</t>
  </si>
  <si>
    <t>LOIUDICE S.R.L.</t>
  </si>
  <si>
    <t>MRSLCN60L04B238C</t>
  </si>
  <si>
    <t>MARUSCO LUCIANO</t>
  </si>
  <si>
    <t>SOC. MARINO SRL</t>
  </si>
  <si>
    <t>LZZMNL53P63L049I</t>
  </si>
  <si>
    <t>LAZZARETTI MARINELLA</t>
  </si>
  <si>
    <t>M&amp;C DIVISION S.R.L.</t>
  </si>
  <si>
    <t>202505096890610L</t>
  </si>
  <si>
    <t>RNICRL83T29A225K</t>
  </si>
  <si>
    <t>IUORNO CARLO</t>
  </si>
  <si>
    <t>FRRFNC58D08A225C</t>
  </si>
  <si>
    <t>FERRI FRANCESCO</t>
  </si>
  <si>
    <t>NNMNLG77H15A662Z</t>
  </si>
  <si>
    <t>INNAMORATO ANGELO GIOVANNI</t>
  </si>
  <si>
    <t>FRRPLA83A51A662H</t>
  </si>
  <si>
    <t>FERRI PAOLA</t>
  </si>
  <si>
    <t>202505096850921L</t>
  </si>
  <si>
    <t>DSNNNA22C59I029S</t>
  </si>
  <si>
    <t>DISANZA ANNA</t>
  </si>
  <si>
    <t>202505096857492L</t>
  </si>
  <si>
    <t>RIESCA SOCIETA' A RESPONSABILITA' LIMITATA S</t>
  </si>
  <si>
    <t>202505096850912L</t>
  </si>
  <si>
    <t>PRRGPP31L10E779L</t>
  </si>
  <si>
    <t>PERRELLA GIUSEPPE</t>
  </si>
  <si>
    <t>011 - BRASILE</t>
  </si>
  <si>
    <t>THE CORNER SRLS</t>
  </si>
  <si>
    <t>TCCMRA36H64A225C</t>
  </si>
  <si>
    <t>TACCOGNA MARIA</t>
  </si>
  <si>
    <t>CNTTRS60S62A225F</t>
  </si>
  <si>
    <t>CONTE TERESA</t>
  </si>
  <si>
    <t>CSMGPP49D51A225L</t>
  </si>
  <si>
    <t>COSMO GIUSEPPA ELVIRA ROSALBA</t>
  </si>
  <si>
    <t>202505096850911L</t>
  </si>
  <si>
    <t>GNFFLC34C10C854B</t>
  </si>
  <si>
    <t>GIANFAGNA FELICE</t>
  </si>
  <si>
    <t>202505096850699L</t>
  </si>
  <si>
    <t>NWTCRS54R18Z114I</t>
  </si>
  <si>
    <t>NEWTON CHRISTOPHER CHARLES</t>
  </si>
  <si>
    <t>PDLBDT62C09Z112H</t>
  </si>
  <si>
    <t>PADULA BENEDETTO</t>
  </si>
  <si>
    <t>FRANCO FERRI SOCIETA' A RESPONSABILITA' LIMI</t>
  </si>
  <si>
    <t>SANTACROCE GIOVANNI S.P.A.</t>
  </si>
  <si>
    <t>CPRGPP57P26A225I</t>
  </si>
  <si>
    <t>202505096850913L</t>
  </si>
  <si>
    <t>VRDNGL33T11B830S</t>
  </si>
  <si>
    <t>VERDILE ANGELO</t>
  </si>
  <si>
    <t>MSCNCL60D17A662G</t>
  </si>
  <si>
    <t>MISCEO NICOLA</t>
  </si>
  <si>
    <t>FRLGCH36S08A669I</t>
  </si>
  <si>
    <t>FIORELLA GIOACCHINO</t>
  </si>
  <si>
    <t>LTRDNC71M56A225C</t>
  </si>
  <si>
    <t>LATERZA DOMENICA</t>
  </si>
  <si>
    <t>CVRNMF40P46I158D</t>
  </si>
  <si>
    <t>CIAVARELLA ANNA MAFALDA</t>
  </si>
  <si>
    <t>QRULBT64S59L049H</t>
  </si>
  <si>
    <t>QUERO ELISABETTA</t>
  </si>
  <si>
    <t>PRZLNS44D29A225Z</t>
  </si>
  <si>
    <t>PARZIALE ALFONSO</t>
  </si>
  <si>
    <t>202505096850922L</t>
  </si>
  <si>
    <t>CLCFNC29L48A017E</t>
  </si>
  <si>
    <t>COLUCCI FRANCESCA</t>
  </si>
  <si>
    <t>SCRNNF41D30I158J</t>
  </si>
  <si>
    <t>SCIARAFFA ANTONIO FRANCESCO</t>
  </si>
  <si>
    <t>GNFSVT55B04C854U</t>
  </si>
  <si>
    <t>GIANFAGNA SALVATORE</t>
  </si>
  <si>
    <t>MNNNTN48A63D305P</t>
  </si>
  <si>
    <t>MINONNE ANTONIA</t>
  </si>
  <si>
    <t>RCRGPP40E70E779N</t>
  </si>
  <si>
    <t>ARCARO GIUSEPPA</t>
  </si>
  <si>
    <t>CZZLCN59B24A801E</t>
  </si>
  <si>
    <t>CAZZATO LUCIANO</t>
  </si>
  <si>
    <t>202505086849794L</t>
  </si>
  <si>
    <t>DCRGNN62B03D738S</t>
  </si>
  <si>
    <t>DI CRISCI GIOVANNI BRUNO</t>
  </si>
  <si>
    <t>202505086816685L</t>
  </si>
  <si>
    <t>SPDMRA45R59E594H</t>
  </si>
  <si>
    <t>SPADARO MARIA</t>
  </si>
  <si>
    <t>202505086817598L</t>
  </si>
  <si>
    <t>202505086816686L</t>
  </si>
  <si>
    <t>LCNNTN43M29Z326M</t>
  </si>
  <si>
    <t>LUCIANI ANTONIO</t>
  </si>
  <si>
    <t>289 - SERBIA</t>
  </si>
  <si>
    <t>STLBRC67L64A893S</t>
  </si>
  <si>
    <t>STELLACCI BEATRICE</t>
  </si>
  <si>
    <t>PRRCLL53A11B985C</t>
  </si>
  <si>
    <t>PORRECA CAMILLO</t>
  </si>
  <si>
    <t>202505086818645L</t>
  </si>
  <si>
    <t>NGRSRG52L31A893T</t>
  </si>
  <si>
    <t>UNGARO SERGIO</t>
  </si>
  <si>
    <t>202505086817006L</t>
  </si>
  <si>
    <t>RNDCML77L70L418F</t>
  </si>
  <si>
    <t>RONDINONE CARMELA</t>
  </si>
  <si>
    <t>VSGMNN69C68L109S</t>
  </si>
  <si>
    <t>VISAGGI MARIANNA</t>
  </si>
  <si>
    <t>LMTVTR58H46E038K</t>
  </si>
  <si>
    <t>LIMITONE VITTORIA</t>
  </si>
  <si>
    <t>PRCNCL32E15A662I</t>
  </si>
  <si>
    <t>PORCELLI NICOLA</t>
  </si>
  <si>
    <t>PTMNGL63A42E155Z</t>
  </si>
  <si>
    <t>PATIMO DE CHIRICO ANGELA</t>
  </si>
  <si>
    <t>202505086818128L</t>
  </si>
  <si>
    <t>SCHMCN95T47A662S</t>
  </si>
  <si>
    <t>SCHIAVARIELLO MARIA CONCETTA</t>
  </si>
  <si>
    <t>202505086819617L</t>
  </si>
  <si>
    <t>BAR SAN NICOLA S.R.L.</t>
  </si>
  <si>
    <t>Vari (08/05/2025)</t>
  </si>
  <si>
    <t>202505086816304L</t>
  </si>
  <si>
    <t>VTRGPP85L17C710Y</t>
  </si>
  <si>
    <t>VETRO' GIUSEPPE</t>
  </si>
  <si>
    <t>202505086819882L</t>
  </si>
  <si>
    <t>SANTA MARIA S.R.L.</t>
  </si>
  <si>
    <t>202505086816291L</t>
  </si>
  <si>
    <t>202505086817183L</t>
  </si>
  <si>
    <t>202505086815320L</t>
  </si>
  <si>
    <t>BRLMLE58D65L109Q</t>
  </si>
  <si>
    <t>BARILE EMILIA</t>
  </si>
  <si>
    <t>PSQNGL49M67A883D</t>
  </si>
  <si>
    <t>PASQUALE ANGELA</t>
  </si>
  <si>
    <t>202505086819616L</t>
  </si>
  <si>
    <t>202505086819523L</t>
  </si>
  <si>
    <t>MERCANTILE SOCIETA' A RESPONSABILITA'LIMITAT</t>
  </si>
  <si>
    <t>202505086819362L</t>
  </si>
  <si>
    <t>MARVITA ALIMENTARI S.R.L.</t>
  </si>
  <si>
    <t>SCHFNC98H13A662I</t>
  </si>
  <si>
    <t>SCHIAVARIELLO FRANCESCO ANTONIO</t>
  </si>
  <si>
    <t>GRFGPP83R23A893N</t>
  </si>
  <si>
    <t>GAROFALO GIUSEPPE</t>
  </si>
  <si>
    <t>202505086819310L</t>
  </si>
  <si>
    <t>MSTNNA46D58G291T</t>
  </si>
  <si>
    <t>MASTRANDREA ANNA</t>
  </si>
  <si>
    <t>FDNFNC63H50F280T</t>
  </si>
  <si>
    <t>FIDANZIO FRANCESCA</t>
  </si>
  <si>
    <t>202505086817430L</t>
  </si>
  <si>
    <t>L'INCANTO S.R.L.</t>
  </si>
  <si>
    <t>MICCOLIS S.R.L.</t>
  </si>
  <si>
    <t>202505086817045L</t>
  </si>
  <si>
    <t>202505086819309L</t>
  </si>
  <si>
    <t>202505086819237L</t>
  </si>
  <si>
    <t>ACCADEMIA BRITANNICA SERVICES S.R.L.</t>
  </si>
  <si>
    <t>053850_180</t>
  </si>
  <si>
    <t>017 - COLOMBIA</t>
  </si>
  <si>
    <t>RIMA IMPIANTI S.R.L.</t>
  </si>
  <si>
    <t>202505086812136L</t>
  </si>
  <si>
    <t>SGNNCL34H21A854A</t>
  </si>
  <si>
    <t>SIGNORE NICOLA</t>
  </si>
  <si>
    <t>FRRLRD20M14C114B</t>
  </si>
  <si>
    <t>FERRANTE ALFREDO</t>
  </si>
  <si>
    <t>202505086816892L</t>
  </si>
  <si>
    <t>PRMVCN46H29F537O</t>
  </si>
  <si>
    <t>PRIMAVERA VINCENZO</t>
  </si>
  <si>
    <t>202505086817481L</t>
  </si>
  <si>
    <t>GRAN MARKET SUD SOCIETA' A RESPONSABILITA' L</t>
  </si>
  <si>
    <t>202505086819400L</t>
  </si>
  <si>
    <t>202505086819189L</t>
  </si>
  <si>
    <t>OPPIP SOCIETA' A RESPONSABILITA' LIMITATA SE</t>
  </si>
  <si>
    <t>202505086817134L</t>
  </si>
  <si>
    <t>202505086820514L</t>
  </si>
  <si>
    <t>202505086819628L</t>
  </si>
  <si>
    <t>202505086819611L</t>
  </si>
  <si>
    <t>NTLNTN65A46B619F</t>
  </si>
  <si>
    <t>NATALE ANTONIA</t>
  </si>
  <si>
    <t>202505086816978L</t>
  </si>
  <si>
    <t>202505066789558L</t>
  </si>
  <si>
    <t>DSNRNN56M63C514O</t>
  </si>
  <si>
    <t>DESANTIS ROSANNA</t>
  </si>
  <si>
    <t>Vari (07/05/2025)</t>
  </si>
  <si>
    <t>FTACSR58P46L049O</t>
  </si>
  <si>
    <t>FAITA CESIRA</t>
  </si>
  <si>
    <t>202505076755144L</t>
  </si>
  <si>
    <t>CORDINI SOCIETA' A RESPONSABILITA' LIMITATA</t>
  </si>
  <si>
    <t>283 - FABBRICAZIONE DI MACCHINE PER L'AGRICOLTURA E LA SILVICOLTURA</t>
  </si>
  <si>
    <t>LCCSVN34R65H186Q</t>
  </si>
  <si>
    <t>LICCIONE SAVINA</t>
  </si>
  <si>
    <t>202505076751292L</t>
  </si>
  <si>
    <t>FDESIGN ITALIA SOCIETA' A RESPONSABILITA' LIMITATA</t>
  </si>
  <si>
    <t>MSTFLC42R17B354Q</t>
  </si>
  <si>
    <t>MASTANTUONI FELICE</t>
  </si>
  <si>
    <t>RRZDNC59A10A386Y</t>
  </si>
  <si>
    <t>ARRUZZA DOMENICO</t>
  </si>
  <si>
    <t>SNTNNT37B64D643T</t>
  </si>
  <si>
    <t>SANTORO ANTONIETTA</t>
  </si>
  <si>
    <t>202505076756492L</t>
  </si>
  <si>
    <t>CERINO SRL</t>
  </si>
  <si>
    <t>202505076754722L</t>
  </si>
  <si>
    <t>DMRLRA24D44E036U</t>
  </si>
  <si>
    <t>DI MIRA LAURA</t>
  </si>
  <si>
    <t>DI PINTO &amp; DALESSANDRO S.P.A.</t>
  </si>
  <si>
    <t>GLAMRA54T19G942G</t>
  </si>
  <si>
    <t>GALA MARIO</t>
  </si>
  <si>
    <t>DLLFNC50D13A883H</t>
  </si>
  <si>
    <t>DELL'OLIO FRANCESCO</t>
  </si>
  <si>
    <t>202505076748586L</t>
  </si>
  <si>
    <t>GNCMTT58A05F284K</t>
  </si>
  <si>
    <t>GIANCASPRO MATTEO</t>
  </si>
  <si>
    <t>SOCIETA' FORNI INDUSTRIALI MACCHINE AUTOMATIZZATE S.R.L. IN LIQUIDAZION</t>
  </si>
  <si>
    <t>284 - FABBRICAZIONE DI MACCHINE PER LA FORMATURA DEI METALLI E DI ALTRE MACCHINE UTENSILI</t>
  </si>
  <si>
    <t>202505076748107L</t>
  </si>
  <si>
    <t>BMBMRA51H48A883Q</t>
  </si>
  <si>
    <t>BOMBINI MARIA</t>
  </si>
  <si>
    <t>202505076748209L</t>
  </si>
  <si>
    <t>DNNMRS69A45B619C</t>
  </si>
  <si>
    <t>DI NUNNO MARIA ROSARIA</t>
  </si>
  <si>
    <t>I.F.B. SOCIETA' A RESPONSABILITA' LIMITATA</t>
  </si>
  <si>
    <t>TMSVCN34B05H831A</t>
  </si>
  <si>
    <t>TOMASULO VINCENZO</t>
  </si>
  <si>
    <t>202505076754869L</t>
  </si>
  <si>
    <t>MRSMRA70P48F376O</t>
  </si>
  <si>
    <t>MARASCIULO MARIA</t>
  </si>
  <si>
    <t>CLLGNN53E18L049L</t>
  </si>
  <si>
    <t>COLELLA GIOVANNI</t>
  </si>
  <si>
    <t>CRLCLS38A01A225I</t>
  </si>
  <si>
    <t>CARLUCCI CARLO SALVATORE</t>
  </si>
  <si>
    <t>SPNNTN56M24F207G</t>
  </si>
  <si>
    <t>SPINA ANTONIO</t>
  </si>
  <si>
    <t>Vari (06/05/2025)</t>
  </si>
  <si>
    <t>FARMACIA ANCONA DEL DR.ANCONA ROCCO &amp; C.SOCIETA' IN NOMECOLLETTIVO</t>
  </si>
  <si>
    <t>VRNMDN60R62E243D</t>
  </si>
  <si>
    <t>VERNA MARIA DINA</t>
  </si>
  <si>
    <t>MSSPLA85C17A662K</t>
  </si>
  <si>
    <t>MOSSA IDRA PAOLO</t>
  </si>
  <si>
    <t>DPLMLC50M44I394R</t>
  </si>
  <si>
    <t>DI PAOLO MARIA LUCIA</t>
  </si>
  <si>
    <t>SLVNNI46S16I394U</t>
  </si>
  <si>
    <t>SILVERIO NINO</t>
  </si>
  <si>
    <t>MLPGLL35P18F205H</t>
  </si>
  <si>
    <t>MALAPELLE GUGLIELMO</t>
  </si>
  <si>
    <t>CRMGCR34T49G233J</t>
  </si>
  <si>
    <t>CARMINATI GIAN CARLA ALESSANDRINA</t>
  </si>
  <si>
    <t>202505066706227L</t>
  </si>
  <si>
    <t>202505066706266L</t>
  </si>
  <si>
    <t>RMGLSS23L22F196U</t>
  </si>
  <si>
    <t>REMIGIO ULISSE</t>
  </si>
  <si>
    <t>LPRMCN37P59A893F</t>
  </si>
  <si>
    <t>LEPORE MARIA CONCETTA</t>
  </si>
  <si>
    <t>202505066706262L</t>
  </si>
  <si>
    <t>PCCVSK76S42Z614R</t>
  </si>
  <si>
    <t>PICCARI VALESKA</t>
  </si>
  <si>
    <t>081 - VENEZUELA</t>
  </si>
  <si>
    <t>CEREALSUD SOCIETA' A RESPONSABILITA' LIMITATA</t>
  </si>
  <si>
    <t>202505066712154L</t>
  </si>
  <si>
    <t>116 - KENYA</t>
  </si>
  <si>
    <t>TOTALIFE</t>
  </si>
  <si>
    <t>202505066706265L</t>
  </si>
  <si>
    <t>MMMNCL28M29H439P</t>
  </si>
  <si>
    <t>MEMME NICOLA</t>
  </si>
  <si>
    <t>LCRMHL95A26F205R</t>
  </si>
  <si>
    <t>LOCURATOLO MICHELANGELO</t>
  </si>
  <si>
    <t>202505066706264L</t>
  </si>
  <si>
    <t>DRNCRL31D15Z114Z</t>
  </si>
  <si>
    <t>DEARING CHARLES DANIEL</t>
  </si>
  <si>
    <t>FNTGTA25P52I394M</t>
  </si>
  <si>
    <t>FANTINI AGATA</t>
  </si>
  <si>
    <t>202505066712153L</t>
  </si>
  <si>
    <t>202505066712166L</t>
  </si>
  <si>
    <t>MPALQUADRATO SOCIETA' A RESPONSABILITA' LIMITATA</t>
  </si>
  <si>
    <t>Vari (05/05/2025)</t>
  </si>
  <si>
    <t>202505056639697L</t>
  </si>
  <si>
    <t>GRGRST60R20A662R</t>
  </si>
  <si>
    <t>GORGA ERNESTO</t>
  </si>
  <si>
    <t>202505056640737L</t>
  </si>
  <si>
    <t>057 - TANZANIA (REPUBBLICA DI)</t>
  </si>
  <si>
    <t>CTGNLF73M22A285C</t>
  </si>
  <si>
    <t>COTUGNO NICOLA FABIO</t>
  </si>
  <si>
    <t>RTGGPP45H24A669U</t>
  </si>
  <si>
    <t>RUTIGLIANO GIUSEPPE</t>
  </si>
  <si>
    <t>CLNNCL62M26E986J</t>
  </si>
  <si>
    <t>CALIANNO NICOLA</t>
  </si>
  <si>
    <t>BLDLSN86P12A225E</t>
  </si>
  <si>
    <t>BALDUCCI ALESSANDRO</t>
  </si>
  <si>
    <t>PSTCCT63A50Z401Q</t>
  </si>
  <si>
    <t>PASTORE CONCETTA</t>
  </si>
  <si>
    <t>AUTO ZETA S.R.L.</t>
  </si>
  <si>
    <t>202505056637364L</t>
  </si>
  <si>
    <t>CCCDNC70L11D209K</t>
  </si>
  <si>
    <t>CICCHINI DOMENICO</t>
  </si>
  <si>
    <t>DSNNGL87D65A048E</t>
  </si>
  <si>
    <t>DESIANTE ANGELA</t>
  </si>
  <si>
    <t>DBNSLL51R56A669P</t>
  </si>
  <si>
    <t>DIBENEDETTO STELLA</t>
  </si>
  <si>
    <t>202505056635192L</t>
  </si>
  <si>
    <t>QRCSVT78A08A285Q</t>
  </si>
  <si>
    <t>QUERCIA SALVATORE</t>
  </si>
  <si>
    <t>MSSMLE91R30A662Y</t>
  </si>
  <si>
    <t>MOSSA EMILIO</t>
  </si>
  <si>
    <t>TLNMRS61M70I330O</t>
  </si>
  <si>
    <t>TALENTO MARIA ROSA</t>
  </si>
  <si>
    <t>202505056634797L</t>
  </si>
  <si>
    <t>202505026619980L</t>
  </si>
  <si>
    <t>DLCGPP59H14F052I</t>
  </si>
  <si>
    <t>DI LECCE GIUSEPPE</t>
  </si>
  <si>
    <t>MRMGPP37T01E155X</t>
  </si>
  <si>
    <t>MORAMARCO GIUSEPPE</t>
  </si>
  <si>
    <t>CMPLRS54M56H480H</t>
  </si>
  <si>
    <t>CAMPANOZZI LIBERA ASSUNTA</t>
  </si>
  <si>
    <t>58 - Esecuzione di reversali</t>
  </si>
  <si>
    <t>CSTNTN57B10E155R</t>
  </si>
  <si>
    <t>COSTANZA ANTONIO</t>
  </si>
  <si>
    <t>PTRRFL77P26A285L</t>
  </si>
  <si>
    <t>PETRUZZELLI RAFFAELE</t>
  </si>
  <si>
    <t>FRRGNI91M19A783K</t>
  </si>
  <si>
    <t>FERRARA IGINO</t>
  </si>
  <si>
    <t>MLIGPP46E01A339X</t>
  </si>
  <si>
    <t>MILO GIUSEPPE</t>
  </si>
  <si>
    <t>DNTRTT52H55B238G</t>
  </si>
  <si>
    <t>DONATUCCI ROSETTA MARIA</t>
  </si>
  <si>
    <t>Vari (02/05/2025)</t>
  </si>
  <si>
    <t>DTTCMN51A22G252M</t>
  </si>
  <si>
    <t>DETTOLI CARMINE</t>
  </si>
  <si>
    <t>TECNOHOME INSIDE SRL</t>
  </si>
  <si>
    <t>DSNRRT93L20B619C</t>
  </si>
  <si>
    <t>DE SANDI ROBERTO</t>
  </si>
  <si>
    <t>KCEBXH94M71B619E</t>
  </si>
  <si>
    <t>KECI BRIXHILDA</t>
  </si>
  <si>
    <t>263 - UCRAINA</t>
  </si>
  <si>
    <t>DGIMHL51H05A662M</t>
  </si>
  <si>
    <t>DI GIOIA MICHELE</t>
  </si>
  <si>
    <t>TENUTA BIANCHI SOCIETA' COOPERATIVA AGRICOLA</t>
  </si>
  <si>
    <t>TTSNCL49T06B238T</t>
  </si>
  <si>
    <t>TATASCIORE NICOLA</t>
  </si>
  <si>
    <t>NRCRCC53S51G252Q</t>
  </si>
  <si>
    <t>NARCOTINO ROCCA</t>
  </si>
  <si>
    <t>DGINTS54S59H645P</t>
  </si>
  <si>
    <t>DI GIOIA ANASTASIA</t>
  </si>
  <si>
    <t>202505026512605L</t>
  </si>
  <si>
    <t>SCRLRD79C23G786A</t>
  </si>
  <si>
    <t>SCARNATO LEONARDO</t>
  </si>
  <si>
    <t>NEVER STOP SRL</t>
  </si>
  <si>
    <t>461 - INTERMEDIARI DEL COMMERCIO</t>
  </si>
  <si>
    <t>MEGAHOLDING S.R.L.</t>
  </si>
  <si>
    <t>TRIBUNALE DI NOLA</t>
  </si>
  <si>
    <t>FABRIELLA GROUP S.R.L.</t>
  </si>
  <si>
    <t>EBANISTERIA CAPUTO SOCIETA' A RESPONSABILITA</t>
  </si>
  <si>
    <t>MV EXTRUSION S.P.A.</t>
  </si>
  <si>
    <t>LACE ITALIA SOCIETA' A RESPONSABILITA' LIMITATA</t>
  </si>
  <si>
    <t>GENKO S.R.L.</t>
  </si>
  <si>
    <t>AGRIDE' S.R.L.</t>
  </si>
  <si>
    <t>MICHELE COLUCCI S.R.L.</t>
  </si>
  <si>
    <t>ANDROMEDA SRL</t>
  </si>
  <si>
    <t>ASCO S.R.L.</t>
  </si>
  <si>
    <t>PRODUZIONE RELAX SPA</t>
  </si>
  <si>
    <t>CHRRRT60L27F839U</t>
  </si>
  <si>
    <t>CHIARI ROBERTO</t>
  </si>
  <si>
    <t>COMES S.P.A.</t>
  </si>
  <si>
    <t>AGROMED SRL</t>
  </si>
  <si>
    <t>0113 - Coltivazione di ortaggi e meloni, radici e tuberi</t>
  </si>
  <si>
    <t>0161 - Attività di supporto alla produzione vegetale</t>
  </si>
  <si>
    <t>OXOCO S.R.L.</t>
  </si>
  <si>
    <t>711220 - Servizi di progettazione di ingegneria integrata</t>
  </si>
  <si>
    <t>DFX S.R.L.</t>
  </si>
  <si>
    <t>244200 - Produzione di alluminio e semilavorati</t>
  </si>
  <si>
    <t>SI.MED. S.R.L.</t>
  </si>
  <si>
    <t>46341 - Commercio all'ingrosso di bevande alcoliche</t>
  </si>
  <si>
    <t>FUSIONMET S.R.L.</t>
  </si>
  <si>
    <t>46721 - Commercio all'ingrosso di minerali metalliferi, di metalli ferrosi e prodotti semilavorati</t>
  </si>
  <si>
    <t>MRMNLM56A63A225F</t>
  </si>
  <si>
    <t>MORAMARCO ANGELA MARIA</t>
  </si>
  <si>
    <t>202506308836996L</t>
  </si>
  <si>
    <t>095 - LIBANO</t>
  </si>
  <si>
    <t>NDRFLV63D42A662R</t>
  </si>
  <si>
    <t>INDRIO FLAVIA</t>
  </si>
  <si>
    <t>LGGNLN71C63A225H</t>
  </si>
  <si>
    <t>LEGGIADRO ANGELA ANNUNZIATA</t>
  </si>
  <si>
    <t>Vari (30/06/2025)</t>
  </si>
  <si>
    <t>202506308831918L</t>
  </si>
  <si>
    <t>DVNMCL48P63A285F</t>
  </si>
  <si>
    <t>DE VINCENZO IMMACOLATA</t>
  </si>
  <si>
    <t>M.SERVICE SRL</t>
  </si>
  <si>
    <t>431 - DEMOLIZIONE E PREPARAZIONE DEL CANTIERE EDILE</t>
  </si>
  <si>
    <t>DLIGLI48L25L328A</t>
  </si>
  <si>
    <t>DI LEO GIULIO</t>
  </si>
  <si>
    <t>LPDPQL40P10E155Q</t>
  </si>
  <si>
    <t>LOPEDOTA PASQUALE</t>
  </si>
  <si>
    <t>RCNTRS56R66A662T</t>
  </si>
  <si>
    <t>RACANELLI TERESA</t>
  </si>
  <si>
    <t>DMILCU63H55L049I</t>
  </si>
  <si>
    <t>DI MAIO LUCIA</t>
  </si>
  <si>
    <t>BELLAVEDUTA SRL INDUSTRIA DEL MARMO E DEL GR</t>
  </si>
  <si>
    <t>237 - TAGLIO, MODELLATURA E FINITURA DI PIETRE</t>
  </si>
  <si>
    <t>MARINELLI UMBERTO SRL</t>
  </si>
  <si>
    <t>BBTSVT57P28D386J</t>
  </si>
  <si>
    <t>ABBATIELLO SALVATORE</t>
  </si>
  <si>
    <t>ICON S.R.L.</t>
  </si>
  <si>
    <t>291 - KOSOVO</t>
  </si>
  <si>
    <t>LNELCU80H50E205W</t>
  </si>
  <si>
    <t>LEONE LUCIA</t>
  </si>
  <si>
    <t>COMUNE DI PALAGIANO</t>
  </si>
  <si>
    <t>RFFLGU51A01L049U</t>
  </si>
  <si>
    <t>RUFFO LUIGI</t>
  </si>
  <si>
    <t>GRCNGL66C06F207O</t>
  </si>
  <si>
    <t>GRECO ANGELO</t>
  </si>
  <si>
    <t>202506308826459L</t>
  </si>
  <si>
    <t>CENTRO FRUTTA CARPINETO S.R.L.</t>
  </si>
  <si>
    <t>DE ROSA SOCIETA' A RESPONSABILITA' LIMITATA SEMPLIFICATA</t>
  </si>
  <si>
    <t>202506308831919L</t>
  </si>
  <si>
    <t>LGGRMR61M57A225X</t>
  </si>
  <si>
    <t>LEGGIADRO ROSA MARIA</t>
  </si>
  <si>
    <t>AB DI LEO S.R.L.</t>
  </si>
  <si>
    <t>LFNFNC81C24I158U</t>
  </si>
  <si>
    <t>LUFINO FRANCESCO</t>
  </si>
  <si>
    <t>CSAPQL52M02A225K</t>
  </si>
  <si>
    <t>CASO PASQUALE</t>
  </si>
  <si>
    <t>TDSFNC88R45H926X</t>
  </si>
  <si>
    <t>TEDESCO FRANCESCA</t>
  </si>
  <si>
    <t>202506308829276L</t>
  </si>
  <si>
    <t>Vari (28/06/2025)</t>
  </si>
  <si>
    <t>SCRGPP65R16C298V</t>
  </si>
  <si>
    <t>SCIARTILLI GIUSEPPE</t>
  </si>
  <si>
    <t>VRGNNA68R48C298I</t>
  </si>
  <si>
    <t>VIRGILIO ANNA</t>
  </si>
  <si>
    <t>FLLNNL64L68L049B</t>
  </si>
  <si>
    <t>FULLONE ANTONELLA</t>
  </si>
  <si>
    <t>053850_252</t>
  </si>
  <si>
    <t>MASSERIA MAVIGLIA SOCIETA' AGRICOLA S.R.L.</t>
  </si>
  <si>
    <t>Vari (27/06/2025)</t>
  </si>
  <si>
    <t>GVNGNN38H63C632J</t>
  </si>
  <si>
    <t>GIOVINE GIOVANNA</t>
  </si>
  <si>
    <t>202506278779818L</t>
  </si>
  <si>
    <t>DLNPLA71C58C632Z</t>
  </si>
  <si>
    <t>DE LEONARDIS DI RUSCIO PAOLA</t>
  </si>
  <si>
    <t>LCRDNC40A63E155G</t>
  </si>
  <si>
    <t>LUCARELLI DOMENICA</t>
  </si>
  <si>
    <t>MNGMRP02C69H926F</t>
  </si>
  <si>
    <t>MANGIACAVALLO MARIAPIA</t>
  </si>
  <si>
    <t>PARCO DEI MILLE SOCIETA' A RESPONSABILITA' L</t>
  </si>
  <si>
    <t>PRTFNC62L23E326P</t>
  </si>
  <si>
    <t>PARATO FRANCESCO</t>
  </si>
  <si>
    <t>CENTRO ISOLA VERDE S.R.L.</t>
  </si>
  <si>
    <t>932 - ATTIVITÀ RICREATIVE E DI DIVERTIMENTO</t>
  </si>
  <si>
    <t>DCCVCN32D23M022U</t>
  </si>
  <si>
    <t>DI CICCO VINCENZO</t>
  </si>
  <si>
    <t>RBRMPN81E68D643Y</t>
  </si>
  <si>
    <t>ROBERTO MARIAPINA</t>
  </si>
  <si>
    <t>NVDMRA74R47A225I</t>
  </si>
  <si>
    <t>NAVEDORO MARIA</t>
  </si>
  <si>
    <t>PTRMHL66P25H831I</t>
  </si>
  <si>
    <t>PETRINO MICHELINO</t>
  </si>
  <si>
    <t>CSSGNN75C14A225B</t>
  </si>
  <si>
    <t>CASSANO GIOVANNI</t>
  </si>
  <si>
    <t>DLNNCC65C30B238L</t>
  </si>
  <si>
    <t>DE LEONARDIS DI RUSCIO ENRICO CAMILLO</t>
  </si>
  <si>
    <t>EXPERT - TONER S.R.L.</t>
  </si>
  <si>
    <t>VVNMRD99T43G786T</t>
  </si>
  <si>
    <t>VIVIANO MARIAIDA</t>
  </si>
  <si>
    <t>Vari (26/06/2025)</t>
  </si>
  <si>
    <t>202506268705257L</t>
  </si>
  <si>
    <t>TTEMCN62T42G722M</t>
  </si>
  <si>
    <t>TETI MARIA CONCETTA</t>
  </si>
  <si>
    <t>GENERAL TRADE S.P.A.</t>
  </si>
  <si>
    <t>OPEN FIBER S.P.A.</t>
  </si>
  <si>
    <t>611 - TELECOMUNICAZIONI FISSE</t>
  </si>
  <si>
    <t>202506268705488L</t>
  </si>
  <si>
    <t>202506268705259L</t>
  </si>
  <si>
    <t>TTEGPP68S12G722H</t>
  </si>
  <si>
    <t>TETI GIUSEPPE</t>
  </si>
  <si>
    <t>LCTPRN51M42E155P</t>
  </si>
  <si>
    <t>LUCATORTO PROSCIA PIERINA</t>
  </si>
  <si>
    <t>CRVGND74P44F537G</t>
  </si>
  <si>
    <t>CERAVOLO GIOCONDA</t>
  </si>
  <si>
    <t>MRLGPP45E20E155H</t>
  </si>
  <si>
    <t>MIROLLA GIUSEPPE</t>
  </si>
  <si>
    <t>202506268706297L</t>
  </si>
  <si>
    <t>NGLVTR47R29G141J</t>
  </si>
  <si>
    <t>ANGELOZZI VITTORIO</t>
  </si>
  <si>
    <t>LRSMGR65H44A662X</t>
  </si>
  <si>
    <t>LORUSSO MARIA GRAZIA</t>
  </si>
  <si>
    <t>202506268705258L</t>
  </si>
  <si>
    <t>TTERCC73L29G722N</t>
  </si>
  <si>
    <t>TETI ROCCO</t>
  </si>
  <si>
    <t>VLLRRT79B57F537Z</t>
  </si>
  <si>
    <t>VALLONE ROBERTA</t>
  </si>
  <si>
    <t>CASSA EDILE DELLA PROVINCIA JONICA</t>
  </si>
  <si>
    <t>DGVMHL54D64G141I</t>
  </si>
  <si>
    <t>DI GIOVANNI MICHELINA</t>
  </si>
  <si>
    <t>UFM - UNIONE FARMACEUTICA MITO S.R.L.</t>
  </si>
  <si>
    <t>202506268706065L</t>
  </si>
  <si>
    <t>202506268702896L</t>
  </si>
  <si>
    <t>CSTMRA40D66E038R</t>
  </si>
  <si>
    <t>CASTELLANETA MARIA</t>
  </si>
  <si>
    <t>LE FERRE S.R.L.</t>
  </si>
  <si>
    <t>SQCNLN32A11A225Q</t>
  </si>
  <si>
    <t>SQUICCIARINI ANGELANTONIO</t>
  </si>
  <si>
    <t>202506248700398L</t>
  </si>
  <si>
    <t>VLPNNA59C69A662H</t>
  </si>
  <si>
    <t>VOLPE ANNA</t>
  </si>
  <si>
    <t>202506258689953L</t>
  </si>
  <si>
    <t>SPCDNL74P02E205N</t>
  </si>
  <si>
    <t>SPECCHIA DANIELE</t>
  </si>
  <si>
    <t>ZNNRTI58P45E372D</t>
  </si>
  <si>
    <t>ZINNI RITA</t>
  </si>
  <si>
    <t>LA VERONESE SRL</t>
  </si>
  <si>
    <t>ZNNGPP53C59E372U</t>
  </si>
  <si>
    <t>ZINNI GIUSEPPINA</t>
  </si>
  <si>
    <t>202506258686214L</t>
  </si>
  <si>
    <t>TTVLTN40C41L459P</t>
  </si>
  <si>
    <t>OTTAVIANO ELENTINA</t>
  </si>
  <si>
    <t>ZNNMGR49R59E372T</t>
  </si>
  <si>
    <t>ZINNI MARIA GRAZIA</t>
  </si>
  <si>
    <t>202506258689728L</t>
  </si>
  <si>
    <t>DI IORIO SOCIETA' PER AZIONI</t>
  </si>
  <si>
    <t>GSPLNZ71H19E372Q</t>
  </si>
  <si>
    <t>GASPARI LORENZO</t>
  </si>
  <si>
    <t>GSPNRT66M48E372F</t>
  </si>
  <si>
    <t>GASPARI ANNA RITA</t>
  </si>
  <si>
    <t>202506258683963L</t>
  </si>
  <si>
    <t>LDDGNZ01M23A225K</t>
  </si>
  <si>
    <t>LADDAGA IGNAZIO</t>
  </si>
  <si>
    <t>202506258689729L</t>
  </si>
  <si>
    <t>ZNNLNE47L49E372D</t>
  </si>
  <si>
    <t>ZINNI ELENA</t>
  </si>
  <si>
    <t>Vari (25/06/2025)</t>
  </si>
  <si>
    <t>TARAS MARE S.R.L.</t>
  </si>
  <si>
    <t>CRFMRA69S59I233K</t>
  </si>
  <si>
    <t>CARFORA MARIA</t>
  </si>
  <si>
    <t>FRANZOSO S.R.L.</t>
  </si>
  <si>
    <t>PTTNDR89S12C632O</t>
  </si>
  <si>
    <t>PIATTELLI ANDREA</t>
  </si>
  <si>
    <t>202506258683964L</t>
  </si>
  <si>
    <t>EUROFLEX S.R.L.</t>
  </si>
  <si>
    <t>RMNMNL76B58F839W</t>
  </si>
  <si>
    <t>ROMANO MANUELA</t>
  </si>
  <si>
    <t>Vari (24/06/2025)</t>
  </si>
  <si>
    <t>202506248613458L</t>
  </si>
  <si>
    <t>MNTMSM63H23A662V</t>
  </si>
  <si>
    <t>MONTAGNA MASSIMO</t>
  </si>
  <si>
    <t>GNTLGU40M13F839P</t>
  </si>
  <si>
    <t>GENTILE LUIGI</t>
  </si>
  <si>
    <t>PLLFNC61R19A669D</t>
  </si>
  <si>
    <t>PALLADINO FRANCESCO</t>
  </si>
  <si>
    <t>CSNMNN55A67A043M</t>
  </si>
  <si>
    <t>COSENTINI MARIANNA</t>
  </si>
  <si>
    <t>SPNPPS69H21C632V</t>
  </si>
  <si>
    <t>SPINELLI PAOLO PASQUALE ANGELO</t>
  </si>
  <si>
    <t>BRLNTN82P21F537V</t>
  </si>
  <si>
    <t>BARILARO ANTONIO</t>
  </si>
  <si>
    <t>TCCLNE92E56B619Q</t>
  </si>
  <si>
    <t>TUCCI LENA</t>
  </si>
  <si>
    <t>PSTGSI92E65A285I</t>
  </si>
  <si>
    <t>PISTILLO GIUSI</t>
  </si>
  <si>
    <t>BRTNTN78A15L049S</t>
  </si>
  <si>
    <t>BERTILACCIO ANTONIO</t>
  </si>
  <si>
    <t>LBBLNE37E70F220G</t>
  </si>
  <si>
    <t>LABBATE LENA</t>
  </si>
  <si>
    <t>202506248613374L</t>
  </si>
  <si>
    <t>FALLIMENTO M.G.BRACCIA DI BRACCIA RAFFAELLA</t>
  </si>
  <si>
    <t>COSTRUZIONI BAROZZI SOCIETA' PER AZIONI</t>
  </si>
  <si>
    <t>SNTMNN64E54B963F</t>
  </si>
  <si>
    <t>SANTORO MARIA ANNA</t>
  </si>
  <si>
    <t>DDNLBA26M54E815R</t>
  </si>
  <si>
    <t>DE DONNO ALBA</t>
  </si>
  <si>
    <t>MRTFNC66H27B963M</t>
  </si>
  <si>
    <t>MARTUCCI FRANCESCO</t>
  </si>
  <si>
    <t>ESA SERVICE 24H SRL</t>
  </si>
  <si>
    <t>DMRNTN63C15L328N</t>
  </si>
  <si>
    <t>DI MARTINO ANTONIO</t>
  </si>
  <si>
    <t>202506248613384L</t>
  </si>
  <si>
    <t>CPRLCU41B68A662V</t>
  </si>
  <si>
    <t>CAPRIATI LUCIA</t>
  </si>
  <si>
    <t>DZITRP65D29G141X</t>
  </si>
  <si>
    <t>DI ZIO ETTORE PAOLO</t>
  </si>
  <si>
    <t>SIUDNC31S01I158J</t>
  </si>
  <si>
    <t>IUSO DOMENICO</t>
  </si>
  <si>
    <t>RBNVLR76L46E882X</t>
  </si>
  <si>
    <t>URBANO VALERIA</t>
  </si>
  <si>
    <t>EDILIZIA VITALE SOCIETA' A RESPONSABILITA' L</t>
  </si>
  <si>
    <t>STNLBT35A71I350S</t>
  </si>
  <si>
    <t>STINA' ELISABETTA</t>
  </si>
  <si>
    <t>RVTCLD02H49G141D</t>
  </si>
  <si>
    <t>ROVITO FORQUET FAMIGLIETTI CLAUDIA</t>
  </si>
  <si>
    <t>Vari (23/06/2025)</t>
  </si>
  <si>
    <t>PLMCHR81B49F839F</t>
  </si>
  <si>
    <t>PALMIERI CHIARA</t>
  </si>
  <si>
    <t>SRFRGB65D56B985J</t>
  </si>
  <si>
    <t>SERAFINI RITA GABRIELLA</t>
  </si>
  <si>
    <t>202506238558595L</t>
  </si>
  <si>
    <t>DIVITALIA S.R.L. SOCIETA' UNIPERSONALE</t>
  </si>
  <si>
    <t>202506238556055L</t>
  </si>
  <si>
    <t>DLSNGL68R54D643N</t>
  </si>
  <si>
    <t>D'ALESSANDRO ANGELA</t>
  </si>
  <si>
    <t>202506238544969L</t>
  </si>
  <si>
    <t>ZCCCMD49D15B619A</t>
  </si>
  <si>
    <t>ZACCARO COSIMO DAMIANO</t>
  </si>
  <si>
    <t>CLMVMR63B53Z133Z</t>
  </si>
  <si>
    <t>COLAMONACO VITA MARIA</t>
  </si>
  <si>
    <t>FRQLCU62P45F839B</t>
  </si>
  <si>
    <t>FORQUET FAMIGLIETTI LUCIA</t>
  </si>
  <si>
    <t>VAT ITALIA S.R.L.</t>
  </si>
  <si>
    <t>702 - ATTIVITÀ DI CONSULENZA GESTIONALE</t>
  </si>
  <si>
    <t>202506238559257L</t>
  </si>
  <si>
    <t>VZZLNB73R01F052E</t>
  </si>
  <si>
    <t>VIZZIELLO LUCIANO BRUNO</t>
  </si>
  <si>
    <t>TFRFMN75H52A942M</t>
  </si>
  <si>
    <t>TUFARO FILOMENA</t>
  </si>
  <si>
    <t>BRBGTN40P28B169H</t>
  </si>
  <si>
    <t>BARBIERI GAETANO</t>
  </si>
  <si>
    <t>RVTLSN89D57G141Q</t>
  </si>
  <si>
    <t>ROVITO ALESSANDRA</t>
  </si>
  <si>
    <t>GHZMRA75C64D643G</t>
  </si>
  <si>
    <t>GHEZZA MARA</t>
  </si>
  <si>
    <t>202506238546057L</t>
  </si>
  <si>
    <t>BRJNCL95S01F052R</t>
  </si>
  <si>
    <t>BRAJKO NICOLA</t>
  </si>
  <si>
    <t>CASEIFICIO PALAZZO S.P.A.</t>
  </si>
  <si>
    <t>ZCCNZM82H70B619G</t>
  </si>
  <si>
    <t>ZACCARO NUNZIA MICHELA</t>
  </si>
  <si>
    <t>TRRMRS54E69B619M</t>
  </si>
  <si>
    <t>TERRIBILE MARIA ROSARIA</t>
  </si>
  <si>
    <t>202506238546200L</t>
  </si>
  <si>
    <t>VNTTRS52L43B169K</t>
  </si>
  <si>
    <t>VENTRICE TERESA</t>
  </si>
  <si>
    <t>FRRGTN39L46I330Z</t>
  </si>
  <si>
    <t>FERORELLI GIUSTINA</t>
  </si>
  <si>
    <t>CSTNLN34H62G141M</t>
  </si>
  <si>
    <t>COSTANZO ANGIOLINA</t>
  </si>
  <si>
    <t>202506238546327L</t>
  </si>
  <si>
    <t>IMMOBILIARE METALLEGNO S.R.L.</t>
  </si>
  <si>
    <t>202506238554441L</t>
  </si>
  <si>
    <t>202506238544743L</t>
  </si>
  <si>
    <t>MNTNTN37C70A669Y</t>
  </si>
  <si>
    <t>MONTENEGRO ANTONIA</t>
  </si>
  <si>
    <t>LGLPRZ64H42A662D</t>
  </si>
  <si>
    <t>LAGALANTE PATRIZIA</t>
  </si>
  <si>
    <t>CRRCRL97M45I330D</t>
  </si>
  <si>
    <t>CARRETTA CARLA</t>
  </si>
  <si>
    <t>Vari (18/06/2025)</t>
  </si>
  <si>
    <t>TRE P S.R.L.</t>
  </si>
  <si>
    <t>Vari (20/06/2025)</t>
  </si>
  <si>
    <t>SRPPFR59R28A662Y</t>
  </si>
  <si>
    <t>SERPENTI PIER FRANCESCO</t>
  </si>
  <si>
    <t>BRCRML59E30B519J</t>
  </si>
  <si>
    <t>BERCHICCI ROMOLO</t>
  </si>
  <si>
    <t xml:space="preserve">56 - Ricavo effetti o assegni in euro e/o valuta estera al dopo incasso </t>
  </si>
  <si>
    <t>CRSMRA54P59A225Q</t>
  </si>
  <si>
    <t>CRISTALLO MARIA</t>
  </si>
  <si>
    <t>202506208496514L</t>
  </si>
  <si>
    <t>PCCMRN79L16A285L</t>
  </si>
  <si>
    <t>PICCININNO MARINO</t>
  </si>
  <si>
    <t>LZZRCC52E11A225R</t>
  </si>
  <si>
    <t>LOIZZO ROCCO</t>
  </si>
  <si>
    <t>SRPSFN56C12A662C</t>
  </si>
  <si>
    <t>SERPENTI STEFANO</t>
  </si>
  <si>
    <t>411 - SVILUPPO DI PROGETTI IMMOBILIARI</t>
  </si>
  <si>
    <t>202506208497555L</t>
  </si>
  <si>
    <t>VRNMRA38E52G141H</t>
  </si>
  <si>
    <t>VERNA MARIA</t>
  </si>
  <si>
    <t>202506208502195L</t>
  </si>
  <si>
    <t>GLLCSR75D28L049S</t>
  </si>
  <si>
    <t>GALLITELLI CESARE</t>
  </si>
  <si>
    <t>202506208502229L</t>
  </si>
  <si>
    <t>TMPRNN89A50L109Q</t>
  </si>
  <si>
    <t>TEMPESTA ROSANNA</t>
  </si>
  <si>
    <t>BR.IT. SOCIETA' A RESPONSABILITA' LIMITATA SEMPLIFICATA</t>
  </si>
  <si>
    <t>MOREA S.R.L.</t>
  </si>
  <si>
    <t>202506208496513L</t>
  </si>
  <si>
    <t>SGRRCR83A68A662J</t>
  </si>
  <si>
    <t>SGARRA RICCARDA DANIELA</t>
  </si>
  <si>
    <t>COSTRUZIONI SVILUPPO SOCIETA' A RESPONSABILI</t>
  </si>
  <si>
    <t>202506208506118L</t>
  </si>
  <si>
    <t>LZZLCU40C41A048A</t>
  </si>
  <si>
    <t>LIUZZI LUCIA</t>
  </si>
  <si>
    <t>CZZNGL46S57A662L</t>
  </si>
  <si>
    <t>COZZOLI POLI ANGELA</t>
  </si>
  <si>
    <t>CPNLRT61H08F831B</t>
  </si>
  <si>
    <t>CAPUANI ALBERTO</t>
  </si>
  <si>
    <t>LNTGPP92S24C514W</t>
  </si>
  <si>
    <t>LIONETTI GIUSEPPE</t>
  </si>
  <si>
    <t>PRRGNN37A04F196Q</t>
  </si>
  <si>
    <t>PERRUCCI GIOVANNI</t>
  </si>
  <si>
    <t>VLPDNT55M17A225K</t>
  </si>
  <si>
    <t>VULPIO DONATO</t>
  </si>
  <si>
    <t>SIMONE GIOIELLI DEI F.LLI MANICONE MARCOANTO</t>
  </si>
  <si>
    <t>Vari (19/06/2025)</t>
  </si>
  <si>
    <t>202506198457437L</t>
  </si>
  <si>
    <t>DNGSLV38M62F839O</t>
  </si>
  <si>
    <t>D'ANGELO SILVIA</t>
  </si>
  <si>
    <t>LBRGDU73A02A662U</t>
  </si>
  <si>
    <t>LABRIOLA GUIDO</t>
  </si>
  <si>
    <t>SVNSLL57B52E038N</t>
  </si>
  <si>
    <t>SAVINO ISABELLA MARIA ROSARIA</t>
  </si>
  <si>
    <t>CVLKTA84D50E435P</t>
  </si>
  <si>
    <t>CAVALIERE KATIA</t>
  </si>
  <si>
    <t>MRCFNC36L11F839D</t>
  </si>
  <si>
    <t>MERCADANTE FRANCESCO</t>
  </si>
  <si>
    <t>PRNSMN74A31F158N</t>
  </si>
  <si>
    <t>PRINZI SIMONE</t>
  </si>
  <si>
    <t>DNTVCN47T14E155F</t>
  </si>
  <si>
    <t>DENTE VINCENZO</t>
  </si>
  <si>
    <t>MASSERIA CHINUNNO SOCIETA' AGRICOLA A RESPON</t>
  </si>
  <si>
    <t>CSTNTN94P16L049C</t>
  </si>
  <si>
    <t>CASTELLANO ANTONIO</t>
  </si>
  <si>
    <t>CTTNDR88H03D643Z</t>
  </si>
  <si>
    <t>CUTTANO ANDREA</t>
  </si>
  <si>
    <t>202506198457957L</t>
  </si>
  <si>
    <t>FNLGPP95E71L049D</t>
  </si>
  <si>
    <t>FANELLI GIUSEPPINA</t>
  </si>
  <si>
    <t>DLRPQL74T13A485B</t>
  </si>
  <si>
    <t>DI LORETO PASQUALE</t>
  </si>
  <si>
    <t>CMPRNZ67L07F376D</t>
  </si>
  <si>
    <t>CAMPANELLI ORONZO</t>
  </si>
  <si>
    <t>GDUSVR49L03A225Y</t>
  </si>
  <si>
    <t>GUIDA SAVERIO</t>
  </si>
  <si>
    <t>BRCVTI87E20H096F</t>
  </si>
  <si>
    <t>BARCADORO CIAFFALDANO VITO</t>
  </si>
  <si>
    <t>PLNNTN71R31A225T</t>
  </si>
  <si>
    <t>PLANTAMURA ANTONIO</t>
  </si>
  <si>
    <t>SMNVLR96P63A285Z</t>
  </si>
  <si>
    <t>SIMONE VALERIA</t>
  </si>
  <si>
    <t>PE. FIN S.P.A.</t>
  </si>
  <si>
    <t>BOUTIQUE JOLE DI SCHIAVO BONAVENTURA &amp; C. S.</t>
  </si>
  <si>
    <t>E.T.A. SPA</t>
  </si>
  <si>
    <t>244 - PRODUZIONE DI METALLI DI BASE PREZIOSI E ALTRI METALLI NON FERROSI, TRATTAMENTO DEI COMBUSTIBILI NUCLEARI</t>
  </si>
  <si>
    <t>CVTMRK94P24A285F</t>
  </si>
  <si>
    <t>CIVITA MIRKO</t>
  </si>
  <si>
    <t>FDESIGN ITALIA SOCIETA' A RESPONSABILITA' LI</t>
  </si>
  <si>
    <t>DLICTN62C03A225L</t>
  </si>
  <si>
    <t>DILEO COSTANTINO</t>
  </si>
  <si>
    <t>202506188421928L</t>
  </si>
  <si>
    <t>LVTNLY65L50Z104O</t>
  </si>
  <si>
    <t>ILIEVA ITSKOVA ANELIYA</t>
  </si>
  <si>
    <t>MRCDNT45M54A225S</t>
  </si>
  <si>
    <t>MERCADANTE DONATA</t>
  </si>
  <si>
    <t>RMNFNC44H30H096D</t>
  </si>
  <si>
    <t>ROMANO FRANCESCO</t>
  </si>
  <si>
    <t>CLLFNC70R14L253G</t>
  </si>
  <si>
    <t>COLELLA FRANCESCO ANTONIO</t>
  </si>
  <si>
    <t>LNGMRN50M49H703W</t>
  </si>
  <si>
    <t>LONGO MARINA</t>
  </si>
  <si>
    <t>Vari (17/06/2025)</t>
  </si>
  <si>
    <t>LEGNO ITALIA S.R.L.</t>
  </si>
  <si>
    <t>202506178352100L</t>
  </si>
  <si>
    <t>LMNNNA36C43F506B</t>
  </si>
  <si>
    <t>LIMONE ANNA</t>
  </si>
  <si>
    <t>FRRTRS94C51A225I</t>
  </si>
  <si>
    <t>FERRULLI TERESA</t>
  </si>
  <si>
    <t>LNENTN95B27B619T</t>
  </si>
  <si>
    <t>LEONE ANTONIO</t>
  </si>
  <si>
    <t>202506178347291L</t>
  </si>
  <si>
    <t>FNDVCN70T21A285B</t>
  </si>
  <si>
    <t>FIANDANESE VINCENZO</t>
  </si>
  <si>
    <t>202506178346673L</t>
  </si>
  <si>
    <t>FORTEGEL S.R.L.</t>
  </si>
  <si>
    <t>FDRLNI36L56H501Q</t>
  </si>
  <si>
    <t>FEDERICI LINA</t>
  </si>
  <si>
    <t>202506178347002L</t>
  </si>
  <si>
    <t>202506178351482L</t>
  </si>
  <si>
    <t>202506178346406L</t>
  </si>
  <si>
    <t>ID SUPERLATIVE DI CARMEN INCARNATO E DOMENICO DONADIO S.N.C.</t>
  </si>
  <si>
    <t>742 - ATTIVITÀ FOTOGRAFICHE</t>
  </si>
  <si>
    <t>SGRRCR46T58A285O</t>
  </si>
  <si>
    <t>SGARRA RICCARDINA</t>
  </si>
  <si>
    <t>BDNSDR62P03C632N</t>
  </si>
  <si>
    <t>BIDINELLI SANDRO</t>
  </si>
  <si>
    <t>SLDMRA75E68A285C</t>
  </si>
  <si>
    <t>SOLDATO MARA</t>
  </si>
  <si>
    <t>BDNRRT60B08C632W</t>
  </si>
  <si>
    <t>BIDINELLI ROBERTO</t>
  </si>
  <si>
    <t>202506178348245L</t>
  </si>
  <si>
    <t>TRVGNN30R22I936T</t>
  </si>
  <si>
    <t>TRIVERI GIOVANNI</t>
  </si>
  <si>
    <t>Vari (16/06/2025)</t>
  </si>
  <si>
    <t>CHRDBR98A50A669O</t>
  </si>
  <si>
    <t>CHIARIELLO DEBORA</t>
  </si>
  <si>
    <t>CPRDGL59M58L049C</t>
  </si>
  <si>
    <t>CIPRIANI IDA ANGELA</t>
  </si>
  <si>
    <t>LNVMHL32E24E986O</t>
  </si>
  <si>
    <t>LANEVE MICHELE</t>
  </si>
  <si>
    <t>329 - INDUSTRIE MANIFATTURIERE NCA</t>
  </si>
  <si>
    <t>GSLMRA97A69A225D</t>
  </si>
  <si>
    <t>GESUALDO MARIA</t>
  </si>
  <si>
    <t>NTTFBA68S11L049B</t>
  </si>
  <si>
    <t>NITTI FABIO</t>
  </si>
  <si>
    <t>773 - Famiglie consumatrici dei paesi UE membri dell'area dell'euro</t>
  </si>
  <si>
    <t>094 - GERMANIA</t>
  </si>
  <si>
    <t>CLCNTN97A20A225J</t>
  </si>
  <si>
    <t>CALCULLI ANTONIO</t>
  </si>
  <si>
    <t>MSTNTN45C62E986M</t>
  </si>
  <si>
    <t>MASTROVITO ANTONIA</t>
  </si>
  <si>
    <t>MV LINE S.P.A.</t>
  </si>
  <si>
    <t>DMCNNN60R29A662M</t>
  </si>
  <si>
    <t>D'AMICO ANTONINO</t>
  </si>
  <si>
    <t>BRDDNC50P22A892B</t>
  </si>
  <si>
    <t>BURDI DOMENICO</t>
  </si>
  <si>
    <t>CSSGCM98B24A669K</t>
  </si>
  <si>
    <t>CASSANO GIACOMO</t>
  </si>
  <si>
    <t>BNTMRA67A42A662B</t>
  </si>
  <si>
    <t>BINETTI MARIA</t>
  </si>
  <si>
    <t>Vari (14/06/2025)</t>
  </si>
  <si>
    <t>LEVEL PROJECT S.R.L.</t>
  </si>
  <si>
    <t>202506168268029L</t>
  </si>
  <si>
    <t>202506168271245L</t>
  </si>
  <si>
    <t>202506168274852L</t>
  </si>
  <si>
    <t>202506168274343L</t>
  </si>
  <si>
    <t>202506168270100L</t>
  </si>
  <si>
    <t>202506168272167L</t>
  </si>
  <si>
    <t>EUROSUD CATALDI SOCIETA' A RESPONSABILITA' L</t>
  </si>
  <si>
    <t>439 - ALTRI LAVORI SPECIALIZZATI DI COSTRUZIONE</t>
  </si>
  <si>
    <t>CLMRSO39A68A225J</t>
  </si>
  <si>
    <t>CALEMMA ROSA</t>
  </si>
  <si>
    <t>Vari (13/06/2025)</t>
  </si>
  <si>
    <t>MRGPRC53L20C723W</t>
  </si>
  <si>
    <t>MIRAGLIA PAOLO ROCCO CARMINE</t>
  </si>
  <si>
    <t>PCRMNL92L71A225G</t>
  </si>
  <si>
    <t>PICERNO MANUELA</t>
  </si>
  <si>
    <t>202506138218303L</t>
  </si>
  <si>
    <t>TRCMRA43M58A225A</t>
  </si>
  <si>
    <t>TRICARICO MARIA</t>
  </si>
  <si>
    <t>VLLRRN55B58I744N</t>
  </si>
  <si>
    <t>VALELA' ROSARINA</t>
  </si>
  <si>
    <t>FNDMRZ80T15A285V</t>
  </si>
  <si>
    <t>FIANDANESE MAURIZIO</t>
  </si>
  <si>
    <t>FGLRCR69H28A285U</t>
  </si>
  <si>
    <t>FIGLIOLIA RICCARDO</t>
  </si>
  <si>
    <t>PLRGNN94P22E223K</t>
  </si>
  <si>
    <t>PULIERO GIOVANNI</t>
  </si>
  <si>
    <t>BZZRMR44C53F839W</t>
  </si>
  <si>
    <t>BOZZELLI ROSAMARIA</t>
  </si>
  <si>
    <t>VLLBRN48T02I744R</t>
  </si>
  <si>
    <t>VALELA' BRUNO</t>
  </si>
  <si>
    <t>CIVITARESE AUTO S.R.L.S.</t>
  </si>
  <si>
    <t>NEXT -EG SRL</t>
  </si>
  <si>
    <t>CSNRNI78C71F052L</t>
  </si>
  <si>
    <t>COSENTINO IRENE</t>
  </si>
  <si>
    <t>CLSNGL74H59A285B</t>
  </si>
  <si>
    <t>COLASUONNO ANGELA</t>
  </si>
  <si>
    <t>Vari (12/06/2025)</t>
  </si>
  <si>
    <t>SO.FARMA.MORRA S.P.A.</t>
  </si>
  <si>
    <t>202506128145634L</t>
  </si>
  <si>
    <t>GLOBAL FASHION S.R.L.</t>
  </si>
  <si>
    <t>FARMACIA SAN GIOVANNI BOSCO DEI DOTTORI LILI</t>
  </si>
  <si>
    <t>DFBVTR87P09E435N</t>
  </si>
  <si>
    <t>DI FABIO VITTORIO</t>
  </si>
  <si>
    <t>202506128150298L</t>
  </si>
  <si>
    <t>CRSCML62C41F839J</t>
  </si>
  <si>
    <t>CRISCUOLO CARMELA</t>
  </si>
  <si>
    <t>202506128151402L</t>
  </si>
  <si>
    <t>ENERGIA E GAS SRL</t>
  </si>
  <si>
    <t>DLZNTN56P10L738Z</t>
  </si>
  <si>
    <t>DI LIZIA ANTONIO</t>
  </si>
  <si>
    <t>MAZZOTTA CARMELO SAS DI VIGGIANO CATERINA</t>
  </si>
  <si>
    <t>051 - PANAMA</t>
  </si>
  <si>
    <t>FERRI 1956 SOCIETA' A RESPONSABILITA' LIMITATA</t>
  </si>
  <si>
    <t>IMMOBILIARE PALLETTA S.R.L.</t>
  </si>
  <si>
    <t>DMMLNE59P46D650K</t>
  </si>
  <si>
    <t>DI MAMBRO ELENA</t>
  </si>
  <si>
    <t>202506118125074L</t>
  </si>
  <si>
    <t>Vari (11/06/2025)</t>
  </si>
  <si>
    <t>QRULND54E46L049Z</t>
  </si>
  <si>
    <t>QUERO LINDA</t>
  </si>
  <si>
    <t>SCRDNC52P13I744H</t>
  </si>
  <si>
    <t>SCORDAMAGLIA DOMENICO</t>
  </si>
  <si>
    <t>STRMRA70L46A225P</t>
  </si>
  <si>
    <t>STORSILLO MARIA</t>
  </si>
  <si>
    <t>LNCGPP50B01L294P</t>
  </si>
  <si>
    <t>LONOCE GIUSEPPE</t>
  </si>
  <si>
    <t>VRNNCL42P19L425R</t>
  </si>
  <si>
    <t>VERONICO NICOLA</t>
  </si>
  <si>
    <t>MDGCMN86M64A662X</t>
  </si>
  <si>
    <t>MODUGNO CARMEN</t>
  </si>
  <si>
    <t>202506118126151L</t>
  </si>
  <si>
    <t>GRSGNN48L21E155Y</t>
  </si>
  <si>
    <t>GRASSI GIOVANNI</t>
  </si>
  <si>
    <t>SVNGTN61C07H882H</t>
  </si>
  <si>
    <t>SAVINO AGOSTINO</t>
  </si>
  <si>
    <t>CRLCRN38P48A225G</t>
  </si>
  <si>
    <t>CARLUCCI CATERINA MARIA</t>
  </si>
  <si>
    <t>202506108062576L</t>
  </si>
  <si>
    <t>NAZIONALE 82 SOCIETA' A RESPONSABILITA' LIMITATA</t>
  </si>
  <si>
    <t>Vari (10/06/2025)</t>
  </si>
  <si>
    <t>ORGANIZZAZIONE DI PRODUTTORI PUGLIAVIVA - SOCIETA' CONSORTILE AGRICOLA A R.L. IN</t>
  </si>
  <si>
    <t>202506108063495L</t>
  </si>
  <si>
    <t>SNTCLG51T41F205C</t>
  </si>
  <si>
    <t>SANTANDREA CARLA GRAZIELLA</t>
  </si>
  <si>
    <t>202506108062657L</t>
  </si>
  <si>
    <t>COLACCHIO FILIPPO - SRL</t>
  </si>
  <si>
    <t>MPPGFR64S11G252V</t>
  </si>
  <si>
    <t>MAPPA GIANFRANCO</t>
  </si>
  <si>
    <t>SNTRRT56L29F205W</t>
  </si>
  <si>
    <t>SANTANDREA ROBERTO</t>
  </si>
  <si>
    <t>202506108065837L</t>
  </si>
  <si>
    <t>202506108062826L</t>
  </si>
  <si>
    <t>202506108062599L</t>
  </si>
  <si>
    <t>LPZFNC93A41I234T</t>
  </si>
  <si>
    <t>LOPEZ FRANCESCA</t>
  </si>
  <si>
    <t>RSSLND30A58L665T</t>
  </si>
  <si>
    <t>ROSSETTI IOLANDA</t>
  </si>
  <si>
    <t>DNSNDR74L09F376T</t>
  </si>
  <si>
    <t>DANESE ANDREA</t>
  </si>
  <si>
    <t>202506108066031L</t>
  </si>
  <si>
    <t>TRAVERSI S.R.L.</t>
  </si>
  <si>
    <t>FUTUREHOME SRL</t>
  </si>
  <si>
    <t>202506108066023L</t>
  </si>
  <si>
    <t>MERCANTILE SOCIETA' A RESPONSABILITA'LIMITATA</t>
  </si>
  <si>
    <t>VLNLRD36H46A669Y</t>
  </si>
  <si>
    <t>VIOLANTE ALFREDINA</t>
  </si>
  <si>
    <t>MNTFNC36C28E155D</t>
  </si>
  <si>
    <t>MONTEMURRO FRANCESCO</t>
  </si>
  <si>
    <t>CLMDNC72T12C975L</t>
  </si>
  <si>
    <t>CLEMENTE DOMENICO</t>
  </si>
  <si>
    <t>202506098053206L</t>
  </si>
  <si>
    <t>GRUPPO EVENTI LOVE SOCIETA' A RESPONSABILITA' LIMITATA SEMPLIFICATA</t>
  </si>
  <si>
    <t>773 - NOLEGGIO DI ALTRE MACCHINE, ATTREZZATURE E BENI MATERIALI</t>
  </si>
  <si>
    <t>CCCBNC46D59F196I</t>
  </si>
  <si>
    <t>CICCHITELLI BIANCA</t>
  </si>
  <si>
    <t>202506097974012L</t>
  </si>
  <si>
    <t>Vari (09/06/2025)</t>
  </si>
  <si>
    <t>EDILIZIA GAUDINO SOCIETA' A RESPONSABILITA' LIMITATA</t>
  </si>
  <si>
    <t>CLZDNL75C43A225B</t>
  </si>
  <si>
    <t>CALZONE DANIELA</t>
  </si>
  <si>
    <t>202506097977510L</t>
  </si>
  <si>
    <t>FRNLDM61E48I526K</t>
  </si>
  <si>
    <t>FRANCESCHELLI IOLANDA MATILDE</t>
  </si>
  <si>
    <t>DCNFNC97R17A669W</t>
  </si>
  <si>
    <t>DICUONZO FRANCESCO</t>
  </si>
  <si>
    <t>202506097977514L</t>
  </si>
  <si>
    <t>202506097974051L</t>
  </si>
  <si>
    <t>202506097975227L</t>
  </si>
  <si>
    <t>FNLLRA70D42E986A</t>
  </si>
  <si>
    <t>FANELLI LAURA</t>
  </si>
  <si>
    <t>SRCPMC95R24D643N</t>
  </si>
  <si>
    <t>SARACINO PIERMICHELE</t>
  </si>
  <si>
    <t>202506097973994L</t>
  </si>
  <si>
    <t>CLZMTC65B26E326C</t>
  </si>
  <si>
    <t>CALZONE MATTEO CLAUDIO</t>
  </si>
  <si>
    <t>202506097978137L</t>
  </si>
  <si>
    <t>202506097975965L</t>
  </si>
  <si>
    <t>202506097973937L</t>
  </si>
  <si>
    <t>AR.T. S.R.L.</t>
  </si>
  <si>
    <t>CLZDNC62R61A662R</t>
  </si>
  <si>
    <t>CALZONE DOMENICA ROSSANA</t>
  </si>
  <si>
    <t>202506097975139L</t>
  </si>
  <si>
    <t>202506097974596L</t>
  </si>
  <si>
    <t>CNSNGL37M52E986D</t>
  </si>
  <si>
    <t>CONSERVA ANGELA</t>
  </si>
  <si>
    <t>202506097974370L</t>
  </si>
  <si>
    <t>DMNRNZ56R07A892W</t>
  </si>
  <si>
    <t>DAMONE ORONZO</t>
  </si>
  <si>
    <t>202506097977438L</t>
  </si>
  <si>
    <t>202506097977664L</t>
  </si>
  <si>
    <t>202506097978446L</t>
  </si>
  <si>
    <t>TRATTORIA DEL CAVEOSO S.R.L.</t>
  </si>
  <si>
    <t>RMNMRM64H66F196C</t>
  </si>
  <si>
    <t>RIMANO MARIA ROMANA</t>
  </si>
  <si>
    <t>CLZFLV71A14E326W</t>
  </si>
  <si>
    <t>CALZONE FLAVIO</t>
  </si>
  <si>
    <t>SRDMRN99A66A669H</t>
  </si>
  <si>
    <t>SARDARO MIRIANA</t>
  </si>
  <si>
    <t>202506097974011L</t>
  </si>
  <si>
    <t>202506097977501L</t>
  </si>
  <si>
    <t>HOTEL MARA SRL</t>
  </si>
  <si>
    <t>202506097974409L</t>
  </si>
  <si>
    <t>202506097978587L</t>
  </si>
  <si>
    <t>CLZNLM63T65L049A</t>
  </si>
  <si>
    <t>CALZONE ANGELA MARIA STEFANIA</t>
  </si>
  <si>
    <t>FZANGL64C47A662T</t>
  </si>
  <si>
    <t>FAZIO ANGELA</t>
  </si>
  <si>
    <t>202506097978032L</t>
  </si>
  <si>
    <t>202506067958058L</t>
  </si>
  <si>
    <t>STLTRS90S53E791Z</t>
  </si>
  <si>
    <t>STELLATO TERESA</t>
  </si>
  <si>
    <t>Vari (06/06/2025)</t>
  </si>
  <si>
    <t>LNNSVT60H06F284C</t>
  </si>
  <si>
    <t>LUNANOVA SALVATORE</t>
  </si>
  <si>
    <t>202506067923458L</t>
  </si>
  <si>
    <t>DZNPRP58E10L425B</t>
  </si>
  <si>
    <t>DI ZONNO PIETRO PAOLO</t>
  </si>
  <si>
    <t>202506067919553L</t>
  </si>
  <si>
    <t>202506067917832L</t>
  </si>
  <si>
    <t>CPTVTR63H18F376T</t>
  </si>
  <si>
    <t>CAPITANIO VITTORIO</t>
  </si>
  <si>
    <t>202506067922356L</t>
  </si>
  <si>
    <t>202506067921418L</t>
  </si>
  <si>
    <t>MCNRME56M23I526H</t>
  </si>
  <si>
    <t>AMICONE REMO</t>
  </si>
  <si>
    <t>MNDGCR53R04A662V</t>
  </si>
  <si>
    <t>AMENDONI GIANCARLO</t>
  </si>
  <si>
    <t>202506067915968L</t>
  </si>
  <si>
    <t>PRFVRN32P14L472Z</t>
  </si>
  <si>
    <t>PERFIDO VITO ORONZO</t>
  </si>
  <si>
    <t>DZNNLP33L01F923D</t>
  </si>
  <si>
    <t>DI ZONNO NICOLA PIETRO</t>
  </si>
  <si>
    <t>DNDMRA44C63A020E</t>
  </si>
  <si>
    <t>D'ANDRIA MARIA</t>
  </si>
  <si>
    <t>SNSCMD63T11B619B</t>
  </si>
  <si>
    <t>SINESI COSIMO DAMIANO</t>
  </si>
  <si>
    <t>TTLGVN32H43L425I</t>
  </si>
  <si>
    <t>OTTOLINO GIOVINA</t>
  </si>
  <si>
    <t>BSNLVI26R17F196D</t>
  </si>
  <si>
    <t>BIASONE LIVIO</t>
  </si>
  <si>
    <t>DMRVTI73M03F376T</t>
  </si>
  <si>
    <t>DE MARTINO VITO</t>
  </si>
  <si>
    <t>Vari (05/06/2025)</t>
  </si>
  <si>
    <t>202506057868829L</t>
  </si>
  <si>
    <t>CRQJSC89P61D810I</t>
  </si>
  <si>
    <t>CERQUOZZI JESSICA</t>
  </si>
  <si>
    <t>202506057873226L</t>
  </si>
  <si>
    <t>ZZTGPP65R19I158M</t>
  </si>
  <si>
    <t>IZZOTTI GIUSEPPE</t>
  </si>
  <si>
    <t>RCCLGU50P09F915I</t>
  </si>
  <si>
    <t>RICCIARDI LUIGI</t>
  </si>
  <si>
    <t>202506057877520L</t>
  </si>
  <si>
    <t>202506057876360L</t>
  </si>
  <si>
    <t>202506057873203L</t>
  </si>
  <si>
    <t>VNDNNA63H53A720A</t>
  </si>
  <si>
    <t>VENDITTI ANNA</t>
  </si>
  <si>
    <t>MTRMRS45L60A662E</t>
  </si>
  <si>
    <t>MATERA MARISA</t>
  </si>
  <si>
    <t>GLNGNN84T29A662P</t>
  </si>
  <si>
    <t>GIULIANI GIOVANNI</t>
  </si>
  <si>
    <t>RFLNCL68E14A893T</t>
  </si>
  <si>
    <t>RIFLESSO NICOLA</t>
  </si>
  <si>
    <t>MRNNNN28S21H501S</t>
  </si>
  <si>
    <t>MARINO ANTONINO</t>
  </si>
  <si>
    <t>202506057871571L</t>
  </si>
  <si>
    <t>FRNLRA82L64Z133O</t>
  </si>
  <si>
    <t>FRANCHINI LAURA</t>
  </si>
  <si>
    <t>SNTGNN83R12C975B</t>
  </si>
  <si>
    <t>SANITATE GIOVANNI</t>
  </si>
  <si>
    <t>202506047828790L</t>
  </si>
  <si>
    <t>Vari (04/06/2025)</t>
  </si>
  <si>
    <t>MTRCRN33B62A225F</t>
  </si>
  <si>
    <t>MATERA CATERINA</t>
  </si>
  <si>
    <t>FRATELLI FERRO - SEMOLERIE MOLISANE S.R.L.</t>
  </si>
  <si>
    <t>PASQUARELLI AUTO SOCIETA' PER AZIONI</t>
  </si>
  <si>
    <t>202506047831177L</t>
  </si>
  <si>
    <t>202506047828948L</t>
  </si>
  <si>
    <t>SUPERIOR GAS DI VETTESE ANTONIO &amp; C. SOCIETA</t>
  </si>
  <si>
    <t>202506047828398L</t>
  </si>
  <si>
    <t>202506047828859L</t>
  </si>
  <si>
    <t>MGNNTN49M69L049C</t>
  </si>
  <si>
    <t>MIGNOGNA ANTONIA</t>
  </si>
  <si>
    <t>CLAMRA47A50A225C</t>
  </si>
  <si>
    <t>CALIA MARIA</t>
  </si>
  <si>
    <t>SINT.EL. SRL</t>
  </si>
  <si>
    <t>202506047826895L</t>
  </si>
  <si>
    <t>MLLNMR84M65A893U</t>
  </si>
  <si>
    <t>MILILLO ANNA MARIA</t>
  </si>
  <si>
    <t>Vari (03/06/2025)</t>
  </si>
  <si>
    <t>LLTRCL59E07B743J</t>
  </si>
  <si>
    <t>LAULETTA ERCOLE</t>
  </si>
  <si>
    <t>TFNVCN80E08A225P</t>
  </si>
  <si>
    <t>TAFUNI VINCENZO</t>
  </si>
  <si>
    <t>LBRDVD86A13F912R</t>
  </si>
  <si>
    <t>ALBERICO DAVIDE</t>
  </si>
  <si>
    <t>LVGNTN74E31A225D</t>
  </si>
  <si>
    <t>LOVIGLIO ANTONIO</t>
  </si>
  <si>
    <t>952 - RIPARAZIONE DI BENI PER USO PERSONALE E PER LA CASA</t>
  </si>
  <si>
    <t>202506037704161L</t>
  </si>
  <si>
    <t>CRRMRA48E70L049R</t>
  </si>
  <si>
    <t>CARRIERO MARIA</t>
  </si>
  <si>
    <t>LRSDNL86S49A225T</t>
  </si>
  <si>
    <t>LORUSSO DANIELA</t>
  </si>
  <si>
    <t>CNZNZC94E02L109U</t>
  </si>
  <si>
    <t>CANZONIERE NUNZIO COSMIANO</t>
  </si>
  <si>
    <t>220 - PORTORICO</t>
  </si>
  <si>
    <t>MRNNDR69H02A225C</t>
  </si>
  <si>
    <t>MARINELLI ANDREA</t>
  </si>
  <si>
    <t>LRDVCR42B06L477L</t>
  </si>
  <si>
    <t>LARDO VITO CARMINE</t>
  </si>
  <si>
    <t>SNGMRA45E68E155A</t>
  </si>
  <si>
    <t>SANGIRARDI MARIA</t>
  </si>
  <si>
    <t>CNGLRA67P50H501Z</t>
  </si>
  <si>
    <t>CANGIOLI LAURA</t>
  </si>
  <si>
    <t>PLLGPP67A15A285B</t>
  </si>
  <si>
    <t>PELLEGRINO GIUSEPPE</t>
  </si>
  <si>
    <t>BCCGNN82H46F537L</t>
  </si>
  <si>
    <t>BUCCINNA' GIOVANNA</t>
  </si>
  <si>
    <t>202506037706376L</t>
  </si>
  <si>
    <t>RKVRZC44C50Z118J</t>
  </si>
  <si>
    <t>RUKAVINA RUZICA</t>
  </si>
  <si>
    <t>RCRDNC80L21F537C</t>
  </si>
  <si>
    <t>ARACRI DOMENICO</t>
  </si>
  <si>
    <t>PRTLNE97M58B619V</t>
  </si>
  <si>
    <t>PORTA ELENA</t>
  </si>
  <si>
    <t>TRLMGR99M70I954W</t>
  </si>
  <si>
    <t>TARULLI MARIAGRAZIA</t>
  </si>
  <si>
    <t>DI CIERO S.R.L.</t>
  </si>
  <si>
    <t>CPRNNZ71D41A225F</t>
  </si>
  <si>
    <t>CAPOROSSO ANNUNZIATA</t>
  </si>
  <si>
    <t>PTRCLD57P22L049C</t>
  </si>
  <si>
    <t>PETRUZZI CATALDO</t>
  </si>
  <si>
    <t>Vari (01/06/2025)</t>
  </si>
  <si>
    <t>CTCRCR34S16L049O</t>
  </si>
  <si>
    <t>CATACCHIO RICCARDO</t>
  </si>
  <si>
    <t>CLLTRS54S64A662F</t>
  </si>
  <si>
    <t>COLELLA TERESA</t>
  </si>
  <si>
    <t>CTCLBT67A71L049W</t>
  </si>
  <si>
    <t>CATACCHIO ELISABETTA</t>
  </si>
  <si>
    <t>SMNMRA47A31A662G</t>
  </si>
  <si>
    <t>SIMONE MAURO</t>
  </si>
  <si>
    <t>CTCMHL61P16L049L</t>
  </si>
  <si>
    <t>CATACCHIO MICHELE</t>
  </si>
  <si>
    <t>Grand Total</t>
  </si>
  <si>
    <t>Count of POSIZIONE</t>
  </si>
  <si>
    <t>(blank)</t>
  </si>
  <si>
    <t>Classe</t>
  </si>
  <si>
    <t>% POSIZIONE</t>
  </si>
  <si>
    <t># POSIZIONE</t>
  </si>
  <si>
    <t>ATECO_CODE</t>
  </si>
  <si>
    <t>SAE_CODE</t>
  </si>
  <si>
    <t>SAE_ATECO_CODE</t>
  </si>
  <si>
    <t>Classe_old</t>
  </si>
  <si>
    <t>RES_ATECO</t>
  </si>
  <si>
    <t>620</t>
  </si>
  <si>
    <t>430</t>
  </si>
  <si>
    <t>430620</t>
  </si>
  <si>
    <t>Classe di rischio 3</t>
  </si>
  <si>
    <t>999</t>
  </si>
  <si>
    <t>430999</t>
  </si>
  <si>
    <t>1</t>
  </si>
  <si>
    <t>Classe di rischio 1</t>
  </si>
  <si>
    <t>462</t>
  </si>
  <si>
    <t>430462</t>
  </si>
  <si>
    <t>615</t>
  </si>
  <si>
    <t>615999</t>
  </si>
  <si>
    <t>430451</t>
  </si>
  <si>
    <t>931</t>
  </si>
  <si>
    <t>430931</t>
  </si>
  <si>
    <t>464</t>
  </si>
  <si>
    <t>430464</t>
  </si>
  <si>
    <t>Classe di rischio 4</t>
  </si>
  <si>
    <t>463</t>
  </si>
  <si>
    <t>430463</t>
  </si>
  <si>
    <t>433</t>
  </si>
  <si>
    <t>430433</t>
  </si>
  <si>
    <t>477</t>
  </si>
  <si>
    <t>430477</t>
  </si>
  <si>
    <t>259</t>
  </si>
  <si>
    <t>259999</t>
  </si>
  <si>
    <t>Classe di rischio 0</t>
  </si>
  <si>
    <t>285</t>
  </si>
  <si>
    <t>285999</t>
  </si>
  <si>
    <t>258</t>
  </si>
  <si>
    <t>258999</t>
  </si>
  <si>
    <t>102</t>
  </si>
  <si>
    <t>102999</t>
  </si>
  <si>
    <t>600</t>
  </si>
  <si>
    <t>600999</t>
  </si>
  <si>
    <t>Classe di rischio 7</t>
  </si>
  <si>
    <t>492</t>
  </si>
  <si>
    <t>492477</t>
  </si>
  <si>
    <t>Classe di rischio 5</t>
  </si>
  <si>
    <t>920</t>
  </si>
  <si>
    <t>492920</t>
  </si>
  <si>
    <t>173</t>
  </si>
  <si>
    <t>173999</t>
  </si>
  <si>
    <t>615477</t>
  </si>
  <si>
    <t>Classe di rischio 6</t>
  </si>
  <si>
    <t>492999</t>
  </si>
  <si>
    <t>Classe di rischio 2</t>
  </si>
  <si>
    <t>501</t>
  </si>
  <si>
    <t>501999</t>
  </si>
  <si>
    <t>614</t>
  </si>
  <si>
    <t>614999</t>
  </si>
  <si>
    <t>412</t>
  </si>
  <si>
    <t>430412</t>
  </si>
  <si>
    <t>491</t>
  </si>
  <si>
    <t>491999</t>
  </si>
  <si>
    <t>429</t>
  </si>
  <si>
    <t>430429</t>
  </si>
  <si>
    <t>561</t>
  </si>
  <si>
    <t>492561</t>
  </si>
  <si>
    <t>615920</t>
  </si>
  <si>
    <t>430920</t>
  </si>
  <si>
    <t>758</t>
  </si>
  <si>
    <t>758999</t>
  </si>
  <si>
    <t>421</t>
  </si>
  <si>
    <t>430421</t>
  </si>
  <si>
    <t>500</t>
  </si>
  <si>
    <t>500999</t>
  </si>
  <si>
    <t>480</t>
  </si>
  <si>
    <t>480477</t>
  </si>
  <si>
    <t>482</t>
  </si>
  <si>
    <t>482999</t>
  </si>
  <si>
    <t>450</t>
  </si>
  <si>
    <t>450999</t>
  </si>
  <si>
    <t>775</t>
  </si>
  <si>
    <t>775999</t>
  </si>
  <si>
    <t>493</t>
  </si>
  <si>
    <t>430493</t>
  </si>
  <si>
    <t>248</t>
  </si>
  <si>
    <t>248999</t>
  </si>
  <si>
    <t>812</t>
  </si>
  <si>
    <t>430812</t>
  </si>
  <si>
    <t>383</t>
  </si>
  <si>
    <t>614383</t>
  </si>
  <si>
    <t>619</t>
  </si>
  <si>
    <t>430619</t>
  </si>
  <si>
    <t>453</t>
  </si>
  <si>
    <t>430453</t>
  </si>
  <si>
    <t>236</t>
  </si>
  <si>
    <t>430236</t>
  </si>
  <si>
    <t>475</t>
  </si>
  <si>
    <t>475999</t>
  </si>
  <si>
    <t>480999</t>
  </si>
  <si>
    <t>280</t>
  </si>
  <si>
    <t>280999</t>
  </si>
  <si>
    <t>450412</t>
  </si>
  <si>
    <t>482477</t>
  </si>
  <si>
    <t>432</t>
  </si>
  <si>
    <t>432999</t>
  </si>
  <si>
    <t>284</t>
  </si>
  <si>
    <t>284999</t>
  </si>
  <si>
    <t>731</t>
  </si>
  <si>
    <t>430731</t>
  </si>
  <si>
    <t>245</t>
  </si>
  <si>
    <t>245999</t>
  </si>
  <si>
    <t>454</t>
  </si>
  <si>
    <t>430454</t>
  </si>
  <si>
    <t>178</t>
  </si>
  <si>
    <t>178999</t>
  </si>
  <si>
    <t>801</t>
  </si>
  <si>
    <t>430801</t>
  </si>
  <si>
    <t>290</t>
  </si>
  <si>
    <t>290999</t>
  </si>
  <si>
    <t>431</t>
  </si>
  <si>
    <t>430431</t>
  </si>
  <si>
    <t>614477</t>
  </si>
  <si>
    <t>932</t>
  </si>
  <si>
    <t>430932</t>
  </si>
  <si>
    <t>611</t>
  </si>
  <si>
    <t>430611</t>
  </si>
  <si>
    <t>773</t>
  </si>
  <si>
    <t>773999</t>
  </si>
  <si>
    <t>439</t>
  </si>
  <si>
    <t>430439</t>
  </si>
  <si>
    <t>952</t>
  </si>
  <si>
    <t>615952</t>
  </si>
  <si>
    <t>SPECIAL</t>
  </si>
  <si>
    <t>(All)</t>
  </si>
  <si>
    <t>Totale Netech</t>
  </si>
  <si>
    <t>Post Calibrazione</t>
  </si>
  <si>
    <t>Done</t>
  </si>
  <si>
    <t>On Going</t>
  </si>
  <si>
    <t>Nel perimetro</t>
  </si>
  <si>
    <t>yes</t>
  </si>
  <si>
    <t>no</t>
  </si>
  <si>
    <t>Stato avanzamento</t>
  </si>
  <si>
    <t>Riduzione</t>
  </si>
  <si>
    <t>Totale Perimetro Calibrazione Fatto</t>
  </si>
  <si>
    <t>Calibrata</t>
  </si>
  <si>
    <t>O/W still Alert</t>
  </si>
  <si>
    <t>O/W Alert Removed</t>
  </si>
  <si>
    <t>Value</t>
  </si>
  <si>
    <t>Percentage</t>
  </si>
  <si>
    <t>Scenari in Uso</t>
  </si>
  <si>
    <t>Top 6</t>
  </si>
  <si>
    <t>Totale top 6</t>
  </si>
  <si>
    <t>Totale Netech In Uso</t>
  </si>
  <si>
    <t>scen 14</t>
  </si>
  <si>
    <t>scen 90</t>
  </si>
  <si>
    <t>scen 30</t>
  </si>
  <si>
    <t>Sum</t>
  </si>
  <si>
    <t>Open Alert Scen Calibrata</t>
  </si>
  <si>
    <t>FP Scetari NON Calibrate</t>
  </si>
  <si>
    <t>Open Alert Scetari NON Calibrate</t>
  </si>
  <si>
    <t>FP Scen Calibrata</t>
  </si>
  <si>
    <t>Controllo</t>
  </si>
  <si>
    <t>Riduzione volumen Alert</t>
  </si>
  <si>
    <t>Calcolo del False Positive Rate e Delta Open Alert</t>
  </si>
  <si>
    <t>FP Post calib / FP T0</t>
  </si>
  <si>
    <t>Open Post Calib / Open T0</t>
  </si>
  <si>
    <t>(Multiple Items)</t>
  </si>
  <si>
    <t>FP eliminata</t>
  </si>
  <si>
    <t>Open eliminata</t>
  </si>
  <si>
    <t>FP Totale Calibrata</t>
  </si>
  <si>
    <t>Open Alert Totale Calibrata</t>
  </si>
  <si>
    <t>Delta soglie</t>
  </si>
  <si>
    <t>Mean</t>
  </si>
  <si>
    <t>Prudenziale</t>
  </si>
  <si>
    <t>Intermedio</t>
  </si>
  <si>
    <t>Aggressivo</t>
  </si>
  <si>
    <t>Le celle sono automatizzate a partire dall’analisi contenuta nel file Excel di accompagnamento</t>
  </si>
  <si>
    <t>Scenari gia clibrati</t>
  </si>
  <si>
    <t>Scenari non calibrati</t>
  </si>
  <si>
    <t>Spostamento delle soglie</t>
  </si>
  <si>
    <t>scen 100</t>
  </si>
  <si>
    <t>scen 95</t>
  </si>
  <si>
    <t>scen DF03-02</t>
  </si>
  <si>
    <t>FP as-is</t>
  </si>
  <si>
    <t>FP Calibrata</t>
  </si>
  <si>
    <t>Totale alert top 6 as is</t>
  </si>
  <si>
    <t>Totale alert top 6 calibrata</t>
  </si>
  <si>
    <t>Open Alert Calibrata</t>
  </si>
  <si>
    <t>Open Alert as-is</t>
  </si>
  <si>
    <t>Spostamento Soglie</t>
  </si>
  <si>
    <t>Eliminazione Alert Aperti</t>
  </si>
  <si>
    <t>Eliminazione Alert Falsi Positivi</t>
  </si>
  <si>
    <t>Soglia di percentile 5</t>
  </si>
  <si>
    <t>Soglia di percentile 25</t>
  </si>
  <si>
    <t>Soglia di percentile 50</t>
  </si>
  <si>
    <t>Path</t>
  </si>
  <si>
    <t>Interval analisis</t>
  </si>
  <si>
    <t>Scelta BPPB</t>
  </si>
  <si>
    <t>Riduzione su top 6</t>
  </si>
  <si>
    <t>Controlli di correttezza</t>
  </si>
  <si>
    <r>
      <t xml:space="preserve">L’analisi ha l’obiettivo di creare </t>
    </r>
    <r>
      <rPr>
        <b/>
        <sz val="11"/>
        <color theme="1"/>
        <rFont val="Calibri"/>
        <family val="2"/>
        <scheme val="minor"/>
      </rPr>
      <t>una vista aggregata dell’impatto derivante dalle diverse scelte di soglia sugli scenari 14, 90, 30, 100, 95 e DF03-02 ai fini di reporting.</t>
    </r>
    <r>
      <rPr>
        <sz val="11"/>
        <color theme="1"/>
        <rFont val="Calibri"/>
        <family val="2"/>
        <scheme val="minor"/>
      </rPr>
      <t xml:space="preserve">
Per utilizzare lo strumento è sufficiente selezionare le soglie all’interno dei file Excel degli scenari. L’aggregatore attuale recupera automaticamente i dati necessari dai file degli scenari e calcola l’impatto complessivo.
</t>
    </r>
    <r>
      <rPr>
        <b/>
        <sz val="11"/>
        <color theme="1"/>
        <rFont val="Calibri"/>
        <family val="2"/>
        <scheme val="minor"/>
      </rPr>
      <t>Per confrontare le opzioni prudenziale, intermedia e aggressiva è sufficiente raccogliere manualmente i risultati prodotti dallo strumento ed effettuare il confronto.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</si>
</sst>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9" fontId="0" fillId="0" borderId="0" xfId="0" applyNumberFormat="1"/>
    <xf numFmtId="9" fontId="0" fillId="7" borderId="0" xfId="1" applyFont="1" applyFill="1"/>
    <xf numFmtId="0" fontId="0" fillId="8" borderId="0" xfId="0" applyFill="1"/>
    <xf numFmtId="9" fontId="0" fillId="7" borderId="0" xfId="0" applyNumberFormat="1" applyFill="1"/>
    <xf numFmtId="0" fontId="3" fillId="0" borderId="0" xfId="2"/>
    <xf numFmtId="0" fontId="0" fillId="10" borderId="0" xfId="0" applyFill="1"/>
    <xf numFmtId="9" fontId="0" fillId="9" borderId="0" xfId="1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8" borderId="0" xfId="1" applyFont="1" applyFill="1" applyAlignment="1">
      <alignment horizontal="center" vertical="center"/>
    </xf>
    <xf numFmtId="9" fontId="0" fillId="2" borderId="0" xfId="1" applyFont="1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left" wrapText="1"/>
    </xf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2"/>
        </patternFill>
      </fill>
    </dxf>
    <dxf>
      <numFmt numFmtId="14" formatCode="0.00%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Sintesi!$E$39</c:f>
              <c:strCache>
                <c:ptCount val="1"/>
                <c:pt idx="0">
                  <c:v>Riduzione su top 6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Sintesi!$F$37:$H$37</c:f>
              <c:strCache>
                <c:ptCount val="3"/>
                <c:pt idx="0">
                  <c:v>Prudenziale</c:v>
                </c:pt>
                <c:pt idx="1">
                  <c:v>Intermedio</c:v>
                </c:pt>
                <c:pt idx="2">
                  <c:v>Aggressivo</c:v>
                </c:pt>
              </c:strCache>
            </c:strRef>
          </c:cat>
          <c:val>
            <c:numRef>
              <c:f>Sintesi!$F$39:$H$39</c:f>
              <c:numCache>
                <c:formatCode>0%</c:formatCode>
                <c:ptCount val="3"/>
                <c:pt idx="0">
                  <c:v>0.1096795507102742</c:v>
                </c:pt>
                <c:pt idx="1">
                  <c:v>0.20944829864552361</c:v>
                </c:pt>
                <c:pt idx="2">
                  <c:v>0.32441361083581105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B-467A-B015-DF1D8497F708}"/>
            </c:ext>
          </c:extLst>
        </c:ser>
        <c:ser>
          <c:idx val="1"/>
          <c:order val="1"/>
          <c:tx>
            <c:strRef>
              <c:f>Sintesi!$E$40</c:f>
              <c:strCache>
                <c:ptCount val="1"/>
                <c:pt idx="0">
                  <c:v>Eliminazione Alert Falsi Positivi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Sintesi!$F$37:$H$37</c:f>
              <c:strCache>
                <c:ptCount val="3"/>
                <c:pt idx="0">
                  <c:v>Prudenziale</c:v>
                </c:pt>
                <c:pt idx="1">
                  <c:v>Intermedio</c:v>
                </c:pt>
                <c:pt idx="2">
                  <c:v>Aggressivo</c:v>
                </c:pt>
              </c:strCache>
            </c:strRef>
          </c:cat>
          <c:val>
            <c:numRef>
              <c:f>Sintesi!$F$40:$H$40</c:f>
              <c:numCache>
                <c:formatCode>0%</c:formatCode>
                <c:ptCount val="3"/>
                <c:pt idx="0">
                  <c:v>0.13019000703729769</c:v>
                </c:pt>
                <c:pt idx="1">
                  <c:v>0.2378606615059817</c:v>
                </c:pt>
                <c:pt idx="2">
                  <c:v>0.37508796622097113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B-467A-B015-DF1D8497F708}"/>
            </c:ext>
          </c:extLst>
        </c:ser>
        <c:ser>
          <c:idx val="2"/>
          <c:order val="2"/>
          <c:tx>
            <c:strRef>
              <c:f>Sintesi!$E$41</c:f>
              <c:strCache>
                <c:ptCount val="1"/>
                <c:pt idx="0">
                  <c:v>Eliminazione Alert Aperti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Sintesi!$F$37:$H$37</c:f>
              <c:strCache>
                <c:ptCount val="3"/>
                <c:pt idx="0">
                  <c:v>Prudenziale</c:v>
                </c:pt>
                <c:pt idx="1">
                  <c:v>Intermedio</c:v>
                </c:pt>
                <c:pt idx="2">
                  <c:v>Aggressivo</c:v>
                </c:pt>
              </c:strCache>
            </c:strRef>
          </c:cat>
          <c:val>
            <c:numRef>
              <c:f>Sintesi!$F$41:$H$41</c:f>
              <c:numCache>
                <c:formatCode>0%</c:formatCode>
                <c:ptCount val="3"/>
                <c:pt idx="0">
                  <c:v>9.1531755915317564E-2</c:v>
                </c:pt>
                <c:pt idx="1">
                  <c:v>0.18430884184308841</c:v>
                </c:pt>
                <c:pt idx="2">
                  <c:v>0.27957658779576589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2B-467A-B015-DF1D8497F70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96153711"/>
        <c:axId val="1696155631"/>
      </c:barChart>
      <c:lineChart>
        <c:grouping val="standard"/>
        <c:varyColors val="0"/>
        <c:ser>
          <c:idx val="3"/>
          <c:order val="3"/>
          <c:tx>
            <c:strRef>
              <c:f>Sintesi!$E$38</c:f>
              <c:strCache>
                <c:ptCount val="1"/>
                <c:pt idx="0">
                  <c:v>Spostamento Soglie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Sintesi!$F$38:$H$38</c:f>
              <c:numCache>
                <c:formatCode>0%</c:formatCode>
                <c:ptCount val="3"/>
                <c:pt idx="0">
                  <c:v>0.13632945455427159</c:v>
                </c:pt>
                <c:pt idx="1">
                  <c:v>0.4113348341364878</c:v>
                </c:pt>
                <c:pt idx="2">
                  <c:v>0.73084055888280552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B-467A-B015-DF1D8497F7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00428607"/>
        <c:axId val="1700424287"/>
      </c:lineChart>
      <c:catAx>
        <c:axId val="169615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6155631"/>
        <c:crosses val="autoZero"/>
        <c:auto val="1"/>
        <c:lblAlgn val="ctr"/>
        <c:lblOffset val="100"/>
        <c:noMultiLvlLbl val="0"/>
      </c:catAx>
      <c:valAx>
        <c:axId val="16961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6153711"/>
        <c:crosses val="autoZero"/>
        <c:crossBetween val="between"/>
      </c:valAx>
      <c:valAx>
        <c:axId val="170042428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0428607"/>
        <c:crosses val="max"/>
        <c:crossBetween val="between"/>
      </c:valAx>
      <c:catAx>
        <c:axId val="1700428607"/>
        <c:scaling>
          <c:orientation val="minMax"/>
        </c:scaling>
        <c:delete val="1"/>
        <c:axPos val="b"/>
        <c:majorTickMark val="out"/>
        <c:minorTickMark val="none"/>
        <c:tickLblPos val="nextTo"/>
        <c:crossAx val="1700424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Sintesi!$O$39</c:f>
              <c:strCache>
                <c:ptCount val="1"/>
                <c:pt idx="0">
                  <c:v>Riduzione su top 6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Sintesi!$P$37:$R$37</c:f>
              <c:strCache>
                <c:ptCount val="3"/>
                <c:pt idx="0">
                  <c:v>Soglia di percentile 5</c:v>
                </c:pt>
                <c:pt idx="1">
                  <c:v>Soglia di percentile 25</c:v>
                </c:pt>
                <c:pt idx="2">
                  <c:v>Soglia di percentile 50</c:v>
                </c:pt>
              </c:strCache>
            </c:strRef>
          </c:cat>
          <c:val>
            <c:numRef>
              <c:f>Sintesi!$P$39:$R$39</c:f>
              <c:numCache>
                <c:formatCode>0%</c:formatCode>
                <c:ptCount val="3"/>
                <c:pt idx="0">
                  <c:v>4.3937892302609846E-2</c:v>
                </c:pt>
                <c:pt idx="1">
                  <c:v>0.18070697059795177</c:v>
                </c:pt>
                <c:pt idx="2">
                  <c:v>0.36174430128840435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7-4C2E-900B-B4AD25341610}"/>
            </c:ext>
          </c:extLst>
        </c:ser>
        <c:ser>
          <c:idx val="1"/>
          <c:order val="1"/>
          <c:tx>
            <c:strRef>
              <c:f>Sintesi!$O$40</c:f>
              <c:strCache>
                <c:ptCount val="1"/>
                <c:pt idx="0">
                  <c:v>Eliminazione Alert Falsi Positivi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Sintesi!$P$37:$R$37</c:f>
              <c:strCache>
                <c:ptCount val="3"/>
                <c:pt idx="0">
                  <c:v>Soglia di percentile 5</c:v>
                </c:pt>
                <c:pt idx="1">
                  <c:v>Soglia di percentile 25</c:v>
                </c:pt>
                <c:pt idx="2">
                  <c:v>Soglia di percentile 50</c:v>
                </c:pt>
              </c:strCache>
            </c:strRef>
          </c:cat>
          <c:val>
            <c:numRef>
              <c:f>Sintesi!$P$40:$R$40</c:f>
              <c:numCache>
                <c:formatCode>0%</c:formatCode>
                <c:ptCount val="3"/>
                <c:pt idx="0">
                  <c:v>4.5742434904996479E-2</c:v>
                </c:pt>
                <c:pt idx="1">
                  <c:v>0.199155524278677</c:v>
                </c:pt>
                <c:pt idx="2">
                  <c:v>0.39408866995073893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7-4C2E-900B-B4AD25341610}"/>
            </c:ext>
          </c:extLst>
        </c:ser>
        <c:ser>
          <c:idx val="2"/>
          <c:order val="2"/>
          <c:tx>
            <c:strRef>
              <c:f>Sintesi!$O$41</c:f>
              <c:strCache>
                <c:ptCount val="1"/>
                <c:pt idx="0">
                  <c:v>Eliminazione Alert Aperti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Sintesi!$P$37:$R$37</c:f>
              <c:strCache>
                <c:ptCount val="3"/>
                <c:pt idx="0">
                  <c:v>Soglia di percentile 5</c:v>
                </c:pt>
                <c:pt idx="1">
                  <c:v>Soglia di percentile 25</c:v>
                </c:pt>
                <c:pt idx="2">
                  <c:v>Soglia di percentile 50</c:v>
                </c:pt>
              </c:strCache>
            </c:strRef>
          </c:cat>
          <c:val>
            <c:numRef>
              <c:f>Sintesi!$P$41:$R$41</c:f>
              <c:numCache>
                <c:formatCode>0%</c:formatCode>
                <c:ptCount val="3"/>
                <c:pt idx="0">
                  <c:v>4.2341220423412207E-2</c:v>
                </c:pt>
                <c:pt idx="1">
                  <c:v>0.16438356164383561</c:v>
                </c:pt>
                <c:pt idx="2">
                  <c:v>0.33312577833125778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E7-4C2E-900B-B4AD25341610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96153711"/>
        <c:axId val="1696155631"/>
      </c:barChart>
      <c:lineChart>
        <c:grouping val="standard"/>
        <c:varyColors val="0"/>
        <c:ser>
          <c:idx val="3"/>
          <c:order val="3"/>
          <c:tx>
            <c:strRef>
              <c:f>Sintesi!$O$38</c:f>
              <c:strCache>
                <c:ptCount val="1"/>
                <c:pt idx="0">
                  <c:v>Spostamento Soglie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Sintesi!$P$38:$R$38</c:f>
              <c:numCache>
                <c:formatCode>0%</c:formatCode>
                <c:ptCount val="3"/>
                <c:pt idx="0">
                  <c:v>0.14026990480571494</c:v>
                </c:pt>
                <c:pt idx="1">
                  <c:v>0.47681377897305599</c:v>
                </c:pt>
                <c:pt idx="2">
                  <c:v>1.5210661738396682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E7-4C2E-900B-B4AD253416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00428607"/>
        <c:axId val="1700424287"/>
      </c:lineChart>
      <c:catAx>
        <c:axId val="169615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6155631"/>
        <c:crosses val="autoZero"/>
        <c:auto val="1"/>
        <c:lblAlgn val="ctr"/>
        <c:lblOffset val="100"/>
        <c:noMultiLvlLbl val="0"/>
      </c:catAx>
      <c:valAx>
        <c:axId val="16961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6153711"/>
        <c:crosses val="autoZero"/>
        <c:crossBetween val="between"/>
      </c:valAx>
      <c:valAx>
        <c:axId val="170042428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0428607"/>
        <c:crosses val="max"/>
        <c:crossBetween val="between"/>
      </c:valAx>
      <c:catAx>
        <c:axId val="1700428607"/>
        <c:scaling>
          <c:orientation val="minMax"/>
        </c:scaling>
        <c:delete val="1"/>
        <c:axPos val="b"/>
        <c:majorTickMark val="out"/>
        <c:minorTickMark val="none"/>
        <c:tickLblPos val="nextTo"/>
        <c:crossAx val="1700424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AA59FD29-C26A-4C1E-AAD3-5EDBE64CF297}">
          <cx:spPr>
            <a:solidFill>
              <a:schemeClr val="bg1">
                <a:lumMod val="75000"/>
              </a:schemeClr>
            </a:solidFill>
          </cx:spPr>
          <cx:dataPt idx="4">
            <cx:spPr>
              <a:solidFill>
                <a:srgbClr val="9BBB59">
                  <a:lumMod val="60000"/>
                  <a:lumOff val="40000"/>
                </a:srgbClr>
              </a:solidFill>
            </cx:spPr>
          </cx:dataPt>
          <cx:dataPt idx="5">
            <cx:spPr>
              <a:solidFill>
                <a:srgbClr val="F79646">
                  <a:lumMod val="60000"/>
                  <a:lumOff val="40000"/>
                </a:srgbClr>
              </a:solidFill>
            </cx:spPr>
          </cx:dataPt>
          <cx:dataPt idx="6">
            <cx:spPr>
              <a:solidFill>
                <a:srgbClr val="9BBB59">
                  <a:lumMod val="60000"/>
                  <a:lumOff val="40000"/>
                </a:srgbClr>
              </a:solidFill>
            </cx:spPr>
          </cx:dataPt>
          <cx:dataPt idx="7">
            <cx:spPr>
              <a:solidFill>
                <a:srgbClr val="F79646">
                  <a:lumMod val="60000"/>
                  <a:lumOff val="40000"/>
                </a:srgbClr>
              </a:solidFill>
            </cx:spPr>
          </cx:dataPt>
          <cx:dataPt idx="8">
            <cx:spPr>
              <a:solidFill>
                <a:srgbClr val="9BBB59">
                  <a:lumMod val="60000"/>
                  <a:lumOff val="40000"/>
                </a:srgbClr>
              </a:solidFill>
            </cx:spPr>
          </cx:dataPt>
          <cx:dataLabels pos="outEnd">
            <cx:numFmt formatCode="0;0" sourceLinked="0"/>
            <cx:visibility seriesName="0" categoryName="0" value="1"/>
            <cx:separator>, </cx:separator>
            <cx:dataLabel idx="5">
              <cx:visibility seriesName="0" categoryName="0" value="1"/>
              <cx:separator>, </cx:separator>
            </cx:dataLabel>
            <cx:dataLabel idx="7">
              <cx:numFmt formatCode="0;0" sourceLinked="0"/>
              <cx:visibility seriesName="0" categoryName="0" value="1"/>
              <cx:separator>, </cx:separator>
            </cx:dataLabel>
          </cx:dataLabels>
          <cx:dataId val="0"/>
          <cx:layoutPr>
            <cx:visibility connectorLines="1"/>
            <cx:subtotals>
              <cx:idx val="2"/>
              <cx:idx val="4"/>
              <cx:idx val="6"/>
              <cx:idx val="8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985465</xdr:colOff>
      <xdr:row>42</xdr:row>
      <xdr:rowOff>61838</xdr:rowOff>
    </xdr:from>
    <xdr:to>
      <xdr:col>9</xdr:col>
      <xdr:colOff>143061</xdr:colOff>
      <xdr:row>64</xdr:row>
      <xdr:rowOff>68187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4F402B-CD42-ECCC-29D2-8E01406DC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42</xdr:row>
      <xdr:rowOff>0</xdr:rowOff>
    </xdr:from>
    <xdr:to>
      <xdr:col>25</xdr:col>
      <xdr:colOff>110095</xdr:colOff>
      <xdr:row>64</xdr:row>
      <xdr:rowOff>6349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18635F-8594-4287-90FA-FE51BE136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834030</xdr:colOff>
      <xdr:row>10</xdr:row>
      <xdr:rowOff>56866</xdr:rowOff>
    </xdr:from>
    <xdr:to>
      <xdr:col>5</xdr:col>
      <xdr:colOff>379104</xdr:colOff>
      <xdr:row>16</xdr:row>
      <xdr:rowOff>28433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2042E3E6-FC77-8C4A-B135-36D60DCC7738}"/>
            </a:ext>
          </a:extLst>
        </xdr:cNvPr>
        <xdr:cNvSpPr/>
      </xdr:nvSpPr>
      <xdr:spPr>
        <a:xfrm>
          <a:off x="834030" y="1857612"/>
          <a:ext cx="4757761" cy="1052015"/>
        </a:xfrm>
        <a:prstGeom prst="wedgeRoundRectCallout">
          <a:avLst>
            <a:gd name="adj1" fmla="val -26356"/>
            <a:gd name="adj2" fmla="val 7561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400" b="1"/>
            <a:t>Per ogni scelta del set di soglie, ad esempio prudenziale, intermedia o aggressiva, inserire manualmente i valori nelle tabelle sottostanti</a:t>
          </a:r>
          <a:endParaRPr lang="it-IT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529166</xdr:colOff>
      <xdr:row>19</xdr:row>
      <xdr:rowOff>151191</xdr:rowOff>
    </xdr:from>
    <xdr:to>
      <xdr:col>10</xdr:col>
      <xdr:colOff>571257</xdr:colOff>
      <xdr:row>37</xdr:row>
      <xdr:rowOff>116417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A0ACDC3-BA03-4A21-B73D-EFBAEDE831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06166" y="3650041"/>
              <a:ext cx="5439591" cy="32799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.accenture.com/sites/BPPB-Progetti/Shared%20Documents/BPPB%20-%20AML%20-%20TxM/AML%20-%20TxM%20Calibrazione/06%20Deliverable/Excel%20Simulator/20251107_tool%20excel_scelte_BPPB/tool%20excel/Analisi_00014_risultati_vf.xlsx" TargetMode="External"/><Relationship Id="rId1" Type="http://schemas.openxmlformats.org/officeDocument/2006/relationships/externalLinkPath" Target="Analisi_00014_risultati_vf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.accenture.com/sites/BPPB-Progetti/Shared%20Documents/BPPB%20-%20AML%20-%20TxM/AML%20-%20TxM%20Calibrazione/06%20Deliverable/Excel%20Simulator/20251107_tool%20excel_scelte_BPPB/tool%20excel/Analisi_00100_risultati_vf.xlsx" TargetMode="External"/><Relationship Id="rId1" Type="http://schemas.openxmlformats.org/officeDocument/2006/relationships/externalLinkPath" Target="Analisi_00100_risultati_vf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.accenture.com/sites/BPPB-Progetti/Shared%20Documents/BPPB%20-%20AML%20-%20TxM/AML%20-%20TxM%20Calibrazione/06%20Deliverable/Excel%20Simulator/20251107_tool%20excel_scelte_BPPB/tool%20excel/Analisi_00095_risultati_vf.xlsx" TargetMode="External"/><Relationship Id="rId1" Type="http://schemas.openxmlformats.org/officeDocument/2006/relationships/externalLinkPath" Target="Analisi_00095_risultati_vf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.accenture.com/sites/BPPB-Progetti/Shared%20Documents/BPPB%20-%20AML%20-%20TxM/AML%20-%20TxM%20Calibrazione/06%20Deliverable/Excel%20Simulator/20251107_tool%20excel_scelte_BPPB/tool%20excel/Analisi_DF03_02_risultati_vf.xlsx" TargetMode="External"/><Relationship Id="rId1" Type="http://schemas.openxmlformats.org/officeDocument/2006/relationships/externalLinkPath" Target="Analisi_DF03_02_risultati_vf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.accenture.com/sites/BPPB-Progetti/Shared%20Documents/BPPB%20-%20AML%20-%20TxM/AML%20-%20TxM%20Calibrazione/06%20Deliverable/Excel%20Simulator/20251107_tool%20excel_scelte_BPPB/tool%20excel/Analisi_00090_risultati_vf.xlsx" TargetMode="External"/><Relationship Id="rId1" Type="http://schemas.openxmlformats.org/officeDocument/2006/relationships/externalLinkPath" Target="Analisi_00090_risultati_vf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.accenture.com/sites/BPPB-Progetti/Shared%20Documents/BPPB%20-%20AML%20-%20TxM/AML%20-%20TxM%20Calibrazione/06%20Deliverable/Excel%20Simulator/20251107_tool%20excel_scelte_BPPB/tool%20excel/Analisi_00030_risultati_vf.xlsx" TargetMode="External"/><Relationship Id="rId1" Type="http://schemas.openxmlformats.org/officeDocument/2006/relationships/externalLinkPath" Target="Analisi_00030_risultati_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zione"/>
      <sheetName val="Scelta Causale &amp; Classe"/>
      <sheetName val="48 &amp; 0"/>
      <sheetName val="48 &amp; 1"/>
      <sheetName val="48 &amp; 3"/>
      <sheetName val="48 &amp; 7"/>
      <sheetName val="26 &amp; 0"/>
      <sheetName val="26 &amp; 1"/>
      <sheetName val="26 &amp; 3"/>
      <sheetName val="26 &amp; 7"/>
      <sheetName val="SPECIALE &amp; 1"/>
      <sheetName val="SPECIALE &amp; 3"/>
      <sheetName val="SPECIALE &amp; 7"/>
      <sheetName val="Data"/>
    </sheetNames>
    <sheetDataSet>
      <sheetData sheetId="0">
        <row r="45">
          <cell r="G45">
            <v>807</v>
          </cell>
          <cell r="I45">
            <v>370</v>
          </cell>
          <cell r="K45">
            <v>437</v>
          </cell>
        </row>
        <row r="57">
          <cell r="H57">
            <v>1.9237380432687576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zione"/>
      <sheetName val="Analisi delle classi di rischio"/>
      <sheetName val="Classe 1"/>
      <sheetName val="48 &amp; 7"/>
      <sheetName val="26 &amp; 7"/>
      <sheetName val="Classe 3"/>
      <sheetName val="Classe 4"/>
      <sheetName val="Classe 5"/>
      <sheetName val="Classe 6"/>
      <sheetName val="Classe 7"/>
      <sheetName val="Data"/>
    </sheetNames>
    <sheetDataSet>
      <sheetData sheetId="0">
        <row r="24">
          <cell r="G24">
            <v>386</v>
          </cell>
          <cell r="I24">
            <v>197</v>
          </cell>
          <cell r="K24">
            <v>189</v>
          </cell>
        </row>
        <row r="30">
          <cell r="H30">
            <v>0.62572205418237681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zione"/>
      <sheetName val="Analisi delle classi di rischio"/>
      <sheetName val="Classe 1"/>
      <sheetName val="48 &amp; 7"/>
      <sheetName val="26 &amp; 7"/>
      <sheetName val="Classe 3"/>
      <sheetName val="Classe 4"/>
      <sheetName val="Classe 6"/>
      <sheetName val="Classe 7"/>
      <sheetName val="Data"/>
    </sheetNames>
    <sheetDataSet>
      <sheetData sheetId="0">
        <row r="24">
          <cell r="G24">
            <v>344</v>
          </cell>
          <cell r="I24">
            <v>101</v>
          </cell>
          <cell r="K24">
            <v>243</v>
          </cell>
        </row>
        <row r="30">
          <cell r="H30">
            <v>0.31376926321764703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zione"/>
      <sheetName val="Analisi"/>
      <sheetName val="DF03-02"/>
      <sheetName val="Data"/>
    </sheetNames>
    <sheetDataSet>
      <sheetData sheetId="0">
        <row r="19">
          <cell r="G19">
            <v>189</v>
          </cell>
          <cell r="I19">
            <v>92</v>
          </cell>
          <cell r="K19">
            <v>97</v>
          </cell>
        </row>
        <row r="25">
          <cell r="G25">
            <v>0.65373079999999983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zione"/>
      <sheetName val="Analisi"/>
      <sheetName val="00090"/>
      <sheetName val="Data"/>
    </sheetNames>
    <sheetDataSet>
      <sheetData sheetId="0">
        <row r="18">
          <cell r="G18">
            <v>139</v>
          </cell>
          <cell r="I18">
            <v>69</v>
          </cell>
          <cell r="K18">
            <v>70</v>
          </cell>
        </row>
        <row r="24">
          <cell r="G24">
            <v>3.8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zione"/>
      <sheetName val="Analisi del rischio Paese"/>
      <sheetName val="Media"/>
      <sheetName val="Alta"/>
      <sheetName val="48 &amp; 7"/>
      <sheetName val="26 &amp; 7"/>
      <sheetName val="Data"/>
    </sheetNames>
    <sheetDataSet>
      <sheetData sheetId="0">
        <row r="18">
          <cell r="G18">
            <v>67</v>
          </cell>
          <cell r="I18">
            <v>32</v>
          </cell>
          <cell r="K18">
            <v>35</v>
          </cell>
        </row>
        <row r="24">
          <cell r="H24">
            <v>4.2729279514897609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45.794128819442" createdVersion="8" refreshedVersion="8" minRefreshableVersion="3" recordCount="3178" xr:uid="{5C134B20-BE9C-432D-977C-3C3638F078D7}">
  <cacheSource type="worksheet">
    <worksheetSource ref="A1:AU3179" sheet="DATA"/>
  </cacheSource>
  <cacheFields count="49">
    <cacheField name="POSIZIONE" numFmtId="0">
      <sharedItems containsSemiMixedTypes="0" containsString="0" containsNumber="1" containsInteger="1" minValue="329157" maxValue="364838"/>
    </cacheField>
    <cacheField name="CODICE" numFmtId="0">
      <sharedItems count="12">
        <s v="DF03-02"/>
        <s v="PM-SA31"/>
        <s v="90"/>
        <s v="95"/>
        <s v="14"/>
        <s v="100"/>
        <s v="30"/>
        <s v="15"/>
        <s v="83"/>
        <s v="40"/>
        <s v="25"/>
        <s v="24"/>
      </sharedItems>
    </cacheField>
    <cacheField name="DESCRIZIONE" numFmtId="0">
      <sharedItems count="12">
        <s v="Clienti che registrano elevata movimentazione in ingresso con bonifici e assegni e successiva movimentazione verso l'estero"/>
        <s v="Ricezione di bonifico e quasi contestuale uscita"/>
        <s v="Operazioni con paese controparte ad altissimo rischio"/>
        <s v="Versamento giornaliero di importo elevato per la causale ed il soggetto"/>
        <s v="Operazione per conto di importo elevato per la causale ed il soggetto"/>
        <s v="Versamento giornaliero di importo contante elevato per la causale ed il soggetto"/>
        <s v="Bonifico con Paese dell'intermediario della controparte a rischio"/>
        <s v="Operazione fuori conto di importo elevato per la causale ed il soggetto"/>
        <s v="Triangolazione della controparte"/>
        <s v="Titolare o presentatore residente in paese a rischio"/>
        <s v="Operazione fuori conto di importo contante elevato per la causale ed il soggetto"/>
        <s v="Operazione per conto di importo contante elevato per la causale ed il soggetto"/>
      </sharedItems>
    </cacheField>
    <cacheField name="RILEVATA" numFmtId="164">
      <sharedItems containsSemiMixedTypes="0" containsNonDate="0" containsDate="1" containsString="0" minDate="2025-04-02T00:00:00" maxDate="2025-07-13T00:00:00" count="62">
        <d v="2025-05-10T00:00:00"/>
        <d v="2025-05-03T00:00:00"/>
        <d v="2025-05-01T00:00:00"/>
        <d v="2025-04-30T00:00:00"/>
        <d v="2025-04-29T00:00:00"/>
        <d v="2025-04-25T00:00:00"/>
        <d v="2025-04-24T00:00:00"/>
        <d v="2025-04-23T00:00:00"/>
        <d v="2025-04-19T00:00:00"/>
        <d v="2025-04-18T00:00:00"/>
        <d v="2025-04-17T00:00:00"/>
        <d v="2025-04-16T00:00:00"/>
        <d v="2025-04-15T00:00:00"/>
        <d v="2025-04-12T00:00:00"/>
        <d v="2025-04-11T00:00:00"/>
        <d v="2025-04-10T00:00:00"/>
        <d v="2025-04-09T00:00:00"/>
        <d v="2025-04-08T00:00:00"/>
        <d v="2025-04-05T00:00:00"/>
        <d v="2025-04-04T00:00:00"/>
        <d v="2025-04-03T00:00:00"/>
        <d v="2025-04-02T00:00:00"/>
        <d v="2025-06-14T00:00:00"/>
        <d v="2025-06-04T00:00:00"/>
        <d v="2025-05-31T00:00:00"/>
        <d v="2025-05-30T00:00:00"/>
        <d v="2025-05-29T00:00:00"/>
        <d v="2025-05-28T00:00:00"/>
        <d v="2025-05-27T00:00:00"/>
        <d v="2025-05-24T00:00:00"/>
        <d v="2025-05-23T00:00:00"/>
        <d v="2025-05-22T00:00:00"/>
        <d v="2025-05-21T00:00:00"/>
        <d v="2025-05-20T00:00:00"/>
        <d v="2025-05-17T00:00:00"/>
        <d v="2025-05-16T00:00:00"/>
        <d v="2025-05-15T00:00:00"/>
        <d v="2025-05-14T00:00:00"/>
        <d v="2025-05-13T00:00:00"/>
        <d v="2025-05-09T00:00:00"/>
        <d v="2025-05-08T00:00:00"/>
        <d v="2025-05-07T00:00:00"/>
        <d v="2025-05-06T00:00:00"/>
        <d v="2025-07-12T00:00:00"/>
        <d v="2025-07-01T00:00:00"/>
        <d v="2025-06-28T00:00:00"/>
        <d v="2025-06-27T00:00:00"/>
        <d v="2025-06-26T00:00:00"/>
        <d v="2025-06-25T00:00:00"/>
        <d v="2025-06-24T00:00:00"/>
        <d v="2025-06-21T00:00:00"/>
        <d v="2025-06-20T00:00:00"/>
        <d v="2025-06-19T00:00:00"/>
        <d v="2025-06-18T00:00:00"/>
        <d v="2025-06-17T00:00:00"/>
        <d v="2025-06-13T00:00:00"/>
        <d v="2025-06-12T00:00:00"/>
        <d v="2025-06-11T00:00:00"/>
        <d v="2025-06-10T00:00:00"/>
        <d v="2025-06-07T00:00:00"/>
        <d v="2025-06-06T00:00:00"/>
        <d v="2025-06-05T00:00:00"/>
      </sharedItems>
      <fieldGroup par="48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99" maxValue="287"/>
    </cacheField>
    <cacheField name="IN CARICO A" numFmtId="0">
      <sharedItems/>
    </cacheField>
    <cacheField name="SISTEMA AR" numFmtId="0">
      <sharedItems/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Blank="1" containsMixedTypes="1" containsNumber="1" containsInteger="1" minValue="202504017856696" maxValue="202506308142455"/>
    </cacheField>
    <cacheField name="NUMERO RAPPORTO" numFmtId="0">
      <sharedItems containsString="0" containsBlank="1" containsNumber="1" containsInteger="1" minValue="999361870311" maxValue="2873300001853"/>
    </cacheField>
    <cacheField name="DATA OPERAZIONE" numFmtId="0">
      <sharedItems containsString="0" containsBlank="1" containsNumber="1" containsInteger="1" minValue="20250401" maxValue="20250630"/>
    </cacheField>
    <cacheField name="CAUSALE ANALITICA" numFmtId="0">
      <sharedItems containsBlank="1"/>
    </cacheField>
    <cacheField name="CAUSALE SINTETICA" numFmtId="0">
      <sharedItems containsNonDate="0" containsString="0" containsBlank="1"/>
    </cacheField>
    <cacheField name="PAESE INTERMED. CONTROP." numFmtId="0">
      <sharedItems containsBlank="1"/>
    </cacheField>
    <cacheField name="SEGNO" numFmtId="0">
      <sharedItems containsBlank="1"/>
    </cacheField>
    <cacheField name="IMPORTO" numFmtId="0">
      <sharedItems containsMixedTypes="1" containsNumber="1" minValue="1000" maxValue="75195700.159999996"/>
    </cacheField>
    <cacheField name="DI CUI CONTANTE" numFmtId="0">
      <sharedItems containsString="0" containsBlank="1" containsNumber="1" minValue="0" maxValue="515709.15"/>
    </cacheField>
    <cacheField name="TITOLARE NDG" numFmtId="0">
      <sharedItems containsSemiMixedTypes="0" containsString="0" containsNumber="1" containsInteger="1" minValue="1118" maxValue="4996910"/>
    </cacheField>
    <cacheField name="CODICE FISCALE" numFmtId="0">
      <sharedItems containsBlank="1" containsMixedTypes="1" containsNumber="1" containsInteger="1" minValue="55560775" maxValue="92086070643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 containsBlank="1"/>
    </cacheField>
    <cacheField name="GESTORE" numFmtId="0">
      <sharedItems containsString="0" containsBlank="1" containsNumber="1" containsInteger="1" minValue="363" maxValue="1962"/>
    </cacheField>
    <cacheField name="STATO VALUTAZIONE" numFmtId="0">
      <sharedItems containsNonDate="0" containsString="0" containsBlank="1"/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tring="0" containsBlank="1" containsNumber="1" containsInteger="1" minValue="202504" maxValue="202506"/>
    </cacheField>
    <cacheField name="Stato2" numFmtId="0">
      <sharedItems containsBlank="1" count="8">
        <s v="ARCHIVIATA DA RPR"/>
        <s v="ARCHIVIATA"/>
        <s v="IN VALUTAZIONE RPR"/>
        <s v="IN CARICO AL RESPONSABILE"/>
        <s v="IN CARICO AL GESTORE"/>
        <m/>
        <s v="CONFERMATA RPR"/>
        <s v="RILEVAZIONE SAD"/>
      </sharedItems>
    </cacheField>
    <cacheField name="flag_stato" numFmtId="0">
      <sharedItems containsString="0" containsBlank="1" containsNumber="1" containsInteger="1" minValue="0" maxValue="1" count="3">
        <n v="0"/>
        <n v="1"/>
        <m/>
      </sharedItems>
    </cacheField>
    <cacheField name="flg_SCEN_IN_USO" numFmtId="0">
      <sharedItems containsSemiMixedTypes="0" containsString="0" containsNumber="1" containsInteger="1" minValue="0" maxValue="1" count="2">
        <n v="1"/>
        <n v="0"/>
      </sharedItems>
    </cacheField>
    <cacheField name="CDG" numFmtId="0">
      <sharedItems containsString="0" containsBlank="1" containsNumber="1" containsInteger="1" minValue="1449" maxValue="4996619"/>
    </cacheField>
    <cacheField name="flag_OggValut" numFmtId="0">
      <sharedItems containsString="0" containsBlank="1" containsNumber="1" containsInteger="1" minValue="1" maxValue="1" count="2">
        <m/>
        <n v="1"/>
      </sharedItems>
    </cacheField>
    <cacheField name="flag_anom_causale" numFmtId="0">
      <sharedItems containsSemiMixedTypes="0" containsString="0" containsNumber="1" containsInteger="1" minValue="0" maxValue="1" count="2">
        <n v="0"/>
        <n v="1"/>
      </sharedItems>
    </cacheField>
    <cacheField name="ATECO_CODE" numFmtId="0">
      <sharedItems/>
    </cacheField>
    <cacheField name="SAE_CODE" numFmtId="0">
      <sharedItems/>
    </cacheField>
    <cacheField name="SAE_ATECO_CODE" numFmtId="0">
      <sharedItems/>
    </cacheField>
    <cacheField name="Classe_old" numFmtId="0">
      <sharedItems containsBlank="1"/>
    </cacheField>
    <cacheField name="RES_ATECO" numFmtId="0">
      <sharedItems containsBlank="1"/>
    </cacheField>
    <cacheField name="Classe" numFmtId="0">
      <sharedItems/>
    </cacheField>
    <cacheField name="Days (RILEVATA)" numFmtId="0" databaseField="0">
      <fieldGroup base="3">
        <rangePr groupBy="days" startDate="2025-04-02T00:00:00" endDate="2025-07-13T00:00:00"/>
        <groupItems count="368">
          <s v="&lt;02/04/2025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3/07/2025"/>
        </groupItems>
      </fieldGroup>
    </cacheField>
    <cacheField name="Months (RILEVATA)" numFmtId="0" databaseField="0">
      <fieldGroup base="3">
        <rangePr groupBy="months" startDate="2025-04-02T00:00:00" endDate="2025-07-13T00:00:00"/>
        <groupItems count="14">
          <s v="&lt;02/04/20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13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8">
  <r>
    <n v="341994"/>
    <x v="0"/>
    <x v="0"/>
    <x v="0"/>
    <n v="53850"/>
    <n v="122"/>
    <s v="053850_122"/>
    <s v="Discovery Frodi"/>
    <s v="Mai valutato"/>
    <m/>
    <m/>
    <n v="1223300002128"/>
    <n v="20250409"/>
    <s v="48 - Bonifico in arrivo "/>
    <m/>
    <m/>
    <s v="A     - Avere"/>
    <n v="3950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991"/>
    <x v="0"/>
    <x v="0"/>
    <x v="0"/>
    <n v="53850"/>
    <n v="154"/>
    <s v="053850_154"/>
    <s v="Discovery Frodi"/>
    <s v="Mai valutato"/>
    <m/>
    <m/>
    <n v="1543300004860"/>
    <n v="20250408"/>
    <s v="48 - Bonifico in arrivo "/>
    <m/>
    <m/>
    <s v="A     - Avere"/>
    <n v="30000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1990"/>
    <x v="0"/>
    <x v="0"/>
    <x v="0"/>
    <n v="53850"/>
    <n v="154"/>
    <s v="053850_154"/>
    <s v="Discovery Frodi"/>
    <s v="Mai valutato"/>
    <m/>
    <m/>
    <n v="1543300004860"/>
    <n v="20250409"/>
    <s v="48 - Bonifico in arrivo "/>
    <m/>
    <m/>
    <s v="A     - Avere"/>
    <n v="33250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1985"/>
    <x v="0"/>
    <x v="0"/>
    <x v="0"/>
    <n v="53850"/>
    <n v="169"/>
    <s v="053850_169"/>
    <s v="Discovery Frodi"/>
    <s v="Mai valutato"/>
    <m/>
    <m/>
    <n v="1693302222377"/>
    <n v="20250402"/>
    <s v="48 - Bonifico in arrivo "/>
    <m/>
    <m/>
    <s v="A     - Avere"/>
    <n v="147538.19"/>
    <m/>
    <n v="4036414"/>
    <n v="296820723"/>
    <s v="FRATELLI D'ADDATO S.R.L."/>
    <s v="430 - Imprese produttive"/>
    <s v="467 - COMMERCIO ALL'INGROSSO SPECIALIZZATO DI ALTRI PRODOTTI"/>
    <s v="086 - ITALIA"/>
    <n v="1920"/>
    <m/>
    <m/>
    <m/>
    <m/>
    <m/>
    <m/>
    <m/>
    <n v="0"/>
    <n v="202504"/>
    <x v="1"/>
    <x v="0"/>
    <x v="0"/>
    <n v="4036414"/>
    <x v="1"/>
    <x v="0"/>
    <s v="999"/>
    <s v="430"/>
    <s v="430999"/>
    <m/>
    <s v="1"/>
    <s v="Classe di rischio 1"/>
  </r>
  <r>
    <n v="341984"/>
    <x v="0"/>
    <x v="0"/>
    <x v="0"/>
    <n v="53850"/>
    <n v="105"/>
    <s v="053850_105"/>
    <s v="Discovery Frodi"/>
    <s v="Mai valutato"/>
    <m/>
    <m/>
    <n v="1053306287103"/>
    <n v="20250423"/>
    <s v="48 - Bonifico in arrivo "/>
    <m/>
    <m/>
    <s v="A     - Avere"/>
    <n v="1572927.57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982"/>
    <x v="0"/>
    <x v="0"/>
    <x v="0"/>
    <n v="53850"/>
    <n v="153"/>
    <s v="053850_153"/>
    <s v="Discovery Frodi"/>
    <s v="Mai valutato"/>
    <m/>
    <m/>
    <n v="1533300663959"/>
    <n v="20250422"/>
    <s v="48 - Bonifico in arrivo "/>
    <m/>
    <m/>
    <s v="A     - Avere"/>
    <n v="26730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x v="1"/>
    <x v="0"/>
    <x v="0"/>
    <m/>
    <x v="0"/>
    <x v="0"/>
    <s v="462"/>
    <s v="430"/>
    <s v="430462"/>
    <s v="Classe di rischio 3"/>
    <m/>
    <s v="Classe di rischio 3"/>
  </r>
  <r>
    <n v="341980"/>
    <x v="0"/>
    <x v="0"/>
    <x v="0"/>
    <n v="53850"/>
    <n v="192"/>
    <s v="053850_192"/>
    <s v="Discovery Frodi"/>
    <s v="Mai valutato"/>
    <m/>
    <m/>
    <n v="1923300183163"/>
    <n v="20250422"/>
    <s v="48 - Bonifico in arrivo "/>
    <m/>
    <m/>
    <s v="A     - Avere"/>
    <n v="28000"/>
    <m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4"/>
    <x v="1"/>
    <x v="0"/>
    <x v="0"/>
    <n v="4695944"/>
    <x v="1"/>
    <x v="0"/>
    <s v="999"/>
    <s v="615"/>
    <s v="615999"/>
    <m/>
    <s v="1"/>
    <s v="Classe di rischio 3"/>
  </r>
  <r>
    <n v="341976"/>
    <x v="0"/>
    <x v="0"/>
    <x v="0"/>
    <n v="53850"/>
    <n v="153"/>
    <s v="053850_153"/>
    <s v="Discovery Frodi"/>
    <s v="Mai valutato"/>
    <m/>
    <m/>
    <n v="1533300663959"/>
    <n v="20250414"/>
    <s v="48 - Bonifico in arrivo "/>
    <m/>
    <m/>
    <s v="A     - Avere"/>
    <n v="30891.3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x v="1"/>
    <x v="0"/>
    <x v="0"/>
    <m/>
    <x v="0"/>
    <x v="0"/>
    <s v="462"/>
    <s v="430"/>
    <s v="430462"/>
    <s v="Classe di rischio 3"/>
    <m/>
    <s v="Classe di rischio 3"/>
  </r>
  <r>
    <n v="341974"/>
    <x v="0"/>
    <x v="0"/>
    <x v="0"/>
    <n v="53850"/>
    <n v="264"/>
    <s v="053850_264"/>
    <s v="Discovery Frodi"/>
    <s v="Mai valutato"/>
    <m/>
    <m/>
    <n v="2643300001866"/>
    <n v="20250415"/>
    <s v="48 - Bonifico in arrivo "/>
    <m/>
    <m/>
    <s v="A     - Avere"/>
    <n v="100000"/>
    <m/>
    <n v="1700310"/>
    <s v="VLLNNL74S19A801N"/>
    <s v="AVALLONE ANTONIO ALFREDO"/>
    <s v="615 - Altre famiglie produttrici"/>
    <s v="711 - ATTIVITÀ DEGLI STUDI DI ARCHITETTURA, INGEGNERIA ED ALTRI STUDI TECNICI"/>
    <s v="086 - ITALIA"/>
    <n v="1851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41971"/>
    <x v="0"/>
    <x v="0"/>
    <x v="0"/>
    <n v="53850"/>
    <n v="125"/>
    <s v="053850_125"/>
    <s v="Discovery Frodi"/>
    <s v="Mai valutato"/>
    <m/>
    <m/>
    <n v="1253309512895"/>
    <n v="20250407"/>
    <s v="48 - Bonifico in arrivo "/>
    <m/>
    <m/>
    <s v="A     - Avere"/>
    <n v="55652.61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1961"/>
    <x v="0"/>
    <x v="0"/>
    <x v="0"/>
    <n v="53850"/>
    <n v="153"/>
    <s v="053850_153"/>
    <s v="Discovery Frodi"/>
    <s v="Mai valutato"/>
    <m/>
    <m/>
    <n v="1533300663959"/>
    <n v="20250422"/>
    <s v="48 - Bonifico in arrivo "/>
    <m/>
    <m/>
    <s v="A     - Avere"/>
    <n v="28600.02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x v="1"/>
    <x v="0"/>
    <x v="0"/>
    <m/>
    <x v="0"/>
    <x v="0"/>
    <s v="462"/>
    <s v="430"/>
    <s v="430462"/>
    <s v="Classe di rischio 3"/>
    <m/>
    <s v="Classe di rischio 3"/>
  </r>
  <r>
    <n v="341957"/>
    <x v="0"/>
    <x v="0"/>
    <x v="0"/>
    <n v="53850"/>
    <n v="154"/>
    <s v="053850_154"/>
    <s v="Discovery Frodi"/>
    <s v="Mai valutato"/>
    <m/>
    <m/>
    <n v="1543300004860"/>
    <n v="20250402"/>
    <s v="48 - Bonifico in arrivo "/>
    <m/>
    <m/>
    <s v="A     - Avere"/>
    <n v="55660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1946"/>
    <x v="0"/>
    <x v="0"/>
    <x v="0"/>
    <n v="53850"/>
    <n v="153"/>
    <s v="053850_153"/>
    <s v="Discovery Frodi"/>
    <s v="Mai valutato"/>
    <m/>
    <m/>
    <n v="1533300663959"/>
    <n v="20250414"/>
    <s v="48 - Bonifico in arrivo "/>
    <m/>
    <m/>
    <s v="A     - Avere"/>
    <n v="25045.55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x v="1"/>
    <x v="0"/>
    <x v="0"/>
    <m/>
    <x v="0"/>
    <x v="0"/>
    <s v="462"/>
    <s v="430"/>
    <s v="430462"/>
    <s v="Classe di rischio 3"/>
    <m/>
    <s v="Classe di rischio 3"/>
  </r>
  <r>
    <n v="341945"/>
    <x v="0"/>
    <x v="0"/>
    <x v="0"/>
    <n v="53850"/>
    <n v="148"/>
    <s v="053850_148"/>
    <s v="Discovery Frodi"/>
    <s v="Mai valutato"/>
    <m/>
    <m/>
    <n v="1483300004308"/>
    <n v="20250401"/>
    <s v="48 - Bonifico in arrivo "/>
    <m/>
    <m/>
    <s v="A     - Avere"/>
    <n v="41685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944"/>
    <x v="0"/>
    <x v="0"/>
    <x v="0"/>
    <n v="53850"/>
    <n v="103"/>
    <s v="053850_103"/>
    <s v="Discovery Frodi"/>
    <s v="Mai valutato"/>
    <m/>
    <m/>
    <n v="1033306967935"/>
    <n v="20250403"/>
    <s v="G1 - Versamento assegni tratti su altro intermediario "/>
    <m/>
    <m/>
    <s v="A     - Avere"/>
    <n v="25126.83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4"/>
    <x v="1"/>
    <x v="0"/>
    <x v="0"/>
    <n v="155052"/>
    <x v="1"/>
    <x v="0"/>
    <s v="999"/>
    <s v="430"/>
    <s v="430999"/>
    <m/>
    <s v="1"/>
    <s v="Classe di rischio 1"/>
  </r>
  <r>
    <n v="341941"/>
    <x v="0"/>
    <x v="0"/>
    <x v="0"/>
    <n v="53850"/>
    <n v="125"/>
    <s v="053850_125"/>
    <s v="Discovery Frodi"/>
    <s v="Mai valutato"/>
    <m/>
    <m/>
    <n v="1253309512895"/>
    <n v="20250402"/>
    <s v="48 - Bonifico in arrivo "/>
    <m/>
    <m/>
    <s v="A     - Avere"/>
    <n v="178429.19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1937"/>
    <x v="0"/>
    <x v="0"/>
    <x v="0"/>
    <n v="53850"/>
    <n v="122"/>
    <s v="053850_122"/>
    <s v="Discovery Frodi"/>
    <s v="Mai valutato"/>
    <m/>
    <m/>
    <n v="1223300001682"/>
    <n v="20250429"/>
    <s v="48 - Bonifico in arrivo "/>
    <m/>
    <m/>
    <s v="A     - Avere"/>
    <n v="350419.46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931"/>
    <x v="0"/>
    <x v="0"/>
    <x v="0"/>
    <n v="53850"/>
    <n v="105"/>
    <s v="053850_105"/>
    <s v="Discovery Frodi"/>
    <s v="Mai valutato"/>
    <m/>
    <m/>
    <n v="1053306287103"/>
    <n v="20250424"/>
    <s v="48 - Bonifico in arrivo "/>
    <m/>
    <m/>
    <s v="A     - Avere"/>
    <n v="208134.89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927"/>
    <x v="0"/>
    <x v="0"/>
    <x v="0"/>
    <n v="53850"/>
    <n v="268"/>
    <s v="053850_268"/>
    <s v="Discovery Frodi"/>
    <s v="Mai valutato"/>
    <m/>
    <m/>
    <n v="2683300010038"/>
    <n v="20250402"/>
    <s v="48 - Bonifico in arrivo "/>
    <m/>
    <m/>
    <s v="A     - Avere"/>
    <n v="120007.67999999999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41924"/>
    <x v="0"/>
    <x v="0"/>
    <x v="0"/>
    <n v="53850"/>
    <n v="122"/>
    <s v="053850_122"/>
    <s v="Discovery Frodi"/>
    <s v="Mai valutato"/>
    <m/>
    <m/>
    <n v="1223300001682"/>
    <n v="20250429"/>
    <s v="48 - Bonifico in arrivo "/>
    <m/>
    <m/>
    <s v="A     - Avere"/>
    <n v="8784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919"/>
    <x v="0"/>
    <x v="0"/>
    <x v="0"/>
    <n v="53850"/>
    <n v="153"/>
    <s v="053850_153"/>
    <s v="Discovery Frodi"/>
    <s v="Mai valutato"/>
    <m/>
    <m/>
    <n v="1533300663959"/>
    <n v="20250428"/>
    <s v="48 - Bonifico in arrivo "/>
    <m/>
    <m/>
    <s v="A     - Avere"/>
    <n v="28809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x v="1"/>
    <x v="0"/>
    <x v="0"/>
    <m/>
    <x v="0"/>
    <x v="0"/>
    <s v="462"/>
    <s v="430"/>
    <s v="430462"/>
    <s v="Classe di rischio 3"/>
    <m/>
    <s v="Classe di rischio 3"/>
  </r>
  <r>
    <n v="341912"/>
    <x v="0"/>
    <x v="0"/>
    <x v="0"/>
    <n v="53850"/>
    <n v="122"/>
    <s v="053850_122"/>
    <s v="Discovery Frodi"/>
    <s v="Mai valutato"/>
    <m/>
    <m/>
    <n v="1223300001682"/>
    <n v="20250429"/>
    <s v="48 - Bonifico in arrivo "/>
    <m/>
    <m/>
    <s v="A     - Avere"/>
    <n v="9943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910"/>
    <x v="0"/>
    <x v="0"/>
    <x v="0"/>
    <n v="53850"/>
    <n v="148"/>
    <s v="053850_148"/>
    <s v="Discovery Frodi"/>
    <s v="Mai valutato"/>
    <m/>
    <m/>
    <n v="1483300006067"/>
    <n v="20250414"/>
    <s v="48 - Bonifico in arrivo 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904"/>
    <x v="0"/>
    <x v="0"/>
    <x v="0"/>
    <n v="53850"/>
    <n v="122"/>
    <s v="053850_122"/>
    <s v="Discovery Frodi"/>
    <s v="Mai valutato"/>
    <m/>
    <m/>
    <n v="1223300002128"/>
    <n v="20250409"/>
    <s v="48 - Bonifico in arrivo "/>
    <m/>
    <m/>
    <s v="A     - Avere"/>
    <n v="77996.14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896"/>
    <x v="0"/>
    <x v="0"/>
    <x v="0"/>
    <n v="53850"/>
    <n v="109"/>
    <s v="053850_109"/>
    <s v="Discovery Frodi"/>
    <s v="Mai valutato"/>
    <m/>
    <m/>
    <n v="1093306672844"/>
    <n v="20250416"/>
    <s v="48 - Bonifico in arrivo "/>
    <m/>
    <m/>
    <s v="A     - Avere"/>
    <n v="800000"/>
    <m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n v="440311"/>
    <x v="1"/>
    <x v="0"/>
    <s v="451"/>
    <s v="430"/>
    <s v="430451"/>
    <s v="Classe di rischio 3"/>
    <m/>
    <s v="Classe di rischio 3"/>
  </r>
  <r>
    <n v="341890"/>
    <x v="0"/>
    <x v="0"/>
    <x v="0"/>
    <n v="53850"/>
    <n v="122"/>
    <s v="053850_122"/>
    <s v="Discovery Frodi"/>
    <s v="Mai valutato"/>
    <m/>
    <m/>
    <n v="1223300002128"/>
    <n v="20250428"/>
    <s v="48 - Bonifico in arrivo "/>
    <m/>
    <m/>
    <s v="A     - Avere"/>
    <n v="3286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888"/>
    <x v="0"/>
    <x v="0"/>
    <x v="0"/>
    <n v="53850"/>
    <n v="122"/>
    <s v="053850_122"/>
    <s v="Discovery Frodi"/>
    <s v="Mai valutato"/>
    <m/>
    <m/>
    <n v="1223300002128"/>
    <n v="20250409"/>
    <s v="48 - Bonifico in arrivo "/>
    <m/>
    <m/>
    <s v="A     - Avere"/>
    <n v="34002.769999999997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886"/>
    <x v="0"/>
    <x v="0"/>
    <x v="0"/>
    <n v="53850"/>
    <n v="132"/>
    <s v="053850_132"/>
    <s v="Discovery Frodi"/>
    <s v="Mai valutato"/>
    <m/>
    <m/>
    <n v="1323300003714"/>
    <n v="20250417"/>
    <s v="48 - Bonifico in arrivo "/>
    <m/>
    <m/>
    <s v="A     - Avere"/>
    <n v="32313.599999999999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1866"/>
    <x v="0"/>
    <x v="0"/>
    <x v="0"/>
    <n v="53850"/>
    <n v="128"/>
    <s v="053850_128"/>
    <s v="Discovery Frodi"/>
    <s v="Mai valutato"/>
    <m/>
    <m/>
    <n v="1283300001665"/>
    <n v="20250402"/>
    <s v="G1 - Versamento assegni tratti su altro intermediario "/>
    <m/>
    <m/>
    <s v="A     - Avere"/>
    <n v="53722.17"/>
    <m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864"/>
    <x v="0"/>
    <x v="0"/>
    <x v="0"/>
    <n v="53850"/>
    <n v="109"/>
    <s v="053850_109"/>
    <s v="Discovery Frodi"/>
    <s v="Mai valutato"/>
    <m/>
    <m/>
    <n v="1093306674353"/>
    <n v="20250404"/>
    <s v="G2 - Versamento assegni tratti sullo stesso intermediario "/>
    <m/>
    <m/>
    <s v="A     - Avere"/>
    <n v="130000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m/>
    <x v="0"/>
    <x v="0"/>
    <s v="451"/>
    <s v="430"/>
    <s v="430451"/>
    <s v="Classe di rischio 3"/>
    <m/>
    <s v="Classe di rischio 3"/>
  </r>
  <r>
    <n v="341861"/>
    <x v="0"/>
    <x v="0"/>
    <x v="0"/>
    <n v="53850"/>
    <n v="175"/>
    <s v="053850_175"/>
    <s v="Discovery Frodi"/>
    <s v="Mai valutato"/>
    <m/>
    <m/>
    <n v="1753302203127"/>
    <n v="20250407"/>
    <s v="G1 - Versamento assegni tratti su altro intermediario "/>
    <m/>
    <m/>
    <s v="A     - Avere"/>
    <n v="29089.99"/>
    <m/>
    <n v="4160138"/>
    <n v="484200779"/>
    <s v="DE.RA.DO. SRL"/>
    <s v="430 - Imprese produttive"/>
    <s v="031 - PESCA"/>
    <s v="086 - ITALIA"/>
    <n v="739"/>
    <m/>
    <m/>
    <m/>
    <m/>
    <m/>
    <m/>
    <m/>
    <n v="0"/>
    <n v="202504"/>
    <x v="2"/>
    <x v="1"/>
    <x v="0"/>
    <n v="4160138"/>
    <x v="1"/>
    <x v="0"/>
    <s v="999"/>
    <s v="430"/>
    <s v="430999"/>
    <m/>
    <s v="1"/>
    <s v="Classe di rischio 1"/>
  </r>
  <r>
    <n v="341857"/>
    <x v="0"/>
    <x v="0"/>
    <x v="0"/>
    <n v="53850"/>
    <n v="122"/>
    <s v="053850_122"/>
    <s v="Discovery Frodi"/>
    <s v="Mai valutato"/>
    <m/>
    <m/>
    <n v="1223300002128"/>
    <n v="20250409"/>
    <s v="48 - Bonifico in arrivo "/>
    <m/>
    <m/>
    <s v="A     - Avere"/>
    <n v="32524.58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856"/>
    <x v="0"/>
    <x v="0"/>
    <x v="0"/>
    <n v="53850"/>
    <n v="122"/>
    <s v="053850_122"/>
    <s v="Discovery Frodi"/>
    <s v="Mai valutato"/>
    <m/>
    <m/>
    <n v="1223300002128"/>
    <n v="20250409"/>
    <s v="48 - Bonifico in arrivo "/>
    <m/>
    <m/>
    <s v="A     - Avere"/>
    <n v="125998.16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851"/>
    <x v="0"/>
    <x v="0"/>
    <x v="0"/>
    <n v="53850"/>
    <n v="191"/>
    <s v="053850_191"/>
    <s v="Discovery Frodi"/>
    <s v="Mai valutato"/>
    <m/>
    <m/>
    <n v="1913300068122"/>
    <n v="20250429"/>
    <s v="48 - Bonifico in arrivo "/>
    <m/>
    <m/>
    <s v="A     - Avere"/>
    <n v="3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846"/>
    <x v="0"/>
    <x v="0"/>
    <x v="0"/>
    <n v="53850"/>
    <n v="122"/>
    <s v="053850_122"/>
    <s v="Discovery Frodi"/>
    <s v="Mai valutato"/>
    <m/>
    <m/>
    <n v="1223300001682"/>
    <n v="20250409"/>
    <s v="48 - Bonifico in arrivo "/>
    <m/>
    <m/>
    <s v="A     - Avere"/>
    <n v="119376.46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837"/>
    <x v="0"/>
    <x v="0"/>
    <x v="0"/>
    <n v="53850"/>
    <n v="132"/>
    <s v="053850_132"/>
    <s v="Discovery Frodi"/>
    <s v="Mai valutato"/>
    <m/>
    <m/>
    <n v="1323300003714"/>
    <n v="20250407"/>
    <s v="48 - Bonifico in arrivo "/>
    <m/>
    <m/>
    <s v="A     - Avere"/>
    <n v="28274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1832"/>
    <x v="0"/>
    <x v="0"/>
    <x v="0"/>
    <n v="53850"/>
    <n v="122"/>
    <s v="053850_122"/>
    <s v="Discovery Frodi"/>
    <s v="Mai valutato"/>
    <m/>
    <m/>
    <n v="1223300002128"/>
    <n v="20250410"/>
    <s v="48 - Bonifico in arrivo "/>
    <m/>
    <m/>
    <s v="A     - Avere"/>
    <n v="39297.589999999997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819"/>
    <x v="0"/>
    <x v="0"/>
    <x v="0"/>
    <n v="53850"/>
    <n v="153"/>
    <s v="053850_153"/>
    <s v="Discovery Frodi"/>
    <s v="Mai valutato"/>
    <m/>
    <m/>
    <n v="1533300663957"/>
    <n v="20250414"/>
    <s v="48 - Bonifico in arrivo "/>
    <m/>
    <m/>
    <s v="A     - Avere"/>
    <n v="48960.38"/>
    <m/>
    <n v="3720623"/>
    <n v="3067020648"/>
    <s v="E F ALLEVA S.R.L."/>
    <s v="430 - Imprese produttive"/>
    <s v="462 - COMMERCIO ALL'INGROSSO DI MATERIE PRIME AGRICOLE E DI ANIMALI VIVI"/>
    <s v="086 - ITALIA"/>
    <n v="1055"/>
    <m/>
    <m/>
    <m/>
    <m/>
    <m/>
    <m/>
    <m/>
    <n v="0"/>
    <n v="202504"/>
    <x v="1"/>
    <x v="0"/>
    <x v="0"/>
    <m/>
    <x v="0"/>
    <x v="0"/>
    <s v="462"/>
    <s v="430"/>
    <s v="430462"/>
    <s v="Classe di rischio 3"/>
    <m/>
    <s v="Classe di rischio 3"/>
  </r>
  <r>
    <n v="341814"/>
    <x v="0"/>
    <x v="0"/>
    <x v="0"/>
    <n v="53850"/>
    <n v="122"/>
    <s v="053850_122"/>
    <s v="Discovery Frodi"/>
    <s v="Mai valutato"/>
    <m/>
    <m/>
    <n v="1223300001682"/>
    <n v="20250428"/>
    <s v="48 - Bonifico in arrivo "/>
    <m/>
    <m/>
    <s v="A     - Avere"/>
    <n v="8300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808"/>
    <x v="0"/>
    <x v="0"/>
    <x v="0"/>
    <n v="53850"/>
    <n v="122"/>
    <s v="053850_122"/>
    <s v="Discovery Frodi"/>
    <s v="Mai valutato"/>
    <m/>
    <m/>
    <n v="1223300001682"/>
    <n v="20250410"/>
    <s v="48 - Bonifico in arrivo "/>
    <m/>
    <m/>
    <s v="A     - Avere"/>
    <n v="3500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805"/>
    <x v="0"/>
    <x v="0"/>
    <x v="0"/>
    <n v="53850"/>
    <n v="153"/>
    <s v="053850_153"/>
    <s v="Discovery Frodi"/>
    <s v="Mai valutato"/>
    <m/>
    <m/>
    <n v="1533300663959"/>
    <n v="20250428"/>
    <s v="48 - Bonifico in arrivo "/>
    <m/>
    <m/>
    <s v="A     - Avere"/>
    <n v="45100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x v="1"/>
    <x v="0"/>
    <x v="0"/>
    <m/>
    <x v="0"/>
    <x v="0"/>
    <s v="462"/>
    <s v="430"/>
    <s v="430462"/>
    <s v="Classe di rischio 3"/>
    <m/>
    <s v="Classe di rischio 3"/>
  </r>
  <r>
    <n v="341797"/>
    <x v="0"/>
    <x v="0"/>
    <x v="0"/>
    <n v="53850"/>
    <n v="148"/>
    <s v="053850_148"/>
    <s v="Discovery Frodi"/>
    <s v="Mai valutato"/>
    <m/>
    <m/>
    <n v="1483300006067"/>
    <n v="20250414"/>
    <s v="48 - Bonifico in arrivo 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793"/>
    <x v="0"/>
    <x v="0"/>
    <x v="0"/>
    <n v="53850"/>
    <n v="141"/>
    <s v="053850_141"/>
    <s v="Discovery Frodi"/>
    <s v="Mai valutato"/>
    <m/>
    <m/>
    <n v="1413300003985"/>
    <n v="20250403"/>
    <s v="48 - Bonifico in arrivo "/>
    <m/>
    <m/>
    <s v="A     - Avere"/>
    <n v="343671.11"/>
    <m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x v="1"/>
    <x v="0"/>
    <x v="0"/>
    <m/>
    <x v="0"/>
    <x v="0"/>
    <s v="931"/>
    <s v="430"/>
    <s v="430931"/>
    <s v="Classe di rischio 3"/>
    <m/>
    <s v="Classe di rischio 3"/>
  </r>
  <r>
    <n v="341792"/>
    <x v="0"/>
    <x v="0"/>
    <x v="0"/>
    <n v="53850"/>
    <n v="104"/>
    <s v="053850_104"/>
    <s v="Discovery Frodi"/>
    <s v="Mai valutato"/>
    <m/>
    <m/>
    <n v="1043304173550"/>
    <n v="20250423"/>
    <s v="G1 - Versamento assegni tratti su altro intermediario "/>
    <m/>
    <m/>
    <s v="A     - Avere"/>
    <n v="26128.01"/>
    <m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4"/>
    <x v="0"/>
    <x v="0"/>
    <x v="0"/>
    <n v="417355"/>
    <x v="1"/>
    <x v="0"/>
    <s v="464"/>
    <s v="430"/>
    <s v="430464"/>
    <s v="Classe di rischio 4"/>
    <m/>
    <s v="Classe di rischio 4"/>
  </r>
  <r>
    <n v="341790"/>
    <x v="0"/>
    <x v="0"/>
    <x v="0"/>
    <n v="53850"/>
    <n v="148"/>
    <s v="053850_148"/>
    <s v="Discovery Frodi"/>
    <s v="Mai valutato"/>
    <m/>
    <m/>
    <n v="1483300004308"/>
    <n v="20250424"/>
    <s v="48 - Bonifico in arrivo "/>
    <m/>
    <m/>
    <s v="A     - Avere"/>
    <n v="40024.199999999997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789"/>
    <x v="0"/>
    <x v="0"/>
    <x v="0"/>
    <n v="53850"/>
    <n v="105"/>
    <s v="053850_105"/>
    <s v="Discovery Frodi"/>
    <s v="Mai valutato"/>
    <m/>
    <m/>
    <n v="1053306287103"/>
    <n v="20250409"/>
    <s v="48 - Bonifico in arrivo "/>
    <m/>
    <m/>
    <s v="A     - Avere"/>
    <n v="44869.06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779"/>
    <x v="0"/>
    <x v="0"/>
    <x v="0"/>
    <n v="53850"/>
    <n v="122"/>
    <s v="053850_122"/>
    <s v="Discovery Frodi"/>
    <s v="Mai valutato"/>
    <m/>
    <m/>
    <n v="1223300002128"/>
    <n v="20250409"/>
    <s v="48 - Bonifico in arrivo "/>
    <m/>
    <m/>
    <s v="A     - Avere"/>
    <n v="45226.66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778"/>
    <x v="0"/>
    <x v="0"/>
    <x v="0"/>
    <n v="53850"/>
    <n v="122"/>
    <s v="053850_122"/>
    <s v="Discovery Frodi"/>
    <s v="Mai valutato"/>
    <m/>
    <m/>
    <n v="1223300001682"/>
    <n v="20250429"/>
    <s v="48 - Bonifico in arrivo "/>
    <m/>
    <m/>
    <s v="A     - Avere"/>
    <n v="596435.75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777"/>
    <x v="0"/>
    <x v="0"/>
    <x v="0"/>
    <n v="53850"/>
    <n v="161"/>
    <s v="053850_161"/>
    <s v="Discovery Frodi"/>
    <s v="Mai valutato"/>
    <m/>
    <m/>
    <n v="1613300032599"/>
    <n v="20250430"/>
    <s v="48 - Bonifico in arrivo "/>
    <m/>
    <m/>
    <s v="A     - Avere"/>
    <n v="75000"/>
    <m/>
    <n v="4845705"/>
    <n v="6832140724"/>
    <s v="ZOOTECNICA S.R.L. - SOCIETA' AGRICOLA"/>
    <s v="430 - Imprese produttive"/>
    <s v="014 - ALLEVAMENTO DI ANIMALI"/>
    <s v="086 - ITALIA"/>
    <n v="1903"/>
    <m/>
    <m/>
    <m/>
    <m/>
    <m/>
    <m/>
    <m/>
    <n v="0"/>
    <n v="202504"/>
    <x v="3"/>
    <x v="1"/>
    <x v="0"/>
    <m/>
    <x v="0"/>
    <x v="0"/>
    <s v="999"/>
    <s v="430"/>
    <s v="430999"/>
    <m/>
    <s v="1"/>
    <s v="Classe di rischio 1"/>
  </r>
  <r>
    <n v="341773"/>
    <x v="0"/>
    <x v="0"/>
    <x v="0"/>
    <n v="53850"/>
    <n v="122"/>
    <s v="053850_122"/>
    <s v="Discovery Frodi"/>
    <s v="Mai valutato"/>
    <m/>
    <m/>
    <n v="1223300001682"/>
    <n v="20250428"/>
    <s v="48 - Bonifico in arrivo "/>
    <m/>
    <m/>
    <s v="A     - Avere"/>
    <n v="411478.8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767"/>
    <x v="0"/>
    <x v="0"/>
    <x v="0"/>
    <n v="53850"/>
    <n v="148"/>
    <s v="053850_148"/>
    <s v="Discovery Frodi"/>
    <s v="Mai valutato"/>
    <m/>
    <m/>
    <n v="1483300004308"/>
    <n v="20250401"/>
    <s v="48 - Bonifico in arrivo "/>
    <m/>
    <m/>
    <s v="A     - Avere"/>
    <n v="41000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762"/>
    <x v="0"/>
    <x v="0"/>
    <x v="0"/>
    <n v="53850"/>
    <n v="148"/>
    <s v="053850_148"/>
    <s v="Discovery Frodi"/>
    <s v="Mai valutato"/>
    <m/>
    <m/>
    <n v="1483300004308"/>
    <n v="20250428"/>
    <s v="48 - Bonifico in arrivo "/>
    <m/>
    <m/>
    <s v="A     - Avere"/>
    <n v="29830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760"/>
    <x v="0"/>
    <x v="0"/>
    <x v="0"/>
    <n v="53850"/>
    <n v="148"/>
    <s v="053850_148"/>
    <s v="Discovery Frodi"/>
    <s v="Mai valutato"/>
    <m/>
    <m/>
    <n v="1483300004308"/>
    <n v="20250414"/>
    <s v="48 - Bonifico in arrivo "/>
    <m/>
    <m/>
    <s v="A     - Avere"/>
    <n v="41996.84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748"/>
    <x v="0"/>
    <x v="0"/>
    <x v="0"/>
    <n v="53850"/>
    <n v="103"/>
    <s v="053850_103"/>
    <s v="Discovery Frodi"/>
    <s v="Mai valutato"/>
    <m/>
    <m/>
    <n v="1033306967935"/>
    <n v="20250415"/>
    <s v="G1 - Versamento assegni tratti su altro intermediario "/>
    <m/>
    <m/>
    <s v="A     - Avere"/>
    <n v="58518.85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4"/>
    <x v="1"/>
    <x v="0"/>
    <x v="0"/>
    <n v="155052"/>
    <x v="1"/>
    <x v="0"/>
    <s v="999"/>
    <s v="430"/>
    <s v="430999"/>
    <m/>
    <s v="1"/>
    <s v="Classe di rischio 1"/>
  </r>
  <r>
    <n v="341735"/>
    <x v="0"/>
    <x v="0"/>
    <x v="0"/>
    <n v="53850"/>
    <n v="145"/>
    <s v="053850_145"/>
    <s v="Discovery Frodi"/>
    <s v="Mai valutato"/>
    <m/>
    <m/>
    <n v="1453300003997"/>
    <n v="20250402"/>
    <s v="48 - Bonifico in arrivo "/>
    <m/>
    <m/>
    <s v="A     - Avere"/>
    <n v="31678.84"/>
    <m/>
    <n v="3737833"/>
    <n v="10171711210"/>
    <s v="PUNTO DISTRIBUZIONE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x v="1"/>
    <x v="0"/>
    <x v="0"/>
    <m/>
    <x v="0"/>
    <x v="0"/>
    <s v="463"/>
    <s v="430"/>
    <s v="430463"/>
    <s v="Classe di rischio 3"/>
    <m/>
    <s v="Classe di rischio 3"/>
  </r>
  <r>
    <n v="341725"/>
    <x v="0"/>
    <x v="0"/>
    <x v="0"/>
    <n v="53850"/>
    <n v="154"/>
    <s v="053850_154"/>
    <s v="Discovery Frodi"/>
    <s v="Mai valutato"/>
    <m/>
    <m/>
    <n v="1543300004860"/>
    <n v="20250414"/>
    <s v="48 - Bonifico in arrivo "/>
    <m/>
    <m/>
    <s v="A     - Avere"/>
    <n v="36019.83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1716"/>
    <x v="0"/>
    <x v="0"/>
    <x v="0"/>
    <n v="53850"/>
    <n v="132"/>
    <s v="053850_132"/>
    <s v="Discovery Frodi"/>
    <s v="Mai valutato"/>
    <m/>
    <m/>
    <n v="1323300003714"/>
    <n v="20250415"/>
    <s v="48 - Bonifico in arrivo "/>
    <m/>
    <m/>
    <s v="A     - Avere"/>
    <n v="26100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1708"/>
    <x v="0"/>
    <x v="0"/>
    <x v="0"/>
    <n v="53850"/>
    <n v="268"/>
    <s v="053850_268"/>
    <s v="Discovery Frodi"/>
    <s v="Mai valutato"/>
    <m/>
    <m/>
    <n v="2683300010038"/>
    <n v="20250403"/>
    <s v="48 - Bonifico in arrivo "/>
    <m/>
    <m/>
    <s v="A     - Avere"/>
    <n v="376696.32000000001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41696"/>
    <x v="0"/>
    <x v="0"/>
    <x v="0"/>
    <n v="53850"/>
    <n v="104"/>
    <s v="053850_104"/>
    <s v="Discovery Frodi"/>
    <s v="Mai valutato"/>
    <m/>
    <m/>
    <n v="1043309503913"/>
    <n v="20250417"/>
    <s v="48 - Bonifico in arrivo "/>
    <m/>
    <m/>
    <s v="A     - Avere"/>
    <n v="95257.19"/>
    <m/>
    <n v="424944"/>
    <n v="3454860721"/>
    <s v="CO.BE.CA. S.R.L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4"/>
    <x v="1"/>
    <x v="0"/>
    <m/>
    <x v="0"/>
    <x v="0"/>
    <s v="463"/>
    <s v="430"/>
    <s v="430463"/>
    <s v="Classe di rischio 3"/>
    <m/>
    <s v="Classe di rischio 3"/>
  </r>
  <r>
    <n v="341692"/>
    <x v="0"/>
    <x v="0"/>
    <x v="0"/>
    <n v="53850"/>
    <n v="153"/>
    <s v="053850_153"/>
    <s v="Discovery Frodi"/>
    <s v="Mai valutato"/>
    <m/>
    <m/>
    <n v="1533300663959"/>
    <n v="20250407"/>
    <s v="48 - Bonifico in arrivo "/>
    <m/>
    <m/>
    <s v="A     - Avere"/>
    <n v="30000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x v="1"/>
    <x v="0"/>
    <x v="0"/>
    <m/>
    <x v="0"/>
    <x v="0"/>
    <s v="462"/>
    <s v="430"/>
    <s v="430462"/>
    <s v="Classe di rischio 3"/>
    <m/>
    <s v="Classe di rischio 3"/>
  </r>
  <r>
    <n v="341682"/>
    <x v="0"/>
    <x v="0"/>
    <x v="0"/>
    <n v="53850"/>
    <n v="154"/>
    <s v="053850_154"/>
    <s v="Discovery Frodi"/>
    <s v="Mai valutato"/>
    <m/>
    <m/>
    <n v="1543300004860"/>
    <n v="20250424"/>
    <s v="48 - Bonifico in arrivo "/>
    <m/>
    <m/>
    <s v="A     - Avere"/>
    <n v="39805.050000000003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1676"/>
    <x v="0"/>
    <x v="0"/>
    <x v="0"/>
    <n v="53850"/>
    <n v="153"/>
    <s v="053850_153"/>
    <s v="Discovery Frodi"/>
    <s v="Mai valutato"/>
    <m/>
    <m/>
    <n v="1533300663957"/>
    <n v="20250407"/>
    <s v="48 - Bonifico in arrivo "/>
    <m/>
    <m/>
    <s v="A     - Avere"/>
    <n v="49723.65"/>
    <m/>
    <n v="3720623"/>
    <n v="3067020648"/>
    <s v="E F ALLEVA S.R.L."/>
    <s v="430 - Imprese produttive"/>
    <s v="462 - COMMERCIO ALL'INGROSSO DI MATERIE PRIME AGRICOLE E DI ANIMALI VIVI"/>
    <s v="086 - ITALIA"/>
    <n v="1055"/>
    <m/>
    <m/>
    <m/>
    <m/>
    <m/>
    <m/>
    <m/>
    <n v="0"/>
    <n v="202504"/>
    <x v="1"/>
    <x v="0"/>
    <x v="0"/>
    <m/>
    <x v="0"/>
    <x v="0"/>
    <s v="462"/>
    <s v="430"/>
    <s v="430462"/>
    <s v="Classe di rischio 3"/>
    <m/>
    <s v="Classe di rischio 3"/>
  </r>
  <r>
    <n v="341674"/>
    <x v="0"/>
    <x v="0"/>
    <x v="0"/>
    <n v="53850"/>
    <n v="122"/>
    <s v="053850_122"/>
    <s v="Discovery Frodi"/>
    <s v="Mai valutato"/>
    <m/>
    <m/>
    <n v="1223300002128"/>
    <n v="20250409"/>
    <s v="48 - Bonifico in arrivo "/>
    <m/>
    <m/>
    <s v="A     - Avere"/>
    <n v="27000.75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657"/>
    <x v="0"/>
    <x v="0"/>
    <x v="0"/>
    <n v="53850"/>
    <n v="109"/>
    <s v="053850_109"/>
    <s v="Discovery Frodi"/>
    <s v="Mai valutato"/>
    <m/>
    <m/>
    <n v="1093306674353"/>
    <n v="20250414"/>
    <s v="48 - Bonifico in arrivo "/>
    <m/>
    <m/>
    <s v="A     - Avere"/>
    <n v="305660.78000000003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m/>
    <x v="0"/>
    <x v="0"/>
    <s v="451"/>
    <s v="430"/>
    <s v="430451"/>
    <s v="Classe di rischio 3"/>
    <m/>
    <s v="Classe di rischio 3"/>
  </r>
  <r>
    <n v="341638"/>
    <x v="0"/>
    <x v="0"/>
    <x v="0"/>
    <n v="53850"/>
    <n v="191"/>
    <s v="053850_191"/>
    <s v="Discovery Frodi"/>
    <s v="Mai valutato"/>
    <m/>
    <m/>
    <n v="1913300068122"/>
    <n v="20250407"/>
    <s v="48 - Bonifico in arrivo "/>
    <m/>
    <m/>
    <s v="A     - Avere"/>
    <n v="3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621"/>
    <x v="0"/>
    <x v="0"/>
    <x v="0"/>
    <n v="53850"/>
    <n v="268"/>
    <s v="053850_268"/>
    <s v="Discovery Frodi"/>
    <s v="Mai valutato"/>
    <m/>
    <m/>
    <n v="2683300000171"/>
    <n v="20250416"/>
    <s v="48 - Bonifico in arrivo "/>
    <m/>
    <m/>
    <s v="A     - Avere"/>
    <n v="150000"/>
    <m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41600"/>
    <x v="0"/>
    <x v="0"/>
    <x v="0"/>
    <n v="53850"/>
    <n v="141"/>
    <s v="053850_141"/>
    <s v="Discovery Frodi"/>
    <s v="Mai valutato"/>
    <m/>
    <m/>
    <n v="1413300004311"/>
    <n v="20250416"/>
    <s v="48 - Bonifico in arrivo "/>
    <m/>
    <m/>
    <s v="A     - Avere"/>
    <n v="598090.81999999995"/>
    <m/>
    <n v="3737110"/>
    <n v="5366430758"/>
    <s v="AP MONTAGGI S.R.L."/>
    <s v="430 - Imprese produttive"/>
    <s v="433 - COMPLETAMENTO E FINITURA DI EDIFICI"/>
    <s v="086 - ITALIA"/>
    <n v="1627"/>
    <m/>
    <m/>
    <m/>
    <m/>
    <m/>
    <m/>
    <m/>
    <n v="0"/>
    <n v="202504"/>
    <x v="0"/>
    <x v="0"/>
    <x v="0"/>
    <m/>
    <x v="0"/>
    <x v="0"/>
    <s v="433"/>
    <s v="430"/>
    <s v="430433"/>
    <s v="Classe di rischio 3"/>
    <m/>
    <s v="Classe di rischio 3"/>
  </r>
  <r>
    <n v="341588"/>
    <x v="0"/>
    <x v="0"/>
    <x v="0"/>
    <n v="53850"/>
    <n v="148"/>
    <s v="053850_148"/>
    <s v="Discovery Frodi"/>
    <s v="Mai valutato"/>
    <m/>
    <m/>
    <n v="1483300004308"/>
    <n v="20250411"/>
    <s v="48 - Bonifico in arrivo "/>
    <m/>
    <m/>
    <s v="A     - Avere"/>
    <n v="61293.66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587"/>
    <x v="0"/>
    <x v="0"/>
    <x v="0"/>
    <n v="53850"/>
    <n v="148"/>
    <s v="053850_148"/>
    <s v="Discovery Frodi"/>
    <s v="Mai valutato"/>
    <m/>
    <m/>
    <n v="1483300004308"/>
    <n v="20250401"/>
    <s v="48 - Bonifico in arrivo "/>
    <m/>
    <m/>
    <s v="A     - Avere"/>
    <n v="39660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577"/>
    <x v="0"/>
    <x v="0"/>
    <x v="0"/>
    <n v="53850"/>
    <n v="122"/>
    <s v="053850_122"/>
    <s v="Discovery Frodi"/>
    <s v="Mai valutato"/>
    <m/>
    <m/>
    <n v="1223300002128"/>
    <n v="20250410"/>
    <s v="48 - Bonifico in arrivo "/>
    <m/>
    <m/>
    <s v="A     - Avere"/>
    <n v="41710.18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574"/>
    <x v="0"/>
    <x v="0"/>
    <x v="0"/>
    <n v="53850"/>
    <n v="122"/>
    <s v="053850_122"/>
    <s v="Discovery Frodi"/>
    <s v="Mai valutato"/>
    <m/>
    <m/>
    <n v="1223300002128"/>
    <n v="20250409"/>
    <s v="48 - Bonifico in arrivo "/>
    <m/>
    <m/>
    <s v="A     - Avere"/>
    <n v="40001.370000000003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546"/>
    <x v="0"/>
    <x v="0"/>
    <x v="0"/>
    <n v="53850"/>
    <n v="105"/>
    <s v="053850_105"/>
    <s v="Discovery Frodi"/>
    <s v="Mai valutato"/>
    <m/>
    <m/>
    <n v="1053306287103"/>
    <n v="20250402"/>
    <s v="48 - Bonifico in arrivo "/>
    <m/>
    <m/>
    <s v="A     - Avere"/>
    <n v="72928.759999999995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521"/>
    <x v="0"/>
    <x v="0"/>
    <x v="0"/>
    <n v="53850"/>
    <n v="148"/>
    <s v="053850_148"/>
    <s v="Discovery Frodi"/>
    <s v="Mai valutato"/>
    <m/>
    <m/>
    <n v="1483300004308"/>
    <n v="20250414"/>
    <s v="48 - Bonifico in arrivo "/>
    <m/>
    <m/>
    <s v="A     - Avere"/>
    <n v="37431.589999999997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512"/>
    <x v="0"/>
    <x v="0"/>
    <x v="0"/>
    <n v="53850"/>
    <n v="192"/>
    <s v="053850_192"/>
    <s v="Discovery Frodi"/>
    <s v="Mai valutato"/>
    <m/>
    <m/>
    <n v="1923300183163"/>
    <n v="20250429"/>
    <s v="48 - Bonifico in arrivo "/>
    <m/>
    <m/>
    <s v="A     - Avere"/>
    <n v="26000"/>
    <m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4"/>
    <x v="1"/>
    <x v="0"/>
    <x v="0"/>
    <n v="4695944"/>
    <x v="1"/>
    <x v="0"/>
    <s v="999"/>
    <s v="615"/>
    <s v="615999"/>
    <m/>
    <s v="1"/>
    <s v="Classe di rischio 3"/>
  </r>
  <r>
    <n v="341481"/>
    <x v="0"/>
    <x v="0"/>
    <x v="0"/>
    <n v="53850"/>
    <n v="122"/>
    <s v="053850_122"/>
    <s v="Discovery Frodi"/>
    <s v="Mai valutato"/>
    <m/>
    <m/>
    <n v="1223300002128"/>
    <n v="20250424"/>
    <s v="48 - Bonifico in arrivo "/>
    <m/>
    <m/>
    <s v="A     - Avere"/>
    <n v="66879.039999999994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468"/>
    <x v="0"/>
    <x v="0"/>
    <x v="0"/>
    <n v="53850"/>
    <n v="122"/>
    <s v="053850_122"/>
    <s v="Discovery Frodi"/>
    <s v="Mai valutato"/>
    <m/>
    <m/>
    <n v="1223300002128"/>
    <n v="20250428"/>
    <s v="48 - Bonifico in arrivo "/>
    <m/>
    <m/>
    <s v="A     - Avere"/>
    <n v="209685.34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456"/>
    <x v="0"/>
    <x v="0"/>
    <x v="0"/>
    <n v="53850"/>
    <n v="108"/>
    <s v="053850_108"/>
    <s v="Discovery Frodi"/>
    <s v="Mai valutato"/>
    <m/>
    <m/>
    <n v="1083300011180"/>
    <n v="20250416"/>
    <s v="G2 - Versamento assegni tratti sullo stesso intermediario "/>
    <m/>
    <m/>
    <s v="A     - Avere"/>
    <n v="27135.11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1437"/>
    <x v="0"/>
    <x v="0"/>
    <x v="0"/>
    <n v="53850"/>
    <n v="122"/>
    <s v="053850_122"/>
    <s v="Discovery Frodi"/>
    <s v="Mai valutato"/>
    <m/>
    <m/>
    <n v="1223300002128"/>
    <n v="20250409"/>
    <s v="48 - Bonifico in arrivo "/>
    <m/>
    <m/>
    <s v="A     - Avere"/>
    <n v="38500.800000000003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1403"/>
    <x v="0"/>
    <x v="0"/>
    <x v="0"/>
    <n v="53850"/>
    <n v="109"/>
    <s v="053850_109"/>
    <s v="Discovery Frodi"/>
    <s v="Mai valutato"/>
    <m/>
    <m/>
    <n v="1093306674353"/>
    <n v="20250409"/>
    <s v="48 - Bonifico in arrivo "/>
    <m/>
    <m/>
    <s v="A     - Avere"/>
    <n v="47512.33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m/>
    <x v="0"/>
    <x v="0"/>
    <s v="451"/>
    <s v="430"/>
    <s v="430451"/>
    <s v="Classe di rischio 3"/>
    <m/>
    <s v="Classe di rischio 3"/>
  </r>
  <r>
    <n v="341390"/>
    <x v="0"/>
    <x v="0"/>
    <x v="0"/>
    <n v="53850"/>
    <n v="153"/>
    <s v="053850_153"/>
    <s v="Discovery Frodi"/>
    <s v="Mai valutato"/>
    <m/>
    <m/>
    <n v="1533300663959"/>
    <n v="20250408"/>
    <s v="48 - Bonifico in arrivo "/>
    <m/>
    <m/>
    <s v="A     - Avere"/>
    <n v="25320.959999999999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x v="1"/>
    <x v="0"/>
    <x v="0"/>
    <m/>
    <x v="0"/>
    <x v="0"/>
    <s v="462"/>
    <s v="430"/>
    <s v="430462"/>
    <s v="Classe di rischio 3"/>
    <m/>
    <s v="Classe di rischio 3"/>
  </r>
  <r>
    <n v="341362"/>
    <x v="0"/>
    <x v="0"/>
    <x v="0"/>
    <n v="53850"/>
    <n v="105"/>
    <s v="053850_105"/>
    <s v="Discovery Frodi"/>
    <s v="Mai valutato"/>
    <m/>
    <m/>
    <n v="1053306287103"/>
    <n v="20250424"/>
    <s v="48 - Bonifico in arrivo "/>
    <m/>
    <m/>
    <s v="A     - Avere"/>
    <n v="450578.77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347"/>
    <x v="0"/>
    <x v="0"/>
    <x v="0"/>
    <n v="53850"/>
    <n v="108"/>
    <s v="053850_108"/>
    <s v="Discovery Frodi"/>
    <s v="Mai valutato"/>
    <m/>
    <m/>
    <n v="1083300011180"/>
    <n v="20250416"/>
    <s v="G1 - Versamento assegni tratti su altro intermediario "/>
    <m/>
    <m/>
    <s v="A     - Avere"/>
    <n v="38602.86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1336"/>
    <x v="0"/>
    <x v="0"/>
    <x v="0"/>
    <n v="53850"/>
    <n v="108"/>
    <s v="053850_108"/>
    <s v="Discovery Frodi"/>
    <s v="Mai valutato"/>
    <m/>
    <m/>
    <n v="1083300011180"/>
    <n v="20250428"/>
    <s v="G1 - Versamento assegni tratti su altro intermediario "/>
    <m/>
    <m/>
    <s v="A     - Avere"/>
    <n v="61078.23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1330"/>
    <x v="0"/>
    <x v="0"/>
    <x v="0"/>
    <n v="53850"/>
    <n v="132"/>
    <s v="053850_132"/>
    <s v="Discovery Frodi"/>
    <s v="Mai valutato"/>
    <m/>
    <m/>
    <n v="1323300003714"/>
    <n v="20250430"/>
    <s v="48 - Bonifico in arrivo "/>
    <m/>
    <m/>
    <s v="A     - Avere"/>
    <n v="31824.6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1313"/>
    <x v="0"/>
    <x v="0"/>
    <x v="0"/>
    <n v="53850"/>
    <n v="132"/>
    <s v="053850_132"/>
    <s v="Discovery Frodi"/>
    <s v="Mai valutato"/>
    <m/>
    <m/>
    <n v="1323300003714"/>
    <n v="20250407"/>
    <s v="48 - Bonifico in arrivo "/>
    <m/>
    <m/>
    <s v="A     - Avere"/>
    <n v="27793.599999999999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1266"/>
    <x v="0"/>
    <x v="0"/>
    <x v="0"/>
    <n v="53850"/>
    <n v="104"/>
    <s v="053850_104"/>
    <s v="Discovery Frodi"/>
    <s v="Mai valutato"/>
    <m/>
    <m/>
    <n v="1043309503914"/>
    <n v="20250414"/>
    <s v="48 - Bonifico in arrivo "/>
    <m/>
    <m/>
    <s v="A     - Avere"/>
    <n v="160157.01999999999"/>
    <m/>
    <n v="424944"/>
    <n v="3454860721"/>
    <s v="CO.BE.CA. S.R.L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4"/>
    <x v="1"/>
    <x v="0"/>
    <m/>
    <x v="0"/>
    <x v="0"/>
    <s v="463"/>
    <s v="430"/>
    <s v="430463"/>
    <s v="Classe di rischio 3"/>
    <m/>
    <s v="Classe di rischio 3"/>
  </r>
  <r>
    <n v="341248"/>
    <x v="0"/>
    <x v="0"/>
    <x v="0"/>
    <n v="53850"/>
    <n v="154"/>
    <s v="053850_154"/>
    <s v="Discovery Frodi"/>
    <s v="Mai valutato"/>
    <m/>
    <m/>
    <n v="1543300004860"/>
    <n v="20250424"/>
    <s v="48 - Bonifico in arrivo "/>
    <m/>
    <m/>
    <s v="A     - Avere"/>
    <n v="29905.88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1239"/>
    <x v="0"/>
    <x v="0"/>
    <x v="0"/>
    <n v="53850"/>
    <n v="154"/>
    <s v="053850_154"/>
    <s v="Discovery Frodi"/>
    <s v="Mai valutato"/>
    <m/>
    <m/>
    <n v="1543300004860"/>
    <n v="20250414"/>
    <s v="48 - Bonifico in arrivo "/>
    <m/>
    <m/>
    <s v="A     - Avere"/>
    <n v="28811.8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1187"/>
    <x v="0"/>
    <x v="0"/>
    <x v="0"/>
    <n v="53850"/>
    <n v="116"/>
    <s v="053850_116"/>
    <s v="Discovery Frodi"/>
    <s v="Mai valutato"/>
    <m/>
    <m/>
    <n v="1163305431040"/>
    <n v="20250402"/>
    <s v="48 - Bonifico in arrivo "/>
    <m/>
    <m/>
    <s v="A     - Avere"/>
    <n v="104920"/>
    <m/>
    <n v="543104"/>
    <n v="4393640729"/>
    <s v="TURBO SERVICE S.R.L."/>
    <s v="430 - Imprese produttive"/>
    <s v="466 - COMMERCIO ALL'INGROSSO DI ALTRI MACCHINARI, ATTREZZATURE E FORNITURE"/>
    <s v="086 - ITALIA"/>
    <n v="1696"/>
    <m/>
    <m/>
    <m/>
    <m/>
    <m/>
    <m/>
    <m/>
    <n v="0"/>
    <n v="202504"/>
    <x v="3"/>
    <x v="1"/>
    <x v="0"/>
    <m/>
    <x v="0"/>
    <x v="0"/>
    <s v="999"/>
    <s v="430"/>
    <s v="430999"/>
    <m/>
    <s v="1"/>
    <s v="Classe di rischio 1"/>
  </r>
  <r>
    <n v="341137"/>
    <x v="0"/>
    <x v="0"/>
    <x v="0"/>
    <n v="53850"/>
    <n v="191"/>
    <s v="053850_191"/>
    <s v="Discovery Frodi"/>
    <s v="Mai valutato"/>
    <m/>
    <m/>
    <n v="1913300068122"/>
    <n v="20250403"/>
    <s v="48 - Bonifico in arrivo "/>
    <m/>
    <m/>
    <s v="A     - Avere"/>
    <n v="10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127"/>
    <x v="0"/>
    <x v="0"/>
    <x v="0"/>
    <n v="53850"/>
    <n v="191"/>
    <s v="053850_191"/>
    <s v="Discovery Frodi"/>
    <s v="Mai valutato"/>
    <m/>
    <m/>
    <n v="1913300068122"/>
    <n v="20250408"/>
    <s v="48 - Bonifico in arrivo "/>
    <m/>
    <m/>
    <s v="A     - Avere"/>
    <n v="724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1047"/>
    <x v="0"/>
    <x v="0"/>
    <x v="0"/>
    <n v="53850"/>
    <n v="148"/>
    <s v="053850_148"/>
    <s v="Discovery Frodi"/>
    <s v="Mai valutato"/>
    <m/>
    <m/>
    <n v="1483300004308"/>
    <n v="20250402"/>
    <s v="48 - Bonifico in arrivo "/>
    <m/>
    <m/>
    <s v="A     - Avere"/>
    <n v="29100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0989"/>
    <x v="0"/>
    <x v="0"/>
    <x v="0"/>
    <n v="53850"/>
    <n v="125"/>
    <s v="053850_125"/>
    <s v="Discovery Frodi"/>
    <s v="Mai valutato"/>
    <m/>
    <m/>
    <n v="1253309512895"/>
    <n v="20250407"/>
    <s v="48 - Bonifico in arrivo "/>
    <m/>
    <m/>
    <s v="A     - Avere"/>
    <n v="186150.05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0944"/>
    <x v="0"/>
    <x v="0"/>
    <x v="0"/>
    <n v="53850"/>
    <n v="192"/>
    <s v="053850_192"/>
    <s v="Discovery Frodi"/>
    <s v="Mai valutato"/>
    <m/>
    <m/>
    <n v="1923300183163"/>
    <n v="20250422"/>
    <s v="48 - Bonifico in arrivo "/>
    <m/>
    <m/>
    <s v="A     - Avere"/>
    <n v="41655"/>
    <m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4"/>
    <x v="1"/>
    <x v="0"/>
    <x v="0"/>
    <n v="4695944"/>
    <x v="1"/>
    <x v="0"/>
    <s v="999"/>
    <s v="615"/>
    <s v="615999"/>
    <m/>
    <s v="1"/>
    <s v="Classe di rischio 3"/>
  </r>
  <r>
    <n v="340924"/>
    <x v="0"/>
    <x v="0"/>
    <x v="0"/>
    <n v="53850"/>
    <n v="148"/>
    <s v="053850_148"/>
    <s v="Discovery Frodi"/>
    <s v="Mai valutato"/>
    <m/>
    <m/>
    <n v="1483300004308"/>
    <n v="20250422"/>
    <s v="48 - Bonifico in arrivo "/>
    <m/>
    <m/>
    <s v="A     - Avere"/>
    <n v="34992.43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40803"/>
    <x v="0"/>
    <x v="0"/>
    <x v="0"/>
    <n v="53850"/>
    <n v="122"/>
    <s v="053850_122"/>
    <s v="Discovery Frodi"/>
    <s v="Mai valutato"/>
    <m/>
    <m/>
    <n v="1223300002128"/>
    <n v="20250424"/>
    <s v="48 - Bonifico in arrivo "/>
    <m/>
    <m/>
    <s v="A     - Avere"/>
    <n v="27920.95999999999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0767"/>
    <x v="0"/>
    <x v="0"/>
    <x v="0"/>
    <n v="53850"/>
    <n v="161"/>
    <s v="053850_161"/>
    <s v="Discovery Frodi"/>
    <s v="Mai valutato"/>
    <m/>
    <m/>
    <n v="1613300032599"/>
    <n v="20250428"/>
    <s v="48 - Bonifico in arrivo "/>
    <m/>
    <m/>
    <s v="A     - Avere"/>
    <n v="615000"/>
    <m/>
    <n v="4845705"/>
    <n v="6832140724"/>
    <s v="ZOOTECNICA S.R.L. - SOCIETA' AGRICOLA"/>
    <s v="430 - Imprese produttive"/>
    <s v="014 - ALLEVAMENTO DI ANIMALI"/>
    <s v="086 - ITALIA"/>
    <n v="1903"/>
    <m/>
    <m/>
    <m/>
    <m/>
    <m/>
    <m/>
    <m/>
    <n v="0"/>
    <n v="202504"/>
    <x v="3"/>
    <x v="1"/>
    <x v="0"/>
    <m/>
    <x v="0"/>
    <x v="0"/>
    <s v="999"/>
    <s v="430"/>
    <s v="430999"/>
    <m/>
    <s v="1"/>
    <s v="Classe di rischio 1"/>
  </r>
  <r>
    <n v="340765"/>
    <x v="0"/>
    <x v="0"/>
    <x v="0"/>
    <n v="53850"/>
    <n v="226"/>
    <s v="053850_226"/>
    <s v="Discovery Frodi"/>
    <s v="Mai valutato"/>
    <m/>
    <m/>
    <n v="2263300010989"/>
    <n v="20250407"/>
    <s v="48 - Bonifico in arrivo "/>
    <m/>
    <m/>
    <s v="A     - Avere"/>
    <n v="29900.98"/>
    <m/>
    <n v="4804128"/>
    <n v="6363770725"/>
    <s v="NUGNES 1920 S.R.L."/>
    <s v="430 - Imprese produttive"/>
    <s v="477 - COMMERCIO AL DETTAGLIO DI ALTRI PRODOTTI IN ESERCIZI SPECIALIZZATI"/>
    <s v="086 - ITALIA"/>
    <n v="1696"/>
    <m/>
    <m/>
    <m/>
    <m/>
    <m/>
    <m/>
    <m/>
    <n v="0"/>
    <n v="202504"/>
    <x v="3"/>
    <x v="1"/>
    <x v="0"/>
    <m/>
    <x v="0"/>
    <x v="0"/>
    <s v="477"/>
    <s v="430"/>
    <s v="430477"/>
    <s v="Classe di rischio 3"/>
    <m/>
    <s v="Classe di rischio 3"/>
  </r>
  <r>
    <n v="340743"/>
    <x v="0"/>
    <x v="0"/>
    <x v="0"/>
    <n v="53850"/>
    <n v="154"/>
    <s v="053850_154"/>
    <s v="Discovery Frodi"/>
    <s v="Mai valutato"/>
    <m/>
    <m/>
    <n v="1543300004860"/>
    <n v="20250417"/>
    <s v="48 - Bonifico in arrivo "/>
    <m/>
    <m/>
    <s v="A     - Avere"/>
    <n v="44730.5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0670"/>
    <x v="0"/>
    <x v="0"/>
    <x v="0"/>
    <n v="53850"/>
    <n v="154"/>
    <s v="053850_154"/>
    <s v="Discovery Frodi"/>
    <s v="Mai valutato"/>
    <m/>
    <m/>
    <n v="1543300004860"/>
    <n v="20250411"/>
    <s v="48 - Bonifico in arrivo "/>
    <m/>
    <m/>
    <s v="A     - Avere"/>
    <n v="34029.769999999997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0668"/>
    <x v="0"/>
    <x v="0"/>
    <x v="0"/>
    <n v="53850"/>
    <n v="154"/>
    <s v="053850_154"/>
    <s v="Discovery Frodi"/>
    <s v="Mai valutato"/>
    <m/>
    <m/>
    <n v="1543300004860"/>
    <n v="20250409"/>
    <s v="G1 - Versamento assegni tratti su altro intermediario "/>
    <m/>
    <m/>
    <s v="A     - Avere"/>
    <n v="34805.199999999997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0636"/>
    <x v="0"/>
    <x v="0"/>
    <x v="0"/>
    <n v="53850"/>
    <n v="154"/>
    <s v="053850_154"/>
    <s v="Discovery Frodi"/>
    <s v="Mai valutato"/>
    <m/>
    <m/>
    <n v="1543300004860"/>
    <n v="20250422"/>
    <s v="48 - Bonifico in arrivo "/>
    <m/>
    <m/>
    <s v="A     - Avere"/>
    <n v="25099.07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0635"/>
    <x v="0"/>
    <x v="0"/>
    <x v="0"/>
    <n v="53850"/>
    <n v="154"/>
    <s v="053850_154"/>
    <s v="Discovery Frodi"/>
    <s v="Mai valutato"/>
    <m/>
    <m/>
    <n v="1543300004860"/>
    <n v="20250429"/>
    <s v="48 - Bonifico in arrivo "/>
    <m/>
    <m/>
    <s v="A     - Avere"/>
    <n v="42013.07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40596"/>
    <x v="0"/>
    <x v="0"/>
    <x v="0"/>
    <n v="53850"/>
    <n v="122"/>
    <s v="053850_122"/>
    <s v="Discovery Frodi"/>
    <s v="Mai valutato"/>
    <m/>
    <m/>
    <n v="1223300002128"/>
    <n v="20250410"/>
    <s v="48 - Bonifico in arrivo "/>
    <m/>
    <m/>
    <s v="A     - Avere"/>
    <n v="26068.880000000001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0484"/>
    <x v="0"/>
    <x v="0"/>
    <x v="0"/>
    <n v="53850"/>
    <n v="122"/>
    <s v="053850_122"/>
    <s v="Discovery Frodi"/>
    <s v="Mai valutato"/>
    <m/>
    <m/>
    <n v="1223300002128"/>
    <n v="20250424"/>
    <s v="48 - Bonifico in arrivo "/>
    <m/>
    <m/>
    <s v="A     - Avere"/>
    <n v="27920.95999999999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0469"/>
    <x v="0"/>
    <x v="0"/>
    <x v="0"/>
    <n v="53850"/>
    <n v="122"/>
    <s v="053850_122"/>
    <s v="Discovery Frodi"/>
    <s v="Mai valutato"/>
    <m/>
    <m/>
    <n v="1223300002128"/>
    <n v="20250424"/>
    <s v="48 - Bonifico in arrivo "/>
    <m/>
    <m/>
    <s v="A     - Avere"/>
    <n v="66879.039999999994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40343"/>
    <x v="0"/>
    <x v="0"/>
    <x v="0"/>
    <n v="53850"/>
    <n v="141"/>
    <s v="053850_141"/>
    <s v="Discovery Frodi"/>
    <s v="Mai valutato"/>
    <m/>
    <m/>
    <n v="1413300003054"/>
    <n v="20250423"/>
    <s v="48 - Bonifico in arrivo "/>
    <m/>
    <m/>
    <s v="A     - Avere"/>
    <n v="44650"/>
    <m/>
    <n v="4918593"/>
    <n v="4968980757"/>
    <s v="ANEZ SOCIETA' A RESPONSABILITA' LIMITATASEMPLIFICATA"/>
    <s v="430 - Imprese produttive"/>
    <s v="464 - COMMERCIO ALL'INGROSSO DI BENI DI CONSUMO FINALE"/>
    <s v="086 - ITALIA"/>
    <n v="862"/>
    <m/>
    <m/>
    <m/>
    <m/>
    <m/>
    <m/>
    <m/>
    <n v="0"/>
    <n v="202504"/>
    <x v="0"/>
    <x v="0"/>
    <x v="0"/>
    <m/>
    <x v="0"/>
    <x v="0"/>
    <s v="464"/>
    <s v="430"/>
    <s v="430464"/>
    <s v="Classe di rischio 4"/>
    <m/>
    <s v="Classe di rischio 4"/>
  </r>
  <r>
    <n v="340288"/>
    <x v="0"/>
    <x v="0"/>
    <x v="0"/>
    <n v="53850"/>
    <n v="273"/>
    <s v="053850_273"/>
    <s v="Discovery Frodi"/>
    <s v="Mai valutato"/>
    <m/>
    <m/>
    <n v="2733300001403"/>
    <n v="20250403"/>
    <s v="48 - Bonifico in arrivo "/>
    <m/>
    <m/>
    <s v="A     - Avere"/>
    <n v="221462.01"/>
    <m/>
    <n v="1649237"/>
    <n v="2545430692"/>
    <s v="ILA SRLS"/>
    <s v="430 - Imprese produttive"/>
    <s v="162 - FABBRICAZIONE DI PRODOTTI IN LEGNO, SUGHERO, PAGLIA E MATERIALI DA INTRECCIO"/>
    <s v="086 - ITALIA"/>
    <n v="1765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0254"/>
    <x v="0"/>
    <x v="0"/>
    <x v="0"/>
    <n v="53850"/>
    <n v="108"/>
    <s v="053850_108"/>
    <s v="Discovery Frodi"/>
    <s v="Mai valutato"/>
    <m/>
    <m/>
    <n v="1083300011180"/>
    <n v="20250424"/>
    <s v="G1 - Versamento assegni tratti su altro intermediario "/>
    <m/>
    <m/>
    <s v="A     - Avere"/>
    <n v="140083.78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40188"/>
    <x v="0"/>
    <x v="0"/>
    <x v="0"/>
    <n v="53850"/>
    <n v="109"/>
    <s v="053850_109"/>
    <s v="Discovery Frodi"/>
    <s v="Mai valutato"/>
    <m/>
    <m/>
    <n v="1093306674353"/>
    <n v="20250417"/>
    <s v="48 - Bonifico in arrivo "/>
    <m/>
    <m/>
    <s v="A     - Avere"/>
    <n v="77379.33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m/>
    <x v="0"/>
    <x v="0"/>
    <s v="451"/>
    <s v="430"/>
    <s v="430451"/>
    <s v="Classe di rischio 3"/>
    <m/>
    <s v="Classe di rischio 3"/>
  </r>
  <r>
    <n v="340138"/>
    <x v="0"/>
    <x v="0"/>
    <x v="0"/>
    <n v="53850"/>
    <n v="153"/>
    <s v="053850_153"/>
    <s v="Discovery Frodi"/>
    <s v="Mai valutato"/>
    <m/>
    <m/>
    <n v="1533300663959"/>
    <n v="20250407"/>
    <s v="48 - Bonifico in arrivo "/>
    <m/>
    <m/>
    <s v="A     - Avere"/>
    <n v="49500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x v="1"/>
    <x v="0"/>
    <x v="0"/>
    <m/>
    <x v="0"/>
    <x v="0"/>
    <s v="462"/>
    <s v="430"/>
    <s v="430462"/>
    <s v="Classe di rischio 3"/>
    <m/>
    <s v="Classe di rischio 3"/>
  </r>
  <r>
    <n v="339984"/>
    <x v="0"/>
    <x v="0"/>
    <x v="0"/>
    <n v="53850"/>
    <n v="122"/>
    <s v="053850_122"/>
    <s v="Discovery Frodi"/>
    <s v="Mai valutato"/>
    <m/>
    <m/>
    <n v="1223300002128"/>
    <n v="20250424"/>
    <s v="48 - Bonifico in arrivo "/>
    <m/>
    <m/>
    <s v="A     - Avere"/>
    <n v="89541.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39975"/>
    <x v="0"/>
    <x v="0"/>
    <x v="0"/>
    <n v="53850"/>
    <n v="261"/>
    <s v="053850_261"/>
    <s v="Discovery Frodi"/>
    <s v="Mai valutato"/>
    <m/>
    <m/>
    <n v="2613300010205"/>
    <n v="20250423"/>
    <s v="48 - Bonifico in arrivo "/>
    <m/>
    <m/>
    <s v="A     - Avere"/>
    <n v="30052.75"/>
    <m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4"/>
    <x v="1"/>
    <x v="0"/>
    <x v="0"/>
    <n v="4991786"/>
    <x v="1"/>
    <x v="0"/>
    <s v="999"/>
    <s v="430"/>
    <s v="430999"/>
    <m/>
    <s v="1"/>
    <s v="Classe di rischio 1"/>
  </r>
  <r>
    <n v="339909"/>
    <x v="0"/>
    <x v="0"/>
    <x v="0"/>
    <n v="53850"/>
    <n v="122"/>
    <s v="053850_122"/>
    <s v="Discovery Frodi"/>
    <s v="Mai valutato"/>
    <m/>
    <m/>
    <n v="1223300002128"/>
    <n v="20250410"/>
    <s v="48 - Bonifico in arrivo "/>
    <m/>
    <m/>
    <s v="A     - Avere"/>
    <n v="26068.880000000001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39900"/>
    <x v="0"/>
    <x v="0"/>
    <x v="0"/>
    <n v="53850"/>
    <n v="132"/>
    <s v="053850_132"/>
    <s v="Discovery Frodi"/>
    <s v="Mai valutato"/>
    <m/>
    <m/>
    <n v="1323300003714"/>
    <n v="20250415"/>
    <s v="48 - Bonifico in arrivo "/>
    <m/>
    <m/>
    <s v="A     - Avere"/>
    <n v="25700.400000000001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9568"/>
    <x v="0"/>
    <x v="0"/>
    <x v="0"/>
    <n v="53850"/>
    <n v="125"/>
    <s v="053850_125"/>
    <s v="Discovery Frodi"/>
    <s v="Mai valutato"/>
    <m/>
    <m/>
    <n v="1253309512895"/>
    <n v="20250403"/>
    <s v="48 - Bonifico in arrivo "/>
    <m/>
    <m/>
    <s v="A     - Avere"/>
    <n v="38656.800000000003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9514"/>
    <x v="0"/>
    <x v="0"/>
    <x v="0"/>
    <n v="53850"/>
    <n v="148"/>
    <s v="053850_148"/>
    <s v="Discovery Frodi"/>
    <s v="Mai valutato"/>
    <m/>
    <m/>
    <n v="1483300006067"/>
    <n v="20250414"/>
    <s v="48 - Bonifico in arrivo "/>
    <m/>
    <m/>
    <s v="A     - Avere"/>
    <n v="42956.67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9484"/>
    <x v="0"/>
    <x v="0"/>
    <x v="0"/>
    <n v="53850"/>
    <n v="154"/>
    <s v="053850_154"/>
    <s v="Discovery Frodi"/>
    <s v="Mai valutato"/>
    <m/>
    <m/>
    <n v="1543300004860"/>
    <n v="20250429"/>
    <s v="48 - Bonifico in arrivo "/>
    <m/>
    <m/>
    <s v="A     - Avere"/>
    <n v="40294.15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x v="1"/>
    <x v="0"/>
    <x v="0"/>
    <n v="3715569"/>
    <x v="1"/>
    <x v="0"/>
    <s v="999"/>
    <s v="430"/>
    <s v="430999"/>
    <m/>
    <s v="1"/>
    <s v="Classe di rischio 1"/>
  </r>
  <r>
    <n v="339458"/>
    <x v="0"/>
    <x v="0"/>
    <x v="0"/>
    <n v="53850"/>
    <n v="148"/>
    <s v="053850_148"/>
    <s v="Discovery Frodi"/>
    <s v="Mai valutato"/>
    <m/>
    <m/>
    <n v="1483300006067"/>
    <n v="20250414"/>
    <s v="48 - Bonifico in arrivo 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8607"/>
    <x v="1"/>
    <x v="1"/>
    <x v="0"/>
    <n v="53850"/>
    <n v="121"/>
    <s v="053850_121"/>
    <s v="Discovery Comportamenti"/>
    <s v="Mai valutato"/>
    <m/>
    <m/>
    <m/>
    <m/>
    <m/>
    <m/>
    <m/>
    <m/>
    <s v=""/>
    <m/>
    <n v="4669940"/>
    <n v="7216060728"/>
    <s v="TERRA VIVA - SOCIETA' COOPERATIVA AGRICOLA"/>
    <s v="430 - Imprese produttive"/>
    <s v="016100 - Attività di supporto alla produzione vegetale"/>
    <m/>
    <m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38605"/>
    <x v="1"/>
    <x v="1"/>
    <x v="0"/>
    <n v="53850"/>
    <n v="121"/>
    <s v="053850_121"/>
    <s v="Discovery Comportamenti"/>
    <s v="Mai valutato"/>
    <m/>
    <m/>
    <m/>
    <m/>
    <m/>
    <m/>
    <m/>
    <m/>
    <s v=""/>
    <m/>
    <n v="4669940"/>
    <n v="7216060728"/>
    <s v="TERRA VIVA - SOCIETA' COOPERATIVA AGRICOLA"/>
    <s v="430 - Imprese produttive"/>
    <s v="016100 - Attività di supporto alla produzione vegetale"/>
    <m/>
    <m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38595"/>
    <x v="1"/>
    <x v="1"/>
    <x v="0"/>
    <n v="53850"/>
    <n v="190"/>
    <s v="053850_190"/>
    <s v="Discovery Comportamenti"/>
    <s v="Mai valutato"/>
    <m/>
    <m/>
    <m/>
    <m/>
    <m/>
    <m/>
    <m/>
    <m/>
    <s v=""/>
    <m/>
    <n v="4884959"/>
    <n v="6732580722"/>
    <s v="MACK &amp; SCHUHLE ITALIA S.P.A."/>
    <s v="430 - Imprese produttive"/>
    <s v="11021 - Produzione di vini da tavola e v.q.p.r.d."/>
    <m/>
    <n v="1926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38588"/>
    <x v="1"/>
    <x v="1"/>
    <x v="0"/>
    <n v="53850"/>
    <n v="141"/>
    <s v="053850_141"/>
    <s v="Discovery Comportamenti"/>
    <s v="Mai valutato"/>
    <m/>
    <m/>
    <m/>
    <m/>
    <m/>
    <m/>
    <m/>
    <m/>
    <s v=""/>
    <m/>
    <n v="4835947"/>
    <n v="3351210756"/>
    <s v="LINKS - MANAGEMENT AND TECHNOLOGY - S.P.A. I"/>
    <s v="430 - Imprese produttive"/>
    <s v="6202 - Consulenza nel settore delle tecnologie dell'informatica"/>
    <m/>
    <n v="1627"/>
    <m/>
    <m/>
    <m/>
    <m/>
    <m/>
    <m/>
    <m/>
    <n v="0"/>
    <m/>
    <x v="5"/>
    <x v="2"/>
    <x v="0"/>
    <m/>
    <x v="0"/>
    <x v="0"/>
    <s v="620"/>
    <s v="430"/>
    <s v="430620"/>
    <s v="Classe di rischio 3"/>
    <m/>
    <s v="Classe di rischio 3"/>
  </r>
  <r>
    <n v="338472"/>
    <x v="1"/>
    <x v="1"/>
    <x v="0"/>
    <n v="53850"/>
    <n v="122"/>
    <s v="053850_122"/>
    <s v="Discovery Comportamenti"/>
    <s v="Mai valutato"/>
    <m/>
    <m/>
    <m/>
    <m/>
    <m/>
    <m/>
    <m/>
    <m/>
    <s v=""/>
    <m/>
    <n v="3711207"/>
    <n v="8825020723"/>
    <s v="EXPRIVIA S.P.A."/>
    <s v="430 - Imprese produttive"/>
    <s v="6201 - Produzione di software non connesso all'edizione"/>
    <m/>
    <n v="1696"/>
    <m/>
    <m/>
    <m/>
    <m/>
    <m/>
    <m/>
    <m/>
    <n v="0"/>
    <m/>
    <x v="5"/>
    <x v="2"/>
    <x v="0"/>
    <m/>
    <x v="0"/>
    <x v="0"/>
    <s v="620"/>
    <s v="430"/>
    <s v="430620"/>
    <s v="Classe di rischio 3"/>
    <m/>
    <s v="Classe di rischio 3"/>
  </r>
  <r>
    <n v="338464"/>
    <x v="1"/>
    <x v="1"/>
    <x v="0"/>
    <n v="53850"/>
    <n v="102"/>
    <s v="053850_102"/>
    <s v="Discovery Comportamenti"/>
    <s v="Mai valutato"/>
    <m/>
    <m/>
    <m/>
    <m/>
    <m/>
    <m/>
    <m/>
    <m/>
    <s v=""/>
    <m/>
    <n v="4269640"/>
    <n v="4797080969"/>
    <s v="FACTORIT S.P.A."/>
    <s v="259 - Societa' di factoring"/>
    <s v="64992 - Attività di factoring"/>
    <m/>
    <n v="1926"/>
    <m/>
    <m/>
    <m/>
    <m/>
    <m/>
    <m/>
    <m/>
    <n v="0"/>
    <m/>
    <x v="5"/>
    <x v="2"/>
    <x v="0"/>
    <m/>
    <x v="0"/>
    <x v="0"/>
    <s v="999"/>
    <s v="259"/>
    <s v="259999"/>
    <m/>
    <s v="1"/>
    <s v="Classe di rischio 0"/>
  </r>
  <r>
    <n v="338413"/>
    <x v="1"/>
    <x v="1"/>
    <x v="0"/>
    <n v="53850"/>
    <n v="102"/>
    <s v="053850_102"/>
    <s v="Discovery Comportamenti"/>
    <s v="Mai valutato"/>
    <m/>
    <m/>
    <m/>
    <m/>
    <m/>
    <m/>
    <m/>
    <m/>
    <s v=""/>
    <m/>
    <n v="3726777"/>
    <n v="8920410720"/>
    <s v="VICTUS HORIZON SRL"/>
    <s v="285 - Holding operative finanziarie"/>
    <s v="642000 - Attività delle società di partecipazione (holding)"/>
    <m/>
    <n v="739"/>
    <m/>
    <m/>
    <m/>
    <m/>
    <m/>
    <m/>
    <m/>
    <n v="0"/>
    <m/>
    <x v="5"/>
    <x v="2"/>
    <x v="0"/>
    <m/>
    <x v="0"/>
    <x v="0"/>
    <s v="999"/>
    <s v="285"/>
    <s v="285999"/>
    <m/>
    <s v="1"/>
    <s v="Classe di rischio 0"/>
  </r>
  <r>
    <n v="338313"/>
    <x v="1"/>
    <x v="1"/>
    <x v="0"/>
    <n v="53850"/>
    <n v="109"/>
    <s v="053850_109"/>
    <s v="Discovery Comportamenti"/>
    <s v="Mai valutato"/>
    <m/>
    <m/>
    <m/>
    <m/>
    <m/>
    <m/>
    <m/>
    <m/>
    <s v=""/>
    <m/>
    <n v="4536482"/>
    <n v="268480720"/>
    <s v="RENAUTO SOCIETA' PER AZIONI"/>
    <s v="430 - Imprese produttive"/>
    <s v="451101 - Commercio all'ingrosso e al dettaglio di autovetture e di autoveicoli leggeri"/>
    <m/>
    <n v="1919"/>
    <m/>
    <m/>
    <m/>
    <m/>
    <m/>
    <m/>
    <m/>
    <n v="0"/>
    <m/>
    <x v="5"/>
    <x v="2"/>
    <x v="0"/>
    <m/>
    <x v="0"/>
    <x v="0"/>
    <s v="451"/>
    <s v="430"/>
    <s v="430451"/>
    <s v="Classe di rischio 3"/>
    <m/>
    <s v="Classe di rischio 3"/>
  </r>
  <r>
    <n v="338304"/>
    <x v="1"/>
    <x v="1"/>
    <x v="0"/>
    <n v="53850"/>
    <n v="105"/>
    <s v="053850_105"/>
    <s v="Discovery Comportamenti"/>
    <s v="Mai valutato"/>
    <m/>
    <m/>
    <m/>
    <m/>
    <m/>
    <m/>
    <m/>
    <m/>
    <s v=""/>
    <m/>
    <n v="4263360"/>
    <n v="5982300724"/>
    <s v="CAPURSO AZIENDA CASEARIA S.R.L."/>
    <s v="430 - Imprese produttive"/>
    <s v="10512 - Produzione dei derivati del latte"/>
    <m/>
    <n v="1058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38301"/>
    <x v="1"/>
    <x v="1"/>
    <x v="0"/>
    <n v="53850"/>
    <n v="102"/>
    <s v="053850_102"/>
    <s v="Discovery Comportamenti"/>
    <s v="Mai valutato"/>
    <m/>
    <m/>
    <m/>
    <m/>
    <m/>
    <m/>
    <m/>
    <m/>
    <s v=""/>
    <m/>
    <n v="4269640"/>
    <n v="4797080969"/>
    <s v="FACTORIT S.P.A."/>
    <s v="259 - Societa' di factoring"/>
    <s v="64992 - Attività di factoring"/>
    <m/>
    <n v="1926"/>
    <m/>
    <m/>
    <m/>
    <m/>
    <m/>
    <m/>
    <m/>
    <n v="0"/>
    <m/>
    <x v="5"/>
    <x v="2"/>
    <x v="0"/>
    <m/>
    <x v="0"/>
    <x v="0"/>
    <s v="999"/>
    <s v="259"/>
    <s v="259999"/>
    <m/>
    <s v="1"/>
    <s v="Classe di rischio 0"/>
  </r>
  <r>
    <n v="338273"/>
    <x v="1"/>
    <x v="1"/>
    <x v="0"/>
    <n v="53850"/>
    <n v="122"/>
    <s v="053850_122"/>
    <s v="Discovery Comportamenti"/>
    <s v="Mai valutato"/>
    <m/>
    <m/>
    <m/>
    <m/>
    <m/>
    <m/>
    <m/>
    <m/>
    <s v=""/>
    <m/>
    <n v="3711207"/>
    <n v="8825020723"/>
    <s v="EXPRIVIA S.P.A."/>
    <s v="430 - Imprese produttive"/>
    <s v="6201 - Produzione di software non connesso all'edizione"/>
    <m/>
    <n v="1696"/>
    <m/>
    <m/>
    <m/>
    <m/>
    <m/>
    <m/>
    <m/>
    <n v="0"/>
    <m/>
    <x v="5"/>
    <x v="2"/>
    <x v="0"/>
    <m/>
    <x v="0"/>
    <x v="0"/>
    <s v="620"/>
    <s v="430"/>
    <s v="430620"/>
    <s v="Classe di rischio 3"/>
    <m/>
    <s v="Classe di rischio 3"/>
  </r>
  <r>
    <n v="338234"/>
    <x v="1"/>
    <x v="1"/>
    <x v="0"/>
    <n v="53850"/>
    <n v="121"/>
    <s v="053850_121"/>
    <s v="Discovery Comportamenti"/>
    <s v="Mai valutato"/>
    <m/>
    <m/>
    <m/>
    <m/>
    <m/>
    <m/>
    <m/>
    <m/>
    <s v=""/>
    <m/>
    <n v="4669940"/>
    <n v="7216060728"/>
    <s v="TERRA VIVA - SOCIETA' COOPERATIVA AGRICOLA"/>
    <s v="430 - Imprese produttive"/>
    <s v="016100 - Attività di supporto alla produzione vegetale"/>
    <m/>
    <m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38183"/>
    <x v="1"/>
    <x v="1"/>
    <x v="0"/>
    <n v="53850"/>
    <n v="109"/>
    <s v="053850_109"/>
    <s v="Discovery Comportamenti"/>
    <s v="Mai valutato"/>
    <m/>
    <m/>
    <m/>
    <m/>
    <m/>
    <m/>
    <m/>
    <m/>
    <s v=""/>
    <m/>
    <n v="4536482"/>
    <n v="268480720"/>
    <s v="RENAUTO SOCIETA' PER AZIONI"/>
    <s v="430 - Imprese produttive"/>
    <s v="451101 - Commercio all'ingrosso e al dettaglio di autovetture e di autoveicoli leggeri"/>
    <m/>
    <n v="1919"/>
    <m/>
    <m/>
    <m/>
    <m/>
    <m/>
    <m/>
    <m/>
    <n v="0"/>
    <m/>
    <x v="5"/>
    <x v="2"/>
    <x v="0"/>
    <m/>
    <x v="0"/>
    <x v="0"/>
    <s v="451"/>
    <s v="430"/>
    <s v="430451"/>
    <s v="Classe di rischio 3"/>
    <m/>
    <s v="Classe di rischio 3"/>
  </r>
  <r>
    <n v="338152"/>
    <x v="1"/>
    <x v="1"/>
    <x v="0"/>
    <n v="53850"/>
    <n v="102"/>
    <s v="053850_102"/>
    <s v="Discovery Comportamenti"/>
    <s v="Mai valutato"/>
    <m/>
    <m/>
    <m/>
    <m/>
    <m/>
    <m/>
    <m/>
    <m/>
    <s v=""/>
    <m/>
    <n v="4597052"/>
    <n v="6707270960"/>
    <s v="ALBA LEASING S.P.A."/>
    <s v="258 - Societa' di leasing"/>
    <s v="6491 - Leasing finanziario"/>
    <m/>
    <n v="1926"/>
    <m/>
    <m/>
    <m/>
    <m/>
    <m/>
    <m/>
    <m/>
    <n v="0"/>
    <m/>
    <x v="5"/>
    <x v="2"/>
    <x v="0"/>
    <m/>
    <x v="0"/>
    <x v="0"/>
    <s v="999"/>
    <s v="258"/>
    <s v="258999"/>
    <m/>
    <s v="1"/>
    <s v="Classe di rischio 0"/>
  </r>
  <r>
    <n v="338137"/>
    <x v="1"/>
    <x v="1"/>
    <x v="0"/>
    <n v="53850"/>
    <n v="190"/>
    <s v="053850_190"/>
    <s v="Discovery Comportamenti"/>
    <s v="Mai valutato"/>
    <m/>
    <m/>
    <m/>
    <m/>
    <m/>
    <m/>
    <m/>
    <m/>
    <s v=""/>
    <m/>
    <n v="4884959"/>
    <n v="6732580722"/>
    <s v="MACK &amp; SCHUHLE ITALIA S.P.A."/>
    <s v="430 - Imprese produttive"/>
    <s v="11021 - Produzione di vini da tavola e v.q.p.r.d."/>
    <m/>
    <n v="1926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38074"/>
    <x v="1"/>
    <x v="1"/>
    <x v="0"/>
    <n v="53850"/>
    <n v="190"/>
    <s v="053850_190"/>
    <s v="Discovery Comportamenti"/>
    <s v="Mai valutato"/>
    <m/>
    <m/>
    <m/>
    <m/>
    <m/>
    <m/>
    <m/>
    <m/>
    <s v=""/>
    <m/>
    <n v="4884959"/>
    <n v="6732580722"/>
    <s v="MACK &amp; SCHUHLE ITALIA S.P.A."/>
    <s v="430 - Imprese produttive"/>
    <s v="11021 - Produzione di vini da tavola e v.q.p.r.d."/>
    <m/>
    <n v="1926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37728"/>
    <x v="2"/>
    <x v="2"/>
    <x v="1"/>
    <n v="53850"/>
    <n v="137"/>
    <s v="053850_137"/>
    <s v="Discovery Day"/>
    <s v="Mai valutato"/>
    <m/>
    <n v="202504287941071"/>
    <n v="1373300005994"/>
    <n v="20250428"/>
    <s v="AA - Bonifico da e per estero "/>
    <m/>
    <s v="261 - CROAZIA"/>
    <s v="D     - Dare"/>
    <n v="18411.75"/>
    <n v="0"/>
    <n v="3734872"/>
    <n v="1896670708"/>
    <s v="MOLISE SUINI SRL"/>
    <s v="430 - Imprese produttive"/>
    <s v="014 - ALLEVAMENTO DI ANIMALI"/>
    <s v="086 - ITALIA"/>
    <n v="1867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727"/>
    <x v="3"/>
    <x v="3"/>
    <x v="2"/>
    <n v="53850"/>
    <n v="102"/>
    <s v="053850_102"/>
    <s v="Discovery Day"/>
    <s v="Mai valutato"/>
    <m/>
    <s v="Vari (30/04/2025)"/>
    <n v="1023308717655"/>
    <n v="20250430"/>
    <s v="VV"/>
    <m/>
    <m/>
    <s v="A     - Avere"/>
    <n v="178315.37"/>
    <n v="5800"/>
    <n v="4226959"/>
    <n v="6150080726"/>
    <s v="INDUSTRIA MOLITORIA F.LLI MARTIMUCCI S.R.L."/>
    <s v="430 - Imprese produttive"/>
    <s v="106 - LAVORAZIONE DELLE GRANAGLIE, PRODUZIONE DI AMIDI E DI PRODOTTI AMIDACEI"/>
    <s v="086 - ITALIA"/>
    <n v="739"/>
    <m/>
    <m/>
    <m/>
    <m/>
    <m/>
    <m/>
    <m/>
    <n v="0"/>
    <n v="202504"/>
    <x v="2"/>
    <x v="1"/>
    <x v="0"/>
    <m/>
    <x v="0"/>
    <x v="1"/>
    <s v="999"/>
    <s v="430"/>
    <s v="430999"/>
    <m/>
    <s v="1"/>
    <s v="Classe di rischio 1"/>
  </r>
  <r>
    <n v="337726"/>
    <x v="4"/>
    <x v="4"/>
    <x v="2"/>
    <n v="53850"/>
    <n v="181"/>
    <s v="053850_181"/>
    <s v="Discovery Day"/>
    <s v="Mai valutato"/>
    <m/>
    <s v="202504306485623L"/>
    <n v="1813301029692"/>
    <n v="20250430"/>
    <s v="SPECIAL"/>
    <m/>
    <m/>
    <s v="D     - Dare"/>
    <n v="1101.49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4"/>
    <x v="0"/>
    <x v="0"/>
    <x v="0"/>
    <m/>
    <x v="0"/>
    <x v="1"/>
    <s v="999"/>
    <s v="102"/>
    <s v="102999"/>
    <s v="Classe di rischio 0"/>
    <m/>
    <s v="Classe di rischio 0"/>
  </r>
  <r>
    <n v="337725"/>
    <x v="4"/>
    <x v="4"/>
    <x v="2"/>
    <n v="53850"/>
    <n v="284"/>
    <s v="053850_284"/>
    <s v="Discovery Day"/>
    <s v="Mai valutato"/>
    <m/>
    <n v="202504307937300"/>
    <n v="2843300000569"/>
    <n v="20250430"/>
    <s v="48 - Bonifico in arrivo "/>
    <m/>
    <s v="086 - ITALIA"/>
    <s v="A     - Avere"/>
    <n v="489643.2"/>
    <n v="0"/>
    <n v="1656943"/>
    <s v="DRZTTR67M02F205J"/>
    <s v="D'ORAZIO ETTORE"/>
    <s v="600 - Famiglie consumatrici"/>
    <m/>
    <s v="086 - ITALIA"/>
    <n v="1858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724"/>
    <x v="4"/>
    <x v="4"/>
    <x v="2"/>
    <n v="53850"/>
    <n v="114"/>
    <s v="053850_114"/>
    <s v="Discovery Day"/>
    <s v="Mai valutato"/>
    <m/>
    <n v="202504307936936"/>
    <n v="1143306280621"/>
    <n v="20250430"/>
    <s v="48 - Bonifico in arrivo "/>
    <m/>
    <s v="086 - ITALIA"/>
    <s v="A     - Avere"/>
    <n v="180000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723"/>
    <x v="3"/>
    <x v="3"/>
    <x v="2"/>
    <n v="53850"/>
    <n v="125"/>
    <s v="053850_125"/>
    <s v="Discovery Day"/>
    <s v="Mai valutato"/>
    <m/>
    <n v="202504307940285"/>
    <n v="1473300005289"/>
    <n v="20250430"/>
    <s v="G1 - Versamento assegni tratti su altro intermediario "/>
    <m/>
    <m/>
    <s v="A     - Avere"/>
    <n v="133800"/>
    <n v="0"/>
    <n v="4324455"/>
    <s v="PLMVTR81D17B963I"/>
    <s v="PALMIERO VITTORIO"/>
    <s v="600 - Famiglie consumatrici"/>
    <m/>
    <s v="086 - ITALIA"/>
    <n v="1428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722"/>
    <x v="5"/>
    <x v="5"/>
    <x v="2"/>
    <n v="53850"/>
    <n v="102"/>
    <s v="053850_102"/>
    <s v="Discovery Day"/>
    <s v="Mai valutato"/>
    <m/>
    <n v="202504307937752"/>
    <n v="1023308722503"/>
    <n v="20250430"/>
    <s v="03 - Versamento contante cassa continua "/>
    <m/>
    <m/>
    <s v="A     - Avere"/>
    <n v="21980"/>
    <n v="219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37721"/>
    <x v="5"/>
    <x v="5"/>
    <x v="2"/>
    <n v="53850"/>
    <n v="171"/>
    <s v="053850_171"/>
    <s v="Discovery Day"/>
    <s v="Mai valutato"/>
    <m/>
    <s v="Vari (30/04/2025)"/>
    <n v="1713305728950"/>
    <n v="20250430"/>
    <s v="03 - Versamento contante cassa continua "/>
    <m/>
    <m/>
    <s v="A     - Avere"/>
    <n v="389092.8"/>
    <n v="389092.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720"/>
    <x v="2"/>
    <x v="2"/>
    <x v="2"/>
    <n v="53850"/>
    <n v="157"/>
    <s v="053850_157"/>
    <s v="Discovery Day"/>
    <s v="Mai valutato"/>
    <m/>
    <s v="202504306484552L"/>
    <n v="1573300000971"/>
    <n v="20250430"/>
    <s v="AA - Bonifico da e per estero "/>
    <m/>
    <s v="091 - PRINCIPATO DI MONACO"/>
    <s v="A     - Avere"/>
    <n v="4036.26"/>
    <n v="0"/>
    <n v="4254771"/>
    <s v="PTRSFN74P21A854D"/>
    <s v="PETRUCCELLI STEFANO"/>
    <s v="600 - Famiglie consumatrici"/>
    <m/>
    <s v="086 - ITALIA"/>
    <n v="1116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719"/>
    <x v="5"/>
    <x v="5"/>
    <x v="2"/>
    <n v="53850"/>
    <n v="116"/>
    <s v="053850_116"/>
    <s v="Discovery Day"/>
    <s v="Mai valutato"/>
    <m/>
    <n v="202504307939491"/>
    <n v="2343300010453"/>
    <n v="20250430"/>
    <s v="03 - Versamento contante cassa continua "/>
    <m/>
    <m/>
    <s v="A     - Avere"/>
    <n v="88848.8"/>
    <n v="88848.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718"/>
    <x v="4"/>
    <x v="4"/>
    <x v="2"/>
    <n v="53850"/>
    <n v="119"/>
    <s v="053850_119"/>
    <s v="Discovery Day"/>
    <s v="Mai valutato"/>
    <m/>
    <n v="202504307936565"/>
    <n v="1193308874136"/>
    <n v="20250430"/>
    <s v="48 - Bonifico in arrivo "/>
    <m/>
    <s v="086 - ITALIA"/>
    <s v="A     - Avere"/>
    <n v="200678.35"/>
    <n v="0"/>
    <n v="585202"/>
    <s v="CSTMGR44D55A881Q"/>
    <s v="CASTELLUCCIO MARIA GRAZIA"/>
    <s v="600 - Famiglie consumatrici"/>
    <m/>
    <s v="086 - ITALIA"/>
    <n v="900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717"/>
    <x v="4"/>
    <x v="4"/>
    <x v="2"/>
    <n v="53850"/>
    <n v="102"/>
    <s v="053850_102"/>
    <s v="Discovery Day"/>
    <s v="Mai valutato"/>
    <m/>
    <n v="202504307937013"/>
    <n v="1503300001880"/>
    <n v="20250430"/>
    <s v="48 - Bonifico in arrivo "/>
    <m/>
    <s v="086 - ITALIA"/>
    <s v="A     - Avere"/>
    <n v="1985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x v="2"/>
    <x v="1"/>
    <x v="0"/>
    <m/>
    <x v="0"/>
    <x v="0"/>
    <s v="999"/>
    <s v="258"/>
    <s v="258999"/>
    <m/>
    <s v="1"/>
    <s v="Classe di rischio 0"/>
  </r>
  <r>
    <n v="337716"/>
    <x v="3"/>
    <x v="3"/>
    <x v="2"/>
    <n v="53850"/>
    <n v="170"/>
    <s v="053850_170"/>
    <s v="Discovery Day"/>
    <s v="Mai valutato"/>
    <m/>
    <s v="Vari (30/04/2025)"/>
    <n v="1703306288421"/>
    <n v="20250430"/>
    <s v="VV"/>
    <m/>
    <m/>
    <s v="A     - Avere"/>
    <n v="172095.9"/>
    <n v="0"/>
    <n v="4803929"/>
    <n v="4829870726"/>
    <s v="I NOBILI S.R.L."/>
    <s v="430 - Imprese produttive"/>
    <s v="251 - FABBRICAZIONE DI ELEMENTI DA COSTRUZIONE IN METALLO"/>
    <s v="086 - ITALIA"/>
    <n v="1696"/>
    <m/>
    <m/>
    <m/>
    <m/>
    <m/>
    <m/>
    <m/>
    <n v="0"/>
    <n v="202504"/>
    <x v="2"/>
    <x v="1"/>
    <x v="0"/>
    <m/>
    <x v="0"/>
    <x v="1"/>
    <s v="999"/>
    <s v="430"/>
    <s v="430999"/>
    <m/>
    <s v="1"/>
    <s v="Classe di rischio 1"/>
  </r>
  <r>
    <n v="337715"/>
    <x v="6"/>
    <x v="6"/>
    <x v="2"/>
    <n v="53850"/>
    <n v="131"/>
    <s v="053850_131"/>
    <s v="Discovery Day"/>
    <s v="Mai valutato"/>
    <m/>
    <n v="202504307937387"/>
    <n v="1313300004533"/>
    <n v="20250430"/>
    <s v="AA - Bonifico da e per estero "/>
    <m/>
    <s v="071 - SVIZZERA"/>
    <s v="A     - Avere"/>
    <n v="22912.5"/>
    <n v="0"/>
    <n v="3739148"/>
    <s v="FRNDRS57D59Z131E"/>
    <s v="FERNANDEZ ESCOBAR DOLORES"/>
    <s v="600 - Famiglie consumatrici"/>
    <m/>
    <s v="086 - ITALIA"/>
    <m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714"/>
    <x v="4"/>
    <x v="4"/>
    <x v="2"/>
    <n v="53850"/>
    <n v="114"/>
    <s v="053850_114"/>
    <s v="Discovery Day"/>
    <s v="Mai valutato"/>
    <m/>
    <n v="202504307938221"/>
    <n v="1143306280636"/>
    <n v="20250430"/>
    <s v="31 - Effetti ritirati "/>
    <m/>
    <m/>
    <s v="D     - Dare"/>
    <n v="158006.29999999999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713"/>
    <x v="3"/>
    <x v="3"/>
    <x v="2"/>
    <n v="53850"/>
    <n v="104"/>
    <s v="053850_104"/>
    <s v="Discovery Day"/>
    <s v="Mai valutato"/>
    <m/>
    <s v="Vari (30/04/2025)"/>
    <n v="1043304173550"/>
    <n v="20250430"/>
    <s v="VV"/>
    <m/>
    <m/>
    <s v="A     - Avere"/>
    <n v="222704.65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4"/>
    <x v="0"/>
    <x v="0"/>
    <x v="0"/>
    <n v="417355"/>
    <x v="1"/>
    <x v="1"/>
    <s v="464"/>
    <s v="430"/>
    <s v="430464"/>
    <s v="Classe di rischio 4"/>
    <m/>
    <s v="Classe di rischio 4"/>
  </r>
  <r>
    <n v="337712"/>
    <x v="5"/>
    <x v="5"/>
    <x v="2"/>
    <n v="53850"/>
    <n v="268"/>
    <s v="053850_268"/>
    <s v="Discovery Day"/>
    <s v="Mai valutato"/>
    <m/>
    <s v="Vari (30/04/2025)"/>
    <n v="2683300010030"/>
    <n v="20250430"/>
    <s v="03 - Versamento contante cassa continua "/>
    <m/>
    <m/>
    <s v="A     - Avere"/>
    <n v="42890"/>
    <n v="4289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x v="1"/>
    <x v="0"/>
    <x v="0"/>
    <n v="4966939"/>
    <x v="1"/>
    <x v="0"/>
    <s v="999"/>
    <s v="615"/>
    <s v="615999"/>
    <m/>
    <s v="1"/>
    <s v="Classe di rischio 3"/>
  </r>
  <r>
    <n v="337711"/>
    <x v="4"/>
    <x v="4"/>
    <x v="2"/>
    <n v="53850"/>
    <n v="102"/>
    <s v="053850_102"/>
    <s v="Discovery Day"/>
    <s v="Mai valutato"/>
    <m/>
    <n v="202504307938730"/>
    <n v="1503300001880"/>
    <n v="20250430"/>
    <s v="15 - Rimborso finanziamenti "/>
    <m/>
    <m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x v="2"/>
    <x v="1"/>
    <x v="0"/>
    <m/>
    <x v="0"/>
    <x v="0"/>
    <s v="999"/>
    <s v="258"/>
    <s v="258999"/>
    <m/>
    <s v="1"/>
    <s v="Classe di rischio 0"/>
  </r>
  <r>
    <n v="337710"/>
    <x v="3"/>
    <x v="3"/>
    <x v="2"/>
    <n v="53850"/>
    <n v="171"/>
    <s v="053850_171"/>
    <s v="Discovery Day"/>
    <s v="Mai valutato"/>
    <m/>
    <s v="Vari (30/04/2025)"/>
    <n v="1713305728950"/>
    <n v="20250430"/>
    <s v="03 - Versamento contante cassa continua "/>
    <m/>
    <m/>
    <s v="A     - Avere"/>
    <n v="389092.8"/>
    <n v="389092.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709"/>
    <x v="3"/>
    <x v="3"/>
    <x v="2"/>
    <n v="53850"/>
    <n v="174"/>
    <s v="053850_174"/>
    <s v="Discovery Day"/>
    <s v="Mai valutato"/>
    <m/>
    <s v="Vari (30/04/2025)"/>
    <n v="1743302879671"/>
    <n v="20250430"/>
    <s v="VV"/>
    <m/>
    <m/>
    <s v="A     - Avere"/>
    <n v="146840.25"/>
    <n v="2500"/>
    <n v="4866710"/>
    <n v="265680728"/>
    <s v="AS LABRUNA S.R.L."/>
    <s v="430 - Imprese produttive"/>
    <s v="281 - FABBRICAZIONE DI MACCHINE DI IMPIEGO GENERALE"/>
    <s v="086 - ITALIA"/>
    <n v="1058"/>
    <m/>
    <m/>
    <m/>
    <m/>
    <m/>
    <m/>
    <m/>
    <n v="0"/>
    <n v="202504"/>
    <x v="0"/>
    <x v="0"/>
    <x v="0"/>
    <m/>
    <x v="0"/>
    <x v="1"/>
    <s v="999"/>
    <s v="430"/>
    <s v="430999"/>
    <m/>
    <s v="1"/>
    <s v="Classe di rischio 1"/>
  </r>
  <r>
    <n v="337708"/>
    <x v="3"/>
    <x v="3"/>
    <x v="2"/>
    <n v="53850"/>
    <n v="129"/>
    <s v="053850_129"/>
    <s v="Discovery Day"/>
    <s v="Mai valutato"/>
    <m/>
    <s v="Vari (30/04/2025)"/>
    <n v="2343300010453"/>
    <n v="20250430"/>
    <s v="VV"/>
    <m/>
    <m/>
    <s v="A     - Avere"/>
    <n v="121141.77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1"/>
    <s v="463"/>
    <s v="430"/>
    <s v="430463"/>
    <s v="Classe di rischio 3"/>
    <m/>
    <s v="Classe di rischio 3"/>
  </r>
  <r>
    <n v="337707"/>
    <x v="6"/>
    <x v="6"/>
    <x v="2"/>
    <n v="53850"/>
    <n v="131"/>
    <s v="053850_131"/>
    <s v="Discovery Day"/>
    <s v="Mai valutato"/>
    <m/>
    <n v="202504307937387"/>
    <n v="1313300004533"/>
    <n v="20250430"/>
    <s v="AA - Bonifico da e per estero "/>
    <m/>
    <s v="071 - SVIZZERA"/>
    <s v="A     - Avere"/>
    <n v="22912.5"/>
    <n v="0"/>
    <n v="3739153"/>
    <s v="MRACMN64P17H831I"/>
    <s v="MARE CARMINE DONATO"/>
    <s v="600 - Famiglie consumatrici"/>
    <m/>
    <s v="086 - ITALIA"/>
    <m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706"/>
    <x v="3"/>
    <x v="3"/>
    <x v="2"/>
    <n v="53850"/>
    <n v="110"/>
    <s v="053850_110"/>
    <s v="Discovery Day"/>
    <s v="Mai valutato"/>
    <m/>
    <n v="202504307940222"/>
    <n v="1103306285126"/>
    <n v="20250430"/>
    <s v="G7 - Versamento assegno circolare altro intermediario "/>
    <m/>
    <m/>
    <s v="A     - Avere"/>
    <n v="100000"/>
    <n v="0"/>
    <n v="483543"/>
    <s v="DBNLGU59D17A669H"/>
    <s v="DIBENEDETTO LUIGI"/>
    <s v="615 - Altre famiglie produttrici"/>
    <s v="012 - COLTIVAZIONE DI COLTURE PERMANENTI"/>
    <s v="086 - ITALIA"/>
    <n v="1072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37705"/>
    <x v="4"/>
    <x v="4"/>
    <x v="2"/>
    <n v="53850"/>
    <n v="185"/>
    <s v="053850_185"/>
    <s v="Discovery Day"/>
    <s v="Mai valutato"/>
    <m/>
    <n v="202504307940590"/>
    <n v="1873300110261"/>
    <n v="20250430"/>
    <s v="26 - Bonifico in partenza "/>
    <m/>
    <s v="086 - ITALIA"/>
    <s v="D     - Dare"/>
    <n v="204000"/>
    <n v="0"/>
    <n v="4983089"/>
    <s v="SCMNCL81H02C352S"/>
    <s v="SCAMARDI' NICOLA"/>
    <s v="600 - Famiglie consumatrici"/>
    <m/>
    <s v="086 - ITALIA"/>
    <n v="1351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704"/>
    <x v="4"/>
    <x v="4"/>
    <x v="2"/>
    <n v="53850"/>
    <n v="125"/>
    <s v="053850_125"/>
    <s v="Discovery Day"/>
    <s v="Mai valutato"/>
    <m/>
    <n v="202504307938437"/>
    <n v="1253300010013"/>
    <n v="20250430"/>
    <s v="31 - Effetti ritirati "/>
    <m/>
    <m/>
    <s v="D     - Dare"/>
    <n v="498936.77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4"/>
    <x v="0"/>
    <x v="0"/>
    <x v="0"/>
    <m/>
    <x v="0"/>
    <x v="0"/>
    <s v="464"/>
    <s v="430"/>
    <s v="430464"/>
    <s v="Classe di rischio 4"/>
    <m/>
    <s v="Classe di rischio 4"/>
  </r>
  <r>
    <n v="337703"/>
    <x v="3"/>
    <x v="3"/>
    <x v="2"/>
    <n v="53850"/>
    <n v="192"/>
    <s v="053850_192"/>
    <s v="Discovery Day"/>
    <s v="Mai valutato"/>
    <m/>
    <s v="Vari (30/04/2025)"/>
    <n v="1923300180351"/>
    <n v="20250430"/>
    <s v="G1 - Versamento assegni tratti su altro intermediario "/>
    <m/>
    <m/>
    <s v="A     - Avere"/>
    <n v="177163.9"/>
    <n v="0"/>
    <n v="4365602"/>
    <n v="2514190731"/>
    <s v="TRE P. ABBIGLIAMENTO S.R.L."/>
    <s v="430 - Imprese produttive"/>
    <s v="141 - CONFEZIONE DI ARTICOLI DI ABBIGLIAMENTO (ESCLUSO ABBIGLIAMENTO IN PELLICCIA)"/>
    <s v="086 - ITALIA"/>
    <n v="1066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702"/>
    <x v="4"/>
    <x v="4"/>
    <x v="2"/>
    <n v="53850"/>
    <n v="102"/>
    <s v="053850_102"/>
    <s v="Discovery Day"/>
    <s v="Mai valutato"/>
    <m/>
    <n v="202504307938729"/>
    <n v="1503300001880"/>
    <n v="20250430"/>
    <s v="A7 - Erogazione finanziamenti diversi e prestiti personali"/>
    <m/>
    <m/>
    <s v="A     - Ave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x v="2"/>
    <x v="1"/>
    <x v="0"/>
    <m/>
    <x v="0"/>
    <x v="0"/>
    <s v="999"/>
    <s v="258"/>
    <s v="258999"/>
    <m/>
    <s v="1"/>
    <s v="Classe di rischio 0"/>
  </r>
  <r>
    <n v="337701"/>
    <x v="2"/>
    <x v="2"/>
    <x v="2"/>
    <n v="53850"/>
    <n v="132"/>
    <s v="053850_132"/>
    <s v="Discovery Day"/>
    <s v="Mai valutato"/>
    <m/>
    <s v="202504306484814L"/>
    <n v="1323300003545"/>
    <n v="20250430"/>
    <s v="AA - Bonifico da e per estero "/>
    <m/>
    <s v="262 - RUSSIA (FEDERAZIONE DI)"/>
    <s v="D     - Dare"/>
    <n v="2000"/>
    <n v="0"/>
    <n v="4993626"/>
    <s v="LRNLCU76C58L181S"/>
    <s v="LAURINO LUCIA"/>
    <s v="600 - Famiglie consumatrici"/>
    <m/>
    <s v="086 - ITALIA"/>
    <n v="1628"/>
    <m/>
    <m/>
    <m/>
    <m/>
    <m/>
    <m/>
    <m/>
    <n v="0"/>
    <n v="202504"/>
    <x v="4"/>
    <x v="1"/>
    <x v="0"/>
    <m/>
    <x v="0"/>
    <x v="0"/>
    <s v="999"/>
    <s v="600"/>
    <s v="600999"/>
    <s v="Classe di rischio 7"/>
    <m/>
    <s v="Classe di rischio 7"/>
  </r>
  <r>
    <n v="337700"/>
    <x v="3"/>
    <x v="3"/>
    <x v="2"/>
    <n v="53850"/>
    <n v="116"/>
    <s v="053850_116"/>
    <s v="Discovery Day"/>
    <s v="Mai valutato"/>
    <m/>
    <n v="202504307939491"/>
    <n v="2343300010453"/>
    <n v="20250430"/>
    <s v="03 - Versamento contante cassa continua "/>
    <m/>
    <m/>
    <s v="A     - Avere"/>
    <n v="88848.8"/>
    <n v="88848.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699"/>
    <x v="4"/>
    <x v="4"/>
    <x v="2"/>
    <n v="53850"/>
    <n v="102"/>
    <s v="053850_102"/>
    <s v="Discovery Day"/>
    <s v="Mai valutato"/>
    <m/>
    <n v="202504307936462"/>
    <n v="1023305127300"/>
    <n v="20250430"/>
    <s v="48 - Bonifico in arrivo "/>
    <m/>
    <s v="086 - ITALIA"/>
    <s v="A     - Avere"/>
    <n v="700000"/>
    <n v="0"/>
    <n v="588978"/>
    <s v="CHRFNC69P08A225J"/>
    <s v="CHIERICO FRANCESCO"/>
    <s v="600 - Famiglie consumatrici"/>
    <m/>
    <s v="086 - ITALIA"/>
    <n v="1335"/>
    <m/>
    <m/>
    <m/>
    <m/>
    <m/>
    <m/>
    <m/>
    <n v="0"/>
    <n v="202504"/>
    <x v="4"/>
    <x v="1"/>
    <x v="0"/>
    <m/>
    <x v="0"/>
    <x v="0"/>
    <s v="999"/>
    <s v="600"/>
    <s v="600999"/>
    <s v="Classe di rischio 7"/>
    <m/>
    <s v="Classe di rischio 7"/>
  </r>
  <r>
    <n v="337698"/>
    <x v="4"/>
    <x v="4"/>
    <x v="2"/>
    <n v="53850"/>
    <n v="192"/>
    <s v="053850_192"/>
    <s v="Discovery Day"/>
    <s v="Mai valutato"/>
    <m/>
    <n v="202504307940632"/>
    <n v="1923300183163"/>
    <n v="20250430"/>
    <s v="AA - Bonifico da e per estero "/>
    <m/>
    <s v="009 - BELGIO"/>
    <s v="D     - Dare"/>
    <n v="807716.46"/>
    <n v="0"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4"/>
    <x v="1"/>
    <x v="0"/>
    <x v="0"/>
    <n v="4695944"/>
    <x v="1"/>
    <x v="0"/>
    <s v="999"/>
    <s v="615"/>
    <s v="615999"/>
    <m/>
    <s v="1"/>
    <s v="Classe di rischio 3"/>
  </r>
  <r>
    <n v="337697"/>
    <x v="5"/>
    <x v="5"/>
    <x v="2"/>
    <n v="53850"/>
    <n v="108"/>
    <s v="053850_108"/>
    <s v="Discovery Day"/>
    <s v="Mai valutato"/>
    <m/>
    <s v="Vari (30/04/2025)"/>
    <n v="1083306291105"/>
    <n v="20250430"/>
    <s v="VV"/>
    <m/>
    <m/>
    <s v="A     - Avere"/>
    <n v="69061.69"/>
    <n v="63284.800000000003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1"/>
    <s v="999"/>
    <s v="430"/>
    <s v="430999"/>
    <m/>
    <s v="1"/>
    <s v="Classe di rischio 1"/>
  </r>
  <r>
    <n v="337696"/>
    <x v="4"/>
    <x v="4"/>
    <x v="2"/>
    <n v="53850"/>
    <n v="187"/>
    <s v="053850_187"/>
    <s v="Discovery Day"/>
    <s v="Mai valutato"/>
    <m/>
    <n v="202504307935837"/>
    <n v="999361870311"/>
    <n v="20250430"/>
    <s v="26 - Bonifico in partenza "/>
    <m/>
    <s v="086 - ITALIA"/>
    <s v="D     - Dare"/>
    <n v="1431879.04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x v="0"/>
    <x v="0"/>
    <x v="0"/>
    <m/>
    <x v="0"/>
    <x v="0"/>
    <s v="999"/>
    <s v="173"/>
    <s v="173999"/>
    <s v="Classe di rischio 0"/>
    <m/>
    <s v="Classe di rischio 0"/>
  </r>
  <r>
    <n v="337695"/>
    <x v="2"/>
    <x v="2"/>
    <x v="2"/>
    <n v="53850"/>
    <n v="118"/>
    <s v="053850_118"/>
    <s v="Discovery Day"/>
    <s v="Mai valutato"/>
    <m/>
    <n v="202504307935442"/>
    <n v="1183306279384"/>
    <n v="20250430"/>
    <s v="AA - Bonifico da e per estero "/>
    <m/>
    <s v="012 - BULGARIA"/>
    <s v="D     - Dare"/>
    <n v="18000"/>
    <n v="0"/>
    <n v="4896093"/>
    <n v="8070110724"/>
    <s v="ITALWOOD SOCIETA' A RESPONSABILITA' LIMITATA"/>
    <s v="430 - Imprese produttive"/>
    <s v="310 - FABBRICAZIONE DI MOBILI"/>
    <s v="086 - ITALIA"/>
    <n v="979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694"/>
    <x v="4"/>
    <x v="4"/>
    <x v="2"/>
    <n v="53850"/>
    <n v="171"/>
    <s v="053850_171"/>
    <s v="Discovery Day"/>
    <s v="Mai valutato"/>
    <m/>
    <n v="202504307938972"/>
    <n v="1713302213842"/>
    <n v="20250430"/>
    <s v="13 - Addebito per estinzione assegno"/>
    <m/>
    <m/>
    <s v="D     - Dare"/>
    <n v="1435143.29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4"/>
    <x v="3"/>
    <x v="1"/>
    <x v="0"/>
    <m/>
    <x v="0"/>
    <x v="0"/>
    <s v="999"/>
    <s v="430"/>
    <s v="430999"/>
    <m/>
    <s v="1"/>
    <s v="Classe di rischio 1"/>
  </r>
  <r>
    <n v="337693"/>
    <x v="3"/>
    <x v="3"/>
    <x v="2"/>
    <n v="53850"/>
    <n v="110"/>
    <s v="053850_110"/>
    <s v="Discovery Day"/>
    <s v="Mai valutato"/>
    <m/>
    <n v="202504307940222"/>
    <n v="1103306285126"/>
    <n v="20250430"/>
    <s v="G7 - Versamento assegno circolare altro intermediario "/>
    <m/>
    <m/>
    <s v="A     - Avere"/>
    <n v="100000"/>
    <n v="0"/>
    <n v="522021"/>
    <s v="DBNDNC63C05A669B"/>
    <s v="DIBENEDETTO DOMENICO"/>
    <s v="615 - Altre famiglie produttrici"/>
    <s v="012 - COLTIVAZIONE DI COLTURE PERMANENTI"/>
    <s v="086 - ITALIA"/>
    <n v="1928"/>
    <m/>
    <m/>
    <m/>
    <m/>
    <m/>
    <m/>
    <m/>
    <n v="0"/>
    <n v="202504"/>
    <x v="2"/>
    <x v="1"/>
    <x v="0"/>
    <m/>
    <x v="0"/>
    <x v="0"/>
    <s v="999"/>
    <s v="615"/>
    <s v="615999"/>
    <m/>
    <s v="1"/>
    <s v="Classe di rischio 3"/>
  </r>
  <r>
    <n v="337692"/>
    <x v="2"/>
    <x v="2"/>
    <x v="2"/>
    <n v="53850"/>
    <n v="157"/>
    <s v="053850_157"/>
    <s v="Discovery Day"/>
    <s v="Mai valutato"/>
    <m/>
    <s v="202504306484552L"/>
    <n v="1573300000971"/>
    <n v="20250430"/>
    <s v="AA - Bonifico da e per estero "/>
    <m/>
    <s v="091 - PRINCIPATO DI MONACO"/>
    <s v="A     - Avere"/>
    <n v="4036.26"/>
    <n v="0"/>
    <n v="4254772"/>
    <s v="PTRFNC43S02A854P"/>
    <s v="PETRUCCELLI FRANCESCO"/>
    <s v="600 - Famiglie consumatrici"/>
    <m/>
    <s v="086 - ITALIA"/>
    <m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691"/>
    <x v="5"/>
    <x v="5"/>
    <x v="2"/>
    <n v="53850"/>
    <n v="269"/>
    <s v="053850_269"/>
    <s v="Discovery Day"/>
    <s v="Mai valutato"/>
    <m/>
    <s v="Vari (30/04/2025)"/>
    <n v="2693300001614"/>
    <n v="20250430"/>
    <s v="D1 - Versamento di contante "/>
    <m/>
    <m/>
    <s v="A     - Avere"/>
    <n v="30300"/>
    <n v="3030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4"/>
    <x v="1"/>
    <x v="0"/>
    <x v="0"/>
    <n v="1695085"/>
    <x v="1"/>
    <x v="0"/>
    <s v="999"/>
    <s v="615"/>
    <s v="615999"/>
    <m/>
    <s v="1"/>
    <s v="Classe di rischio 3"/>
  </r>
  <r>
    <n v="337690"/>
    <x v="4"/>
    <x v="4"/>
    <x v="2"/>
    <n v="53850"/>
    <n v="122"/>
    <s v="053850_122"/>
    <s v="Discovery Day"/>
    <s v="Mai valutato"/>
    <m/>
    <n v="202504307937213"/>
    <n v="1223300001682"/>
    <n v="20250430"/>
    <s v="48 - Bonifico in arrivo "/>
    <m/>
    <s v="086 - ITALIA"/>
    <s v="A     - Avere"/>
    <n v="802613.7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37689"/>
    <x v="3"/>
    <x v="3"/>
    <x v="2"/>
    <n v="53850"/>
    <n v="104"/>
    <s v="053850_104"/>
    <s v="Discovery Day"/>
    <s v="Mai valutato"/>
    <m/>
    <n v="202504307940137"/>
    <n v="1043301449156"/>
    <n v="20250430"/>
    <s v="G1 - Versamento assegni tratti su altro intermediario "/>
    <m/>
    <m/>
    <s v="A     - Avere"/>
    <n v="145165.1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688"/>
    <x v="4"/>
    <x v="4"/>
    <x v="2"/>
    <n v="53850"/>
    <n v="122"/>
    <s v="053850_122"/>
    <s v="Discovery Day"/>
    <s v="Mai valutato"/>
    <m/>
    <n v="202504307936003"/>
    <n v="1223300001682"/>
    <n v="20250430"/>
    <s v="26 - Bonifico in partenza "/>
    <m/>
    <s v="086 - ITALIA"/>
    <s v="D     - Dare"/>
    <n v="16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37687"/>
    <x v="3"/>
    <x v="3"/>
    <x v="2"/>
    <n v="53850"/>
    <n v="161"/>
    <s v="053850_161"/>
    <s v="Discovery Day"/>
    <s v="Mai valutato"/>
    <m/>
    <s v="Vari (30/04/2025)"/>
    <n v="1613300029653"/>
    <n v="20250430"/>
    <s v="VV"/>
    <m/>
    <m/>
    <s v="A     - Avere"/>
    <n v="270019.89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x v="1"/>
    <x v="0"/>
    <x v="0"/>
    <n v="4088769"/>
    <x v="1"/>
    <x v="1"/>
    <s v="464"/>
    <s v="430"/>
    <s v="430464"/>
    <s v="Classe di rischio 4"/>
    <m/>
    <s v="Classe di rischio 4"/>
  </r>
  <r>
    <n v="337686"/>
    <x v="4"/>
    <x v="4"/>
    <x v="2"/>
    <n v="53850"/>
    <n v="102"/>
    <s v="053850_102"/>
    <s v="Discovery Day"/>
    <s v="Mai valutato"/>
    <m/>
    <n v="202504307935471"/>
    <n v="1503300001880"/>
    <n v="20250430"/>
    <s v="26 - Bonifico in partenza "/>
    <m/>
    <s v="086 - ITALIA"/>
    <s v="D     - Dare"/>
    <n v="19800000"/>
    <n v="0"/>
    <n v="4597052"/>
    <n v="6707270960"/>
    <s v="ALBA LEASING S.P.A."/>
    <s v="258 - Societa' di leasing"/>
    <s v="649 - ALTRE ATTIVITÀ DI SERVIZI FINANZIARI (ESCLUSE LE ASSICURAZIONI E I FONDI PENSIONE)"/>
    <s v="086 - ITALIA"/>
    <n v="1926"/>
    <m/>
    <m/>
    <m/>
    <m/>
    <m/>
    <m/>
    <m/>
    <n v="0"/>
    <n v="202504"/>
    <x v="2"/>
    <x v="1"/>
    <x v="0"/>
    <m/>
    <x v="0"/>
    <x v="0"/>
    <s v="999"/>
    <s v="258"/>
    <s v="258999"/>
    <m/>
    <s v="1"/>
    <s v="Classe di rischio 0"/>
  </r>
  <r>
    <n v="337685"/>
    <x v="4"/>
    <x v="4"/>
    <x v="2"/>
    <n v="53850"/>
    <n v="129"/>
    <s v="053850_129"/>
    <s v="Discovery Day"/>
    <s v="Mai valutato"/>
    <m/>
    <n v="202504307935568"/>
    <n v="1293300002289"/>
    <n v="20250430"/>
    <s v="26 - Bonifico in partenza "/>
    <m/>
    <s v="086 - ITALIA"/>
    <s v="D     - Dare"/>
    <n v="2013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684"/>
    <x v="3"/>
    <x v="3"/>
    <x v="2"/>
    <n v="53850"/>
    <n v="125"/>
    <s v="053850_125"/>
    <s v="Discovery Day"/>
    <s v="Mai valutato"/>
    <m/>
    <n v="202504307940285"/>
    <n v="1473300005289"/>
    <n v="20250430"/>
    <s v="G1 - Versamento assegni tratti su altro intermediario "/>
    <m/>
    <m/>
    <s v="A     - Avere"/>
    <n v="133800"/>
    <n v="0"/>
    <n v="4507156"/>
    <s v="LTZRSL51E64B963D"/>
    <s v="LETIZIA CENTONE ROSALIA"/>
    <s v="600 - Famiglie consumatrici"/>
    <m/>
    <s v="086 - ITALIA"/>
    <m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683"/>
    <x v="4"/>
    <x v="4"/>
    <x v="2"/>
    <n v="53850"/>
    <n v="271"/>
    <s v="053850_271"/>
    <s v="Discovery Day"/>
    <s v="Mai valutato"/>
    <m/>
    <n v="202504307940791"/>
    <n v="2713300003700"/>
    <n v="20250430"/>
    <s v="31 - Effetti ritirati "/>
    <m/>
    <m/>
    <s v="D     - Dare"/>
    <n v="72553.42"/>
    <n v="0"/>
    <n v="1704434"/>
    <s v="DBRLGU61H22G482A"/>
    <s v="DE BERARDINIS LUIGI"/>
    <s v="615 - Altre famiglie produttrici"/>
    <s v="477 - COMMERCIO AL DETTAGLIO DI ALTRI PRODOTTI IN ESERCIZI SPECIALIZZATI"/>
    <s v="086 - ITALIA"/>
    <n v="1850"/>
    <m/>
    <m/>
    <m/>
    <m/>
    <m/>
    <m/>
    <m/>
    <n v="0"/>
    <n v="202504"/>
    <x v="1"/>
    <x v="0"/>
    <x v="0"/>
    <n v="1704434"/>
    <x v="1"/>
    <x v="0"/>
    <s v="477"/>
    <s v="615"/>
    <s v="615477"/>
    <s v="Classe di rischio 6"/>
    <m/>
    <s v="Classe di rischio 6"/>
  </r>
  <r>
    <n v="337682"/>
    <x v="5"/>
    <x v="5"/>
    <x v="2"/>
    <n v="53850"/>
    <n v="167"/>
    <s v="053850_167"/>
    <s v="Discovery Day"/>
    <s v="Mai valutato"/>
    <m/>
    <n v="202504307938855"/>
    <n v="1673301672849"/>
    <n v="20250430"/>
    <s v="03 - Versamento contante cassa continua "/>
    <m/>
    <m/>
    <s v="A     - Avere"/>
    <n v="33210"/>
    <n v="33210"/>
    <n v="421715"/>
    <s v="NTNFMN59A42E155T"/>
    <s v="ANTONELLI FILOMENA"/>
    <s v="615 - Altre famiglie produttrici"/>
    <s v="472 - COMMERCIO AL DETTAGLIO DI PRODOTTI ALIMENTARI, BEVANDE E TABACCO IN ESERCIZI SPECIALIZZATI"/>
    <s v="086 - ITALIA"/>
    <n v="1175"/>
    <m/>
    <m/>
    <m/>
    <m/>
    <m/>
    <m/>
    <m/>
    <n v="0"/>
    <n v="202504"/>
    <x v="1"/>
    <x v="0"/>
    <x v="0"/>
    <n v="421715"/>
    <x v="1"/>
    <x v="0"/>
    <s v="999"/>
    <s v="615"/>
    <s v="615999"/>
    <m/>
    <s v="1"/>
    <s v="Classe di rischio 3"/>
  </r>
  <r>
    <n v="337681"/>
    <x v="4"/>
    <x v="4"/>
    <x v="2"/>
    <n v="53850"/>
    <n v="119"/>
    <s v="053850_119"/>
    <s v="Discovery Day"/>
    <s v="Mai valutato"/>
    <m/>
    <n v="202504307936565"/>
    <n v="1193308874136"/>
    <n v="20250430"/>
    <s v="48 - Bonifico in arrivo "/>
    <m/>
    <s v="086 - ITALIA"/>
    <s v="A     - Avere"/>
    <n v="200678.35"/>
    <n v="0"/>
    <n v="4265205"/>
    <s v="SFRMCL81M12A662T"/>
    <s v="SFORZA MARCELLO"/>
    <s v="600 - Famiglie consumatrici"/>
    <m/>
    <s v="086 - ITALIA"/>
    <n v="900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680"/>
    <x v="4"/>
    <x v="4"/>
    <x v="2"/>
    <n v="53850"/>
    <n v="102"/>
    <s v="053850_102"/>
    <s v="Discovery Day"/>
    <s v="Mai valutato"/>
    <m/>
    <n v="202504307938733"/>
    <n v="1503300003188"/>
    <n v="20250430"/>
    <s v="A7 - Erogazione finanziamenti diversi e prestiti personali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x v="0"/>
    <x v="0"/>
    <x v="0"/>
    <m/>
    <x v="0"/>
    <x v="0"/>
    <s v="999"/>
    <s v="259"/>
    <s v="259999"/>
    <m/>
    <s v="1"/>
    <s v="Classe di rischio 0"/>
  </r>
  <r>
    <n v="337679"/>
    <x v="3"/>
    <x v="3"/>
    <x v="2"/>
    <n v="53850"/>
    <n v="128"/>
    <s v="053850_128"/>
    <s v="Discovery Day"/>
    <s v="Mai valutato"/>
    <m/>
    <s v="Vari (30/04/2025)"/>
    <n v="1283300001665"/>
    <n v="20250430"/>
    <s v="VV"/>
    <m/>
    <m/>
    <s v="A     - Avere"/>
    <n v="292793.88"/>
    <n v="598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4"/>
    <x v="1"/>
    <x v="0"/>
    <x v="0"/>
    <m/>
    <x v="0"/>
    <x v="1"/>
    <s v="999"/>
    <s v="430"/>
    <s v="430999"/>
    <m/>
    <s v="1"/>
    <s v="Classe di rischio 1"/>
  </r>
  <r>
    <n v="337678"/>
    <x v="5"/>
    <x v="5"/>
    <x v="2"/>
    <n v="53850"/>
    <n v="114"/>
    <s v="053850_114"/>
    <s v="Discovery Day"/>
    <s v="Mai valutato"/>
    <m/>
    <n v="202504307940238"/>
    <n v="1143306280621"/>
    <n v="20250430"/>
    <s v="D1 - Versamento di contante "/>
    <m/>
    <m/>
    <s v="A     - Avere"/>
    <n v="20950"/>
    <n v="209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677"/>
    <x v="3"/>
    <x v="3"/>
    <x v="2"/>
    <n v="53850"/>
    <n v="110"/>
    <s v="053850_110"/>
    <s v="Discovery Day"/>
    <s v="Mai valutato"/>
    <m/>
    <n v="202504307940222"/>
    <n v="1103306285126"/>
    <n v="20250430"/>
    <s v="G7 - Versamento assegno circolare altro intermediario "/>
    <m/>
    <m/>
    <s v="A     - Avere"/>
    <n v="100000"/>
    <n v="0"/>
    <n v="541812"/>
    <s v="DBNGCH53R11A669J"/>
    <s v="DIBENEDETTO GIOACCHINO"/>
    <s v="615 - Altre famiglie produttrici"/>
    <s v="012 - COLTIVAZIONE DI COLTURE PERMANENTI"/>
    <s v="086 - ITALIA"/>
    <n v="1928"/>
    <m/>
    <m/>
    <m/>
    <m/>
    <m/>
    <m/>
    <m/>
    <n v="0"/>
    <n v="202504"/>
    <x v="2"/>
    <x v="1"/>
    <x v="0"/>
    <m/>
    <x v="0"/>
    <x v="0"/>
    <s v="999"/>
    <s v="615"/>
    <s v="615999"/>
    <m/>
    <s v="1"/>
    <s v="Classe di rischio 3"/>
  </r>
  <r>
    <n v="337676"/>
    <x v="5"/>
    <x v="5"/>
    <x v="2"/>
    <n v="53850"/>
    <n v="171"/>
    <s v="053850_171"/>
    <s v="Discovery Day"/>
    <s v="Mai valutato"/>
    <m/>
    <s v="Vari (30/04/2025)"/>
    <n v="1713302214147"/>
    <n v="20250430"/>
    <s v="03 - Versamento contante cassa continua "/>
    <m/>
    <m/>
    <s v="A     - Avere"/>
    <n v="148915"/>
    <n v="14891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675"/>
    <x v="5"/>
    <x v="5"/>
    <x v="2"/>
    <n v="53850"/>
    <n v="189"/>
    <s v="053850_189"/>
    <s v="Discovery Day"/>
    <s v="Mai valutato"/>
    <m/>
    <n v="202504307940608"/>
    <n v="1893300023546"/>
    <n v="20250430"/>
    <s v="D1 - Versamento di contante "/>
    <m/>
    <m/>
    <s v="A     - Avere"/>
    <n v="46445"/>
    <n v="46445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4"/>
    <x v="1"/>
    <x v="0"/>
    <x v="0"/>
    <n v="3064562"/>
    <x v="1"/>
    <x v="0"/>
    <s v="999"/>
    <s v="615"/>
    <s v="615999"/>
    <m/>
    <s v="1"/>
    <s v="Classe di rischio 3"/>
  </r>
  <r>
    <n v="337674"/>
    <x v="4"/>
    <x v="4"/>
    <x v="2"/>
    <n v="53850"/>
    <n v="119"/>
    <s v="053850_119"/>
    <s v="Discovery Day"/>
    <s v="Mai valutato"/>
    <m/>
    <n v="202504307936565"/>
    <n v="1193308874136"/>
    <n v="20250430"/>
    <s v="48 - Bonifico in arrivo "/>
    <m/>
    <s v="086 - ITALIA"/>
    <s v="A     - Avere"/>
    <n v="200678.35"/>
    <n v="0"/>
    <n v="4035703"/>
    <s v="SFRNCL52E05L220G"/>
    <s v="SFORZA NICOLA"/>
    <s v="600 - Famiglie consumatrici"/>
    <m/>
    <s v="086 - ITALIA"/>
    <m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673"/>
    <x v="4"/>
    <x v="4"/>
    <x v="2"/>
    <n v="53850"/>
    <n v="106"/>
    <s v="053850_106"/>
    <s v="Discovery Day"/>
    <s v="Mai valutato"/>
    <m/>
    <n v="202504307936911"/>
    <n v="1063304235350"/>
    <n v="20250430"/>
    <s v="48 - Bonifico in arrivo "/>
    <m/>
    <s v="086 - ITALIA"/>
    <s v="A     - Avere"/>
    <n v="216020.67"/>
    <n v="0"/>
    <n v="423535"/>
    <s v="MRGNGL39C62F220E"/>
    <s v="MARGIOTTA ANGELA"/>
    <s v="600 - Famiglie consumatrici"/>
    <m/>
    <s v="086 - ITALIA"/>
    <n v="1464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672"/>
    <x v="5"/>
    <x v="5"/>
    <x v="2"/>
    <n v="53850"/>
    <n v="104"/>
    <s v="053850_104"/>
    <s v="Discovery Day"/>
    <s v="Mai valutato"/>
    <m/>
    <n v="202504307937986"/>
    <n v="1043304260740"/>
    <n v="20250430"/>
    <s v="03 - Versamento contante cassa continua "/>
    <m/>
    <m/>
    <s v="A     - Avere"/>
    <n v="25300"/>
    <n v="25300"/>
    <n v="426074"/>
    <s v="MSCGPL63R20C983Y"/>
    <s v="MUSCI GIANPAOLO"/>
    <s v="615 - Altre famiglie produttrici"/>
    <s v="477 - COMMERCIO AL DETTAGLIO DI ALTRI PRODOTTI IN ESERCIZI SPECIALIZZATI"/>
    <s v="086 - ITALIA"/>
    <n v="1946"/>
    <m/>
    <m/>
    <m/>
    <m/>
    <m/>
    <m/>
    <m/>
    <n v="0"/>
    <n v="202504"/>
    <x v="1"/>
    <x v="0"/>
    <x v="0"/>
    <n v="426074"/>
    <x v="1"/>
    <x v="0"/>
    <s v="477"/>
    <s v="615"/>
    <s v="615477"/>
    <s v="Classe di rischio 6"/>
    <m/>
    <s v="Classe di rischio 6"/>
  </r>
  <r>
    <n v="337671"/>
    <x v="3"/>
    <x v="3"/>
    <x v="2"/>
    <n v="53850"/>
    <n v="174"/>
    <s v="053850_174"/>
    <s v="Discovery Day"/>
    <s v="Mai valutato"/>
    <m/>
    <n v="202504307940506"/>
    <n v="1743302880504"/>
    <n v="20250430"/>
    <s v="G7 - Versamento assegno circolare altro intermediario "/>
    <m/>
    <m/>
    <s v="A     - Avere"/>
    <n v="250000"/>
    <n v="0"/>
    <n v="4993511"/>
    <s v="MZZNGL81M27B619S"/>
    <s v="MAZZILLI ANGELO"/>
    <s v="615 - Altre famiglie produttrici"/>
    <s v="620 - PRODUZIONE DI SOFTWARE, CONSULENZA INFORMATICA E ATTIVITÀ CONNESSE"/>
    <s v="086 - ITALIA"/>
    <n v="720"/>
    <m/>
    <m/>
    <m/>
    <m/>
    <m/>
    <m/>
    <m/>
    <n v="0"/>
    <n v="202504"/>
    <x v="0"/>
    <x v="0"/>
    <x v="0"/>
    <m/>
    <x v="0"/>
    <x v="0"/>
    <s v="999"/>
    <s v="615"/>
    <s v="615999"/>
    <m/>
    <s v="1"/>
    <s v="Classe di rischio 3"/>
  </r>
  <r>
    <n v="337670"/>
    <x v="3"/>
    <x v="3"/>
    <x v="2"/>
    <n v="53850"/>
    <n v="108"/>
    <s v="053850_108"/>
    <s v="Discovery Day"/>
    <s v="Mai valutato"/>
    <m/>
    <s v="Vari (30/04/2025)"/>
    <n v="1083300011180"/>
    <n v="20250430"/>
    <s v="G1 - Versamento assegni tratti su altro intermediario "/>
    <m/>
    <m/>
    <s v="A     - Avere"/>
    <n v="115206.55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669"/>
    <x v="2"/>
    <x v="2"/>
    <x v="2"/>
    <n v="53850"/>
    <n v="116"/>
    <s v="053850_116"/>
    <s v="Discovery Day"/>
    <s v="Mai valutato"/>
    <m/>
    <n v="202504307935590"/>
    <n v="1163307621007"/>
    <n v="20250430"/>
    <s v="AA - Bonifico da e per estero "/>
    <m/>
    <s v="091 - PRINCIPATO DI MONACO"/>
    <s v="D     - Dare"/>
    <n v="9666"/>
    <n v="0"/>
    <n v="4896552"/>
    <n v="5890650723"/>
    <s v="NATURA CARNI S.R.L."/>
    <s v="430 - Imprese produttive"/>
    <s v="101 - LAVORAZIONE E CONSERVAZIONE DI CARNE E PRODUZIONE DI PRODOTTI A BASE DI CARNE"/>
    <s v="086 - ITALIA"/>
    <n v="1919"/>
    <m/>
    <m/>
    <m/>
    <m/>
    <m/>
    <m/>
    <m/>
    <n v="0"/>
    <n v="202504"/>
    <x v="4"/>
    <x v="1"/>
    <x v="0"/>
    <m/>
    <x v="0"/>
    <x v="0"/>
    <s v="999"/>
    <s v="430"/>
    <s v="430999"/>
    <m/>
    <s v="1"/>
    <s v="Classe di rischio 1"/>
  </r>
  <r>
    <n v="337668"/>
    <x v="3"/>
    <x v="3"/>
    <x v="2"/>
    <n v="53850"/>
    <n v="171"/>
    <s v="053850_171"/>
    <s v="Discovery Day"/>
    <s v="Mai valutato"/>
    <m/>
    <s v="Vari (30/04/2025)"/>
    <n v="1713302214147"/>
    <n v="20250430"/>
    <s v="03 - Versamento contante cassa continua "/>
    <m/>
    <m/>
    <s v="A     - Avere"/>
    <n v="148915"/>
    <n v="14891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667"/>
    <x v="4"/>
    <x v="4"/>
    <x v="2"/>
    <n v="53850"/>
    <n v="102"/>
    <s v="053850_102"/>
    <s v="Discovery Day"/>
    <s v="Mai valutato"/>
    <m/>
    <n v="202504307940079"/>
    <n v="1503300003188"/>
    <n v="20250430"/>
    <s v="26 - Bonifico in partenza "/>
    <m/>
    <s v="086 - ITALIA"/>
    <s v="D     - Dare"/>
    <n v="155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x v="0"/>
    <x v="0"/>
    <x v="0"/>
    <m/>
    <x v="0"/>
    <x v="0"/>
    <s v="999"/>
    <s v="259"/>
    <s v="259999"/>
    <m/>
    <s v="1"/>
    <s v="Classe di rischio 0"/>
  </r>
  <r>
    <n v="337666"/>
    <x v="4"/>
    <x v="4"/>
    <x v="2"/>
    <n v="53850"/>
    <n v="102"/>
    <s v="053850_102"/>
    <s v="Discovery Day"/>
    <s v="Mai valutato"/>
    <m/>
    <n v="202504307938732"/>
    <n v="1503300003188"/>
    <n v="20250430"/>
    <s v="15 - Rimborso finanziamenti 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x v="0"/>
    <x v="0"/>
    <x v="0"/>
    <m/>
    <x v="0"/>
    <x v="0"/>
    <s v="999"/>
    <s v="259"/>
    <s v="259999"/>
    <m/>
    <s v="1"/>
    <s v="Classe di rischio 0"/>
  </r>
  <r>
    <n v="337665"/>
    <x v="4"/>
    <x v="4"/>
    <x v="2"/>
    <n v="53850"/>
    <n v="198"/>
    <s v="053850_198"/>
    <s v="Discovery Day"/>
    <s v="Mai valutato"/>
    <m/>
    <n v="202504307939413"/>
    <n v="1983300002331"/>
    <n v="20250430"/>
    <s v="31 - Effetti ritirati "/>
    <m/>
    <m/>
    <s v="D     - Dare"/>
    <n v="72583.91"/>
    <n v="0"/>
    <n v="4816138"/>
    <s v="RSSGNN73H12I158W"/>
    <s v="RUSSI GIOVANNI"/>
    <s v="615 - Altre famiglie produttrici"/>
    <s v="477 - COMMERCIO AL DETTAGLIO DI ALTRI PRODOTTI IN ESERCIZI SPECIALIZZATI"/>
    <s v="086 - ITALIA"/>
    <n v="844"/>
    <m/>
    <m/>
    <m/>
    <m/>
    <m/>
    <m/>
    <m/>
    <n v="0"/>
    <n v="202504"/>
    <x v="1"/>
    <x v="0"/>
    <x v="0"/>
    <n v="4816138"/>
    <x v="1"/>
    <x v="0"/>
    <s v="477"/>
    <s v="615"/>
    <s v="615477"/>
    <s v="Classe di rischio 6"/>
    <m/>
    <s v="Classe di rischio 6"/>
  </r>
  <r>
    <n v="337664"/>
    <x v="4"/>
    <x v="4"/>
    <x v="3"/>
    <n v="53850"/>
    <n v="105"/>
    <s v="053850_105"/>
    <s v="Discovery Day"/>
    <s v="Mai valutato"/>
    <m/>
    <n v="202504307934036"/>
    <n v="1053304343840"/>
    <n v="20250430"/>
    <s v="BB - Acquisto a pronti titoli e diritti d'opzione "/>
    <m/>
    <m/>
    <s v="D     - Dare"/>
    <n v="427457.45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663"/>
    <x v="4"/>
    <x v="4"/>
    <x v="3"/>
    <n v="53850"/>
    <n v="104"/>
    <s v="053850_104"/>
    <s v="Discovery Day"/>
    <s v="Mai valutato"/>
    <m/>
    <n v="202504307934033"/>
    <n v="1043301450345"/>
    <n v="20250430"/>
    <s v="BB - Acquisto a pronti titoli e diritti d'opzione "/>
    <m/>
    <m/>
    <s v="D     - Dare"/>
    <n v="412290.63"/>
    <n v="0"/>
    <n v="448111"/>
    <s v="CNNCSG41A68C983C"/>
    <s v="CANNILLO CONSIGLIA"/>
    <s v="600 - Famiglie consumatrici"/>
    <m/>
    <s v="086 - ITALIA"/>
    <n v="1267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662"/>
    <x v="4"/>
    <x v="4"/>
    <x v="3"/>
    <n v="53850"/>
    <n v="102"/>
    <s v="053850_102"/>
    <s v="Discovery Day"/>
    <s v="Mai valutato"/>
    <m/>
    <n v="202504307934016"/>
    <n v="1023301520020"/>
    <n v="20250430"/>
    <s v="BB - Acquisto a pronti titoli e diritti d'opzione "/>
    <m/>
    <m/>
    <s v="D     - Dare"/>
    <n v="496585.69"/>
    <n v="0"/>
    <n v="152002"/>
    <s v="LRSLNT59B27A225O"/>
    <s v="LORUSSO LUIGI ANTONIO"/>
    <s v="600 - Famiglie consumatrici"/>
    <m/>
    <s v="086 - ITALIA"/>
    <n v="1431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661"/>
    <x v="4"/>
    <x v="4"/>
    <x v="3"/>
    <n v="53850"/>
    <n v="273"/>
    <s v="053850_273"/>
    <s v="Discovery Day"/>
    <s v="Mai valutato"/>
    <m/>
    <n v="202504297932175"/>
    <n v="2733300004156"/>
    <n v="20250429"/>
    <s v="39 - Disposizione per emolumenti"/>
    <m/>
    <m/>
    <s v="D     - Dare"/>
    <n v="1244683.12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660"/>
    <x v="5"/>
    <x v="5"/>
    <x v="3"/>
    <n v="53850"/>
    <n v="102"/>
    <s v="053850_102"/>
    <s v="Discovery Day"/>
    <s v="Mai valutato"/>
    <m/>
    <s v="Vari (29/04/2025)"/>
    <n v="1023308723527"/>
    <n v="20250429"/>
    <s v="D1 - Versamento di contante "/>
    <m/>
    <m/>
    <s v="A     - Avere"/>
    <n v="16280"/>
    <n v="1628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4"/>
    <x v="4"/>
    <x v="1"/>
    <x v="0"/>
    <n v="4883007"/>
    <x v="1"/>
    <x v="0"/>
    <s v="477"/>
    <s v="492"/>
    <s v="492477"/>
    <s v="Classe di rischio 5"/>
    <m/>
    <s v="Classe di rischio 5"/>
  </r>
  <r>
    <n v="337659"/>
    <x v="4"/>
    <x v="4"/>
    <x v="3"/>
    <n v="53850"/>
    <n v="178"/>
    <s v="053850_178"/>
    <s v="Discovery Day"/>
    <s v="Mai valutato"/>
    <m/>
    <n v="202504297935055"/>
    <n v="1783301004498"/>
    <n v="20250429"/>
    <s v="SPECIAL"/>
    <m/>
    <m/>
    <s v="D     - Dare"/>
    <n v="47140.45"/>
    <n v="0"/>
    <n v="4891240"/>
    <s v="DGVNGL41D43A669C"/>
    <s v="DIGIOVANNI ANGELA"/>
    <s v="600 - Famiglie consumatrici"/>
    <m/>
    <s v="086 - ITALIA"/>
    <n v="1936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658"/>
    <x v="4"/>
    <x v="4"/>
    <x v="3"/>
    <n v="53850"/>
    <n v="182"/>
    <s v="053850_182"/>
    <s v="Discovery Day"/>
    <s v="Mai valutato"/>
    <m/>
    <s v="202504296436702L"/>
    <n v="1825502404004"/>
    <n v="20250429"/>
    <s v="SPECIAL"/>
    <m/>
    <m/>
    <s v="A     - Avere"/>
    <n v="1110"/>
    <n v="0"/>
    <n v="623025"/>
    <s v="MLNNNA30H47L049I"/>
    <s v="MALANDRINO ANNA"/>
    <s v="600 - Famiglie consumatrici"/>
    <m/>
    <s v="086 - ITALIA"/>
    <n v="619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657"/>
    <x v="6"/>
    <x v="6"/>
    <x v="3"/>
    <n v="53850"/>
    <n v="140"/>
    <s v="053850_140"/>
    <s v="Discovery Day"/>
    <s v="Mai valutato"/>
    <m/>
    <n v="202504297934891"/>
    <n v="1403300004431"/>
    <n v="20250429"/>
    <s v="AA - Bonifico da e per estero "/>
    <m/>
    <s v="071 - SVIZZERA"/>
    <s v="D     - Dare"/>
    <n v="19000"/>
    <n v="0"/>
    <n v="3737491"/>
    <n v="10184280963"/>
    <s v="R.G. MANIFATTURE S.R.L."/>
    <s v="430 - Imprese produttive"/>
    <s v="181 - STAMPA E SERVIZI CONNESSI ALLA STAMPA"/>
    <s v="086 - ITALIA"/>
    <n v="140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656"/>
    <x v="3"/>
    <x v="3"/>
    <x v="3"/>
    <n v="53850"/>
    <n v="103"/>
    <s v="053850_103"/>
    <s v="Discovery Day"/>
    <s v="Mai valutato"/>
    <m/>
    <n v="202504297934722"/>
    <n v="1033306986082"/>
    <n v="20250429"/>
    <s v="G8 - Versamento assegno circolare stesso intermediario"/>
    <m/>
    <m/>
    <s v="A     - Avere"/>
    <n v="141200"/>
    <n v="0"/>
    <n v="4055669"/>
    <s v="TCCMRA71T42E155A"/>
    <s v="TUCCI MARIA"/>
    <s v="600 - Famiglie consumatrici"/>
    <m/>
    <s v="086 - ITALIA"/>
    <m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655"/>
    <x v="5"/>
    <x v="5"/>
    <x v="3"/>
    <n v="53850"/>
    <n v="110"/>
    <s v="053850_110"/>
    <s v="Discovery Day"/>
    <s v="Mai valutato"/>
    <m/>
    <s v="Vari (29/04/2025)"/>
    <n v="1103300093700"/>
    <n v="20250429"/>
    <s v="03 - Versamento contante cassa continua "/>
    <m/>
    <m/>
    <s v="A     - Avere"/>
    <n v="32540"/>
    <n v="32540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s v="086 - ITALIA"/>
    <n v="746"/>
    <m/>
    <m/>
    <m/>
    <m/>
    <m/>
    <m/>
    <m/>
    <n v="0"/>
    <n v="202504"/>
    <x v="4"/>
    <x v="1"/>
    <x v="0"/>
    <n v="4871243"/>
    <x v="1"/>
    <x v="0"/>
    <s v="999"/>
    <s v="492"/>
    <s v="492999"/>
    <m/>
    <s v="1"/>
    <s v="Classe di rischio 2"/>
  </r>
  <r>
    <n v="337654"/>
    <x v="5"/>
    <x v="5"/>
    <x v="3"/>
    <n v="53850"/>
    <n v="171"/>
    <s v="053850_171"/>
    <s v="Discovery Day"/>
    <s v="Mai valutato"/>
    <m/>
    <s v="Vari (29/04/2025)"/>
    <n v="1713305728950"/>
    <n v="20250429"/>
    <s v="03 - Versamento contante cassa continua "/>
    <m/>
    <m/>
    <s v="A     - Avere"/>
    <n v="143475"/>
    <n v="14347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653"/>
    <x v="5"/>
    <x v="5"/>
    <x v="3"/>
    <n v="53850"/>
    <n v="204"/>
    <s v="053850_204"/>
    <s v="Discovery Day"/>
    <s v="Mai valutato"/>
    <m/>
    <s v="Vari (29/04/2025)"/>
    <n v="2043300011647"/>
    <n v="20250429"/>
    <s v="D1 - Versamento di contante "/>
    <m/>
    <m/>
    <s v="A     - Avere"/>
    <n v="31990"/>
    <n v="31990"/>
    <n v="4635489"/>
    <n v="2317850697"/>
    <s v="FARMACIA SPARVIERI S.N.C."/>
    <s v="492 - Quasi societa' non finanziarie altre - Unita' o societa' con meno di 20 addetti"/>
    <s v="477 - COMMERCIO AL DETTAGLIO DI ALTRI PRODOTTI IN ESERCIZI SPECIALIZZATI"/>
    <s v="086 - ITALIA"/>
    <n v="1810"/>
    <m/>
    <m/>
    <m/>
    <m/>
    <m/>
    <m/>
    <m/>
    <n v="0"/>
    <n v="202504"/>
    <x v="0"/>
    <x v="0"/>
    <x v="0"/>
    <m/>
    <x v="0"/>
    <x v="0"/>
    <s v="477"/>
    <s v="492"/>
    <s v="492477"/>
    <s v="Classe di rischio 5"/>
    <m/>
    <s v="Classe di rischio 5"/>
  </r>
  <r>
    <n v="337652"/>
    <x v="3"/>
    <x v="3"/>
    <x v="3"/>
    <n v="53850"/>
    <n v="157"/>
    <s v="053850_157"/>
    <s v="Discovery Day"/>
    <s v="Mai valutato"/>
    <m/>
    <n v="202504297934960"/>
    <n v="1573300003602"/>
    <n v="20250429"/>
    <s v="G8 - Versamento assegno circolare stesso intermediario"/>
    <m/>
    <m/>
    <s v="A     - Avere"/>
    <n v="100736.21"/>
    <n v="0"/>
    <n v="3723388"/>
    <n v="3720260714"/>
    <s v="LIQUIDAZIONE GIUDIZIALE F.T.V. S.R.L."/>
    <s v="501 - Istituzioni ed enti con finalita' di assistenza, beneficenza, istruzione, culturali, sindacali, politiche, sportive, ricreative e simili"/>
    <m/>
    <s v="086 - ITALIA"/>
    <m/>
    <m/>
    <m/>
    <m/>
    <m/>
    <m/>
    <m/>
    <m/>
    <n v="0"/>
    <n v="202504"/>
    <x v="1"/>
    <x v="0"/>
    <x v="0"/>
    <m/>
    <x v="0"/>
    <x v="0"/>
    <s v="999"/>
    <s v="501"/>
    <s v="501999"/>
    <s v="Classe di rischio 3"/>
    <m/>
    <s v="Classe di rischio 3"/>
  </r>
  <r>
    <n v="337651"/>
    <x v="7"/>
    <x v="7"/>
    <x v="3"/>
    <n v="53850"/>
    <n v="99"/>
    <s v="053850_99"/>
    <s v="Discovery Day"/>
    <s v="Mai valutato"/>
    <m/>
    <s v="202504296437636L"/>
    <m/>
    <n v="20250429"/>
    <s v="SPECIAL"/>
    <m/>
    <m/>
    <s v="D     - Dare"/>
    <n v="4921.43"/>
    <n v="0"/>
    <n v="4130205"/>
    <s v="LCCLNE70E42Z133M"/>
    <s v="LICCIONE ELENA"/>
    <s v="600 - Famiglie consumatrici"/>
    <m/>
    <s v="086 - ITALIA"/>
    <n v="826"/>
    <m/>
    <m/>
    <m/>
    <m/>
    <m/>
    <m/>
    <m/>
    <n v="0"/>
    <n v="202504"/>
    <x v="2"/>
    <x v="1"/>
    <x v="1"/>
    <m/>
    <x v="0"/>
    <x v="1"/>
    <s v="999"/>
    <s v="600"/>
    <s v="600999"/>
    <s v="Classe di rischio 7"/>
    <m/>
    <s v="Classe di rischio 7"/>
  </r>
  <r>
    <n v="337650"/>
    <x v="6"/>
    <x v="6"/>
    <x v="3"/>
    <n v="53850"/>
    <n v="148"/>
    <s v="053850_148"/>
    <s v="Discovery Day"/>
    <s v="Mai valutato"/>
    <m/>
    <n v="202504297933922"/>
    <n v="1483309514127"/>
    <n v="20250429"/>
    <s v="AA - Bonifico da e per estero "/>
    <m/>
    <s v="076 - TURCHIA"/>
    <s v="A     - Avere"/>
    <n v="19600"/>
    <n v="0"/>
    <n v="3600630"/>
    <s v="FRRNTN66R18D650V"/>
    <s v="FERRO ANTONIO"/>
    <s v="614 - Artigiani"/>
    <s v="493 - ALTRI TRASPORTI TERRESTRI DI PASSEGGERI"/>
    <s v="086 - ITALIA"/>
    <n v="1063"/>
    <m/>
    <m/>
    <m/>
    <m/>
    <m/>
    <m/>
    <m/>
    <n v="0"/>
    <n v="202504"/>
    <x v="1"/>
    <x v="0"/>
    <x v="0"/>
    <m/>
    <x v="0"/>
    <x v="0"/>
    <s v="999"/>
    <s v="614"/>
    <s v="614999"/>
    <m/>
    <s v="1"/>
    <s v="Classe di rischio 3"/>
  </r>
  <r>
    <n v="337649"/>
    <x v="4"/>
    <x v="4"/>
    <x v="3"/>
    <n v="53850"/>
    <n v="132"/>
    <s v="053850_132"/>
    <s v="Discovery Day"/>
    <s v="Mai valutato"/>
    <m/>
    <n v="202504297934869"/>
    <n v="1323300001832"/>
    <n v="20250429"/>
    <s v="10 - Emisione assegni circolari e titoli similari vaglia"/>
    <m/>
    <m/>
    <s v="D     - Dare"/>
    <n v="241080.41"/>
    <n v="0"/>
    <n v="4739352"/>
    <s v="CCCMRC92H22G942N"/>
    <s v="CUCCARESE MARCO"/>
    <s v="600 - Famiglie consumatrici"/>
    <m/>
    <s v="086 - ITALIA"/>
    <n v="1959"/>
    <m/>
    <m/>
    <m/>
    <m/>
    <m/>
    <m/>
    <m/>
    <n v="0"/>
    <n v="202504"/>
    <x v="4"/>
    <x v="1"/>
    <x v="0"/>
    <m/>
    <x v="0"/>
    <x v="0"/>
    <s v="999"/>
    <s v="600"/>
    <s v="600999"/>
    <s v="Classe di rischio 7"/>
    <m/>
    <s v="Classe di rischio 7"/>
  </r>
  <r>
    <n v="337648"/>
    <x v="5"/>
    <x v="5"/>
    <x v="3"/>
    <n v="53850"/>
    <n v="114"/>
    <s v="053850_114"/>
    <s v="Discovery Day"/>
    <s v="Mai valutato"/>
    <m/>
    <n v="202504297934801"/>
    <n v="1143306280621"/>
    <n v="20250429"/>
    <s v="D1 - Versamento di contante "/>
    <m/>
    <m/>
    <s v="A     - Avere"/>
    <n v="55650"/>
    <n v="556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647"/>
    <x v="3"/>
    <x v="3"/>
    <x v="3"/>
    <n v="53850"/>
    <n v="103"/>
    <s v="053850_103"/>
    <s v="Discovery Day"/>
    <s v="Mai valutato"/>
    <m/>
    <n v="202504297934722"/>
    <n v="1033306986082"/>
    <n v="20250429"/>
    <s v="G8 - Versamento assegno circolare stesso intermediario"/>
    <m/>
    <m/>
    <s v="A     - Avere"/>
    <n v="141200"/>
    <n v="0"/>
    <n v="87603"/>
    <s v="LDDRSO42L49E155P"/>
    <s v="LADDAGA ROSA"/>
    <s v="600 - Famiglie consumatrici"/>
    <m/>
    <s v="086 - ITALIA"/>
    <n v="1657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646"/>
    <x v="4"/>
    <x v="4"/>
    <x v="3"/>
    <n v="53850"/>
    <n v="267"/>
    <s v="053850_267"/>
    <s v="Discovery Day"/>
    <s v="Mai valutato"/>
    <m/>
    <s v="202504296443065L"/>
    <n v="2673300000887"/>
    <n v="20250429"/>
    <s v="SPECIAL"/>
    <m/>
    <m/>
    <s v="D     - Dare"/>
    <n v="2186.4499999999998"/>
    <n v="0"/>
    <n v="1642509"/>
    <s v="DGGNCL26S19D253S"/>
    <s v="DE GIGLIO NICOLA"/>
    <s v="600 - Famiglie consumatrici"/>
    <m/>
    <s v="086 - ITALIA"/>
    <m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645"/>
    <x v="8"/>
    <x v="8"/>
    <x v="3"/>
    <n v="53850"/>
    <n v="140"/>
    <s v="053850_140"/>
    <s v="Discovery Day"/>
    <s v="Mai valutato"/>
    <m/>
    <n v="202504297934892"/>
    <n v="1403300004431"/>
    <n v="20250429"/>
    <s v="AA - Bonifico da e per estero "/>
    <m/>
    <s v="071 - SVIZZERA"/>
    <s v="D     - Dare"/>
    <n v="19000"/>
    <n v="0"/>
    <n v="3737491"/>
    <n v="10184280963"/>
    <s v="R.G. MANIFATTURE S.R.L."/>
    <s v="430 - Imprese produttive"/>
    <s v="181 - STAMPA E SERVIZI CONNESSI ALLA STAMPA"/>
    <s v="086 - ITALIA"/>
    <n v="140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644"/>
    <x v="4"/>
    <x v="4"/>
    <x v="3"/>
    <n v="53850"/>
    <n v="103"/>
    <s v="053850_103"/>
    <s v="Discovery Day"/>
    <s v="Mai valutato"/>
    <m/>
    <n v="202504297934709"/>
    <n v="1033306986058"/>
    <n v="20250429"/>
    <s v="26 - Bonifico in partenza "/>
    <m/>
    <s v="086 - ITALIA"/>
    <s v="D     - Dare"/>
    <n v="220000"/>
    <n v="0"/>
    <n v="3741825"/>
    <s v="NDRGNT93P16E155L"/>
    <s v="ANDRISANI GIACINTO"/>
    <s v="600 - Famiglie consumatrici"/>
    <m/>
    <s v="086 - ITALIA"/>
    <n v="1224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643"/>
    <x v="4"/>
    <x v="4"/>
    <x v="3"/>
    <n v="53850"/>
    <n v="103"/>
    <s v="053850_103"/>
    <s v="Discovery Day"/>
    <s v="Mai valutato"/>
    <m/>
    <n v="202504297934164"/>
    <n v="1033300209630"/>
    <n v="20250429"/>
    <s v="13 - Addebito per estinzione assegno"/>
    <m/>
    <m/>
    <s v="D     - Dare"/>
    <n v="300000"/>
    <n v="0"/>
    <n v="20963"/>
    <s v="CPLLCU45A01E155T"/>
    <s v="CAPOLONGO LUCA"/>
    <s v="600 - Famiglie consumatrici"/>
    <m/>
    <s v="086 - ITALIA"/>
    <m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642"/>
    <x v="3"/>
    <x v="3"/>
    <x v="3"/>
    <n v="53850"/>
    <n v="103"/>
    <s v="053850_103"/>
    <s v="Discovery Day"/>
    <s v="Mai valutato"/>
    <m/>
    <n v="202504297934722"/>
    <n v="1033306986082"/>
    <n v="20250429"/>
    <s v="G8 - Versamento assegno circolare stesso intermediario"/>
    <m/>
    <m/>
    <s v="A     - Avere"/>
    <n v="141200"/>
    <n v="0"/>
    <n v="557564"/>
    <s v="TCCFMN66H47E155I"/>
    <s v="TUCCI FILOMENA"/>
    <s v="600 - Famiglie consumatrici"/>
    <m/>
    <s v="086 - ITALIA"/>
    <n v="515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641"/>
    <x v="4"/>
    <x v="4"/>
    <x v="3"/>
    <n v="53850"/>
    <n v="259"/>
    <s v="053850_259"/>
    <s v="Discovery Day"/>
    <s v="Mai valutato"/>
    <m/>
    <n v="202504297933563"/>
    <n v="2593300001020"/>
    <n v="20250429"/>
    <s v="48 - Bonifico in arrivo 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37640"/>
    <x v="3"/>
    <x v="3"/>
    <x v="3"/>
    <n v="53850"/>
    <n v="171"/>
    <s v="053850_171"/>
    <s v="Discovery Day"/>
    <s v="Mai valutato"/>
    <m/>
    <s v="Vari (29/04/2025)"/>
    <n v="1713305728950"/>
    <n v="20250429"/>
    <s v="03 - Versamento contante cassa continua "/>
    <m/>
    <m/>
    <s v="A     - Avere"/>
    <n v="143475"/>
    <n v="14347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639"/>
    <x v="3"/>
    <x v="3"/>
    <x v="3"/>
    <n v="53850"/>
    <n v="175"/>
    <s v="053850_175"/>
    <s v="Discovery Day"/>
    <s v="Mai valutato"/>
    <m/>
    <n v="202504297935046"/>
    <n v="1753302203350"/>
    <n v="20250429"/>
    <s v="G7 - Versamento assegno circolare altro intermediario "/>
    <m/>
    <m/>
    <s v="A     - Avere"/>
    <n v="111000"/>
    <n v="0"/>
    <n v="4844007"/>
    <n v="1296320771"/>
    <s v="STELLA COSTRUZIONI S.R.L."/>
    <s v="430 - Imprese produttive"/>
    <s v="412 - COSTRUZIONE DI EDIFICI RESIDENZIALI E NON RESIDENZIALI"/>
    <s v="086 - ITALIA"/>
    <n v="936"/>
    <m/>
    <m/>
    <m/>
    <m/>
    <m/>
    <m/>
    <m/>
    <n v="0"/>
    <n v="202504"/>
    <x v="2"/>
    <x v="1"/>
    <x v="0"/>
    <m/>
    <x v="0"/>
    <x v="0"/>
    <s v="412"/>
    <s v="430"/>
    <s v="430412"/>
    <s v="Classe di rischio 3"/>
    <m/>
    <s v="Classe di rischio 3"/>
  </r>
  <r>
    <n v="337638"/>
    <x v="5"/>
    <x v="5"/>
    <x v="3"/>
    <n v="53850"/>
    <n v="116"/>
    <s v="053850_116"/>
    <s v="Discovery Day"/>
    <s v="Mai valutato"/>
    <m/>
    <n v="202504297934570"/>
    <n v="2343300010453"/>
    <n v="20250429"/>
    <s v="03 - Versamento contante cassa continua "/>
    <m/>
    <m/>
    <s v="A     - Avere"/>
    <n v="57437"/>
    <n v="57437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637"/>
    <x v="4"/>
    <x v="4"/>
    <x v="3"/>
    <n v="53850"/>
    <n v="102"/>
    <s v="053850_102"/>
    <s v="Discovery Day"/>
    <s v="Mai valutato"/>
    <m/>
    <n v="202504297933562"/>
    <n v="1503300003188"/>
    <n v="20250429"/>
    <s v="48 - Bonifico in arrivo "/>
    <m/>
    <s v="086 - ITALIA"/>
    <s v="A     - Avere"/>
    <n v="15106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x v="0"/>
    <x v="0"/>
    <x v="0"/>
    <m/>
    <x v="0"/>
    <x v="0"/>
    <s v="999"/>
    <s v="259"/>
    <s v="259999"/>
    <m/>
    <s v="1"/>
    <s v="Classe di rischio 0"/>
  </r>
  <r>
    <n v="337636"/>
    <x v="5"/>
    <x v="5"/>
    <x v="3"/>
    <n v="53850"/>
    <n v="102"/>
    <s v="053850_102"/>
    <s v="Discovery Day"/>
    <s v="Mai valutato"/>
    <m/>
    <s v="Vari (29/04/2025)"/>
    <n v="1023308722503"/>
    <n v="20250429"/>
    <s v="03 - Versamento contante cassa continua "/>
    <m/>
    <m/>
    <s v="A     - Avere"/>
    <n v="47040"/>
    <n v="4704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37635"/>
    <x v="2"/>
    <x v="2"/>
    <x v="3"/>
    <n v="53850"/>
    <n v="121"/>
    <s v="053850_121"/>
    <s v="Discovery Day"/>
    <s v="Mai valutato"/>
    <m/>
    <s v="202504296437286L"/>
    <n v="1213300010474"/>
    <n v="20250429"/>
    <s v="AA - Bonifico da e per estero "/>
    <m/>
    <s v="091 - PRINCIPATO DI MONACO"/>
    <s v="A     - Avere"/>
    <n v="3052.3"/>
    <n v="0"/>
    <n v="4797139"/>
    <s v="BLLLSN78R14A662Q"/>
    <s v="BELLANTUONO ALESSANDRO"/>
    <s v="600 - Famiglie consumatrici"/>
    <m/>
    <s v="086 - ITALIA"/>
    <n v="964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634"/>
    <x v="4"/>
    <x v="4"/>
    <x v="3"/>
    <n v="53850"/>
    <n v="264"/>
    <s v="053850_264"/>
    <s v="Discovery Day"/>
    <s v="Mai valutato"/>
    <m/>
    <n v="202504297933080"/>
    <n v="2643300000392"/>
    <n v="20250429"/>
    <s v="48 - Bonifico in arrivo "/>
    <m/>
    <s v="086 - ITALIA"/>
    <s v="A     - Avere"/>
    <n v="711234.48"/>
    <n v="0"/>
    <n v="1632767"/>
    <n v="1199090778"/>
    <s v="GENERAL COSTRUZIONI S.R.L."/>
    <s v="430 - Imprese produttive"/>
    <s v="412 - COSTRUZIONE DI EDIFICI RESIDENZIALI E NON RESIDENZIALI"/>
    <s v="086 - ITALIA"/>
    <n v="1926"/>
    <m/>
    <m/>
    <m/>
    <m/>
    <m/>
    <m/>
    <m/>
    <n v="0"/>
    <n v="202504"/>
    <x v="1"/>
    <x v="0"/>
    <x v="0"/>
    <m/>
    <x v="0"/>
    <x v="0"/>
    <s v="412"/>
    <s v="430"/>
    <s v="430412"/>
    <s v="Classe di rischio 3"/>
    <m/>
    <s v="Classe di rischio 3"/>
  </r>
  <r>
    <n v="337633"/>
    <x v="4"/>
    <x v="4"/>
    <x v="3"/>
    <n v="53850"/>
    <n v="267"/>
    <s v="053850_267"/>
    <s v="Discovery Day"/>
    <s v="Mai valutato"/>
    <m/>
    <s v="202504296443065L"/>
    <n v="2673300000887"/>
    <n v="20250429"/>
    <s v="SPECIAL"/>
    <m/>
    <m/>
    <s v="D     - Dare"/>
    <n v="2186.4499999999998"/>
    <n v="0"/>
    <n v="1642373"/>
    <s v="CNSTSN31A42D253I"/>
    <s v="IACONIS TERESINA"/>
    <s v="600 - Famiglie consumatrici"/>
    <m/>
    <s v="086 - ITALIA"/>
    <m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632"/>
    <x v="5"/>
    <x v="5"/>
    <x v="3"/>
    <n v="53850"/>
    <n v="118"/>
    <s v="053850_118"/>
    <s v="Discovery Day"/>
    <s v="Mai valutato"/>
    <m/>
    <n v="202504297934826"/>
    <n v="1183306276748"/>
    <n v="20250429"/>
    <s v="D1 - Versamento di contante "/>
    <m/>
    <m/>
    <s v="A     - Avere"/>
    <n v="31605"/>
    <n v="31605"/>
    <n v="490902"/>
    <s v="CRLGNN64B02A225F"/>
    <s v="CARLUCCI GIOVANNI"/>
    <s v="615 - Altre famiglie produttrici"/>
    <s v="472 - COMMERCIO AL DETTAGLIO DI PRODOTTI ALIMENTARI, BEVANDE E TABACCO IN ESERCIZI SPECIALIZZATI"/>
    <s v="086 - ITALIA"/>
    <n v="979"/>
    <m/>
    <m/>
    <m/>
    <m/>
    <m/>
    <m/>
    <m/>
    <n v="0"/>
    <n v="202504"/>
    <x v="1"/>
    <x v="0"/>
    <x v="0"/>
    <n v="490902"/>
    <x v="1"/>
    <x v="0"/>
    <s v="999"/>
    <s v="615"/>
    <s v="615999"/>
    <m/>
    <s v="1"/>
    <s v="Classe di rischio 3"/>
  </r>
  <r>
    <n v="337631"/>
    <x v="4"/>
    <x v="4"/>
    <x v="3"/>
    <n v="53850"/>
    <n v="178"/>
    <s v="053850_178"/>
    <s v="Discovery Day"/>
    <s v="Mai valutato"/>
    <m/>
    <n v="202504297935055"/>
    <n v="1783301004498"/>
    <n v="20250429"/>
    <s v="SPECIAL"/>
    <m/>
    <m/>
    <s v="D     - Dare"/>
    <n v="47140.45"/>
    <n v="0"/>
    <n v="4891241"/>
    <s v="TDSNCL40E20A669R"/>
    <s v="TEDESCHI NICOLA"/>
    <s v="600 - Famiglie consumatrici"/>
    <m/>
    <s v="086 - ITALIA"/>
    <n v="1936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630"/>
    <x v="3"/>
    <x v="3"/>
    <x v="3"/>
    <n v="53850"/>
    <n v="141"/>
    <s v="053850_141"/>
    <s v="Discovery Day"/>
    <s v="Mai valutato"/>
    <m/>
    <s v="Vari (29/04/2025)"/>
    <n v="1413300002755"/>
    <n v="20250429"/>
    <s v="VV"/>
    <m/>
    <m/>
    <s v="A     - Avere"/>
    <n v="94971.3"/>
    <n v="15170"/>
    <n v="4018687"/>
    <s v="CLLLRD50H04E506J"/>
    <s v="CILLO ALFREDO"/>
    <s v="615 - Altre famiglie produttrici"/>
    <s v="691 - ATTIVITÀ DEGLI STUDI LEGALI"/>
    <s v="086 - ITALIA"/>
    <n v="862"/>
    <m/>
    <m/>
    <m/>
    <m/>
    <m/>
    <m/>
    <m/>
    <n v="0"/>
    <n v="202504"/>
    <x v="1"/>
    <x v="0"/>
    <x v="0"/>
    <n v="4018687"/>
    <x v="1"/>
    <x v="1"/>
    <s v="999"/>
    <s v="615"/>
    <s v="615999"/>
    <m/>
    <s v="1"/>
    <s v="Classe di rischio 3"/>
  </r>
  <r>
    <n v="337629"/>
    <x v="4"/>
    <x v="4"/>
    <x v="3"/>
    <n v="53850"/>
    <n v="119"/>
    <s v="053850_119"/>
    <s v="Discovery Day"/>
    <s v="Mai valutato"/>
    <m/>
    <n v="202504297933416"/>
    <n v="1193308873898"/>
    <n v="20250429"/>
    <s v="27 - Emolumenti "/>
    <m/>
    <m/>
    <s v="A     - Avere"/>
    <n v="156252.39000000001"/>
    <n v="0"/>
    <n v="4205399"/>
    <s v="PPPGDU71M05A662Z"/>
    <s v="PAPPONETTI GUIDO"/>
    <s v="600 - Famiglie consumatrici"/>
    <m/>
    <s v="086 - ITALIA"/>
    <n v="900"/>
    <m/>
    <m/>
    <m/>
    <m/>
    <m/>
    <m/>
    <m/>
    <n v="0"/>
    <n v="202504"/>
    <x v="4"/>
    <x v="1"/>
    <x v="0"/>
    <m/>
    <x v="0"/>
    <x v="0"/>
    <s v="999"/>
    <s v="600"/>
    <s v="600999"/>
    <s v="Classe di rischio 7"/>
    <m/>
    <s v="Classe di rischio 7"/>
  </r>
  <r>
    <n v="337628"/>
    <x v="4"/>
    <x v="4"/>
    <x v="3"/>
    <n v="53850"/>
    <n v="103"/>
    <s v="053850_103"/>
    <s v="Discovery Day"/>
    <s v="Mai valutato"/>
    <m/>
    <n v="202504297933659"/>
    <n v="1033306974262"/>
    <n v="20250429"/>
    <s v="48 - Bonifico in arrivo 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4"/>
    <x v="2"/>
    <x v="1"/>
    <x v="0"/>
    <m/>
    <x v="0"/>
    <x v="0"/>
    <s v="999"/>
    <s v="492"/>
    <s v="492999"/>
    <m/>
    <s v="1"/>
    <s v="Classe di rischio 2"/>
  </r>
  <r>
    <n v="337627"/>
    <x v="5"/>
    <x v="5"/>
    <x v="3"/>
    <n v="53850"/>
    <n v="128"/>
    <s v="053850_128"/>
    <s v="Discovery Day"/>
    <s v="Mai valutato"/>
    <m/>
    <n v="202504297934856"/>
    <n v="1283300003941"/>
    <n v="20250429"/>
    <s v="D1 - Versamento di contante "/>
    <m/>
    <m/>
    <s v="A     - Avere"/>
    <n v="41180"/>
    <n v="4118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4"/>
    <x v="1"/>
    <x v="0"/>
    <x v="0"/>
    <n v="4916499"/>
    <x v="1"/>
    <x v="0"/>
    <s v="999"/>
    <s v="615"/>
    <s v="615999"/>
    <m/>
    <s v="1"/>
    <s v="Classe di rischio 3"/>
  </r>
  <r>
    <n v="337626"/>
    <x v="8"/>
    <x v="8"/>
    <x v="3"/>
    <n v="53850"/>
    <n v="140"/>
    <s v="053850_140"/>
    <s v="Discovery Day"/>
    <s v="Mai valutato"/>
    <m/>
    <n v="202504297934895"/>
    <n v="1403300004431"/>
    <n v="20250429"/>
    <s v="AA - Bonifico da e per estero "/>
    <m/>
    <s v="071 - SVIZZERA"/>
    <s v="D     - Dare"/>
    <n v="36000"/>
    <n v="0"/>
    <n v="3737491"/>
    <n v="10184280963"/>
    <s v="R.G. MANIFATTURE S.R.L."/>
    <s v="430 - Imprese produttive"/>
    <s v="181 - STAMPA E SERVIZI CONNESSI ALLA STAMPA"/>
    <s v="086 - ITALIA"/>
    <n v="140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625"/>
    <x v="5"/>
    <x v="5"/>
    <x v="3"/>
    <n v="53850"/>
    <n v="273"/>
    <s v="053850_273"/>
    <s v="Discovery Day"/>
    <s v="Mai valutato"/>
    <m/>
    <s v="Vari (29/04/2025)"/>
    <n v="2733300001040"/>
    <n v="20250429"/>
    <s v="03 - Versamento contante cassa continua "/>
    <m/>
    <m/>
    <s v="A     - Avere"/>
    <n v="49950"/>
    <n v="49950"/>
    <n v="1615776"/>
    <s v="DBSNLC80T55E435P"/>
    <s v="DI BIASE ANGELICA"/>
    <s v="615 - Altre famiglie produttrici"/>
    <s v="472 - COMMERCIO AL DETTAGLIO DI PRODOTTI ALIMENTARI, BEVANDE E TABACCO IN ESERCIZI SPECIALIZZATI"/>
    <s v="086 - ITALIA"/>
    <n v="1765"/>
    <m/>
    <m/>
    <m/>
    <m/>
    <m/>
    <m/>
    <m/>
    <n v="0"/>
    <n v="202504"/>
    <x v="1"/>
    <x v="0"/>
    <x v="0"/>
    <n v="1615776"/>
    <x v="1"/>
    <x v="0"/>
    <s v="999"/>
    <s v="615"/>
    <s v="615999"/>
    <m/>
    <s v="1"/>
    <s v="Classe di rischio 3"/>
  </r>
  <r>
    <n v="337624"/>
    <x v="3"/>
    <x v="3"/>
    <x v="3"/>
    <n v="53850"/>
    <n v="103"/>
    <s v="053850_103"/>
    <s v="Discovery Day"/>
    <s v="Mai valutato"/>
    <m/>
    <n v="202504297934722"/>
    <n v="1033306986082"/>
    <n v="20250429"/>
    <s v="G8 - Versamento assegno circolare stesso intermediario"/>
    <m/>
    <m/>
    <s v="A     - Avere"/>
    <n v="141200"/>
    <n v="0"/>
    <n v="4041365"/>
    <s v="TCCGPP74M66E155X"/>
    <s v="TUCCI GIUSEPPINA"/>
    <s v="600 - Famiglie consumatrici"/>
    <m/>
    <s v="086 - ITALIA"/>
    <m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623"/>
    <x v="5"/>
    <x v="5"/>
    <x v="3"/>
    <n v="53850"/>
    <n v="161"/>
    <s v="053850_161"/>
    <s v="Discovery Day"/>
    <s v="Mai valutato"/>
    <m/>
    <s v="Vari (29/04/2025)"/>
    <n v="1613300031333"/>
    <n v="20250429"/>
    <s v="VV"/>
    <m/>
    <m/>
    <s v="A     - Avere"/>
    <n v="40000.800000000003"/>
    <n v="3563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4"/>
    <x v="1"/>
    <x v="0"/>
    <x v="0"/>
    <n v="511904"/>
    <x v="1"/>
    <x v="1"/>
    <s v="999"/>
    <s v="615"/>
    <s v="615999"/>
    <m/>
    <s v="1"/>
    <s v="Classe di rischio 3"/>
  </r>
  <r>
    <n v="337622"/>
    <x v="8"/>
    <x v="8"/>
    <x v="3"/>
    <n v="53850"/>
    <n v="140"/>
    <s v="053850_140"/>
    <s v="Discovery Day"/>
    <s v="Mai valutato"/>
    <m/>
    <n v="202504297934891"/>
    <n v="1403300004431"/>
    <n v="20250429"/>
    <s v="AA - Bonifico da e per estero "/>
    <m/>
    <s v="071 - SVIZZERA"/>
    <s v="D     - Dare"/>
    <n v="19000"/>
    <n v="0"/>
    <n v="3737491"/>
    <n v="10184280963"/>
    <s v="R.G. MANIFATTURE S.R.L."/>
    <s v="430 - Imprese produttive"/>
    <s v="181 - STAMPA E SERVIZI CONNESSI ALLA STAMPA"/>
    <s v="086 - ITALIA"/>
    <n v="140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621"/>
    <x v="4"/>
    <x v="4"/>
    <x v="3"/>
    <n v="53850"/>
    <n v="102"/>
    <s v="053850_102"/>
    <s v="Discovery Day"/>
    <s v="Mai valutato"/>
    <m/>
    <n v="202504297932144"/>
    <n v="1503300003188"/>
    <n v="20250429"/>
    <s v="26 - Bonifico in partenza "/>
    <m/>
    <s v="086 - ITALIA"/>
    <s v="D     - Dare"/>
    <n v="12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x v="0"/>
    <x v="0"/>
    <x v="0"/>
    <m/>
    <x v="0"/>
    <x v="0"/>
    <s v="999"/>
    <s v="259"/>
    <s v="259999"/>
    <m/>
    <s v="1"/>
    <s v="Classe di rischio 0"/>
  </r>
  <r>
    <n v="337620"/>
    <x v="5"/>
    <x v="5"/>
    <x v="3"/>
    <n v="53850"/>
    <n v="176"/>
    <s v="053850_176"/>
    <s v="Discovery Day"/>
    <s v="Mai valutato"/>
    <m/>
    <n v="202504297935050"/>
    <n v="1763300000837"/>
    <n v="20250429"/>
    <s v="D1 - Versamento di contante "/>
    <m/>
    <m/>
    <s v="A     - Avere"/>
    <n v="26000"/>
    <n v="26000"/>
    <n v="3403044"/>
    <s v="TCCMRA55C67E469X"/>
    <s v="TOCCI MARIA"/>
    <s v="615 - Altre famiglie produttrici"/>
    <s v="477 - COMMERCIO AL DETTAGLIO DI ALTRI PRODOTTI IN ESERCIZI SPECIALIZZATI"/>
    <s v="086 - ITALIA"/>
    <n v="440"/>
    <m/>
    <m/>
    <m/>
    <m/>
    <m/>
    <m/>
    <m/>
    <n v="0"/>
    <n v="202504"/>
    <x v="2"/>
    <x v="1"/>
    <x v="0"/>
    <m/>
    <x v="0"/>
    <x v="0"/>
    <s v="477"/>
    <s v="615"/>
    <s v="615477"/>
    <s v="Classe di rischio 6"/>
    <m/>
    <s v="Classe di rischio 6"/>
  </r>
  <r>
    <n v="337619"/>
    <x v="3"/>
    <x v="3"/>
    <x v="3"/>
    <n v="53850"/>
    <n v="103"/>
    <s v="053850_103"/>
    <s v="Discovery Day"/>
    <s v="Mai valutato"/>
    <m/>
    <n v="202504297934722"/>
    <n v="1033306986082"/>
    <n v="20250429"/>
    <s v="G8 - Versamento assegno circolare stesso intermediario"/>
    <m/>
    <m/>
    <s v="A     - Avere"/>
    <n v="141200"/>
    <n v="0"/>
    <n v="606758"/>
    <s v="TCCGRZ65C62E155O"/>
    <s v="TUCCI GRAZIA"/>
    <s v="600 - Famiglie consumatrici"/>
    <m/>
    <s v="086 - ITALIA"/>
    <n v="1224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618"/>
    <x v="4"/>
    <x v="4"/>
    <x v="3"/>
    <n v="53850"/>
    <n v="175"/>
    <s v="053850_175"/>
    <s v="Discovery Day"/>
    <s v="Mai valutato"/>
    <m/>
    <n v="202504297933367"/>
    <n v="1753302202252"/>
    <n v="20250429"/>
    <s v="48 - Bonifico in arrivo "/>
    <m/>
    <s v="086 - ITALIA"/>
    <s v="A     - Avere"/>
    <n v="123244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37617"/>
    <x v="6"/>
    <x v="6"/>
    <x v="3"/>
    <n v="53850"/>
    <n v="226"/>
    <s v="053850_226"/>
    <s v="Discovery Day"/>
    <s v="Mai valutato"/>
    <m/>
    <n v="202504297933683"/>
    <n v="2263300010593"/>
    <n v="20250429"/>
    <s v="AA - Bonifico da e per estero "/>
    <m/>
    <s v="071 - SVIZZERA"/>
    <s v="A     - Avere"/>
    <n v="30000"/>
    <n v="0"/>
    <n v="4530242"/>
    <s v="DSDVCN78D10H926U"/>
    <s v="DESIDERIO VINCENZO"/>
    <s v="600 - Famiglie consumatrici"/>
    <m/>
    <s v="086 - ITALIA"/>
    <n v="1932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616"/>
    <x v="3"/>
    <x v="3"/>
    <x v="3"/>
    <n v="53850"/>
    <n v="141"/>
    <s v="053850_141"/>
    <s v="Discovery Day"/>
    <s v="Mai valutato"/>
    <m/>
    <n v="202504297934899"/>
    <n v="1413300000129"/>
    <n v="20250429"/>
    <s v="G7 - Versamento assegno circolare altro intermediario "/>
    <m/>
    <m/>
    <s v="A     - Avere"/>
    <n v="168000"/>
    <n v="0"/>
    <n v="4183509"/>
    <s v="GLBMHL70H04E506L"/>
    <s v="GILIBERTI MICHELE"/>
    <s v="615 - Altre famiglie produttrici"/>
    <s v="749 - ALTRE ATTIVITÀ PROFESSIONALI, SCIENTIFICHE E TECNICHE NCA"/>
    <s v="086 - ITALIA"/>
    <n v="862"/>
    <m/>
    <m/>
    <m/>
    <m/>
    <m/>
    <m/>
    <m/>
    <n v="0"/>
    <n v="202504"/>
    <x v="0"/>
    <x v="0"/>
    <x v="0"/>
    <m/>
    <x v="0"/>
    <x v="0"/>
    <s v="999"/>
    <s v="615"/>
    <s v="615999"/>
    <m/>
    <s v="1"/>
    <s v="Classe di rischio 3"/>
  </r>
  <r>
    <n v="337615"/>
    <x v="6"/>
    <x v="6"/>
    <x v="3"/>
    <n v="53850"/>
    <n v="140"/>
    <s v="053850_140"/>
    <s v="Discovery Day"/>
    <s v="Mai valutato"/>
    <m/>
    <n v="202504297934895"/>
    <n v="1403300004431"/>
    <n v="20250429"/>
    <s v="AA - Bonifico da e per estero "/>
    <m/>
    <s v="071 - SVIZZERA"/>
    <s v="D     - Dare"/>
    <n v="36000"/>
    <n v="0"/>
    <n v="3737491"/>
    <n v="10184280963"/>
    <s v="R.G. MANIFATTURE S.R.L."/>
    <s v="430 - Imprese produttive"/>
    <s v="181 - STAMPA E SERVIZI CONNESSI ALLA STAMPA"/>
    <s v="086 - ITALIA"/>
    <n v="140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614"/>
    <x v="3"/>
    <x v="3"/>
    <x v="3"/>
    <n v="53850"/>
    <n v="102"/>
    <s v="053850_102"/>
    <s v="Discovery Day"/>
    <s v="Mai valutato"/>
    <m/>
    <s v="Vari (29/04/2025)"/>
    <n v="1023308723724"/>
    <n v="20250429"/>
    <s v="VV"/>
    <m/>
    <m/>
    <s v="A     - Avere"/>
    <n v="304550"/>
    <n v="4250"/>
    <n v="4892368"/>
    <n v="8073540729"/>
    <s v="STUDIO NOTARILE STIGLIANO"/>
    <s v="491 - Quasi societa' non finanziarie altre - Unita' o societa' con piu' di 5 e meno di 20 addetti"/>
    <s v="691 - ATTIVITÀ DEGLI STUDI LEGALI"/>
    <s v="086 - ITALIA"/>
    <n v="1443"/>
    <m/>
    <m/>
    <m/>
    <m/>
    <m/>
    <m/>
    <m/>
    <n v="0"/>
    <n v="202504"/>
    <x v="0"/>
    <x v="0"/>
    <x v="0"/>
    <m/>
    <x v="0"/>
    <x v="1"/>
    <s v="999"/>
    <s v="491"/>
    <s v="491999"/>
    <m/>
    <s v="1"/>
    <s v="Classe di rischio 2"/>
  </r>
  <r>
    <n v="337613"/>
    <x v="4"/>
    <x v="4"/>
    <x v="3"/>
    <n v="53850"/>
    <n v="131"/>
    <s v="053850_131"/>
    <s v="Discovery Day"/>
    <s v="Mai valutato"/>
    <m/>
    <s v="202504296437637L"/>
    <n v="1313300001607"/>
    <n v="20250429"/>
    <s v="SPECIAL"/>
    <m/>
    <m/>
    <s v="D     - Dare"/>
    <n v="4921.43"/>
    <n v="0"/>
    <n v="4130205"/>
    <s v="LCCLNE70E42Z133M"/>
    <s v="LICCIONE ELENA"/>
    <s v="600 - Famiglie consumatrici"/>
    <m/>
    <s v="086 - ITALIA"/>
    <n v="826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612"/>
    <x v="4"/>
    <x v="4"/>
    <x v="3"/>
    <n v="53850"/>
    <n v="103"/>
    <s v="053850_103"/>
    <s v="Discovery Day"/>
    <s v="Mai valutato"/>
    <m/>
    <n v="202504297934709"/>
    <n v="1033306986058"/>
    <n v="20250429"/>
    <s v="26 - Bonifico in partenza "/>
    <m/>
    <s v="086 - ITALIA"/>
    <s v="D     - Dare"/>
    <n v="220000"/>
    <n v="0"/>
    <n v="3741812"/>
    <s v="VRGMRT96L66E223V"/>
    <s v="VIRGILIO MARTA"/>
    <s v="600 - Famiglie consumatrici"/>
    <m/>
    <s v="086 - ITALIA"/>
    <n v="1224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611"/>
    <x v="6"/>
    <x v="6"/>
    <x v="3"/>
    <n v="53850"/>
    <n v="140"/>
    <s v="053850_140"/>
    <s v="Discovery Day"/>
    <s v="Mai valutato"/>
    <m/>
    <n v="202504297934892"/>
    <n v="1403300004431"/>
    <n v="20250429"/>
    <s v="AA - Bonifico da e per estero "/>
    <m/>
    <s v="071 - SVIZZERA"/>
    <s v="D     - Dare"/>
    <n v="19000"/>
    <n v="0"/>
    <n v="3737491"/>
    <n v="10184280963"/>
    <s v="R.G. MANIFATTURE S.R.L."/>
    <s v="430 - Imprese produttive"/>
    <s v="181 - STAMPA E SERVIZI CONNESSI ALLA STAMPA"/>
    <s v="086 - ITALIA"/>
    <n v="140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610"/>
    <x v="3"/>
    <x v="3"/>
    <x v="3"/>
    <n v="53850"/>
    <n v="114"/>
    <s v="053850_114"/>
    <s v="Discovery Day"/>
    <s v="Mai valutato"/>
    <m/>
    <n v="202504297934801"/>
    <n v="1143306280621"/>
    <n v="20250429"/>
    <s v="D1 - Versamento di contante "/>
    <m/>
    <m/>
    <s v="A     - Avere"/>
    <n v="55650"/>
    <n v="556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609"/>
    <x v="4"/>
    <x v="4"/>
    <x v="3"/>
    <n v="53850"/>
    <n v="286"/>
    <s v="053850_286"/>
    <s v="Discovery Day"/>
    <s v="Mai valutato"/>
    <m/>
    <n v="202504297935255"/>
    <n v="2863300013572"/>
    <n v="20250429"/>
    <s v="SPECIAL"/>
    <m/>
    <m/>
    <s v="D     - Dare"/>
    <n v="53361.62"/>
    <n v="0"/>
    <n v="1630096"/>
    <s v="DMRBNL64M53C632D"/>
    <s v="DI MIERO BRUNELLA"/>
    <s v="600 - Famiglie consumatrici"/>
    <m/>
    <s v="086 - ITALIA"/>
    <n v="1248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608"/>
    <x v="5"/>
    <x v="5"/>
    <x v="3"/>
    <n v="53850"/>
    <n v="120"/>
    <s v="053850_120"/>
    <s v="Discovery Day"/>
    <s v="Mai valutato"/>
    <m/>
    <s v="Vari (29/04/2025)"/>
    <n v="1203300001670"/>
    <n v="20250429"/>
    <s v="VV"/>
    <m/>
    <m/>
    <s v="A     - Avere"/>
    <n v="68335"/>
    <n v="67135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s v="086 - ITALIA"/>
    <n v="1640"/>
    <m/>
    <m/>
    <m/>
    <m/>
    <m/>
    <m/>
    <m/>
    <n v="0"/>
    <n v="202504"/>
    <x v="4"/>
    <x v="1"/>
    <x v="0"/>
    <n v="4510434"/>
    <x v="1"/>
    <x v="1"/>
    <s v="999"/>
    <s v="492"/>
    <s v="492999"/>
    <m/>
    <s v="1"/>
    <s v="Classe di rischio 2"/>
  </r>
  <r>
    <n v="337607"/>
    <x v="7"/>
    <x v="7"/>
    <x v="3"/>
    <n v="53850"/>
    <n v="286"/>
    <s v="053850_286"/>
    <s v="Discovery Day"/>
    <s v="Mai valutato"/>
    <m/>
    <n v="202504297935254"/>
    <m/>
    <n v="20250429"/>
    <s v="SPECIAL"/>
    <m/>
    <m/>
    <s v="D     - Dare"/>
    <n v="53361.62"/>
    <n v="0"/>
    <n v="1630096"/>
    <s v="DMRBNL64M53C632D"/>
    <s v="DI MIERO BRUNELLA"/>
    <s v="600 - Famiglie consumatrici"/>
    <m/>
    <s v="086 - ITALIA"/>
    <n v="1248"/>
    <m/>
    <m/>
    <m/>
    <m/>
    <m/>
    <m/>
    <m/>
    <n v="0"/>
    <n v="202504"/>
    <x v="0"/>
    <x v="0"/>
    <x v="1"/>
    <m/>
    <x v="0"/>
    <x v="1"/>
    <s v="999"/>
    <s v="600"/>
    <s v="600999"/>
    <s v="Classe di rischio 7"/>
    <m/>
    <s v="Classe di rischio 7"/>
  </r>
  <r>
    <n v="337606"/>
    <x v="4"/>
    <x v="4"/>
    <x v="3"/>
    <n v="53850"/>
    <n v="273"/>
    <s v="053850_273"/>
    <s v="Discovery Day"/>
    <s v="Mai valutato"/>
    <m/>
    <n v="202504297932757"/>
    <n v="2733300004156"/>
    <n v="20250429"/>
    <s v="48 - Bonifico in arrivo "/>
    <m/>
    <s v="086 - ITALIA"/>
    <s v="A     - Avere"/>
    <n v="16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605"/>
    <x v="6"/>
    <x v="6"/>
    <x v="4"/>
    <n v="53850"/>
    <n v="102"/>
    <s v="053850_102"/>
    <s v="Discovery Day"/>
    <s v="Mai valutato"/>
    <m/>
    <n v="202504287929927"/>
    <n v="1023308727640"/>
    <n v="20250428"/>
    <s v="AA - Bonifico da e per estero "/>
    <m/>
    <s v="182 - ISRAELE"/>
    <s v="A     - Avere"/>
    <n v="31215"/>
    <n v="0"/>
    <n v="3728814"/>
    <n v="5509200720"/>
    <s v="LOIUDICED S.R.L."/>
    <s v="430 - Imprese produttive"/>
    <s v="310 - FABBRICAZIONE DI MOBILI"/>
    <s v="086 - ITALIA"/>
    <n v="739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604"/>
    <x v="4"/>
    <x v="4"/>
    <x v="4"/>
    <n v="53850"/>
    <n v="125"/>
    <s v="053850_125"/>
    <s v="Discovery Day"/>
    <s v="Mai valutato"/>
    <m/>
    <n v="202504287930608"/>
    <n v="1253300001106"/>
    <n v="20250428"/>
    <s v="25 - Pagamento di documenti su Italia "/>
    <m/>
    <m/>
    <s v="D     - Dare"/>
    <n v="600000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x v="0"/>
    <x v="0"/>
    <x v="0"/>
    <m/>
    <x v="0"/>
    <x v="0"/>
    <s v="429"/>
    <s v="430"/>
    <s v="430429"/>
    <s v="Classe di rischio 3"/>
    <m/>
    <s v="Classe di rischio 3"/>
  </r>
  <r>
    <n v="337603"/>
    <x v="4"/>
    <x v="4"/>
    <x v="4"/>
    <n v="53850"/>
    <n v="188"/>
    <s v="053850_188"/>
    <s v="Discovery Day"/>
    <s v="Mai valutato"/>
    <m/>
    <n v="202504287930935"/>
    <n v="1883300028081"/>
    <n v="20250428"/>
    <s v="25 - Pagamento di documenti su Italia "/>
    <m/>
    <m/>
    <s v="D     - Dare"/>
    <n v="500000"/>
    <n v="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4"/>
    <x v="0"/>
    <x v="0"/>
    <x v="0"/>
    <n v="3001543"/>
    <x v="1"/>
    <x v="0"/>
    <s v="999"/>
    <s v="430"/>
    <s v="430999"/>
    <m/>
    <s v="1"/>
    <s v="Classe di rischio 1"/>
  </r>
  <r>
    <n v="337602"/>
    <x v="5"/>
    <x v="5"/>
    <x v="4"/>
    <n v="53850"/>
    <n v="181"/>
    <s v="053850_181"/>
    <s v="Discovery Day"/>
    <s v="Mai valutato"/>
    <m/>
    <n v="202504287931658"/>
    <n v="1813301029924"/>
    <n v="20250428"/>
    <s v="D1 - Versamento di contante "/>
    <m/>
    <m/>
    <s v="A     - Avere"/>
    <n v="32480"/>
    <n v="32480"/>
    <n v="4948468"/>
    <s v="BRGCRL94M31L109B"/>
    <s v="BORAGINE CARLO"/>
    <s v="615 - Altre famiglie produttrici"/>
    <s v="472 - COMMERCIO AL DETTAGLIO DI PRODOTTI ALIMENTARI, BEVANDE E TABACCO IN ESERCIZI SPECIALIZZATI"/>
    <s v="086 - ITALIA"/>
    <n v="1943"/>
    <m/>
    <m/>
    <m/>
    <m/>
    <m/>
    <m/>
    <m/>
    <n v="0"/>
    <n v="202504"/>
    <x v="4"/>
    <x v="1"/>
    <x v="0"/>
    <n v="4948468"/>
    <x v="1"/>
    <x v="0"/>
    <s v="999"/>
    <s v="615"/>
    <s v="615999"/>
    <m/>
    <s v="1"/>
    <s v="Classe di rischio 3"/>
  </r>
  <r>
    <n v="337601"/>
    <x v="5"/>
    <x v="5"/>
    <x v="4"/>
    <n v="53850"/>
    <n v="170"/>
    <s v="053850_170"/>
    <s v="Discovery Day"/>
    <s v="Mai valutato"/>
    <m/>
    <s v="Vari (28/04/2025)"/>
    <n v="1703300000428"/>
    <n v="20250428"/>
    <s v="03 - Versamento contante cassa continua "/>
    <m/>
    <m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4"/>
    <x v="1"/>
    <x v="0"/>
    <x v="0"/>
    <n v="4833134"/>
    <x v="1"/>
    <x v="0"/>
    <s v="999"/>
    <s v="430"/>
    <s v="430999"/>
    <m/>
    <s v="1"/>
    <s v="Classe di rischio 1"/>
  </r>
  <r>
    <n v="337600"/>
    <x v="3"/>
    <x v="3"/>
    <x v="4"/>
    <n v="53850"/>
    <n v="102"/>
    <s v="053850_102"/>
    <s v="Discovery Day"/>
    <s v="Mai valutato"/>
    <m/>
    <s v="Vari (28/04/2025)"/>
    <n v="1023300660520"/>
    <n v="20250428"/>
    <s v="VV"/>
    <m/>
    <m/>
    <s v="A     - Avere"/>
    <n v="104142"/>
    <n v="4883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x v="4"/>
    <x v="1"/>
    <x v="0"/>
    <n v="66052"/>
    <x v="1"/>
    <x v="1"/>
    <s v="999"/>
    <s v="430"/>
    <s v="430999"/>
    <m/>
    <s v="1"/>
    <s v="Classe di rischio 1"/>
  </r>
  <r>
    <n v="337599"/>
    <x v="2"/>
    <x v="2"/>
    <x v="4"/>
    <n v="53850"/>
    <n v="274"/>
    <s v="053850_274"/>
    <s v="Discovery Day"/>
    <s v="Mai valutato"/>
    <m/>
    <s v="202504286334915L"/>
    <n v="2743300000272"/>
    <n v="20250428"/>
    <s v="AA - Bonifico da e per estero "/>
    <m/>
    <s v="012 - BULGARIA"/>
    <s v="A     - Avere"/>
    <n v="2173.56"/>
    <n v="0"/>
    <n v="1622875"/>
    <n v="1689300695"/>
    <s v="MANIFATTURE MONACO DOMENICO S.R.L."/>
    <s v="430 - Imprese produttive"/>
    <s v="222 - FABBRICAZIONE DI ARTICOLI IN MATERIE PLASTICHE"/>
    <s v="086 - ITALIA"/>
    <n v="1413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598"/>
    <x v="4"/>
    <x v="4"/>
    <x v="4"/>
    <n v="53850"/>
    <n v="226"/>
    <s v="053850_226"/>
    <s v="Discovery Day"/>
    <s v="Mai valutato"/>
    <m/>
    <n v="202504287931770"/>
    <n v="2263300011941"/>
    <n v="20250428"/>
    <s v="SPECIAL"/>
    <m/>
    <m/>
    <s v="D     - Dare"/>
    <n v="12994.01"/>
    <n v="0"/>
    <n v="3713253"/>
    <n v="8840260726"/>
    <s v="TERRADIMARE S.A.S. DI DEBORAH DI TONDO &amp; C."/>
    <s v="492 - Quasi societa' non finanziarie altre - Unita' o societa' con meno di 20 addetti"/>
    <s v="561 - RISTORANTI E ATTIVITÀ DI RISTORAZIONE MOBILE"/>
    <s v="086 - ITALIA"/>
    <n v="1932"/>
    <m/>
    <m/>
    <m/>
    <m/>
    <m/>
    <m/>
    <m/>
    <n v="0"/>
    <n v="202504"/>
    <x v="2"/>
    <x v="1"/>
    <x v="0"/>
    <m/>
    <x v="0"/>
    <x v="1"/>
    <s v="561"/>
    <s v="492"/>
    <s v="492561"/>
    <s v="Classe di rischio 1"/>
    <m/>
    <s v="Classe di rischio 1"/>
  </r>
  <r>
    <n v="337597"/>
    <x v="5"/>
    <x v="5"/>
    <x v="4"/>
    <n v="53850"/>
    <n v="175"/>
    <s v="053850_175"/>
    <s v="Discovery Day"/>
    <s v="Mai valutato"/>
    <m/>
    <s v="Vari (28/04/2025)"/>
    <n v="1753302203127"/>
    <n v="20250428"/>
    <s v="VV"/>
    <m/>
    <m/>
    <s v="A     - Avere"/>
    <n v="115615.55"/>
    <n v="47710"/>
    <n v="4160138"/>
    <n v="484200779"/>
    <s v="DE.RA.DO. SRL"/>
    <s v="430 - Imprese produttive"/>
    <s v="031 - PESCA"/>
    <s v="086 - ITALIA"/>
    <n v="739"/>
    <m/>
    <m/>
    <m/>
    <m/>
    <m/>
    <m/>
    <m/>
    <n v="0"/>
    <n v="202504"/>
    <x v="2"/>
    <x v="1"/>
    <x v="0"/>
    <n v="4160138"/>
    <x v="1"/>
    <x v="1"/>
    <s v="999"/>
    <s v="430"/>
    <s v="430999"/>
    <m/>
    <s v="1"/>
    <s v="Classe di rischio 1"/>
  </r>
  <r>
    <n v="337596"/>
    <x v="2"/>
    <x v="2"/>
    <x v="4"/>
    <n v="53850"/>
    <n v="282"/>
    <s v="053850_282"/>
    <s v="Discovery Day"/>
    <s v="Mai valutato"/>
    <m/>
    <s v="202504286340489L"/>
    <n v="2823300001773"/>
    <n v="20250428"/>
    <s v="AA - Bonifico da e per estero "/>
    <m/>
    <s v="238 - ABU DHABI"/>
    <s v="A     - Avere"/>
    <n v="3000"/>
    <n v="0"/>
    <n v="1669726"/>
    <s v="CPRDNL87M08E435Y"/>
    <s v="CAPORALE DANILO"/>
    <s v="600 - Famiglie consumatrici"/>
    <m/>
    <s v="086 - ITALIA"/>
    <n v="1802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595"/>
    <x v="5"/>
    <x v="5"/>
    <x v="4"/>
    <n v="53850"/>
    <n v="187"/>
    <s v="053850_187"/>
    <s v="Discovery Day"/>
    <s v="Mai valutato"/>
    <m/>
    <s v="Vari (28/04/2025)"/>
    <n v="1873300105200"/>
    <n v="20250428"/>
    <s v="03 - Versamento contante cassa continua "/>
    <m/>
    <m/>
    <s v="A     - Avere"/>
    <n v="35920"/>
    <n v="35920"/>
    <n v="4158777"/>
    <n v="2370460731"/>
    <s v="P.G.S. CATERING &amp; SERVICE S.R.L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x v="1"/>
    <x v="0"/>
    <x v="0"/>
    <n v="4158777"/>
    <x v="1"/>
    <x v="0"/>
    <s v="463"/>
    <s v="430"/>
    <s v="430463"/>
    <s v="Classe di rischio 3"/>
    <m/>
    <s v="Classe di rischio 3"/>
  </r>
  <r>
    <n v="337594"/>
    <x v="5"/>
    <x v="5"/>
    <x v="4"/>
    <n v="53850"/>
    <n v="171"/>
    <s v="053850_171"/>
    <s v="Discovery Day"/>
    <s v="Mai valutato"/>
    <m/>
    <s v="Vari (28/04/2025)"/>
    <n v="1713305728950"/>
    <n v="20250428"/>
    <s v="03 - Versamento contante cassa continua "/>
    <m/>
    <m/>
    <s v="A     - Avere"/>
    <n v="318875.83"/>
    <n v="318875.8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593"/>
    <x v="3"/>
    <x v="3"/>
    <x v="4"/>
    <n v="53850"/>
    <n v="267"/>
    <s v="053850_267"/>
    <s v="Discovery Day"/>
    <s v="Mai valutato"/>
    <m/>
    <n v="202504287931837"/>
    <n v="2673300003600"/>
    <n v="20250428"/>
    <s v="D1 - Versamento di contante "/>
    <m/>
    <m/>
    <s v="A     - Avere"/>
    <n v="115000"/>
    <n v="11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x v="1"/>
    <x v="0"/>
    <x v="0"/>
    <n v="1705101"/>
    <x v="1"/>
    <x v="0"/>
    <s v="999"/>
    <s v="492"/>
    <s v="492999"/>
    <m/>
    <s v="1"/>
    <s v="Classe di rischio 2"/>
  </r>
  <r>
    <n v="337592"/>
    <x v="5"/>
    <x v="5"/>
    <x v="4"/>
    <n v="53850"/>
    <n v="286"/>
    <s v="053850_286"/>
    <s v="Discovery Day"/>
    <s v="Mai valutato"/>
    <m/>
    <n v="202504287931915"/>
    <n v="2863300003329"/>
    <n v="20250428"/>
    <s v="D1 - Versamento di contante "/>
    <m/>
    <m/>
    <s v="A     - Avere"/>
    <n v="16000"/>
    <n v="16000"/>
    <n v="1629520"/>
    <s v="PLMFST61T01C632T"/>
    <s v="PALOMBARO FAUSTO"/>
    <s v="615 - Altre famiglie produttrici"/>
    <s v="477 - COMMERCIO AL DETTAGLIO DI ALTRI PRODOTTI IN ESERCIZI SPECIALIZZATI"/>
    <s v="086 - ITALIA"/>
    <n v="1841"/>
    <m/>
    <m/>
    <m/>
    <m/>
    <m/>
    <m/>
    <m/>
    <n v="0"/>
    <n v="202504"/>
    <x v="1"/>
    <x v="0"/>
    <x v="0"/>
    <n v="1629520"/>
    <x v="1"/>
    <x v="0"/>
    <s v="477"/>
    <s v="615"/>
    <s v="615477"/>
    <s v="Classe di rischio 6"/>
    <m/>
    <s v="Classe di rischio 6"/>
  </r>
  <r>
    <n v="337591"/>
    <x v="4"/>
    <x v="4"/>
    <x v="4"/>
    <n v="53850"/>
    <n v="116"/>
    <s v="053850_116"/>
    <s v="Discovery Day"/>
    <s v="Mai valutato"/>
    <m/>
    <n v="202504287931355"/>
    <n v="1163307623534"/>
    <n v="20250428"/>
    <s v="26 - Bonifico in partenza "/>
    <m/>
    <m/>
    <s v="D     - Dare"/>
    <n v="357884.01"/>
    <n v="0"/>
    <n v="455877"/>
    <s v="DMBMRZ80M26A662O"/>
    <s v="D'AMBROSIO MAURIZIO"/>
    <s v="600 - Famiglie consumatrici"/>
    <m/>
    <s v="086 - ITALIA"/>
    <n v="733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590"/>
    <x v="5"/>
    <x v="5"/>
    <x v="4"/>
    <n v="53850"/>
    <n v="104"/>
    <s v="053850_104"/>
    <s v="Discovery Day"/>
    <s v="Mai valutato"/>
    <m/>
    <s v="Vari (28/04/2025)"/>
    <n v="1043305922900"/>
    <n v="20250428"/>
    <s v="03 - Versamento contante cassa continua "/>
    <m/>
    <m/>
    <s v="A     - Avere"/>
    <n v="34080"/>
    <n v="3408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4"/>
    <x v="1"/>
    <x v="0"/>
    <x v="0"/>
    <n v="592290"/>
    <x v="1"/>
    <x v="0"/>
    <s v="999"/>
    <s v="615"/>
    <s v="615999"/>
    <m/>
    <s v="1"/>
    <s v="Classe di rischio 3"/>
  </r>
  <r>
    <n v="337589"/>
    <x v="5"/>
    <x v="5"/>
    <x v="4"/>
    <n v="53850"/>
    <n v="114"/>
    <s v="053850_114"/>
    <s v="Discovery Day"/>
    <s v="Mai valutato"/>
    <m/>
    <n v="202504287931330"/>
    <n v="1143306280621"/>
    <n v="20250428"/>
    <s v="D1 - Versamento di contante "/>
    <m/>
    <m/>
    <s v="A     - Avere"/>
    <n v="52250"/>
    <n v="5225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588"/>
    <x v="5"/>
    <x v="5"/>
    <x v="4"/>
    <n v="53850"/>
    <n v="261"/>
    <s v="053850_261"/>
    <s v="Discovery Day"/>
    <s v="Mai valutato"/>
    <m/>
    <s v="Vari (28/04/2025)"/>
    <n v="2613300010513"/>
    <n v="20250428"/>
    <s v="D1 - Versamento di contante "/>
    <m/>
    <m/>
    <s v="A     - Avere"/>
    <n v="15550"/>
    <n v="15550"/>
    <n v="1614111"/>
    <s v="SCRGLN63D60E335A"/>
    <s v="SCARSELLI GIULIANA"/>
    <s v="615 - Altre famiglie produttrici"/>
    <s v="477 - COMMERCIO AL DETTAGLIO DI ALTRI PRODOTTI IN ESERCIZI SPECIALIZZATI"/>
    <s v="086 - ITALIA"/>
    <n v="1782"/>
    <m/>
    <m/>
    <m/>
    <m/>
    <m/>
    <m/>
    <m/>
    <n v="0"/>
    <n v="202504"/>
    <x v="1"/>
    <x v="0"/>
    <x v="0"/>
    <n v="1614111"/>
    <x v="1"/>
    <x v="0"/>
    <s v="477"/>
    <s v="615"/>
    <s v="615477"/>
    <s v="Classe di rischio 6"/>
    <m/>
    <s v="Classe di rischio 6"/>
  </r>
  <r>
    <n v="337587"/>
    <x v="3"/>
    <x v="3"/>
    <x v="4"/>
    <n v="53850"/>
    <n v="171"/>
    <s v="053850_171"/>
    <s v="Discovery Day"/>
    <s v="Mai valutato"/>
    <m/>
    <s v="Vari (28/04/2025)"/>
    <n v="1713305728950"/>
    <n v="20250428"/>
    <s v="03 - Versamento contante cassa continua "/>
    <m/>
    <m/>
    <s v="A     - Avere"/>
    <n v="318875.83"/>
    <n v="318875.8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586"/>
    <x v="2"/>
    <x v="2"/>
    <x v="4"/>
    <n v="53850"/>
    <n v="149"/>
    <s v="053850_149"/>
    <s v="Discovery Day"/>
    <s v="Mai valutato"/>
    <m/>
    <n v="202504287929757"/>
    <n v="1493300663564"/>
    <n v="20250428"/>
    <s v="AA - Bonifico da e per estero "/>
    <m/>
    <s v="012 - BULGARIA"/>
    <s v="A     - Avere"/>
    <n v="5600"/>
    <n v="0"/>
    <n v="4851736"/>
    <n v="8243781211"/>
    <s v="VITTORIA CAPPELLI SOCIETA' A RESPONSABILITA' LIMITATA SEMPLIFICAT"/>
    <s v="430 - Imprese produttive"/>
    <s v="791 - ATTIVITÀ DELLE AGENZIE DI VIAGGIO E DEI TOUR OPERATOR"/>
    <s v="086 - ITALIA"/>
    <n v="1256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585"/>
    <x v="5"/>
    <x v="5"/>
    <x v="4"/>
    <n v="53850"/>
    <n v="129"/>
    <s v="053850_129"/>
    <s v="Discovery Day"/>
    <s v="Mai valutato"/>
    <m/>
    <s v="Vari (28/04/2025)"/>
    <n v="1293300003039"/>
    <n v="20250428"/>
    <s v="VV"/>
    <m/>
    <m/>
    <s v="A     - Avere"/>
    <n v="19550"/>
    <n v="15550"/>
    <n v="3737984"/>
    <s v="DNGNNL00C47F915Q"/>
    <s v="D'ONGHIA ANTONELLA"/>
    <s v="600 - Famiglie consumatrici"/>
    <m/>
    <s v="086 - ITALIA"/>
    <n v="1355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584"/>
    <x v="4"/>
    <x v="4"/>
    <x v="4"/>
    <n v="53850"/>
    <n v="182"/>
    <s v="053850_182"/>
    <s v="Discovery Day"/>
    <s v="Mai valutato"/>
    <m/>
    <n v="202504287929073"/>
    <n v="1823300072312"/>
    <n v="20250428"/>
    <s v="48 - Bonifico in arrivo "/>
    <m/>
    <s v="086 - ITALIA"/>
    <s v="A     - Avere"/>
    <n v="1215648.5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583"/>
    <x v="3"/>
    <x v="3"/>
    <x v="4"/>
    <n v="53850"/>
    <n v="182"/>
    <s v="053850_182"/>
    <s v="Discovery Day"/>
    <s v="Mai valutato"/>
    <m/>
    <s v="Vari (28/04/2025)"/>
    <n v="1823300169301"/>
    <n v="20250428"/>
    <s v="03 - Versamento contante cassa continua "/>
    <m/>
    <m/>
    <s v="A     - Avere"/>
    <n v="45865"/>
    <n v="4586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x v="1"/>
    <x v="0"/>
    <x v="0"/>
    <n v="4284957"/>
    <x v="1"/>
    <x v="0"/>
    <s v="920"/>
    <s v="615"/>
    <s v="615920"/>
    <s v="Classe di rischio 6"/>
    <m/>
    <s v="Classe di rischio 6"/>
  </r>
  <r>
    <n v="337582"/>
    <x v="3"/>
    <x v="3"/>
    <x v="4"/>
    <n v="53850"/>
    <n v="116"/>
    <s v="053850_116"/>
    <s v="Discovery Day"/>
    <s v="Mai valutato"/>
    <m/>
    <n v="202504287931022"/>
    <n v="2343300010453"/>
    <n v="20250428"/>
    <s v="03 - Versamento contante cassa continua "/>
    <m/>
    <m/>
    <s v="A     - Avere"/>
    <n v="91109.1"/>
    <n v="91109.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581"/>
    <x v="5"/>
    <x v="5"/>
    <x v="4"/>
    <n v="53850"/>
    <n v="108"/>
    <s v="053850_108"/>
    <s v="Discovery Day"/>
    <s v="Mai valutato"/>
    <m/>
    <s v="Vari (28/04/2025)"/>
    <n v="1083305200700"/>
    <n v="20250428"/>
    <s v="VV"/>
    <m/>
    <m/>
    <s v="A     - Avere"/>
    <n v="37702.19"/>
    <n v="2973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4"/>
    <x v="0"/>
    <x v="0"/>
    <x v="0"/>
    <n v="520070"/>
    <x v="1"/>
    <x v="1"/>
    <s v="464"/>
    <s v="430"/>
    <s v="430464"/>
    <s v="Classe di rischio 4"/>
    <m/>
    <s v="Classe di rischio 4"/>
  </r>
  <r>
    <n v="337580"/>
    <x v="2"/>
    <x v="2"/>
    <x v="4"/>
    <n v="53850"/>
    <n v="111"/>
    <s v="053850_111"/>
    <s v="Discovery Day"/>
    <s v="Mai valutato"/>
    <m/>
    <n v="202504287927960"/>
    <n v="1113305626850"/>
    <n v="20250428"/>
    <s v="AA - Bonifico da e per estero "/>
    <m/>
    <s v="261 - CROAZIA"/>
    <s v="D     - Dare"/>
    <n v="500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4"/>
    <x v="4"/>
    <x v="1"/>
    <x v="0"/>
    <m/>
    <x v="0"/>
    <x v="0"/>
    <s v="999"/>
    <s v="600"/>
    <s v="600999"/>
    <s v="Classe di rischio 7"/>
    <m/>
    <s v="Classe di rischio 7"/>
  </r>
  <r>
    <n v="337579"/>
    <x v="4"/>
    <x v="4"/>
    <x v="4"/>
    <n v="53850"/>
    <n v="109"/>
    <s v="053850_109"/>
    <s v="Discovery Day"/>
    <s v="Mai valutato"/>
    <m/>
    <n v="202504287929578"/>
    <n v="1093305187350"/>
    <n v="20250428"/>
    <s v="48 - Bonifico in arrivo "/>
    <m/>
    <s v="086 - ITALIA"/>
    <s v="A     - Avere"/>
    <n v="258955.49"/>
    <n v="0"/>
    <n v="518731"/>
    <s v="DMRFRI44R07G230X"/>
    <s v="DE MARTINO FIORE"/>
    <s v="600 - Famiglie consumatrici"/>
    <m/>
    <s v="086 - ITALIA"/>
    <n v="778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578"/>
    <x v="3"/>
    <x v="3"/>
    <x v="4"/>
    <n v="53850"/>
    <n v="171"/>
    <s v="053850_171"/>
    <s v="Discovery Day"/>
    <s v="Mai valutato"/>
    <m/>
    <s v="Vari (28/04/2025)"/>
    <n v="1713302214147"/>
    <n v="20250428"/>
    <s v="03 - Versamento contante cassa continua "/>
    <m/>
    <m/>
    <s v="A     - Avere"/>
    <n v="125250.24000000001"/>
    <n v="125250.24000000001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577"/>
    <x v="2"/>
    <x v="2"/>
    <x v="4"/>
    <n v="53850"/>
    <n v="148"/>
    <s v="053850_148"/>
    <s v="Discovery Day"/>
    <s v="Mai valutato"/>
    <m/>
    <n v="202504287928198"/>
    <n v="1483300004308"/>
    <n v="20250428"/>
    <s v="AA - Bonifico da e per estero "/>
    <m/>
    <s v="261 - CROAZIA"/>
    <s v="D     - Dare"/>
    <n v="27282.26"/>
    <n v="0"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576"/>
    <x v="4"/>
    <x v="4"/>
    <x v="4"/>
    <n v="53850"/>
    <n v="187"/>
    <s v="053850_187"/>
    <s v="Discovery Day"/>
    <s v="Mai valutato"/>
    <m/>
    <n v="202504287931146"/>
    <n v="1873300111029"/>
    <n v="20250428"/>
    <s v="SPECIAL"/>
    <m/>
    <m/>
    <s v="D     - Dare"/>
    <n v="9232.3799999999992"/>
    <n v="0"/>
    <n v="4433326"/>
    <s v="MRZFNC89L22L049F"/>
    <s v="MARZO FRANCO"/>
    <s v="600 - Famiglie consumatrici"/>
    <m/>
    <s v="086 - ITALIA"/>
    <n v="1162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575"/>
    <x v="3"/>
    <x v="3"/>
    <x v="4"/>
    <n v="53850"/>
    <n v="128"/>
    <s v="053850_128"/>
    <s v="Discovery Day"/>
    <s v="Mai valutato"/>
    <m/>
    <s v="Vari (28/04/2025)"/>
    <n v="1283300001665"/>
    <n v="20250428"/>
    <s v="VV"/>
    <m/>
    <m/>
    <s v="A     - Avere"/>
    <n v="117381.44"/>
    <n v="207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4"/>
    <x v="1"/>
    <x v="0"/>
    <x v="0"/>
    <m/>
    <x v="0"/>
    <x v="1"/>
    <s v="999"/>
    <s v="430"/>
    <s v="430999"/>
    <m/>
    <s v="1"/>
    <s v="Classe di rischio 1"/>
  </r>
  <r>
    <n v="337574"/>
    <x v="4"/>
    <x v="4"/>
    <x v="4"/>
    <n v="53850"/>
    <n v="102"/>
    <s v="053850_102"/>
    <s v="Discovery Day"/>
    <s v="Mai valutato"/>
    <m/>
    <n v="202504287931193"/>
    <n v="1023308725742"/>
    <n v="20250428"/>
    <s v="SPECIAL"/>
    <m/>
    <m/>
    <s v="D     - Dare"/>
    <n v="28072.05"/>
    <n v="0"/>
    <n v="4032133"/>
    <s v="NZZGNN37S23A225G"/>
    <s v="NUZZI GIOVANNI"/>
    <s v="600 - Famiglie consumatrici"/>
    <m/>
    <s v="086 - ITALIA"/>
    <m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573"/>
    <x v="5"/>
    <x v="5"/>
    <x v="4"/>
    <n v="53850"/>
    <n v="268"/>
    <s v="053850_268"/>
    <s v="Discovery Day"/>
    <s v="Mai valutato"/>
    <m/>
    <n v="202504287931098"/>
    <n v="2683300010030"/>
    <n v="20250428"/>
    <s v="03 - Versamento contante cassa continua "/>
    <m/>
    <m/>
    <s v="A     - Avere"/>
    <n v="34495"/>
    <n v="3449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x v="1"/>
    <x v="0"/>
    <x v="0"/>
    <n v="4966939"/>
    <x v="1"/>
    <x v="0"/>
    <s v="999"/>
    <s v="615"/>
    <s v="615999"/>
    <m/>
    <s v="1"/>
    <s v="Classe di rischio 3"/>
  </r>
  <r>
    <n v="337572"/>
    <x v="2"/>
    <x v="2"/>
    <x v="4"/>
    <n v="53850"/>
    <n v="141"/>
    <s v="053850_141"/>
    <s v="Discovery Day"/>
    <s v="Mai valutato"/>
    <m/>
    <s v="202504286340398L"/>
    <n v="1413300003851"/>
    <n v="20250428"/>
    <s v="AA - Bonifico da e per estero "/>
    <m/>
    <s v="091 - PRINCIPATO DI MONACO"/>
    <s v="A     - Avere"/>
    <n v="1540"/>
    <n v="0"/>
    <n v="4983258"/>
    <n v="5224520758"/>
    <s v="GLITTER SISTERS S.R.L."/>
    <s v="430 - Imprese produttive"/>
    <s v="141 - CONFEZIONE DI ARTICOLI DI ABBIGLIAMENTO (ESCLUSO ABBIGLIAMENTO IN PELLICCIA)"/>
    <s v="086 - ITALIA"/>
    <n v="862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571"/>
    <x v="3"/>
    <x v="3"/>
    <x v="4"/>
    <n v="53850"/>
    <n v="116"/>
    <s v="053850_116"/>
    <s v="Discovery Day"/>
    <s v="Mai valutato"/>
    <m/>
    <s v="Vari (28/04/2025)"/>
    <n v="1163307623465"/>
    <n v="20250428"/>
    <s v="VV"/>
    <m/>
    <m/>
    <s v="A     - Avere"/>
    <n v="140000"/>
    <n v="0"/>
    <n v="3738297"/>
    <n v="8684570727"/>
    <s v="NOVAGORA' S.R.L."/>
    <s v="430 - Imprese produttive"/>
    <s v="412 - COSTRUZIONE DI EDIFICI RESIDENZIALI E NON RESIDENZIALI"/>
    <s v="086 - ITALIA"/>
    <n v="739"/>
    <m/>
    <m/>
    <m/>
    <m/>
    <m/>
    <m/>
    <m/>
    <n v="0"/>
    <n v="202504"/>
    <x v="2"/>
    <x v="1"/>
    <x v="0"/>
    <m/>
    <x v="0"/>
    <x v="1"/>
    <s v="412"/>
    <s v="430"/>
    <s v="430412"/>
    <s v="Classe di rischio 3"/>
    <m/>
    <s v="Classe di rischio 3"/>
  </r>
  <r>
    <n v="337570"/>
    <x v="5"/>
    <x v="5"/>
    <x v="4"/>
    <n v="53850"/>
    <n v="116"/>
    <s v="053850_116"/>
    <s v="Discovery Day"/>
    <s v="Mai valutato"/>
    <m/>
    <n v="202504287931022"/>
    <n v="2343300010453"/>
    <n v="20250428"/>
    <s v="03 - Versamento contante cassa continua "/>
    <m/>
    <m/>
    <s v="A     - Avere"/>
    <n v="91109.1"/>
    <n v="91109.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569"/>
    <x v="5"/>
    <x v="5"/>
    <x v="4"/>
    <n v="53850"/>
    <n v="108"/>
    <s v="053850_108"/>
    <s v="Discovery Day"/>
    <s v="Mai valutato"/>
    <m/>
    <n v="202504287931281"/>
    <n v="1083306291105"/>
    <n v="20250428"/>
    <s v="D1 - Versamento di contante "/>
    <m/>
    <m/>
    <s v="A     - Avere"/>
    <n v="99707.55"/>
    <n v="99707.5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0"/>
    <s v="999"/>
    <s v="430"/>
    <s v="430999"/>
    <m/>
    <s v="1"/>
    <s v="Classe di rischio 1"/>
  </r>
  <r>
    <n v="337568"/>
    <x v="5"/>
    <x v="5"/>
    <x v="4"/>
    <n v="53850"/>
    <n v="175"/>
    <s v="053850_175"/>
    <s v="Discovery Day"/>
    <s v="Mai valutato"/>
    <m/>
    <s v="Vari (28/04/2025)"/>
    <n v="1753302203965"/>
    <n v="20250428"/>
    <s v="03 - Versamento contante cassa continua "/>
    <m/>
    <m/>
    <s v="A     - Avere"/>
    <n v="44660"/>
    <n v="44660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4"/>
    <x v="1"/>
    <x v="0"/>
    <x v="0"/>
    <n v="4932268"/>
    <x v="1"/>
    <x v="0"/>
    <s v="920"/>
    <s v="430"/>
    <s v="430920"/>
    <s v="Classe di rischio 4"/>
    <m/>
    <s v="Classe di rischio 4"/>
  </r>
  <r>
    <n v="337567"/>
    <x v="5"/>
    <x v="5"/>
    <x v="4"/>
    <n v="53850"/>
    <n v="102"/>
    <s v="053850_102"/>
    <s v="Discovery Day"/>
    <s v="Mai valutato"/>
    <m/>
    <n v="202504287930374"/>
    <n v="1023308722503"/>
    <n v="20250428"/>
    <s v="03 - Versamento contante cassa continua "/>
    <m/>
    <m/>
    <s v="A     - Avere"/>
    <n v="17300"/>
    <n v="173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37566"/>
    <x v="9"/>
    <x v="9"/>
    <x v="4"/>
    <n v="53850"/>
    <n v="199"/>
    <s v="053850_199"/>
    <s v="Discovery Day"/>
    <s v="Mai valutato"/>
    <m/>
    <n v="202504287929879"/>
    <n v="1993300003021"/>
    <n v="20250428"/>
    <s v="AA - Bonifico da e per estero "/>
    <m/>
    <s v="031 - REGNO UNITO"/>
    <s v="A     - Avere"/>
    <n v="17037.900000000001"/>
    <n v="0"/>
    <n v="4946318"/>
    <n v="2571200746"/>
    <s v="SARTY LTD"/>
    <s v="758 - Societa' non finanziarie dei paesi UE non membri dell'area dell'euro"/>
    <s v="141 - CONFEZIONE DI ARTICOLI DI ABBIGLIAMENTO (ESCLUSO ABBIGLIAMENTO IN PELLICCIA)"/>
    <s v="012 - BULGARIA"/>
    <n v="639"/>
    <m/>
    <m/>
    <m/>
    <m/>
    <m/>
    <m/>
    <m/>
    <n v="0"/>
    <n v="202504"/>
    <x v="1"/>
    <x v="0"/>
    <x v="0"/>
    <m/>
    <x v="0"/>
    <x v="0"/>
    <s v="999"/>
    <s v="758"/>
    <s v="758999"/>
    <m/>
    <s v="1"/>
    <s v="Classe di rischio 2"/>
  </r>
  <r>
    <n v="337565"/>
    <x v="5"/>
    <x v="5"/>
    <x v="4"/>
    <n v="53850"/>
    <n v="171"/>
    <s v="053850_171"/>
    <s v="Discovery Day"/>
    <s v="Mai valutato"/>
    <m/>
    <s v="Vari (28/04/2025)"/>
    <n v="1713302214147"/>
    <n v="20250428"/>
    <s v="03 - Versamento contante cassa continua "/>
    <m/>
    <m/>
    <s v="A     - Avere"/>
    <n v="125250.24000000001"/>
    <n v="125250.24000000001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564"/>
    <x v="4"/>
    <x v="4"/>
    <x v="4"/>
    <n v="53850"/>
    <n v="116"/>
    <s v="053850_116"/>
    <s v="Discovery Day"/>
    <s v="Mai valutato"/>
    <m/>
    <n v="202504287931355"/>
    <n v="1163307623534"/>
    <n v="20250428"/>
    <s v="26 - Bonifico in partenza "/>
    <m/>
    <m/>
    <s v="D     - Dare"/>
    <n v="357884.01"/>
    <n v="0"/>
    <n v="4811851"/>
    <s v="GRDNTN77L60A662K"/>
    <s v="GIARDINO ANTONIA"/>
    <s v="600 - Famiglie consumatrici"/>
    <m/>
    <s v="086 - ITALIA"/>
    <n v="733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563"/>
    <x v="5"/>
    <x v="5"/>
    <x v="4"/>
    <n v="53850"/>
    <n v="118"/>
    <s v="053850_118"/>
    <s v="Discovery Day"/>
    <s v="Mai valutato"/>
    <m/>
    <n v="202504287930373"/>
    <n v="1023308722503"/>
    <n v="20250428"/>
    <s v="03 - Versamento contante cassa continua "/>
    <m/>
    <m/>
    <s v="A     - Avere"/>
    <n v="27550"/>
    <n v="275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37562"/>
    <x v="4"/>
    <x v="4"/>
    <x v="4"/>
    <n v="53850"/>
    <n v="102"/>
    <s v="053850_102"/>
    <s v="Discovery Day"/>
    <s v="Mai valutato"/>
    <m/>
    <n v="202504287931193"/>
    <n v="1023308725742"/>
    <n v="20250428"/>
    <s v="SPECIAL"/>
    <m/>
    <m/>
    <s v="D     - Dare"/>
    <n v="28072.05"/>
    <n v="0"/>
    <n v="501137"/>
    <s v="NNVGRZ41B66A225D"/>
    <s v="NINIVAGGI GRAZIA"/>
    <s v="600 - Famiglie consumatrici"/>
    <m/>
    <s v="086 - ITALIA"/>
    <n v="1648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561"/>
    <x v="4"/>
    <x v="4"/>
    <x v="4"/>
    <n v="53850"/>
    <n v="109"/>
    <s v="053850_109"/>
    <s v="Discovery Day"/>
    <s v="Mai valutato"/>
    <m/>
    <n v="202504287929578"/>
    <n v="1093305187350"/>
    <n v="20250428"/>
    <s v="48 - Bonifico in arrivo "/>
    <m/>
    <s v="086 - ITALIA"/>
    <s v="A     - Avere"/>
    <n v="258955.49"/>
    <n v="0"/>
    <n v="518734"/>
    <s v="RBTLCU49C62H645C"/>
    <s v="RIBATTI LUCIA"/>
    <s v="600 - Famiglie consumatrici"/>
    <m/>
    <s v="086 - ITALIA"/>
    <m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560"/>
    <x v="6"/>
    <x v="6"/>
    <x v="4"/>
    <n v="53850"/>
    <n v="118"/>
    <s v="053850_118"/>
    <s v="Discovery Day"/>
    <s v="Mai valutato"/>
    <m/>
    <n v="202504287929917"/>
    <n v="1181208800020"/>
    <n v="20250428"/>
    <s v="AA - Bonifico da e per estero "/>
    <m/>
    <s v="278 - MACEDONIA"/>
    <s v="D     - Dare"/>
    <n v="26659.09"/>
    <n v="0"/>
    <n v="4237439"/>
    <n v="5982410721"/>
    <s v="LINEA PELLE S.R.L."/>
    <s v="430 - Imprese produttive"/>
    <s v="462 - COMMERCIO ALL'INGROSSO DI MATERIE PRIME AGRICOLE E DI ANIMALI VIVI"/>
    <s v="086 - ITALIA"/>
    <n v="1203"/>
    <m/>
    <m/>
    <m/>
    <m/>
    <m/>
    <m/>
    <m/>
    <n v="0"/>
    <n v="202504"/>
    <x v="0"/>
    <x v="0"/>
    <x v="0"/>
    <m/>
    <x v="0"/>
    <x v="0"/>
    <s v="462"/>
    <s v="430"/>
    <s v="430462"/>
    <s v="Classe di rischio 3"/>
    <m/>
    <s v="Classe di rischio 3"/>
  </r>
  <r>
    <n v="337559"/>
    <x v="4"/>
    <x v="4"/>
    <x v="4"/>
    <n v="53850"/>
    <n v="188"/>
    <s v="053850_188"/>
    <s v="Discovery Day"/>
    <s v="Mai valutato"/>
    <m/>
    <n v="202504287929072"/>
    <n v="1883300028081"/>
    <n v="20250428"/>
    <s v="48 - Bonifico in arrivo "/>
    <m/>
    <s v="086 - ITALIA"/>
    <s v="A     - Avere"/>
    <n v="2106494.65"/>
    <n v="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4"/>
    <x v="0"/>
    <x v="0"/>
    <x v="0"/>
    <n v="3001543"/>
    <x v="1"/>
    <x v="0"/>
    <s v="999"/>
    <s v="430"/>
    <s v="430999"/>
    <m/>
    <s v="1"/>
    <s v="Classe di rischio 1"/>
  </r>
  <r>
    <n v="337558"/>
    <x v="5"/>
    <x v="5"/>
    <x v="4"/>
    <n v="53850"/>
    <n v="182"/>
    <s v="053850_182"/>
    <s v="Discovery Day"/>
    <s v="Mai valutato"/>
    <m/>
    <s v="Vari (28/04/2025)"/>
    <n v="1823300169301"/>
    <n v="20250428"/>
    <s v="03 - Versamento contante cassa continua "/>
    <m/>
    <m/>
    <s v="A     - Avere"/>
    <n v="45865"/>
    <n v="4586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x v="1"/>
    <x v="0"/>
    <x v="0"/>
    <n v="4284957"/>
    <x v="1"/>
    <x v="0"/>
    <s v="920"/>
    <s v="615"/>
    <s v="615920"/>
    <s v="Classe di rischio 6"/>
    <m/>
    <s v="Classe di rischio 6"/>
  </r>
  <r>
    <n v="337557"/>
    <x v="5"/>
    <x v="5"/>
    <x v="4"/>
    <n v="53850"/>
    <n v="102"/>
    <s v="053850_102"/>
    <s v="Discovery Day"/>
    <s v="Mai valutato"/>
    <m/>
    <s v="Vari (28/04/2025)"/>
    <n v="1023300660520"/>
    <n v="20250428"/>
    <s v="VV"/>
    <m/>
    <m/>
    <s v="A     - Avere"/>
    <n v="104142"/>
    <n v="4883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x v="4"/>
    <x v="1"/>
    <x v="0"/>
    <n v="66052"/>
    <x v="1"/>
    <x v="1"/>
    <s v="999"/>
    <s v="430"/>
    <s v="430999"/>
    <m/>
    <s v="1"/>
    <s v="Classe di rischio 1"/>
  </r>
  <r>
    <n v="337556"/>
    <x v="5"/>
    <x v="5"/>
    <x v="4"/>
    <n v="53850"/>
    <n v="102"/>
    <s v="053850_102"/>
    <s v="Discovery Day"/>
    <s v="Mai valutato"/>
    <m/>
    <s v="Vari (28/04/2025)"/>
    <n v="1023308720537"/>
    <n v="20250428"/>
    <s v="03 - Versamento contante cassa continua "/>
    <m/>
    <m/>
    <s v="A     - Avere"/>
    <n v="45160"/>
    <n v="4516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4"/>
    <x v="0"/>
    <x v="0"/>
    <x v="0"/>
    <n v="4653840"/>
    <x v="1"/>
    <x v="0"/>
    <s v="999"/>
    <s v="430"/>
    <s v="430999"/>
    <m/>
    <s v="1"/>
    <s v="Classe di rischio 1"/>
  </r>
  <r>
    <n v="337555"/>
    <x v="5"/>
    <x v="5"/>
    <x v="4"/>
    <n v="53850"/>
    <n v="259"/>
    <s v="053850_259"/>
    <s v="Discovery Day"/>
    <s v="Mai valutato"/>
    <m/>
    <s v="Vari (28/04/2025)"/>
    <n v="2593300000146"/>
    <n v="20250428"/>
    <s v="03 - Versamento contante cassa continua "/>
    <m/>
    <m/>
    <s v="A     - Avere"/>
    <n v="50990"/>
    <n v="50990"/>
    <n v="4574357"/>
    <n v="5690380729"/>
    <s v="FRUTTATTIVA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x v="1"/>
    <x v="0"/>
    <x v="0"/>
    <n v="4574357"/>
    <x v="1"/>
    <x v="0"/>
    <s v="463"/>
    <s v="430"/>
    <s v="430463"/>
    <s v="Classe di rischio 3"/>
    <m/>
    <s v="Classe di rischio 3"/>
  </r>
  <r>
    <n v="337554"/>
    <x v="7"/>
    <x v="7"/>
    <x v="4"/>
    <n v="53850"/>
    <n v="99"/>
    <s v="053850_99"/>
    <s v="Discovery Day"/>
    <s v="Mai valutato"/>
    <m/>
    <n v="202504287931147"/>
    <m/>
    <n v="20250428"/>
    <s v="SPECIAL"/>
    <m/>
    <m/>
    <s v="D     - Dare"/>
    <n v="9232.3799999999992"/>
    <n v="0"/>
    <n v="4433326"/>
    <s v="MRZFNC89L22L049F"/>
    <s v="MARZO FRANCO"/>
    <s v="600 - Famiglie consumatrici"/>
    <m/>
    <s v="086 - ITALIA"/>
    <n v="1162"/>
    <m/>
    <m/>
    <m/>
    <m/>
    <m/>
    <m/>
    <m/>
    <n v="0"/>
    <n v="202504"/>
    <x v="2"/>
    <x v="1"/>
    <x v="1"/>
    <m/>
    <x v="0"/>
    <x v="1"/>
    <s v="999"/>
    <s v="600"/>
    <s v="600999"/>
    <s v="Classe di rischio 7"/>
    <m/>
    <s v="Classe di rischio 7"/>
  </r>
  <r>
    <n v="337553"/>
    <x v="5"/>
    <x v="5"/>
    <x v="4"/>
    <n v="53850"/>
    <n v="267"/>
    <s v="053850_267"/>
    <s v="Discovery Day"/>
    <s v="Mai valutato"/>
    <m/>
    <n v="202504287931837"/>
    <n v="2673300003600"/>
    <n v="20250428"/>
    <s v="D1 - Versamento di contante "/>
    <m/>
    <m/>
    <s v="A     - Avere"/>
    <n v="115000"/>
    <n v="11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x v="1"/>
    <x v="0"/>
    <x v="0"/>
    <n v="1705101"/>
    <x v="1"/>
    <x v="0"/>
    <s v="999"/>
    <s v="492"/>
    <s v="492999"/>
    <m/>
    <s v="1"/>
    <s v="Classe di rischio 2"/>
  </r>
  <r>
    <n v="337552"/>
    <x v="4"/>
    <x v="4"/>
    <x v="4"/>
    <n v="53850"/>
    <n v="125"/>
    <s v="053850_125"/>
    <s v="Discovery Day"/>
    <s v="Mai valutato"/>
    <m/>
    <n v="202504287928675"/>
    <n v="1253300001106"/>
    <n v="20250428"/>
    <s v="48 - Bonifico in arrivo "/>
    <m/>
    <s v="086 - ITALIA"/>
    <s v="A     - Avere"/>
    <n v="690234.02"/>
    <n v="0"/>
    <n v="4519282"/>
    <n v="6193171219"/>
    <s v="IM.A.F. S.R.L."/>
    <s v="430 - Imprese produttive"/>
    <s v="429 - COSTRUZIONE DI ALTRE OPERE DI INGEGNERIA CIVILE"/>
    <s v="086 - ITALIA"/>
    <n v="982"/>
    <m/>
    <m/>
    <m/>
    <m/>
    <m/>
    <m/>
    <m/>
    <n v="0"/>
    <n v="202504"/>
    <x v="0"/>
    <x v="0"/>
    <x v="0"/>
    <m/>
    <x v="0"/>
    <x v="0"/>
    <s v="429"/>
    <s v="430"/>
    <s v="430429"/>
    <s v="Classe di rischio 3"/>
    <m/>
    <s v="Classe di rischio 3"/>
  </r>
  <r>
    <n v="337551"/>
    <x v="5"/>
    <x v="5"/>
    <x v="4"/>
    <n v="53850"/>
    <n v="129"/>
    <s v="053850_129"/>
    <s v="Discovery Day"/>
    <s v="Mai valutato"/>
    <m/>
    <s v="Vari (28/04/2025)"/>
    <n v="1293300003039"/>
    <n v="20250428"/>
    <s v="VV"/>
    <m/>
    <m/>
    <s v="A     - Avere"/>
    <n v="19550"/>
    <n v="15550"/>
    <n v="3734755"/>
    <s v="MGLFNC98D09F915W"/>
    <s v="MIGLIACCIO FRANCESCO"/>
    <s v="600 - Famiglie consumatrici"/>
    <m/>
    <s v="086 - ITALIA"/>
    <n v="1355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550"/>
    <x v="3"/>
    <x v="3"/>
    <x v="4"/>
    <n v="53850"/>
    <n v="170"/>
    <s v="053850_170"/>
    <s v="Discovery Day"/>
    <s v="Mai valutato"/>
    <m/>
    <n v="202504287931605"/>
    <n v="1703306290965"/>
    <n v="20250428"/>
    <s v="G7 - Versamento assegno circolare altro intermediario "/>
    <m/>
    <m/>
    <s v="A     - Avere"/>
    <n v="172400"/>
    <n v="0"/>
    <n v="3734846"/>
    <n v="8512530729"/>
    <s v="AC COSTRUZIONI SRL"/>
    <s v="430 - Imprese produttive"/>
    <s v="412 - COSTRUZIONE DI EDIFICI RESIDENZIALI E NON RESIDENZIALI"/>
    <s v="086 - ITALIA"/>
    <n v="1920"/>
    <m/>
    <m/>
    <m/>
    <m/>
    <m/>
    <m/>
    <m/>
    <n v="0"/>
    <n v="202504"/>
    <x v="2"/>
    <x v="1"/>
    <x v="0"/>
    <m/>
    <x v="0"/>
    <x v="0"/>
    <s v="412"/>
    <s v="430"/>
    <s v="430412"/>
    <s v="Classe di rischio 3"/>
    <m/>
    <s v="Classe di rischio 3"/>
  </r>
  <r>
    <n v="337549"/>
    <x v="3"/>
    <x v="3"/>
    <x v="4"/>
    <n v="53850"/>
    <n v="129"/>
    <s v="053850_129"/>
    <s v="Discovery Day"/>
    <s v="Mai valutato"/>
    <m/>
    <n v="202504287931405"/>
    <n v="2343300010453"/>
    <n v="20250428"/>
    <s v="G1 - Versamento assegni tratti su altro intermediario "/>
    <m/>
    <m/>
    <s v="A     - Avere"/>
    <n v="89149.25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548"/>
    <x v="3"/>
    <x v="3"/>
    <x v="4"/>
    <n v="53850"/>
    <n v="161"/>
    <s v="053850_161"/>
    <s v="Discovery Day"/>
    <s v="Mai valutato"/>
    <m/>
    <s v="Vari (28/04/2025)"/>
    <n v="1613300029653"/>
    <n v="20250428"/>
    <s v="VV"/>
    <m/>
    <m/>
    <s v="A     - Avere"/>
    <n v="79891.56"/>
    <n v="101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x v="1"/>
    <x v="0"/>
    <x v="0"/>
    <n v="4088769"/>
    <x v="1"/>
    <x v="1"/>
    <s v="464"/>
    <s v="430"/>
    <s v="430464"/>
    <s v="Classe di rischio 4"/>
    <m/>
    <s v="Classe di rischio 4"/>
  </r>
  <r>
    <n v="337547"/>
    <x v="3"/>
    <x v="3"/>
    <x v="4"/>
    <n v="53850"/>
    <n v="175"/>
    <s v="053850_175"/>
    <s v="Discovery Day"/>
    <s v="Mai valutato"/>
    <m/>
    <s v="Vari (28/04/2025)"/>
    <n v="1753302203127"/>
    <n v="20250428"/>
    <s v="VV"/>
    <m/>
    <m/>
    <s v="A     - Avere"/>
    <n v="115615.55"/>
    <n v="47710"/>
    <n v="4160138"/>
    <n v="484200779"/>
    <s v="DE.RA.DO. SRL"/>
    <s v="430 - Imprese produttive"/>
    <s v="031 - PESCA"/>
    <s v="086 - ITALIA"/>
    <n v="739"/>
    <m/>
    <m/>
    <m/>
    <m/>
    <m/>
    <m/>
    <m/>
    <n v="0"/>
    <n v="202504"/>
    <x v="2"/>
    <x v="1"/>
    <x v="0"/>
    <n v="4160138"/>
    <x v="1"/>
    <x v="1"/>
    <s v="999"/>
    <s v="430"/>
    <s v="430999"/>
    <m/>
    <s v="1"/>
    <s v="Classe di rischio 1"/>
  </r>
  <r>
    <n v="337546"/>
    <x v="5"/>
    <x v="5"/>
    <x v="4"/>
    <n v="53850"/>
    <n v="117"/>
    <s v="053850_117"/>
    <s v="Discovery Day"/>
    <s v="Mai valutato"/>
    <m/>
    <s v="Vari (27/04/2025)"/>
    <n v="1173300538726"/>
    <n v="20250427"/>
    <s v="03 - Versamento contante cassa continua "/>
    <m/>
    <m/>
    <s v="A     - Avere"/>
    <n v="36380"/>
    <n v="3638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4"/>
    <x v="1"/>
    <x v="0"/>
    <x v="0"/>
    <n v="4784989"/>
    <x v="1"/>
    <x v="0"/>
    <s v="999"/>
    <s v="430"/>
    <s v="430999"/>
    <m/>
    <s v="1"/>
    <s v="Classe di rischio 1"/>
  </r>
  <r>
    <n v="337545"/>
    <x v="5"/>
    <x v="5"/>
    <x v="4"/>
    <n v="53850"/>
    <n v="102"/>
    <s v="053850_102"/>
    <s v="Discovery Day"/>
    <s v="Mai valutato"/>
    <m/>
    <s v="Vari (25/04/2025)"/>
    <n v="1023308722503"/>
    <n v="20250425"/>
    <s v="03 - Versamento contante cassa continua "/>
    <m/>
    <m/>
    <s v="A     - Avere"/>
    <n v="42260"/>
    <n v="422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37544"/>
    <x v="6"/>
    <x v="6"/>
    <x v="4"/>
    <n v="53850"/>
    <n v="109"/>
    <s v="053850_109"/>
    <s v="Discovery Day"/>
    <s v="Mai valutato"/>
    <m/>
    <n v="202504257929903"/>
    <n v="1093306672844"/>
    <n v="20250425"/>
    <s v="AA - Bonifico da e per estero "/>
    <m/>
    <s v="071 - SVIZZERA"/>
    <s v="A     - Avere"/>
    <n v="2074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n v="440311"/>
    <x v="1"/>
    <x v="0"/>
    <s v="451"/>
    <s v="430"/>
    <s v="430451"/>
    <s v="Classe di rischio 3"/>
    <m/>
    <s v="Classe di rischio 3"/>
  </r>
  <r>
    <n v="337543"/>
    <x v="2"/>
    <x v="2"/>
    <x v="4"/>
    <n v="53850"/>
    <n v="284"/>
    <s v="053850_284"/>
    <s v="Discovery Day"/>
    <s v="Mai valutato"/>
    <m/>
    <n v="202504247931905"/>
    <n v="2843300001332"/>
    <n v="20250424"/>
    <s v="AA - Bonifico da e per estero "/>
    <m/>
    <s v="012 - BULGARIA"/>
    <s v="D     - Dare"/>
    <n v="10350"/>
    <n v="0"/>
    <n v="1620921"/>
    <s v="RSTFTM63M20Z100G"/>
    <s v="RUSTEMI FITIM"/>
    <s v="614 - Artigiani"/>
    <s v="412 - COSTRUZIONE DI EDIFICI RESIDENZIALI E NON RESIDENZIALI"/>
    <s v="086 - ITALIA"/>
    <n v="1826"/>
    <m/>
    <m/>
    <m/>
    <m/>
    <m/>
    <m/>
    <m/>
    <n v="0"/>
    <n v="202504"/>
    <x v="1"/>
    <x v="0"/>
    <x v="0"/>
    <m/>
    <x v="0"/>
    <x v="0"/>
    <s v="999"/>
    <s v="614"/>
    <s v="614999"/>
    <m/>
    <s v="1"/>
    <s v="Classe di rischio 3"/>
  </r>
  <r>
    <n v="337542"/>
    <x v="2"/>
    <x v="2"/>
    <x v="4"/>
    <n v="53850"/>
    <n v="109"/>
    <s v="053850_109"/>
    <s v="Discovery Day"/>
    <s v="Mai valutato"/>
    <m/>
    <n v="202504237927974"/>
    <n v="1093306672844"/>
    <n v="20250423"/>
    <s v="AA - Bonifico da e per estero "/>
    <m/>
    <s v="012 - BULGARIA"/>
    <s v="D     - Dare"/>
    <n v="51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n v="440311"/>
    <x v="1"/>
    <x v="0"/>
    <s v="451"/>
    <s v="430"/>
    <s v="430451"/>
    <s v="Classe di rischio 3"/>
    <m/>
    <s v="Classe di rischio 3"/>
  </r>
  <r>
    <n v="337541"/>
    <x v="3"/>
    <x v="3"/>
    <x v="5"/>
    <n v="53850"/>
    <n v="109"/>
    <s v="053850_109"/>
    <s v="Discovery Day"/>
    <s v="Mai valutato"/>
    <m/>
    <s v="Vari (24/04/2025)"/>
    <n v="1093306677188"/>
    <n v="20250424"/>
    <s v="G7 - Versamento assegno circolare altro intermediario "/>
    <m/>
    <m/>
    <s v="A     - Avere"/>
    <n v="224800"/>
    <n v="0"/>
    <n v="3724794"/>
    <n v="6790530726"/>
    <s v="SOGEDILE S.R.L."/>
    <s v="430 - Imprese produttive"/>
    <s v="412 - COSTRUZIONE DI EDIFICI RESIDENZIALI E NON RESIDENZIALI"/>
    <s v="086 - ITALIA"/>
    <n v="502"/>
    <m/>
    <m/>
    <m/>
    <m/>
    <m/>
    <m/>
    <m/>
    <n v="0"/>
    <n v="202504"/>
    <x v="2"/>
    <x v="1"/>
    <x v="0"/>
    <m/>
    <x v="0"/>
    <x v="0"/>
    <s v="412"/>
    <s v="430"/>
    <s v="430412"/>
    <s v="Classe di rischio 3"/>
    <m/>
    <s v="Classe di rischio 3"/>
  </r>
  <r>
    <n v="337540"/>
    <x v="5"/>
    <x v="5"/>
    <x v="5"/>
    <n v="53850"/>
    <n v="195"/>
    <s v="053850_195"/>
    <s v="Discovery Day"/>
    <s v="Mai valutato"/>
    <m/>
    <s v="Vari (24/04/2025)"/>
    <n v="1953300026976"/>
    <n v="20250424"/>
    <s v="03 - Versamento contante cassa continua "/>
    <m/>
    <m/>
    <s v="A     - Avere"/>
    <n v="75200"/>
    <n v="75200"/>
    <n v="4081785"/>
    <s v="DGSNGL77E03F027Z"/>
    <s v="D'AGOSTINO ANGELO"/>
    <s v="615 - Altre famiglie produttrici"/>
    <s v="475 - COMMERCIO AL DETTAGLIO DI ALTRI PRODOTTI PER USO DOMESTICO IN ESERCIZI SPECIALIZZATI"/>
    <s v="086 - ITALIA"/>
    <n v="938"/>
    <m/>
    <m/>
    <m/>
    <m/>
    <m/>
    <m/>
    <m/>
    <n v="0"/>
    <n v="202504"/>
    <x v="1"/>
    <x v="0"/>
    <x v="0"/>
    <n v="4081785"/>
    <x v="1"/>
    <x v="0"/>
    <s v="999"/>
    <s v="615"/>
    <s v="615999"/>
    <m/>
    <s v="1"/>
    <s v="Classe di rischio 3"/>
  </r>
  <r>
    <n v="337539"/>
    <x v="3"/>
    <x v="3"/>
    <x v="5"/>
    <n v="53850"/>
    <n v="108"/>
    <s v="053850_108"/>
    <s v="Discovery Day"/>
    <s v="Mai valutato"/>
    <m/>
    <s v="Vari (24/04/2025)"/>
    <n v="1083300011180"/>
    <n v="20250424"/>
    <s v="VV"/>
    <m/>
    <m/>
    <s v="A     - Avere"/>
    <n v="170925.18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x v="0"/>
    <x v="0"/>
    <x v="0"/>
    <m/>
    <x v="0"/>
    <x v="1"/>
    <s v="999"/>
    <s v="430"/>
    <s v="430999"/>
    <m/>
    <s v="1"/>
    <s v="Classe di rischio 1"/>
  </r>
  <r>
    <n v="337538"/>
    <x v="3"/>
    <x v="3"/>
    <x v="5"/>
    <n v="53850"/>
    <n v="171"/>
    <s v="053850_171"/>
    <s v="Discovery Day"/>
    <s v="Mai valutato"/>
    <m/>
    <s v="Vari (24/04/2025)"/>
    <n v="1713302214147"/>
    <n v="20250424"/>
    <s v="03 - Versamento contante cassa continua "/>
    <m/>
    <m/>
    <s v="A     - Avere"/>
    <n v="219015"/>
    <n v="21901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537"/>
    <x v="5"/>
    <x v="5"/>
    <x v="5"/>
    <n v="53850"/>
    <n v="264"/>
    <s v="053850_264"/>
    <s v="Discovery Day"/>
    <s v="Mai valutato"/>
    <m/>
    <s v="Vari (24/04/2025)"/>
    <n v="2643300002171"/>
    <n v="20250424"/>
    <s v="03 - Versamento contante cassa continua "/>
    <m/>
    <m/>
    <s v="A     - Avere"/>
    <n v="34000"/>
    <n v="3400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s v="086 - ITALIA"/>
    <n v="936"/>
    <m/>
    <m/>
    <m/>
    <m/>
    <m/>
    <m/>
    <m/>
    <n v="0"/>
    <n v="202504"/>
    <x v="0"/>
    <x v="0"/>
    <x v="0"/>
    <n v="1705273"/>
    <x v="1"/>
    <x v="0"/>
    <s v="477"/>
    <s v="492"/>
    <s v="492477"/>
    <s v="Classe di rischio 5"/>
    <m/>
    <s v="Classe di rischio 5"/>
  </r>
  <r>
    <n v="337536"/>
    <x v="5"/>
    <x v="5"/>
    <x v="5"/>
    <n v="53850"/>
    <n v="171"/>
    <s v="053850_171"/>
    <s v="Discovery Day"/>
    <s v="Mai valutato"/>
    <m/>
    <s v="Vari (24/04/2025)"/>
    <n v="1713305728950"/>
    <n v="20250424"/>
    <s v="03 - Versamento contante cassa continua "/>
    <m/>
    <m/>
    <s v="A     - Avere"/>
    <n v="515709.15"/>
    <n v="515709.1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535"/>
    <x v="5"/>
    <x v="5"/>
    <x v="5"/>
    <n v="53850"/>
    <n v="116"/>
    <s v="053850_116"/>
    <s v="Discovery Day"/>
    <s v="Mai valutato"/>
    <m/>
    <n v="202504247924393"/>
    <n v="2343300010453"/>
    <n v="20250424"/>
    <s v="03 - Versamento contante cassa continua "/>
    <m/>
    <m/>
    <s v="A     - Avere"/>
    <n v="181575.3"/>
    <n v="181575.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534"/>
    <x v="4"/>
    <x v="4"/>
    <x v="5"/>
    <n v="53850"/>
    <n v="264"/>
    <s v="053850_264"/>
    <s v="Discovery Day"/>
    <s v="Mai valutato"/>
    <m/>
    <n v="202504247922607"/>
    <n v="2643300002152"/>
    <n v="20250424"/>
    <s v="48 - Bonifico in arrivo "/>
    <m/>
    <s v="086 - ITALIA"/>
    <s v="A     - Avere"/>
    <n v="76381.53"/>
    <n v="0"/>
    <n v="1700966"/>
    <s v="CRRDNC57L01A662B"/>
    <s v="CERROTTI DOMENICO"/>
    <s v="615 - Altre famiglie produttrici"/>
    <s v="477 - COMMERCIO AL DETTAGLIO DI ALTRI PRODOTTI IN ESERCIZI SPECIALIZZATI"/>
    <s v="086 - ITALIA"/>
    <n v="1851"/>
    <m/>
    <m/>
    <m/>
    <m/>
    <m/>
    <m/>
    <m/>
    <n v="0"/>
    <n v="202504"/>
    <x v="1"/>
    <x v="0"/>
    <x v="0"/>
    <n v="1700966"/>
    <x v="1"/>
    <x v="0"/>
    <s v="477"/>
    <s v="615"/>
    <s v="615477"/>
    <s v="Classe di rischio 6"/>
    <m/>
    <s v="Classe di rischio 6"/>
  </r>
  <r>
    <n v="337533"/>
    <x v="4"/>
    <x v="4"/>
    <x v="5"/>
    <n v="53850"/>
    <n v="277"/>
    <s v="053850_277"/>
    <s v="Discovery Day"/>
    <s v="Mai valutato"/>
    <m/>
    <n v="202504247924972"/>
    <n v="2773300000865"/>
    <n v="20250424"/>
    <s v="SPECIAL"/>
    <m/>
    <m/>
    <s v="D     - Dare"/>
    <n v="15562.96"/>
    <n v="0"/>
    <n v="1676449"/>
    <s v="PRSFRN55T04L218F"/>
    <s v="PERSICHITTI FLORINDO ANTONIO"/>
    <s v="600 - Famiglie consumatrici"/>
    <m/>
    <s v="086 - ITALIA"/>
    <m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532"/>
    <x v="5"/>
    <x v="5"/>
    <x v="5"/>
    <n v="53850"/>
    <n v="171"/>
    <s v="053850_171"/>
    <s v="Discovery Day"/>
    <s v="Mai valutato"/>
    <m/>
    <s v="Vari (24/04/2025)"/>
    <n v="1713302214147"/>
    <n v="20250424"/>
    <s v="03 - Versamento contante cassa continua "/>
    <m/>
    <m/>
    <s v="A     - Avere"/>
    <n v="219015"/>
    <n v="21901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531"/>
    <x v="5"/>
    <x v="5"/>
    <x v="5"/>
    <n v="53850"/>
    <n v="192"/>
    <s v="053850_192"/>
    <s v="Discovery Day"/>
    <s v="Mai valutato"/>
    <m/>
    <n v="202504247924354"/>
    <n v="1923300179529"/>
    <n v="20250424"/>
    <s v="03 - Versamento contante cassa continua "/>
    <m/>
    <m/>
    <s v="A     - Avere"/>
    <n v="15230"/>
    <n v="15230"/>
    <n v="4198198"/>
    <n v="1934960731"/>
    <s v="ITRIA PROFUMERIE DI CAMPANELLA DOMENICO E C. S.A.S."/>
    <s v="492 - Quasi societa' non finanziarie altre - Unita' o societa' con meno di 20 addetti"/>
    <s v="477 - COMMERCIO AL DETTAGLIO DI ALTRI PRODOTTI IN ESERCIZI SPECIALIZZATI"/>
    <s v="086 - ITALIA"/>
    <n v="1066"/>
    <m/>
    <m/>
    <m/>
    <m/>
    <m/>
    <m/>
    <m/>
    <n v="0"/>
    <n v="202504"/>
    <x v="0"/>
    <x v="0"/>
    <x v="0"/>
    <n v="4198198"/>
    <x v="1"/>
    <x v="0"/>
    <s v="477"/>
    <s v="492"/>
    <s v="492477"/>
    <s v="Classe di rischio 5"/>
    <m/>
    <s v="Classe di rischio 5"/>
  </r>
  <r>
    <n v="337530"/>
    <x v="4"/>
    <x v="4"/>
    <x v="5"/>
    <n v="53850"/>
    <n v="277"/>
    <s v="053850_277"/>
    <s v="Discovery Day"/>
    <s v="Mai valutato"/>
    <m/>
    <n v="202504247924972"/>
    <n v="2773300000865"/>
    <n v="20250424"/>
    <s v="SPECIAL"/>
    <m/>
    <m/>
    <s v="D     - Dare"/>
    <n v="15562.96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529"/>
    <x v="6"/>
    <x v="6"/>
    <x v="5"/>
    <n v="53850"/>
    <n v="149"/>
    <s v="053850_149"/>
    <s v="Discovery Day"/>
    <s v="Mai valutato"/>
    <m/>
    <n v="202504247923757"/>
    <n v="1493300664435"/>
    <n v="20250424"/>
    <s v="AA - Bonifico da e per estero "/>
    <m/>
    <s v="103 - HONG KONG"/>
    <s v="A     - Avere"/>
    <n v="58685"/>
    <n v="0"/>
    <n v="4957449"/>
    <n v="7480511216"/>
    <s v="LOOP S.R.L."/>
    <s v="430 - Imprese produttive"/>
    <s v="464 - COMMERCIO ALL'INGROSSO DI BENI DI CONSUMO FINALE"/>
    <s v="086 - ITALIA"/>
    <n v="1256"/>
    <m/>
    <m/>
    <m/>
    <m/>
    <m/>
    <m/>
    <m/>
    <n v="0"/>
    <n v="202504"/>
    <x v="1"/>
    <x v="0"/>
    <x v="0"/>
    <m/>
    <x v="0"/>
    <x v="0"/>
    <s v="464"/>
    <s v="430"/>
    <s v="430464"/>
    <s v="Classe di rischio 4"/>
    <m/>
    <s v="Classe di rischio 4"/>
  </r>
  <r>
    <n v="337528"/>
    <x v="4"/>
    <x v="4"/>
    <x v="5"/>
    <n v="53850"/>
    <n v="109"/>
    <s v="053850_109"/>
    <s v="Discovery Day"/>
    <s v="Mai valutato"/>
    <m/>
    <n v="202504247924602"/>
    <n v="1093306667463"/>
    <n v="20250424"/>
    <s v="26 - Bonifico in partenza "/>
    <m/>
    <s v="086 - ITALIA"/>
    <s v="D     - Dare"/>
    <n v="231724"/>
    <n v="0"/>
    <n v="4039788"/>
    <s v="FVAPRZ63C68A662B"/>
    <s v="FAVIA PATRIZIA"/>
    <s v="600 - Famiglie consumatrici"/>
    <m/>
    <s v="086 - ITALIA"/>
    <n v="507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527"/>
    <x v="5"/>
    <x v="5"/>
    <x v="5"/>
    <n v="53850"/>
    <n v="269"/>
    <s v="053850_269"/>
    <s v="Discovery Day"/>
    <s v="Mai valutato"/>
    <m/>
    <s v="Vari (24/04/2025)"/>
    <n v="2693300001614"/>
    <n v="20250424"/>
    <s v="D1 - Versamento di contante "/>
    <m/>
    <m/>
    <s v="A     - Avere"/>
    <n v="36490"/>
    <n v="3649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4"/>
    <x v="1"/>
    <x v="0"/>
    <x v="0"/>
    <n v="1695085"/>
    <x v="1"/>
    <x v="0"/>
    <s v="999"/>
    <s v="615"/>
    <s v="615999"/>
    <m/>
    <s v="1"/>
    <s v="Classe di rischio 3"/>
  </r>
  <r>
    <n v="337526"/>
    <x v="7"/>
    <x v="7"/>
    <x v="5"/>
    <n v="53850"/>
    <n v="154"/>
    <s v="053850_154"/>
    <s v="Discovery Day"/>
    <s v="Mai valutato"/>
    <m/>
    <n v="202504247924747"/>
    <m/>
    <n v="20250424"/>
    <s v="F1 - Incasso assegno circolare altro intermediario"/>
    <m/>
    <m/>
    <s v="D     - Dare"/>
    <n v="83039.679999999993"/>
    <n v="0"/>
    <n v="4837667"/>
    <s v="TRAFRZ65A01G023D"/>
    <s v="AUTUORI FABRIZIO"/>
    <s v="600 - Famiglie consumatrici"/>
    <m/>
    <s v="086 - ITALIA"/>
    <m/>
    <m/>
    <m/>
    <m/>
    <m/>
    <m/>
    <m/>
    <m/>
    <n v="0"/>
    <n v="202504"/>
    <x v="0"/>
    <x v="0"/>
    <x v="1"/>
    <m/>
    <x v="0"/>
    <x v="0"/>
    <s v="999"/>
    <s v="600"/>
    <s v="600999"/>
    <s v="Classe di rischio 7"/>
    <m/>
    <s v="Classe di rischio 7"/>
  </r>
  <r>
    <n v="337525"/>
    <x v="6"/>
    <x v="6"/>
    <x v="5"/>
    <n v="53850"/>
    <n v="268"/>
    <s v="053850_268"/>
    <s v="Discovery Day"/>
    <s v="Mai valutato"/>
    <m/>
    <n v="202504247923765"/>
    <n v="2683300002200"/>
    <n v="20250424"/>
    <s v="AA - Bonifico da e per estero "/>
    <m/>
    <s v="202 - JERSEY C.I."/>
    <s v="A     - Avere"/>
    <n v="66000"/>
    <n v="0"/>
    <n v="1634613"/>
    <n v="3489270797"/>
    <s v="STELLA DEL MARE SRL"/>
    <s v="430 - Imprese produttive"/>
    <s v="412 - COSTRUZIONE DI EDIFICI RESIDENZIALI E NON RESIDENZIALI"/>
    <s v="086 - ITALIA"/>
    <n v="1852"/>
    <m/>
    <m/>
    <m/>
    <m/>
    <m/>
    <m/>
    <m/>
    <n v="0"/>
    <n v="202504"/>
    <x v="2"/>
    <x v="1"/>
    <x v="0"/>
    <m/>
    <x v="0"/>
    <x v="0"/>
    <s v="412"/>
    <s v="430"/>
    <s v="430412"/>
    <s v="Classe di rischio 3"/>
    <m/>
    <s v="Classe di rischio 3"/>
  </r>
  <r>
    <n v="337524"/>
    <x v="4"/>
    <x v="4"/>
    <x v="5"/>
    <n v="53850"/>
    <n v="105"/>
    <s v="053850_105"/>
    <s v="Discovery Day"/>
    <s v="Mai valutato"/>
    <m/>
    <n v="202504247922074"/>
    <n v="1053306287103"/>
    <n v="20250424"/>
    <s v="26 - Bonifico in partenza "/>
    <m/>
    <s v="086 - ITALIA"/>
    <s v="D     - Dare"/>
    <n v="15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523"/>
    <x v="6"/>
    <x v="6"/>
    <x v="5"/>
    <n v="53850"/>
    <n v="108"/>
    <s v="053850_108"/>
    <s v="Discovery Day"/>
    <s v="Mai valutato"/>
    <m/>
    <n v="202504247923749"/>
    <n v="1081204983779"/>
    <n v="20250424"/>
    <s v="AA - Bonifico da e per estero "/>
    <m/>
    <s v="016 - CINA"/>
    <s v="D     - Dare"/>
    <n v="204044.7"/>
    <n v="0"/>
    <n v="4983779"/>
    <n v="5371200725"/>
    <s v="LA MITO S.R.L. DISTRIBUZIONE"/>
    <s v="430 - Imprese produttive"/>
    <s v="466 - COMMERCIO ALL'INGROSSO DI ALTRI MACCHINARI, ATTREZZATURE E FORNITURE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522"/>
    <x v="5"/>
    <x v="5"/>
    <x v="5"/>
    <n v="53850"/>
    <n v="114"/>
    <s v="053850_114"/>
    <s v="Discovery Day"/>
    <s v="Mai valutato"/>
    <m/>
    <n v="202504247924631"/>
    <n v="1143306280621"/>
    <n v="20250424"/>
    <s v="D1 - Versamento di contante "/>
    <m/>
    <m/>
    <s v="A     - Avere"/>
    <n v="54300"/>
    <n v="543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521"/>
    <x v="5"/>
    <x v="5"/>
    <x v="5"/>
    <n v="53850"/>
    <n v="131"/>
    <s v="053850_131"/>
    <s v="Discovery Day"/>
    <s v="Mai valutato"/>
    <m/>
    <n v="202504247924141"/>
    <n v="1313300002205"/>
    <n v="20250424"/>
    <s v="03 - Versamento contante cassa continua "/>
    <m/>
    <m/>
    <s v="A     - Avere"/>
    <n v="29000"/>
    <n v="29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4"/>
    <x v="1"/>
    <x v="0"/>
    <x v="0"/>
    <n v="4055163"/>
    <x v="1"/>
    <x v="0"/>
    <s v="477"/>
    <s v="615"/>
    <s v="615477"/>
    <s v="Classe di rischio 6"/>
    <m/>
    <s v="Classe di rischio 6"/>
  </r>
  <r>
    <n v="337520"/>
    <x v="6"/>
    <x v="6"/>
    <x v="5"/>
    <n v="53850"/>
    <n v="270"/>
    <s v="053850_270"/>
    <s v="Discovery Day"/>
    <s v="Mai valutato"/>
    <m/>
    <n v="202504247924954"/>
    <n v="2703300000347"/>
    <n v="20250424"/>
    <s v="AA - Bonifico da e per estero "/>
    <m/>
    <s v="071 - SVIZZERA"/>
    <s v="D     - Dare"/>
    <n v="20000"/>
    <n v="0"/>
    <n v="1610246"/>
    <n v="328280698"/>
    <s v="CONSTRUCTORA CARACAS S.R.L."/>
    <s v="430 - Imprese produttive"/>
    <s v="412 - COSTRUZIONE DI EDIFICI RESIDENZIALI E NON RESIDENZIALI"/>
    <s v="086 - ITALIA"/>
    <n v="1413"/>
    <m/>
    <m/>
    <m/>
    <m/>
    <m/>
    <m/>
    <m/>
    <n v="0"/>
    <n v="202504"/>
    <x v="1"/>
    <x v="0"/>
    <x v="0"/>
    <m/>
    <x v="0"/>
    <x v="0"/>
    <s v="412"/>
    <s v="430"/>
    <s v="430412"/>
    <s v="Classe di rischio 3"/>
    <m/>
    <s v="Classe di rischio 3"/>
  </r>
  <r>
    <n v="337519"/>
    <x v="5"/>
    <x v="5"/>
    <x v="5"/>
    <n v="53850"/>
    <n v="264"/>
    <s v="053850_264"/>
    <s v="Discovery Day"/>
    <s v="Mai valutato"/>
    <m/>
    <n v="202504247924412"/>
    <n v="2643300010604"/>
    <n v="20250424"/>
    <s v="03 - Versamento contante cassa continua "/>
    <m/>
    <m/>
    <s v="A     - Avere"/>
    <n v="19500"/>
    <n v="19500"/>
    <n v="3730784"/>
    <n v="1347980771"/>
    <s v="PALUMBO SRL FARMACIA SAN BERNARDINO S.N.C."/>
    <s v="492 - Quasi societa' non finanziarie altre - Unita' o societa' con meno di 20 addetti"/>
    <s v="477 - COMMERCIO AL DETTAGLIO DI ALTRI PRODOTTI IN ESERCIZI SPECIALIZZATI"/>
    <s v="086 - ITALIA"/>
    <n v="1851"/>
    <m/>
    <m/>
    <m/>
    <m/>
    <m/>
    <m/>
    <m/>
    <n v="0"/>
    <n v="202504"/>
    <x v="1"/>
    <x v="0"/>
    <x v="0"/>
    <n v="3730784"/>
    <x v="1"/>
    <x v="0"/>
    <s v="477"/>
    <s v="492"/>
    <s v="492477"/>
    <s v="Classe di rischio 5"/>
    <m/>
    <s v="Classe di rischio 5"/>
  </r>
  <r>
    <n v="337518"/>
    <x v="2"/>
    <x v="2"/>
    <x v="5"/>
    <n v="53850"/>
    <n v="187"/>
    <s v="053850_187"/>
    <s v="Discovery Day"/>
    <s v="Mai valutato"/>
    <m/>
    <s v="202504246259356L"/>
    <n v="1873300102696"/>
    <n v="20250424"/>
    <s v="AA - Bonifico da e per estero "/>
    <m/>
    <s v="012 - BULGARIA"/>
    <s v="A     - Avere"/>
    <n v="3876.1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x v="1"/>
    <x v="0"/>
    <x v="0"/>
    <m/>
    <x v="0"/>
    <x v="0"/>
    <s v="463"/>
    <s v="430"/>
    <s v="430463"/>
    <s v="Classe di rischio 3"/>
    <m/>
    <s v="Classe di rischio 3"/>
  </r>
  <r>
    <n v="337517"/>
    <x v="4"/>
    <x v="4"/>
    <x v="5"/>
    <n v="53850"/>
    <n v="109"/>
    <s v="053850_109"/>
    <s v="Discovery Day"/>
    <s v="Mai valutato"/>
    <m/>
    <n v="202504247924602"/>
    <n v="1093306667463"/>
    <n v="20250424"/>
    <s v="26 - Bonifico in partenza "/>
    <m/>
    <s v="086 - ITALIA"/>
    <s v="D     - Dare"/>
    <n v="231724"/>
    <n v="0"/>
    <n v="4039786"/>
    <s v="CRTNTN64P24G906V"/>
    <s v="CORTESE ANTONIO"/>
    <s v="600 - Famiglie consumatrici"/>
    <m/>
    <s v="086 - ITALIA"/>
    <n v="507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516"/>
    <x v="5"/>
    <x v="5"/>
    <x v="5"/>
    <n v="53850"/>
    <n v="277"/>
    <s v="053850_277"/>
    <s v="Discovery Day"/>
    <s v="Mai valutato"/>
    <m/>
    <n v="202504247924976"/>
    <n v="2773300000386"/>
    <n v="20250424"/>
    <s v="D1 - Versamento di contante "/>
    <m/>
    <m/>
    <s v="A     - Avere"/>
    <n v="37500"/>
    <n v="37500"/>
    <n v="1625701"/>
    <n v="1746700697"/>
    <s v="SUPERMERCATO CANNONE S.R.L."/>
    <s v="430 - Imprese produttive"/>
    <s v="471 - COMMERCIO AL DETTAGLIO IN ESERCIZI NON SPECIALIZZATI"/>
    <s v="086 - ITALIA"/>
    <n v="1387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515"/>
    <x v="2"/>
    <x v="2"/>
    <x v="5"/>
    <n v="53850"/>
    <n v="282"/>
    <s v="053850_282"/>
    <s v="Discovery Day"/>
    <s v="Mai valutato"/>
    <m/>
    <n v="202504247923683"/>
    <n v="2823300010180"/>
    <n v="20250424"/>
    <s v="AA - Bonifico da e per estero "/>
    <m/>
    <s v="012 - BULGARIA"/>
    <s v="A     - Avere"/>
    <n v="5243.56"/>
    <n v="0"/>
    <n v="4993694"/>
    <n v="2776730695"/>
    <s v="DI MARCO SRL"/>
    <s v="430 - Imprese produttive"/>
    <s v="251 - FABBRICAZIONE DI ELEMENTI DA COSTRUZIONE IN METALLO"/>
    <s v="086 - ITALIA"/>
    <n v="1829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514"/>
    <x v="4"/>
    <x v="4"/>
    <x v="5"/>
    <n v="53850"/>
    <n v="181"/>
    <s v="053850_181"/>
    <s v="Discovery Day"/>
    <s v="Mai valutato"/>
    <m/>
    <n v="202504247923117"/>
    <n v="1813300010280"/>
    <n v="20250424"/>
    <s v="48 - Bonifico in arrivo "/>
    <m/>
    <s v="086 - ITALIA"/>
    <s v="A     - Avere"/>
    <n v="1200000"/>
    <n v="0"/>
    <n v="4788366"/>
    <n v="674460720"/>
    <s v="ELAIOPOLIO COOPERATIVO DELLA RIFORMA FONDIARIA DI RUVO DI PUGLIA SOCIETA' COOPER"/>
    <s v="430 - Imprese produttive"/>
    <s v="012 - COLTIVAZIONE DI COLTURE PERMANENTI"/>
    <s v="086 - ITALIA"/>
    <n v="1903"/>
    <m/>
    <m/>
    <m/>
    <m/>
    <m/>
    <m/>
    <m/>
    <n v="0"/>
    <n v="202504"/>
    <x v="4"/>
    <x v="1"/>
    <x v="0"/>
    <m/>
    <x v="0"/>
    <x v="0"/>
    <s v="999"/>
    <s v="430"/>
    <s v="430999"/>
    <m/>
    <s v="1"/>
    <s v="Classe di rischio 1"/>
  </r>
  <r>
    <n v="337513"/>
    <x v="3"/>
    <x v="3"/>
    <x v="5"/>
    <n v="53850"/>
    <n v="116"/>
    <s v="053850_116"/>
    <s v="Discovery Day"/>
    <s v="Mai valutato"/>
    <m/>
    <n v="202504247924393"/>
    <n v="2343300010453"/>
    <n v="20250424"/>
    <s v="03 - Versamento contante cassa continua "/>
    <m/>
    <m/>
    <s v="A     - Avere"/>
    <n v="181575.3"/>
    <n v="181575.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512"/>
    <x v="7"/>
    <x v="7"/>
    <x v="5"/>
    <n v="53850"/>
    <n v="154"/>
    <s v="053850_154"/>
    <s v="Discovery Day"/>
    <s v="Mai valutato"/>
    <m/>
    <n v="202504247924746"/>
    <m/>
    <n v="20250424"/>
    <s v="F1 - Incasso assegno circolare altro intermediario"/>
    <m/>
    <m/>
    <s v="D     - Dare"/>
    <n v="16000"/>
    <n v="0"/>
    <n v="4837667"/>
    <s v="TRAFRZ65A01G023D"/>
    <s v="AUTUORI FABRIZIO"/>
    <s v="600 - Famiglie consumatrici"/>
    <m/>
    <s v="086 - ITALIA"/>
    <m/>
    <m/>
    <m/>
    <m/>
    <m/>
    <m/>
    <m/>
    <m/>
    <n v="0"/>
    <n v="202504"/>
    <x v="0"/>
    <x v="0"/>
    <x v="1"/>
    <m/>
    <x v="0"/>
    <x v="0"/>
    <s v="999"/>
    <s v="600"/>
    <s v="600999"/>
    <s v="Classe di rischio 7"/>
    <m/>
    <s v="Classe di rischio 7"/>
  </r>
  <r>
    <n v="337511"/>
    <x v="2"/>
    <x v="2"/>
    <x v="5"/>
    <n v="53850"/>
    <n v="149"/>
    <s v="053850_149"/>
    <s v="Discovery Day"/>
    <s v="Mai valutato"/>
    <m/>
    <n v="202504247923480"/>
    <n v="1493300663564"/>
    <n v="20250424"/>
    <s v="AA - Bonifico da e per estero "/>
    <m/>
    <s v="012 - BULGARIA"/>
    <s v="A     - Avere"/>
    <n v="17286"/>
    <n v="0"/>
    <n v="4851736"/>
    <n v="8243781211"/>
    <s v="VITTORIA CAPPELLI SOCIETA' A RESPONSABILITA' LIMITATA SEMPLIFICAT"/>
    <s v="430 - Imprese produttive"/>
    <s v="791 - ATTIVITÀ DELLE AGENZIE DI VIAGGIO E DEI TOUR OPERATOR"/>
    <s v="086 - ITALIA"/>
    <n v="1256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510"/>
    <x v="4"/>
    <x v="4"/>
    <x v="5"/>
    <n v="53850"/>
    <n v="187"/>
    <s v="053850_187"/>
    <s v="Discovery Day"/>
    <s v="Mai valutato"/>
    <m/>
    <n v="202504247922522"/>
    <n v="999361870311"/>
    <n v="20250424"/>
    <s v="26 - Bonifico in partenza 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x v="0"/>
    <x v="0"/>
    <x v="0"/>
    <m/>
    <x v="0"/>
    <x v="0"/>
    <s v="999"/>
    <s v="173"/>
    <s v="173999"/>
    <s v="Classe di rischio 0"/>
    <m/>
    <s v="Classe di rischio 0"/>
  </r>
  <r>
    <n v="337509"/>
    <x v="3"/>
    <x v="3"/>
    <x v="5"/>
    <n v="53850"/>
    <n v="171"/>
    <s v="053850_171"/>
    <s v="Discovery Day"/>
    <s v="Mai valutato"/>
    <m/>
    <s v="Vari (24/04/2025)"/>
    <n v="1713305728950"/>
    <n v="20250424"/>
    <s v="03 - Versamento contante cassa continua "/>
    <m/>
    <m/>
    <s v="A     - Avere"/>
    <n v="515709.15"/>
    <n v="515709.1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508"/>
    <x v="5"/>
    <x v="5"/>
    <x v="5"/>
    <n v="53850"/>
    <n v="174"/>
    <s v="053850_174"/>
    <s v="Discovery Day"/>
    <s v="Mai valutato"/>
    <m/>
    <s v="Vari (24/04/2025)"/>
    <n v="1743302879903"/>
    <n v="20250424"/>
    <s v="VV"/>
    <m/>
    <m/>
    <s v="A     - Avere"/>
    <n v="43275.58"/>
    <n v="41100"/>
    <n v="4928259"/>
    <n v="8287320728"/>
    <s v="MARINGELLI ORTOFRUTTA SOCIETA' A RESPONSABILITA' LIMITATA"/>
    <s v="430 - Imprese produttive"/>
    <s v="463 - COMMERCIO ALL'INGROSSO DI PRODOTTI ALIMENTARI, BEVANDE E PRODOTTI DEL TABACCO"/>
    <s v="086 - ITALIA"/>
    <n v="448"/>
    <m/>
    <m/>
    <m/>
    <m/>
    <m/>
    <m/>
    <m/>
    <n v="0"/>
    <n v="202504"/>
    <x v="0"/>
    <x v="0"/>
    <x v="0"/>
    <n v="4928259"/>
    <x v="1"/>
    <x v="1"/>
    <s v="463"/>
    <s v="430"/>
    <s v="430463"/>
    <s v="Classe di rischio 3"/>
    <m/>
    <s v="Classe di rischio 3"/>
  </r>
  <r>
    <n v="337507"/>
    <x v="2"/>
    <x v="2"/>
    <x v="6"/>
    <n v="53850"/>
    <n v="116"/>
    <s v="053850_116"/>
    <s v="Discovery Day"/>
    <s v="Mai valutato"/>
    <m/>
    <s v="202504236235780L"/>
    <n v="1423300308490"/>
    <n v="20250423"/>
    <s v="AA - Bonifico da e per estero "/>
    <m/>
    <s v="238 - ABU DHABI"/>
    <s v="D     - Dare"/>
    <n v="3150"/>
    <n v="0"/>
    <n v="4793312"/>
    <n v="2314700747"/>
    <s v="HOLLY TOUR S.R.L."/>
    <s v="430 - Imprese produttive"/>
    <s v="791 - ATTIVITÀ DELLE AGENZIE DI VIAGGIO E DEI TOUR OPERATOR"/>
    <s v="086 - ITALIA"/>
    <n v="417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506"/>
    <x v="5"/>
    <x v="5"/>
    <x v="6"/>
    <n v="53850"/>
    <n v="148"/>
    <s v="053850_148"/>
    <s v="Discovery Day"/>
    <s v="Mai valutato"/>
    <m/>
    <n v="202504237921632"/>
    <n v="1483300010620"/>
    <n v="20250423"/>
    <s v="D1 - Versamento di contante "/>
    <m/>
    <m/>
    <s v="A     - Avere"/>
    <n v="21610"/>
    <n v="2161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4"/>
    <x v="1"/>
    <x v="0"/>
    <x v="0"/>
    <n v="4247284"/>
    <x v="1"/>
    <x v="0"/>
    <s v="477"/>
    <s v="615"/>
    <s v="615477"/>
    <s v="Classe di rischio 6"/>
    <m/>
    <s v="Classe di rischio 6"/>
  </r>
  <r>
    <n v="337505"/>
    <x v="4"/>
    <x v="4"/>
    <x v="6"/>
    <n v="53850"/>
    <n v="145"/>
    <s v="053850_145"/>
    <s v="Discovery Day"/>
    <s v="Mai valutato"/>
    <m/>
    <n v="202504237920074"/>
    <n v="1453300002438"/>
    <n v="20250423"/>
    <s v="48 - Bonifico in arrivo "/>
    <m/>
    <s v="086 - ITALIA"/>
    <s v="A     - Avere"/>
    <n v="855151.57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x v="1"/>
    <x v="0"/>
    <x v="0"/>
    <m/>
    <x v="0"/>
    <x v="0"/>
    <s v="421"/>
    <s v="430"/>
    <s v="430421"/>
    <s v="Classe di rischio 3"/>
    <m/>
    <s v="Classe di rischio 3"/>
  </r>
  <r>
    <n v="337504"/>
    <x v="4"/>
    <x v="4"/>
    <x v="6"/>
    <n v="53850"/>
    <n v="109"/>
    <s v="053850_109"/>
    <s v="Discovery Day"/>
    <s v="Mai valutato"/>
    <m/>
    <n v="202504237918846"/>
    <n v="1093306672844"/>
    <n v="20250423"/>
    <s v="26 - Bonifico in partenza "/>
    <m/>
    <s v="086 - ITALIA"/>
    <s v="D     - Dare"/>
    <n v="7000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n v="440311"/>
    <x v="1"/>
    <x v="0"/>
    <s v="451"/>
    <s v="430"/>
    <s v="430451"/>
    <s v="Classe di rischio 3"/>
    <m/>
    <s v="Classe di rischio 3"/>
  </r>
  <r>
    <n v="337503"/>
    <x v="2"/>
    <x v="2"/>
    <x v="6"/>
    <n v="53850"/>
    <n v="128"/>
    <s v="053850_128"/>
    <s v="Discovery Day"/>
    <s v="Mai valutato"/>
    <m/>
    <n v="202504237920557"/>
    <n v="1283300002423"/>
    <n v="20250423"/>
    <s v="AA - Bonifico da e per estero "/>
    <m/>
    <s v="238 - ABU DHABI"/>
    <s v="A     - Avere"/>
    <n v="12310.16"/>
    <n v="0"/>
    <n v="4582492"/>
    <s v="MRTNCL52R05F262F"/>
    <s v="MARTINO NICOLA"/>
    <s v="600 - Famiglie consumatrici"/>
    <m/>
    <s v="086 - ITALIA"/>
    <n v="726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502"/>
    <x v="4"/>
    <x v="4"/>
    <x v="6"/>
    <n v="53850"/>
    <n v="111"/>
    <s v="053850_111"/>
    <s v="Discovery Day"/>
    <s v="Mai valutato"/>
    <m/>
    <n v="202504237921508"/>
    <n v="1113304874720"/>
    <n v="20250423"/>
    <s v="SPECIAL"/>
    <m/>
    <m/>
    <s v="D     - Dare"/>
    <n v="29683.38"/>
    <n v="0"/>
    <n v="487472"/>
    <s v="NTNMHL49S12E326H"/>
    <s v="ANTONICELLI MICHELE"/>
    <s v="600 - Famiglie consumatrici"/>
    <m/>
    <s v="086 - ITALIA"/>
    <n v="593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501"/>
    <x v="5"/>
    <x v="5"/>
    <x v="6"/>
    <n v="53850"/>
    <n v="116"/>
    <s v="053850_116"/>
    <s v="Discovery Day"/>
    <s v="Mai valutato"/>
    <m/>
    <n v="202504237921281"/>
    <n v="2343300010453"/>
    <n v="20250423"/>
    <s v="03 - Versamento contante cassa continua "/>
    <m/>
    <m/>
    <s v="A     - Avere"/>
    <n v="192737.85"/>
    <n v="192737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500"/>
    <x v="4"/>
    <x v="4"/>
    <x v="6"/>
    <n v="53850"/>
    <n v="120"/>
    <s v="053850_120"/>
    <s v="Discovery Day"/>
    <s v="Mai valutato"/>
    <m/>
    <n v="202504237919164"/>
    <n v="1203300002401"/>
    <n v="20250423"/>
    <s v="39 - Disposizione per emolumenti"/>
    <m/>
    <m/>
    <s v="D     - Dare"/>
    <n v="3639390.24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x v="1"/>
    <x v="0"/>
    <x v="0"/>
    <n v="613876"/>
    <x v="1"/>
    <x v="0"/>
    <s v="999"/>
    <s v="500"/>
    <s v="500999"/>
    <m/>
    <s v="1"/>
    <s v="Classe di rischio 3"/>
  </r>
  <r>
    <n v="337499"/>
    <x v="5"/>
    <x v="5"/>
    <x v="6"/>
    <n v="53850"/>
    <n v="102"/>
    <s v="053850_102"/>
    <s v="Discovery Day"/>
    <s v="Mai valutato"/>
    <m/>
    <n v="202504237920856"/>
    <n v="1023308722503"/>
    <n v="20250423"/>
    <s v="03 - Versamento contante cassa continua "/>
    <m/>
    <m/>
    <s v="A     - Avere"/>
    <n v="32400"/>
    <n v="324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37498"/>
    <x v="3"/>
    <x v="3"/>
    <x v="6"/>
    <n v="53850"/>
    <n v="116"/>
    <s v="053850_116"/>
    <s v="Discovery Day"/>
    <s v="Mai valutato"/>
    <m/>
    <n v="202504237921281"/>
    <n v="2343300010453"/>
    <n v="20250423"/>
    <s v="03 - Versamento contante cassa continua "/>
    <m/>
    <m/>
    <s v="A     - Avere"/>
    <n v="192737.85"/>
    <n v="192737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497"/>
    <x v="5"/>
    <x v="5"/>
    <x v="6"/>
    <n v="53850"/>
    <n v="170"/>
    <s v="053850_170"/>
    <s v="Discovery Day"/>
    <s v="Mai valutato"/>
    <m/>
    <s v="Vari (23/04/2025)"/>
    <n v="1703300000472"/>
    <n v="20250423"/>
    <s v="03 - Versamento contante cassa continua "/>
    <m/>
    <m/>
    <s v="A     - Avere"/>
    <n v="37370"/>
    <n v="37370"/>
    <n v="4846015"/>
    <n v="7840200724"/>
    <s v="SELF SERVICE MEAT S.R.L.S."/>
    <s v="430 - Imprese produttive"/>
    <s v="472 - COMMERCIO AL DETTAGLIO DI PRODOTTI ALIMENTARI, BEVANDE E TABACCO IN ESERCIZI SPECIALIZZATI"/>
    <s v="086 - ITALIA"/>
    <n v="1920"/>
    <m/>
    <m/>
    <m/>
    <m/>
    <m/>
    <m/>
    <m/>
    <n v="0"/>
    <n v="202504"/>
    <x v="2"/>
    <x v="1"/>
    <x v="0"/>
    <n v="4846015"/>
    <x v="1"/>
    <x v="0"/>
    <s v="999"/>
    <s v="430"/>
    <s v="430999"/>
    <m/>
    <s v="1"/>
    <s v="Classe di rischio 1"/>
  </r>
  <r>
    <n v="337496"/>
    <x v="7"/>
    <x v="7"/>
    <x v="6"/>
    <n v="53850"/>
    <n v="99"/>
    <s v="053850_99"/>
    <s v="Discovery Day"/>
    <s v="Mai valutato"/>
    <m/>
    <n v="202504237921385"/>
    <m/>
    <n v="20250423"/>
    <s v="SPECIAL"/>
    <m/>
    <m/>
    <s v="D     - Dare"/>
    <n v="66486.850000000006"/>
    <n v="0"/>
    <n v="187762"/>
    <s v="SRRRLB50L45F888O"/>
    <s v="SERRAO ROSALBA"/>
    <s v="600 - Famiglie consumatrici"/>
    <m/>
    <s v="086 - ITALIA"/>
    <n v="1648"/>
    <m/>
    <m/>
    <m/>
    <m/>
    <m/>
    <m/>
    <m/>
    <n v="0"/>
    <n v="202504"/>
    <x v="2"/>
    <x v="1"/>
    <x v="1"/>
    <m/>
    <x v="0"/>
    <x v="1"/>
    <s v="999"/>
    <s v="600"/>
    <s v="600999"/>
    <s v="Classe di rischio 7"/>
    <m/>
    <s v="Classe di rischio 7"/>
  </r>
  <r>
    <n v="337495"/>
    <x v="4"/>
    <x v="4"/>
    <x v="6"/>
    <n v="53850"/>
    <n v="136"/>
    <s v="053850_136"/>
    <s v="Discovery Day"/>
    <s v="Mai valutato"/>
    <m/>
    <n v="202504237920559"/>
    <n v="1363300003325"/>
    <n v="20250423"/>
    <s v="BL - Rimborso finanziamento import"/>
    <m/>
    <m/>
    <s v="D     - Dare"/>
    <n v="22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494"/>
    <x v="3"/>
    <x v="3"/>
    <x v="6"/>
    <n v="53850"/>
    <n v="171"/>
    <s v="053850_171"/>
    <s v="Discovery Day"/>
    <s v="Mai valutato"/>
    <m/>
    <s v="Vari (23/04/2025)"/>
    <n v="1713305728950"/>
    <n v="20250423"/>
    <s v="03 - Versamento contante cassa continua "/>
    <m/>
    <m/>
    <s v="A     - Avere"/>
    <n v="205860"/>
    <n v="20586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493"/>
    <x v="5"/>
    <x v="5"/>
    <x v="6"/>
    <n v="53850"/>
    <n v="264"/>
    <s v="053850_264"/>
    <s v="Discovery Day"/>
    <s v="Mai valutato"/>
    <m/>
    <n v="202504237921820"/>
    <n v="2643300002172"/>
    <n v="20250423"/>
    <s v="D1 - Versamento di contante "/>
    <m/>
    <m/>
    <s v="A     - Avere"/>
    <n v="25000"/>
    <n v="25000"/>
    <n v="1695675"/>
    <s v="CSCGRZ59D56F052C"/>
    <s v="CUSCIANNA GRAZIA"/>
    <s v="615 - Altre famiglie produttrici"/>
    <s v="477 - COMMERCIO AL DETTAGLIO DI ALTRI PRODOTTI IN ESERCIZI SPECIALIZZATI"/>
    <s v="086 - ITALIA"/>
    <n v="1851"/>
    <m/>
    <m/>
    <m/>
    <m/>
    <m/>
    <m/>
    <m/>
    <n v="0"/>
    <n v="202504"/>
    <x v="1"/>
    <x v="0"/>
    <x v="0"/>
    <n v="1695675"/>
    <x v="1"/>
    <x v="0"/>
    <s v="477"/>
    <s v="615"/>
    <s v="615477"/>
    <s v="Classe di rischio 6"/>
    <m/>
    <s v="Classe di rischio 6"/>
  </r>
  <r>
    <n v="337492"/>
    <x v="5"/>
    <x v="5"/>
    <x v="6"/>
    <n v="53850"/>
    <n v="284"/>
    <s v="053850_284"/>
    <s v="Discovery Day"/>
    <s v="Mai valutato"/>
    <m/>
    <s v="Vari (23/04/2025)"/>
    <n v="2843300001336"/>
    <n v="20250423"/>
    <s v="VV"/>
    <m/>
    <m/>
    <s v="A     - Avere"/>
    <n v="55676.17"/>
    <n v="5100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4"/>
    <x v="1"/>
    <x v="0"/>
    <x v="0"/>
    <m/>
    <x v="0"/>
    <x v="1"/>
    <s v="999"/>
    <s v="430"/>
    <s v="430999"/>
    <m/>
    <s v="1"/>
    <s v="Classe di rischio 1"/>
  </r>
  <r>
    <n v="337491"/>
    <x v="3"/>
    <x v="3"/>
    <x v="6"/>
    <n v="53850"/>
    <n v="108"/>
    <s v="053850_108"/>
    <s v="Discovery Day"/>
    <s v="Mai valutato"/>
    <m/>
    <s v="Vari (23/04/2025)"/>
    <n v="1083306291105"/>
    <n v="20250423"/>
    <s v="VV"/>
    <m/>
    <m/>
    <s v="A     - Avere"/>
    <n v="134580.47"/>
    <n v="118883.4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1"/>
    <s v="999"/>
    <s v="430"/>
    <s v="430999"/>
    <m/>
    <s v="1"/>
    <s v="Classe di rischio 1"/>
  </r>
  <r>
    <n v="337490"/>
    <x v="4"/>
    <x v="4"/>
    <x v="6"/>
    <n v="53850"/>
    <n v="132"/>
    <s v="053850_132"/>
    <s v="Discovery Day"/>
    <s v="Mai valutato"/>
    <m/>
    <s v="202504236222374L"/>
    <n v="1323300003316"/>
    <n v="20250423"/>
    <s v="SPECIAL"/>
    <m/>
    <m/>
    <s v="D     - Dare"/>
    <n v="2713.36"/>
    <n v="0"/>
    <n v="4974520"/>
    <s v="SMLGNZ48C13A055Y"/>
    <s v="SMALDINI IGNAZIO"/>
    <s v="600 - Famiglie consumatrici"/>
    <m/>
    <s v="086 - ITALIA"/>
    <n v="1628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489"/>
    <x v="5"/>
    <x v="5"/>
    <x v="6"/>
    <n v="53850"/>
    <n v="189"/>
    <s v="053850_189"/>
    <s v="Discovery Day"/>
    <s v="Mai valutato"/>
    <m/>
    <n v="202504237921758"/>
    <n v="1893300023546"/>
    <n v="20250423"/>
    <s v="D1 - Versamento di contante "/>
    <m/>
    <m/>
    <s v="A     - Avere"/>
    <n v="52440"/>
    <n v="5244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4"/>
    <x v="1"/>
    <x v="0"/>
    <x v="0"/>
    <n v="3064562"/>
    <x v="1"/>
    <x v="0"/>
    <s v="999"/>
    <s v="615"/>
    <s v="615999"/>
    <m/>
    <s v="1"/>
    <s v="Classe di rischio 3"/>
  </r>
  <r>
    <n v="337488"/>
    <x v="6"/>
    <x v="6"/>
    <x v="6"/>
    <n v="53850"/>
    <n v="261"/>
    <s v="053850_261"/>
    <s v="Discovery Day"/>
    <s v="Mai valutato"/>
    <m/>
    <n v="202504237920255"/>
    <n v="2613300000045"/>
    <n v="20250423"/>
    <s v="AA - Bonifico da e per estero "/>
    <m/>
    <s v="071 - SVIZZERA"/>
    <s v="A     - Avere"/>
    <n v="40000"/>
    <n v="0"/>
    <n v="1600482"/>
    <s v="CCCGNN71D02A930C"/>
    <s v="CACCAVELLI GIOVANNI"/>
    <s v="600 - Famiglie consumatrici"/>
    <m/>
    <s v="086 - ITALIA"/>
    <n v="1886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487"/>
    <x v="5"/>
    <x v="5"/>
    <x v="6"/>
    <n v="53850"/>
    <n v="171"/>
    <s v="053850_171"/>
    <s v="Discovery Day"/>
    <s v="Mai valutato"/>
    <m/>
    <s v="Vari (23/04/2025)"/>
    <n v="1713305728950"/>
    <n v="20250423"/>
    <s v="03 - Versamento contante cassa continua "/>
    <m/>
    <m/>
    <s v="A     - Avere"/>
    <n v="205860"/>
    <n v="20586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486"/>
    <x v="3"/>
    <x v="3"/>
    <x v="6"/>
    <n v="53850"/>
    <n v="108"/>
    <s v="053850_108"/>
    <s v="Discovery Day"/>
    <s v="Mai valutato"/>
    <m/>
    <s v="Vari (23/04/2025)"/>
    <n v="1083300011180"/>
    <n v="20250423"/>
    <s v="VV"/>
    <m/>
    <m/>
    <s v="A     - Avere"/>
    <n v="108046.93"/>
    <n v="105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x v="0"/>
    <x v="0"/>
    <x v="0"/>
    <m/>
    <x v="0"/>
    <x v="1"/>
    <s v="999"/>
    <s v="430"/>
    <s v="430999"/>
    <m/>
    <s v="1"/>
    <s v="Classe di rischio 1"/>
  </r>
  <r>
    <n v="337485"/>
    <x v="4"/>
    <x v="4"/>
    <x v="6"/>
    <n v="53850"/>
    <n v="145"/>
    <s v="053850_145"/>
    <s v="Discovery Day"/>
    <s v="Mai valutato"/>
    <m/>
    <n v="202504237920083"/>
    <n v="1453300002438"/>
    <n v="20250423"/>
    <s v="48 - Bonifico in arrivo "/>
    <m/>
    <s v="086 - ITALIA"/>
    <s v="A     - Avere"/>
    <n v="758642.93"/>
    <n v="0"/>
    <n v="4700611"/>
    <n v="2837290614"/>
    <s v="GIOVANNI MALINCONICO SPA IN AMMINISTRAZIONE GIUDIZIARIA"/>
    <s v="430 - Imprese produttive"/>
    <s v="421 - COSTRUZIONE DI STRADE E FERROVIE"/>
    <s v="086 - ITALIA"/>
    <n v="1256"/>
    <m/>
    <m/>
    <m/>
    <m/>
    <m/>
    <m/>
    <m/>
    <n v="0"/>
    <n v="202504"/>
    <x v="1"/>
    <x v="0"/>
    <x v="0"/>
    <m/>
    <x v="0"/>
    <x v="0"/>
    <s v="421"/>
    <s v="430"/>
    <s v="430421"/>
    <s v="Classe di rischio 3"/>
    <m/>
    <s v="Classe di rischio 3"/>
  </r>
  <r>
    <n v="337484"/>
    <x v="3"/>
    <x v="3"/>
    <x v="6"/>
    <n v="53850"/>
    <n v="268"/>
    <s v="053850_268"/>
    <s v="Discovery Day"/>
    <s v="Mai valutato"/>
    <m/>
    <n v="202504237921843"/>
    <n v="2683300010911"/>
    <n v="20250423"/>
    <s v="G1 - Versamento assegni tratti su altro intermediario "/>
    <m/>
    <m/>
    <s v="A     - Avere"/>
    <n v="150500"/>
    <n v="0"/>
    <n v="3743523"/>
    <s v="SRNSRN66M50F537P"/>
    <s v="SORIANO SABRINA"/>
    <s v="600 - Famiglie consumatrici"/>
    <m/>
    <s v="086 - ITALIA"/>
    <n v="1757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483"/>
    <x v="5"/>
    <x v="5"/>
    <x v="6"/>
    <n v="53850"/>
    <n v="268"/>
    <s v="053850_268"/>
    <s v="Discovery Day"/>
    <s v="Mai valutato"/>
    <m/>
    <s v="Vari (23/04/2025)"/>
    <n v="2683300006744"/>
    <n v="20250423"/>
    <s v="03 - Versamento contante cassa continua "/>
    <m/>
    <m/>
    <s v="A     - Avere"/>
    <n v="25090"/>
    <n v="25090"/>
    <n v="1705200"/>
    <s v="DVDFLC64P63F537P"/>
    <s v="DAVID FELICIA"/>
    <s v="615 - Altre famiglie produttrici"/>
    <s v="477 - COMMERCIO AL DETTAGLIO DI ALTRI PRODOTTI IN ESERCIZI SPECIALIZZATI"/>
    <s v="086 - ITALIA"/>
    <n v="1757"/>
    <m/>
    <m/>
    <m/>
    <m/>
    <m/>
    <m/>
    <m/>
    <n v="0"/>
    <n v="202504"/>
    <x v="1"/>
    <x v="0"/>
    <x v="0"/>
    <n v="1705200"/>
    <x v="1"/>
    <x v="0"/>
    <s v="477"/>
    <s v="615"/>
    <s v="615477"/>
    <s v="Classe di rischio 6"/>
    <m/>
    <s v="Classe di rischio 6"/>
  </r>
  <r>
    <n v="337482"/>
    <x v="3"/>
    <x v="3"/>
    <x v="6"/>
    <n v="53850"/>
    <n v="196"/>
    <s v="053850_196"/>
    <s v="Discovery Day"/>
    <s v="Mai valutato"/>
    <m/>
    <n v="202504237921785"/>
    <n v="1963302350399"/>
    <n v="20250423"/>
    <s v="G1 - Versamento assegni tratti su altro intermediario "/>
    <m/>
    <m/>
    <s v="A     - Avere"/>
    <n v="137474.39000000001"/>
    <n v="0"/>
    <n v="4054312"/>
    <s v="LNGNNZ78C13B619K"/>
    <s v="LUONGO NUNZIO"/>
    <s v="615 - Altre famiglie produttrici"/>
    <s v="012 - COLTIVAZIONE DI COLTURE PERMANENTI"/>
    <s v="086 - ITALIA"/>
    <n v="1911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37481"/>
    <x v="3"/>
    <x v="3"/>
    <x v="6"/>
    <n v="53850"/>
    <n v="121"/>
    <s v="053850_121"/>
    <s v="Discovery Day"/>
    <s v="Mai valutato"/>
    <m/>
    <s v="Vari (23/04/2025)"/>
    <n v="1213300002600"/>
    <n v="20250423"/>
    <s v="VV"/>
    <m/>
    <m/>
    <s v="A     - Avere"/>
    <n v="641011.26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x v="3"/>
    <x v="1"/>
    <x v="0"/>
    <m/>
    <x v="0"/>
    <x v="1"/>
    <s v="463"/>
    <s v="430"/>
    <s v="430463"/>
    <s v="Classe di rischio 3"/>
    <m/>
    <s v="Classe di rischio 3"/>
  </r>
  <r>
    <n v="337480"/>
    <x v="2"/>
    <x v="2"/>
    <x v="6"/>
    <n v="53850"/>
    <n v="128"/>
    <s v="053850_128"/>
    <s v="Discovery Day"/>
    <s v="Mai valutato"/>
    <m/>
    <n v="202504237920557"/>
    <n v="1283300002423"/>
    <n v="20250423"/>
    <s v="AA - Bonifico da e per estero "/>
    <m/>
    <s v="238 - ABU DHABI"/>
    <s v="A     - Avere"/>
    <n v="12310.16"/>
    <n v="0"/>
    <n v="4582488"/>
    <s v="MRTMHL85H13F262D"/>
    <s v="MARTINO MICHELE"/>
    <s v="600 - Famiglie consumatrici"/>
    <m/>
    <s v="086 - ITALIA"/>
    <n v="726"/>
    <m/>
    <m/>
    <m/>
    <m/>
    <m/>
    <m/>
    <m/>
    <n v="0"/>
    <n v="202504"/>
    <x v="3"/>
    <x v="1"/>
    <x v="0"/>
    <m/>
    <x v="0"/>
    <x v="0"/>
    <s v="999"/>
    <s v="600"/>
    <s v="600999"/>
    <s v="Classe di rischio 7"/>
    <m/>
    <s v="Classe di rischio 7"/>
  </r>
  <r>
    <n v="337479"/>
    <x v="4"/>
    <x v="4"/>
    <x v="6"/>
    <n v="53850"/>
    <n v="102"/>
    <s v="053850_102"/>
    <s v="Discovery Day"/>
    <s v="Mai valutato"/>
    <m/>
    <n v="202504237921384"/>
    <n v="1023308726498"/>
    <n v="20250423"/>
    <s v="SPECIAL"/>
    <m/>
    <m/>
    <s v="D     - Dare"/>
    <n v="66486.850000000006"/>
    <n v="0"/>
    <n v="187762"/>
    <s v="SRRRLB50L45F888O"/>
    <s v="SERRAO ROSALBA"/>
    <s v="600 - Famiglie consumatrici"/>
    <m/>
    <s v="086 - ITALIA"/>
    <n v="1648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478"/>
    <x v="5"/>
    <x v="5"/>
    <x v="6"/>
    <n v="53850"/>
    <n v="171"/>
    <s v="053850_171"/>
    <s v="Discovery Day"/>
    <s v="Mai valutato"/>
    <m/>
    <s v="Vari (23/04/2025)"/>
    <n v="1713302214147"/>
    <n v="20250423"/>
    <s v="03 - Versamento contante cassa continua "/>
    <m/>
    <m/>
    <s v="A     - Avere"/>
    <n v="39245"/>
    <n v="3924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477"/>
    <x v="4"/>
    <x v="4"/>
    <x v="6"/>
    <n v="53850"/>
    <n v="105"/>
    <s v="053850_105"/>
    <s v="Discovery Day"/>
    <s v="Mai valutato"/>
    <m/>
    <n v="202504237920443"/>
    <n v="1053306287103"/>
    <n v="20250423"/>
    <s v="48 - Bonifico in arrivo "/>
    <m/>
    <s v="086 - ITALIA"/>
    <s v="A     - Avere"/>
    <n v="1572927.5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476"/>
    <x v="2"/>
    <x v="2"/>
    <x v="6"/>
    <n v="53850"/>
    <n v="109"/>
    <s v="053850_109"/>
    <s v="Discovery Day"/>
    <s v="Mai valutato"/>
    <m/>
    <s v="202504236235816L"/>
    <n v="1093306673192"/>
    <n v="20250423"/>
    <s v="AA - Bonifico da e per estero "/>
    <m/>
    <s v="012 - BULGARIA"/>
    <s v="A     - Avere"/>
    <n v="1555.03"/>
    <n v="0"/>
    <n v="4184352"/>
    <s v="CLCCLN73M08C134H"/>
    <s v="COLUCCI CARLO ANTONIO MODESTO"/>
    <s v="615 - Altre famiglie produttrici"/>
    <s v="691 - ATTIVITÀ DEGLI STUDI LEGALI"/>
    <s v="086 - ITALIA"/>
    <n v="1107"/>
    <m/>
    <m/>
    <m/>
    <m/>
    <m/>
    <m/>
    <m/>
    <n v="0"/>
    <n v="202504"/>
    <x v="2"/>
    <x v="1"/>
    <x v="0"/>
    <m/>
    <x v="0"/>
    <x v="0"/>
    <s v="999"/>
    <s v="615"/>
    <s v="615999"/>
    <m/>
    <s v="1"/>
    <s v="Classe di rischio 3"/>
  </r>
  <r>
    <n v="337475"/>
    <x v="4"/>
    <x v="4"/>
    <x v="6"/>
    <n v="53850"/>
    <n v="187"/>
    <s v="053850_187"/>
    <s v="Discovery Day"/>
    <s v="Mai valutato"/>
    <m/>
    <n v="202504237919231"/>
    <n v="999361870311"/>
    <n v="20250423"/>
    <s v="39 - Disposizione per emolumenti"/>
    <m/>
    <m/>
    <s v="D     - Dare"/>
    <n v="1277706.63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x v="0"/>
    <x v="0"/>
    <x v="0"/>
    <m/>
    <x v="0"/>
    <x v="0"/>
    <s v="999"/>
    <s v="173"/>
    <s v="173999"/>
    <s v="Classe di rischio 0"/>
    <m/>
    <s v="Classe di rischio 0"/>
  </r>
  <r>
    <n v="337474"/>
    <x v="2"/>
    <x v="2"/>
    <x v="6"/>
    <n v="53850"/>
    <n v="114"/>
    <s v="053850_114"/>
    <s v="Discovery Day"/>
    <s v="Mai valutato"/>
    <m/>
    <s v="202504236226467L"/>
    <n v="1143300001238"/>
    <n v="20250423"/>
    <s v="AA - Bonifico da e per estero "/>
    <m/>
    <s v="012 - BULGARIA"/>
    <s v="A     - Avere"/>
    <n v="4000"/>
    <n v="0"/>
    <n v="4747564"/>
    <s v="BSSNTN69L21F104K"/>
    <s v="BASSO ANTONIO"/>
    <s v="600 - Famiglie consumatrici"/>
    <m/>
    <s v="086 - ITALIA"/>
    <n v="804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473"/>
    <x v="5"/>
    <x v="5"/>
    <x v="6"/>
    <n v="53850"/>
    <n v="268"/>
    <s v="053850_268"/>
    <s v="Discovery Day"/>
    <s v="Mai valutato"/>
    <m/>
    <n v="202504237921339"/>
    <n v="2683300006671"/>
    <n v="20250423"/>
    <s v="03 - Versamento contante cassa continua "/>
    <m/>
    <m/>
    <s v="A     - Avere"/>
    <n v="28060"/>
    <n v="28060"/>
    <n v="1704716"/>
    <n v="3109600795"/>
    <s v="FARMACIA BUCCARELLI DI BUCCARELLI VINCENZO &amp; C. S.N.C.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4"/>
    <x v="0"/>
    <x v="0"/>
    <x v="0"/>
    <m/>
    <x v="0"/>
    <x v="0"/>
    <s v="477"/>
    <s v="480"/>
    <s v="480477"/>
    <s v="Classe di rischio 5"/>
    <m/>
    <s v="Classe di rischio 5"/>
  </r>
  <r>
    <n v="337472"/>
    <x v="5"/>
    <x v="5"/>
    <x v="6"/>
    <n v="53850"/>
    <n v="108"/>
    <s v="053850_108"/>
    <s v="Discovery Day"/>
    <s v="Mai valutato"/>
    <m/>
    <s v="Vari (23/04/2025)"/>
    <n v="1083306291105"/>
    <n v="20250423"/>
    <s v="VV"/>
    <m/>
    <m/>
    <s v="A     - Avere"/>
    <n v="134580.47"/>
    <n v="118883.4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1"/>
    <s v="999"/>
    <s v="430"/>
    <s v="430999"/>
    <m/>
    <s v="1"/>
    <s v="Classe di rischio 1"/>
  </r>
  <r>
    <n v="337471"/>
    <x v="4"/>
    <x v="4"/>
    <x v="6"/>
    <n v="53850"/>
    <n v="187"/>
    <s v="053850_187"/>
    <s v="Discovery Day"/>
    <s v="Mai valutato"/>
    <m/>
    <s v="202504236234831L"/>
    <n v="1873300109486"/>
    <n v="20250423"/>
    <s v="SPECIAL"/>
    <m/>
    <m/>
    <s v="D     - Dare"/>
    <n v="2276.12"/>
    <n v="0"/>
    <n v="4141023"/>
    <s v="DTTSVN55S44L049F"/>
    <s v="DATTO SILVANA"/>
    <s v="600 - Famiglie consumatrici"/>
    <m/>
    <s v="086 - ITALIA"/>
    <n v="1162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470"/>
    <x v="5"/>
    <x v="5"/>
    <x v="6"/>
    <n v="53850"/>
    <n v="105"/>
    <s v="053850_105"/>
    <s v="Discovery Day"/>
    <s v="Mai valutato"/>
    <m/>
    <s v="Vari (22/04/2025)"/>
    <n v="1053306295097"/>
    <n v="20250422"/>
    <s v="VV"/>
    <m/>
    <m/>
    <s v="A     - Avere"/>
    <n v="64173.440000000002"/>
    <n v="37540"/>
    <n v="3722060"/>
    <n v="6848960727"/>
    <s v="CASEIFICIO SETTE COLLI S.R.L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3722060"/>
    <x v="1"/>
    <x v="1"/>
    <s v="999"/>
    <s v="430"/>
    <s v="430999"/>
    <m/>
    <s v="1"/>
    <s v="Classe di rischio 1"/>
  </r>
  <r>
    <n v="337469"/>
    <x v="5"/>
    <x v="5"/>
    <x v="7"/>
    <n v="53850"/>
    <n v="167"/>
    <s v="053850_167"/>
    <s v="Discovery Day"/>
    <s v="Mai valutato"/>
    <m/>
    <s v="Vari (22/04/2025)"/>
    <n v="1033306967935"/>
    <n v="20250422"/>
    <s v="VV"/>
    <m/>
    <m/>
    <s v="A     - Avere"/>
    <n v="60930.91"/>
    <n v="35800"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4"/>
    <x v="1"/>
    <x v="0"/>
    <x v="0"/>
    <n v="155052"/>
    <x v="1"/>
    <x v="1"/>
    <s v="999"/>
    <s v="430"/>
    <s v="430999"/>
    <m/>
    <s v="1"/>
    <s v="Classe di rischio 1"/>
  </r>
  <r>
    <n v="337468"/>
    <x v="5"/>
    <x v="5"/>
    <x v="7"/>
    <n v="53850"/>
    <n v="102"/>
    <s v="053850_102"/>
    <s v="Discovery Day"/>
    <s v="Mai valutato"/>
    <m/>
    <s v="Vari (22/04/2025)"/>
    <n v="1023308722071"/>
    <n v="20250422"/>
    <s v="VV"/>
    <m/>
    <m/>
    <s v="A     - Avere"/>
    <n v="46380"/>
    <n v="4163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4"/>
    <x v="2"/>
    <x v="1"/>
    <x v="0"/>
    <n v="194802"/>
    <x v="1"/>
    <x v="1"/>
    <s v="477"/>
    <s v="430"/>
    <s v="430477"/>
    <s v="Classe di rischio 3"/>
    <m/>
    <s v="Classe di rischio 3"/>
  </r>
  <r>
    <n v="337467"/>
    <x v="4"/>
    <x v="4"/>
    <x v="7"/>
    <n v="53850"/>
    <n v="129"/>
    <s v="053850_129"/>
    <s v="Discovery Day"/>
    <s v="Mai valutato"/>
    <m/>
    <n v="202504227915901"/>
    <n v="1293300002289"/>
    <n v="20250422"/>
    <s v="48 - Bonifico in arrivo "/>
    <m/>
    <s v="086 - ITALIA"/>
    <s v="A     - Avere"/>
    <n v="1500000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466"/>
    <x v="3"/>
    <x v="3"/>
    <x v="7"/>
    <n v="53850"/>
    <n v="128"/>
    <s v="053850_128"/>
    <s v="Discovery Day"/>
    <s v="Mai valutato"/>
    <m/>
    <s v="Vari (22/04/2025)"/>
    <n v="1093306672844"/>
    <n v="20250422"/>
    <s v="VV"/>
    <m/>
    <m/>
    <s v="A     - Avere"/>
    <n v="90324.160000000003"/>
    <n v="1600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n v="440311"/>
    <x v="1"/>
    <x v="1"/>
    <s v="451"/>
    <s v="430"/>
    <s v="430451"/>
    <s v="Classe di rischio 3"/>
    <m/>
    <s v="Classe di rischio 3"/>
  </r>
  <r>
    <n v="337465"/>
    <x v="5"/>
    <x v="5"/>
    <x v="7"/>
    <n v="53850"/>
    <n v="267"/>
    <s v="053850_267"/>
    <s v="Discovery Day"/>
    <s v="Mai valutato"/>
    <m/>
    <n v="202504227918583"/>
    <n v="2673300003600"/>
    <n v="20250422"/>
    <s v="D1 - Versamento di contante "/>
    <m/>
    <m/>
    <s v="A     - Avere"/>
    <n v="134000"/>
    <n v="134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x v="1"/>
    <x v="0"/>
    <x v="0"/>
    <n v="1705101"/>
    <x v="1"/>
    <x v="0"/>
    <s v="999"/>
    <s v="492"/>
    <s v="492999"/>
    <m/>
    <s v="1"/>
    <s v="Classe di rischio 2"/>
  </r>
  <r>
    <n v="337464"/>
    <x v="4"/>
    <x v="4"/>
    <x v="7"/>
    <n v="53850"/>
    <n v="279"/>
    <s v="053850_279"/>
    <s v="Discovery Day"/>
    <s v="Mai valutato"/>
    <m/>
    <s v="202504226104916L"/>
    <n v="2793300001771"/>
    <n v="20250422"/>
    <s v="SPECIAL"/>
    <m/>
    <m/>
    <s v="D     - Dare"/>
    <n v="2006.41"/>
    <n v="0"/>
    <n v="1693514"/>
    <n v="2688340690"/>
    <s v="DAFE' S.N.C. DI DANILO SALVATORE E C."/>
    <s v="492 - Quasi societa' non finanziarie altre - Unita' o societa' con meno di 20 addetti"/>
    <s v="563 - BAR E ALTRI ESERCIZI SIMILI SENZA CUCINA"/>
    <s v="086 - ITALIA"/>
    <n v="1786"/>
    <m/>
    <m/>
    <m/>
    <m/>
    <m/>
    <m/>
    <m/>
    <n v="0"/>
    <n v="202504"/>
    <x v="0"/>
    <x v="0"/>
    <x v="0"/>
    <m/>
    <x v="0"/>
    <x v="1"/>
    <s v="999"/>
    <s v="492"/>
    <s v="492999"/>
    <m/>
    <s v="1"/>
    <s v="Classe di rischio 2"/>
  </r>
  <r>
    <n v="337463"/>
    <x v="4"/>
    <x v="4"/>
    <x v="7"/>
    <n v="53850"/>
    <n v="117"/>
    <s v="053850_117"/>
    <s v="Discovery Day"/>
    <s v="Mai valutato"/>
    <m/>
    <n v="202504227916745"/>
    <n v="1173300538670"/>
    <n v="20250422"/>
    <s v="48 - Bonifico in arrivo "/>
    <m/>
    <s v="086 - ITALIA"/>
    <s v="A     - Avere"/>
    <n v="349192.69"/>
    <n v="0"/>
    <n v="4645325"/>
    <s v="LNEMST53E59A662Q"/>
    <s v="LEONE MARIA STELLA"/>
    <s v="600 - Famiglie consumatrici"/>
    <m/>
    <s v="086 - ITALIA"/>
    <n v="1772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462"/>
    <x v="3"/>
    <x v="3"/>
    <x v="7"/>
    <n v="53850"/>
    <n v="165"/>
    <s v="053850_165"/>
    <s v="Discovery Day"/>
    <s v="Mai valutato"/>
    <m/>
    <n v="202504227918373"/>
    <n v="1653300628564"/>
    <n v="20250422"/>
    <s v="G1 - Versamento assegni tratti su altro intermediario "/>
    <m/>
    <m/>
    <s v="A     - Avere"/>
    <n v="236000"/>
    <n v="0"/>
    <n v="4798342"/>
    <n v="2195870718"/>
    <s v="MASTROPASQUA INTERNATIONAL - S.P.A."/>
    <s v="430 - Imprese produttive"/>
    <s v="011 - COLTIVAZIONE DI COLTURE AGRICOLE NON PERMANENTI"/>
    <s v="086 - ITALIA"/>
    <n v="870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461"/>
    <x v="2"/>
    <x v="2"/>
    <x v="7"/>
    <n v="53850"/>
    <n v="270"/>
    <s v="053850_270"/>
    <s v="Discovery Day"/>
    <s v="Mai valutato"/>
    <m/>
    <n v="202504227917030"/>
    <n v="2703300010883"/>
    <n v="20250422"/>
    <s v="AA - Bonifico da e per estero "/>
    <m/>
    <s v="262 - RUSSIA (FEDERAZIONE DI)"/>
    <s v="A     - Avere"/>
    <n v="5000.01"/>
    <n v="0"/>
    <n v="3741718"/>
    <n v="2347470680"/>
    <s v="BEPINK SRLS"/>
    <s v="430 - Imprese produttive"/>
    <s v="479 - COMMERCIO AL DETTAGLIO AL DI FUORI DI NEGOZI, BANCHI E MERCATI"/>
    <s v="086 - ITALIA"/>
    <n v="1560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460"/>
    <x v="4"/>
    <x v="4"/>
    <x v="7"/>
    <n v="53850"/>
    <n v="103"/>
    <s v="053850_103"/>
    <s v="Discovery Day"/>
    <s v="Mai valutato"/>
    <m/>
    <n v="202504227918100"/>
    <n v="1033306974008"/>
    <n v="20250422"/>
    <s v="SPECIAL"/>
    <m/>
    <m/>
    <s v="D     - Dare"/>
    <n v="7562.53"/>
    <n v="0"/>
    <n v="4562541"/>
    <s v="GFFFNC86M23A662I"/>
    <s v="GOFFREDO FRANCESCO"/>
    <s v="600 - Famiglie consumatrici"/>
    <m/>
    <s v="086 - ITALIA"/>
    <n v="1099"/>
    <m/>
    <m/>
    <m/>
    <m/>
    <m/>
    <m/>
    <m/>
    <n v="0"/>
    <n v="202504"/>
    <x v="4"/>
    <x v="1"/>
    <x v="0"/>
    <m/>
    <x v="0"/>
    <x v="1"/>
    <s v="999"/>
    <s v="600"/>
    <s v="600999"/>
    <s v="Classe di rischio 7"/>
    <m/>
    <s v="Classe di rischio 7"/>
  </r>
  <r>
    <n v="337459"/>
    <x v="5"/>
    <x v="5"/>
    <x v="7"/>
    <n v="53850"/>
    <n v="114"/>
    <s v="053850_114"/>
    <s v="Discovery Day"/>
    <s v="Mai valutato"/>
    <m/>
    <s v="Vari (22/04/2025)"/>
    <n v="1143306280621"/>
    <n v="20250422"/>
    <s v="D1 - Versamento di contante "/>
    <m/>
    <m/>
    <s v="A     - Avere"/>
    <n v="61530"/>
    <n v="6153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458"/>
    <x v="5"/>
    <x v="5"/>
    <x v="7"/>
    <n v="53850"/>
    <n v="182"/>
    <s v="053850_182"/>
    <s v="Discovery Day"/>
    <s v="Mai valutato"/>
    <m/>
    <s v="Vari (22/04/2025)"/>
    <n v="1873300105200"/>
    <n v="20250422"/>
    <s v="VV"/>
    <m/>
    <m/>
    <s v="A     - Avere"/>
    <n v="35051.42"/>
    <n v="31520"/>
    <n v="4158777"/>
    <n v="2370460731"/>
    <s v="P.G.S. CATERING &amp; SERVICE S.R.L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x v="1"/>
    <x v="0"/>
    <x v="0"/>
    <n v="4158777"/>
    <x v="1"/>
    <x v="1"/>
    <s v="463"/>
    <s v="430"/>
    <s v="430463"/>
    <s v="Classe di rischio 3"/>
    <m/>
    <s v="Classe di rischio 3"/>
  </r>
  <r>
    <n v="337457"/>
    <x v="3"/>
    <x v="3"/>
    <x v="7"/>
    <n v="53850"/>
    <n v="114"/>
    <s v="053850_114"/>
    <s v="Discovery Day"/>
    <s v="Mai valutato"/>
    <m/>
    <s v="Vari (22/04/2025)"/>
    <n v="1143306280621"/>
    <n v="20250422"/>
    <s v="D1 - Versamento di contante "/>
    <m/>
    <m/>
    <s v="A     - Avere"/>
    <n v="61530"/>
    <n v="6153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456"/>
    <x v="4"/>
    <x v="4"/>
    <x v="7"/>
    <n v="53850"/>
    <n v="117"/>
    <s v="053850_117"/>
    <s v="Discovery Day"/>
    <s v="Mai valutato"/>
    <m/>
    <n v="202504227916745"/>
    <n v="1173300538670"/>
    <n v="20250422"/>
    <s v="48 - Bonifico in arrivo "/>
    <m/>
    <s v="086 - ITALIA"/>
    <s v="A     - Avere"/>
    <n v="349192.6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455"/>
    <x v="3"/>
    <x v="3"/>
    <x v="7"/>
    <n v="53850"/>
    <n v="121"/>
    <s v="053850_121"/>
    <s v="Discovery Day"/>
    <s v="Mai valutato"/>
    <m/>
    <n v="202504227918223"/>
    <n v="1733300001396"/>
    <n v="20250422"/>
    <s v="G7 - Versamento assegno circolare altro intermediario "/>
    <m/>
    <m/>
    <s v="A     - Avere"/>
    <n v="227000"/>
    <n v="0"/>
    <n v="4287458"/>
    <s v="MNLCML82L66H643P"/>
    <s v="MENELAO CARMELA"/>
    <s v="600 - Famiglie consumatrici"/>
    <m/>
    <s v="086 - ITALIA"/>
    <n v="1530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454"/>
    <x v="4"/>
    <x v="4"/>
    <x v="7"/>
    <n v="53850"/>
    <n v="279"/>
    <s v="053850_279"/>
    <s v="Discovery Day"/>
    <s v="Mai valutato"/>
    <m/>
    <n v="202504227918653"/>
    <n v="2793300000731"/>
    <n v="20250422"/>
    <s v="SPECIAL"/>
    <m/>
    <m/>
    <s v="D     - Dare"/>
    <n v="8882.2099999999991"/>
    <n v="0"/>
    <n v="1668170"/>
    <s v="CRIGNN35L70G290V"/>
    <s v="CIERI GIOVANNA ANTONIETTA"/>
    <s v="600 - Famiglie consumatrici"/>
    <m/>
    <s v="086 - ITALIA"/>
    <n v="1821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453"/>
    <x v="7"/>
    <x v="7"/>
    <x v="7"/>
    <n v="53850"/>
    <n v="99"/>
    <s v="053850_99"/>
    <s v="Discovery Day"/>
    <s v="Mai valutato"/>
    <m/>
    <n v="202504227918060"/>
    <m/>
    <n v="20250422"/>
    <s v="SPECIAL"/>
    <m/>
    <m/>
    <s v="D     - Dare"/>
    <n v="11241.66"/>
    <n v="0"/>
    <n v="4034244"/>
    <s v="BSLTZN76S52H096Y"/>
    <s v="BASILE TIZIANA"/>
    <s v="600 - Famiglie consumatrici"/>
    <m/>
    <s v="086 - ITALIA"/>
    <n v="451"/>
    <m/>
    <m/>
    <m/>
    <m/>
    <m/>
    <m/>
    <m/>
    <n v="0"/>
    <n v="202504"/>
    <x v="2"/>
    <x v="1"/>
    <x v="1"/>
    <m/>
    <x v="0"/>
    <x v="1"/>
    <s v="999"/>
    <s v="600"/>
    <s v="600999"/>
    <s v="Classe di rischio 7"/>
    <m/>
    <s v="Classe di rischio 7"/>
  </r>
  <r>
    <n v="337452"/>
    <x v="5"/>
    <x v="5"/>
    <x v="7"/>
    <n v="53850"/>
    <n v="182"/>
    <s v="053850_182"/>
    <s v="Discovery Day"/>
    <s v="Mai valutato"/>
    <m/>
    <n v="202504227917765"/>
    <n v="1823300169301"/>
    <n v="20250422"/>
    <s v="03 - Versamento contante cassa continua "/>
    <m/>
    <m/>
    <s v="A     - Avere"/>
    <n v="21090"/>
    <n v="2109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x v="1"/>
    <x v="0"/>
    <x v="0"/>
    <n v="4284957"/>
    <x v="1"/>
    <x v="0"/>
    <s v="920"/>
    <s v="615"/>
    <s v="615920"/>
    <s v="Classe di rischio 6"/>
    <m/>
    <s v="Classe di rischio 6"/>
  </r>
  <r>
    <n v="337451"/>
    <x v="4"/>
    <x v="4"/>
    <x v="7"/>
    <n v="53850"/>
    <n v="167"/>
    <s v="053850_167"/>
    <s v="Discovery Day"/>
    <s v="Mai valutato"/>
    <m/>
    <n v="202504227918059"/>
    <n v="1673300000962"/>
    <n v="20250422"/>
    <s v="SPECIAL"/>
    <m/>
    <m/>
    <s v="D     - Dare"/>
    <n v="11241.66"/>
    <n v="0"/>
    <n v="4755229"/>
    <s v="PRRGLC73P05F052O"/>
    <s v="PERRONE GIANLUCA"/>
    <s v="600 - Famiglie consumatrici"/>
    <m/>
    <s v="086 - ITALIA"/>
    <n v="451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450"/>
    <x v="3"/>
    <x v="3"/>
    <x v="7"/>
    <n v="53850"/>
    <n v="182"/>
    <s v="053850_182"/>
    <s v="Discovery Day"/>
    <s v="Mai valutato"/>
    <m/>
    <n v="202504227918470"/>
    <n v="1823300174370"/>
    <n v="20250422"/>
    <s v="G7 - Versamento assegno circolare altro intermediario "/>
    <m/>
    <m/>
    <s v="A     - Avere"/>
    <n v="300000"/>
    <n v="0"/>
    <n v="4981499"/>
    <n v="80221830583"/>
    <s v="IMMOBILIARE PATRIZIA S.R.L."/>
    <s v="430 - Imprese produttive"/>
    <s v="682 - AFFITTO E GESTIONE DI IMMOBILI DI PROPRIETÀ O IN LEASING "/>
    <s v="086 - ITALIA"/>
    <n v="1101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449"/>
    <x v="3"/>
    <x v="3"/>
    <x v="7"/>
    <n v="53850"/>
    <n v="102"/>
    <s v="053850_102"/>
    <s v="Discovery Day"/>
    <s v="Mai valutato"/>
    <m/>
    <s v="Vari (22/04/2025)"/>
    <n v="1023300660520"/>
    <n v="20250422"/>
    <s v="VV"/>
    <m/>
    <m/>
    <s v="A     - Avere"/>
    <n v="193321.85"/>
    <n v="4977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x v="4"/>
    <x v="1"/>
    <x v="0"/>
    <n v="66052"/>
    <x v="1"/>
    <x v="1"/>
    <s v="999"/>
    <s v="430"/>
    <s v="430999"/>
    <m/>
    <s v="1"/>
    <s v="Classe di rischio 1"/>
  </r>
  <r>
    <n v="337448"/>
    <x v="4"/>
    <x v="4"/>
    <x v="7"/>
    <n v="53850"/>
    <n v="187"/>
    <s v="053850_187"/>
    <s v="Discovery Day"/>
    <s v="Mai valutato"/>
    <m/>
    <n v="202504227915242"/>
    <n v="999361870311"/>
    <n v="20250422"/>
    <s v="26 - Bonifico in partenza "/>
    <m/>
    <s v="086 - ITALIA"/>
    <s v="D     - Dare"/>
    <n v="2852357.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x v="0"/>
    <x v="0"/>
    <x v="0"/>
    <m/>
    <x v="0"/>
    <x v="0"/>
    <s v="999"/>
    <s v="173"/>
    <s v="173999"/>
    <s v="Classe di rischio 0"/>
    <m/>
    <s v="Classe di rischio 0"/>
  </r>
  <r>
    <n v="337447"/>
    <x v="5"/>
    <x v="5"/>
    <x v="7"/>
    <n v="53850"/>
    <n v="104"/>
    <s v="053850_104"/>
    <s v="Discovery Day"/>
    <s v="Mai valutato"/>
    <m/>
    <s v="Vari (22/04/2025)"/>
    <n v="1043305922900"/>
    <n v="20250422"/>
    <s v="VV"/>
    <m/>
    <m/>
    <s v="A     - Avere"/>
    <n v="36212.660000000003"/>
    <n v="3355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4"/>
    <x v="1"/>
    <x v="0"/>
    <x v="0"/>
    <n v="592290"/>
    <x v="1"/>
    <x v="1"/>
    <s v="999"/>
    <s v="615"/>
    <s v="615999"/>
    <m/>
    <s v="1"/>
    <s v="Classe di rischio 3"/>
  </r>
  <r>
    <n v="337446"/>
    <x v="6"/>
    <x v="6"/>
    <x v="7"/>
    <n v="53850"/>
    <n v="122"/>
    <s v="053850_122"/>
    <s v="Discovery Day"/>
    <s v="Mai valutato"/>
    <m/>
    <n v="202504227915508"/>
    <n v="1223300001682"/>
    <n v="20250422"/>
    <s v="AA - Bonifico da e per estero "/>
    <m/>
    <s v="071 - SVIZZERA"/>
    <s v="D     - Dare"/>
    <n v="35057.5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37445"/>
    <x v="3"/>
    <x v="3"/>
    <x v="7"/>
    <n v="53850"/>
    <n v="121"/>
    <s v="053850_121"/>
    <s v="Discovery Day"/>
    <s v="Mai valutato"/>
    <m/>
    <n v="202504227918223"/>
    <n v="1733300001396"/>
    <n v="20250422"/>
    <s v="G7 - Versamento assegno circolare altro intermediario "/>
    <m/>
    <m/>
    <s v="A     - Avere"/>
    <n v="227000"/>
    <n v="0"/>
    <n v="4144053"/>
    <s v="DDIFNC80A27Z112W"/>
    <s v="DIDIO FRANCESCO"/>
    <s v="615 - Altre famiglie produttrici"/>
    <s v="012 - COLTIVAZIONE DI COLTURE PERMANENTI"/>
    <s v="086 - ITALIA"/>
    <n v="1530"/>
    <m/>
    <m/>
    <m/>
    <m/>
    <m/>
    <m/>
    <m/>
    <n v="0"/>
    <n v="202504"/>
    <x v="0"/>
    <x v="0"/>
    <x v="0"/>
    <m/>
    <x v="0"/>
    <x v="0"/>
    <s v="999"/>
    <s v="615"/>
    <s v="615999"/>
    <m/>
    <s v="1"/>
    <s v="Classe di rischio 3"/>
  </r>
  <r>
    <n v="337444"/>
    <x v="2"/>
    <x v="2"/>
    <x v="7"/>
    <n v="53850"/>
    <n v="270"/>
    <s v="053850_270"/>
    <s v="Discovery Day"/>
    <s v="Mai valutato"/>
    <m/>
    <n v="202504227917031"/>
    <n v="2703300010883"/>
    <n v="20250422"/>
    <s v="AA - Bonifico da e per estero "/>
    <m/>
    <s v="262 - RUSSIA (FEDERAZIONE DI)"/>
    <s v="A     - Avere"/>
    <n v="5000.01"/>
    <n v="0"/>
    <n v="3741718"/>
    <n v="2347470680"/>
    <s v="BEPINK SRLS"/>
    <s v="430 - Imprese produttive"/>
    <s v="479 - COMMERCIO AL DETTAGLIO AL DI FUORI DI NEGOZI, BANCHI E MERCATI"/>
    <s v="086 - ITALIA"/>
    <n v="1560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443"/>
    <x v="4"/>
    <x v="4"/>
    <x v="7"/>
    <n v="53850"/>
    <n v="137"/>
    <s v="053850_137"/>
    <s v="Discovery Day"/>
    <s v="Mai valutato"/>
    <m/>
    <n v="202504227916919"/>
    <n v="1373304102457"/>
    <n v="20250422"/>
    <s v="48 - Bonifico in arrivo "/>
    <m/>
    <s v="086 - ITALIA"/>
    <s v="A     - Avere"/>
    <n v="390167.62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442"/>
    <x v="4"/>
    <x v="4"/>
    <x v="7"/>
    <n v="53850"/>
    <n v="168"/>
    <s v="053850_168"/>
    <s v="Discovery Day"/>
    <s v="Mai valutato"/>
    <m/>
    <n v="202504227918393"/>
    <n v="1683306276775"/>
    <n v="20250422"/>
    <s v="SPECIAL"/>
    <m/>
    <m/>
    <s v="D     - Dare"/>
    <n v="50379.92"/>
    <n v="0"/>
    <n v="105145"/>
    <s v="NCSGPP38S28C351Q"/>
    <s v="NICASTRO GIUSEPPE"/>
    <s v="600 - Famiglie consumatrici"/>
    <m/>
    <s v="086 - ITALIA"/>
    <n v="1316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441"/>
    <x v="2"/>
    <x v="2"/>
    <x v="7"/>
    <n v="53850"/>
    <n v="226"/>
    <s v="053850_226"/>
    <s v="Discovery Day"/>
    <s v="Mai valutato"/>
    <m/>
    <n v="202504227916558"/>
    <n v="1163307619285"/>
    <n v="20250422"/>
    <s v="AA - Bonifico da e per estero "/>
    <m/>
    <s v="012 - BULGARIA"/>
    <s v="A     - Avere"/>
    <n v="13000"/>
    <n v="0"/>
    <n v="4709685"/>
    <n v="6911480728"/>
    <s v="BELLUCCI S.A.S DI TUFARELLI MARIA PATRIZIA &amp; C."/>
    <s v="482 - Quasi societa' non finanziarie artigiane - Unita' o societa' con meno di 20 addetti"/>
    <s v="292 - FABBRICAZIONE DI CARROZZERIE PER AUTOVEICOLI, RIMORCHI E SEMIRIMORCHI"/>
    <s v="086 - ITALIA"/>
    <n v="1932"/>
    <m/>
    <m/>
    <m/>
    <m/>
    <m/>
    <m/>
    <m/>
    <n v="0"/>
    <n v="202504"/>
    <x v="3"/>
    <x v="1"/>
    <x v="0"/>
    <m/>
    <x v="0"/>
    <x v="0"/>
    <s v="999"/>
    <s v="482"/>
    <s v="482999"/>
    <m/>
    <s v="1"/>
    <s v="Classe di rischio 2"/>
  </r>
  <r>
    <n v="337440"/>
    <x v="4"/>
    <x v="4"/>
    <x v="7"/>
    <n v="53850"/>
    <n v="168"/>
    <s v="053850_168"/>
    <s v="Discovery Day"/>
    <s v="Mai valutato"/>
    <m/>
    <n v="202504227918393"/>
    <n v="1683306276775"/>
    <n v="20250422"/>
    <s v="SPECIAL"/>
    <m/>
    <m/>
    <s v="D     - Dare"/>
    <n v="50379.92"/>
    <n v="0"/>
    <n v="4874375"/>
    <s v="CCCLNE34M58I330P"/>
    <s v="CECCA ELENA"/>
    <s v="600 - Famiglie consumatrici"/>
    <m/>
    <s v="086 - ITALIA"/>
    <n v="1316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439"/>
    <x v="5"/>
    <x v="5"/>
    <x v="7"/>
    <n v="53850"/>
    <n v="161"/>
    <s v="053850_161"/>
    <s v="Discovery Day"/>
    <s v="Mai valutato"/>
    <m/>
    <s v="Vari (22/04/2025)"/>
    <n v="1613300031333"/>
    <n v="20250422"/>
    <s v="VV"/>
    <m/>
    <m/>
    <s v="A     - Avere"/>
    <n v="35402.15"/>
    <n v="3177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4"/>
    <x v="1"/>
    <x v="0"/>
    <x v="0"/>
    <n v="511904"/>
    <x v="1"/>
    <x v="1"/>
    <s v="999"/>
    <s v="615"/>
    <s v="615999"/>
    <m/>
    <s v="1"/>
    <s v="Classe di rischio 3"/>
  </r>
  <r>
    <n v="337438"/>
    <x v="3"/>
    <x v="3"/>
    <x v="7"/>
    <n v="53850"/>
    <n v="128"/>
    <s v="053850_128"/>
    <s v="Discovery Day"/>
    <s v="Mai valutato"/>
    <m/>
    <s v="Vari (22/04/2025)"/>
    <n v="1283300001665"/>
    <n v="20250422"/>
    <s v="VV"/>
    <m/>
    <m/>
    <s v="A     - Avere"/>
    <n v="162810.71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4"/>
    <x v="1"/>
    <x v="0"/>
    <x v="0"/>
    <m/>
    <x v="0"/>
    <x v="1"/>
    <s v="999"/>
    <s v="430"/>
    <s v="430999"/>
    <m/>
    <s v="1"/>
    <s v="Classe di rischio 1"/>
  </r>
  <r>
    <n v="337437"/>
    <x v="5"/>
    <x v="5"/>
    <x v="7"/>
    <n v="53850"/>
    <n v="102"/>
    <s v="053850_102"/>
    <s v="Discovery Day"/>
    <s v="Mai valutato"/>
    <m/>
    <s v="Vari (22/04/2025)"/>
    <n v="1023308720537"/>
    <n v="20250422"/>
    <s v="03 - Versamento contante cassa continua "/>
    <m/>
    <m/>
    <s v="A     - Avere"/>
    <n v="61360"/>
    <n v="6136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4"/>
    <x v="0"/>
    <x v="0"/>
    <x v="0"/>
    <n v="4653840"/>
    <x v="1"/>
    <x v="0"/>
    <s v="999"/>
    <s v="430"/>
    <s v="430999"/>
    <m/>
    <s v="1"/>
    <s v="Classe di rischio 1"/>
  </r>
  <r>
    <n v="337436"/>
    <x v="4"/>
    <x v="4"/>
    <x v="7"/>
    <n v="53850"/>
    <n v="169"/>
    <s v="053850_169"/>
    <s v="Discovery Day"/>
    <s v="Mai valutato"/>
    <m/>
    <n v="202504227918396"/>
    <n v="1693302223267"/>
    <n v="20250422"/>
    <s v="26 - Bonifico in partenza "/>
    <m/>
    <s v="086 - ITALIA"/>
    <s v="D     - Dare"/>
    <n v="250000"/>
    <n v="0"/>
    <n v="4254594"/>
    <s v="BLGSMR51D55A883W"/>
    <s v="BELGIOVINE ISA MARIA"/>
    <s v="600 - Famiglie consumatrici"/>
    <m/>
    <s v="086 - ITALIA"/>
    <n v="1352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435"/>
    <x v="3"/>
    <x v="3"/>
    <x v="7"/>
    <n v="53850"/>
    <n v="267"/>
    <s v="053850_267"/>
    <s v="Discovery Day"/>
    <s v="Mai valutato"/>
    <m/>
    <n v="202504227918583"/>
    <n v="2673300003600"/>
    <n v="20250422"/>
    <s v="D1 - Versamento di contante "/>
    <m/>
    <m/>
    <s v="A     - Avere"/>
    <n v="134000"/>
    <n v="134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x v="1"/>
    <x v="0"/>
    <x v="0"/>
    <n v="1705101"/>
    <x v="1"/>
    <x v="0"/>
    <s v="999"/>
    <s v="492"/>
    <s v="492999"/>
    <m/>
    <s v="1"/>
    <s v="Classe di rischio 2"/>
  </r>
  <r>
    <n v="337434"/>
    <x v="4"/>
    <x v="4"/>
    <x v="7"/>
    <n v="53850"/>
    <n v="109"/>
    <s v="053850_109"/>
    <s v="Discovery Day"/>
    <s v="Mai valutato"/>
    <m/>
    <n v="202504227917396"/>
    <n v="1093306677156"/>
    <n v="20250422"/>
    <s v="13 - Addebito per estinzione assegno"/>
    <m/>
    <m/>
    <s v="D     - Dare"/>
    <n v="250000"/>
    <n v="0"/>
    <n v="455840"/>
    <s v="SVNPLA75A53A662D"/>
    <s v="SAVINO PAOLA"/>
    <s v="600 - Famiglie consumatrici"/>
    <m/>
    <s v="086 - ITALIA"/>
    <n v="507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433"/>
    <x v="4"/>
    <x v="4"/>
    <x v="7"/>
    <n v="53850"/>
    <n v="169"/>
    <s v="053850_169"/>
    <s v="Discovery Day"/>
    <s v="Mai valutato"/>
    <m/>
    <n v="202504227918396"/>
    <n v="1693302223267"/>
    <n v="20250422"/>
    <s v="26 - Bonifico in partenza "/>
    <m/>
    <s v="086 - ITALIA"/>
    <s v="D     - Dare"/>
    <n v="250000"/>
    <n v="0"/>
    <n v="4254593"/>
    <s v="SCHLDM48E30A883V"/>
    <s v="SCHIRALLI LUIGI DOMENICO VITO"/>
    <s v="600 - Famiglie consumatrici"/>
    <m/>
    <s v="086 - ITALIA"/>
    <n v="1352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432"/>
    <x v="5"/>
    <x v="5"/>
    <x v="7"/>
    <n v="53850"/>
    <n v="175"/>
    <s v="053850_175"/>
    <s v="Discovery Day"/>
    <s v="Mai valutato"/>
    <m/>
    <s v="Vari (22/04/2025)"/>
    <n v="1753302203965"/>
    <n v="20250422"/>
    <s v="03 - Versamento contante cassa continua "/>
    <m/>
    <m/>
    <s v="A     - Avere"/>
    <n v="30690"/>
    <n v="30690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4"/>
    <x v="1"/>
    <x v="0"/>
    <x v="0"/>
    <n v="4932268"/>
    <x v="1"/>
    <x v="0"/>
    <s v="920"/>
    <s v="430"/>
    <s v="430920"/>
    <s v="Classe di rischio 4"/>
    <m/>
    <s v="Classe di rischio 4"/>
  </r>
  <r>
    <n v="337431"/>
    <x v="5"/>
    <x v="5"/>
    <x v="7"/>
    <n v="53850"/>
    <n v="102"/>
    <s v="053850_102"/>
    <s v="Discovery Day"/>
    <s v="Mai valutato"/>
    <m/>
    <s v="Vari (22/04/2025)"/>
    <n v="1023300660520"/>
    <n v="20250422"/>
    <s v="VV"/>
    <m/>
    <m/>
    <s v="A     - Avere"/>
    <n v="193321.85"/>
    <n v="4977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x v="4"/>
    <x v="1"/>
    <x v="0"/>
    <n v="66052"/>
    <x v="1"/>
    <x v="1"/>
    <s v="999"/>
    <s v="430"/>
    <s v="430999"/>
    <m/>
    <s v="1"/>
    <s v="Classe di rischio 1"/>
  </r>
  <r>
    <n v="337430"/>
    <x v="4"/>
    <x v="4"/>
    <x v="7"/>
    <n v="53850"/>
    <n v="279"/>
    <s v="053850_279"/>
    <s v="Discovery Day"/>
    <s v="Mai valutato"/>
    <m/>
    <n v="202504227918653"/>
    <n v="2793300000731"/>
    <n v="20250422"/>
    <s v="SPECIAL"/>
    <m/>
    <m/>
    <s v="D     - Dare"/>
    <n v="8882.2099999999991"/>
    <n v="0"/>
    <n v="1668422"/>
    <s v="CNTNMR60S42G290H"/>
    <s v="CONTE ANITA MARIA"/>
    <s v="600 - Famiglie consumatrici"/>
    <m/>
    <s v="086 - ITALIA"/>
    <m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429"/>
    <x v="2"/>
    <x v="2"/>
    <x v="7"/>
    <n v="53850"/>
    <n v="105"/>
    <s v="053850_105"/>
    <s v="Discovery Day"/>
    <s v="Mai valutato"/>
    <m/>
    <n v="202504227917018"/>
    <n v="1053306286871"/>
    <n v="20250422"/>
    <s v="AA - Bonifico da e per estero "/>
    <m/>
    <s v="238 - ABU DHABI"/>
    <s v="A     - Avere"/>
    <n v="5642.5"/>
    <n v="0"/>
    <n v="4269425"/>
    <n v="4938290725"/>
    <s v="SAN DOMENICO S.N.C. DI FILIPPO MANCINO &amp; C."/>
    <s v="482 - Quasi societa' non finanziarie artigiane - Unita' o societa' con meno di 20 addetti"/>
    <s v="104 - PRODUZIONE DI OLI E GRASSI VEGETALI E ANIMALI"/>
    <s v="086 - ITALIA"/>
    <n v="1947"/>
    <m/>
    <m/>
    <m/>
    <m/>
    <m/>
    <m/>
    <m/>
    <n v="0"/>
    <n v="202504"/>
    <x v="4"/>
    <x v="1"/>
    <x v="0"/>
    <m/>
    <x v="0"/>
    <x v="0"/>
    <s v="999"/>
    <s v="482"/>
    <s v="482999"/>
    <m/>
    <s v="1"/>
    <s v="Classe di rischio 2"/>
  </r>
  <r>
    <n v="337428"/>
    <x v="7"/>
    <x v="7"/>
    <x v="7"/>
    <n v="53850"/>
    <n v="99"/>
    <s v="053850_99"/>
    <s v="Discovery Day"/>
    <s v="Mai valutato"/>
    <m/>
    <n v="202504227918060"/>
    <m/>
    <n v="20250422"/>
    <s v="SPECIAL"/>
    <m/>
    <m/>
    <s v="D     - Dare"/>
    <n v="11241.66"/>
    <n v="0"/>
    <n v="4755229"/>
    <s v="PRRGLC73P05F052O"/>
    <s v="PERRONE GIANLUCA"/>
    <s v="600 - Famiglie consumatrici"/>
    <m/>
    <s v="086 - ITALIA"/>
    <n v="451"/>
    <m/>
    <m/>
    <m/>
    <m/>
    <m/>
    <m/>
    <m/>
    <n v="0"/>
    <n v="202504"/>
    <x v="2"/>
    <x v="1"/>
    <x v="1"/>
    <m/>
    <x v="0"/>
    <x v="1"/>
    <s v="999"/>
    <s v="600"/>
    <s v="600999"/>
    <s v="Classe di rischio 7"/>
    <m/>
    <s v="Classe di rischio 7"/>
  </r>
  <r>
    <n v="337427"/>
    <x v="4"/>
    <x v="4"/>
    <x v="7"/>
    <n v="53850"/>
    <n v="102"/>
    <s v="053850_102"/>
    <s v="Discovery Day"/>
    <s v="Mai valutato"/>
    <m/>
    <n v="202504227915512"/>
    <n v="1023308727913"/>
    <n v="20250422"/>
    <s v="AF - Disp.giro conti diversi intestati ordinante(stesso intermed.)"/>
    <m/>
    <s v="086 - ITALIA"/>
    <s v="D     - Dare"/>
    <n v="25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x v="1"/>
    <x v="0"/>
    <x v="0"/>
    <m/>
    <x v="0"/>
    <x v="0"/>
    <s v="412"/>
    <s v="430"/>
    <s v="430412"/>
    <s v="Classe di rischio 3"/>
    <m/>
    <s v="Classe di rischio 3"/>
  </r>
  <r>
    <n v="337426"/>
    <x v="2"/>
    <x v="2"/>
    <x v="7"/>
    <n v="53850"/>
    <n v="187"/>
    <s v="053850_187"/>
    <s v="Discovery Day"/>
    <s v="Mai valutato"/>
    <m/>
    <s v="202504226106790L"/>
    <n v="1873300102696"/>
    <n v="20250422"/>
    <s v="AA - Bonifico da e per estero "/>
    <m/>
    <s v="012 - BULGARIA"/>
    <s v="A     - Avere"/>
    <n v="2738.46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x v="1"/>
    <x v="0"/>
    <x v="0"/>
    <m/>
    <x v="0"/>
    <x v="0"/>
    <s v="463"/>
    <s v="430"/>
    <s v="430463"/>
    <s v="Classe di rischio 3"/>
    <m/>
    <s v="Classe di rischio 3"/>
  </r>
  <r>
    <n v="337425"/>
    <x v="4"/>
    <x v="4"/>
    <x v="7"/>
    <n v="53850"/>
    <n v="167"/>
    <s v="053850_167"/>
    <s v="Discovery Day"/>
    <s v="Mai valutato"/>
    <m/>
    <n v="202504227918059"/>
    <n v="1673300000962"/>
    <n v="20250422"/>
    <s v="SPECIAL"/>
    <m/>
    <m/>
    <s v="D     - Dare"/>
    <n v="11241.66"/>
    <n v="0"/>
    <n v="4034244"/>
    <s v="BSLTZN76S52H096Y"/>
    <s v="BASILE TIZIANA"/>
    <s v="600 - Famiglie consumatrici"/>
    <m/>
    <s v="086 - ITALIA"/>
    <n v="451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424"/>
    <x v="3"/>
    <x v="3"/>
    <x v="7"/>
    <n v="53850"/>
    <n v="175"/>
    <s v="053850_175"/>
    <s v="Discovery Day"/>
    <s v="Mai valutato"/>
    <m/>
    <s v="Vari (22/04/2025)"/>
    <n v="1753302203127"/>
    <n v="20250422"/>
    <s v="VV"/>
    <m/>
    <m/>
    <s v="A     - Avere"/>
    <n v="108027.24"/>
    <n v="25145"/>
    <n v="4160138"/>
    <n v="484200779"/>
    <s v="DE.RA.DO. SRL"/>
    <s v="430 - Imprese produttive"/>
    <s v="031 - PESCA"/>
    <s v="086 - ITALIA"/>
    <n v="739"/>
    <m/>
    <m/>
    <m/>
    <m/>
    <m/>
    <m/>
    <m/>
    <n v="0"/>
    <n v="202504"/>
    <x v="2"/>
    <x v="1"/>
    <x v="0"/>
    <n v="4160138"/>
    <x v="1"/>
    <x v="1"/>
    <s v="999"/>
    <s v="430"/>
    <s v="430999"/>
    <m/>
    <s v="1"/>
    <s v="Classe di rischio 1"/>
  </r>
  <r>
    <n v="337423"/>
    <x v="4"/>
    <x v="4"/>
    <x v="7"/>
    <n v="53850"/>
    <n v="109"/>
    <s v="053850_109"/>
    <s v="Discovery Day"/>
    <s v="Mai valutato"/>
    <m/>
    <n v="202504227917396"/>
    <n v="1093306677156"/>
    <n v="20250422"/>
    <s v="13 - Addebito per estinzione assegno"/>
    <m/>
    <m/>
    <s v="D     - Dare"/>
    <n v="250000"/>
    <n v="0"/>
    <n v="9339"/>
    <s v="SGNPLM44D60A662S"/>
    <s v="SIGNORILE PALMA"/>
    <s v="600 - Famiglie consumatrici"/>
    <m/>
    <s v="086 - ITALIA"/>
    <n v="507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422"/>
    <x v="4"/>
    <x v="4"/>
    <x v="7"/>
    <n v="53850"/>
    <n v="103"/>
    <s v="053850_103"/>
    <s v="Discovery Day"/>
    <s v="Mai valutato"/>
    <m/>
    <n v="202504227918100"/>
    <n v="1033306974008"/>
    <n v="20250422"/>
    <s v="SPECIAL"/>
    <m/>
    <m/>
    <s v="D     - Dare"/>
    <n v="7562.53"/>
    <n v="0"/>
    <n v="4336032"/>
    <s v="SNSRSO86T56E155F"/>
    <s v="SINISI ROSA"/>
    <s v="600 - Famiglie consumatrici"/>
    <m/>
    <s v="086 - ITALIA"/>
    <m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421"/>
    <x v="5"/>
    <x v="5"/>
    <x v="7"/>
    <n v="53850"/>
    <n v="267"/>
    <s v="053850_267"/>
    <s v="Discovery Day"/>
    <s v="Mai valutato"/>
    <m/>
    <s v="Vari (21/04/2025)"/>
    <n v="2673300000258"/>
    <n v="20250421"/>
    <s v="03 - Versamento contante cassa continua "/>
    <m/>
    <m/>
    <s v="A     - Avere"/>
    <n v="37320"/>
    <n v="3732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4"/>
    <x v="1"/>
    <x v="0"/>
    <x v="0"/>
    <n v="1616725"/>
    <x v="1"/>
    <x v="0"/>
    <s v="999"/>
    <s v="430"/>
    <s v="430999"/>
    <m/>
    <s v="1"/>
    <s v="Classe di rischio 1"/>
  </r>
  <r>
    <n v="337420"/>
    <x v="5"/>
    <x v="5"/>
    <x v="7"/>
    <n v="53850"/>
    <n v="117"/>
    <s v="053850_117"/>
    <s v="Discovery Day"/>
    <s v="Mai valutato"/>
    <m/>
    <s v="Vari (21/04/2025)"/>
    <n v="1173300538726"/>
    <n v="20250421"/>
    <s v="03 - Versamento contante cassa continua "/>
    <m/>
    <m/>
    <s v="A     - Avere"/>
    <n v="51345"/>
    <n v="51345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4"/>
    <x v="1"/>
    <x v="0"/>
    <x v="0"/>
    <n v="4784989"/>
    <x v="1"/>
    <x v="0"/>
    <s v="999"/>
    <s v="430"/>
    <s v="430999"/>
    <m/>
    <s v="1"/>
    <s v="Classe di rischio 1"/>
  </r>
  <r>
    <n v="337419"/>
    <x v="5"/>
    <x v="5"/>
    <x v="7"/>
    <n v="53850"/>
    <n v="128"/>
    <s v="053850_128"/>
    <s v="Discovery Day"/>
    <s v="Mai valutato"/>
    <m/>
    <s v="Vari (19/04/2025)"/>
    <n v="1283300003941"/>
    <n v="20250419"/>
    <s v="03 - Versamento contante cassa continua "/>
    <m/>
    <m/>
    <s v="A     - Avere"/>
    <n v="41510"/>
    <n v="4151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4"/>
    <x v="1"/>
    <x v="0"/>
    <x v="0"/>
    <n v="4916499"/>
    <x v="1"/>
    <x v="0"/>
    <s v="999"/>
    <s v="615"/>
    <s v="615999"/>
    <m/>
    <s v="1"/>
    <s v="Classe di rischio 3"/>
  </r>
  <r>
    <n v="337418"/>
    <x v="5"/>
    <x v="5"/>
    <x v="7"/>
    <n v="53850"/>
    <n v="102"/>
    <s v="053850_102"/>
    <s v="Discovery Day"/>
    <s v="Mai valutato"/>
    <m/>
    <n v="202504197917177"/>
    <n v="1023308722503"/>
    <n v="20250419"/>
    <s v="03 - Versamento contante cassa continua "/>
    <m/>
    <m/>
    <s v="A     - Avere"/>
    <n v="24410"/>
    <n v="244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37417"/>
    <x v="5"/>
    <x v="5"/>
    <x v="7"/>
    <n v="53850"/>
    <n v="110"/>
    <s v="053850_110"/>
    <s v="Discovery Day"/>
    <s v="Mai valutato"/>
    <m/>
    <s v="Vari (19/04/2025)"/>
    <n v="2263300011854"/>
    <n v="20250419"/>
    <s v="03 - Versamento contante cassa continua "/>
    <m/>
    <m/>
    <s v="A     - Avere"/>
    <n v="36215"/>
    <n v="36215"/>
    <n v="3708070"/>
    <n v="8755330720"/>
    <s v="UNISFERA S.R.L."/>
    <s v="430 - Imprese produttive"/>
    <s v="471 - COMMERCIO AL DETTAGLIO IN ESERCIZI NON SPECIALIZZATI"/>
    <s v="086 - ITALIA"/>
    <n v="1932"/>
    <m/>
    <m/>
    <m/>
    <m/>
    <m/>
    <m/>
    <m/>
    <n v="0"/>
    <n v="202504"/>
    <x v="1"/>
    <x v="0"/>
    <x v="0"/>
    <n v="3708070"/>
    <x v="1"/>
    <x v="0"/>
    <s v="999"/>
    <s v="430"/>
    <s v="430999"/>
    <m/>
    <s v="1"/>
    <s v="Classe di rischio 1"/>
  </r>
  <r>
    <n v="337416"/>
    <x v="5"/>
    <x v="5"/>
    <x v="7"/>
    <n v="53850"/>
    <n v="286"/>
    <s v="053850_286"/>
    <s v="Discovery Day"/>
    <s v="Mai valutato"/>
    <m/>
    <n v="202504197917222"/>
    <n v="2863300002878"/>
    <n v="20250419"/>
    <s v="03 - Versamento contante cassa continua "/>
    <m/>
    <m/>
    <s v="A     - Avere"/>
    <n v="19260"/>
    <n v="19260"/>
    <n v="1686425"/>
    <n v="2629680691"/>
    <s v="FARMACIA GIACCI DI GIACCI ALBERTO E ROBERTA &amp; C. S.A.S."/>
    <s v="492 - Quasi societa' non finanziarie altre - Unita' o societa' con meno di 20 addetti"/>
    <s v="477 - COMMERCIO AL DETTAGLIO DI ALTRI PRODOTTI IN ESERCIZI SPECIALIZZATI"/>
    <s v="086 - ITALIA"/>
    <n v="1767"/>
    <m/>
    <m/>
    <m/>
    <m/>
    <m/>
    <m/>
    <m/>
    <n v="0"/>
    <n v="202504"/>
    <x v="0"/>
    <x v="0"/>
    <x v="0"/>
    <m/>
    <x v="0"/>
    <x v="0"/>
    <s v="477"/>
    <s v="492"/>
    <s v="492477"/>
    <s v="Classe di rischio 5"/>
    <m/>
    <s v="Classe di rischio 5"/>
  </r>
  <r>
    <n v="337415"/>
    <x v="2"/>
    <x v="2"/>
    <x v="7"/>
    <n v="53850"/>
    <n v="109"/>
    <s v="053850_109"/>
    <s v="Discovery Day"/>
    <s v="Mai valutato"/>
    <m/>
    <s v="202504186090577L"/>
    <n v="1093306672844"/>
    <n v="20250418"/>
    <s v="AA - Bonifico da e per estero "/>
    <m/>
    <s v="261 - CROAZIA"/>
    <s v="D     - Dare"/>
    <n v="15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n v="440311"/>
    <x v="1"/>
    <x v="0"/>
    <s v="451"/>
    <s v="430"/>
    <s v="430451"/>
    <s v="Classe di rischio 3"/>
    <m/>
    <s v="Classe di rischio 3"/>
  </r>
  <r>
    <n v="337414"/>
    <x v="4"/>
    <x v="4"/>
    <x v="7"/>
    <n v="53850"/>
    <n v="117"/>
    <s v="053850_117"/>
    <s v="Discovery Day"/>
    <s v="Mai valutato"/>
    <m/>
    <n v="202504187917140"/>
    <n v="1170050027918"/>
    <n v="20250418"/>
    <s v="C6 - Uscita dossier titoli a fronte c/c diversam.intestato(portatore) "/>
    <m/>
    <m/>
    <s v="D     - Dare"/>
    <n v="402992.09"/>
    <n v="0"/>
    <n v="4035187"/>
    <s v="LNERNG60B10A662I"/>
    <s v="LEONE ARCANGELO GERMANO"/>
    <s v="600 - Famiglie consumatrici"/>
    <m/>
    <s v="086 - ITALIA"/>
    <n v="1772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413"/>
    <x v="5"/>
    <x v="5"/>
    <x v="7"/>
    <n v="53850"/>
    <n v="102"/>
    <s v="053850_102"/>
    <s v="Discovery Day"/>
    <s v="Mai valutato"/>
    <m/>
    <s v="Vari (17/04/2025)"/>
    <n v="1023308723527"/>
    <n v="20250417"/>
    <s v="03 - Versamento contante cassa continua "/>
    <m/>
    <m/>
    <s v="A     - Avere"/>
    <n v="20410"/>
    <n v="2041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4"/>
    <x v="4"/>
    <x v="1"/>
    <x v="0"/>
    <n v="4883007"/>
    <x v="1"/>
    <x v="0"/>
    <s v="477"/>
    <s v="492"/>
    <s v="492477"/>
    <s v="Classe di rischio 5"/>
    <m/>
    <s v="Classe di rischio 5"/>
  </r>
  <r>
    <n v="337412"/>
    <x v="2"/>
    <x v="2"/>
    <x v="7"/>
    <n v="53850"/>
    <n v="109"/>
    <s v="053850_109"/>
    <s v="Discovery Day"/>
    <s v="Mai valutato"/>
    <m/>
    <n v="202504177914865"/>
    <n v="1093306672844"/>
    <n v="20250417"/>
    <s v="AA - Bonifico da e per estero "/>
    <m/>
    <s v="012 - BULGARIA"/>
    <s v="D     - Dare"/>
    <n v="343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n v="440311"/>
    <x v="1"/>
    <x v="0"/>
    <s v="451"/>
    <s v="430"/>
    <s v="430451"/>
    <s v="Classe di rischio 3"/>
    <m/>
    <s v="Classe di rischio 3"/>
  </r>
  <r>
    <n v="337411"/>
    <x v="5"/>
    <x v="5"/>
    <x v="8"/>
    <n v="53850"/>
    <n v="171"/>
    <s v="053850_171"/>
    <s v="Discovery Day"/>
    <s v="Mai valutato"/>
    <m/>
    <n v="202504187910119"/>
    <n v="1713302217121"/>
    <n v="20250418"/>
    <s v="D1 - Versamento di contante "/>
    <m/>
    <m/>
    <s v="A     - Avere"/>
    <n v="33480"/>
    <n v="33480"/>
    <n v="4100525"/>
    <s v="PLMMRA68A68A893G"/>
    <s v="PALMA MARIA"/>
    <s v="614 - Artigiani"/>
    <s v="479 - COMMERCIO AL DETTAGLIO AL DI FUORI DI NEGOZI, BANCHI E MERCATI"/>
    <s v="086 - ITALIA"/>
    <n v="732"/>
    <m/>
    <m/>
    <m/>
    <m/>
    <m/>
    <m/>
    <m/>
    <n v="0"/>
    <n v="202504"/>
    <x v="4"/>
    <x v="1"/>
    <x v="0"/>
    <n v="4100525"/>
    <x v="1"/>
    <x v="0"/>
    <s v="999"/>
    <s v="614"/>
    <s v="614999"/>
    <m/>
    <s v="1"/>
    <s v="Classe di rischio 3"/>
  </r>
  <r>
    <n v="337410"/>
    <x v="3"/>
    <x v="3"/>
    <x v="8"/>
    <n v="53850"/>
    <n v="171"/>
    <s v="053850_171"/>
    <s v="Discovery Day"/>
    <s v="Mai valutato"/>
    <m/>
    <s v="Vari (18/04/2025)"/>
    <n v="1713305728950"/>
    <n v="20250418"/>
    <s v="03 - Versamento contante cassa continua "/>
    <m/>
    <m/>
    <s v="A     - Avere"/>
    <n v="356959.45"/>
    <n v="356959.4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409"/>
    <x v="3"/>
    <x v="3"/>
    <x v="8"/>
    <n v="53850"/>
    <n v="164"/>
    <s v="053850_164"/>
    <s v="Discovery Day"/>
    <s v="Mai valutato"/>
    <m/>
    <n v="202504187910080"/>
    <n v="1643300370890"/>
    <n v="20250418"/>
    <s v="G7 - Versamento assegno circolare altro intermediario "/>
    <m/>
    <m/>
    <s v="A     - Avere"/>
    <n v="130000"/>
    <n v="0"/>
    <n v="810024"/>
    <s v="VNZMHL37R01A339J"/>
    <s v="VENEZIANI MICHELE"/>
    <s v="600 - Famiglie consumatrici"/>
    <m/>
    <s v="086 - ITALIA"/>
    <n v="793"/>
    <m/>
    <m/>
    <m/>
    <m/>
    <m/>
    <m/>
    <m/>
    <n v="0"/>
    <n v="202504"/>
    <x v="4"/>
    <x v="1"/>
    <x v="0"/>
    <m/>
    <x v="0"/>
    <x v="0"/>
    <s v="999"/>
    <s v="600"/>
    <s v="600999"/>
    <s v="Classe di rischio 7"/>
    <m/>
    <s v="Classe di rischio 7"/>
  </r>
  <r>
    <n v="337408"/>
    <x v="5"/>
    <x v="5"/>
    <x v="8"/>
    <n v="53850"/>
    <n v="171"/>
    <s v="053850_171"/>
    <s v="Discovery Day"/>
    <s v="Mai valutato"/>
    <m/>
    <s v="Vari (18/04/2025)"/>
    <n v="1713305728950"/>
    <n v="20250418"/>
    <s v="03 - Versamento contante cassa continua "/>
    <m/>
    <m/>
    <s v="A     - Avere"/>
    <n v="356959.45"/>
    <n v="356959.4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407"/>
    <x v="5"/>
    <x v="5"/>
    <x v="8"/>
    <n v="53850"/>
    <n v="174"/>
    <s v="053850_174"/>
    <s v="Discovery Day"/>
    <s v="Mai valutato"/>
    <m/>
    <s v="Vari (18/04/2025)"/>
    <n v="1743302879903"/>
    <n v="20250418"/>
    <s v="VV"/>
    <m/>
    <m/>
    <s v="A     - Avere"/>
    <n v="53935.14"/>
    <n v="41000"/>
    <n v="4928259"/>
    <n v="8287320728"/>
    <s v="MARINGELLI ORTOFRUTTA SOCIETA' A RESPONSABILITA' LIMITATA"/>
    <s v="430 - Imprese produttive"/>
    <s v="463 - COMMERCIO ALL'INGROSSO DI PRODOTTI ALIMENTARI, BEVANDE E PRODOTTI DEL TABACCO"/>
    <s v="086 - ITALIA"/>
    <n v="448"/>
    <m/>
    <m/>
    <m/>
    <m/>
    <m/>
    <m/>
    <m/>
    <n v="0"/>
    <n v="202504"/>
    <x v="0"/>
    <x v="0"/>
    <x v="0"/>
    <n v="4928259"/>
    <x v="1"/>
    <x v="1"/>
    <s v="463"/>
    <s v="430"/>
    <s v="430463"/>
    <s v="Classe di rischio 3"/>
    <m/>
    <s v="Classe di rischio 3"/>
  </r>
  <r>
    <n v="337406"/>
    <x v="4"/>
    <x v="4"/>
    <x v="8"/>
    <n v="53850"/>
    <n v="143"/>
    <s v="053850_143"/>
    <s v="Discovery Day"/>
    <s v="Mai valutato"/>
    <m/>
    <n v="202504187910037"/>
    <n v="1423300308937"/>
    <n v="20250418"/>
    <s v="26 - Bonifico in partenza "/>
    <m/>
    <s v="086 - ITALIA"/>
    <s v="D     - Dare"/>
    <n v="208650"/>
    <n v="0"/>
    <n v="4922771"/>
    <s v="DLLLCU62C13I158Q"/>
    <s v="DELLISANTI LUCIO"/>
    <s v="600 - Famiglie consumatrici"/>
    <m/>
    <s v="086 - ITALIA"/>
    <n v="860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405"/>
    <x v="3"/>
    <x v="3"/>
    <x v="8"/>
    <n v="53850"/>
    <n v="103"/>
    <s v="053850_103"/>
    <s v="Discovery Day"/>
    <s v="Mai valutato"/>
    <m/>
    <s v="Vari (18/04/2025)"/>
    <n v="1033306971100"/>
    <n v="20250418"/>
    <s v="VV"/>
    <m/>
    <m/>
    <s v="A     - Avere"/>
    <n v="160000"/>
    <n v="0"/>
    <n v="557455"/>
    <s v="CPPPLA74S46E155M"/>
    <s v="CAPPIELLO PAOLA"/>
    <s v="600 - Famiglie consumatrici"/>
    <m/>
    <s v="086 - ITALIA"/>
    <n v="1916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404"/>
    <x v="5"/>
    <x v="5"/>
    <x v="8"/>
    <n v="53850"/>
    <n v="171"/>
    <s v="053850_171"/>
    <s v="Discovery Day"/>
    <s v="Mai valutato"/>
    <m/>
    <s v="Vari (18/04/2025)"/>
    <n v="1713302214147"/>
    <n v="20250418"/>
    <s v="03 - Versamento contante cassa continua "/>
    <m/>
    <m/>
    <s v="A     - Avere"/>
    <n v="147260.07"/>
    <n v="147260.07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403"/>
    <x v="3"/>
    <x v="3"/>
    <x v="8"/>
    <n v="53850"/>
    <n v="171"/>
    <s v="053850_171"/>
    <s v="Discovery Day"/>
    <s v="Mai valutato"/>
    <m/>
    <s v="Vari (18/04/2025)"/>
    <n v="1713302214147"/>
    <n v="20250418"/>
    <s v="03 - Versamento contante cassa continua "/>
    <m/>
    <m/>
    <s v="A     - Avere"/>
    <n v="147260.07"/>
    <n v="147260.07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402"/>
    <x v="4"/>
    <x v="4"/>
    <x v="8"/>
    <n v="53850"/>
    <n v="122"/>
    <s v="053850_122"/>
    <s v="Discovery Day"/>
    <s v="Mai valutato"/>
    <m/>
    <n v="202504187909307"/>
    <n v="1223300001682"/>
    <n v="20250418"/>
    <s v="50 - Pagamenti diversi"/>
    <m/>
    <m/>
    <s v="D     - Dare"/>
    <n v="3299950.4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37401"/>
    <x v="4"/>
    <x v="4"/>
    <x v="8"/>
    <n v="53850"/>
    <n v="264"/>
    <s v="053850_264"/>
    <s v="Discovery Day"/>
    <s v="Mai valutato"/>
    <m/>
    <s v="202504186077488L"/>
    <n v="2643300010660"/>
    <n v="20250418"/>
    <s v="SPECIAL"/>
    <m/>
    <m/>
    <s v="D     - Dare"/>
    <n v="4504.6099999999997"/>
    <n v="0"/>
    <n v="3740410"/>
    <s v="CRBMRC80S16G786H"/>
    <s v="CARBONE MARCO"/>
    <s v="600 - Famiglie consumatrici"/>
    <m/>
    <s v="086 - ITALIA"/>
    <m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400"/>
    <x v="4"/>
    <x v="4"/>
    <x v="8"/>
    <n v="53850"/>
    <n v="171"/>
    <s v="053850_171"/>
    <s v="Discovery Day"/>
    <s v="Mai valutato"/>
    <m/>
    <n v="202504187910116"/>
    <n v="1713302213235"/>
    <n v="20250418"/>
    <s v="SPECIAL"/>
    <m/>
    <m/>
    <s v="D     - Dare"/>
    <n v="10138.19"/>
    <n v="0"/>
    <n v="4066625"/>
    <s v="LLGMRA40M53A893U"/>
    <s v="ALLEGRETTI MARIA"/>
    <s v="600 - Famiglie consumatrici"/>
    <m/>
    <s v="086 - ITALIA"/>
    <n v="856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99"/>
    <x v="3"/>
    <x v="3"/>
    <x v="8"/>
    <n v="53850"/>
    <n v="104"/>
    <s v="053850_104"/>
    <s v="Discovery Day"/>
    <s v="Mai valutato"/>
    <m/>
    <s v="Vari (18/04/2025)"/>
    <n v="1043309509217"/>
    <n v="20250418"/>
    <s v="03 - Versamento contante cassa continua "/>
    <m/>
    <m/>
    <s v="A     - Avere"/>
    <n v="121800"/>
    <n v="121800"/>
    <n v="4323562"/>
    <s v="LTTMNT80D67C983T"/>
    <s v="LOTITO MARIANTONELLA"/>
    <s v="615 - Altre famiglie produttrici"/>
    <s v="472 - COMMERCIO AL DETTAGLIO DI PRODOTTI ALIMENTARI, BEVANDE E TABACCO IN ESERCIZI SPECIALIZZATI"/>
    <s v="086 - ITALIA"/>
    <n v="1401"/>
    <m/>
    <m/>
    <m/>
    <m/>
    <m/>
    <m/>
    <m/>
    <n v="0"/>
    <n v="202504"/>
    <x v="1"/>
    <x v="0"/>
    <x v="0"/>
    <n v="4323562"/>
    <x v="1"/>
    <x v="0"/>
    <s v="999"/>
    <s v="615"/>
    <s v="615999"/>
    <m/>
    <s v="1"/>
    <s v="Classe di rischio 3"/>
  </r>
  <r>
    <n v="337398"/>
    <x v="3"/>
    <x v="3"/>
    <x v="8"/>
    <n v="53850"/>
    <n v="103"/>
    <s v="053850_103"/>
    <s v="Discovery Day"/>
    <s v="Mai valutato"/>
    <m/>
    <s v="Vari (18/04/2025)"/>
    <n v="1033306971100"/>
    <n v="20250418"/>
    <s v="VV"/>
    <m/>
    <m/>
    <s v="A     - Avere"/>
    <n v="160000"/>
    <n v="0"/>
    <n v="615551"/>
    <s v="SNTGNN68B13E155B"/>
    <s v="SANTARSIERO GIOVANNI"/>
    <s v="615 - Altre famiglie produttrici"/>
    <s v="433 - COMPLETAMENTO E FINITURA DI EDIFICI"/>
    <s v="086 - ITALIA"/>
    <n v="1916"/>
    <m/>
    <m/>
    <m/>
    <m/>
    <m/>
    <m/>
    <m/>
    <n v="0"/>
    <n v="202504"/>
    <x v="2"/>
    <x v="1"/>
    <x v="0"/>
    <m/>
    <x v="0"/>
    <x v="1"/>
    <s v="999"/>
    <s v="615"/>
    <s v="615999"/>
    <m/>
    <s v="1"/>
    <s v="Classe di rischio 3"/>
  </r>
  <r>
    <n v="337397"/>
    <x v="4"/>
    <x v="4"/>
    <x v="8"/>
    <n v="53850"/>
    <n v="143"/>
    <s v="053850_143"/>
    <s v="Discovery Day"/>
    <s v="Mai valutato"/>
    <m/>
    <n v="202504187910037"/>
    <n v="1423300308937"/>
    <n v="20250418"/>
    <s v="26 - Bonifico in partenza "/>
    <m/>
    <s v="086 - ITALIA"/>
    <s v="D     - Dare"/>
    <n v="208650"/>
    <n v="0"/>
    <n v="4922778"/>
    <s v="GBRFRT68R69Z315E"/>
    <s v="GEBREYES TEGEGNE FIKIRET"/>
    <s v="600 - Famiglie consumatrici"/>
    <m/>
    <s v="086 - ITALIA"/>
    <n v="655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396"/>
    <x v="4"/>
    <x v="4"/>
    <x v="8"/>
    <n v="53850"/>
    <n v="132"/>
    <s v="053850_132"/>
    <s v="Discovery Day"/>
    <s v="Mai valutato"/>
    <m/>
    <n v="202504187910004"/>
    <n v="1323300001944"/>
    <n v="20250418"/>
    <s v="10 - Emisione assegni circolari e titoli similari vaglia"/>
    <m/>
    <m/>
    <s v="D     - Dare"/>
    <n v="329000"/>
    <n v="0"/>
    <n v="4730749"/>
    <s v="PRSGNT90P24L418W"/>
    <s v="PARISI GIACINTO"/>
    <s v="600 - Famiglie consumatrici"/>
    <m/>
    <s v="086 - ITALIA"/>
    <n v="873"/>
    <m/>
    <m/>
    <m/>
    <m/>
    <m/>
    <m/>
    <m/>
    <n v="0"/>
    <n v="202504"/>
    <x v="4"/>
    <x v="1"/>
    <x v="0"/>
    <m/>
    <x v="0"/>
    <x v="0"/>
    <s v="999"/>
    <s v="600"/>
    <s v="600999"/>
    <s v="Classe di rischio 7"/>
    <m/>
    <s v="Classe di rischio 7"/>
  </r>
  <r>
    <n v="337395"/>
    <x v="4"/>
    <x v="4"/>
    <x v="8"/>
    <n v="53850"/>
    <n v="121"/>
    <s v="053850_121"/>
    <s v="Discovery Day"/>
    <s v="Mai valutato"/>
    <m/>
    <n v="202504187908967"/>
    <n v="1213300002600"/>
    <n v="20250418"/>
    <s v="26 - Bonifico in partenza "/>
    <m/>
    <s v="086 - ITALIA"/>
    <s v="D     - Dare"/>
    <n v="1000000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x v="3"/>
    <x v="1"/>
    <x v="0"/>
    <m/>
    <x v="0"/>
    <x v="0"/>
    <s v="463"/>
    <s v="430"/>
    <s v="430463"/>
    <s v="Classe di rischio 3"/>
    <m/>
    <s v="Classe di rischio 3"/>
  </r>
  <r>
    <n v="337394"/>
    <x v="3"/>
    <x v="3"/>
    <x v="8"/>
    <n v="53850"/>
    <n v="161"/>
    <s v="053850_161"/>
    <s v="Discovery Day"/>
    <s v="Mai valutato"/>
    <m/>
    <s v="Vari (18/04/2025)"/>
    <n v="1613300029653"/>
    <n v="20250418"/>
    <s v="VV"/>
    <m/>
    <m/>
    <s v="A     - Avere"/>
    <n v="79937.08"/>
    <n v="50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x v="1"/>
    <x v="0"/>
    <x v="0"/>
    <n v="4088769"/>
    <x v="1"/>
    <x v="1"/>
    <s v="464"/>
    <s v="430"/>
    <s v="430464"/>
    <s v="Classe di rischio 4"/>
    <m/>
    <s v="Classe di rischio 4"/>
  </r>
  <r>
    <n v="337393"/>
    <x v="3"/>
    <x v="3"/>
    <x v="8"/>
    <n v="53850"/>
    <n v="164"/>
    <s v="053850_164"/>
    <s v="Discovery Day"/>
    <s v="Mai valutato"/>
    <m/>
    <n v="202504187910080"/>
    <n v="1643300370890"/>
    <n v="20250418"/>
    <s v="G7 - Versamento assegno circolare altro intermediario "/>
    <m/>
    <m/>
    <s v="A     - Avere"/>
    <n v="130000"/>
    <n v="0"/>
    <n v="811351"/>
    <s v="PLLNNT38H65A339W"/>
    <s v="PALLOZZI ANTONIETTA"/>
    <s v="600 - Famiglie consumatrici"/>
    <m/>
    <s v="086 - ITALIA"/>
    <m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392"/>
    <x v="4"/>
    <x v="4"/>
    <x v="8"/>
    <n v="53850"/>
    <n v="192"/>
    <s v="053850_192"/>
    <s v="Discovery Day"/>
    <s v="Mai valutato"/>
    <m/>
    <n v="202504187910166"/>
    <n v="1923300183477"/>
    <n v="20250418"/>
    <s v="SPECIAL"/>
    <m/>
    <m/>
    <s v="D     - Dare"/>
    <n v="8442.5499999999993"/>
    <n v="0"/>
    <n v="4587104"/>
    <s v="MLIMRA73A43E986S"/>
    <s v="MIALI MARIA"/>
    <s v="600 - Famiglie consumatrici"/>
    <m/>
    <s v="086 - ITALIA"/>
    <n v="363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91"/>
    <x v="4"/>
    <x v="4"/>
    <x v="8"/>
    <n v="53850"/>
    <n v="171"/>
    <s v="053850_171"/>
    <s v="Discovery Day"/>
    <s v="Mai valutato"/>
    <m/>
    <n v="202504187910116"/>
    <n v="1713302213235"/>
    <n v="20250418"/>
    <s v="SPECIAL"/>
    <m/>
    <m/>
    <s v="D     - Dare"/>
    <n v="10138.19"/>
    <n v="0"/>
    <n v="4063319"/>
    <s v="FRSGPP32H08A893Q"/>
    <s v="FRASCELLA GIUSEPPE"/>
    <s v="600 - Famiglie consumatrici"/>
    <m/>
    <s v="086 - ITALIA"/>
    <n v="856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90"/>
    <x v="4"/>
    <x v="4"/>
    <x v="8"/>
    <n v="53850"/>
    <n v="192"/>
    <s v="053850_192"/>
    <s v="Discovery Day"/>
    <s v="Mai valutato"/>
    <m/>
    <n v="202504187910166"/>
    <n v="1923300183477"/>
    <n v="20250418"/>
    <s v="SPECIAL"/>
    <m/>
    <m/>
    <s v="D     - Dare"/>
    <n v="8442.5499999999993"/>
    <n v="0"/>
    <n v="3060699"/>
    <s v="MLITDS39E26E986A"/>
    <s v="MIALI TEODOSIO"/>
    <s v="600 - Famiglie consumatrici"/>
    <m/>
    <s v="086 - ITALIA"/>
    <n v="363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89"/>
    <x v="3"/>
    <x v="3"/>
    <x v="8"/>
    <n v="53850"/>
    <n v="103"/>
    <s v="053850_103"/>
    <s v="Discovery Day"/>
    <s v="Mai valutato"/>
    <m/>
    <n v="202504187909880"/>
    <n v="1033306976386"/>
    <n v="20250418"/>
    <s v="G8 - Versamento assegno circolare stesso intermediario"/>
    <m/>
    <m/>
    <s v="A     - Avere"/>
    <n v="103334"/>
    <n v="0"/>
    <n v="609867"/>
    <s v="CLNDNC71C04E155L"/>
    <s v="COLONNA DOMENICO"/>
    <s v="600 - Famiglie consumatrici"/>
    <m/>
    <s v="086 - ITALIA"/>
    <n v="407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388"/>
    <x v="2"/>
    <x v="2"/>
    <x v="8"/>
    <n v="53850"/>
    <n v="103"/>
    <s v="053850_103"/>
    <s v="Discovery Day"/>
    <s v="Mai valutato"/>
    <m/>
    <s v="202504186076318L"/>
    <n v="1033304289290"/>
    <n v="20250418"/>
    <s v="AA - Bonifico da e per estero "/>
    <m/>
    <s v="012 - BULGARIA"/>
    <s v="D     - Dare"/>
    <n v="1990.6"/>
    <n v="0"/>
    <n v="428929"/>
    <n v="3895840720"/>
    <s v="CAM2 SOCIETA' A RESPONSABILITA' LIMITATA"/>
    <s v="450 - Associazioni fra imprese non finanziarie"/>
    <s v="494 - TRASPORTO DI MERCI SU STRADA E SERVIZI DI TRASLOCO"/>
    <s v="086 - ITALIA"/>
    <n v="1274"/>
    <m/>
    <m/>
    <m/>
    <m/>
    <m/>
    <m/>
    <m/>
    <n v="0"/>
    <n v="202504"/>
    <x v="0"/>
    <x v="0"/>
    <x v="0"/>
    <m/>
    <x v="0"/>
    <x v="0"/>
    <s v="999"/>
    <s v="450"/>
    <s v="450999"/>
    <m/>
    <s v="1"/>
    <s v="Classe di rischio 1"/>
  </r>
  <r>
    <n v="337387"/>
    <x v="4"/>
    <x v="4"/>
    <x v="8"/>
    <n v="53850"/>
    <n v="264"/>
    <s v="053850_264"/>
    <s v="Discovery Day"/>
    <s v="Mai valutato"/>
    <m/>
    <s v="202504186077488L"/>
    <n v="2643300010660"/>
    <n v="20250418"/>
    <s v="SPECIAL"/>
    <m/>
    <m/>
    <s v="D     - Dare"/>
    <n v="4504.6099999999997"/>
    <n v="0"/>
    <n v="3740411"/>
    <s v="CRBNGL74L11F052Z"/>
    <s v="CARBONE ANGELO"/>
    <s v="600 - Famiglie consumatrici"/>
    <m/>
    <s v="086 - ITALIA"/>
    <m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386"/>
    <x v="4"/>
    <x v="4"/>
    <x v="8"/>
    <n v="53850"/>
    <n v="264"/>
    <s v="053850_264"/>
    <s v="Discovery Day"/>
    <s v="Mai valutato"/>
    <m/>
    <s v="202504186077488L"/>
    <n v="2643300010660"/>
    <n v="20250418"/>
    <s v="SPECIAL"/>
    <m/>
    <m/>
    <s v="D     - Dare"/>
    <n v="4504.6099999999997"/>
    <n v="0"/>
    <n v="3740414"/>
    <s v="CRBLRD78M07F052Q"/>
    <s v="CARBONE LEONARDO"/>
    <s v="600 - Famiglie consumatrici"/>
    <m/>
    <s v="086 - ITALIA"/>
    <m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385"/>
    <x v="5"/>
    <x v="5"/>
    <x v="8"/>
    <n v="53850"/>
    <n v="273"/>
    <s v="053850_273"/>
    <s v="Discovery Day"/>
    <s v="Mai valutato"/>
    <m/>
    <s v="Vari (18/04/2025)"/>
    <n v="2733300000498"/>
    <n v="20250418"/>
    <s v="03 - Versamento contante cassa continua "/>
    <m/>
    <m/>
    <s v="A     - Avere"/>
    <n v="29070"/>
    <n v="29070"/>
    <n v="1617415"/>
    <n v="2262360692"/>
    <s v="ALL GAMES S.R.L."/>
    <s v="430 - Imprese produttive"/>
    <s v="920 - ATTIVITÀ RIGUARDANTI LE LOTTERIE, LE SCOMMESSE, LE CASE DA GIOCO"/>
    <s v="086 - ITALIA"/>
    <n v="1765"/>
    <m/>
    <m/>
    <m/>
    <m/>
    <m/>
    <m/>
    <m/>
    <n v="0"/>
    <n v="202504"/>
    <x v="1"/>
    <x v="0"/>
    <x v="0"/>
    <n v="1617415"/>
    <x v="1"/>
    <x v="0"/>
    <s v="920"/>
    <s v="430"/>
    <s v="430920"/>
    <s v="Classe di rischio 4"/>
    <m/>
    <s v="Classe di rischio 4"/>
  </r>
  <r>
    <n v="337384"/>
    <x v="3"/>
    <x v="3"/>
    <x v="8"/>
    <n v="53850"/>
    <n v="121"/>
    <s v="053850_121"/>
    <s v="Discovery Day"/>
    <s v="Mai valutato"/>
    <m/>
    <s v="Vari (18/04/2025)"/>
    <n v="1213300002600"/>
    <n v="20250418"/>
    <s v="VV"/>
    <m/>
    <m/>
    <s v="A     - Avere"/>
    <n v="899373.6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x v="3"/>
    <x v="1"/>
    <x v="0"/>
    <m/>
    <x v="0"/>
    <x v="1"/>
    <s v="463"/>
    <s v="430"/>
    <s v="430463"/>
    <s v="Classe di rischio 3"/>
    <m/>
    <s v="Classe di rischio 3"/>
  </r>
  <r>
    <n v="337383"/>
    <x v="5"/>
    <x v="5"/>
    <x v="8"/>
    <n v="53850"/>
    <n v="104"/>
    <s v="053850_104"/>
    <s v="Discovery Day"/>
    <s v="Mai valutato"/>
    <m/>
    <s v="Vari (18/04/2025)"/>
    <n v="1043309509217"/>
    <n v="20250418"/>
    <s v="03 - Versamento contante cassa continua "/>
    <m/>
    <m/>
    <s v="A     - Avere"/>
    <n v="121800"/>
    <n v="121800"/>
    <n v="4323562"/>
    <s v="LTTMNT80D67C983T"/>
    <s v="LOTITO MARIANTONELLA"/>
    <s v="615 - Altre famiglie produttrici"/>
    <s v="472 - COMMERCIO AL DETTAGLIO DI PRODOTTI ALIMENTARI, BEVANDE E TABACCO IN ESERCIZI SPECIALIZZATI"/>
    <s v="086 - ITALIA"/>
    <n v="1401"/>
    <m/>
    <m/>
    <m/>
    <m/>
    <m/>
    <m/>
    <m/>
    <n v="0"/>
    <n v="202504"/>
    <x v="1"/>
    <x v="0"/>
    <x v="0"/>
    <n v="4323562"/>
    <x v="1"/>
    <x v="0"/>
    <s v="999"/>
    <s v="615"/>
    <s v="615999"/>
    <m/>
    <s v="1"/>
    <s v="Classe di rischio 3"/>
  </r>
  <r>
    <n v="337382"/>
    <x v="5"/>
    <x v="5"/>
    <x v="8"/>
    <n v="53850"/>
    <n v="137"/>
    <s v="053850_137"/>
    <s v="Discovery Day"/>
    <s v="Mai valutato"/>
    <m/>
    <n v="202504187910020"/>
    <n v="1373304102703"/>
    <n v="20250418"/>
    <s v="D1 - Versamento di contante "/>
    <m/>
    <m/>
    <s v="A     - Avere"/>
    <n v="18000"/>
    <n v="18000"/>
    <n v="1001333"/>
    <s v="CSTFBR63M04B519K"/>
    <s v="CASTIGLIONE FILIBERTO"/>
    <s v="615 - Altre famiglie produttrici"/>
    <s v="477 - COMMERCIO AL DETTAGLIO DI ALTRI PRODOTTI IN ESERCIZI SPECIALIZZATI"/>
    <s v="086 - ITALIA"/>
    <n v="1867"/>
    <m/>
    <m/>
    <m/>
    <m/>
    <m/>
    <m/>
    <m/>
    <n v="0"/>
    <n v="202504"/>
    <x v="1"/>
    <x v="0"/>
    <x v="0"/>
    <n v="1001333"/>
    <x v="1"/>
    <x v="0"/>
    <s v="477"/>
    <s v="615"/>
    <s v="615477"/>
    <s v="Classe di rischio 6"/>
    <m/>
    <s v="Classe di rischio 6"/>
  </r>
  <r>
    <n v="337381"/>
    <x v="5"/>
    <x v="5"/>
    <x v="8"/>
    <n v="53850"/>
    <n v="114"/>
    <s v="053850_114"/>
    <s v="Discovery Day"/>
    <s v="Mai valutato"/>
    <m/>
    <n v="202504187909962"/>
    <n v="1143306280621"/>
    <n v="20250418"/>
    <s v="D1 - Versamento di contante "/>
    <m/>
    <m/>
    <s v="A     - Avere"/>
    <n v="28665"/>
    <n v="28665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380"/>
    <x v="5"/>
    <x v="5"/>
    <x v="9"/>
    <n v="53850"/>
    <n v="102"/>
    <s v="053850_102"/>
    <s v="Discovery Day"/>
    <s v="Mai valutato"/>
    <m/>
    <s v="Vari (17/04/2025)"/>
    <n v="1023308722503"/>
    <n v="20250417"/>
    <s v="03 - Versamento contante cassa continua "/>
    <m/>
    <m/>
    <s v="A     - Avere"/>
    <n v="44050"/>
    <n v="440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37379"/>
    <x v="6"/>
    <x v="6"/>
    <x v="9"/>
    <n v="53850"/>
    <n v="168"/>
    <s v="053850_168"/>
    <s v="Discovery Day"/>
    <s v="Mai valutato"/>
    <m/>
    <n v="202504177906995"/>
    <n v="1683306277782"/>
    <n v="20250417"/>
    <s v="AA - Bonifico da e per estero "/>
    <m/>
    <s v="071 - SVIZZERA"/>
    <s v="A     - Avere"/>
    <n v="15981.88"/>
    <n v="0"/>
    <n v="3743230"/>
    <s v="LEOGRL01A20I330R"/>
    <s v="LEO GABRIELE"/>
    <s v="775 - Famiglie consumatrici di paesi non UE"/>
    <m/>
    <s v="071 - SVIZZERA"/>
    <n v="1358"/>
    <m/>
    <m/>
    <m/>
    <m/>
    <m/>
    <m/>
    <m/>
    <n v="0"/>
    <n v="202504"/>
    <x v="2"/>
    <x v="1"/>
    <x v="0"/>
    <m/>
    <x v="0"/>
    <x v="0"/>
    <s v="999"/>
    <s v="775"/>
    <s v="775999"/>
    <s v="Classe di rischio 7"/>
    <m/>
    <s v="Classe di rischio 7"/>
  </r>
  <r>
    <n v="337378"/>
    <x v="5"/>
    <x v="5"/>
    <x v="9"/>
    <n v="53850"/>
    <n v="108"/>
    <s v="053850_108"/>
    <s v="Discovery Day"/>
    <s v="Mai valutato"/>
    <m/>
    <s v="Vari (17/04/2025)"/>
    <n v="1083305200700"/>
    <n v="20250417"/>
    <s v="VV"/>
    <m/>
    <m/>
    <s v="A     - Avere"/>
    <n v="33229.96"/>
    <n v="2767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4"/>
    <x v="0"/>
    <x v="0"/>
    <x v="0"/>
    <n v="520070"/>
    <x v="1"/>
    <x v="1"/>
    <s v="464"/>
    <s v="430"/>
    <s v="430464"/>
    <s v="Classe di rischio 4"/>
    <m/>
    <s v="Classe di rischio 4"/>
  </r>
  <r>
    <n v="337377"/>
    <x v="5"/>
    <x v="5"/>
    <x v="9"/>
    <n v="53850"/>
    <n v="116"/>
    <s v="053850_116"/>
    <s v="Discovery Day"/>
    <s v="Mai valutato"/>
    <m/>
    <n v="202504177907819"/>
    <n v="2343300010453"/>
    <n v="20250417"/>
    <s v="03 - Versamento contante cassa continua "/>
    <m/>
    <m/>
    <s v="A     - Avere"/>
    <n v="61512.5"/>
    <n v="61512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376"/>
    <x v="5"/>
    <x v="5"/>
    <x v="9"/>
    <n v="53850"/>
    <n v="182"/>
    <s v="053850_182"/>
    <s v="Discovery Day"/>
    <s v="Mai valutato"/>
    <m/>
    <n v="202504177907753"/>
    <n v="1823300169301"/>
    <n v="20250417"/>
    <s v="03 - Versamento contante cassa continua "/>
    <m/>
    <m/>
    <s v="A     - Avere"/>
    <n v="24515"/>
    <n v="2451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x v="1"/>
    <x v="0"/>
    <x v="0"/>
    <n v="4284957"/>
    <x v="1"/>
    <x v="0"/>
    <s v="920"/>
    <s v="615"/>
    <s v="615920"/>
    <s v="Classe di rischio 6"/>
    <m/>
    <s v="Classe di rischio 6"/>
  </r>
  <r>
    <n v="337375"/>
    <x v="5"/>
    <x v="5"/>
    <x v="9"/>
    <n v="53850"/>
    <n v="104"/>
    <s v="053850_104"/>
    <s v="Discovery Day"/>
    <s v="Mai valutato"/>
    <m/>
    <s v="Vari (17/04/2025)"/>
    <n v="1043309505529"/>
    <n v="20250417"/>
    <s v="03 - Versamento contante cassa continua "/>
    <m/>
    <m/>
    <s v="A     - Avere"/>
    <n v="76600"/>
    <n v="76600"/>
    <n v="4222821"/>
    <n v="6131230721"/>
    <s v="LA SFORNATA S.R.L."/>
    <s v="430 - Imprese produttive"/>
    <s v="107 - PRODUZIONE DI PRODOTTI DA FORNO E FARINACEI"/>
    <s v="086 - ITALIA"/>
    <n v="727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374"/>
    <x v="4"/>
    <x v="4"/>
    <x v="9"/>
    <n v="53850"/>
    <n v="268"/>
    <s v="053850_268"/>
    <s v="Discovery Day"/>
    <s v="Mai valutato"/>
    <m/>
    <n v="202504177907010"/>
    <n v="2683300000171"/>
    <n v="20250417"/>
    <s v="D7 - Addebito o incasso per contratti derivati"/>
    <m/>
    <m/>
    <s v="D     - Da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373"/>
    <x v="2"/>
    <x v="2"/>
    <x v="9"/>
    <n v="53850"/>
    <n v="181"/>
    <s v="053850_181"/>
    <s v="Discovery Day"/>
    <s v="Mai valutato"/>
    <m/>
    <s v="202504176018104L"/>
    <n v="1813301029181"/>
    <n v="20250417"/>
    <s v="AA - Bonifico da e per estero "/>
    <m/>
    <s v="012 - BULGARIA"/>
    <s v="A     - Avere"/>
    <n v="1272"/>
    <n v="0"/>
    <n v="4803285"/>
    <s v="DNCCST91E13L109Z"/>
    <s v="DE NICOLO CRISTIANO"/>
    <s v="615 - Altre famiglie produttrici"/>
    <s v="011 - COLTIVAZIONE DI COLTURE AGRICOLE NON PERMANENTI"/>
    <s v="086 - ITALIA"/>
    <n v="1670"/>
    <m/>
    <m/>
    <m/>
    <m/>
    <m/>
    <m/>
    <m/>
    <n v="0"/>
    <n v="202504"/>
    <x v="4"/>
    <x v="1"/>
    <x v="0"/>
    <m/>
    <x v="0"/>
    <x v="0"/>
    <s v="999"/>
    <s v="615"/>
    <s v="615999"/>
    <m/>
    <s v="1"/>
    <s v="Classe di rischio 3"/>
  </r>
  <r>
    <n v="337372"/>
    <x v="4"/>
    <x v="4"/>
    <x v="9"/>
    <n v="53850"/>
    <n v="192"/>
    <s v="053850_192"/>
    <s v="Discovery Day"/>
    <s v="Mai valutato"/>
    <m/>
    <s v="202504176017961L"/>
    <n v="1923300178032"/>
    <n v="20250417"/>
    <s v="SPECIAL"/>
    <m/>
    <m/>
    <s v="D     - Dare"/>
    <n v="1480.93"/>
    <n v="0"/>
    <n v="4031368"/>
    <s v="PLONGL37C51H096Q"/>
    <s v="POLI ANGELA"/>
    <s v="600 - Famiglie consumatrici"/>
    <m/>
    <s v="086 - ITALIA"/>
    <n v="481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71"/>
    <x v="2"/>
    <x v="2"/>
    <x v="9"/>
    <n v="53850"/>
    <n v="268"/>
    <s v="053850_268"/>
    <s v="Discovery Day"/>
    <s v="Mai valutato"/>
    <m/>
    <n v="202504177907005"/>
    <n v="2681147800157"/>
    <n v="20250417"/>
    <s v="AA - Bonifico da e per estero "/>
    <m/>
    <s v="027 - FILIPPINE"/>
    <s v="D     - Dare"/>
    <n v="140984.67000000001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370"/>
    <x v="5"/>
    <x v="5"/>
    <x v="9"/>
    <n v="53850"/>
    <n v="287"/>
    <s v="053850_287"/>
    <s v="Discovery Day"/>
    <s v="Mai valutato"/>
    <m/>
    <s v="Vari (17/04/2025)"/>
    <n v="2873300001853"/>
    <n v="20250417"/>
    <s v="VV"/>
    <m/>
    <m/>
    <s v="A     - Avere"/>
    <n v="46496.29"/>
    <n v="3491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x v="0"/>
    <x v="0"/>
    <x v="0"/>
    <n v="3722213"/>
    <x v="1"/>
    <x v="1"/>
    <s v="463"/>
    <s v="430"/>
    <s v="430463"/>
    <s v="Classe di rischio 3"/>
    <m/>
    <s v="Classe di rischio 3"/>
  </r>
  <r>
    <n v="337369"/>
    <x v="4"/>
    <x v="4"/>
    <x v="9"/>
    <n v="53850"/>
    <n v="104"/>
    <s v="053850_104"/>
    <s v="Discovery Day"/>
    <s v="Mai valutato"/>
    <m/>
    <n v="202504177907564"/>
    <n v="1043301449156"/>
    <n v="20250417"/>
    <s v="A7 - Erogazione finanziamenti diversi e prestiti personali"/>
    <m/>
    <m/>
    <s v="A     - Avere"/>
    <n v="58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368"/>
    <x v="4"/>
    <x v="4"/>
    <x v="9"/>
    <n v="53850"/>
    <n v="196"/>
    <s v="053850_196"/>
    <s v="Discovery Day"/>
    <s v="Mai valutato"/>
    <m/>
    <n v="202504177905875"/>
    <n v="1963302353232"/>
    <n v="20250417"/>
    <s v="26 - Bonifico in partenza "/>
    <m/>
    <s v="086 - ITALIA"/>
    <s v="D     - Dare"/>
    <n v="1060364.46"/>
    <n v="0"/>
    <n v="4129136"/>
    <n v="1943350718"/>
    <s v="VINORTE S.R.L."/>
    <s v="430 - Imprese produttive"/>
    <s v="110 - INDUSTRIA DELLE BEVANDE"/>
    <s v="086 - ITALIA"/>
    <n v="870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367"/>
    <x v="2"/>
    <x v="2"/>
    <x v="9"/>
    <n v="53850"/>
    <n v="103"/>
    <s v="053850_103"/>
    <s v="Discovery Day"/>
    <s v="Mai valutato"/>
    <m/>
    <s v="202504176017698L"/>
    <n v="1033306978559"/>
    <n v="20250417"/>
    <s v="AA - Bonifico da e per estero "/>
    <m/>
    <s v="012 - BULGARIA"/>
    <s v="A     - Avere"/>
    <n v="2120"/>
    <n v="0"/>
    <n v="4917376"/>
    <n v="324070770"/>
    <s v="HOTEL NAZIONALE S.R.L."/>
    <s v="430 - Imprese produttive"/>
    <s v="551 - ALBERGHI E STRUTTURE SIMILI"/>
    <s v="086 - ITALIA"/>
    <n v="1175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366"/>
    <x v="4"/>
    <x v="4"/>
    <x v="9"/>
    <n v="53850"/>
    <n v="192"/>
    <s v="053850_192"/>
    <s v="Discovery Day"/>
    <s v="Mai valutato"/>
    <m/>
    <s v="202504176017962L"/>
    <n v="1923300125945"/>
    <n v="20250417"/>
    <s v="SPECIAL"/>
    <m/>
    <m/>
    <s v="D     - Dare"/>
    <n v="1081.31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65"/>
    <x v="5"/>
    <x v="5"/>
    <x v="9"/>
    <n v="53850"/>
    <n v="109"/>
    <s v="053850_109"/>
    <s v="Discovery Day"/>
    <s v="Mai valutato"/>
    <m/>
    <n v="202504177907998"/>
    <n v="1093306675356"/>
    <n v="20250417"/>
    <s v="D1 - Versamento di contante "/>
    <m/>
    <m/>
    <s v="A     - Avere"/>
    <n v="31300"/>
    <n v="313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4"/>
    <x v="1"/>
    <x v="0"/>
    <x v="0"/>
    <n v="4976123"/>
    <x v="1"/>
    <x v="0"/>
    <s v="477"/>
    <s v="430"/>
    <s v="430477"/>
    <s v="Classe di rischio 3"/>
    <m/>
    <s v="Classe di rischio 3"/>
  </r>
  <r>
    <n v="337364"/>
    <x v="2"/>
    <x v="2"/>
    <x v="9"/>
    <n v="53850"/>
    <n v="102"/>
    <s v="053850_102"/>
    <s v="Discovery Day"/>
    <s v="Mai valutato"/>
    <m/>
    <n v="202504177905473"/>
    <n v="1023308716491"/>
    <n v="20250417"/>
    <s v="AA - Bonifico da e per estero "/>
    <m/>
    <s v="091 - PRINCIPATO DI MONACO"/>
    <s v="D     - Dare"/>
    <n v="65000"/>
    <n v="0"/>
    <n v="3970"/>
    <s v="CRNRRT78A19A225Y"/>
    <s v="CORNACCHIA ROBERTO"/>
    <s v="600 - Famiglie consumatrici"/>
    <m/>
    <s v="086 - ITALIA"/>
    <n v="1431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363"/>
    <x v="5"/>
    <x v="5"/>
    <x v="9"/>
    <n v="53850"/>
    <n v="114"/>
    <s v="053850_114"/>
    <s v="Discovery Day"/>
    <s v="Mai valutato"/>
    <m/>
    <n v="202504177908028"/>
    <n v="1143306280621"/>
    <n v="20250417"/>
    <s v="D1 - Versamento di contante "/>
    <m/>
    <m/>
    <s v="A     - Avere"/>
    <n v="52600"/>
    <n v="526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362"/>
    <x v="2"/>
    <x v="2"/>
    <x v="9"/>
    <n v="53850"/>
    <n v="129"/>
    <s v="053850_129"/>
    <s v="Discovery Day"/>
    <s v="Mai valutato"/>
    <m/>
    <n v="202504177906947"/>
    <n v="1293300002811"/>
    <n v="20250417"/>
    <s v="AA - Bonifico da e per estero "/>
    <m/>
    <s v="261 - CROAZIA"/>
    <s v="A     - Avere"/>
    <n v="11520.82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361"/>
    <x v="9"/>
    <x v="9"/>
    <x v="9"/>
    <n v="53850"/>
    <n v="168"/>
    <s v="053850_168"/>
    <s v="Discovery Day"/>
    <s v="Mai valutato"/>
    <m/>
    <n v="202504177906995"/>
    <n v="1683306277782"/>
    <n v="20250417"/>
    <s v="AA - Bonifico da e per estero "/>
    <m/>
    <s v="071 - SVIZZERA"/>
    <s v="A     - Avere"/>
    <n v="15981.88"/>
    <n v="0"/>
    <n v="3743230"/>
    <s v="LEOGRL01A20I330R"/>
    <s v="LEO GABRIELE"/>
    <s v="775 - Famiglie consumatrici di paesi non UE"/>
    <m/>
    <s v="071 - SVIZZERA"/>
    <n v="1358"/>
    <m/>
    <m/>
    <m/>
    <m/>
    <m/>
    <m/>
    <m/>
    <n v="0"/>
    <n v="202504"/>
    <x v="2"/>
    <x v="1"/>
    <x v="0"/>
    <m/>
    <x v="0"/>
    <x v="0"/>
    <s v="999"/>
    <s v="775"/>
    <s v="775999"/>
    <s v="Classe di rischio 7"/>
    <m/>
    <s v="Classe di rischio 7"/>
  </r>
  <r>
    <n v="337360"/>
    <x v="5"/>
    <x v="5"/>
    <x v="9"/>
    <n v="53850"/>
    <n v="108"/>
    <s v="053850_108"/>
    <s v="Discovery Day"/>
    <s v="Mai valutato"/>
    <m/>
    <s v="Vari (17/04/2025)"/>
    <n v="1083306291105"/>
    <n v="20250417"/>
    <s v="VV"/>
    <m/>
    <m/>
    <s v="A     - Avere"/>
    <n v="64569.48"/>
    <n v="50782.8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1"/>
    <s v="999"/>
    <s v="430"/>
    <s v="430999"/>
    <m/>
    <s v="1"/>
    <s v="Classe di rischio 1"/>
  </r>
  <r>
    <n v="337359"/>
    <x v="3"/>
    <x v="3"/>
    <x v="9"/>
    <n v="53850"/>
    <n v="109"/>
    <s v="053850_109"/>
    <s v="Discovery Day"/>
    <s v="Mai valutato"/>
    <m/>
    <n v="202504177908002"/>
    <n v="1093306677535"/>
    <n v="20250417"/>
    <s v="G7 - Versamento assegno circolare altro intermediario "/>
    <m/>
    <m/>
    <s v="A     - Avere"/>
    <n v="100000"/>
    <n v="0"/>
    <n v="3706791"/>
    <s v="TTNLRD60B25A662B"/>
    <s v="ATTANASIO LEONARDO"/>
    <s v="615 - Altre famiglie produttrici"/>
    <s v="692 - CONTABILITÀ, CONTROLLO E REVISIONE CONTABILE, CONSULENZA IN MATERIA FISCALE E DEL LAVORO"/>
    <s v="086 - ITALIA"/>
    <n v="1925"/>
    <m/>
    <m/>
    <m/>
    <m/>
    <m/>
    <m/>
    <m/>
    <n v="0"/>
    <n v="202504"/>
    <x v="2"/>
    <x v="1"/>
    <x v="0"/>
    <m/>
    <x v="0"/>
    <x v="0"/>
    <s v="999"/>
    <s v="615"/>
    <s v="615999"/>
    <m/>
    <s v="1"/>
    <s v="Classe di rischio 3"/>
  </r>
  <r>
    <n v="337358"/>
    <x v="3"/>
    <x v="3"/>
    <x v="9"/>
    <n v="53850"/>
    <n v="174"/>
    <s v="053850_174"/>
    <s v="Discovery Day"/>
    <s v="Mai valutato"/>
    <m/>
    <n v="202504177908183"/>
    <n v="1743302881185"/>
    <n v="20250417"/>
    <s v="G7 - Versamento assegno circolare altro intermediario "/>
    <m/>
    <m/>
    <s v="A     - Avere"/>
    <n v="40000"/>
    <n v="0"/>
    <n v="4485506"/>
    <s v="NNNVCN76B07A662C"/>
    <s v="IANNONE VINCENZO"/>
    <s v="615 - Altre famiglie produttrici"/>
    <s v="477 - COMMERCIO AL DETTAGLIO DI ALTRI PRODOTTI IN ESERCIZI SPECIALIZZATI"/>
    <s v="086 - ITALIA"/>
    <n v="448"/>
    <m/>
    <m/>
    <m/>
    <m/>
    <m/>
    <m/>
    <m/>
    <n v="0"/>
    <n v="202504"/>
    <x v="1"/>
    <x v="0"/>
    <x v="0"/>
    <m/>
    <x v="0"/>
    <x v="0"/>
    <s v="477"/>
    <s v="615"/>
    <s v="615477"/>
    <s v="Classe di rischio 6"/>
    <m/>
    <s v="Classe di rischio 6"/>
  </r>
  <r>
    <n v="337357"/>
    <x v="10"/>
    <x v="10"/>
    <x v="9"/>
    <n v="53850"/>
    <n v="109"/>
    <s v="053850_109"/>
    <s v="Discovery Day"/>
    <s v="Mai valutato"/>
    <m/>
    <n v="202504177908006"/>
    <m/>
    <n v="20250417"/>
    <s v="48 - Bonifico in arrivo "/>
    <m/>
    <s v="086 - ITALIA"/>
    <s v="A     - Avere"/>
    <n v="77738.649999999994"/>
    <n v="77738.649999999994"/>
    <n v="3720185"/>
    <s v="DNCSRA99S47A662K"/>
    <s v="DI NUCCIO SARA"/>
    <s v="600 - Famiglie consumatrici"/>
    <m/>
    <s v="086 - ITALIA"/>
    <n v="929"/>
    <m/>
    <m/>
    <m/>
    <m/>
    <m/>
    <m/>
    <m/>
    <n v="0"/>
    <n v="202504"/>
    <x v="5"/>
    <x v="2"/>
    <x v="1"/>
    <m/>
    <x v="0"/>
    <x v="0"/>
    <s v="999"/>
    <s v="600"/>
    <s v="600999"/>
    <s v="Classe di rischio 7"/>
    <m/>
    <s v="Classe di rischio 7"/>
  </r>
  <r>
    <n v="337356"/>
    <x v="4"/>
    <x v="4"/>
    <x v="9"/>
    <n v="53850"/>
    <n v="116"/>
    <s v="053850_116"/>
    <s v="Discovery Day"/>
    <s v="Mai valutato"/>
    <m/>
    <n v="202504177905525"/>
    <n v="2343300010453"/>
    <n v="20250417"/>
    <s v="26 - Bonifico in partenza "/>
    <m/>
    <s v="086 - ITALIA"/>
    <s v="D     - Dare"/>
    <n v="695640.49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355"/>
    <x v="4"/>
    <x v="4"/>
    <x v="9"/>
    <n v="53850"/>
    <n v="268"/>
    <s v="053850_268"/>
    <s v="Discovery Day"/>
    <s v="Mai valutato"/>
    <m/>
    <n v="202504177907009"/>
    <n v="2681147800157"/>
    <n v="20250417"/>
    <s v="D6 - Accred.o incasso per contratti derivati"/>
    <m/>
    <m/>
    <s v="A     - Avere"/>
    <n v="805996.47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354"/>
    <x v="10"/>
    <x v="10"/>
    <x v="9"/>
    <n v="53850"/>
    <n v="109"/>
    <s v="053850_109"/>
    <s v="Discovery Day"/>
    <s v="Mai valutato"/>
    <m/>
    <n v="202504177908006"/>
    <m/>
    <n v="20250417"/>
    <s v="48 - Bonifico in arrivo "/>
    <m/>
    <s v="086 - ITALIA"/>
    <s v="A     - Avere"/>
    <n v="77738.649999999994"/>
    <n v="77738.649999999994"/>
    <n v="4907285"/>
    <s v="DNCCLD97T46H096X"/>
    <s v="DI NUCCIO CLAUDIA"/>
    <s v="600 - Famiglie consumatrici"/>
    <m/>
    <s v="086 - ITALIA"/>
    <n v="1430"/>
    <m/>
    <m/>
    <m/>
    <m/>
    <m/>
    <m/>
    <m/>
    <n v="0"/>
    <n v="202504"/>
    <x v="5"/>
    <x v="2"/>
    <x v="1"/>
    <m/>
    <x v="0"/>
    <x v="0"/>
    <s v="999"/>
    <s v="600"/>
    <s v="600999"/>
    <s v="Classe di rischio 7"/>
    <m/>
    <s v="Classe di rischio 7"/>
  </r>
  <r>
    <n v="337353"/>
    <x v="2"/>
    <x v="2"/>
    <x v="9"/>
    <n v="53850"/>
    <n v="104"/>
    <s v="053850_104"/>
    <s v="Discovery Day"/>
    <s v="Mai valutato"/>
    <m/>
    <s v="202504176017818L"/>
    <n v="1043301449295"/>
    <n v="20250417"/>
    <s v="AA - Bonifico da e per estero "/>
    <m/>
    <s v="012 - BULGARIA"/>
    <s v="A     - Avere"/>
    <n v="2057.1999999999998"/>
    <n v="0"/>
    <n v="4627975"/>
    <n v="7107300720"/>
    <s v="LEONE S.R.L."/>
    <s v="430 - Imprese produttive"/>
    <s v="452 - MANUTENZIONE E RIPARAZIONE DI AUTOVEICOLI"/>
    <s v="086 - ITALIA"/>
    <n v="727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352"/>
    <x v="2"/>
    <x v="2"/>
    <x v="9"/>
    <n v="53850"/>
    <n v="116"/>
    <s v="053850_116"/>
    <s v="Discovery Day"/>
    <s v="Mai valutato"/>
    <m/>
    <s v="202504176014723L"/>
    <n v="1163307619118"/>
    <n v="20250417"/>
    <s v="AA - Bonifico da e per estero "/>
    <m/>
    <s v="091 - PRINCIPATO DI MONACO"/>
    <s v="A     - Avere"/>
    <n v="4700"/>
    <n v="0"/>
    <n v="4644565"/>
    <s v="LLLGNN63H55A662H"/>
    <s v="LOLLINO GIOVANNA"/>
    <s v="600 - Famiglie consumatrici"/>
    <m/>
    <s v="086 - ITALIA"/>
    <n v="924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351"/>
    <x v="2"/>
    <x v="2"/>
    <x v="9"/>
    <n v="53850"/>
    <n v="196"/>
    <s v="053850_196"/>
    <s v="Discovery Day"/>
    <s v="Mai valutato"/>
    <m/>
    <s v="202504176017674L"/>
    <n v="1963302354532"/>
    <n v="20250417"/>
    <s v="AA - Bonifico da e per estero "/>
    <m/>
    <s v="078 - SUDAFRICANA (REPUBBLICA)"/>
    <s v="D     - Dare"/>
    <n v="1940"/>
    <n v="0"/>
    <n v="4962400"/>
    <s v="CTRGRL94T52C514B"/>
    <s v="CATERINA GABRIELLA"/>
    <s v="600 - Famiglie consumatrici"/>
    <m/>
    <s v="086 - ITALIA"/>
    <n v="796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350"/>
    <x v="6"/>
    <x v="6"/>
    <x v="9"/>
    <n v="53850"/>
    <n v="109"/>
    <s v="053850_109"/>
    <s v="Discovery Day"/>
    <s v="Mai valutato"/>
    <m/>
    <n v="202504177906991"/>
    <n v="1093306675356"/>
    <n v="20250417"/>
    <s v="AA - Bonifico da e per estero "/>
    <m/>
    <s v="103 - HONG KONG"/>
    <s v="A     - Avere"/>
    <n v="16016"/>
    <n v="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4"/>
    <x v="1"/>
    <x v="0"/>
    <x v="0"/>
    <n v="4976123"/>
    <x v="1"/>
    <x v="0"/>
    <s v="477"/>
    <s v="430"/>
    <s v="430477"/>
    <s v="Classe di rischio 3"/>
    <m/>
    <s v="Classe di rischio 3"/>
  </r>
  <r>
    <n v="337349"/>
    <x v="4"/>
    <x v="4"/>
    <x v="9"/>
    <n v="53850"/>
    <n v="102"/>
    <s v="053850_102"/>
    <s v="Discovery Day"/>
    <s v="Mai valutato"/>
    <m/>
    <n v="202504177907921"/>
    <n v="1023308723686"/>
    <n v="20250417"/>
    <s v="26 - Bonifico in partenza "/>
    <m/>
    <s v="086 - ITALIA"/>
    <s v="D     - Dare"/>
    <n v="2342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4"/>
    <x v="1"/>
    <x v="0"/>
    <x v="0"/>
    <n v="531420"/>
    <x v="1"/>
    <x v="0"/>
    <s v="999"/>
    <s v="615"/>
    <s v="615999"/>
    <m/>
    <s v="1"/>
    <s v="Classe di rischio 3"/>
  </r>
  <r>
    <n v="337348"/>
    <x v="10"/>
    <x v="10"/>
    <x v="9"/>
    <n v="53850"/>
    <n v="109"/>
    <s v="053850_109"/>
    <s v="Discovery Day"/>
    <s v="Mai valutato"/>
    <m/>
    <n v="202504177908006"/>
    <m/>
    <n v="20250417"/>
    <s v="48 - Bonifico in arrivo "/>
    <m/>
    <s v="086 - ITALIA"/>
    <s v="A     - Avere"/>
    <n v="77738.649999999994"/>
    <n v="77738.649999999994"/>
    <n v="4116562"/>
    <s v="DNCCRL67D27B445R"/>
    <s v="DI NUCCIO CARLO"/>
    <s v="600 - Famiglie consumatrici"/>
    <m/>
    <s v="086 - ITALIA"/>
    <n v="1430"/>
    <m/>
    <m/>
    <m/>
    <m/>
    <m/>
    <m/>
    <m/>
    <n v="0"/>
    <n v="202504"/>
    <x v="5"/>
    <x v="2"/>
    <x v="1"/>
    <m/>
    <x v="0"/>
    <x v="0"/>
    <s v="999"/>
    <s v="600"/>
    <s v="600999"/>
    <s v="Classe di rischio 7"/>
    <m/>
    <s v="Classe di rischio 7"/>
  </r>
  <r>
    <n v="337347"/>
    <x v="4"/>
    <x v="4"/>
    <x v="9"/>
    <n v="53850"/>
    <n v="192"/>
    <s v="053850_192"/>
    <s v="Discovery Day"/>
    <s v="Mai valutato"/>
    <m/>
    <s v="202504176017961L"/>
    <n v="1923300178032"/>
    <n v="20250417"/>
    <s v="SPECIAL"/>
    <m/>
    <m/>
    <s v="D     - Dare"/>
    <n v="1480.93"/>
    <n v="0"/>
    <n v="3174010"/>
    <s v="CCRNTN32L10E986O"/>
    <s v="CICERO ANTONIO"/>
    <s v="600 - Famiglie consumatrici"/>
    <m/>
    <s v="086 - ITALIA"/>
    <n v="481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46"/>
    <x v="2"/>
    <x v="2"/>
    <x v="9"/>
    <n v="53850"/>
    <n v="171"/>
    <s v="053850_171"/>
    <s v="Discovery Day"/>
    <s v="Mai valutato"/>
    <m/>
    <n v="202504157905829"/>
    <n v="1713302216617"/>
    <n v="20250415"/>
    <s v="AA - Bonifico da e per estero "/>
    <m/>
    <s v="012 - BULGARIA"/>
    <s v="D     - Dare"/>
    <n v="5000"/>
    <n v="0"/>
    <n v="4220793"/>
    <s v="BRANTN64T10A893Y"/>
    <s v="BARI ANTONIO"/>
    <s v="600 - Famiglie consumatrici"/>
    <m/>
    <s v="086 - ITALIA"/>
    <n v="815"/>
    <m/>
    <m/>
    <m/>
    <m/>
    <m/>
    <m/>
    <m/>
    <n v="0"/>
    <n v="202504"/>
    <x v="4"/>
    <x v="1"/>
    <x v="0"/>
    <m/>
    <x v="0"/>
    <x v="0"/>
    <s v="999"/>
    <s v="600"/>
    <s v="600999"/>
    <s v="Classe di rischio 7"/>
    <m/>
    <s v="Classe di rischio 7"/>
  </r>
  <r>
    <n v="337345"/>
    <x v="5"/>
    <x v="5"/>
    <x v="10"/>
    <n v="53850"/>
    <n v="268"/>
    <s v="053850_268"/>
    <s v="Discovery Day"/>
    <s v="Mai valutato"/>
    <m/>
    <n v="202504167904813"/>
    <n v="2683300010030"/>
    <n v="20250416"/>
    <s v="03 - Versamento contante cassa continua "/>
    <m/>
    <m/>
    <s v="A     - Avere"/>
    <n v="31820"/>
    <n v="3182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x v="1"/>
    <x v="0"/>
    <x v="0"/>
    <n v="4966939"/>
    <x v="1"/>
    <x v="0"/>
    <s v="999"/>
    <s v="615"/>
    <s v="615999"/>
    <m/>
    <s v="1"/>
    <s v="Classe di rischio 3"/>
  </r>
  <r>
    <n v="337344"/>
    <x v="5"/>
    <x v="5"/>
    <x v="10"/>
    <n v="53850"/>
    <n v="117"/>
    <s v="053850_117"/>
    <s v="Discovery Day"/>
    <s v="Mai valutato"/>
    <m/>
    <s v="Vari (16/04/2025)"/>
    <n v="1173300538726"/>
    <n v="20250416"/>
    <s v="VV"/>
    <m/>
    <m/>
    <s v="A     - Avere"/>
    <n v="52743.93"/>
    <n v="35535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4"/>
    <x v="1"/>
    <x v="0"/>
    <x v="0"/>
    <n v="4784989"/>
    <x v="1"/>
    <x v="1"/>
    <s v="999"/>
    <s v="430"/>
    <s v="430999"/>
    <m/>
    <s v="1"/>
    <s v="Classe di rischio 1"/>
  </r>
  <r>
    <n v="337343"/>
    <x v="6"/>
    <x v="6"/>
    <x v="10"/>
    <n v="53850"/>
    <n v="110"/>
    <s v="053850_110"/>
    <s v="Discovery Day"/>
    <s v="Mai valutato"/>
    <m/>
    <n v="202504167903584"/>
    <n v="1103306288240"/>
    <n v="20250416"/>
    <s v="AA - Bonifico da e per estero "/>
    <m/>
    <s v="129 - INDONESIA"/>
    <s v="A     - Avere"/>
    <n v="45394.39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4"/>
    <x v="0"/>
    <x v="0"/>
    <x v="0"/>
    <m/>
    <x v="0"/>
    <x v="0"/>
    <s v="464"/>
    <s v="430"/>
    <s v="430464"/>
    <s v="Classe di rischio 4"/>
    <m/>
    <s v="Classe di rischio 4"/>
  </r>
  <r>
    <n v="337342"/>
    <x v="7"/>
    <x v="7"/>
    <x v="10"/>
    <n v="53850"/>
    <n v="99"/>
    <s v="053850_99"/>
    <s v="Discovery Day"/>
    <s v="Mai valutato"/>
    <m/>
    <n v="202504167904872"/>
    <m/>
    <n v="20250416"/>
    <s v="SPECIAL"/>
    <m/>
    <m/>
    <s v="D     - Dare"/>
    <n v="45671.839999999997"/>
    <n v="0"/>
    <n v="1623092"/>
    <s v="RSTNDA62R42Z700H"/>
    <s v="ROSATO NADIA"/>
    <s v="600 - Famiglie consumatrici"/>
    <m/>
    <s v="086 - ITALIA"/>
    <n v="1876"/>
    <m/>
    <m/>
    <m/>
    <m/>
    <m/>
    <m/>
    <m/>
    <n v="0"/>
    <n v="202504"/>
    <x v="0"/>
    <x v="0"/>
    <x v="1"/>
    <m/>
    <x v="0"/>
    <x v="1"/>
    <s v="999"/>
    <s v="600"/>
    <s v="600999"/>
    <s v="Classe di rischio 7"/>
    <m/>
    <s v="Classe di rischio 7"/>
  </r>
  <r>
    <n v="337341"/>
    <x v="11"/>
    <x v="11"/>
    <x v="10"/>
    <n v="53850"/>
    <n v="265"/>
    <s v="053850_265"/>
    <s v="Discovery Day"/>
    <s v="Mai valutato"/>
    <m/>
    <n v="202504167905316"/>
    <n v="2653300000877"/>
    <n v="20250416"/>
    <s v="52 - Prelevamento con moduli di sportello "/>
    <m/>
    <m/>
    <s v="D     - Dare"/>
    <n v="22000"/>
    <n v="22000"/>
    <n v="1649396"/>
    <n v="1208100774"/>
    <s v="PLURIVOX SRL"/>
    <s v="430 - Imprese produttive"/>
    <s v="464 - COMMERCIO ALL'INGROSSO DI BENI DI CONSUMO FINALE"/>
    <s v="086 - ITALIA"/>
    <n v="1769"/>
    <m/>
    <m/>
    <m/>
    <m/>
    <m/>
    <m/>
    <m/>
    <n v="0"/>
    <n v="202504"/>
    <x v="1"/>
    <x v="0"/>
    <x v="1"/>
    <n v="1649396"/>
    <x v="1"/>
    <x v="0"/>
    <s v="464"/>
    <s v="430"/>
    <s v="430464"/>
    <s v="Classe di rischio 4"/>
    <m/>
    <s v="Classe di rischio 4"/>
  </r>
  <r>
    <n v="337340"/>
    <x v="6"/>
    <x v="6"/>
    <x v="10"/>
    <n v="53850"/>
    <n v="110"/>
    <s v="053850_110"/>
    <s v="Discovery Day"/>
    <s v="Mai valutato"/>
    <m/>
    <n v="202504167903583"/>
    <n v="1103306288240"/>
    <n v="20250416"/>
    <s v="AA - Bonifico da e per estero "/>
    <m/>
    <s v="129 - INDONESIA"/>
    <s v="A     - Avere"/>
    <n v="292570.76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4"/>
    <x v="0"/>
    <x v="0"/>
    <x v="0"/>
    <m/>
    <x v="0"/>
    <x v="0"/>
    <s v="464"/>
    <s v="430"/>
    <s v="430464"/>
    <s v="Classe di rischio 4"/>
    <m/>
    <s v="Classe di rischio 4"/>
  </r>
  <r>
    <n v="337339"/>
    <x v="6"/>
    <x v="6"/>
    <x v="10"/>
    <n v="53850"/>
    <n v="109"/>
    <s v="053850_109"/>
    <s v="Discovery Day"/>
    <s v="Mai valutato"/>
    <m/>
    <n v="202504167903578"/>
    <n v="1093306675356"/>
    <n v="20250416"/>
    <s v="AA - Bonifico da e per estero "/>
    <m/>
    <s v="103 - HONG KONG"/>
    <s v="A     - Avere"/>
    <n v="110000"/>
    <n v="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4"/>
    <x v="1"/>
    <x v="0"/>
    <x v="0"/>
    <n v="4976123"/>
    <x v="1"/>
    <x v="0"/>
    <s v="477"/>
    <s v="430"/>
    <s v="430477"/>
    <s v="Classe di rischio 3"/>
    <m/>
    <s v="Classe di rischio 3"/>
  </r>
  <r>
    <n v="337338"/>
    <x v="5"/>
    <x v="5"/>
    <x v="10"/>
    <n v="53850"/>
    <n v="189"/>
    <s v="053850_189"/>
    <s v="Discovery Day"/>
    <s v="Mai valutato"/>
    <m/>
    <n v="202504167905220"/>
    <n v="1893300023546"/>
    <n v="20250416"/>
    <s v="D1 - Versamento di contante "/>
    <m/>
    <m/>
    <s v="A     - Avere"/>
    <n v="64090"/>
    <n v="6409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4"/>
    <x v="1"/>
    <x v="0"/>
    <x v="0"/>
    <n v="3064562"/>
    <x v="1"/>
    <x v="0"/>
    <s v="999"/>
    <s v="615"/>
    <s v="615999"/>
    <m/>
    <s v="1"/>
    <s v="Classe di rischio 3"/>
  </r>
  <r>
    <n v="337337"/>
    <x v="4"/>
    <x v="4"/>
    <x v="10"/>
    <n v="53850"/>
    <n v="125"/>
    <s v="053850_125"/>
    <s v="Discovery Day"/>
    <s v="Mai valutato"/>
    <m/>
    <s v="202504165994287L"/>
    <n v="1253300001246"/>
    <n v="20250416"/>
    <s v="SPECIAL"/>
    <m/>
    <m/>
    <s v="D     - Dare"/>
    <n v="1650.83"/>
    <n v="0"/>
    <n v="4171290"/>
    <s v="GNTFNN61D15I676G"/>
    <s v="GENTILE FERNANDO"/>
    <s v="600 - Famiglie consumatrici"/>
    <m/>
    <s v="086 - ITALIA"/>
    <m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36"/>
    <x v="4"/>
    <x v="4"/>
    <x v="10"/>
    <n v="53850"/>
    <n v="119"/>
    <s v="053850_119"/>
    <s v="Discovery Day"/>
    <s v="Mai valutato"/>
    <m/>
    <n v="202504167905032"/>
    <n v="1193308874020"/>
    <n v="20250416"/>
    <s v="SPECIAL"/>
    <m/>
    <m/>
    <s v="D     - Dare"/>
    <n v="8026.95"/>
    <n v="0"/>
    <n v="475355"/>
    <s v="CLLNGL31A06A662F"/>
    <s v="CILLO ANGELO"/>
    <s v="600 - Famiglie consumatrici"/>
    <m/>
    <s v="086 - ITALIA"/>
    <n v="669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35"/>
    <x v="4"/>
    <x v="4"/>
    <x v="10"/>
    <n v="53850"/>
    <n v="122"/>
    <s v="053850_122"/>
    <s v="Discovery Day"/>
    <s v="Mai valutato"/>
    <m/>
    <n v="202504167902925"/>
    <n v="1223300001682"/>
    <n v="20250416"/>
    <s v="48 - Bonifico in arrivo "/>
    <m/>
    <s v="086 - ITALIA"/>
    <s v="A     - Avere"/>
    <n v="1245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37334"/>
    <x v="2"/>
    <x v="2"/>
    <x v="10"/>
    <n v="53850"/>
    <n v="103"/>
    <s v="053850_103"/>
    <s v="Discovery Day"/>
    <s v="Mai valutato"/>
    <m/>
    <n v="202504167902380"/>
    <n v="1033302886146"/>
    <n v="20250416"/>
    <s v="AA - Bonifico da e per estero "/>
    <m/>
    <s v="012 - BULGARIA"/>
    <s v="D     - Dare"/>
    <n v="5536.36"/>
    <n v="0"/>
    <n v="4503362"/>
    <n v="6800040724"/>
    <s v="AUTOTRASPORTI F.LLI LOMBARDI DI LOMBARDI VINCENZO E GIUSEPPE SNC"/>
    <s v="482 - Quasi societa' non finanziarie artigiane - Unita' o societa' con meno di 20 addetti"/>
    <s v="494 - TRASPORTO DI MERCI SU STRADA E SERVIZI DI TRASLOCO"/>
    <s v="086 - ITALIA"/>
    <n v="1912"/>
    <m/>
    <m/>
    <m/>
    <m/>
    <m/>
    <m/>
    <m/>
    <n v="0"/>
    <n v="202504"/>
    <x v="2"/>
    <x v="1"/>
    <x v="0"/>
    <m/>
    <x v="0"/>
    <x v="0"/>
    <s v="999"/>
    <s v="482"/>
    <s v="482999"/>
    <m/>
    <s v="1"/>
    <s v="Classe di rischio 2"/>
  </r>
  <r>
    <n v="337333"/>
    <x v="4"/>
    <x v="4"/>
    <x v="10"/>
    <n v="53850"/>
    <n v="106"/>
    <s v="053850_106"/>
    <s v="Discovery Day"/>
    <s v="Mai valutato"/>
    <m/>
    <n v="202504167904969"/>
    <n v="1063302770540"/>
    <n v="20250416"/>
    <s v="SPECIAL"/>
    <m/>
    <m/>
    <s v="D     - Dare"/>
    <n v="12338.81"/>
    <n v="0"/>
    <n v="4111345"/>
    <s v="ZCCGTN68T18L328D"/>
    <s v="ZACCAGNI GAETANO"/>
    <s v="600 - Famiglie consumatrici"/>
    <m/>
    <s v="086 - ITALIA"/>
    <n v="1464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332"/>
    <x v="4"/>
    <x v="4"/>
    <x v="10"/>
    <n v="53850"/>
    <n v="106"/>
    <s v="053850_106"/>
    <s v="Discovery Day"/>
    <s v="Mai valutato"/>
    <m/>
    <n v="202504167904969"/>
    <n v="1063302770540"/>
    <n v="20250416"/>
    <s v="SPECIAL"/>
    <m/>
    <m/>
    <s v="D     - Dare"/>
    <n v="12338.81"/>
    <n v="0"/>
    <n v="34026"/>
    <s v="ZCCFDN34D27F220B"/>
    <s v="ZACCAGNI FERDINANDO"/>
    <s v="600 - Famiglie consumatrici"/>
    <m/>
    <s v="086 - ITALIA"/>
    <n v="1464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331"/>
    <x v="3"/>
    <x v="3"/>
    <x v="10"/>
    <n v="53850"/>
    <n v="116"/>
    <s v="053850_116"/>
    <s v="Discovery Day"/>
    <s v="Mai valutato"/>
    <m/>
    <n v="202504167904761"/>
    <n v="2343300010453"/>
    <n v="20250416"/>
    <s v="03 - Versamento contante cassa continua "/>
    <m/>
    <m/>
    <s v="A     - Avere"/>
    <n v="160463.5"/>
    <n v="160463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330"/>
    <x v="5"/>
    <x v="5"/>
    <x v="10"/>
    <n v="53850"/>
    <n v="171"/>
    <s v="053850_171"/>
    <s v="Discovery Day"/>
    <s v="Mai valutato"/>
    <m/>
    <s v="Vari (16/04/2025)"/>
    <n v="1713302214147"/>
    <n v="20250416"/>
    <s v="03 - Versamento contante cassa continua "/>
    <m/>
    <m/>
    <s v="A     - Avere"/>
    <n v="158650"/>
    <n v="158650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329"/>
    <x v="5"/>
    <x v="5"/>
    <x v="10"/>
    <n v="53850"/>
    <n v="108"/>
    <s v="053850_108"/>
    <s v="Discovery Day"/>
    <s v="Mai valutato"/>
    <m/>
    <n v="202504167904972"/>
    <n v="1083306291105"/>
    <n v="20250416"/>
    <s v="D1 - Versamento di contante "/>
    <m/>
    <m/>
    <s v="A     - Avere"/>
    <n v="87430.15"/>
    <n v="87430.1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0"/>
    <s v="999"/>
    <s v="430"/>
    <s v="430999"/>
    <m/>
    <s v="1"/>
    <s v="Classe di rischio 1"/>
  </r>
  <r>
    <n v="337328"/>
    <x v="2"/>
    <x v="2"/>
    <x v="10"/>
    <n v="53850"/>
    <n v="147"/>
    <s v="053850_147"/>
    <s v="Discovery Day"/>
    <s v="Mai valutato"/>
    <m/>
    <s v="202504165994061L"/>
    <n v="1473300005217"/>
    <n v="20250416"/>
    <s v="AA - Bonifico da e per estero "/>
    <m/>
    <s v="012 - BULGARIA"/>
    <s v="D     - Dare"/>
    <n v="2050"/>
    <n v="0"/>
    <n v="3724704"/>
    <n v="4306130610"/>
    <s v="SABATINO SRL"/>
    <s v="430 - Imprese produttive"/>
    <s v="494 - TRASPORTO DI MERCI SU STRADA E SERVIZI DI TRASLOCO"/>
    <s v="086 - ITALIA"/>
    <n v="1196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327"/>
    <x v="4"/>
    <x v="4"/>
    <x v="10"/>
    <n v="53850"/>
    <n v="109"/>
    <s v="053850_109"/>
    <s v="Discovery Day"/>
    <s v="Mai valutato"/>
    <m/>
    <n v="202504167904465"/>
    <n v="1093306674001"/>
    <n v="20250416"/>
    <s v="13 - Addebito per estinzione assegno"/>
    <m/>
    <m/>
    <s v="D     - Dare"/>
    <n v="90236.33"/>
    <n v="0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4"/>
    <x v="1"/>
    <x v="0"/>
    <x v="0"/>
    <n v="4125303"/>
    <x v="1"/>
    <x v="0"/>
    <s v="477"/>
    <s v="615"/>
    <s v="615477"/>
    <s v="Classe di rischio 6"/>
    <m/>
    <s v="Classe di rischio 6"/>
  </r>
  <r>
    <n v="337326"/>
    <x v="5"/>
    <x v="5"/>
    <x v="10"/>
    <n v="53850"/>
    <n v="287"/>
    <s v="053850_287"/>
    <s v="Discovery Day"/>
    <s v="Mai valutato"/>
    <m/>
    <s v="Vari (16/04/2025)"/>
    <n v="2873300001853"/>
    <n v="20250416"/>
    <s v="VV"/>
    <m/>
    <m/>
    <s v="A     - Avere"/>
    <n v="48657.95"/>
    <n v="3577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x v="0"/>
    <x v="0"/>
    <x v="0"/>
    <n v="3722213"/>
    <x v="1"/>
    <x v="1"/>
    <s v="463"/>
    <s v="430"/>
    <s v="430463"/>
    <s v="Classe di rischio 3"/>
    <m/>
    <s v="Classe di rischio 3"/>
  </r>
  <r>
    <n v="337325"/>
    <x v="3"/>
    <x v="3"/>
    <x v="10"/>
    <n v="53850"/>
    <n v="105"/>
    <s v="053850_105"/>
    <s v="Discovery Day"/>
    <s v="Mai valutato"/>
    <m/>
    <n v="202504167904959"/>
    <n v="1053306290053"/>
    <n v="20250416"/>
    <s v="G8 - Versamento assegno circolare stesso intermediario"/>
    <m/>
    <m/>
    <s v="A     - Avere"/>
    <n v="100000"/>
    <n v="0"/>
    <n v="55359"/>
    <n v="296600729"/>
    <s v="PAOLO SCOPPIO E FIGLIO AUTOLINEE S.R.L."/>
    <s v="430 - Imprese produttive"/>
    <s v="493 - ALTRI TRASPORTI TERRESTRI DI PASSEGGERI"/>
    <s v="086 - ITALIA"/>
    <n v="1058"/>
    <m/>
    <m/>
    <m/>
    <m/>
    <m/>
    <m/>
    <m/>
    <n v="0"/>
    <n v="202504"/>
    <x v="1"/>
    <x v="0"/>
    <x v="0"/>
    <m/>
    <x v="0"/>
    <x v="0"/>
    <s v="493"/>
    <s v="430"/>
    <s v="430493"/>
    <s v="Classe di rischio 3"/>
    <m/>
    <s v="Classe di rischio 3"/>
  </r>
  <r>
    <n v="337324"/>
    <x v="4"/>
    <x v="4"/>
    <x v="10"/>
    <n v="53850"/>
    <n v="125"/>
    <s v="053850_125"/>
    <s v="Discovery Day"/>
    <s v="Mai valutato"/>
    <m/>
    <s v="202504165994287L"/>
    <n v="1253300001246"/>
    <n v="20250416"/>
    <s v="SPECIAL"/>
    <m/>
    <m/>
    <s v="D     - Dare"/>
    <n v="1650.83"/>
    <n v="0"/>
    <n v="4171313"/>
    <s v="GNTGNI65M09I676Y"/>
    <s v="GENTILE GINO"/>
    <s v="600 - Famiglie consumatrici"/>
    <m/>
    <s v="086 - ITALIA"/>
    <m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23"/>
    <x v="6"/>
    <x v="6"/>
    <x v="10"/>
    <n v="53850"/>
    <n v="271"/>
    <s v="053850_271"/>
    <s v="Discovery Day"/>
    <s v="Mai valutato"/>
    <m/>
    <n v="202504167903565"/>
    <n v="2713300002851"/>
    <n v="20250416"/>
    <s v="AA - Bonifico da e per estero "/>
    <m/>
    <s v="071 - SVIZZERA"/>
    <s v="A     - Avere"/>
    <n v="20000"/>
    <n v="0"/>
    <n v="1681054"/>
    <s v="VRNLNR88D41G141N"/>
    <s v="VERNA ELEONORA"/>
    <s v="600 - Famiglie consumatrici"/>
    <m/>
    <s v="086 - ITALIA"/>
    <n v="1849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322"/>
    <x v="4"/>
    <x v="4"/>
    <x v="10"/>
    <n v="53850"/>
    <n v="141"/>
    <s v="053850_141"/>
    <s v="Discovery Day"/>
    <s v="Mai valutato"/>
    <m/>
    <n v="202504167905088"/>
    <n v="1413300004360"/>
    <n v="20250416"/>
    <s v="26 - Bonifico in partenza "/>
    <m/>
    <m/>
    <s v="D     - Dare"/>
    <n v="320000"/>
    <n v="0"/>
    <n v="3740194"/>
    <s v="RREFRC81H70D862X"/>
    <s v="ERROI FEDERICA"/>
    <s v="600 - Famiglie consumatrici"/>
    <m/>
    <s v="086 - ITALIA"/>
    <n v="1380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321"/>
    <x v="3"/>
    <x v="3"/>
    <x v="10"/>
    <n v="53850"/>
    <n v="171"/>
    <s v="053850_171"/>
    <s v="Discovery Day"/>
    <s v="Mai valutato"/>
    <m/>
    <s v="Vari (16/04/2025)"/>
    <n v="1713305728950"/>
    <n v="20250416"/>
    <s v="03 - Versamento contante cassa continua "/>
    <m/>
    <m/>
    <s v="A     - Avere"/>
    <n v="415961.05"/>
    <n v="415961.0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320"/>
    <x v="3"/>
    <x v="3"/>
    <x v="10"/>
    <n v="53850"/>
    <n v="103"/>
    <s v="053850_103"/>
    <s v="Discovery Day"/>
    <s v="Mai valutato"/>
    <m/>
    <n v="202504167904939"/>
    <n v="1033306986061"/>
    <n v="20250416"/>
    <s v="G7 - Versamento assegno circolare altro intermediario "/>
    <m/>
    <m/>
    <s v="A     - Avere"/>
    <n v="145000"/>
    <n v="0"/>
    <n v="3743240"/>
    <n v="7980630722"/>
    <s v="PULIART SOCIETA' A RESPONSABILITA' LIMITATA"/>
    <s v="492 - Quasi societa' non finanziarie altre - Unita' o societa' con meno di 20 addetti"/>
    <s v="812 - ATTIVITÀ DI PULIZIA E DISINFESTAZIONE"/>
    <s v="086 - ITALIA"/>
    <n v="995"/>
    <m/>
    <m/>
    <m/>
    <m/>
    <m/>
    <m/>
    <m/>
    <n v="0"/>
    <n v="202504"/>
    <x v="2"/>
    <x v="1"/>
    <x v="0"/>
    <m/>
    <x v="0"/>
    <x v="0"/>
    <s v="999"/>
    <s v="492"/>
    <s v="492999"/>
    <m/>
    <s v="1"/>
    <s v="Classe di rischio 2"/>
  </r>
  <r>
    <n v="337319"/>
    <x v="5"/>
    <x v="5"/>
    <x v="10"/>
    <n v="53850"/>
    <n v="171"/>
    <s v="053850_171"/>
    <s v="Discovery Day"/>
    <s v="Mai valutato"/>
    <m/>
    <s v="Vari (16/04/2025)"/>
    <n v="1713305728950"/>
    <n v="20250416"/>
    <s v="03 - Versamento contante cassa continua "/>
    <m/>
    <m/>
    <s v="A     - Avere"/>
    <n v="415961.05"/>
    <n v="415961.0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318"/>
    <x v="4"/>
    <x v="4"/>
    <x v="10"/>
    <n v="53850"/>
    <n v="187"/>
    <s v="053850_187"/>
    <s v="Discovery Day"/>
    <s v="Mai valutato"/>
    <m/>
    <n v="202504167902317"/>
    <n v="999361870311"/>
    <n v="20250416"/>
    <s v="26 - Bonifico in partenza 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4"/>
    <x v="0"/>
    <x v="0"/>
    <x v="0"/>
    <m/>
    <x v="0"/>
    <x v="0"/>
    <s v="999"/>
    <s v="173"/>
    <s v="173999"/>
    <s v="Classe di rischio 0"/>
    <m/>
    <s v="Classe di rischio 0"/>
  </r>
  <r>
    <n v="337317"/>
    <x v="4"/>
    <x v="4"/>
    <x v="10"/>
    <n v="53850"/>
    <n v="120"/>
    <s v="053850_120"/>
    <s v="Discovery Day"/>
    <s v="Mai valutato"/>
    <m/>
    <n v="202504167904129"/>
    <n v="1203300002401"/>
    <n v="20250416"/>
    <s v="50 - Pagamenti diversi"/>
    <m/>
    <m/>
    <s v="D     - Dare"/>
    <n v="3024671.13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x v="1"/>
    <x v="0"/>
    <x v="0"/>
    <n v="613876"/>
    <x v="1"/>
    <x v="0"/>
    <s v="999"/>
    <s v="500"/>
    <s v="500999"/>
    <m/>
    <s v="1"/>
    <s v="Classe di rischio 3"/>
  </r>
  <r>
    <n v="337316"/>
    <x v="4"/>
    <x v="4"/>
    <x v="10"/>
    <n v="53850"/>
    <n v="270"/>
    <s v="053850_270"/>
    <s v="Discovery Day"/>
    <s v="Mai valutato"/>
    <m/>
    <n v="202504167904871"/>
    <n v="2703300010043"/>
    <n v="20250416"/>
    <s v="SPECIAL"/>
    <m/>
    <m/>
    <s v="D     - Dare"/>
    <n v="45671.839999999997"/>
    <n v="0"/>
    <n v="1623092"/>
    <s v="RSTNDA62R42Z700H"/>
    <s v="ROSATO NADIA"/>
    <s v="600 - Famiglie consumatrici"/>
    <m/>
    <s v="086 - ITALIA"/>
    <n v="1876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15"/>
    <x v="3"/>
    <x v="3"/>
    <x v="10"/>
    <n v="53850"/>
    <n v="171"/>
    <s v="053850_171"/>
    <s v="Discovery Day"/>
    <s v="Mai valutato"/>
    <m/>
    <s v="Vari (16/04/2025)"/>
    <n v="1713302214147"/>
    <n v="20250416"/>
    <s v="03 - Versamento contante cassa continua "/>
    <m/>
    <m/>
    <s v="A     - Avere"/>
    <n v="158650"/>
    <n v="158650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314"/>
    <x v="2"/>
    <x v="2"/>
    <x v="10"/>
    <n v="53850"/>
    <n v="171"/>
    <s v="053850_171"/>
    <s v="Discovery Day"/>
    <s v="Mai valutato"/>
    <m/>
    <n v="202504167901863"/>
    <n v="1713302216617"/>
    <n v="20250416"/>
    <s v="AA - Bonifico da e per estero "/>
    <m/>
    <s v="012 - BULGARIA"/>
    <s v="D     - Dare"/>
    <n v="5000"/>
    <n v="0"/>
    <n v="4220793"/>
    <s v="BRANTN64T10A893Y"/>
    <s v="BARI ANTONIO"/>
    <s v="600 - Famiglie consumatrici"/>
    <m/>
    <s v="086 - ITALIA"/>
    <n v="815"/>
    <m/>
    <m/>
    <m/>
    <m/>
    <m/>
    <m/>
    <m/>
    <n v="0"/>
    <n v="202504"/>
    <x v="4"/>
    <x v="1"/>
    <x v="0"/>
    <m/>
    <x v="0"/>
    <x v="0"/>
    <s v="999"/>
    <s v="600"/>
    <s v="600999"/>
    <s v="Classe di rischio 7"/>
    <m/>
    <s v="Classe di rischio 7"/>
  </r>
  <r>
    <n v="337313"/>
    <x v="4"/>
    <x v="4"/>
    <x v="10"/>
    <n v="53850"/>
    <n v="119"/>
    <s v="053850_119"/>
    <s v="Discovery Day"/>
    <s v="Mai valutato"/>
    <m/>
    <n v="202504167905032"/>
    <n v="1193308874020"/>
    <n v="20250416"/>
    <s v="SPECIAL"/>
    <m/>
    <m/>
    <s v="D     - Dare"/>
    <n v="8026.95"/>
    <n v="0"/>
    <n v="571251"/>
    <s v="CLLLRD63B02A662N"/>
    <s v="CILLO LEONARDO"/>
    <s v="600 - Famiglie consumatrici"/>
    <m/>
    <s v="086 - ITALIA"/>
    <n v="669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312"/>
    <x v="4"/>
    <x v="4"/>
    <x v="10"/>
    <n v="53850"/>
    <n v="106"/>
    <s v="053850_106"/>
    <s v="Discovery Day"/>
    <s v="Mai valutato"/>
    <m/>
    <n v="202504167904966"/>
    <n v="1063302768424"/>
    <n v="20250416"/>
    <s v="SPECIAL"/>
    <m/>
    <m/>
    <s v="D     - Dare"/>
    <n v="20474.53"/>
    <n v="0"/>
    <n v="4028926"/>
    <n v="90018550724"/>
    <s v="ASSOCIAZIONE PRO LOCO MINERVINO MURGE"/>
    <s v="501 - Istituzioni ed enti con finalita' di assistenza, beneficenza, istruzione, culturali, sindacali, politiche, sportive, ricreative e simili"/>
    <m/>
    <s v="086 - ITALIA"/>
    <n v="1630"/>
    <m/>
    <m/>
    <m/>
    <m/>
    <m/>
    <m/>
    <m/>
    <n v="0"/>
    <n v="202504"/>
    <x v="2"/>
    <x v="1"/>
    <x v="0"/>
    <m/>
    <x v="0"/>
    <x v="1"/>
    <s v="999"/>
    <s v="501"/>
    <s v="501999"/>
    <s v="Classe di rischio 3"/>
    <m/>
    <s v="Classe di rischio 3"/>
  </r>
  <r>
    <n v="337311"/>
    <x v="4"/>
    <x v="4"/>
    <x v="10"/>
    <n v="53850"/>
    <n v="102"/>
    <s v="053850_102"/>
    <s v="Discovery Day"/>
    <s v="Mai valutato"/>
    <m/>
    <n v="202504167903092"/>
    <n v="1023308727913"/>
    <n v="20250416"/>
    <s v="48 - Bonifico in arrivo "/>
    <m/>
    <s v="086 - ITALIA"/>
    <s v="A     - Avere"/>
    <n v="3000000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x v="1"/>
    <x v="0"/>
    <x v="0"/>
    <m/>
    <x v="0"/>
    <x v="0"/>
    <s v="412"/>
    <s v="430"/>
    <s v="430412"/>
    <s v="Classe di rischio 3"/>
    <m/>
    <s v="Classe di rischio 3"/>
  </r>
  <r>
    <n v="337310"/>
    <x v="5"/>
    <x v="5"/>
    <x v="10"/>
    <n v="53850"/>
    <n v="116"/>
    <s v="053850_116"/>
    <s v="Discovery Day"/>
    <s v="Mai valutato"/>
    <m/>
    <n v="202504167904761"/>
    <n v="2343300010453"/>
    <n v="20250416"/>
    <s v="03 - Versamento contante cassa continua "/>
    <m/>
    <m/>
    <s v="A     - Avere"/>
    <n v="160463.5"/>
    <n v="160463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309"/>
    <x v="3"/>
    <x v="3"/>
    <x v="10"/>
    <n v="53850"/>
    <n v="196"/>
    <s v="053850_196"/>
    <s v="Discovery Day"/>
    <s v="Mai valutato"/>
    <m/>
    <n v="202504167905259"/>
    <n v="1963302351587"/>
    <n v="20250416"/>
    <s v="G1 - Versamento assegni tratti su altro intermediario "/>
    <m/>
    <m/>
    <s v="A     - Avere"/>
    <n v="120923.23"/>
    <n v="0"/>
    <n v="4007031"/>
    <s v="LNGLRC69E23C514Q"/>
    <s v="LUONGO ALBERICO"/>
    <s v="615 - Altre famiglie produttrici"/>
    <s v="011 - COLTIVAZIONE DI COLTURE AGRICOLE NON PERMANENTI"/>
    <s v="086 - ITALIA"/>
    <n v="1911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37308"/>
    <x v="5"/>
    <x v="5"/>
    <x v="10"/>
    <n v="53850"/>
    <n v="102"/>
    <s v="053850_102"/>
    <s v="Discovery Day"/>
    <s v="Mai valutato"/>
    <m/>
    <s v="Vari (16/04/2025)"/>
    <n v="1023308725178"/>
    <n v="20250416"/>
    <s v="03 - Versamento contante cassa continua "/>
    <m/>
    <m/>
    <s v="A     - Avere"/>
    <n v="18000"/>
    <n v="18000"/>
    <n v="4953767"/>
    <n v="8229660728"/>
    <s v="PELLETTERIE NATUZZI S.N.C. DI BITETTI TIZIANA E BITETTI ANTONIO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4"/>
    <x v="2"/>
    <x v="1"/>
    <x v="0"/>
    <n v="4953767"/>
    <x v="1"/>
    <x v="0"/>
    <s v="477"/>
    <s v="492"/>
    <s v="492477"/>
    <s v="Classe di rischio 5"/>
    <m/>
    <s v="Classe di rischio 5"/>
  </r>
  <r>
    <n v="337307"/>
    <x v="4"/>
    <x v="4"/>
    <x v="10"/>
    <n v="53850"/>
    <n v="169"/>
    <s v="053850_169"/>
    <s v="Discovery Day"/>
    <s v="Mai valutato"/>
    <m/>
    <s v="202504166002684L"/>
    <n v="1693302225542"/>
    <n v="20250416"/>
    <s v="SPECIAL"/>
    <m/>
    <m/>
    <s v="D     - Dare"/>
    <n v="4676.7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306"/>
    <x v="4"/>
    <x v="4"/>
    <x v="10"/>
    <n v="53850"/>
    <n v="109"/>
    <s v="053850_109"/>
    <s v="Discovery Day"/>
    <s v="Mai valutato"/>
    <m/>
    <n v="202504167902602"/>
    <n v="1093306672844"/>
    <n v="20250416"/>
    <s v="48 - Bonifico in arrivo "/>
    <m/>
    <s v="086 - ITALIA"/>
    <s v="A     - Avere"/>
    <n v="8000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n v="440311"/>
    <x v="1"/>
    <x v="0"/>
    <s v="451"/>
    <s v="430"/>
    <s v="430451"/>
    <s v="Classe di rischio 3"/>
    <m/>
    <s v="Classe di rischio 3"/>
  </r>
  <r>
    <n v="337305"/>
    <x v="4"/>
    <x v="4"/>
    <x v="11"/>
    <n v="53850"/>
    <n v="120"/>
    <s v="053850_120"/>
    <s v="Discovery Day"/>
    <s v="Mai valutato"/>
    <m/>
    <n v="202504157898893"/>
    <n v="1203300002401"/>
    <n v="20250415"/>
    <s v="26 - Bonifico in partenza "/>
    <m/>
    <s v="086 - ITALIA"/>
    <s v="D     - Dare"/>
    <n v="82809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x v="1"/>
    <x v="0"/>
    <x v="0"/>
    <n v="613876"/>
    <x v="1"/>
    <x v="0"/>
    <s v="999"/>
    <s v="500"/>
    <s v="500999"/>
    <m/>
    <s v="1"/>
    <s v="Classe di rischio 3"/>
  </r>
  <r>
    <n v="337304"/>
    <x v="4"/>
    <x v="4"/>
    <x v="11"/>
    <n v="53850"/>
    <n v="141"/>
    <s v="053850_141"/>
    <s v="Discovery Day"/>
    <s v="Mai valutato"/>
    <m/>
    <n v="202504157898702"/>
    <n v="1413300003985"/>
    <n v="20250415"/>
    <s v="26 - Bonifico in partenza "/>
    <m/>
    <s v="086 - ITALIA"/>
    <s v="D     - Dare"/>
    <n v="1566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x v="1"/>
    <x v="0"/>
    <x v="0"/>
    <m/>
    <x v="0"/>
    <x v="0"/>
    <s v="931"/>
    <s v="430"/>
    <s v="430931"/>
    <s v="Classe di rischio 3"/>
    <m/>
    <s v="Classe di rischio 3"/>
  </r>
  <r>
    <n v="337303"/>
    <x v="4"/>
    <x v="4"/>
    <x v="11"/>
    <n v="53850"/>
    <n v="164"/>
    <s v="053850_164"/>
    <s v="Discovery Day"/>
    <s v="Mai valutato"/>
    <m/>
    <n v="202504157901537"/>
    <n v="1645500369067"/>
    <n v="20250415"/>
    <s v="BT - Rimborso su libretti a risparmio "/>
    <m/>
    <m/>
    <s v="D     - Da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302"/>
    <x v="5"/>
    <x v="5"/>
    <x v="11"/>
    <n v="53850"/>
    <n v="268"/>
    <s v="053850_268"/>
    <s v="Discovery Day"/>
    <s v="Mai valutato"/>
    <m/>
    <s v="Vari (15/04/2025)"/>
    <n v="2683300000942"/>
    <n v="20250415"/>
    <s v="VV"/>
    <m/>
    <m/>
    <s v="A     - Avere"/>
    <n v="47797.68"/>
    <n v="38425"/>
    <n v="1615641"/>
    <n v="2030090795"/>
    <s v="ELIOS CARNI MILETO S.R.L."/>
    <s v="430 - Imprese produttive"/>
    <s v="463 - COMMERCIO ALL'INGROSSO DI PRODOTTI ALIMENTARI, BEVANDE E PRODOTTI DEL TABACCO"/>
    <s v="086 - ITALIA"/>
    <n v="1891"/>
    <m/>
    <m/>
    <m/>
    <m/>
    <m/>
    <m/>
    <m/>
    <n v="0"/>
    <n v="202504"/>
    <x v="2"/>
    <x v="1"/>
    <x v="0"/>
    <n v="1615641"/>
    <x v="1"/>
    <x v="1"/>
    <s v="463"/>
    <s v="430"/>
    <s v="430463"/>
    <s v="Classe di rischio 3"/>
    <m/>
    <s v="Classe di rischio 3"/>
  </r>
  <r>
    <n v="337301"/>
    <x v="7"/>
    <x v="7"/>
    <x v="11"/>
    <n v="53850"/>
    <n v="99"/>
    <s v="053850_99"/>
    <s v="Discovery Day"/>
    <s v="Mai valutato"/>
    <m/>
    <s v="202504155917728L"/>
    <m/>
    <n v="20250415"/>
    <s v="SPECIAL"/>
    <m/>
    <m/>
    <s v="D     - Dare"/>
    <n v="1714.22"/>
    <n v="0"/>
    <n v="4120833"/>
    <s v="TVLNTN80M04A048T"/>
    <s v="TIEVOLI ANTONIO"/>
    <s v="600 - Famiglie consumatrici"/>
    <m/>
    <s v="086 - ITALIA"/>
    <m/>
    <m/>
    <m/>
    <m/>
    <m/>
    <m/>
    <m/>
    <m/>
    <n v="0"/>
    <n v="202504"/>
    <x v="2"/>
    <x v="1"/>
    <x v="1"/>
    <m/>
    <x v="0"/>
    <x v="1"/>
    <s v="999"/>
    <s v="600"/>
    <s v="600999"/>
    <s v="Classe di rischio 7"/>
    <m/>
    <s v="Classe di rischio 7"/>
  </r>
  <r>
    <n v="337300"/>
    <x v="4"/>
    <x v="4"/>
    <x v="11"/>
    <n v="53850"/>
    <n v="102"/>
    <s v="053850_102"/>
    <s v="Discovery Day"/>
    <s v="Mai valutato"/>
    <m/>
    <n v="202504157900518"/>
    <n v="1023308719190"/>
    <n v="20250415"/>
    <s v="50 - Pagamenti diversi"/>
    <m/>
    <m/>
    <s v="D     - Dare"/>
    <n v="1576491.0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x v="2"/>
    <x v="1"/>
    <x v="0"/>
    <m/>
    <x v="0"/>
    <x v="0"/>
    <s v="999"/>
    <s v="248"/>
    <s v="248999"/>
    <m/>
    <s v="1"/>
    <s v="Classe di rischio 0"/>
  </r>
  <r>
    <n v="337299"/>
    <x v="2"/>
    <x v="2"/>
    <x v="11"/>
    <n v="53850"/>
    <n v="134"/>
    <s v="053850_134"/>
    <s v="Discovery Day"/>
    <s v="Mai valutato"/>
    <m/>
    <s v="202504155923380L"/>
    <n v="1303300000237"/>
    <n v="20250415"/>
    <s v="AA - Bonifico da e per estero "/>
    <m/>
    <s v="012 - BULGARIA"/>
    <s v="A     - Avere"/>
    <n v="4000"/>
    <n v="0"/>
    <n v="4005541"/>
    <s v="LMTPTR64P07A612G"/>
    <s v="LOMUTO PIETRO"/>
    <s v="600 - Famiglie consumatrici"/>
    <m/>
    <s v="086 - ITALIA"/>
    <n v="1659"/>
    <m/>
    <m/>
    <m/>
    <m/>
    <m/>
    <m/>
    <m/>
    <n v="0"/>
    <n v="202504"/>
    <x v="3"/>
    <x v="1"/>
    <x v="0"/>
    <m/>
    <x v="0"/>
    <x v="0"/>
    <s v="999"/>
    <s v="600"/>
    <s v="600999"/>
    <s v="Classe di rischio 7"/>
    <m/>
    <s v="Classe di rischio 7"/>
  </r>
  <r>
    <n v="337298"/>
    <x v="4"/>
    <x v="4"/>
    <x v="11"/>
    <n v="53850"/>
    <n v="164"/>
    <s v="053850_164"/>
    <s v="Discovery Day"/>
    <s v="Mai valutato"/>
    <m/>
    <n v="202504157899790"/>
    <n v="1645500369067"/>
    <n v="20250415"/>
    <s v="BU - Deposito su libretti a risparmio 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297"/>
    <x v="4"/>
    <x v="4"/>
    <x v="11"/>
    <n v="53850"/>
    <n v="193"/>
    <s v="053850_193"/>
    <s v="Discovery Day"/>
    <s v="Mai valutato"/>
    <m/>
    <s v="202504155917729L"/>
    <n v="1933300023734"/>
    <n v="20250415"/>
    <s v="SPECIAL"/>
    <m/>
    <m/>
    <s v="D     - Dare"/>
    <n v="1714.22"/>
    <n v="0"/>
    <n v="4120833"/>
    <s v="TVLNTN80M04A048T"/>
    <s v="TIEVOLI ANTONIO"/>
    <s v="600 - Famiglie consumatrici"/>
    <m/>
    <s v="086 - ITALIA"/>
    <m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296"/>
    <x v="4"/>
    <x v="4"/>
    <x v="11"/>
    <n v="53850"/>
    <n v="193"/>
    <s v="053850_193"/>
    <s v="Discovery Day"/>
    <s v="Mai valutato"/>
    <m/>
    <n v="202504157901632"/>
    <n v="1933300024574"/>
    <n v="20250415"/>
    <s v="SPECIAL"/>
    <m/>
    <m/>
    <s v="D     - Dare"/>
    <n v="91155.22"/>
    <n v="0"/>
    <n v="4919436"/>
    <s v="LNTFPP79L13F784B"/>
    <s v="LENTINI FILIPPO"/>
    <s v="615 - Altre famiglie produttrici"/>
    <s v="561 - RISTORANTI E ATTIVITÀ DI RISTORAZIONE MOBILE"/>
    <s v="086 - ITALIA"/>
    <n v="1583"/>
    <m/>
    <m/>
    <m/>
    <m/>
    <m/>
    <m/>
    <m/>
    <n v="0"/>
    <n v="202504"/>
    <x v="2"/>
    <x v="1"/>
    <x v="0"/>
    <m/>
    <x v="0"/>
    <x v="1"/>
    <s v="999"/>
    <s v="615"/>
    <s v="615999"/>
    <m/>
    <s v="1"/>
    <s v="Classe di rischio 3"/>
  </r>
  <r>
    <n v="337295"/>
    <x v="3"/>
    <x v="3"/>
    <x v="11"/>
    <n v="53850"/>
    <n v="153"/>
    <s v="053850_153"/>
    <s v="Discovery Day"/>
    <s v="Mai valutato"/>
    <m/>
    <n v="202504157901519"/>
    <n v="1533300660019"/>
    <n v="20250415"/>
    <s v="G7 - Versamento assegno circolare altro intermediario "/>
    <m/>
    <m/>
    <s v="A     - Avere"/>
    <n v="166416.67000000001"/>
    <n v="0"/>
    <n v="4178674"/>
    <s v="SRNMSL43P65M130E"/>
    <s v="SARNO MARIA SILVANA"/>
    <s v="600 - Famiglie consumatrici"/>
    <m/>
    <s v="086 - ITALIA"/>
    <n v="1051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294"/>
    <x v="3"/>
    <x v="3"/>
    <x v="11"/>
    <n v="53850"/>
    <n v="216"/>
    <s v="053850_216"/>
    <s v="Discovery Day"/>
    <s v="Mai valutato"/>
    <m/>
    <n v="202504157901680"/>
    <n v="2163300011173"/>
    <n v="20250415"/>
    <s v="G7 - Versamento assegno circolare altro intermediario "/>
    <m/>
    <m/>
    <s v="A     - Avere"/>
    <n v="150000"/>
    <n v="0"/>
    <n v="4548289"/>
    <s v="MTTGPP76D60E058L"/>
    <s v="MATTIUCCI GIUSEPPINA"/>
    <s v="600 - Famiglie consumatrici"/>
    <m/>
    <s v="086 - ITALIA"/>
    <n v="1465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293"/>
    <x v="2"/>
    <x v="2"/>
    <x v="11"/>
    <n v="53850"/>
    <n v="110"/>
    <s v="053850_110"/>
    <s v="Discovery Day"/>
    <s v="Mai valutato"/>
    <m/>
    <s v="202504155922307L"/>
    <n v="1103305020890"/>
    <n v="20250415"/>
    <s v="AA - Bonifico da e per estero "/>
    <m/>
    <s v="261 - CROAZIA"/>
    <s v="A     - Avere"/>
    <n v="1804.4"/>
    <n v="0"/>
    <n v="502089"/>
    <s v="CRCRNT50S09A669P"/>
    <s v="CURCI RENATO"/>
    <s v="614 - Artigiani"/>
    <s v="205 - FABBRICAZIONE DI ALTRI PRODOTTI CHIMICI"/>
    <s v="086 - ITALIA"/>
    <n v="476"/>
    <m/>
    <m/>
    <m/>
    <m/>
    <m/>
    <m/>
    <m/>
    <n v="0"/>
    <n v="202504"/>
    <x v="2"/>
    <x v="1"/>
    <x v="0"/>
    <m/>
    <x v="0"/>
    <x v="0"/>
    <s v="999"/>
    <s v="614"/>
    <s v="614999"/>
    <m/>
    <s v="1"/>
    <s v="Classe di rischio 3"/>
  </r>
  <r>
    <n v="337292"/>
    <x v="4"/>
    <x v="4"/>
    <x v="11"/>
    <n v="53850"/>
    <n v="102"/>
    <s v="053850_102"/>
    <s v="Discovery Day"/>
    <s v="Mai valutato"/>
    <m/>
    <n v="202504157899756"/>
    <n v="1023308726073"/>
    <n v="20250415"/>
    <s v="48 - Bonifico in arrivo "/>
    <m/>
    <s v="086 - ITALIA"/>
    <s v="A     - Avere"/>
    <n v="823562.73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4"/>
    <x v="2"/>
    <x v="1"/>
    <x v="0"/>
    <m/>
    <x v="0"/>
    <x v="0"/>
    <s v="412"/>
    <s v="430"/>
    <s v="430412"/>
    <s v="Classe di rischio 3"/>
    <m/>
    <s v="Classe di rischio 3"/>
  </r>
  <r>
    <n v="337291"/>
    <x v="4"/>
    <x v="4"/>
    <x v="11"/>
    <n v="53850"/>
    <n v="102"/>
    <s v="053850_102"/>
    <s v="Discovery Day"/>
    <s v="Mai valutato"/>
    <m/>
    <n v="202504157901265"/>
    <n v="1023308727570"/>
    <n v="20250415"/>
    <s v="26 - Bonifico in partenza "/>
    <m/>
    <s v="086 - ITALIA"/>
    <s v="D     - Dare"/>
    <n v="179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x v="2"/>
    <x v="1"/>
    <x v="0"/>
    <m/>
    <x v="0"/>
    <x v="0"/>
    <s v="999"/>
    <s v="285"/>
    <s v="285999"/>
    <m/>
    <s v="1"/>
    <s v="Classe di rischio 0"/>
  </r>
  <r>
    <n v="337290"/>
    <x v="3"/>
    <x v="3"/>
    <x v="11"/>
    <n v="53850"/>
    <n v="153"/>
    <s v="053850_153"/>
    <s v="Discovery Day"/>
    <s v="Mai valutato"/>
    <m/>
    <n v="202504157901519"/>
    <n v="1533300660019"/>
    <n v="20250415"/>
    <s v="G7 - Versamento assegno circolare altro intermediario "/>
    <m/>
    <m/>
    <s v="A     - Avere"/>
    <n v="166416.67000000001"/>
    <n v="0"/>
    <n v="4178676"/>
    <s v="RSSNTN66R01F839Z"/>
    <s v="RUSSO ANTONIO"/>
    <s v="600 - Famiglie consumatrici"/>
    <m/>
    <s v="086 - ITALIA"/>
    <n v="1051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289"/>
    <x v="4"/>
    <x v="4"/>
    <x v="11"/>
    <n v="53850"/>
    <n v="269"/>
    <s v="053850_269"/>
    <s v="Discovery Day"/>
    <s v="Mai valutato"/>
    <m/>
    <n v="202504157901735"/>
    <n v="2693300011439"/>
    <n v="20250415"/>
    <s v="SPECIAL"/>
    <m/>
    <m/>
    <s v="D     - Dare"/>
    <n v="19817.11"/>
    <n v="0"/>
    <n v="1660933"/>
    <s v="FTTCSR53B05F582H"/>
    <s v="FITTI CESARE"/>
    <s v="600 - Famiglie consumatrici"/>
    <m/>
    <s v="086 - ITALIA"/>
    <n v="1713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288"/>
    <x v="5"/>
    <x v="5"/>
    <x v="11"/>
    <n v="53850"/>
    <n v="114"/>
    <s v="053850_114"/>
    <s v="Discovery Day"/>
    <s v="Mai valutato"/>
    <m/>
    <n v="202504157901394"/>
    <n v="1143306280621"/>
    <n v="20250415"/>
    <s v="D1 - Versamento di contante "/>
    <m/>
    <m/>
    <s v="A     - Avere"/>
    <n v="42500"/>
    <n v="425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287"/>
    <x v="4"/>
    <x v="4"/>
    <x v="11"/>
    <n v="53850"/>
    <n v="121"/>
    <s v="053850_121"/>
    <s v="Discovery Day"/>
    <s v="Mai valutato"/>
    <m/>
    <s v="202504155917316L"/>
    <n v="1213300001148"/>
    <n v="20250415"/>
    <s v="SPECIAL"/>
    <m/>
    <m/>
    <s v="D     - Dare"/>
    <n v="2326.5700000000002"/>
    <n v="0"/>
    <n v="44845"/>
    <s v="DDNMHL50P15F923F"/>
    <s v="DIDONNA MICHELE"/>
    <s v="600 - Famiglie consumatrici"/>
    <m/>
    <s v="086 - ITALIA"/>
    <n v="1452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286"/>
    <x v="5"/>
    <x v="5"/>
    <x v="11"/>
    <n v="53850"/>
    <n v="171"/>
    <s v="053850_171"/>
    <s v="Discovery Day"/>
    <s v="Mai valutato"/>
    <m/>
    <s v="Vari (15/04/2025)"/>
    <n v="1713302214147"/>
    <n v="20250415"/>
    <s v="03 - Versamento contante cassa continua "/>
    <m/>
    <m/>
    <s v="A     - Avere"/>
    <n v="59450"/>
    <n v="59450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37285"/>
    <x v="5"/>
    <x v="5"/>
    <x v="11"/>
    <n v="53850"/>
    <n v="196"/>
    <s v="053850_196"/>
    <s v="Discovery Day"/>
    <s v="Mai valutato"/>
    <m/>
    <s v="Vari (15/04/2025)"/>
    <n v="1963302353871"/>
    <n v="20250415"/>
    <s v="03 - Versamento contante cassa continua "/>
    <m/>
    <m/>
    <s v="A     - Avere"/>
    <n v="33930"/>
    <n v="33930"/>
    <n v="4897300"/>
    <n v="4164150718"/>
    <s v="FARMACIA PELAGIO S.R.L."/>
    <s v="430 - Imprese produttive"/>
    <s v="477 - COMMERCIO AL DETTAGLIO DI ALTRI PRODOTTI IN ESERCIZI SPECIALIZZATI"/>
    <s v="086 - ITALIA"/>
    <n v="1453"/>
    <m/>
    <m/>
    <m/>
    <m/>
    <m/>
    <m/>
    <m/>
    <n v="0"/>
    <n v="202504"/>
    <x v="0"/>
    <x v="0"/>
    <x v="0"/>
    <n v="4897300"/>
    <x v="1"/>
    <x v="0"/>
    <s v="477"/>
    <s v="430"/>
    <s v="430477"/>
    <s v="Classe di rischio 3"/>
    <m/>
    <s v="Classe di rischio 3"/>
  </r>
  <r>
    <n v="337284"/>
    <x v="4"/>
    <x v="4"/>
    <x v="11"/>
    <n v="53850"/>
    <n v="136"/>
    <s v="053850_136"/>
    <s v="Discovery Day"/>
    <s v="Mai valutato"/>
    <m/>
    <n v="202504157899087"/>
    <n v="1363300003821"/>
    <n v="20250415"/>
    <s v="48 - Bonifico in arrivo "/>
    <m/>
    <s v="086 - ITALIA"/>
    <s v="A     - Avere"/>
    <n v="1500000"/>
    <n v="0"/>
    <n v="4724343"/>
    <n v="80007020748"/>
    <s v="TRIBUNALE DI BRINDISI"/>
    <s v="102 - Amministrazione Statale e Organi Costituzionali"/>
    <m/>
    <s v="086 - ITALIA"/>
    <n v="1909"/>
    <m/>
    <m/>
    <m/>
    <m/>
    <m/>
    <m/>
    <m/>
    <n v="0"/>
    <n v="202504"/>
    <x v="1"/>
    <x v="0"/>
    <x v="0"/>
    <m/>
    <x v="0"/>
    <x v="0"/>
    <s v="999"/>
    <s v="102"/>
    <s v="102999"/>
    <s v="Classe di rischio 0"/>
    <m/>
    <s v="Classe di rischio 0"/>
  </r>
  <r>
    <n v="337283"/>
    <x v="4"/>
    <x v="4"/>
    <x v="11"/>
    <n v="53850"/>
    <n v="164"/>
    <s v="053850_164"/>
    <s v="Discovery Day"/>
    <s v="Mai valutato"/>
    <m/>
    <n v="202504157899791"/>
    <n v="1645500369067"/>
    <n v="20250415"/>
    <s v="48 - Bonifico in arrivo "/>
    <m/>
    <s v="086 - ITALIA"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282"/>
    <x v="3"/>
    <x v="3"/>
    <x v="11"/>
    <n v="53850"/>
    <n v="171"/>
    <s v="053850_171"/>
    <s v="Discovery Day"/>
    <s v="Mai valutato"/>
    <m/>
    <s v="Vari (15/04/2025)"/>
    <n v="1713305728950"/>
    <n v="20250415"/>
    <s v="03 - Versamento contante cassa continua "/>
    <m/>
    <m/>
    <s v="A     - Avere"/>
    <n v="210542.65"/>
    <n v="210542.6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281"/>
    <x v="4"/>
    <x v="4"/>
    <x v="11"/>
    <n v="53850"/>
    <n v="120"/>
    <s v="053850_120"/>
    <s v="Discovery Day"/>
    <s v="Mai valutato"/>
    <m/>
    <n v="202504157898898"/>
    <n v="1203300002401"/>
    <n v="20250415"/>
    <s v="26 - Bonifico in partenza "/>
    <m/>
    <s v="086 - ITALIA"/>
    <s v="D     - Dare"/>
    <n v="929375.16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x v="1"/>
    <x v="0"/>
    <x v="0"/>
    <n v="613876"/>
    <x v="1"/>
    <x v="0"/>
    <s v="999"/>
    <s v="500"/>
    <s v="500999"/>
    <m/>
    <s v="1"/>
    <s v="Classe di rischio 3"/>
  </r>
  <r>
    <n v="337280"/>
    <x v="4"/>
    <x v="4"/>
    <x v="11"/>
    <n v="53850"/>
    <n v="164"/>
    <s v="053850_164"/>
    <s v="Discovery Day"/>
    <s v="Mai valutato"/>
    <m/>
    <n v="202504157899790"/>
    <n v="1645500369067"/>
    <n v="20250415"/>
    <s v="BU - Deposito su libretti a risparmio 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279"/>
    <x v="5"/>
    <x v="5"/>
    <x v="11"/>
    <n v="53850"/>
    <n v="102"/>
    <s v="053850_102"/>
    <s v="Discovery Day"/>
    <s v="Mai valutato"/>
    <m/>
    <s v="Vari (15/04/2025)"/>
    <n v="1023308722503"/>
    <n v="20250415"/>
    <s v="03 - Versamento contante cassa continua "/>
    <m/>
    <m/>
    <s v="A     - Avere"/>
    <n v="36100"/>
    <n v="361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37278"/>
    <x v="5"/>
    <x v="5"/>
    <x v="11"/>
    <n v="53850"/>
    <n v="114"/>
    <s v="053850_114"/>
    <s v="Discovery Day"/>
    <s v="Mai valutato"/>
    <m/>
    <s v="Vari (15/04/2025)"/>
    <n v="1143306285135"/>
    <n v="20250415"/>
    <s v="VV"/>
    <m/>
    <m/>
    <s v="A     - Avere"/>
    <n v="30300"/>
    <n v="1530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4"/>
    <x v="1"/>
    <x v="0"/>
    <x v="0"/>
    <n v="3730898"/>
    <x v="1"/>
    <x v="1"/>
    <s v="477"/>
    <s v="615"/>
    <s v="615477"/>
    <s v="Classe di rischio 6"/>
    <m/>
    <s v="Classe di rischio 6"/>
  </r>
  <r>
    <n v="337277"/>
    <x v="3"/>
    <x v="3"/>
    <x v="11"/>
    <n v="53850"/>
    <n v="102"/>
    <s v="053850_102"/>
    <s v="Discovery Day"/>
    <s v="Mai valutato"/>
    <m/>
    <s v="Vari (15/04/2025)"/>
    <n v="1023300660520"/>
    <n v="20250415"/>
    <s v="VV"/>
    <m/>
    <m/>
    <s v="A     - Avere"/>
    <n v="139257.79999999999"/>
    <n v="374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x v="4"/>
    <x v="1"/>
    <x v="0"/>
    <n v="66052"/>
    <x v="1"/>
    <x v="1"/>
    <s v="999"/>
    <s v="430"/>
    <s v="430999"/>
    <m/>
    <s v="1"/>
    <s v="Classe di rischio 1"/>
  </r>
  <r>
    <n v="337276"/>
    <x v="2"/>
    <x v="2"/>
    <x v="11"/>
    <n v="53850"/>
    <n v="259"/>
    <s v="053850_259"/>
    <s v="Discovery Day"/>
    <s v="Mai valutato"/>
    <m/>
    <s v="202504155917015L"/>
    <n v="2593300000648"/>
    <n v="20250415"/>
    <s v="AA - Bonifico da e per estero "/>
    <m/>
    <s v="012 - BULGARIA"/>
    <s v="D     - Dare"/>
    <n v="2900"/>
    <n v="0"/>
    <n v="4905728"/>
    <n v="8154630720"/>
    <s v="ENERITALY S.R.L."/>
    <s v="430 - Imprese produttive"/>
    <s v="432 - INSTALLAZIONE DI IMPIANTI ELETTRICI, IDRAULICI ED ALTRI LAVORI DI COSTRUZIONE E INSTALLAZIONE"/>
    <s v="086 - ITALIA"/>
    <n v="1578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275"/>
    <x v="4"/>
    <x v="4"/>
    <x v="11"/>
    <n v="53850"/>
    <n v="261"/>
    <s v="053850_261"/>
    <s v="Discovery Day"/>
    <s v="Mai valutato"/>
    <m/>
    <n v="202504157901699"/>
    <n v="2613300000555"/>
    <n v="20250415"/>
    <s v="48 - Bonifico in arrivo "/>
    <m/>
    <s v="086 - ITALIA"/>
    <s v="A     - Avere"/>
    <n v="304798.26"/>
    <n v="0"/>
    <n v="1615499"/>
    <s v="QGLSVN55B43E799H"/>
    <s v="QUAGLIA SILVANA"/>
    <s v="600 - Famiglie consumatrici"/>
    <m/>
    <s v="086 - ITALIA"/>
    <n v="1776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37274"/>
    <x v="4"/>
    <x v="4"/>
    <x v="11"/>
    <n v="53850"/>
    <n v="164"/>
    <s v="053850_164"/>
    <s v="Discovery Day"/>
    <s v="Mai valutato"/>
    <m/>
    <n v="202504157901537"/>
    <n v="1645500369067"/>
    <n v="20250415"/>
    <s v="BT - Rimborso su libretti a risparmio "/>
    <m/>
    <m/>
    <s v="D     - Da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273"/>
    <x v="5"/>
    <x v="5"/>
    <x v="11"/>
    <n v="53850"/>
    <n v="161"/>
    <s v="053850_161"/>
    <s v="Discovery Day"/>
    <s v="Mai valutato"/>
    <m/>
    <s v="Vari (15/04/2025)"/>
    <n v="1613300031333"/>
    <n v="20250415"/>
    <s v="VV"/>
    <m/>
    <m/>
    <s v="A     - Avere"/>
    <n v="38003.5"/>
    <n v="3430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4"/>
    <x v="1"/>
    <x v="0"/>
    <x v="0"/>
    <n v="511904"/>
    <x v="1"/>
    <x v="1"/>
    <s v="999"/>
    <s v="615"/>
    <s v="615999"/>
    <m/>
    <s v="1"/>
    <s v="Classe di rischio 3"/>
  </r>
  <r>
    <n v="337272"/>
    <x v="4"/>
    <x v="4"/>
    <x v="11"/>
    <n v="53850"/>
    <n v="121"/>
    <s v="053850_121"/>
    <s v="Discovery Day"/>
    <s v="Mai valutato"/>
    <m/>
    <s v="202504155917316L"/>
    <n v="1213300001148"/>
    <n v="20250415"/>
    <s v="SPECIAL"/>
    <m/>
    <m/>
    <s v="D     - Dare"/>
    <n v="2326.5700000000002"/>
    <n v="0"/>
    <n v="621271"/>
    <s v="SVNNGL54H51F923K"/>
    <s v="SAVINO ANGELA"/>
    <s v="600 - Famiglie consumatrici"/>
    <m/>
    <s v="086 - ITALIA"/>
    <m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271"/>
    <x v="4"/>
    <x v="4"/>
    <x v="11"/>
    <n v="53850"/>
    <n v="102"/>
    <s v="053850_102"/>
    <s v="Discovery Day"/>
    <s v="Mai valutato"/>
    <m/>
    <n v="202504157899557"/>
    <n v="1023308719190"/>
    <n v="20250415"/>
    <s v="48 - Bonifico in arrivo "/>
    <m/>
    <s v="086 - ITALIA"/>
    <s v="A     - Avere"/>
    <n v="1554410.45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4"/>
    <x v="2"/>
    <x v="1"/>
    <x v="0"/>
    <m/>
    <x v="0"/>
    <x v="0"/>
    <s v="999"/>
    <s v="248"/>
    <s v="248999"/>
    <m/>
    <s v="1"/>
    <s v="Classe di rischio 0"/>
  </r>
  <r>
    <n v="337270"/>
    <x v="2"/>
    <x v="2"/>
    <x v="11"/>
    <n v="53850"/>
    <n v="129"/>
    <s v="053850_129"/>
    <s v="Discovery Day"/>
    <s v="Mai valutato"/>
    <m/>
    <n v="202504157900073"/>
    <n v="1293300002811"/>
    <n v="20250415"/>
    <s v="AA - Bonifico da e per estero "/>
    <m/>
    <s v="261 - CROAZIA"/>
    <s v="A     - Avere"/>
    <n v="19104.88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37269"/>
    <x v="3"/>
    <x v="3"/>
    <x v="11"/>
    <n v="53850"/>
    <n v="161"/>
    <s v="053850_161"/>
    <s v="Discovery Day"/>
    <s v="Mai valutato"/>
    <m/>
    <s v="Vari (15/04/2025)"/>
    <n v="1613300029653"/>
    <n v="20250415"/>
    <s v="VV"/>
    <m/>
    <m/>
    <s v="A     - Avere"/>
    <n v="148758.49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x v="1"/>
    <x v="0"/>
    <x v="0"/>
    <n v="4088769"/>
    <x v="1"/>
    <x v="1"/>
    <s v="464"/>
    <s v="430"/>
    <s v="430464"/>
    <s v="Classe di rischio 4"/>
    <m/>
    <s v="Classe di rischio 4"/>
  </r>
  <r>
    <n v="337268"/>
    <x v="2"/>
    <x v="2"/>
    <x v="11"/>
    <n v="53850"/>
    <n v="148"/>
    <s v="053850_148"/>
    <s v="Discovery Day"/>
    <s v="Mai valutato"/>
    <m/>
    <s v="202504155933129L"/>
    <n v="1483300003580"/>
    <n v="20250415"/>
    <s v="AA - Bonifico da e per estero "/>
    <m/>
    <s v="261 - CROAZIA"/>
    <s v="A     - Avere"/>
    <n v="1500"/>
    <n v="0"/>
    <n v="4771374"/>
    <s v="KRZJSP84S29Z149E"/>
    <s v="KRIZANIC JOSIP"/>
    <s v="600 - Famiglie consumatrici"/>
    <m/>
    <s v="086 - ITALIA"/>
    <n v="1064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267"/>
    <x v="2"/>
    <x v="2"/>
    <x v="11"/>
    <n v="53850"/>
    <n v="119"/>
    <s v="053850_119"/>
    <s v="Discovery Day"/>
    <s v="Mai valutato"/>
    <m/>
    <s v="202504155923384L"/>
    <n v="1193308875001"/>
    <n v="20250415"/>
    <s v="AA - Bonifico da e per estero "/>
    <m/>
    <s v="012 - BULGARIA"/>
    <s v="A     - Avere"/>
    <n v="2800"/>
    <n v="0"/>
    <n v="4926288"/>
    <s v="DLLLRT95P14A662V"/>
    <s v="DELLINO ALBERTO"/>
    <s v="615 - Altre famiglie produttrici"/>
    <s v="331 - RIPARAZIONE E MANUTENZIONE DI PRODOTTI IN METALLO, MACCHINE ED APPARECCHIATURE"/>
    <s v="086 - ITALIA"/>
    <n v="656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37266"/>
    <x v="4"/>
    <x v="4"/>
    <x v="11"/>
    <n v="53850"/>
    <n v="164"/>
    <s v="053850_164"/>
    <s v="Discovery Day"/>
    <s v="Mai valutato"/>
    <m/>
    <n v="202504157899791"/>
    <n v="1645500369067"/>
    <n v="20250415"/>
    <s v="48 - Bonifico in arrivo "/>
    <m/>
    <s v="086 - ITALIA"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265"/>
    <x v="2"/>
    <x v="2"/>
    <x v="11"/>
    <n v="53850"/>
    <n v="145"/>
    <s v="053850_145"/>
    <s v="Discovery Day"/>
    <s v="Mai valutato"/>
    <m/>
    <n v="202504157899952"/>
    <n v="1453300003997"/>
    <n v="20250415"/>
    <s v="AA - Bonifico da e per estero "/>
    <m/>
    <s v="012 - BULGARIA"/>
    <s v="A     - Avere"/>
    <n v="12377.16"/>
    <n v="0"/>
    <n v="3737833"/>
    <n v="10171711210"/>
    <s v="PUNTO BIBITE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x v="1"/>
    <x v="0"/>
    <x v="0"/>
    <m/>
    <x v="0"/>
    <x v="0"/>
    <s v="463"/>
    <s v="430"/>
    <s v="430463"/>
    <s v="Classe di rischio 3"/>
    <m/>
    <s v="Classe di rischio 3"/>
  </r>
  <r>
    <n v="337264"/>
    <x v="5"/>
    <x v="5"/>
    <x v="11"/>
    <n v="53850"/>
    <n v="171"/>
    <s v="053850_171"/>
    <s v="Discovery Day"/>
    <s v="Mai valutato"/>
    <m/>
    <s v="Vari (15/04/2025)"/>
    <n v="1713305728950"/>
    <n v="20250415"/>
    <s v="03 - Versamento contante cassa continua "/>
    <m/>
    <m/>
    <s v="A     - Avere"/>
    <n v="210542.65"/>
    <n v="210542.6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37263"/>
    <x v="3"/>
    <x v="3"/>
    <x v="12"/>
    <n v="53850"/>
    <n v="102"/>
    <s v="053850_102"/>
    <s v="Discovery Day"/>
    <s v="Mai valutato"/>
    <m/>
    <n v="202504147897558"/>
    <n v="1023306273120"/>
    <n v="20250414"/>
    <s v="G1 - Versamento assegni tratti su altro intermediario "/>
    <m/>
    <m/>
    <s v="A     - Avere"/>
    <n v="105000"/>
    <n v="0"/>
    <n v="5530"/>
    <s v="PRTMRT68E14A662L"/>
    <s v="PREITE UMBERTO"/>
    <s v="600 - Famiglie consumatrici"/>
    <m/>
    <s v="086 - ITALIA"/>
    <n v="1606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262"/>
    <x v="4"/>
    <x v="4"/>
    <x v="12"/>
    <n v="53850"/>
    <n v="122"/>
    <s v="053850_122"/>
    <s v="Discovery Day"/>
    <s v="Mai valutato"/>
    <m/>
    <n v="202504147896370"/>
    <n v="1223300001682"/>
    <n v="20250414"/>
    <s v="48 - Bonifico in arrivo "/>
    <m/>
    <s v="086 - ITALIA"/>
    <s v="A     - Avere"/>
    <n v="941353.02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37261"/>
    <x v="4"/>
    <x v="4"/>
    <x v="12"/>
    <n v="53850"/>
    <n v="114"/>
    <s v="053850_114"/>
    <s v="Discovery Day"/>
    <s v="Mai valutato"/>
    <m/>
    <n v="202504147897691"/>
    <n v="1143306282417"/>
    <n v="20250414"/>
    <s v="SPECIAL"/>
    <m/>
    <m/>
    <s v="D     - Dare"/>
    <n v="8139.04"/>
    <n v="0"/>
    <n v="520648"/>
    <s v="SRRRNN56P55D643A"/>
    <s v="SERRONE ROSANNA"/>
    <s v="600 - Famiglie consumatrici"/>
    <m/>
    <s v="086 - ITALIA"/>
    <n v="642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260"/>
    <x v="4"/>
    <x v="4"/>
    <x v="12"/>
    <n v="53850"/>
    <n v="175"/>
    <s v="053850_175"/>
    <s v="Discovery Day"/>
    <s v="Mai valutato"/>
    <m/>
    <n v="202504147895113"/>
    <n v="1753305636160"/>
    <n v="20250414"/>
    <s v="26 - Bonifico in partenza "/>
    <m/>
    <s v="086 - ITALIA"/>
    <s v="D     - Dare"/>
    <n v="145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x v="1"/>
    <x v="0"/>
    <x v="0"/>
    <m/>
    <x v="0"/>
    <x v="0"/>
    <s v="464"/>
    <s v="430"/>
    <s v="430464"/>
    <s v="Classe di rischio 4"/>
    <m/>
    <s v="Classe di rischio 4"/>
  </r>
  <r>
    <n v="337259"/>
    <x v="5"/>
    <x v="5"/>
    <x v="12"/>
    <n v="53850"/>
    <n v="117"/>
    <s v="053850_117"/>
    <s v="Discovery Day"/>
    <s v="Mai valutato"/>
    <m/>
    <s v="Vari (14/04/2025)"/>
    <n v="1173300538726"/>
    <n v="20250414"/>
    <s v="VV"/>
    <m/>
    <m/>
    <s v="A     - Avere"/>
    <n v="65126.2"/>
    <n v="4413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4"/>
    <x v="1"/>
    <x v="0"/>
    <x v="0"/>
    <n v="4784989"/>
    <x v="1"/>
    <x v="1"/>
    <s v="999"/>
    <s v="430"/>
    <s v="430999"/>
    <m/>
    <s v="1"/>
    <s v="Classe di rischio 1"/>
  </r>
  <r>
    <n v="337258"/>
    <x v="2"/>
    <x v="2"/>
    <x v="12"/>
    <n v="53850"/>
    <n v="200"/>
    <s v="053850_200"/>
    <s v="Discovery Day"/>
    <s v="Mai valutato"/>
    <m/>
    <n v="202504147896571"/>
    <n v="2003300003730"/>
    <n v="20250414"/>
    <s v="AA - Bonifico da e per estero "/>
    <m/>
    <s v="238 - ABU DHABI"/>
    <s v="D     - Dare"/>
    <n v="250000"/>
    <n v="0"/>
    <n v="3731305"/>
    <s v="GGLLCN65C30C632E"/>
    <s v="GAGLIARDI LUCIANO"/>
    <s v="600 - Famiglie consumatrici"/>
    <m/>
    <s v="086 - ITALIA"/>
    <n v="1837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257"/>
    <x v="5"/>
    <x v="5"/>
    <x v="12"/>
    <n v="53850"/>
    <n v="128"/>
    <s v="053850_128"/>
    <s v="Discovery Day"/>
    <s v="Mai valutato"/>
    <m/>
    <n v="202504147897106"/>
    <n v="1283300003941"/>
    <n v="20250414"/>
    <s v="03 - Versamento contante cassa continua "/>
    <m/>
    <m/>
    <s v="A     - Avere"/>
    <n v="40800"/>
    <n v="408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4"/>
    <x v="1"/>
    <x v="0"/>
    <x v="0"/>
    <n v="4916499"/>
    <x v="1"/>
    <x v="0"/>
    <s v="999"/>
    <s v="615"/>
    <s v="615999"/>
    <m/>
    <s v="1"/>
    <s v="Classe di rischio 3"/>
  </r>
  <r>
    <n v="337256"/>
    <x v="5"/>
    <x v="5"/>
    <x v="12"/>
    <n v="53850"/>
    <n v="267"/>
    <s v="053850_267"/>
    <s v="Discovery Day"/>
    <s v="Mai valutato"/>
    <m/>
    <n v="202504147898079"/>
    <n v="2673300003600"/>
    <n v="20250414"/>
    <s v="D1 - Versamento di contante "/>
    <m/>
    <m/>
    <s v="A     - Avere"/>
    <n v="90050"/>
    <n v="9005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x v="1"/>
    <x v="0"/>
    <x v="0"/>
    <n v="1705101"/>
    <x v="1"/>
    <x v="0"/>
    <s v="999"/>
    <s v="492"/>
    <s v="492999"/>
    <m/>
    <s v="1"/>
    <s v="Classe di rischio 2"/>
  </r>
  <r>
    <n v="337255"/>
    <x v="4"/>
    <x v="4"/>
    <x v="12"/>
    <n v="53850"/>
    <n v="103"/>
    <s v="053850_103"/>
    <s v="Discovery Day"/>
    <s v="Mai valutato"/>
    <m/>
    <n v="202504147896449"/>
    <n v="1033306969582"/>
    <n v="20250414"/>
    <s v="48 - Bonifico in arrivo "/>
    <m/>
    <s v="086 - ITALIA"/>
    <s v="A     - Avere"/>
    <n v="573593.99"/>
    <n v="0"/>
    <n v="449281"/>
    <s v="CLSMNT62E67E155U"/>
    <s v="COLASANTI MARIA ANTONIETTA"/>
    <s v="600 - Famiglie consumatrici"/>
    <m/>
    <s v="086 - ITALIA"/>
    <n v="806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254"/>
    <x v="4"/>
    <x v="4"/>
    <x v="12"/>
    <n v="53850"/>
    <n v="109"/>
    <s v="053850_109"/>
    <s v="Discovery Day"/>
    <s v="Mai valutato"/>
    <m/>
    <n v="202504147897650"/>
    <n v="1093300826060"/>
    <n v="20250414"/>
    <s v="SPECIAL"/>
    <m/>
    <m/>
    <s v="D     - Dare"/>
    <n v="50860.3"/>
    <n v="0"/>
    <n v="82561"/>
    <s v="CHRMRA28S19A662J"/>
    <s v="CHIARAPPA MARIO"/>
    <s v="600 - Famiglie consumatrici"/>
    <m/>
    <s v="086 - ITALIA"/>
    <n v="1430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253"/>
    <x v="2"/>
    <x v="2"/>
    <x v="12"/>
    <n v="53850"/>
    <n v="137"/>
    <s v="053850_137"/>
    <s v="Discovery Day"/>
    <s v="Mai valutato"/>
    <m/>
    <n v="202504147895250"/>
    <n v="1373300005994"/>
    <n v="20250414"/>
    <s v="AA - Bonifico da e per estero "/>
    <m/>
    <s v="261 - CROAZIA"/>
    <s v="D     - Dare"/>
    <n v="41391.440000000002"/>
    <n v="0"/>
    <n v="3734872"/>
    <n v="1896670708"/>
    <s v="MOLISE SUINI SRL"/>
    <s v="430 - Imprese produttive"/>
    <s v="014 - ALLEVAMENTO DI ANIMALI"/>
    <s v="086 - ITALIA"/>
    <n v="1867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37252"/>
    <x v="5"/>
    <x v="5"/>
    <x v="12"/>
    <n v="53850"/>
    <n v="268"/>
    <s v="053850_268"/>
    <s v="Discovery Day"/>
    <s v="Mai valutato"/>
    <m/>
    <s v="Vari (14/04/2025)"/>
    <n v="2683300010030"/>
    <n v="20250414"/>
    <s v="03 - Versamento contante cassa continua "/>
    <m/>
    <m/>
    <s v="A     - Avere"/>
    <n v="50930"/>
    <n v="5093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x v="1"/>
    <x v="0"/>
    <x v="0"/>
    <n v="4966939"/>
    <x v="1"/>
    <x v="0"/>
    <s v="999"/>
    <s v="615"/>
    <s v="615999"/>
    <m/>
    <s v="1"/>
    <s v="Classe di rischio 3"/>
  </r>
  <r>
    <n v="337251"/>
    <x v="3"/>
    <x v="3"/>
    <x v="12"/>
    <n v="53850"/>
    <n v="182"/>
    <s v="053850_182"/>
    <s v="Discovery Day"/>
    <s v="Mai valutato"/>
    <m/>
    <s v="Vari (14/04/2025)"/>
    <n v="1823300169301"/>
    <n v="20250414"/>
    <s v="03 - Versamento contante cassa continua "/>
    <m/>
    <m/>
    <s v="A     - Avere"/>
    <n v="40010"/>
    <n v="4001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x v="1"/>
    <x v="0"/>
    <x v="0"/>
    <n v="4284957"/>
    <x v="1"/>
    <x v="0"/>
    <s v="920"/>
    <s v="615"/>
    <s v="615920"/>
    <s v="Classe di rischio 6"/>
    <m/>
    <s v="Classe di rischio 6"/>
  </r>
  <r>
    <n v="337250"/>
    <x v="5"/>
    <x v="5"/>
    <x v="12"/>
    <n v="53850"/>
    <n v="108"/>
    <s v="053850_108"/>
    <s v="Discovery Day"/>
    <s v="Mai valutato"/>
    <m/>
    <s v="Vari (14/04/2025)"/>
    <n v="1083306291105"/>
    <n v="20250414"/>
    <s v="VV"/>
    <m/>
    <m/>
    <s v="A     - Avere"/>
    <n v="141489.49"/>
    <n v="41638.40000000000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1"/>
    <s v="999"/>
    <s v="430"/>
    <s v="430999"/>
    <m/>
    <s v="1"/>
    <s v="Classe di rischio 1"/>
  </r>
  <r>
    <n v="337249"/>
    <x v="3"/>
    <x v="3"/>
    <x v="12"/>
    <n v="53850"/>
    <n v="195"/>
    <s v="053850_195"/>
    <s v="Discovery Day"/>
    <s v="Mai valutato"/>
    <m/>
    <n v="202504147898010"/>
    <n v="1953300026450"/>
    <n v="20250414"/>
    <s v="G1 - Versamento assegni tratti su altro intermediario "/>
    <m/>
    <m/>
    <s v="A     - Avere"/>
    <n v="100000"/>
    <n v="0"/>
    <n v="3109917"/>
    <s v="FRNNNZ57M15G252Z"/>
    <s v="FRONZA NUNZIO"/>
    <s v="615 - Altre famiglie produttrici"/>
    <s v="012 - COLTIVAZIONE DI COLTURE PERMANENTI"/>
    <s v="086 - ITALIA"/>
    <n v="938"/>
    <m/>
    <m/>
    <m/>
    <m/>
    <m/>
    <m/>
    <m/>
    <n v="0"/>
    <n v="202504"/>
    <x v="2"/>
    <x v="1"/>
    <x v="0"/>
    <m/>
    <x v="0"/>
    <x v="0"/>
    <s v="999"/>
    <s v="615"/>
    <s v="615999"/>
    <m/>
    <s v="1"/>
    <s v="Classe di rischio 3"/>
  </r>
  <r>
    <n v="337248"/>
    <x v="2"/>
    <x v="2"/>
    <x v="12"/>
    <n v="53850"/>
    <n v="121"/>
    <s v="053850_121"/>
    <s v="Discovery Day"/>
    <s v="Mai valutato"/>
    <m/>
    <s v="202504145859409L"/>
    <n v="1213300001913"/>
    <n v="20250414"/>
    <s v="AA - Bonifico da e per estero "/>
    <m/>
    <s v="261 - CROAZIA"/>
    <s v="A     - Avere"/>
    <n v="2820"/>
    <n v="0"/>
    <n v="4794759"/>
    <n v="7627090728"/>
    <s v="BSQ CERT S.R.L."/>
    <s v="430 - Imprese produttive"/>
    <s v="620 - PRODUZIONE DI SOFTWARE, CONSULENZA INFORMATICA E ATTIVITÀ CONNESSE"/>
    <s v="086 - ITALIA"/>
    <n v="928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37247"/>
    <x v="2"/>
    <x v="2"/>
    <x v="12"/>
    <n v="53850"/>
    <n v="261"/>
    <s v="053850_261"/>
    <s v="Discovery Day"/>
    <s v="Mai valutato"/>
    <m/>
    <s v="202504145859436L"/>
    <n v="2613300001265"/>
    <n v="20250414"/>
    <s v="AA - Bonifico da e per estero "/>
    <m/>
    <s v="091 - PRINCIPATO DI MONACO"/>
    <s v="A     - Avere"/>
    <n v="15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37246"/>
    <x v="4"/>
    <x v="4"/>
    <x v="12"/>
    <n v="53850"/>
    <n v="141"/>
    <s v="053850_141"/>
    <s v="Discovery Day"/>
    <s v="Mai valutato"/>
    <m/>
    <n v="202504147895340"/>
    <n v="1413300003985"/>
    <n v="20250414"/>
    <s v="26 - Bonifico in partenza "/>
    <m/>
    <s v="086 - ITALIA"/>
    <s v="D     - Dare"/>
    <n v="1351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x v="1"/>
    <x v="0"/>
    <x v="0"/>
    <m/>
    <x v="0"/>
    <x v="0"/>
    <s v="931"/>
    <s v="430"/>
    <s v="430931"/>
    <s v="Classe di rischio 3"/>
    <m/>
    <s v="Classe di rischio 3"/>
  </r>
  <r>
    <n v="337245"/>
    <x v="5"/>
    <x v="5"/>
    <x v="12"/>
    <n v="53850"/>
    <n v="102"/>
    <s v="053850_102"/>
    <s v="Discovery Day"/>
    <s v="Mai valutato"/>
    <m/>
    <s v="Vari (14/04/2025)"/>
    <n v="1023308720537"/>
    <n v="20250414"/>
    <s v="03 - Versamento contante cassa continua "/>
    <m/>
    <m/>
    <s v="A     - Avere"/>
    <n v="53200"/>
    <n v="5320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4"/>
    <x v="0"/>
    <x v="0"/>
    <x v="0"/>
    <n v="4653840"/>
    <x v="1"/>
    <x v="0"/>
    <s v="999"/>
    <s v="430"/>
    <s v="430999"/>
    <m/>
    <s v="1"/>
    <s v="Classe di rischio 1"/>
  </r>
  <r>
    <n v="337244"/>
    <x v="2"/>
    <x v="2"/>
    <x v="12"/>
    <n v="53850"/>
    <n v="102"/>
    <s v="053850_102"/>
    <s v="Discovery Day"/>
    <s v="Mai valutato"/>
    <m/>
    <n v="202504147896582"/>
    <n v="1023308727580"/>
    <n v="20250414"/>
    <s v="AA - Bonifico da e per estero "/>
    <m/>
    <s v="034 - HAITI"/>
    <s v="A     - Avere"/>
    <n v="8466.74"/>
    <n v="0"/>
    <n v="3727650"/>
    <n v="8924460721"/>
    <s v="MEC WELDING SERVICE SOCIETA' A RESPONSABILITA' LIMITATA SEMPLIFICATA"/>
    <s v="430 - Imprese produttive"/>
    <s v="332 - INSTALLAZIONE DI MACCHINE ED APPARECCHIATURE INDUSTRIALI"/>
    <s v="086 - ITALIA"/>
    <n v="1306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243"/>
    <x v="3"/>
    <x v="3"/>
    <x v="12"/>
    <n v="53850"/>
    <n v="102"/>
    <s v="053850_102"/>
    <s v="Discovery Day"/>
    <s v="Mai valutato"/>
    <m/>
    <s v="Vari (14/04/2025)"/>
    <n v="1023300660520"/>
    <n v="20250414"/>
    <s v="VV"/>
    <m/>
    <m/>
    <s v="A     - Avere"/>
    <n v="172920.5"/>
    <n v="2749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x v="4"/>
    <x v="1"/>
    <x v="0"/>
    <n v="66052"/>
    <x v="1"/>
    <x v="1"/>
    <s v="999"/>
    <s v="430"/>
    <s v="430999"/>
    <m/>
    <s v="1"/>
    <s v="Classe di rischio 1"/>
  </r>
  <r>
    <n v="337242"/>
    <x v="2"/>
    <x v="2"/>
    <x v="12"/>
    <n v="53850"/>
    <n v="118"/>
    <s v="053850_118"/>
    <s v="Discovery Day"/>
    <s v="Mai valutato"/>
    <m/>
    <n v="202504147895391"/>
    <n v="1183306279346"/>
    <n v="20250414"/>
    <s v="AA - Bonifico da e per estero "/>
    <m/>
    <s v="012 - BULGARIA"/>
    <s v="D     - Dare"/>
    <n v="6866.83"/>
    <n v="0"/>
    <n v="4890743"/>
    <n v="8059830722"/>
    <s v="MAX DIVANI SOCIETA' A RESPONSABILITA' LIMITATA"/>
    <s v="430 - Imprese produttive"/>
    <s v="139 - ALTRE INDUSTRIE TESSILI"/>
    <s v="086 - ITALIA"/>
    <n v="1203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241"/>
    <x v="3"/>
    <x v="3"/>
    <x v="12"/>
    <n v="53850"/>
    <n v="116"/>
    <s v="053850_116"/>
    <s v="Discovery Day"/>
    <s v="Mai valutato"/>
    <m/>
    <n v="202504147897411"/>
    <n v="2343300010453"/>
    <n v="20250414"/>
    <s v="03 - Versamento contante cassa continua "/>
    <m/>
    <m/>
    <s v="A     - Avere"/>
    <n v="177964.1"/>
    <n v="177964.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240"/>
    <x v="5"/>
    <x v="5"/>
    <x v="12"/>
    <n v="53850"/>
    <n v="114"/>
    <s v="053850_114"/>
    <s v="Discovery Day"/>
    <s v="Mai valutato"/>
    <m/>
    <n v="202504147897685"/>
    <n v="1143306280621"/>
    <n v="20250414"/>
    <s v="D1 - Versamento di contante "/>
    <m/>
    <m/>
    <s v="A     - Avere"/>
    <n v="64500"/>
    <n v="645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239"/>
    <x v="5"/>
    <x v="5"/>
    <x v="12"/>
    <n v="53850"/>
    <n v="182"/>
    <s v="053850_182"/>
    <s v="Discovery Day"/>
    <s v="Mai valutato"/>
    <m/>
    <s v="Vari (14/04/2025)"/>
    <n v="1823300169301"/>
    <n v="20250414"/>
    <s v="03 - Versamento contante cassa continua "/>
    <m/>
    <m/>
    <s v="A     - Avere"/>
    <n v="40010"/>
    <n v="4001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x v="1"/>
    <x v="0"/>
    <x v="0"/>
    <n v="4284957"/>
    <x v="1"/>
    <x v="0"/>
    <s v="920"/>
    <s v="615"/>
    <s v="615920"/>
    <s v="Classe di rischio 6"/>
    <m/>
    <s v="Classe di rischio 6"/>
  </r>
  <r>
    <n v="337238"/>
    <x v="3"/>
    <x v="3"/>
    <x v="12"/>
    <n v="53850"/>
    <n v="108"/>
    <s v="053850_108"/>
    <s v="Discovery Day"/>
    <s v="Mai valutato"/>
    <m/>
    <s v="Vari (14/04/2025)"/>
    <n v="1083306291105"/>
    <n v="20250414"/>
    <s v="VV"/>
    <m/>
    <m/>
    <s v="A     - Avere"/>
    <n v="141489.49"/>
    <n v="41638.40000000000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1"/>
    <s v="999"/>
    <s v="430"/>
    <s v="430999"/>
    <m/>
    <s v="1"/>
    <s v="Classe di rischio 1"/>
  </r>
  <r>
    <n v="337237"/>
    <x v="2"/>
    <x v="2"/>
    <x v="12"/>
    <n v="53850"/>
    <n v="259"/>
    <s v="053850_259"/>
    <s v="Discovery Day"/>
    <s v="Mai valutato"/>
    <m/>
    <n v="202504147895069"/>
    <n v="2593300000091"/>
    <n v="20250414"/>
    <s v="AA - Bonifico da e per estero "/>
    <m/>
    <s v="012 - BULGARIA"/>
    <s v="D     - Dare"/>
    <n v="5000"/>
    <n v="0"/>
    <n v="4731214"/>
    <n v="5978380722"/>
    <s v="AUTOEMME S.N.C. - DI DIMAGGIO MICHELE &amp; C."/>
    <s v="482 - Quasi societa' non finanziarie artigiane - Unita' o societa' con meno di 20 addetti"/>
    <s v="452 - MANUTENZIONE E RIPARAZIONE DI AUTOVEICOLI"/>
    <s v="086 - ITALIA"/>
    <n v="1530"/>
    <m/>
    <m/>
    <m/>
    <m/>
    <m/>
    <m/>
    <m/>
    <n v="0"/>
    <n v="202504"/>
    <x v="4"/>
    <x v="1"/>
    <x v="0"/>
    <m/>
    <x v="0"/>
    <x v="0"/>
    <s v="999"/>
    <s v="482"/>
    <s v="482999"/>
    <m/>
    <s v="1"/>
    <s v="Classe di rischio 2"/>
  </r>
  <r>
    <n v="337236"/>
    <x v="4"/>
    <x v="4"/>
    <x v="12"/>
    <n v="53850"/>
    <n v="122"/>
    <s v="053850_122"/>
    <s v="Discovery Day"/>
    <s v="Mai valutato"/>
    <m/>
    <n v="202504147896369"/>
    <n v="1223300001682"/>
    <n v="20250414"/>
    <s v="48 - Bonifico in arrivo "/>
    <m/>
    <s v="086 - ITALIA"/>
    <s v="A     - Avere"/>
    <n v="659334.14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37235"/>
    <x v="4"/>
    <x v="4"/>
    <x v="12"/>
    <n v="53850"/>
    <n v="195"/>
    <s v="053850_195"/>
    <s v="Discovery Day"/>
    <s v="Mai valutato"/>
    <m/>
    <n v="202504147896431"/>
    <n v="1943300005257"/>
    <n v="20250414"/>
    <s v="48 - Bonifico in arrivo "/>
    <m/>
    <s v="086 - ITALIA"/>
    <s v="A     - Avere"/>
    <n v="155770.47"/>
    <n v="0"/>
    <n v="3044309"/>
    <s v="DTTNMR66S68G252L"/>
    <s v="DETTOLI ANNA MARIA"/>
    <s v="615 - Altre famiglie produttrici"/>
    <s v="477 - COMMERCIO AL DETTAGLIO DI ALTRI PRODOTTI IN ESERCIZI SPECIALIZZATI"/>
    <s v="086 - ITALIA"/>
    <n v="1961"/>
    <m/>
    <m/>
    <m/>
    <m/>
    <m/>
    <m/>
    <m/>
    <n v="0"/>
    <n v="202504"/>
    <x v="2"/>
    <x v="1"/>
    <x v="0"/>
    <m/>
    <x v="0"/>
    <x v="0"/>
    <s v="477"/>
    <s v="615"/>
    <s v="615477"/>
    <s v="Classe di rischio 6"/>
    <m/>
    <s v="Classe di rischio 6"/>
  </r>
  <r>
    <n v="337234"/>
    <x v="4"/>
    <x v="4"/>
    <x v="12"/>
    <n v="53850"/>
    <n v="102"/>
    <s v="053850_102"/>
    <s v="Discovery Day"/>
    <s v="Mai valutato"/>
    <m/>
    <n v="202504147895160"/>
    <n v="1503300003188"/>
    <n v="20250414"/>
    <s v="26 - Bonifico in partenza "/>
    <m/>
    <s v="086 - ITALIA"/>
    <s v="D     - Dare"/>
    <n v="134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4"/>
    <x v="0"/>
    <x v="0"/>
    <x v="0"/>
    <m/>
    <x v="0"/>
    <x v="0"/>
    <s v="999"/>
    <s v="259"/>
    <s v="259999"/>
    <m/>
    <s v="1"/>
    <s v="Classe di rischio 0"/>
  </r>
  <r>
    <n v="337233"/>
    <x v="4"/>
    <x v="4"/>
    <x v="12"/>
    <n v="53850"/>
    <n v="175"/>
    <s v="053850_175"/>
    <s v="Discovery Day"/>
    <s v="Mai valutato"/>
    <m/>
    <n v="202504147896454"/>
    <n v="1753302203732"/>
    <n v="20250414"/>
    <s v="48 - Bonifico in arrivo "/>
    <m/>
    <s v="086 - ITALIA"/>
    <s v="A     - Avere"/>
    <n v="206686.93"/>
    <n v="0"/>
    <n v="70830"/>
    <s v="ZCCDNC49D12E326K"/>
    <s v="ZICCARDI DOMENICO"/>
    <s v="600 - Famiglie consumatrici"/>
    <m/>
    <s v="086 - ITALIA"/>
    <n v="1267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232"/>
    <x v="5"/>
    <x v="5"/>
    <x v="12"/>
    <n v="53850"/>
    <n v="116"/>
    <s v="053850_116"/>
    <s v="Discovery Day"/>
    <s v="Mai valutato"/>
    <m/>
    <n v="202504147897411"/>
    <n v="2343300010453"/>
    <n v="20250414"/>
    <s v="03 - Versamento contante cassa continua "/>
    <m/>
    <m/>
    <s v="A     - Avere"/>
    <n v="177964.1"/>
    <n v="177964.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37231"/>
    <x v="4"/>
    <x v="4"/>
    <x v="12"/>
    <n v="53850"/>
    <n v="102"/>
    <s v="053850_102"/>
    <s v="Discovery Day"/>
    <s v="Mai valutato"/>
    <m/>
    <n v="202504147897549"/>
    <n v="1023302224320"/>
    <n v="20250414"/>
    <s v="SPECIAL"/>
    <m/>
    <m/>
    <s v="D     - Dare"/>
    <n v="52291.78"/>
    <n v="0"/>
    <n v="222432"/>
    <s v="DBNDTM31P58A225I"/>
    <s v="DIBENEDETTO DONATA MARIA"/>
    <s v="600 - Famiglie consumatrici"/>
    <m/>
    <s v="086 - ITALIA"/>
    <n v="1429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230"/>
    <x v="4"/>
    <x v="4"/>
    <x v="12"/>
    <n v="53850"/>
    <n v="114"/>
    <s v="053850_114"/>
    <s v="Discovery Day"/>
    <s v="Mai valutato"/>
    <m/>
    <n v="202504147897691"/>
    <n v="1143306282417"/>
    <n v="20250414"/>
    <s v="SPECIAL"/>
    <m/>
    <m/>
    <s v="D     - Dare"/>
    <n v="8139.04"/>
    <n v="0"/>
    <n v="520646"/>
    <s v="MGLFNC48A02D643D"/>
    <s v="MAGALETTA FRANCESCO"/>
    <s v="600 - Famiglie consumatrici"/>
    <m/>
    <s v="086 - ITALIA"/>
    <n v="642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229"/>
    <x v="3"/>
    <x v="3"/>
    <x v="12"/>
    <n v="53850"/>
    <n v="114"/>
    <s v="053850_114"/>
    <s v="Discovery Day"/>
    <s v="Mai valutato"/>
    <m/>
    <n v="202504147897685"/>
    <n v="1143306280621"/>
    <n v="20250414"/>
    <s v="D1 - Versamento di contante "/>
    <m/>
    <m/>
    <s v="A     - Avere"/>
    <n v="64500"/>
    <n v="645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37228"/>
    <x v="3"/>
    <x v="3"/>
    <x v="12"/>
    <n v="53850"/>
    <n v="287"/>
    <s v="053850_287"/>
    <s v="Discovery Day"/>
    <s v="Mai valutato"/>
    <m/>
    <s v="Vari (14/04/2025)"/>
    <n v="2873300001853"/>
    <n v="20250414"/>
    <s v="VV"/>
    <m/>
    <m/>
    <s v="A     - Avere"/>
    <n v="153301.1"/>
    <n v="7857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x v="0"/>
    <x v="0"/>
    <x v="0"/>
    <n v="3722213"/>
    <x v="1"/>
    <x v="1"/>
    <s v="463"/>
    <s v="430"/>
    <s v="430463"/>
    <s v="Classe di rischio 3"/>
    <m/>
    <s v="Classe di rischio 3"/>
  </r>
  <r>
    <n v="337227"/>
    <x v="4"/>
    <x v="4"/>
    <x v="12"/>
    <n v="53850"/>
    <n v="164"/>
    <s v="053850_164"/>
    <s v="Discovery Day"/>
    <s v="Mai valutato"/>
    <m/>
    <s v="202504145854880L"/>
    <n v="1643300370271"/>
    <n v="20250414"/>
    <s v="SPECIAL"/>
    <m/>
    <m/>
    <s v="D     - Dare"/>
    <n v="3050.66"/>
    <n v="0"/>
    <n v="4972098"/>
    <s v="RNLNLM66C70I158Q"/>
    <s v="RINALDI ANGELA MARIA"/>
    <s v="600 - Famiglie consumatrici"/>
    <m/>
    <s v="086 - ITALIA"/>
    <n v="793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37226"/>
    <x v="5"/>
    <x v="5"/>
    <x v="12"/>
    <n v="53850"/>
    <n v="287"/>
    <s v="053850_287"/>
    <s v="Discovery Day"/>
    <s v="Mai valutato"/>
    <m/>
    <s v="Vari (14/04/2025)"/>
    <n v="2873300001853"/>
    <n v="20250414"/>
    <s v="VV"/>
    <m/>
    <m/>
    <s v="A     - Avere"/>
    <n v="153301.1"/>
    <n v="7857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x v="0"/>
    <x v="0"/>
    <x v="0"/>
    <n v="3722213"/>
    <x v="1"/>
    <x v="1"/>
    <s v="463"/>
    <s v="430"/>
    <s v="430463"/>
    <s v="Classe di rischio 3"/>
    <m/>
    <s v="Classe di rischio 3"/>
  </r>
  <r>
    <n v="337225"/>
    <x v="2"/>
    <x v="2"/>
    <x v="12"/>
    <n v="53850"/>
    <n v="259"/>
    <s v="053850_259"/>
    <s v="Discovery Day"/>
    <s v="Mai valutato"/>
    <m/>
    <s v="202504145856379L"/>
    <n v="2593300000091"/>
    <n v="20250414"/>
    <s v="AA - Bonifico da e per estero "/>
    <m/>
    <s v="012 - BULGARIA"/>
    <s v="D     - Dare"/>
    <n v="2500"/>
    <n v="0"/>
    <n v="4731214"/>
    <n v="5978380722"/>
    <s v="AUTOEMME S.N.C. - DI DIMAGGIO MICHELE &amp; C."/>
    <s v="482 - Quasi societa' non finanziarie artigiane - Unita' o societa' con meno di 20 addetti"/>
    <s v="452 - MANUTENZIONE E RIPARAZIONE DI AUTOVEICOLI"/>
    <s v="086 - ITALIA"/>
    <n v="1530"/>
    <m/>
    <m/>
    <m/>
    <m/>
    <m/>
    <m/>
    <m/>
    <n v="0"/>
    <n v="202504"/>
    <x v="4"/>
    <x v="1"/>
    <x v="0"/>
    <m/>
    <x v="0"/>
    <x v="0"/>
    <s v="999"/>
    <s v="482"/>
    <s v="482999"/>
    <m/>
    <s v="1"/>
    <s v="Classe di rischio 2"/>
  </r>
  <r>
    <n v="337224"/>
    <x v="2"/>
    <x v="2"/>
    <x v="12"/>
    <n v="53850"/>
    <n v="271"/>
    <s v="053850_271"/>
    <s v="Discovery Day"/>
    <s v="Mai valutato"/>
    <m/>
    <n v="202504147896574"/>
    <n v="2713300010112"/>
    <n v="20250414"/>
    <s v="AA - Bonifico da e per estero "/>
    <m/>
    <s v="238 - ABU DHABI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4"/>
    <x v="0"/>
    <x v="0"/>
    <x v="0"/>
    <m/>
    <x v="0"/>
    <x v="0"/>
    <s v="999"/>
    <s v="615"/>
    <s v="615999"/>
    <m/>
    <s v="1"/>
    <s v="Classe di rischio 3"/>
  </r>
  <r>
    <n v="337223"/>
    <x v="4"/>
    <x v="4"/>
    <x v="12"/>
    <n v="53850"/>
    <n v="277"/>
    <s v="053850_277"/>
    <s v="Discovery Day"/>
    <s v="Mai valutato"/>
    <m/>
    <n v="202504147897500"/>
    <n v="2773300001983"/>
    <n v="20250414"/>
    <s v="25 - Pagamento di documenti su Italia "/>
    <m/>
    <m/>
    <s v="D     - Dare"/>
    <n v="600000"/>
    <n v="0"/>
    <n v="1706936"/>
    <n v="1539900694"/>
    <s v="PRIMA EASTERN SPA"/>
    <s v="430 - Imprese produttive"/>
    <s v="151 - PREPARAZIONE E CONCIA DEL CUOIO, FABBRICAZIONE DI ARTICOLI DA VIAGGIO, BORSE, PELLETTERIA E SELLERIA, PREPARAZIONE E TINTURA DI PELLICCE"/>
    <s v="086 - ITALIA"/>
    <n v="1856"/>
    <m/>
    <m/>
    <m/>
    <m/>
    <m/>
    <m/>
    <m/>
    <n v="0"/>
    <n v="202504"/>
    <x v="6"/>
    <x v="0"/>
    <x v="0"/>
    <m/>
    <x v="0"/>
    <x v="0"/>
    <s v="999"/>
    <s v="430"/>
    <s v="430999"/>
    <m/>
    <s v="1"/>
    <s v="Classe di rischio 1"/>
  </r>
  <r>
    <n v="337222"/>
    <x v="4"/>
    <x v="4"/>
    <x v="12"/>
    <n v="53850"/>
    <n v="102"/>
    <s v="053850_102"/>
    <s v="Discovery Day"/>
    <s v="Mai valutato"/>
    <m/>
    <n v="202504147895681"/>
    <n v="1023305588130"/>
    <n v="20250414"/>
    <s v="48 - Bonifico in arrivo "/>
    <m/>
    <s v="086 - ITALIA"/>
    <s v="A     - Avere"/>
    <n v="294308"/>
    <n v="0"/>
    <n v="70682"/>
    <s v="PRNNTN54B53A225Z"/>
    <s v="PERNIOLA ANTONIA"/>
    <s v="600 - Famiglie consumatrici"/>
    <m/>
    <s v="086 - ITALIA"/>
    <n v="1335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221"/>
    <x v="4"/>
    <x v="4"/>
    <x v="12"/>
    <n v="53850"/>
    <n v="110"/>
    <s v="053850_110"/>
    <s v="Discovery Day"/>
    <s v="Mai valutato"/>
    <m/>
    <n v="202504147897663"/>
    <n v="1103304317690"/>
    <n v="20250414"/>
    <s v="26 - Bonifico in partenza "/>
    <m/>
    <s v="086 - ITALIA"/>
    <s v="D     - Dare"/>
    <n v="240000"/>
    <n v="0"/>
    <n v="431769"/>
    <s v="RSSGPP57S14A669Q"/>
    <s v="RUSSO GIUSEPPE"/>
    <s v="600 - Famiglie consumatrici"/>
    <m/>
    <s v="086 - ITALIA"/>
    <n v="1359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220"/>
    <x v="7"/>
    <x v="7"/>
    <x v="12"/>
    <n v="53850"/>
    <n v="99"/>
    <s v="053850_99"/>
    <s v="Discovery Day"/>
    <s v="Mai valutato"/>
    <m/>
    <s v="202504145854879L"/>
    <m/>
    <n v="20250414"/>
    <s v="SPECIAL"/>
    <m/>
    <m/>
    <s v="D     - Dare"/>
    <n v="3050.66"/>
    <n v="0"/>
    <n v="4972098"/>
    <s v="RNLNLM66C70I158Q"/>
    <s v="RINALDI ANGELA MARIA"/>
    <s v="600 - Famiglie consumatrici"/>
    <m/>
    <s v="086 - ITALIA"/>
    <n v="793"/>
    <m/>
    <m/>
    <m/>
    <m/>
    <m/>
    <m/>
    <m/>
    <n v="0"/>
    <n v="202504"/>
    <x v="0"/>
    <x v="0"/>
    <x v="1"/>
    <m/>
    <x v="0"/>
    <x v="1"/>
    <s v="999"/>
    <s v="600"/>
    <s v="600999"/>
    <s v="Classe di rischio 7"/>
    <m/>
    <s v="Classe di rischio 7"/>
  </r>
  <r>
    <n v="337219"/>
    <x v="4"/>
    <x v="4"/>
    <x v="12"/>
    <n v="53850"/>
    <n v="175"/>
    <s v="053850_175"/>
    <s v="Discovery Day"/>
    <s v="Mai valutato"/>
    <m/>
    <n v="202504147896454"/>
    <n v="1753302203732"/>
    <n v="20250414"/>
    <s v="48 - Bonifico in arrivo "/>
    <m/>
    <s v="086 - ITALIA"/>
    <s v="A     - Avere"/>
    <n v="206686.93"/>
    <n v="0"/>
    <n v="421274"/>
    <s v="TRNFME52L52E326F"/>
    <s v="TARANTINO EUFEMIA"/>
    <s v="600 - Famiglie consumatrici"/>
    <m/>
    <s v="086 - ITALIA"/>
    <n v="593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218"/>
    <x v="2"/>
    <x v="2"/>
    <x v="12"/>
    <n v="53850"/>
    <n v="108"/>
    <s v="053850_108"/>
    <s v="Discovery Day"/>
    <s v="Mai valutato"/>
    <m/>
    <s v="202504145865144L"/>
    <n v="1083300000001"/>
    <n v="20250414"/>
    <s v="AA - Bonifico da e per estero "/>
    <m/>
    <s v="146 - COSTA D'AVORIO"/>
    <s v="D     - Dare"/>
    <n v="3500"/>
    <n v="0"/>
    <n v="4168326"/>
    <n v="91060700720"/>
    <s v="LAICI MISSIONARI - ODV ETS"/>
    <s v="501 - Istituzioni ed enti con finalita' di assistenza, beneficenza, istruzione, culturali, sindacali, politiche, sportive, ricreative e simili"/>
    <s v="949 - ATTIVITÀ DI ALTRE ORGANIZZAZIONI ASSOCIATIVE "/>
    <s v="086 - ITALIA"/>
    <n v="1931"/>
    <m/>
    <m/>
    <m/>
    <m/>
    <m/>
    <m/>
    <m/>
    <n v="0"/>
    <n v="202504"/>
    <x v="1"/>
    <x v="0"/>
    <x v="0"/>
    <m/>
    <x v="0"/>
    <x v="0"/>
    <s v="999"/>
    <s v="501"/>
    <s v="501999"/>
    <m/>
    <s v="1"/>
    <s v="Classe di rischio 3"/>
  </r>
  <r>
    <n v="337217"/>
    <x v="4"/>
    <x v="4"/>
    <x v="12"/>
    <n v="53850"/>
    <n v="109"/>
    <s v="053850_109"/>
    <s v="Discovery Day"/>
    <s v="Mai valutato"/>
    <m/>
    <n v="202504147897654"/>
    <n v="1093304137240"/>
    <n v="20250414"/>
    <s v="SPECIAL"/>
    <m/>
    <m/>
    <s v="D     - Dare"/>
    <n v="28337.87"/>
    <n v="0"/>
    <n v="413724"/>
    <s v="DFLRRT52M11A893Z"/>
    <s v="DE FLAMMINEIS ROBERTO"/>
    <s v="600 - Famiglie consumatrici"/>
    <m/>
    <s v="086 - ITALIA"/>
    <n v="1430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216"/>
    <x v="3"/>
    <x v="3"/>
    <x v="12"/>
    <n v="53850"/>
    <n v="102"/>
    <s v="053850_102"/>
    <s v="Discovery Day"/>
    <s v="Mai valutato"/>
    <m/>
    <n v="202504147897540"/>
    <n v="1023305098640"/>
    <n v="20250414"/>
    <s v="G7 - Versamento assegno circolare altro intermediario "/>
    <m/>
    <m/>
    <s v="A     - Avere"/>
    <n v="500000"/>
    <n v="0"/>
    <n v="509864"/>
    <n v="4312790720"/>
    <s v="I.M.E.R. SOCIETA' A RESPONSABILITA' LIMITATA"/>
    <s v="430 - Imprese produttive"/>
    <s v="203 - FABBRICAZIONE DI PITTURE, VERNICI E SMALTI, INCHIOSTRI DA STAMPA E ADESIVI SINTETICI (MASTICI)"/>
    <s v="086 - ITALIA"/>
    <n v="979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37215"/>
    <x v="4"/>
    <x v="4"/>
    <x v="12"/>
    <n v="53850"/>
    <n v="170"/>
    <s v="053850_170"/>
    <s v="Discovery Day"/>
    <s v="Mai valutato"/>
    <m/>
    <n v="202504147895302"/>
    <n v="1703306290830"/>
    <n v="20250414"/>
    <s v="39 - Disposizione per emolumenti"/>
    <m/>
    <m/>
    <s v="D     - Dare"/>
    <n v="732210.04"/>
    <n v="0"/>
    <n v="4934769"/>
    <n v="2791590728"/>
    <s v="LA PULITA &amp; SERVICE S.C.R.L. COOPERATIVA DI PRODUZIONE E LAVORO A RESPONSABILITA"/>
    <s v="430 - Imprese produttive"/>
    <s v="812 - ATTIVITÀ DI PULIZIA E DISINFESTAZIONE"/>
    <s v="086 - ITALIA"/>
    <n v="1919"/>
    <m/>
    <m/>
    <m/>
    <m/>
    <m/>
    <m/>
    <m/>
    <n v="0"/>
    <n v="202504"/>
    <x v="2"/>
    <x v="1"/>
    <x v="0"/>
    <m/>
    <x v="0"/>
    <x v="0"/>
    <s v="812"/>
    <s v="430"/>
    <s v="430812"/>
    <s v="Classe di rischio 3"/>
    <m/>
    <s v="Classe di rischio 3"/>
  </r>
  <r>
    <n v="337214"/>
    <x v="4"/>
    <x v="4"/>
    <x v="12"/>
    <n v="53850"/>
    <n v="122"/>
    <s v="053850_122"/>
    <s v="Discovery Day"/>
    <s v="Mai valutato"/>
    <m/>
    <n v="202504147897736"/>
    <n v="1223300002884"/>
    <n v="20250414"/>
    <s v="26 - Bonifico in partenza "/>
    <m/>
    <m/>
    <s v="D     - Dare"/>
    <n v="282133.15999999997"/>
    <n v="0"/>
    <n v="3736222"/>
    <s v="TRTLSN80R55F842D"/>
    <s v="TROTTA ALESSANDRA"/>
    <s v="600 - Famiglie consumatrici"/>
    <m/>
    <s v="086 - ITALIA"/>
    <n v="968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37213"/>
    <x v="5"/>
    <x v="5"/>
    <x v="12"/>
    <n v="53850"/>
    <n v="170"/>
    <s v="053850_170"/>
    <s v="Discovery Day"/>
    <s v="Mai valutato"/>
    <m/>
    <s v="Vari (14/04/2025)"/>
    <n v="1703300000428"/>
    <n v="20250414"/>
    <s v="03 - Versamento contante cassa continua "/>
    <m/>
    <m/>
    <s v="A     - Avere"/>
    <n v="52000"/>
    <n v="52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4"/>
    <x v="1"/>
    <x v="0"/>
    <x v="0"/>
    <n v="4833134"/>
    <x v="1"/>
    <x v="0"/>
    <s v="999"/>
    <s v="430"/>
    <s v="430999"/>
    <m/>
    <s v="1"/>
    <s v="Classe di rischio 1"/>
  </r>
  <r>
    <n v="337212"/>
    <x v="3"/>
    <x v="3"/>
    <x v="12"/>
    <n v="53850"/>
    <n v="273"/>
    <s v="053850_273"/>
    <s v="Discovery Day"/>
    <s v="Mai valutato"/>
    <m/>
    <n v="202504147898124"/>
    <n v="2733300003257"/>
    <n v="20250414"/>
    <s v="G7 - Versamento assegno circolare altro intermediario "/>
    <m/>
    <m/>
    <s v="A     - Avere"/>
    <n v="110000"/>
    <n v="0"/>
    <n v="1672098"/>
    <s v="FBRMRT60R31I148O"/>
    <s v="FABRIZIO UMBERTO ANTONIO"/>
    <s v="614 - Artigiani"/>
    <s v="494 - TRASPORTO DI MERCI SU STRADA E SERVIZI DI TRASLOCO"/>
    <s v="086 - ITALIA"/>
    <n v="1801"/>
    <m/>
    <m/>
    <m/>
    <m/>
    <m/>
    <m/>
    <m/>
    <n v="0"/>
    <n v="202504"/>
    <x v="0"/>
    <x v="0"/>
    <x v="0"/>
    <m/>
    <x v="0"/>
    <x v="0"/>
    <s v="999"/>
    <s v="614"/>
    <s v="614999"/>
    <m/>
    <s v="1"/>
    <s v="Classe di rischio 3"/>
  </r>
  <r>
    <n v="337211"/>
    <x v="7"/>
    <x v="7"/>
    <x v="12"/>
    <n v="53850"/>
    <n v="261"/>
    <s v="053850_261"/>
    <s v="Discovery Day"/>
    <s v="Mai valutato"/>
    <m/>
    <n v="202504147898047"/>
    <m/>
    <n v="20250414"/>
    <s v="F2 - Incasso assegno circolare stesso intermediario"/>
    <m/>
    <m/>
    <s v="D     - Dare"/>
    <n v="78009.149999999994"/>
    <n v="0"/>
    <n v="4173710"/>
    <s v="CRFPLA68R16E335Y"/>
    <s v="CARFAGNA PAOLO"/>
    <s v="600 - Famiglie consumatrici"/>
    <m/>
    <s v="086 - ITALIA"/>
    <m/>
    <m/>
    <m/>
    <m/>
    <m/>
    <m/>
    <m/>
    <m/>
    <n v="0"/>
    <n v="202504"/>
    <x v="0"/>
    <x v="0"/>
    <x v="1"/>
    <m/>
    <x v="0"/>
    <x v="0"/>
    <s v="999"/>
    <s v="600"/>
    <s v="600999"/>
    <s v="Classe di rischio 7"/>
    <m/>
    <s v="Classe di rischio 7"/>
  </r>
  <r>
    <n v="337210"/>
    <x v="4"/>
    <x v="4"/>
    <x v="12"/>
    <n v="53850"/>
    <n v="109"/>
    <s v="053850_109"/>
    <s v="Discovery Day"/>
    <s v="Mai valutato"/>
    <m/>
    <n v="202504147897650"/>
    <n v="1093300826060"/>
    <n v="20250414"/>
    <s v="SPECIAL"/>
    <m/>
    <m/>
    <s v="D     - Dare"/>
    <n v="50860.3"/>
    <n v="0"/>
    <n v="82565"/>
    <s v="DBRCST26E70A662Z"/>
    <s v="DE BARTOLO CRISTINA"/>
    <s v="600 - Famiglie consumatrici"/>
    <m/>
    <s v="086 - ITALIA"/>
    <n v="1918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37209"/>
    <x v="5"/>
    <x v="5"/>
    <x v="12"/>
    <n v="53850"/>
    <n v="110"/>
    <s v="053850_110"/>
    <s v="Discovery Day"/>
    <s v="Mai valutato"/>
    <m/>
    <s v="Vari (12/04/2025)"/>
    <n v="2263300011854"/>
    <n v="20250412"/>
    <s v="03 - Versamento contante cassa continua "/>
    <m/>
    <m/>
    <s v="A     - Avere"/>
    <n v="44705"/>
    <n v="44705"/>
    <n v="3708070"/>
    <n v="8755330720"/>
    <s v="UNISFERA S.R.L."/>
    <s v="430 - Imprese produttive"/>
    <s v="471 - COMMERCIO AL DETTAGLIO IN ESERCIZI NON SPECIALIZZATI"/>
    <s v="086 - ITALIA"/>
    <n v="1932"/>
    <m/>
    <m/>
    <m/>
    <m/>
    <m/>
    <m/>
    <m/>
    <n v="0"/>
    <n v="202504"/>
    <x v="1"/>
    <x v="0"/>
    <x v="0"/>
    <n v="3708070"/>
    <x v="1"/>
    <x v="0"/>
    <s v="999"/>
    <s v="430"/>
    <s v="430999"/>
    <m/>
    <s v="1"/>
    <s v="Classe di rischio 1"/>
  </r>
  <r>
    <n v="337208"/>
    <x v="5"/>
    <x v="5"/>
    <x v="12"/>
    <n v="53850"/>
    <n v="102"/>
    <s v="053850_102"/>
    <s v="Discovery Day"/>
    <s v="Mai valutato"/>
    <m/>
    <n v="202504127896818"/>
    <n v="1023308722503"/>
    <n v="20250412"/>
    <s v="03 - Versamento contante cassa continua "/>
    <m/>
    <m/>
    <s v="A     - Avere"/>
    <n v="31920"/>
    <n v="319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516"/>
    <x v="4"/>
    <x v="4"/>
    <x v="13"/>
    <n v="53850"/>
    <n v="117"/>
    <s v="053850_117"/>
    <s v="Discovery Day"/>
    <s v="Mai valutato"/>
    <m/>
    <n v="202504147888460"/>
    <n v="1173300536339"/>
    <n v="20250414"/>
    <s v="BE - Sottoscrizione titoli e/o fondi comuni "/>
    <m/>
    <m/>
    <s v="D     - Dare"/>
    <n v="320000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515"/>
    <x v="4"/>
    <x v="4"/>
    <x v="13"/>
    <n v="53850"/>
    <n v="102"/>
    <s v="053850_102"/>
    <s v="Discovery Day"/>
    <s v="Mai valutato"/>
    <m/>
    <n v="202504147888524"/>
    <n v="1023302251821"/>
    <n v="20250414"/>
    <s v="BF - Rimborso titoli e/o fondi comuni "/>
    <m/>
    <m/>
    <s v="A     - Avere"/>
    <n v="199998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4"/>
    <x v="1"/>
    <x v="0"/>
    <x v="0"/>
    <m/>
    <x v="0"/>
    <x v="0"/>
    <s v="383"/>
    <s v="614"/>
    <s v="614383"/>
    <s v="Classe di rischio 6"/>
    <m/>
    <s v="Classe di rischio 6"/>
  </r>
  <r>
    <n v="329514"/>
    <x v="4"/>
    <x v="4"/>
    <x v="13"/>
    <n v="53850"/>
    <n v="103"/>
    <s v="053850_103"/>
    <s v="Discovery Day"/>
    <s v="Mai valutato"/>
    <m/>
    <n v="202504147888566"/>
    <n v="1033306973662"/>
    <n v="20250414"/>
    <s v="BF - Rimborso titoli e/o fondi comuni "/>
    <m/>
    <m/>
    <s v="A     - Avere"/>
    <n v="399998"/>
    <n v="0"/>
    <n v="11422"/>
    <s v="MSSGRZ57M45E155I"/>
    <s v="MASSARI GRAZIA"/>
    <s v="600 - Famiglie consumatrici"/>
    <m/>
    <s v="086 - ITALIA"/>
    <n v="806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513"/>
    <x v="4"/>
    <x v="4"/>
    <x v="13"/>
    <n v="53850"/>
    <n v="105"/>
    <s v="053850_105"/>
    <s v="Discovery Day"/>
    <s v="Mai valutato"/>
    <m/>
    <n v="202504147888589"/>
    <n v="1053304343840"/>
    <n v="20250414"/>
    <s v="BF - Rimborso titoli e/o fondi comuni "/>
    <m/>
    <m/>
    <s v="A     - Avere"/>
    <n v="419998"/>
    <n v="0"/>
    <n v="434384"/>
    <s v="LSTFPP52E45E038X"/>
    <s v="LOSITO FILIPPA"/>
    <s v="600 - Famiglie consumatrici"/>
    <m/>
    <s v="086 - ITALIA"/>
    <n v="833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512"/>
    <x v="4"/>
    <x v="4"/>
    <x v="13"/>
    <n v="53850"/>
    <n v="109"/>
    <s v="053850_109"/>
    <s v="Discovery Day"/>
    <s v="Mai valutato"/>
    <m/>
    <n v="202504147888620"/>
    <n v="1093306673947"/>
    <n v="20250414"/>
    <s v="BB - Acquisto a pronti titoli e diritti d'opzione "/>
    <m/>
    <m/>
    <s v="D     - Dare"/>
    <n v="383398.28"/>
    <n v="0"/>
    <n v="619606"/>
    <s v="DGSGRL71B60A662X"/>
    <s v="D'AGOSTINO GABRIELLA"/>
    <s v="600 - Famiglie consumatrici"/>
    <m/>
    <s v="086 - ITALIA"/>
    <n v="743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511"/>
    <x v="4"/>
    <x v="4"/>
    <x v="13"/>
    <n v="53850"/>
    <n v="116"/>
    <s v="053850_116"/>
    <s v="Discovery Day"/>
    <s v="Mai valutato"/>
    <m/>
    <n v="202504147888647"/>
    <n v="1423300308662"/>
    <n v="20250414"/>
    <s v="BB - Acquisto a pronti titoli e diritti d'opzione "/>
    <m/>
    <m/>
    <s v="D     - Dare"/>
    <n v="599623.14"/>
    <n v="0"/>
    <n v="4239979"/>
    <n v="6173370724"/>
    <s v="ENTERPRICE ELVIM SISTEMI S.R.L."/>
    <s v="430 - Imprese produttive"/>
    <s v="619 - ALTRE ATTIVITÀ DI TELECOMUNICAZIONE"/>
    <s v="086 - ITALIA"/>
    <n v="1612"/>
    <m/>
    <m/>
    <m/>
    <m/>
    <m/>
    <m/>
    <m/>
    <n v="0"/>
    <n v="202504"/>
    <x v="2"/>
    <x v="1"/>
    <x v="0"/>
    <m/>
    <x v="0"/>
    <x v="0"/>
    <s v="619"/>
    <s v="430"/>
    <s v="430619"/>
    <s v="Classe di rischio 3"/>
    <m/>
    <s v="Classe di rischio 3"/>
  </r>
  <r>
    <n v="329510"/>
    <x v="4"/>
    <x v="4"/>
    <x v="13"/>
    <n v="53850"/>
    <n v="103"/>
    <s v="053850_103"/>
    <s v="Discovery Day"/>
    <s v="Mai valutato"/>
    <m/>
    <n v="202504147888548"/>
    <n v="1033301057030"/>
    <n v="20250414"/>
    <s v="BF - Rimborso titoli e/o fondi comuni "/>
    <m/>
    <m/>
    <s v="A     - Avere"/>
    <n v="3999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509"/>
    <x v="4"/>
    <x v="4"/>
    <x v="13"/>
    <n v="53850"/>
    <n v="103"/>
    <s v="053850_103"/>
    <s v="Discovery Day"/>
    <s v="Mai valutato"/>
    <m/>
    <n v="202504147888566"/>
    <n v="1033306973662"/>
    <n v="20250414"/>
    <s v="BF - Rimborso titoli e/o fondi comuni "/>
    <m/>
    <m/>
    <s v="A     - Avere"/>
    <n v="399998"/>
    <n v="0"/>
    <n v="103743"/>
    <s v="SNTGPP57B16E155R"/>
    <s v="SANTERAMO GIUSEPPE"/>
    <s v="600 - Famiglie consumatrici"/>
    <m/>
    <s v="086 - ITALIA"/>
    <m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508"/>
    <x v="5"/>
    <x v="5"/>
    <x v="13"/>
    <n v="53850"/>
    <n v="109"/>
    <s v="053850_109"/>
    <s v="Discovery Day"/>
    <s v="Mai valutato"/>
    <m/>
    <n v="202504117889634"/>
    <n v="1093306675356"/>
    <n v="20250411"/>
    <s v="D1 - Versamento di contante "/>
    <m/>
    <m/>
    <s v="A     - Avere"/>
    <n v="32000"/>
    <n v="320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4"/>
    <x v="1"/>
    <x v="0"/>
    <x v="0"/>
    <n v="4976123"/>
    <x v="1"/>
    <x v="0"/>
    <s v="477"/>
    <s v="430"/>
    <s v="430477"/>
    <s v="Classe di rischio 3"/>
    <m/>
    <s v="Classe di rischio 3"/>
  </r>
  <r>
    <n v="329507"/>
    <x v="2"/>
    <x v="2"/>
    <x v="13"/>
    <n v="53850"/>
    <n v="109"/>
    <s v="053850_109"/>
    <s v="Discovery Day"/>
    <s v="Mai valutato"/>
    <m/>
    <s v="202504115805759L"/>
    <n v="1093306672844"/>
    <n v="20250411"/>
    <s v="AA - Bonifico da e per estero "/>
    <m/>
    <s v="261 - CROAZIA"/>
    <s v="A     - Avere"/>
    <n v="15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n v="440311"/>
    <x v="1"/>
    <x v="0"/>
    <s v="451"/>
    <s v="430"/>
    <s v="430451"/>
    <s v="Classe di rischio 3"/>
    <m/>
    <s v="Classe di rischio 3"/>
  </r>
  <r>
    <n v="329506"/>
    <x v="4"/>
    <x v="4"/>
    <x v="13"/>
    <n v="53850"/>
    <n v="270"/>
    <s v="053850_270"/>
    <s v="Discovery Day"/>
    <s v="Mai valutato"/>
    <m/>
    <n v="202504117890039"/>
    <n v="2703300001695"/>
    <n v="20250411"/>
    <s v="SPECIAL"/>
    <m/>
    <m/>
    <s v="D     - Dare"/>
    <n v="35936.81"/>
    <n v="0"/>
    <n v="1663273"/>
    <s v="CMPBNC26S61D763B"/>
    <s v="CAMPLI BIANCA"/>
    <s v="600 - Famiglie consumatrici"/>
    <m/>
    <s v="086 - ITALIA"/>
    <n v="1876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29505"/>
    <x v="2"/>
    <x v="2"/>
    <x v="13"/>
    <n v="53850"/>
    <n v="187"/>
    <s v="053850_187"/>
    <s v="Discovery Day"/>
    <s v="Mai valutato"/>
    <m/>
    <s v="202504115811647L"/>
    <n v="1873300102696"/>
    <n v="20250411"/>
    <s v="AA - Bonifico da e per estero "/>
    <m/>
    <s v="012 - BULGARIA"/>
    <s v="A     - Avere"/>
    <n v="2084.1799999999998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x v="1"/>
    <x v="0"/>
    <x v="0"/>
    <m/>
    <x v="0"/>
    <x v="0"/>
    <s v="463"/>
    <s v="430"/>
    <s v="430463"/>
    <s v="Classe di rischio 3"/>
    <m/>
    <s v="Classe di rischio 3"/>
  </r>
  <r>
    <n v="329504"/>
    <x v="4"/>
    <x v="4"/>
    <x v="13"/>
    <n v="53850"/>
    <n v="164"/>
    <s v="053850_164"/>
    <s v="Discovery Day"/>
    <s v="Mai valutato"/>
    <m/>
    <n v="202504117889843"/>
    <n v="1645500369067"/>
    <n v="20250411"/>
    <s v="BU - Deposito su libretti a risparmio "/>
    <m/>
    <m/>
    <s v="A     - Avere"/>
    <n v="205000"/>
    <n v="0"/>
    <n v="812017"/>
    <s v="CMPNTN56L14A339U"/>
    <s v="CAMPAGNA ANTONIO"/>
    <s v="600 - Famiglie consumatrici"/>
    <m/>
    <s v="086 - ITALIA"/>
    <n v="789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503"/>
    <x v="6"/>
    <x v="6"/>
    <x v="13"/>
    <n v="53850"/>
    <n v="102"/>
    <s v="053850_102"/>
    <s v="Discovery Day"/>
    <s v="Mai valutato"/>
    <m/>
    <n v="202504117888426"/>
    <n v="1023306274744"/>
    <n v="20250411"/>
    <s v="AA - Bonifico da e per estero "/>
    <m/>
    <s v="076 - TURCHIA"/>
    <s v="A     - Avere"/>
    <n v="72027.5"/>
    <n v="0"/>
    <n v="4873420"/>
    <n v="7966910726"/>
    <s v="LA CASA DEI SOGNI SOCIETA' A RESPONSABILITA LIMITATA SEMPLIFICATA"/>
    <s v="430 - Imprese produttive"/>
    <s v="433 - COMPLETAMENTO E FINITURA DI EDIFICI"/>
    <s v="086 - ITALIA"/>
    <n v="1443"/>
    <m/>
    <m/>
    <m/>
    <m/>
    <m/>
    <m/>
    <m/>
    <n v="0"/>
    <n v="202504"/>
    <x v="0"/>
    <x v="0"/>
    <x v="0"/>
    <m/>
    <x v="0"/>
    <x v="0"/>
    <s v="433"/>
    <s v="430"/>
    <s v="430433"/>
    <s v="Classe di rischio 3"/>
    <m/>
    <s v="Classe di rischio 3"/>
  </r>
  <r>
    <n v="329502"/>
    <x v="4"/>
    <x v="4"/>
    <x v="13"/>
    <n v="53850"/>
    <n v="103"/>
    <s v="053850_103"/>
    <s v="Discovery Day"/>
    <s v="Mai valutato"/>
    <m/>
    <n v="202504117888088"/>
    <n v="1033302887038"/>
    <n v="20250411"/>
    <s v="48 - Bonifico in arrivo "/>
    <m/>
    <s v="086 - ITALIA"/>
    <s v="A     - Avere"/>
    <n v="200185.1"/>
    <n v="0"/>
    <n v="439301"/>
    <s v="FLMGNN82C26A662U"/>
    <s v="FILIMBENI GIOVANNI"/>
    <s v="600 - Famiglie consumatrici"/>
    <m/>
    <s v="086 - ITALIA"/>
    <m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501"/>
    <x v="4"/>
    <x v="4"/>
    <x v="13"/>
    <n v="53850"/>
    <n v="103"/>
    <s v="053850_103"/>
    <s v="Discovery Day"/>
    <s v="Mai valutato"/>
    <m/>
    <n v="202504117888088"/>
    <n v="1033302887038"/>
    <n v="20250411"/>
    <s v="48 - Bonifico in arrivo "/>
    <m/>
    <s v="086 - ITALIA"/>
    <s v="A     - Avere"/>
    <n v="200185.1"/>
    <n v="0"/>
    <n v="403536"/>
    <s v="FLMRFL46T10E155G"/>
    <s v="FILIMBENI RAFFAELE"/>
    <s v="600 - Famiglie consumatrici"/>
    <m/>
    <s v="086 - ITALIA"/>
    <n v="1657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500"/>
    <x v="4"/>
    <x v="4"/>
    <x v="13"/>
    <n v="53850"/>
    <n v="103"/>
    <s v="053850_103"/>
    <s v="Discovery Day"/>
    <s v="Mai valutato"/>
    <m/>
    <n v="202504117888088"/>
    <n v="1033302887038"/>
    <n v="20250411"/>
    <s v="48 - Bonifico in arrivo "/>
    <m/>
    <s v="086 - ITALIA"/>
    <s v="A     - Avere"/>
    <n v="200185.1"/>
    <n v="0"/>
    <n v="106613"/>
    <s v="PRSMVN51H53E155C"/>
    <s v="PARISI MARIA VINCENZA"/>
    <s v="600 - Famiglie consumatrici"/>
    <m/>
    <s v="086 - ITALIA"/>
    <n v="1657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499"/>
    <x v="6"/>
    <x v="6"/>
    <x v="13"/>
    <n v="53850"/>
    <n v="170"/>
    <s v="053850_170"/>
    <s v="Discovery Day"/>
    <s v="Mai valutato"/>
    <m/>
    <n v="202504117888432"/>
    <n v="1703306288195"/>
    <n v="20250411"/>
    <s v="AA - Bonifico da e per estero "/>
    <m/>
    <s v="076 - TURCHIA"/>
    <s v="D     - Dare"/>
    <n v="342142.36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498"/>
    <x v="5"/>
    <x v="5"/>
    <x v="13"/>
    <n v="53850"/>
    <n v="171"/>
    <s v="053850_171"/>
    <s v="Discovery Day"/>
    <s v="Mai valutato"/>
    <m/>
    <s v="Vari (11/04/2025)"/>
    <n v="1713305728950"/>
    <n v="20250411"/>
    <s v="03 - Versamento contante cassa continua "/>
    <m/>
    <m/>
    <s v="A     - Avere"/>
    <n v="399787.64"/>
    <n v="399787.6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497"/>
    <x v="6"/>
    <x v="6"/>
    <x v="13"/>
    <n v="53850"/>
    <n v="102"/>
    <s v="053850_102"/>
    <s v="Discovery Day"/>
    <s v="Mai valutato"/>
    <m/>
    <n v="202504117888427"/>
    <n v="1023308727580"/>
    <n v="20250411"/>
    <s v="AA - Bonifico da e per estero "/>
    <m/>
    <s v="076 - TURCHIA"/>
    <s v="A     - Avere"/>
    <n v="34391.019999999997"/>
    <n v="0"/>
    <n v="3727650"/>
    <n v="8924460721"/>
    <s v="MEC WELDING SERVICE SOCIETA' A RESPONSABILITA' LIMITATA SEMPLIFICATA"/>
    <s v="430 - Imprese produttive"/>
    <s v="332 - INSTALLAZIONE DI MACCHINE ED APPARECCHIATURE INDUSTRIALI"/>
    <s v="086 - ITALIA"/>
    <n v="1306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496"/>
    <x v="4"/>
    <x v="4"/>
    <x v="13"/>
    <n v="53850"/>
    <n v="120"/>
    <s v="053850_120"/>
    <s v="Discovery Day"/>
    <s v="Mai valutato"/>
    <m/>
    <n v="202504117887330"/>
    <n v="1203300002401"/>
    <n v="20250411"/>
    <s v="48 - Bonifico in arrivo "/>
    <m/>
    <s v="086 - ITALIA"/>
    <s v="A     - Avere"/>
    <n v="11747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x v="1"/>
    <x v="0"/>
    <x v="0"/>
    <n v="613876"/>
    <x v="1"/>
    <x v="0"/>
    <s v="999"/>
    <s v="500"/>
    <s v="500999"/>
    <m/>
    <s v="1"/>
    <s v="Classe di rischio 3"/>
  </r>
  <r>
    <n v="329495"/>
    <x v="3"/>
    <x v="3"/>
    <x v="13"/>
    <n v="53850"/>
    <n v="171"/>
    <s v="053850_171"/>
    <s v="Discovery Day"/>
    <s v="Mai valutato"/>
    <m/>
    <s v="Vari (11/04/2025)"/>
    <n v="1713302214147"/>
    <n v="20250411"/>
    <s v="03 - Versamento contante cassa continua "/>
    <m/>
    <m/>
    <s v="A     - Avere"/>
    <n v="154416.32999999999"/>
    <n v="154416.32999999999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29494"/>
    <x v="6"/>
    <x v="6"/>
    <x v="13"/>
    <n v="53850"/>
    <n v="102"/>
    <s v="053850_102"/>
    <s v="Discovery Day"/>
    <s v="Mai valutato"/>
    <m/>
    <n v="202504117888165"/>
    <n v="2583302250573"/>
    <n v="20250411"/>
    <s v="AA - Bonifico da e per estero "/>
    <m/>
    <s v="071 - SVIZZERA"/>
    <s v="A     - Avere"/>
    <n v="50650"/>
    <n v="0"/>
    <n v="4127428"/>
    <s v="NGRTMS74B24A225L"/>
    <s v="NIGRO TOMMASO"/>
    <s v="615 - Altre famiglie produttrici"/>
    <s v="799 - ALTRI SERVIZI DI PRENOTAZIONE E ATTIVITÀ CONNESSE"/>
    <s v="086 - ITALIA"/>
    <n v="1949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29493"/>
    <x v="4"/>
    <x v="4"/>
    <x v="13"/>
    <n v="53850"/>
    <n v="192"/>
    <s v="053850_192"/>
    <s v="Discovery Day"/>
    <s v="Mai valutato"/>
    <m/>
    <n v="202504117889963"/>
    <n v="1923300184022"/>
    <n v="20250411"/>
    <s v="SPECIAL"/>
    <m/>
    <m/>
    <s v="D     - Dare"/>
    <n v="63308.61"/>
    <n v="0"/>
    <n v="4970354"/>
    <s v="FRNDNT40L68I907U"/>
    <s v="FRANCHINI DONATA"/>
    <s v="600 - Famiglie consumatrici"/>
    <m/>
    <s v="086 - ITALIA"/>
    <n v="481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29492"/>
    <x v="3"/>
    <x v="3"/>
    <x v="13"/>
    <n v="53850"/>
    <n v="102"/>
    <s v="053850_102"/>
    <s v="Discovery Day"/>
    <s v="Mai valutato"/>
    <m/>
    <n v="202504117889567"/>
    <n v="1023305550270"/>
    <n v="20250411"/>
    <s v="G7 - Versamento assegno circolare altro intermediario "/>
    <m/>
    <m/>
    <s v="A     - Avere"/>
    <n v="159670"/>
    <n v="0"/>
    <n v="555027"/>
    <n v="4594700728"/>
    <s v="MARROCCOLI COSTRUZIONI SRL"/>
    <s v="430 - Imprese produttive"/>
    <s v="412 - COSTRUZIONE DI EDIFICI RESIDENZIALI E NON RESIDENZIALI"/>
    <s v="086 - ITALIA"/>
    <n v="1203"/>
    <m/>
    <m/>
    <m/>
    <m/>
    <m/>
    <m/>
    <m/>
    <n v="0"/>
    <n v="202504"/>
    <x v="2"/>
    <x v="1"/>
    <x v="0"/>
    <m/>
    <x v="0"/>
    <x v="0"/>
    <s v="412"/>
    <s v="430"/>
    <s v="430412"/>
    <s v="Classe di rischio 3"/>
    <m/>
    <s v="Classe di rischio 3"/>
  </r>
  <r>
    <n v="329491"/>
    <x v="3"/>
    <x v="3"/>
    <x v="13"/>
    <n v="53850"/>
    <n v="121"/>
    <s v="053850_121"/>
    <s v="Discovery Day"/>
    <s v="Mai valutato"/>
    <m/>
    <s v="Vari (11/04/2025)"/>
    <n v="1213300002600"/>
    <n v="20250411"/>
    <s v="VV"/>
    <m/>
    <m/>
    <s v="A     - Avere"/>
    <n v="606194.87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4"/>
    <x v="3"/>
    <x v="1"/>
    <x v="0"/>
    <m/>
    <x v="0"/>
    <x v="1"/>
    <s v="463"/>
    <s v="430"/>
    <s v="430463"/>
    <s v="Classe di rischio 3"/>
    <m/>
    <s v="Classe di rischio 3"/>
  </r>
  <r>
    <n v="329490"/>
    <x v="4"/>
    <x v="4"/>
    <x v="13"/>
    <n v="53850"/>
    <n v="164"/>
    <s v="053850_164"/>
    <s v="Discovery Day"/>
    <s v="Mai valutato"/>
    <m/>
    <n v="202504117889843"/>
    <n v="1645500369067"/>
    <n v="20250411"/>
    <s v="BU - Deposito su libretti a risparmio "/>
    <m/>
    <m/>
    <s v="A     - Avere"/>
    <n v="205000"/>
    <n v="0"/>
    <n v="812018"/>
    <s v="CMPMRA58H10A339H"/>
    <s v="CAMPAGNA MARIO"/>
    <s v="600 - Famiglie consumatrici"/>
    <m/>
    <s v="086 - ITALIA"/>
    <n v="789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489"/>
    <x v="4"/>
    <x v="4"/>
    <x v="13"/>
    <n v="53850"/>
    <n v="192"/>
    <s v="053850_192"/>
    <s v="Discovery Day"/>
    <s v="Mai valutato"/>
    <m/>
    <n v="202504117889963"/>
    <n v="1923300184022"/>
    <n v="20250411"/>
    <s v="SPECIAL"/>
    <m/>
    <m/>
    <s v="D     - Dare"/>
    <n v="63308.61"/>
    <n v="0"/>
    <n v="3009295"/>
    <s v="RGSPTR39C26E986C"/>
    <s v="RAGUSO PIETRO"/>
    <s v="600 - Famiglie consumatrici"/>
    <m/>
    <s v="086 - ITALIA"/>
    <m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29488"/>
    <x v="3"/>
    <x v="3"/>
    <x v="13"/>
    <n v="53850"/>
    <n v="102"/>
    <s v="053850_102"/>
    <s v="Discovery Day"/>
    <s v="Mai valutato"/>
    <m/>
    <s v="Vari (11/04/2025)"/>
    <n v="1023300372420"/>
    <n v="20250411"/>
    <s v="VV"/>
    <m/>
    <m/>
    <s v="A     - Avere"/>
    <n v="104000"/>
    <n v="0"/>
    <n v="37242"/>
    <s v="CRNDNC48B18A225U"/>
    <s v="CORNACCHIA DOMENICO"/>
    <s v="614 - Artigiani"/>
    <s v="412 - COSTRUZIONE DI EDIFICI RESIDENZIALI E NON RESIDENZIALI"/>
    <s v="086 - ITALIA"/>
    <n v="1274"/>
    <m/>
    <m/>
    <m/>
    <m/>
    <m/>
    <m/>
    <m/>
    <n v="0"/>
    <n v="202504"/>
    <x v="2"/>
    <x v="1"/>
    <x v="0"/>
    <m/>
    <x v="0"/>
    <x v="1"/>
    <s v="999"/>
    <s v="614"/>
    <s v="614999"/>
    <m/>
    <s v="1"/>
    <s v="Classe di rischio 3"/>
  </r>
  <r>
    <n v="329487"/>
    <x v="5"/>
    <x v="5"/>
    <x v="13"/>
    <n v="53850"/>
    <n v="185"/>
    <s v="053850_185"/>
    <s v="Discovery Day"/>
    <s v="Mai valutato"/>
    <m/>
    <n v="202504117889947"/>
    <n v="1823300171614"/>
    <n v="20250411"/>
    <s v="D1 - Versamento di contante "/>
    <m/>
    <m/>
    <s v="A     - Avere"/>
    <n v="35780"/>
    <n v="35780"/>
    <n v="4042658"/>
    <n v="5252390728"/>
    <s v="ARGO S.R.L."/>
    <s v="430 - Imprese produttive"/>
    <s v="471 - COMMERCIO AL DETTAGLIO IN ESERCIZI NON SPECIALIZZATI"/>
    <s v="086 - ITALIA"/>
    <n v="773"/>
    <m/>
    <m/>
    <m/>
    <m/>
    <m/>
    <m/>
    <m/>
    <n v="0"/>
    <n v="202504"/>
    <x v="1"/>
    <x v="0"/>
    <x v="0"/>
    <n v="4042658"/>
    <x v="1"/>
    <x v="0"/>
    <s v="999"/>
    <s v="430"/>
    <s v="430999"/>
    <m/>
    <s v="1"/>
    <s v="Classe di rischio 1"/>
  </r>
  <r>
    <n v="329486"/>
    <x v="4"/>
    <x v="4"/>
    <x v="13"/>
    <n v="53850"/>
    <n v="187"/>
    <s v="053850_187"/>
    <s v="Discovery Day"/>
    <s v="Mai valutato"/>
    <m/>
    <s v="202504115810476L"/>
    <n v="1873300109751"/>
    <n v="20250411"/>
    <s v="SPECIAL"/>
    <m/>
    <m/>
    <s v="D     - Dare"/>
    <n v="1401.07"/>
    <n v="0"/>
    <n v="4949517"/>
    <s v="TDRMFR66M60F531E"/>
    <s v="TODARO MARIA FIORA"/>
    <s v="600 - Famiglie consumatrici"/>
    <m/>
    <s v="086 - ITALIA"/>
    <n v="1162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485"/>
    <x v="3"/>
    <x v="3"/>
    <x v="13"/>
    <n v="53850"/>
    <n v="171"/>
    <s v="053850_171"/>
    <s v="Discovery Day"/>
    <s v="Mai valutato"/>
    <m/>
    <s v="Vari (11/04/2025)"/>
    <n v="1713305728950"/>
    <n v="20250411"/>
    <s v="03 - Versamento contante cassa continua "/>
    <m/>
    <m/>
    <s v="A     - Avere"/>
    <n v="399787.64"/>
    <n v="399787.6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484"/>
    <x v="5"/>
    <x v="5"/>
    <x v="13"/>
    <n v="53850"/>
    <n v="171"/>
    <s v="053850_171"/>
    <s v="Discovery Day"/>
    <s v="Mai valutato"/>
    <m/>
    <s v="Vari (11/04/2025)"/>
    <n v="1713302214147"/>
    <n v="20250411"/>
    <s v="03 - Versamento contante cassa continua "/>
    <m/>
    <m/>
    <s v="A     - Avere"/>
    <n v="154416.32999999999"/>
    <n v="154416.32999999999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29483"/>
    <x v="2"/>
    <x v="2"/>
    <x v="13"/>
    <n v="53850"/>
    <n v="148"/>
    <s v="053850_148"/>
    <s v="Discovery Day"/>
    <s v="Mai valutato"/>
    <m/>
    <s v="202504115804169L"/>
    <n v="1483300004308"/>
    <n v="20250411"/>
    <s v="AA - Bonifico da e per estero "/>
    <m/>
    <s v="091 - PRINCIPATO DI MONACO"/>
    <s v="D     - Dare"/>
    <n v="1820"/>
    <n v="0"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482"/>
    <x v="3"/>
    <x v="3"/>
    <x v="13"/>
    <n v="53850"/>
    <n v="102"/>
    <s v="053850_102"/>
    <s v="Discovery Day"/>
    <s v="Mai valutato"/>
    <m/>
    <n v="202504117889550"/>
    <n v="1023300055260"/>
    <n v="20250411"/>
    <s v="G7 - Versamento assegno circolare altro intermediario "/>
    <m/>
    <m/>
    <s v="A     - Avere"/>
    <n v="100000"/>
    <n v="0"/>
    <n v="5526"/>
    <s v="PRTNCL73B22F052C"/>
    <s v="PREITE NICOLA"/>
    <s v="615 - Altre famiglie produttrici"/>
    <s v="691 - ATTIVITÀ DEGLI STUDI LEGALI"/>
    <s v="086 - ITALIA"/>
    <n v="1443"/>
    <m/>
    <m/>
    <m/>
    <m/>
    <m/>
    <m/>
    <m/>
    <n v="0"/>
    <n v="202504"/>
    <x v="2"/>
    <x v="1"/>
    <x v="0"/>
    <m/>
    <x v="0"/>
    <x v="0"/>
    <s v="999"/>
    <s v="615"/>
    <s v="615999"/>
    <m/>
    <s v="1"/>
    <s v="Classe di rischio 3"/>
  </r>
  <r>
    <n v="329481"/>
    <x v="3"/>
    <x v="3"/>
    <x v="13"/>
    <n v="53850"/>
    <n v="102"/>
    <s v="053850_102"/>
    <s v="Discovery Day"/>
    <s v="Mai valutato"/>
    <m/>
    <n v="202504117889574"/>
    <n v="1023302249416"/>
    <n v="20250411"/>
    <s v="G7 - Versamento assegno circolare altro intermediario "/>
    <m/>
    <m/>
    <s v="A     - Avere"/>
    <n v="129345"/>
    <n v="0"/>
    <n v="445647"/>
    <s v="PPNDNC76P24A225Q"/>
    <s v="PAPANGELO DOMENICO"/>
    <s v="600 - Famiglie consumatrici"/>
    <m/>
    <s v="086 - ITALIA"/>
    <n v="1431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480"/>
    <x v="4"/>
    <x v="4"/>
    <x v="13"/>
    <n v="53850"/>
    <n v="187"/>
    <s v="053850_187"/>
    <s v="Discovery Day"/>
    <s v="Mai valutato"/>
    <m/>
    <s v="202504115810476L"/>
    <n v="1873300109751"/>
    <n v="20250411"/>
    <s v="SPECIAL"/>
    <m/>
    <m/>
    <s v="D     - Dare"/>
    <n v="1401.07"/>
    <n v="0"/>
    <n v="4949521"/>
    <s v="MNGGPP40C52F531L"/>
    <s v="MANIGRASSO GIUSEPPA"/>
    <s v="600 - Famiglie consumatrici"/>
    <m/>
    <s v="086 - ITALIA"/>
    <m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479"/>
    <x v="4"/>
    <x v="4"/>
    <x v="14"/>
    <n v="53850"/>
    <n v="110"/>
    <s v="053850_110"/>
    <s v="Discovery Day"/>
    <s v="Mai valutato"/>
    <m/>
    <n v="202504117885346"/>
    <n v="1103306286220"/>
    <n v="20250411"/>
    <s v="BE - Sottoscrizione titoli e/o fondi comuni "/>
    <m/>
    <m/>
    <s v="D     - Dare"/>
    <n v="500000"/>
    <n v="0"/>
    <n v="4216175"/>
    <s v="LMCGCH71P10A669A"/>
    <s v="LAMACCHIA GIOACCHINO"/>
    <s v="615 - Altre famiglie produttrici"/>
    <s v="012 - COLTIVAZIONE DI COLTURE PERMANENTI"/>
    <s v="086 - ITALIA"/>
    <n v="458"/>
    <m/>
    <m/>
    <m/>
    <m/>
    <m/>
    <m/>
    <m/>
    <n v="0"/>
    <n v="202504"/>
    <x v="2"/>
    <x v="1"/>
    <x v="0"/>
    <m/>
    <x v="0"/>
    <x v="0"/>
    <s v="999"/>
    <s v="615"/>
    <s v="615999"/>
    <m/>
    <s v="1"/>
    <s v="Classe di rischio 3"/>
  </r>
  <r>
    <n v="329478"/>
    <x v="4"/>
    <x v="4"/>
    <x v="14"/>
    <n v="53850"/>
    <n v="153"/>
    <s v="053850_153"/>
    <s v="Discovery Day"/>
    <s v="Mai valutato"/>
    <m/>
    <n v="202504107886350"/>
    <n v="1533300663496"/>
    <n v="20250410"/>
    <s v="SPECIAL"/>
    <m/>
    <m/>
    <s v="D     - Dare"/>
    <n v="161797.57999999999"/>
    <n v="0"/>
    <n v="2001604"/>
    <s v="CPPGRD37M15F506P"/>
    <s v="COPPOLA GERARDO"/>
    <s v="600 - Famiglie consumatrici"/>
    <m/>
    <s v="086 - ITALIA"/>
    <n v="1051"/>
    <m/>
    <m/>
    <m/>
    <m/>
    <m/>
    <m/>
    <m/>
    <n v="0"/>
    <n v="202504"/>
    <x v="1"/>
    <x v="0"/>
    <x v="0"/>
    <m/>
    <x v="0"/>
    <x v="1"/>
    <s v="999"/>
    <s v="600"/>
    <s v="600999"/>
    <s v="Classe di rischio 7"/>
    <m/>
    <s v="Classe di rischio 7"/>
  </r>
  <r>
    <n v="329477"/>
    <x v="4"/>
    <x v="4"/>
    <x v="14"/>
    <n v="53850"/>
    <n v="105"/>
    <s v="053850_105"/>
    <s v="Discovery Day"/>
    <s v="Mai valutato"/>
    <m/>
    <n v="202504107886192"/>
    <n v="1053306295285"/>
    <n v="20250410"/>
    <s v="26 - Bonifico in partenza "/>
    <m/>
    <s v="086 - ITALIA"/>
    <s v="D     - Dare"/>
    <n v="261649.5"/>
    <n v="0"/>
    <n v="3740303"/>
    <s v="LEONGL72C68E038E"/>
    <s v="LEO ANGELA"/>
    <s v="600 - Famiglie consumatrici"/>
    <m/>
    <s v="086 - ITALIA"/>
    <n v="763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476"/>
    <x v="2"/>
    <x v="2"/>
    <x v="14"/>
    <n v="53850"/>
    <n v="192"/>
    <s v="053850_192"/>
    <s v="Discovery Day"/>
    <s v="Mai valutato"/>
    <m/>
    <n v="202504107885245"/>
    <n v="1923300181787"/>
    <n v="20250410"/>
    <s v="AA - Bonifico da e per estero "/>
    <m/>
    <s v="261 - CROAZIA"/>
    <s v="A     - Avere"/>
    <n v="6629"/>
    <n v="0"/>
    <n v="4048836"/>
    <n v="945510725"/>
    <s v="PUGLIA ALBERGHIERA S.R.L."/>
    <s v="430 - Imprese produttive"/>
    <s v="551 - ALBERGHI E STRUTTURE SIMILI"/>
    <s v="086 - ITALIA"/>
    <n v="1907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475"/>
    <x v="2"/>
    <x v="2"/>
    <x v="14"/>
    <n v="53850"/>
    <n v="141"/>
    <s v="053850_141"/>
    <s v="Discovery Day"/>
    <s v="Mai valutato"/>
    <m/>
    <s v="202504105765582L"/>
    <n v="1413300003508"/>
    <n v="20250410"/>
    <s v="AA - Bonifico da e per estero "/>
    <m/>
    <s v="012 - BULGARIA"/>
    <s v="A     - Avere"/>
    <n v="1800"/>
    <n v="0"/>
    <n v="4955842"/>
    <s v="PGLVTR01S56E506B"/>
    <s v="PAGLIARO VITTORIA"/>
    <s v="600 - Famiglie consumatrici"/>
    <m/>
    <s v="086 - ITALIA"/>
    <n v="925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474"/>
    <x v="2"/>
    <x v="2"/>
    <x v="14"/>
    <n v="53850"/>
    <n v="103"/>
    <s v="053850_103"/>
    <s v="Discovery Day"/>
    <s v="Mai valutato"/>
    <m/>
    <s v="202504105771058L"/>
    <n v="1033301641631"/>
    <n v="20250410"/>
    <s v="AA - Bonifico da e per estero "/>
    <m/>
    <s v="012 - BULGARIA"/>
    <s v="A     - Avere"/>
    <n v="2417.5100000000002"/>
    <n v="0"/>
    <n v="164163"/>
    <n v="3485840726"/>
    <s v="R.A.I. RICAMBI SRL"/>
    <s v="430 - Imprese produttive"/>
    <s v="453 - COMMERCIO DI PARTI E ACCESSORI DI AUTOVEICOLI"/>
    <s v="086 - ITALIA"/>
    <n v="1274"/>
    <m/>
    <m/>
    <m/>
    <m/>
    <m/>
    <m/>
    <m/>
    <n v="0"/>
    <n v="202504"/>
    <x v="2"/>
    <x v="1"/>
    <x v="0"/>
    <m/>
    <x v="0"/>
    <x v="0"/>
    <s v="453"/>
    <s v="430"/>
    <s v="430453"/>
    <s v="Classe di rischio 3"/>
    <m/>
    <s v="Classe di rischio 3"/>
  </r>
  <r>
    <n v="329473"/>
    <x v="2"/>
    <x v="2"/>
    <x v="14"/>
    <n v="53850"/>
    <n v="111"/>
    <s v="053850_111"/>
    <s v="Discovery Day"/>
    <s v="Mai valutato"/>
    <m/>
    <s v="202504105765702L"/>
    <n v="1113305626850"/>
    <n v="20250410"/>
    <s v="AA - Bonifico da e per estero "/>
    <m/>
    <s v="261 - CROAZIA"/>
    <s v="D     - Dare"/>
    <n v="250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4"/>
    <x v="4"/>
    <x v="1"/>
    <x v="0"/>
    <m/>
    <x v="0"/>
    <x v="0"/>
    <s v="999"/>
    <s v="600"/>
    <s v="600999"/>
    <s v="Classe di rischio 7"/>
    <m/>
    <s v="Classe di rischio 7"/>
  </r>
  <r>
    <n v="329472"/>
    <x v="8"/>
    <x v="8"/>
    <x v="14"/>
    <n v="53850"/>
    <n v="109"/>
    <s v="053850_109"/>
    <s v="Discovery Day"/>
    <s v="Mai valutato"/>
    <m/>
    <n v="202504107885321"/>
    <n v="1091147800171"/>
    <n v="20250410"/>
    <s v="AA - Bonifico da e per estero "/>
    <m/>
    <s v="071 - SVIZZERA"/>
    <s v="A     - Avere"/>
    <n v="110672.88"/>
    <n v="0"/>
    <n v="3173745"/>
    <n v="254810724"/>
    <s v="MORFINI S.P.A."/>
    <s v="430 - Imprese produttive"/>
    <s v="501 - TRASPORTO MARITTIMO E COSTIERO DI PASSEGGERI"/>
    <s v="086 - ITALIA"/>
    <n v="1696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471"/>
    <x v="2"/>
    <x v="2"/>
    <x v="14"/>
    <n v="53850"/>
    <n v="109"/>
    <s v="053850_109"/>
    <s v="Discovery Day"/>
    <s v="Mai valutato"/>
    <m/>
    <s v="202504105771693L"/>
    <n v="1093306672844"/>
    <n v="20250410"/>
    <s v="AA - Bonifico da e per estero "/>
    <m/>
    <s v="012 - BULGARIA"/>
    <s v="D     - Dare"/>
    <n v="27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n v="440311"/>
    <x v="1"/>
    <x v="0"/>
    <s v="451"/>
    <s v="430"/>
    <s v="430451"/>
    <s v="Classe di rischio 3"/>
    <m/>
    <s v="Classe di rischio 3"/>
  </r>
  <r>
    <n v="329470"/>
    <x v="4"/>
    <x v="4"/>
    <x v="14"/>
    <n v="53850"/>
    <n v="284"/>
    <s v="053850_284"/>
    <s v="Discovery Day"/>
    <s v="Mai valutato"/>
    <m/>
    <n v="202504107886611"/>
    <n v="2843300000468"/>
    <n v="20250410"/>
    <s v="SPECIAL"/>
    <m/>
    <m/>
    <s v="D     - Dare"/>
    <n v="7537.58"/>
    <n v="0"/>
    <n v="1656678"/>
    <s v="TRTVCN61D45B238W"/>
    <s v="TORTO VINCENZA"/>
    <s v="600 - Famiglie consumatrici"/>
    <m/>
    <s v="086 - ITALIA"/>
    <n v="1860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29469"/>
    <x v="4"/>
    <x v="4"/>
    <x v="14"/>
    <n v="53850"/>
    <n v="188"/>
    <s v="053850_188"/>
    <s v="Discovery Day"/>
    <s v="Mai valutato"/>
    <m/>
    <s v="202504105772518L"/>
    <n v="1883300128444"/>
    <n v="20250410"/>
    <s v="SPECIAL"/>
    <m/>
    <m/>
    <s v="D     - Dare"/>
    <n v="3919.57"/>
    <n v="0"/>
    <n v="4121707"/>
    <s v="CLVLDN69M71L049N"/>
    <s v="CALVIELLO LOREDANA"/>
    <s v="600 - Famiglie consumatrici"/>
    <m/>
    <s v="086 - ITALIA"/>
    <n v="433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468"/>
    <x v="3"/>
    <x v="3"/>
    <x v="14"/>
    <n v="53850"/>
    <n v="174"/>
    <s v="053850_174"/>
    <s v="Discovery Day"/>
    <s v="Mai valutato"/>
    <m/>
    <n v="202504107886423"/>
    <n v="1743302877381"/>
    <n v="20250410"/>
    <s v="G7 - Versamento assegno circolare altro intermediario "/>
    <m/>
    <m/>
    <s v="A     - Avere"/>
    <n v="415377.23"/>
    <n v="0"/>
    <n v="4071858"/>
    <s v="RMNNGL62E13F376R"/>
    <s v="RAIMONDI ANGELO"/>
    <s v="600 - Famiglie consumatrici"/>
    <m/>
    <s v="086 - ITALIA"/>
    <n v="448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467"/>
    <x v="4"/>
    <x v="4"/>
    <x v="14"/>
    <n v="53850"/>
    <n v="153"/>
    <s v="053850_153"/>
    <s v="Discovery Day"/>
    <s v="Mai valutato"/>
    <m/>
    <n v="202504107885819"/>
    <n v="1533303003511"/>
    <n v="20250410"/>
    <s v="31 - Effetti ritirati "/>
    <m/>
    <m/>
    <s v="D     - Dare"/>
    <n v="953751.8"/>
    <n v="0"/>
    <n v="4176708"/>
    <n v="606490647"/>
    <s v="ELETTROCANALI S.R.L."/>
    <s v="430 - Imprese produttive"/>
    <s v="222 - FABBRICAZIONE DI ARTICOLI IN MATERIE PLASTICHE"/>
    <s v="086 - ITALIA"/>
    <n v="982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466"/>
    <x v="7"/>
    <x v="7"/>
    <x v="14"/>
    <n v="53850"/>
    <n v="99"/>
    <s v="053850_99"/>
    <s v="Discovery Day"/>
    <s v="Mai valutato"/>
    <m/>
    <s v="202504105765041L"/>
    <m/>
    <n v="20250410"/>
    <s v="SPECIAL"/>
    <m/>
    <m/>
    <s v="D     - Dare"/>
    <n v="1163.22"/>
    <n v="0"/>
    <n v="4945096"/>
    <s v="MGGLGU98L15C514B"/>
    <s v="MAGGIO LUIGI"/>
    <s v="600 - Famiglie consumatrici"/>
    <m/>
    <s v="086 - ITALIA"/>
    <n v="796"/>
    <m/>
    <m/>
    <m/>
    <m/>
    <m/>
    <m/>
    <m/>
    <n v="0"/>
    <n v="202504"/>
    <x v="2"/>
    <x v="1"/>
    <x v="1"/>
    <m/>
    <x v="0"/>
    <x v="1"/>
    <s v="999"/>
    <s v="600"/>
    <s v="600999"/>
    <s v="Classe di rischio 7"/>
    <m/>
    <s v="Classe di rischio 7"/>
  </r>
  <r>
    <n v="329465"/>
    <x v="2"/>
    <x v="2"/>
    <x v="14"/>
    <n v="53850"/>
    <n v="109"/>
    <s v="053850_109"/>
    <s v="Discovery Day"/>
    <s v="Mai valutato"/>
    <m/>
    <s v="202504105771698L"/>
    <n v="1093306672844"/>
    <n v="20250410"/>
    <s v="AA - Bonifico da e per estero "/>
    <m/>
    <s v="012 - BULGARIA"/>
    <s v="D     - Dare"/>
    <n v="18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n v="440311"/>
    <x v="1"/>
    <x v="0"/>
    <s v="451"/>
    <s v="430"/>
    <s v="430451"/>
    <s v="Classe di rischio 3"/>
    <m/>
    <s v="Classe di rischio 3"/>
  </r>
  <r>
    <n v="329464"/>
    <x v="5"/>
    <x v="5"/>
    <x v="14"/>
    <n v="53850"/>
    <n v="120"/>
    <s v="053850_120"/>
    <s v="Discovery Day"/>
    <s v="Mai valutato"/>
    <m/>
    <s v="Vari (10/04/2025)"/>
    <n v="1203300001670"/>
    <n v="20250410"/>
    <s v="VV"/>
    <m/>
    <m/>
    <s v="A     - Avere"/>
    <n v="56350"/>
    <n v="52750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s v="086 - ITALIA"/>
    <n v="1640"/>
    <m/>
    <m/>
    <m/>
    <m/>
    <m/>
    <m/>
    <m/>
    <n v="0"/>
    <n v="202504"/>
    <x v="4"/>
    <x v="1"/>
    <x v="0"/>
    <n v="4510434"/>
    <x v="1"/>
    <x v="1"/>
    <s v="999"/>
    <s v="492"/>
    <s v="492999"/>
    <m/>
    <s v="1"/>
    <s v="Classe di rischio 2"/>
  </r>
  <r>
    <n v="329463"/>
    <x v="4"/>
    <x v="4"/>
    <x v="14"/>
    <n v="53850"/>
    <n v="200"/>
    <s v="053850_200"/>
    <s v="Discovery Day"/>
    <s v="Mai valutato"/>
    <m/>
    <n v="202504107886545"/>
    <n v="2003300003447"/>
    <n v="20250410"/>
    <s v="54 - Incassi diversi"/>
    <m/>
    <m/>
    <s v="A     - Ave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x v="1"/>
    <x v="0"/>
    <x v="0"/>
    <m/>
    <x v="0"/>
    <x v="0"/>
    <s v="999"/>
    <s v="285"/>
    <s v="285999"/>
    <m/>
    <s v="1"/>
    <s v="Classe di rischio 0"/>
  </r>
  <r>
    <n v="329462"/>
    <x v="3"/>
    <x v="3"/>
    <x v="14"/>
    <n v="53850"/>
    <n v="104"/>
    <s v="053850_104"/>
    <s v="Discovery Day"/>
    <s v="Mai valutato"/>
    <m/>
    <s v="Vari (10/04/2025)"/>
    <n v="1043304173550"/>
    <n v="20250410"/>
    <s v="VV"/>
    <m/>
    <m/>
    <s v="A     - Avere"/>
    <n v="88865.89"/>
    <n v="100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4"/>
    <x v="0"/>
    <x v="0"/>
    <x v="0"/>
    <n v="417355"/>
    <x v="1"/>
    <x v="1"/>
    <s v="464"/>
    <s v="430"/>
    <s v="430464"/>
    <s v="Classe di rischio 4"/>
    <m/>
    <s v="Classe di rischio 4"/>
  </r>
  <r>
    <n v="329461"/>
    <x v="4"/>
    <x v="4"/>
    <x v="14"/>
    <n v="53850"/>
    <n v="284"/>
    <s v="053850_284"/>
    <s v="Discovery Day"/>
    <s v="Mai valutato"/>
    <m/>
    <n v="202504107886611"/>
    <n v="2843300000468"/>
    <n v="20250410"/>
    <s v="SPECIAL"/>
    <m/>
    <m/>
    <s v="D     - Dare"/>
    <n v="7537.58"/>
    <n v="0"/>
    <n v="1702561"/>
    <s v="GRFDNC60E06C632E"/>
    <s v="GAROFALO DOMENICO"/>
    <s v="600 - Famiglie consumatrici"/>
    <m/>
    <s v="086 - ITALIA"/>
    <n v="1860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29460"/>
    <x v="5"/>
    <x v="5"/>
    <x v="14"/>
    <n v="53850"/>
    <n v="174"/>
    <s v="053850_174"/>
    <s v="Discovery Day"/>
    <s v="Mai valutato"/>
    <m/>
    <s v="Vari (10/04/2025)"/>
    <n v="1743302879903"/>
    <n v="20250410"/>
    <s v="VV"/>
    <m/>
    <m/>
    <s v="A     - Avere"/>
    <n v="48176.25"/>
    <n v="44000"/>
    <n v="4928259"/>
    <n v="8287320728"/>
    <s v="MARINGELLI ORTOFRUTTA SOCIETA' A RESPONSABILITA' LIMITATA"/>
    <s v="430 - Imprese produttive"/>
    <s v="463 - COMMERCIO ALL'INGROSSO DI PRODOTTI ALIMENTARI, BEVANDE E PRODOTTI DEL TABACCO"/>
    <s v="086 - ITALIA"/>
    <n v="448"/>
    <m/>
    <m/>
    <m/>
    <m/>
    <m/>
    <m/>
    <m/>
    <n v="0"/>
    <n v="202504"/>
    <x v="0"/>
    <x v="0"/>
    <x v="0"/>
    <n v="4928259"/>
    <x v="1"/>
    <x v="1"/>
    <s v="463"/>
    <s v="430"/>
    <s v="430463"/>
    <s v="Classe di rischio 3"/>
    <m/>
    <s v="Classe di rischio 3"/>
  </r>
  <r>
    <n v="329459"/>
    <x v="4"/>
    <x v="4"/>
    <x v="14"/>
    <n v="53850"/>
    <n v="109"/>
    <s v="053850_109"/>
    <s v="Discovery Day"/>
    <s v="Mai valutato"/>
    <m/>
    <n v="202504107885699"/>
    <n v="1093304102436"/>
    <n v="20250410"/>
    <s v="31 - Effetti ritirati "/>
    <m/>
    <m/>
    <s v="D     - Dare"/>
    <n v="318131.78999999998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4"/>
    <x v="1"/>
    <x v="0"/>
    <x v="0"/>
    <m/>
    <x v="0"/>
    <x v="0"/>
    <s v="464"/>
    <s v="430"/>
    <s v="430464"/>
    <s v="Classe di rischio 4"/>
    <m/>
    <s v="Classe di rischio 4"/>
  </r>
  <r>
    <n v="329458"/>
    <x v="4"/>
    <x v="4"/>
    <x v="14"/>
    <n v="53850"/>
    <n v="149"/>
    <s v="053850_149"/>
    <s v="Discovery Day"/>
    <s v="Mai valutato"/>
    <m/>
    <n v="202504107884602"/>
    <n v="1493300665012"/>
    <n v="20250410"/>
    <s v="48 - Bonifico in arrivo "/>
    <m/>
    <s v="086 - ITALIA"/>
    <s v="A     - Avere"/>
    <n v="1098966.73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457"/>
    <x v="6"/>
    <x v="6"/>
    <x v="14"/>
    <n v="53850"/>
    <n v="109"/>
    <s v="053850_109"/>
    <s v="Discovery Day"/>
    <s v="Mai valutato"/>
    <m/>
    <n v="202504107885321"/>
    <n v="1091147800171"/>
    <n v="20250410"/>
    <s v="AA - Bonifico da e per estero "/>
    <m/>
    <s v="071 - SVIZZERA"/>
    <s v="A     - Avere"/>
    <n v="110672.88"/>
    <n v="0"/>
    <n v="3173745"/>
    <n v="254810724"/>
    <s v="MORFINI S.P.A."/>
    <s v="430 - Imprese produttive"/>
    <s v="501 - TRASPORTO MARITTIMO E COSTIERO DI PASSEGGERI"/>
    <s v="086 - ITALIA"/>
    <n v="1696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456"/>
    <x v="5"/>
    <x v="5"/>
    <x v="14"/>
    <n v="53850"/>
    <n v="116"/>
    <s v="053850_116"/>
    <s v="Discovery Day"/>
    <s v="Mai valutato"/>
    <m/>
    <n v="202504107886021"/>
    <n v="2343300010453"/>
    <n v="20250410"/>
    <s v="03 - Versamento contante cassa continua "/>
    <m/>
    <m/>
    <s v="A     - Avere"/>
    <n v="59902.45"/>
    <n v="59902.4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29455"/>
    <x v="5"/>
    <x v="5"/>
    <x v="14"/>
    <n v="53850"/>
    <n v="114"/>
    <s v="053850_114"/>
    <s v="Discovery Day"/>
    <s v="Mai valutato"/>
    <m/>
    <n v="202504107886245"/>
    <n v="1143306280621"/>
    <n v="20250410"/>
    <s v="D1 - Versamento di contante "/>
    <m/>
    <m/>
    <s v="A     - Avere"/>
    <n v="19000"/>
    <n v="190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29454"/>
    <x v="4"/>
    <x v="4"/>
    <x v="14"/>
    <n v="53850"/>
    <n v="188"/>
    <s v="053850_188"/>
    <s v="Discovery Day"/>
    <s v="Mai valutato"/>
    <m/>
    <s v="202504105772518L"/>
    <n v="1883300128444"/>
    <n v="20250410"/>
    <s v="SPECIAL"/>
    <m/>
    <m/>
    <s v="D     - Dare"/>
    <n v="3919.57"/>
    <n v="0"/>
    <n v="3009549"/>
    <s v="CMBNDR39T41Z110L"/>
    <s v="COMBE ANDREE'"/>
    <s v="600 - Famiglie consumatrici"/>
    <m/>
    <s v="086 - ITALIA"/>
    <n v="433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453"/>
    <x v="5"/>
    <x v="5"/>
    <x v="14"/>
    <n v="53850"/>
    <n v="171"/>
    <s v="053850_171"/>
    <s v="Discovery Day"/>
    <s v="Mai valutato"/>
    <m/>
    <s v="Vari (10/04/2025)"/>
    <n v="1713305728950"/>
    <n v="20250410"/>
    <s v="03 - Versamento contante cassa continua "/>
    <m/>
    <m/>
    <s v="A     - Avere"/>
    <n v="56164.160000000003"/>
    <n v="56164.16000000000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452"/>
    <x v="2"/>
    <x v="2"/>
    <x v="14"/>
    <n v="53850"/>
    <n v="145"/>
    <s v="053850_145"/>
    <s v="Discovery Day"/>
    <s v="Mai valutato"/>
    <m/>
    <n v="202504107885171"/>
    <n v="1453300003997"/>
    <n v="20250410"/>
    <s v="AA - Bonifico da e per estero "/>
    <m/>
    <s v="012 - BULGARIA"/>
    <s v="A     - Avere"/>
    <n v="18500"/>
    <n v="0"/>
    <n v="3737833"/>
    <n v="10171711210"/>
    <s v="PUNTO BIBITE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x v="1"/>
    <x v="0"/>
    <x v="0"/>
    <m/>
    <x v="0"/>
    <x v="0"/>
    <s v="463"/>
    <s v="430"/>
    <s v="430463"/>
    <s v="Classe di rischio 3"/>
    <m/>
    <s v="Classe di rischio 3"/>
  </r>
  <r>
    <n v="329451"/>
    <x v="4"/>
    <x v="4"/>
    <x v="14"/>
    <n v="53850"/>
    <n v="102"/>
    <s v="053850_102"/>
    <s v="Discovery Day"/>
    <s v="Mai valutato"/>
    <m/>
    <n v="202504107885589"/>
    <n v="1023300113820"/>
    <n v="20250410"/>
    <s v="25 - Pagamento di documenti su Italia "/>
    <m/>
    <m/>
    <s v="D     - Dare"/>
    <n v="1800737.18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450"/>
    <x v="3"/>
    <x v="3"/>
    <x v="14"/>
    <n v="53850"/>
    <n v="102"/>
    <s v="053850_102"/>
    <s v="Discovery Day"/>
    <s v="Mai valutato"/>
    <m/>
    <s v="Vari (10/04/2025)"/>
    <n v="1023300660520"/>
    <n v="20250410"/>
    <s v="VV"/>
    <m/>
    <m/>
    <s v="A     - Avere"/>
    <n v="120919"/>
    <n v="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x v="4"/>
    <x v="1"/>
    <x v="0"/>
    <n v="66052"/>
    <x v="1"/>
    <x v="1"/>
    <s v="999"/>
    <s v="430"/>
    <s v="430999"/>
    <m/>
    <s v="1"/>
    <s v="Classe di rischio 1"/>
  </r>
  <r>
    <n v="329449"/>
    <x v="5"/>
    <x v="5"/>
    <x v="14"/>
    <n v="53850"/>
    <n v="102"/>
    <s v="053850_102"/>
    <s v="Discovery Day"/>
    <s v="Mai valutato"/>
    <m/>
    <s v="Vari (10/04/2025)"/>
    <n v="1023308722503"/>
    <n v="20250410"/>
    <s v="03 - Versamento contante cassa continua "/>
    <m/>
    <m/>
    <s v="A     - Avere"/>
    <n v="33300"/>
    <n v="333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448"/>
    <x v="6"/>
    <x v="6"/>
    <x v="14"/>
    <n v="53850"/>
    <n v="109"/>
    <s v="053850_109"/>
    <s v="Discovery Day"/>
    <s v="Mai valutato"/>
    <m/>
    <n v="202504107885308"/>
    <n v="1093306667367"/>
    <n v="20250410"/>
    <s v="AA - Bonifico da e per estero "/>
    <m/>
    <s v="103 - HONG KONG"/>
    <s v="A     - Avere"/>
    <n v="66631.320000000007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4"/>
    <x v="1"/>
    <x v="0"/>
    <x v="0"/>
    <n v="4026861"/>
    <x v="1"/>
    <x v="0"/>
    <s v="477"/>
    <s v="430"/>
    <s v="430477"/>
    <s v="Classe di rischio 3"/>
    <m/>
    <s v="Classe di rischio 3"/>
  </r>
  <r>
    <n v="329447"/>
    <x v="4"/>
    <x v="4"/>
    <x v="14"/>
    <n v="53850"/>
    <n v="196"/>
    <s v="053850_196"/>
    <s v="Discovery Day"/>
    <s v="Mai valutato"/>
    <m/>
    <s v="202504105765042L"/>
    <n v="1963302354309"/>
    <n v="20250410"/>
    <s v="SPECIAL"/>
    <m/>
    <m/>
    <s v="D     - Dare"/>
    <n v="1163.22"/>
    <n v="0"/>
    <n v="4945096"/>
    <s v="MGGLGU98L15C514B"/>
    <s v="MAGGIO LUIGI"/>
    <s v="600 - Famiglie consumatrici"/>
    <m/>
    <s v="086 - ITALIA"/>
    <n v="796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446"/>
    <x v="4"/>
    <x v="4"/>
    <x v="14"/>
    <n v="53850"/>
    <n v="200"/>
    <s v="053850_200"/>
    <s v="Discovery Day"/>
    <s v="Mai valutato"/>
    <m/>
    <n v="202504107886544"/>
    <n v="2003300003466"/>
    <n v="20250410"/>
    <s v="SPECIAL"/>
    <m/>
    <m/>
    <s v="D     - Dare"/>
    <n v="717873.56"/>
    <n v="0"/>
    <n v="4985570"/>
    <n v="12490960965"/>
    <s v="KENTROS S.R.L."/>
    <s v="285 - Holding operative finanziarie"/>
    <s v="642 - ATTIVITÀ DELLE SOCIETÀ DI PARTECIPAZIONE (HOLDING)"/>
    <s v="086 - ITALIA"/>
    <n v="1784"/>
    <m/>
    <m/>
    <m/>
    <m/>
    <m/>
    <m/>
    <m/>
    <n v="0"/>
    <n v="202504"/>
    <x v="1"/>
    <x v="0"/>
    <x v="0"/>
    <m/>
    <x v="0"/>
    <x v="1"/>
    <s v="999"/>
    <s v="285"/>
    <s v="285999"/>
    <m/>
    <s v="1"/>
    <s v="Classe di rischio 0"/>
  </r>
  <r>
    <n v="329445"/>
    <x v="3"/>
    <x v="3"/>
    <x v="14"/>
    <n v="53850"/>
    <n v="174"/>
    <s v="053850_174"/>
    <s v="Discovery Day"/>
    <s v="Mai valutato"/>
    <m/>
    <n v="202504107886424"/>
    <n v="1743302879024"/>
    <n v="20250410"/>
    <s v="G7 - Versamento assegno circolare altro intermediario "/>
    <m/>
    <m/>
    <s v="A     - Avere"/>
    <n v="165377.23000000001"/>
    <n v="0"/>
    <n v="4675710"/>
    <s v="RMNMRN91P07D508U"/>
    <s v="RAIMONDI MARINO"/>
    <s v="600 - Famiglie consumatrici"/>
    <m/>
    <s v="086 - ITALIA"/>
    <n v="1106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444"/>
    <x v="7"/>
    <x v="7"/>
    <x v="14"/>
    <n v="53850"/>
    <n v="198"/>
    <s v="053850_198"/>
    <s v="Discovery Day"/>
    <s v="Mai valutato"/>
    <m/>
    <n v="202504107886532"/>
    <m/>
    <n v="20250410"/>
    <s v="26 - Bonifico in partenza "/>
    <m/>
    <s v="086 - ITALIA"/>
    <s v="D     - Dare"/>
    <n v="204900"/>
    <n v="0"/>
    <n v="4098740"/>
    <s v="CVNRCC77E02L750M"/>
    <s v="COVINO ROCCO"/>
    <s v="600 - Famiglie consumatrici"/>
    <m/>
    <s v="086 - ITALIA"/>
    <n v="1705"/>
    <m/>
    <m/>
    <m/>
    <m/>
    <m/>
    <m/>
    <m/>
    <n v="0"/>
    <n v="202504"/>
    <x v="5"/>
    <x v="2"/>
    <x v="1"/>
    <m/>
    <x v="0"/>
    <x v="0"/>
    <s v="999"/>
    <s v="600"/>
    <s v="600999"/>
    <s v="Classe di rischio 7"/>
    <m/>
    <s v="Classe di rischio 7"/>
  </r>
  <r>
    <n v="329443"/>
    <x v="3"/>
    <x v="3"/>
    <x v="14"/>
    <n v="53850"/>
    <n v="174"/>
    <s v="053850_174"/>
    <s v="Discovery Day"/>
    <s v="Mai valutato"/>
    <m/>
    <n v="202504107886423"/>
    <n v="1743302877381"/>
    <n v="20250410"/>
    <s v="G7 - Versamento assegno circolare altro intermediario "/>
    <m/>
    <m/>
    <s v="A     - Avere"/>
    <n v="415377.23"/>
    <n v="0"/>
    <n v="559545"/>
    <s v="LAOPRZ66P65F376K"/>
    <s v="ALO' PORZIA"/>
    <s v="600 - Famiglie consumatrici"/>
    <m/>
    <s v="086 - ITALIA"/>
    <n v="1106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442"/>
    <x v="2"/>
    <x v="2"/>
    <x v="14"/>
    <n v="53850"/>
    <n v="187"/>
    <s v="053850_187"/>
    <s v="Discovery Day"/>
    <s v="Mai valutato"/>
    <m/>
    <s v="202504105771603L"/>
    <n v="1873300102696"/>
    <n v="20250410"/>
    <s v="AA - Bonifico da e per estero "/>
    <m/>
    <s v="012 - BULGARIA"/>
    <s v="A     - Avere"/>
    <n v="1472.57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x v="1"/>
    <x v="0"/>
    <x v="0"/>
    <m/>
    <x v="0"/>
    <x v="0"/>
    <s v="463"/>
    <s v="430"/>
    <s v="430463"/>
    <s v="Classe di rischio 3"/>
    <m/>
    <s v="Classe di rischio 3"/>
  </r>
  <r>
    <n v="329441"/>
    <x v="4"/>
    <x v="4"/>
    <x v="14"/>
    <n v="53850"/>
    <n v="161"/>
    <s v="053850_161"/>
    <s v="Discovery Day"/>
    <s v="Mai valutato"/>
    <m/>
    <n v="202504107885827"/>
    <n v="1613300029653"/>
    <n v="20250410"/>
    <s v="50 - Pagamenti diversi"/>
    <m/>
    <m/>
    <s v="D     - Dare"/>
    <n v="419331.55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x v="1"/>
    <x v="0"/>
    <x v="0"/>
    <n v="4088769"/>
    <x v="1"/>
    <x v="0"/>
    <s v="464"/>
    <s v="430"/>
    <s v="430464"/>
    <s v="Classe di rischio 4"/>
    <m/>
    <s v="Classe di rischio 4"/>
  </r>
  <r>
    <n v="329440"/>
    <x v="3"/>
    <x v="3"/>
    <x v="14"/>
    <n v="53850"/>
    <n v="153"/>
    <s v="053850_153"/>
    <s v="Discovery Day"/>
    <s v="Mai valutato"/>
    <m/>
    <n v="202504107886353"/>
    <n v="1533300662905"/>
    <n v="20250410"/>
    <s v="G1 - Versamento assegni tratti su altro intermediario "/>
    <m/>
    <m/>
    <s v="A     - Avere"/>
    <n v="110193.28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4"/>
    <x v="1"/>
    <x v="0"/>
    <x v="0"/>
    <m/>
    <x v="0"/>
    <x v="0"/>
    <s v="236"/>
    <s v="430"/>
    <s v="430236"/>
    <s v="Classe di rischio 3"/>
    <m/>
    <s v="Classe di rischio 3"/>
  </r>
  <r>
    <n v="329439"/>
    <x v="7"/>
    <x v="7"/>
    <x v="14"/>
    <n v="53850"/>
    <n v="99"/>
    <s v="053850_99"/>
    <s v="Discovery Day"/>
    <s v="Mai valutato"/>
    <m/>
    <n v="202504097886116"/>
    <m/>
    <n v="20250409"/>
    <s v="SPECIAL"/>
    <m/>
    <m/>
    <s v="D     - Dare"/>
    <n v="94953.62"/>
    <n v="0"/>
    <n v="4019401"/>
    <s v="CTLSVT72T30E155E"/>
    <s v="CATALDI SALVATORE"/>
    <s v="600 - Famiglie consumatrici"/>
    <m/>
    <s v="086 - ITALIA"/>
    <n v="1224"/>
    <m/>
    <m/>
    <m/>
    <m/>
    <m/>
    <m/>
    <m/>
    <n v="0"/>
    <n v="202504"/>
    <x v="2"/>
    <x v="1"/>
    <x v="1"/>
    <m/>
    <x v="0"/>
    <x v="1"/>
    <s v="999"/>
    <s v="600"/>
    <s v="600999"/>
    <s v="Classe di rischio 7"/>
    <m/>
    <s v="Classe di rischio 7"/>
  </r>
  <r>
    <n v="329438"/>
    <x v="7"/>
    <x v="7"/>
    <x v="14"/>
    <n v="53850"/>
    <n v="99"/>
    <s v="053850_99"/>
    <s v="Discovery Day"/>
    <s v="Mai valutato"/>
    <m/>
    <n v="202504097886116"/>
    <m/>
    <n v="20250409"/>
    <s v="SPECIAL"/>
    <m/>
    <m/>
    <s v="D     - Dare"/>
    <n v="94953.62"/>
    <n v="0"/>
    <n v="4066375"/>
    <s v="CTLGPP74E03A225F"/>
    <s v="CATALDI GIUSEPPE"/>
    <s v="600 - Famiglie consumatrici"/>
    <m/>
    <s v="086 - ITALIA"/>
    <m/>
    <m/>
    <m/>
    <m/>
    <m/>
    <m/>
    <m/>
    <m/>
    <n v="0"/>
    <n v="202504"/>
    <x v="2"/>
    <x v="1"/>
    <x v="1"/>
    <m/>
    <x v="0"/>
    <x v="1"/>
    <s v="999"/>
    <s v="600"/>
    <s v="600999"/>
    <s v="Classe di rischio 7"/>
    <m/>
    <s v="Classe di rischio 7"/>
  </r>
  <r>
    <n v="329437"/>
    <x v="4"/>
    <x v="4"/>
    <x v="15"/>
    <n v="53850"/>
    <n v="269"/>
    <s v="053850_269"/>
    <s v="Discovery Day"/>
    <s v="Mai valutato"/>
    <m/>
    <n v="202504097881464"/>
    <n v="2693300001683"/>
    <n v="20250409"/>
    <s v="48 - Bonifico in arrivo "/>
    <m/>
    <s v="086 - ITALIA"/>
    <s v="A     - Avere"/>
    <n v="575445.98"/>
    <n v="0"/>
    <n v="1707161"/>
    <s v="RSIMSM58T28C034W"/>
    <s v="RISI MASSIMO"/>
    <s v="775 - Famiglie consumatrici di paesi non UE"/>
    <m/>
    <s v="069 - STATI UNITI"/>
    <n v="1713"/>
    <m/>
    <m/>
    <m/>
    <m/>
    <m/>
    <m/>
    <m/>
    <n v="0"/>
    <n v="202504"/>
    <x v="0"/>
    <x v="0"/>
    <x v="0"/>
    <m/>
    <x v="0"/>
    <x v="0"/>
    <s v="999"/>
    <s v="775"/>
    <s v="775999"/>
    <s v="Classe di rischio 7"/>
    <m/>
    <s v="Classe di rischio 7"/>
  </r>
  <r>
    <n v="329436"/>
    <x v="3"/>
    <x v="3"/>
    <x v="15"/>
    <n v="53850"/>
    <n v="141"/>
    <s v="053850_141"/>
    <s v="Discovery Day"/>
    <s v="Mai valutato"/>
    <m/>
    <n v="202504097883203"/>
    <n v="1413300000129"/>
    <n v="20250409"/>
    <s v="G8 - Versamento assegno circolare stesso intermediario"/>
    <m/>
    <m/>
    <s v="A     - Avere"/>
    <n v="90000"/>
    <n v="0"/>
    <n v="4183509"/>
    <s v="GLBMHL70H04E506L"/>
    <s v="GILIBERTI MICHELE"/>
    <s v="615 - Altre famiglie produttrici"/>
    <s v="749 - ALTRE ATTIVITÀ PROFESSIONALI, SCIENTIFICHE E TECNICHE NCA"/>
    <s v="086 - ITALIA"/>
    <n v="862"/>
    <m/>
    <m/>
    <m/>
    <m/>
    <m/>
    <m/>
    <m/>
    <n v="0"/>
    <n v="202504"/>
    <x v="0"/>
    <x v="0"/>
    <x v="0"/>
    <m/>
    <x v="0"/>
    <x v="0"/>
    <s v="999"/>
    <s v="615"/>
    <s v="615999"/>
    <m/>
    <s v="1"/>
    <s v="Classe di rischio 3"/>
  </r>
  <r>
    <n v="329435"/>
    <x v="4"/>
    <x v="4"/>
    <x v="15"/>
    <n v="53850"/>
    <n v="271"/>
    <s v="053850_271"/>
    <s v="Discovery Day"/>
    <s v="Mai valutato"/>
    <m/>
    <n v="202504097881920"/>
    <n v="2713300001219"/>
    <n v="20250409"/>
    <s v="48 - Bonifico in arrivo "/>
    <m/>
    <s v="086 - ITALIA"/>
    <s v="A     - Avere"/>
    <n v="207830.21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434"/>
    <x v="5"/>
    <x v="5"/>
    <x v="15"/>
    <n v="53850"/>
    <n v="108"/>
    <s v="053850_108"/>
    <s v="Discovery Day"/>
    <s v="Mai valutato"/>
    <m/>
    <n v="202504097883105"/>
    <n v="1083306291105"/>
    <n v="20250409"/>
    <s v="D1 - Versamento di contante "/>
    <m/>
    <m/>
    <s v="A     - Avere"/>
    <n v="90976.3"/>
    <n v="90976.3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0"/>
    <s v="999"/>
    <s v="430"/>
    <s v="430999"/>
    <m/>
    <s v="1"/>
    <s v="Classe di rischio 1"/>
  </r>
  <r>
    <n v="329433"/>
    <x v="3"/>
    <x v="3"/>
    <x v="15"/>
    <n v="53850"/>
    <n v="171"/>
    <s v="053850_171"/>
    <s v="Discovery Day"/>
    <s v="Mai valutato"/>
    <m/>
    <s v="Vari (09/04/2025)"/>
    <n v="1713302214147"/>
    <n v="20250409"/>
    <s v="03 - Versamento contante cassa continua "/>
    <m/>
    <m/>
    <s v="A     - Avere"/>
    <n v="180470"/>
    <n v="180470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29432"/>
    <x v="4"/>
    <x v="4"/>
    <x v="15"/>
    <n v="53850"/>
    <n v="269"/>
    <s v="053850_269"/>
    <s v="Discovery Day"/>
    <s v="Mai valutato"/>
    <m/>
    <n v="202504097881464"/>
    <n v="2693300001683"/>
    <n v="20250409"/>
    <s v="48 - Bonifico in arrivo "/>
    <m/>
    <s v="086 - ITALIA"/>
    <s v="A     - Avere"/>
    <n v="575445.98"/>
    <n v="0"/>
    <n v="1706596"/>
    <s v="FLCLCU62E65F582L"/>
    <s v="FALCONE LUCIA"/>
    <s v="600 - Famiglie consumatrici"/>
    <m/>
    <s v="086 - ITALIA"/>
    <n v="1713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431"/>
    <x v="2"/>
    <x v="2"/>
    <x v="15"/>
    <n v="53850"/>
    <n v="129"/>
    <s v="053850_129"/>
    <s v="Discovery Day"/>
    <s v="Mai valutato"/>
    <m/>
    <n v="202504097882321"/>
    <n v="1293300002811"/>
    <n v="20250409"/>
    <s v="AA - Bonifico da e per estero "/>
    <m/>
    <s v="261 - CROAZIA"/>
    <s v="A     - Avere"/>
    <n v="9872.2000000000007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430"/>
    <x v="5"/>
    <x v="5"/>
    <x v="15"/>
    <n v="53850"/>
    <n v="268"/>
    <s v="053850_268"/>
    <s v="Discovery Day"/>
    <s v="Mai valutato"/>
    <m/>
    <n v="202504097883007"/>
    <n v="2683300010030"/>
    <n v="20250409"/>
    <s v="03 - Versamento contante cassa continua "/>
    <m/>
    <m/>
    <s v="A     - Avere"/>
    <n v="32220"/>
    <n v="3222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x v="1"/>
    <x v="0"/>
    <x v="0"/>
    <n v="4966939"/>
    <x v="1"/>
    <x v="0"/>
    <s v="999"/>
    <s v="615"/>
    <s v="615999"/>
    <m/>
    <s v="1"/>
    <s v="Classe di rischio 3"/>
  </r>
  <r>
    <n v="329429"/>
    <x v="6"/>
    <x v="6"/>
    <x v="15"/>
    <n v="53850"/>
    <n v="175"/>
    <s v="053850_175"/>
    <s v="Discovery Day"/>
    <s v="Mai valutato"/>
    <m/>
    <n v="202504097882373"/>
    <n v="1753302203813"/>
    <n v="20250409"/>
    <s v="AA - Bonifico da e per estero "/>
    <m/>
    <s v="103 - HONG KONG"/>
    <s v="D     - Dare"/>
    <n v="48889.8"/>
    <n v="0"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428"/>
    <x v="4"/>
    <x v="4"/>
    <x v="15"/>
    <n v="53850"/>
    <n v="268"/>
    <s v="053850_268"/>
    <s v="Discovery Day"/>
    <s v="Mai valutato"/>
    <m/>
    <n v="202504097883425"/>
    <n v="2683300010864"/>
    <n v="20250409"/>
    <s v="26 - Bonifico in partenza "/>
    <m/>
    <s v="086 - ITALIA"/>
    <s v="D     - Dare"/>
    <n v="217212"/>
    <n v="0"/>
    <n v="3739084"/>
    <s v="DLCGNN87S28D086S"/>
    <s v="DE LUCA GIOVANNI"/>
    <s v="600 - Famiglie consumatrici"/>
    <m/>
    <s v="086 - ITALIA"/>
    <n v="1830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427"/>
    <x v="4"/>
    <x v="4"/>
    <x v="15"/>
    <n v="53850"/>
    <n v="103"/>
    <s v="053850_103"/>
    <s v="Discovery Day"/>
    <s v="Mai valutato"/>
    <m/>
    <n v="202504097883043"/>
    <n v="1033302887757"/>
    <n v="20250409"/>
    <s v="SPECIAL"/>
    <m/>
    <m/>
    <s v="D     - Dare"/>
    <n v="94953.62"/>
    <n v="0"/>
    <n v="4066375"/>
    <s v="CTLGPP74E03A225F"/>
    <s v="CATALDI GIUSEPPE"/>
    <s v="600 - Famiglie consumatrici"/>
    <m/>
    <s v="086 - ITALIA"/>
    <m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426"/>
    <x v="4"/>
    <x v="4"/>
    <x v="15"/>
    <n v="53850"/>
    <n v="268"/>
    <s v="053850_268"/>
    <s v="Discovery Day"/>
    <s v="Mai valutato"/>
    <m/>
    <n v="202504097883425"/>
    <n v="2683300010864"/>
    <n v="20250409"/>
    <s v="26 - Bonifico in partenza "/>
    <m/>
    <s v="086 - ITALIA"/>
    <s v="D     - Dare"/>
    <n v="217212"/>
    <n v="0"/>
    <n v="1628555"/>
    <s v="CMTVNI89L64H579T"/>
    <s v="COMITO IVANA"/>
    <s v="600 - Famiglie consumatrici"/>
    <m/>
    <s v="086 - ITALIA"/>
    <n v="1870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425"/>
    <x v="5"/>
    <x v="5"/>
    <x v="15"/>
    <n v="53850"/>
    <n v="102"/>
    <s v="053850_102"/>
    <s v="Discovery Day"/>
    <s v="Mai valutato"/>
    <m/>
    <n v="202504097882673"/>
    <n v="1023308722503"/>
    <n v="20250409"/>
    <s v="03 - Versamento contante cassa continua "/>
    <m/>
    <m/>
    <s v="A     - Avere"/>
    <n v="18410"/>
    <n v="184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424"/>
    <x v="5"/>
    <x v="5"/>
    <x v="15"/>
    <n v="53850"/>
    <n v="116"/>
    <s v="053850_116"/>
    <s v="Discovery Day"/>
    <s v="Mai valutato"/>
    <m/>
    <n v="202504097882968"/>
    <n v="2343300010453"/>
    <n v="20250409"/>
    <s v="03 - Versamento contante cassa continua "/>
    <m/>
    <m/>
    <s v="A     - Avere"/>
    <n v="140674.45000000001"/>
    <n v="140674.4500000000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29423"/>
    <x v="3"/>
    <x v="3"/>
    <x v="15"/>
    <n v="53850"/>
    <n v="111"/>
    <s v="053850_111"/>
    <s v="Discovery Day"/>
    <s v="Mai valutato"/>
    <m/>
    <n v="202504097883130"/>
    <n v="1113300676200"/>
    <n v="20250409"/>
    <s v="G2 - Versamento assegni tratti sullo stesso intermediario "/>
    <m/>
    <m/>
    <s v="A     - Avere"/>
    <n v="100000"/>
    <n v="0"/>
    <n v="67620"/>
    <s v="DDMPTR53E03F052S"/>
    <s v="ADDAMIANO PIETRO"/>
    <s v="615 - Altre famiglie produttrici"/>
    <s v="011 - COLTIVAZIONE DI COLTURE AGRICOLE NON PERMANENTI"/>
    <s v="086 - ITALIA"/>
    <n v="593"/>
    <m/>
    <m/>
    <m/>
    <m/>
    <m/>
    <m/>
    <m/>
    <n v="0"/>
    <n v="202504"/>
    <x v="2"/>
    <x v="1"/>
    <x v="0"/>
    <m/>
    <x v="0"/>
    <x v="0"/>
    <s v="999"/>
    <s v="615"/>
    <s v="615999"/>
    <m/>
    <s v="1"/>
    <s v="Classe di rischio 3"/>
  </r>
  <r>
    <n v="329422"/>
    <x v="5"/>
    <x v="5"/>
    <x v="15"/>
    <n v="53850"/>
    <n v="148"/>
    <s v="053850_148"/>
    <s v="Discovery Day"/>
    <s v="Mai valutato"/>
    <m/>
    <n v="202504097883224"/>
    <n v="1483300010620"/>
    <n v="20250409"/>
    <s v="D1 - Versamento di contante "/>
    <m/>
    <m/>
    <s v="A     - Avere"/>
    <n v="21730"/>
    <n v="2173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4"/>
    <x v="1"/>
    <x v="0"/>
    <x v="0"/>
    <n v="4247284"/>
    <x v="1"/>
    <x v="0"/>
    <s v="477"/>
    <s v="615"/>
    <s v="615477"/>
    <s v="Classe di rischio 6"/>
    <m/>
    <s v="Classe di rischio 6"/>
  </r>
  <r>
    <n v="329421"/>
    <x v="7"/>
    <x v="7"/>
    <x v="15"/>
    <n v="53850"/>
    <n v="99"/>
    <s v="053850_99"/>
    <s v="Discovery Day"/>
    <s v="Mai valutato"/>
    <m/>
    <n v="202504097883042"/>
    <m/>
    <n v="20250409"/>
    <s v="SPECIAL"/>
    <m/>
    <m/>
    <s v="D     - Dare"/>
    <n v="5557.46"/>
    <n v="0"/>
    <n v="1689973"/>
    <s v="PZZLGU93M28B519O"/>
    <s v="PEZZOTTA LUIGI"/>
    <s v="600 - Famiglie consumatrici"/>
    <m/>
    <s v="086 - ITALIA"/>
    <n v="1752"/>
    <m/>
    <m/>
    <m/>
    <m/>
    <m/>
    <m/>
    <m/>
    <n v="0"/>
    <n v="202504"/>
    <x v="0"/>
    <x v="0"/>
    <x v="1"/>
    <m/>
    <x v="0"/>
    <x v="1"/>
    <s v="999"/>
    <s v="600"/>
    <s v="600999"/>
    <s v="Classe di rischio 7"/>
    <m/>
    <s v="Classe di rischio 7"/>
  </r>
  <r>
    <n v="329420"/>
    <x v="4"/>
    <x v="4"/>
    <x v="15"/>
    <n v="53850"/>
    <n v="282"/>
    <s v="053850_282"/>
    <s v="Discovery Day"/>
    <s v="Mai valutato"/>
    <m/>
    <n v="202504097883472"/>
    <n v="2823300000075"/>
    <n v="20250409"/>
    <s v="52 - Prelevamento con moduli di sportello "/>
    <m/>
    <m/>
    <s v="D     - Da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419"/>
    <x v="5"/>
    <x v="5"/>
    <x v="15"/>
    <n v="53850"/>
    <n v="118"/>
    <s v="053850_118"/>
    <s v="Discovery Day"/>
    <s v="Mai valutato"/>
    <m/>
    <n v="202504097882674"/>
    <n v="1023308722503"/>
    <n v="20250409"/>
    <s v="03 - Versamento contante cassa continua "/>
    <m/>
    <m/>
    <s v="A     - Avere"/>
    <n v="21300"/>
    <n v="213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418"/>
    <x v="5"/>
    <x v="5"/>
    <x v="15"/>
    <n v="53850"/>
    <n v="269"/>
    <s v="053850_269"/>
    <s v="Discovery Day"/>
    <s v="Mai valutato"/>
    <m/>
    <s v="Vari (09/04/2025)"/>
    <n v="2693300001614"/>
    <n v="20250409"/>
    <s v="D1 - Versamento di contante "/>
    <m/>
    <m/>
    <s v="A     - Avere"/>
    <n v="35790"/>
    <n v="3579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4"/>
    <x v="1"/>
    <x v="0"/>
    <x v="0"/>
    <n v="1695085"/>
    <x v="1"/>
    <x v="0"/>
    <s v="999"/>
    <s v="615"/>
    <s v="615999"/>
    <m/>
    <s v="1"/>
    <s v="Classe di rischio 3"/>
  </r>
  <r>
    <n v="329417"/>
    <x v="4"/>
    <x v="4"/>
    <x v="15"/>
    <n v="53850"/>
    <n v="282"/>
    <s v="053850_282"/>
    <s v="Discovery Day"/>
    <s v="Mai valutato"/>
    <m/>
    <n v="202504097883473"/>
    <n v="2825500000010"/>
    <n v="20250409"/>
    <s v="BU - Deposito su libretti a risparmio "/>
    <m/>
    <m/>
    <s v="A     - Avere"/>
    <n v="168023.98"/>
    <n v="0"/>
    <n v="1602060"/>
    <s v="PTRNTN44M03B985V"/>
    <s v="PIETROPAOLO ANTONIO"/>
    <s v="600 - Famiglie consumatrici"/>
    <m/>
    <s v="086 - ITALIA"/>
    <n v="1756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416"/>
    <x v="3"/>
    <x v="3"/>
    <x v="15"/>
    <n v="53850"/>
    <n v="109"/>
    <s v="053850_109"/>
    <s v="Discovery Day"/>
    <s v="Mai valutato"/>
    <m/>
    <n v="202504097883116"/>
    <n v="1093300014490"/>
    <n v="20250409"/>
    <s v="G7 - Versamento assegno circolare altro intermediario "/>
    <m/>
    <m/>
    <s v="A     - Avere"/>
    <n v="200000"/>
    <n v="0"/>
    <n v="1449"/>
    <s v="LRSNTN40A08A662Y"/>
    <s v="LORUSSO ANTONIO"/>
    <s v="600 - Famiglie consumatrici"/>
    <m/>
    <s v="086 - ITALIA"/>
    <n v="743"/>
    <m/>
    <m/>
    <m/>
    <m/>
    <m/>
    <m/>
    <m/>
    <n v="0"/>
    <n v="202504"/>
    <x v="1"/>
    <x v="0"/>
    <x v="0"/>
    <n v="1449"/>
    <x v="1"/>
    <x v="0"/>
    <s v="999"/>
    <s v="600"/>
    <s v="600999"/>
    <s v="Classe di rischio 7"/>
    <m/>
    <s v="Classe di rischio 7"/>
  </r>
  <r>
    <n v="329415"/>
    <x v="6"/>
    <x v="6"/>
    <x v="15"/>
    <n v="53850"/>
    <n v="102"/>
    <s v="053850_102"/>
    <s v="Discovery Day"/>
    <s v="Mai valutato"/>
    <m/>
    <n v="202504097882380"/>
    <n v="1023308727580"/>
    <n v="20250409"/>
    <s v="AA - Bonifico da e per estero "/>
    <m/>
    <s v="076 - TURCHIA"/>
    <s v="A     - Avere"/>
    <n v="39920"/>
    <n v="0"/>
    <n v="3727650"/>
    <n v="8924460721"/>
    <s v="MEC WELDING SERVICE SOCIETA' A RESPONSABILITA' LIMITATA SEMPLIFICATA"/>
    <s v="430 - Imprese produttive"/>
    <s v="332 - INSTALLAZIONE DI MACCHINE ED APPARECCHIATURE INDUSTRIALI"/>
    <s v="086 - ITALIA"/>
    <n v="1306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414"/>
    <x v="4"/>
    <x v="4"/>
    <x v="15"/>
    <n v="53850"/>
    <n v="102"/>
    <s v="053850_102"/>
    <s v="Discovery Day"/>
    <s v="Mai valutato"/>
    <m/>
    <n v="202504097882384"/>
    <n v="1021200491975"/>
    <n v="20250409"/>
    <s v="BI - Erogazione finanziamento import"/>
    <m/>
    <m/>
    <s v="A     - Ave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x v="0"/>
    <x v="0"/>
    <x v="0"/>
    <m/>
    <x v="0"/>
    <x v="0"/>
    <s v="462"/>
    <s v="430"/>
    <s v="430462"/>
    <s v="Classe di rischio 3"/>
    <m/>
    <s v="Classe di rischio 3"/>
  </r>
  <r>
    <n v="329413"/>
    <x v="4"/>
    <x v="4"/>
    <x v="15"/>
    <n v="53850"/>
    <n v="271"/>
    <s v="053850_271"/>
    <s v="Discovery Day"/>
    <s v="Mai valutato"/>
    <m/>
    <n v="202504097881974"/>
    <n v="2713300001219"/>
    <n v="20250409"/>
    <s v="48 - Bonifico in arrivo "/>
    <m/>
    <s v="086 - ITALIA"/>
    <s v="A     - Avere"/>
    <n v="209039.88"/>
    <n v="0"/>
    <n v="1628082"/>
    <s v="BRSVVN76B63G141P"/>
    <s v="BARISCI VIVIANA"/>
    <s v="600 - Famiglie consumatrici"/>
    <m/>
    <s v="086 - ITALIA"/>
    <n v="994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412"/>
    <x v="5"/>
    <x v="5"/>
    <x v="15"/>
    <n v="53850"/>
    <n v="171"/>
    <s v="053850_171"/>
    <s v="Discovery Day"/>
    <s v="Mai valutato"/>
    <m/>
    <s v="Vari (09/04/2025)"/>
    <n v="1713305728950"/>
    <n v="20250409"/>
    <s v="03 - Versamento contante cassa continua "/>
    <m/>
    <m/>
    <s v="A     - Avere"/>
    <n v="397640"/>
    <n v="39764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411"/>
    <x v="3"/>
    <x v="3"/>
    <x v="15"/>
    <n v="53850"/>
    <n v="171"/>
    <s v="053850_171"/>
    <s v="Discovery Day"/>
    <s v="Mai valutato"/>
    <m/>
    <s v="Vari (09/04/2025)"/>
    <n v="1713305728950"/>
    <n v="20250409"/>
    <s v="03 - Versamento contante cassa continua "/>
    <m/>
    <m/>
    <s v="A     - Avere"/>
    <n v="397640"/>
    <n v="39764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410"/>
    <x v="5"/>
    <x v="5"/>
    <x v="15"/>
    <n v="53850"/>
    <n v="268"/>
    <s v="053850_268"/>
    <s v="Discovery Day"/>
    <s v="Mai valutato"/>
    <m/>
    <s v="Vari (09/04/2025)"/>
    <n v="2683300006671"/>
    <n v="20250409"/>
    <s v="03 - Versamento contante cassa continua "/>
    <m/>
    <m/>
    <s v="A     - Avere"/>
    <n v="19250"/>
    <n v="19250"/>
    <n v="1704716"/>
    <n v="3109600795"/>
    <s v="FARMACIA BUCCARELLI DI BUCCARELLI VINCENZO &amp; C. S.N.C.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4"/>
    <x v="0"/>
    <x v="0"/>
    <x v="0"/>
    <m/>
    <x v="0"/>
    <x v="0"/>
    <s v="477"/>
    <s v="480"/>
    <s v="480477"/>
    <s v="Classe di rischio 5"/>
    <m/>
    <s v="Classe di rischio 5"/>
  </r>
  <r>
    <n v="329409"/>
    <x v="4"/>
    <x v="4"/>
    <x v="15"/>
    <n v="53850"/>
    <n v="102"/>
    <s v="053850_102"/>
    <s v="Discovery Day"/>
    <s v="Mai valutato"/>
    <m/>
    <n v="202504097882385"/>
    <n v="1021200491975"/>
    <n v="20250409"/>
    <s v="BQ - Pagam. rimesse docum. da o per estero"/>
    <m/>
    <m/>
    <s v="D     - Dare"/>
    <n v="6131735.9900000002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4"/>
    <x v="0"/>
    <x v="0"/>
    <x v="0"/>
    <m/>
    <x v="0"/>
    <x v="0"/>
    <s v="462"/>
    <s v="430"/>
    <s v="430462"/>
    <s v="Classe di rischio 3"/>
    <m/>
    <s v="Classe di rischio 3"/>
  </r>
  <r>
    <n v="329408"/>
    <x v="4"/>
    <x v="4"/>
    <x v="15"/>
    <n v="53850"/>
    <n v="273"/>
    <s v="053850_273"/>
    <s v="Discovery Day"/>
    <s v="Mai valutato"/>
    <m/>
    <n v="202504097883041"/>
    <n v="2733300003808"/>
    <n v="20250409"/>
    <s v="SPECIAL"/>
    <m/>
    <m/>
    <s v="D     - Dare"/>
    <n v="5557.46"/>
    <n v="0"/>
    <n v="1689973"/>
    <s v="PZZLGU93M28B519O"/>
    <s v="PEZZOTTA LUIGI"/>
    <s v="600 - Famiglie consumatrici"/>
    <m/>
    <s v="086 - ITALIA"/>
    <n v="1752"/>
    <m/>
    <m/>
    <m/>
    <m/>
    <m/>
    <m/>
    <m/>
    <n v="0"/>
    <n v="202504"/>
    <x v="0"/>
    <x v="0"/>
    <x v="0"/>
    <m/>
    <x v="0"/>
    <x v="1"/>
    <s v="999"/>
    <s v="600"/>
    <s v="600999"/>
    <s v="Classe di rischio 7"/>
    <m/>
    <s v="Classe di rischio 7"/>
  </r>
  <r>
    <n v="329407"/>
    <x v="5"/>
    <x v="5"/>
    <x v="15"/>
    <n v="53850"/>
    <n v="171"/>
    <s v="053850_171"/>
    <s v="Discovery Day"/>
    <s v="Mai valutato"/>
    <m/>
    <s v="Vari (09/04/2025)"/>
    <n v="1713302214147"/>
    <n v="20250409"/>
    <s v="03 - Versamento contante cassa continua "/>
    <m/>
    <m/>
    <s v="A     - Avere"/>
    <n v="180470"/>
    <n v="180470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29406"/>
    <x v="2"/>
    <x v="2"/>
    <x v="15"/>
    <n v="53850"/>
    <n v="188"/>
    <s v="053850_188"/>
    <s v="Discovery Day"/>
    <s v="Mai valutato"/>
    <m/>
    <n v="202504097883326"/>
    <n v="1883300128273"/>
    <n v="20250409"/>
    <s v="AA - Bonifico da e per estero "/>
    <m/>
    <s v="091 - PRINCIPATO DI MONACO"/>
    <s v="D     - Dare"/>
    <n v="6199.96"/>
    <n v="0"/>
    <n v="4112266"/>
    <s v="BNCMRZ68E03L049J"/>
    <s v="BIANCHI MAURIZIO"/>
    <s v="600 - Famiglie consumatrici"/>
    <m/>
    <s v="086 - ITALIA"/>
    <n v="433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405"/>
    <x v="5"/>
    <x v="5"/>
    <x v="15"/>
    <n v="53850"/>
    <n v="114"/>
    <s v="053850_114"/>
    <s v="Discovery Day"/>
    <s v="Mai valutato"/>
    <m/>
    <n v="202504097883134"/>
    <n v="1143306280621"/>
    <n v="20250409"/>
    <s v="D1 - Versamento di contante "/>
    <m/>
    <m/>
    <s v="A     - Avere"/>
    <n v="22200"/>
    <n v="222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29404"/>
    <x v="2"/>
    <x v="2"/>
    <x v="15"/>
    <n v="53850"/>
    <n v="136"/>
    <s v="053850_136"/>
    <s v="Discovery Day"/>
    <s v="Mai valutato"/>
    <m/>
    <s v="202504095731887L"/>
    <n v="1363300003079"/>
    <n v="20250409"/>
    <s v="AA - Bonifico da e per estero "/>
    <m/>
    <s v="012 - BULGARIA"/>
    <s v="D     - Dare"/>
    <n v="3955.2"/>
    <n v="0"/>
    <n v="4796432"/>
    <n v="2404690741"/>
    <s v="CDM TRASPORTI SOCIETA' COOPERATIVA"/>
    <s v="430 - Imprese produttive"/>
    <s v="494 - TRASPORTO DI MERCI SU STRADA E SERVIZI DI TRASLOCO"/>
    <s v="086 - ITALIA"/>
    <n v="881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403"/>
    <x v="3"/>
    <x v="3"/>
    <x v="15"/>
    <n v="53850"/>
    <n v="192"/>
    <s v="053850_192"/>
    <s v="Discovery Day"/>
    <s v="Mai valutato"/>
    <m/>
    <n v="202504097883334"/>
    <n v="1923300183207"/>
    <n v="20250409"/>
    <s v="G7 - Versamento assegno circolare altro intermediario "/>
    <m/>
    <m/>
    <s v="A     - Avere"/>
    <n v="96798.05"/>
    <n v="0"/>
    <n v="461447"/>
    <s v="DGSGPP76C20A662C"/>
    <s v="DIGIESI GIUSEPPE"/>
    <s v="615 - Altre famiglie produttrici"/>
    <s v="691 - ATTIVITÀ DEGLI STUDI LEGALI"/>
    <s v="086 - ITALIA"/>
    <n v="481"/>
    <m/>
    <m/>
    <m/>
    <m/>
    <m/>
    <m/>
    <m/>
    <n v="0"/>
    <n v="202504"/>
    <x v="1"/>
    <x v="0"/>
    <x v="0"/>
    <n v="461447"/>
    <x v="1"/>
    <x v="0"/>
    <s v="999"/>
    <s v="615"/>
    <s v="615999"/>
    <m/>
    <s v="1"/>
    <s v="Classe di rischio 3"/>
  </r>
  <r>
    <n v="329402"/>
    <x v="3"/>
    <x v="3"/>
    <x v="15"/>
    <n v="53850"/>
    <n v="195"/>
    <s v="053850_195"/>
    <s v="Discovery Day"/>
    <s v="Mai valutato"/>
    <m/>
    <n v="202504097883353"/>
    <n v="1943300006708"/>
    <n v="20250409"/>
    <s v="G7 - Versamento assegno circolare altro intermediario "/>
    <m/>
    <m/>
    <s v="A     - Avere"/>
    <n v="110000"/>
    <n v="0"/>
    <n v="3040676"/>
    <s v="BRNGPP64P17G251N"/>
    <s v="BERNARDI GIUSEPPE"/>
    <s v="600 - Famiglie consumatrici"/>
    <m/>
    <s v="086 - ITALIA"/>
    <n v="1463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401"/>
    <x v="4"/>
    <x v="4"/>
    <x v="15"/>
    <n v="53850"/>
    <n v="192"/>
    <s v="053850_192"/>
    <s v="Discovery Day"/>
    <s v="Mai valutato"/>
    <m/>
    <n v="202504097881763"/>
    <n v="1923300183163"/>
    <n v="20250409"/>
    <s v="AA - Bonifico da e per estero "/>
    <m/>
    <s v="067 - SPAGNA"/>
    <s v="A     - Avere"/>
    <n v="833000"/>
    <n v="0"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4"/>
    <x v="1"/>
    <x v="0"/>
    <x v="0"/>
    <n v="4695944"/>
    <x v="1"/>
    <x v="0"/>
    <s v="999"/>
    <s v="615"/>
    <s v="615999"/>
    <m/>
    <s v="1"/>
    <s v="Classe di rischio 3"/>
  </r>
  <r>
    <n v="329400"/>
    <x v="3"/>
    <x v="3"/>
    <x v="15"/>
    <n v="53850"/>
    <n v="116"/>
    <s v="053850_116"/>
    <s v="Discovery Day"/>
    <s v="Mai valutato"/>
    <m/>
    <n v="202504097882968"/>
    <n v="2343300010453"/>
    <n v="20250409"/>
    <s v="03 - Versamento contante cassa continua "/>
    <m/>
    <m/>
    <s v="A     - Avere"/>
    <n v="140674.45000000001"/>
    <n v="140674.4500000000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29399"/>
    <x v="3"/>
    <x v="3"/>
    <x v="15"/>
    <n v="53850"/>
    <n v="170"/>
    <s v="053850_170"/>
    <s v="Discovery Day"/>
    <s v="Mai valutato"/>
    <m/>
    <n v="202504097883281"/>
    <n v="1703306290965"/>
    <n v="20250409"/>
    <s v="G2 - Versamento assegni tratti sullo stesso intermediario "/>
    <m/>
    <m/>
    <s v="A     - Avere"/>
    <n v="156800"/>
    <n v="0"/>
    <n v="3734846"/>
    <n v="8512530729"/>
    <s v="AC COSTRUZIONI SRL"/>
    <s v="430 - Imprese produttive"/>
    <s v="412 - COSTRUZIONE DI EDIFICI RESIDENZIALI E NON RESIDENZIALI"/>
    <s v="086 - ITALIA"/>
    <n v="1920"/>
    <m/>
    <m/>
    <m/>
    <m/>
    <m/>
    <m/>
    <m/>
    <n v="0"/>
    <n v="202504"/>
    <x v="2"/>
    <x v="1"/>
    <x v="0"/>
    <m/>
    <x v="0"/>
    <x v="0"/>
    <s v="412"/>
    <s v="430"/>
    <s v="430412"/>
    <s v="Classe di rischio 3"/>
    <m/>
    <s v="Classe di rischio 3"/>
  </r>
  <r>
    <n v="329398"/>
    <x v="4"/>
    <x v="4"/>
    <x v="15"/>
    <n v="53850"/>
    <n v="103"/>
    <s v="053850_103"/>
    <s v="Discovery Day"/>
    <s v="Mai valutato"/>
    <m/>
    <n v="202504097883043"/>
    <n v="1033302887757"/>
    <n v="20250409"/>
    <s v="SPECIAL"/>
    <m/>
    <m/>
    <s v="D     - Dare"/>
    <n v="94953.62"/>
    <n v="0"/>
    <n v="4019401"/>
    <s v="CTLSVT72T30E155E"/>
    <s v="CATALDI SALVATORE"/>
    <s v="600 - Famiglie consumatrici"/>
    <m/>
    <s v="086 - ITALIA"/>
    <n v="1224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397"/>
    <x v="2"/>
    <x v="2"/>
    <x v="15"/>
    <n v="53850"/>
    <n v="104"/>
    <s v="053850_104"/>
    <s v="Discovery Day"/>
    <s v="Mai valutato"/>
    <m/>
    <s v="202504085725000L"/>
    <n v="1043309506207"/>
    <n v="20250408"/>
    <s v="AA - Bonifico da e per estero "/>
    <m/>
    <s v="012 - BULGARIA"/>
    <s v="D     - Dare"/>
    <n v="1058"/>
    <n v="0"/>
    <n v="420391"/>
    <s v="CSMCLD59H17C983P"/>
    <s v="CUSMAI CATALDO"/>
    <s v="615 - Altre famiglie produttrici"/>
    <s v="259 - FABBRICAZIONE DI ALTRI PRODOTTI IN METALLO"/>
    <s v="086 - ITALIA"/>
    <n v="1902"/>
    <m/>
    <m/>
    <m/>
    <m/>
    <m/>
    <m/>
    <m/>
    <n v="0"/>
    <n v="202504"/>
    <x v="0"/>
    <x v="0"/>
    <x v="0"/>
    <m/>
    <x v="0"/>
    <x v="0"/>
    <s v="999"/>
    <s v="615"/>
    <s v="615999"/>
    <m/>
    <s v="1"/>
    <s v="Classe di rischio 3"/>
  </r>
  <r>
    <n v="329396"/>
    <x v="2"/>
    <x v="2"/>
    <x v="15"/>
    <n v="53850"/>
    <n v="104"/>
    <s v="053850_104"/>
    <s v="Discovery Day"/>
    <s v="Mai valutato"/>
    <m/>
    <s v="202504085724999L"/>
    <n v="1043309506207"/>
    <n v="20250408"/>
    <s v="AA - Bonifico da e per estero "/>
    <m/>
    <s v="012 - BULGARIA"/>
    <s v="D     - Dare"/>
    <n v="1244"/>
    <n v="0"/>
    <n v="420391"/>
    <s v="CSMCLD59H17C983P"/>
    <s v="CUSMAI CATALDO"/>
    <s v="615 - Altre famiglie produttrici"/>
    <s v="259 - FABBRICAZIONE DI ALTRI PRODOTTI IN METALLO"/>
    <s v="086 - ITALIA"/>
    <n v="1902"/>
    <m/>
    <m/>
    <m/>
    <m/>
    <m/>
    <m/>
    <m/>
    <n v="0"/>
    <n v="202504"/>
    <x v="0"/>
    <x v="0"/>
    <x v="0"/>
    <m/>
    <x v="0"/>
    <x v="0"/>
    <s v="999"/>
    <s v="615"/>
    <s v="615999"/>
    <m/>
    <s v="1"/>
    <s v="Classe di rischio 3"/>
  </r>
  <r>
    <n v="329395"/>
    <x v="5"/>
    <x v="5"/>
    <x v="16"/>
    <n v="53850"/>
    <n v="267"/>
    <s v="053850_267"/>
    <s v="Discovery Day"/>
    <s v="Mai valutato"/>
    <m/>
    <n v="202504087880428"/>
    <n v="2673300003600"/>
    <n v="20250408"/>
    <s v="D1 - Versamento di contante "/>
    <m/>
    <m/>
    <s v="A     - Avere"/>
    <n v="107000"/>
    <n v="10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x v="1"/>
    <x v="0"/>
    <x v="0"/>
    <n v="1705101"/>
    <x v="1"/>
    <x v="0"/>
    <s v="999"/>
    <s v="492"/>
    <s v="492999"/>
    <m/>
    <s v="1"/>
    <s v="Classe di rischio 2"/>
  </r>
  <r>
    <n v="329394"/>
    <x v="5"/>
    <x v="5"/>
    <x v="16"/>
    <n v="53850"/>
    <n v="114"/>
    <s v="053850_114"/>
    <s v="Discovery Day"/>
    <s v="Mai valutato"/>
    <m/>
    <n v="202504087880141"/>
    <n v="1143306280621"/>
    <n v="20250408"/>
    <s v="D1 - Versamento di contante "/>
    <m/>
    <m/>
    <s v="A     - Avere"/>
    <n v="28830"/>
    <n v="2883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29393"/>
    <x v="5"/>
    <x v="5"/>
    <x v="16"/>
    <n v="53850"/>
    <n v="171"/>
    <s v="053850_171"/>
    <s v="Discovery Day"/>
    <s v="Mai valutato"/>
    <m/>
    <s v="Vari (08/04/2025)"/>
    <n v="1713305728950"/>
    <n v="20250408"/>
    <s v="03 - Versamento contante cassa continua "/>
    <m/>
    <m/>
    <s v="A     - Avere"/>
    <n v="202735"/>
    <n v="20273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392"/>
    <x v="6"/>
    <x v="6"/>
    <x v="16"/>
    <n v="53850"/>
    <n v="110"/>
    <s v="053850_110"/>
    <s v="Discovery Day"/>
    <s v="Mai valutato"/>
    <m/>
    <n v="202504087879265"/>
    <n v="1103306288240"/>
    <n v="20250408"/>
    <s v="AA - Bonifico da e per estero "/>
    <m/>
    <s v="129 - INDONESIA"/>
    <s v="A     - Avere"/>
    <n v="190533.79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4"/>
    <x v="0"/>
    <x v="0"/>
    <x v="0"/>
    <m/>
    <x v="0"/>
    <x v="0"/>
    <s v="464"/>
    <s v="430"/>
    <s v="430464"/>
    <s v="Classe di rischio 4"/>
    <m/>
    <s v="Classe di rischio 4"/>
  </r>
  <r>
    <n v="329391"/>
    <x v="7"/>
    <x v="7"/>
    <x v="16"/>
    <n v="53850"/>
    <n v="136"/>
    <s v="053850_136"/>
    <s v="Discovery Day"/>
    <s v="Mai valutato"/>
    <m/>
    <n v="202504087880206"/>
    <m/>
    <n v="20250408"/>
    <s v="U2 - Consegna / Ritiro mezzi di pagamento "/>
    <m/>
    <m/>
    <s v="A     - Avere"/>
    <n v="142558.66"/>
    <n v="0"/>
    <n v="4295968"/>
    <s v="BNCTZN71R65D761O"/>
    <s v="BIANCO TIZIANA"/>
    <s v="600 - Famiglie consumatrici"/>
    <m/>
    <s v="086 - ITALIA"/>
    <m/>
    <m/>
    <m/>
    <m/>
    <m/>
    <m/>
    <m/>
    <m/>
    <n v="0"/>
    <n v="202504"/>
    <x v="5"/>
    <x v="2"/>
    <x v="1"/>
    <m/>
    <x v="0"/>
    <x v="0"/>
    <s v="999"/>
    <s v="600"/>
    <s v="600999"/>
    <s v="Classe di rischio 7"/>
    <m/>
    <s v="Classe di rischio 7"/>
  </r>
  <r>
    <n v="329390"/>
    <x v="3"/>
    <x v="3"/>
    <x v="16"/>
    <n v="53850"/>
    <n v="286"/>
    <s v="053850_286"/>
    <s v="Discovery Day"/>
    <s v="Mai valutato"/>
    <m/>
    <n v="202504087880490"/>
    <n v="2863300002887"/>
    <n v="20250408"/>
    <s v="G7 - Versamento assegno circolare altro intermediario "/>
    <m/>
    <m/>
    <s v="A     - Avere"/>
    <n v="120000"/>
    <n v="0"/>
    <n v="1686888"/>
    <n v="2639450697"/>
    <s v="LIDO S.R.L."/>
    <s v="430 - Imprese produttive"/>
    <s v="681 - COMPRAVENDITA DI BENI IMMOBILI EFFETTUATA SU BENI PROPRI"/>
    <s v="086 - ITALIA"/>
    <n v="1841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389"/>
    <x v="2"/>
    <x v="2"/>
    <x v="16"/>
    <n v="53850"/>
    <n v="136"/>
    <s v="053850_136"/>
    <s v="Discovery Day"/>
    <s v="Mai valutato"/>
    <m/>
    <s v="202504085668709L"/>
    <n v="1363300010842"/>
    <n v="20250408"/>
    <s v="AA - Bonifico da e per estero "/>
    <m/>
    <s v="012 - BULGARIA"/>
    <s v="A     - Avere"/>
    <n v="1500"/>
    <n v="0"/>
    <n v="4855833"/>
    <n v="2486870740"/>
    <s v="PUNTO BUS SERVICE S.R.L."/>
    <s v="430 - Imprese produttive"/>
    <s v="493 - ALTRI TRASPORTI TERRESTRI DI PASSEGGERI"/>
    <s v="086 - ITALIA"/>
    <n v="1909"/>
    <m/>
    <m/>
    <m/>
    <m/>
    <m/>
    <m/>
    <m/>
    <n v="0"/>
    <n v="202504"/>
    <x v="2"/>
    <x v="1"/>
    <x v="0"/>
    <m/>
    <x v="0"/>
    <x v="0"/>
    <s v="493"/>
    <s v="430"/>
    <s v="430493"/>
    <s v="Classe di rischio 3"/>
    <m/>
    <s v="Classe di rischio 3"/>
  </r>
  <r>
    <n v="329388"/>
    <x v="5"/>
    <x v="5"/>
    <x v="16"/>
    <n v="53850"/>
    <n v="161"/>
    <s v="053850_161"/>
    <s v="Discovery Day"/>
    <s v="Mai valutato"/>
    <m/>
    <s v="Vari (08/04/2025)"/>
    <n v="1613300031333"/>
    <n v="20250408"/>
    <s v="VV"/>
    <m/>
    <m/>
    <s v="A     - Avere"/>
    <n v="48299.15"/>
    <n v="4423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4"/>
    <x v="1"/>
    <x v="0"/>
    <x v="0"/>
    <n v="511904"/>
    <x v="1"/>
    <x v="1"/>
    <s v="999"/>
    <s v="615"/>
    <s v="615999"/>
    <m/>
    <s v="1"/>
    <s v="Classe di rischio 3"/>
  </r>
  <r>
    <n v="329387"/>
    <x v="5"/>
    <x v="5"/>
    <x v="16"/>
    <n v="53850"/>
    <n v="171"/>
    <s v="053850_171"/>
    <s v="Discovery Day"/>
    <s v="Mai valutato"/>
    <m/>
    <s v="Vari (08/04/2025)"/>
    <n v="1713302214147"/>
    <n v="20250408"/>
    <s v="03 - Versamento contante cassa continua "/>
    <m/>
    <m/>
    <s v="A     - Avere"/>
    <n v="37505"/>
    <n v="3750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29386"/>
    <x v="4"/>
    <x v="4"/>
    <x v="16"/>
    <n v="53850"/>
    <n v="102"/>
    <s v="053850_102"/>
    <s v="Discovery Day"/>
    <s v="Mai valutato"/>
    <m/>
    <n v="202504087880064"/>
    <n v="1023308727570"/>
    <n v="20250408"/>
    <s v="26 - Bonifico in partenza "/>
    <m/>
    <s v="086 - ITALIA"/>
    <s v="D     - Dare"/>
    <n v="245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x v="2"/>
    <x v="1"/>
    <x v="0"/>
    <m/>
    <x v="0"/>
    <x v="0"/>
    <s v="999"/>
    <s v="285"/>
    <s v="285999"/>
    <m/>
    <s v="1"/>
    <s v="Classe di rischio 0"/>
  </r>
  <r>
    <n v="329385"/>
    <x v="4"/>
    <x v="4"/>
    <x v="16"/>
    <n v="53850"/>
    <n v="114"/>
    <s v="053850_114"/>
    <s v="Discovery Day"/>
    <s v="Mai valutato"/>
    <m/>
    <n v="202504087880142"/>
    <n v="1143306281461"/>
    <n v="20250408"/>
    <s v="SPECIAL"/>
    <m/>
    <m/>
    <s v="D     - Dare"/>
    <n v="30378.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x v="1"/>
    <x v="0"/>
    <x v="0"/>
    <m/>
    <x v="0"/>
    <x v="1"/>
    <s v="999"/>
    <s v="102"/>
    <s v="102999"/>
    <s v="Classe di rischio 0"/>
    <m/>
    <s v="Classe di rischio 0"/>
  </r>
  <r>
    <n v="329384"/>
    <x v="4"/>
    <x v="4"/>
    <x v="16"/>
    <n v="53850"/>
    <n v="114"/>
    <s v="053850_114"/>
    <s v="Discovery Day"/>
    <s v="Mai valutato"/>
    <m/>
    <n v="202504087880144"/>
    <n v="1143306281460"/>
    <n v="20250408"/>
    <s v="SPECIAL"/>
    <m/>
    <m/>
    <s v="D     - Dare"/>
    <n v="60840.4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4"/>
    <x v="1"/>
    <x v="0"/>
    <x v="0"/>
    <m/>
    <x v="0"/>
    <x v="1"/>
    <s v="999"/>
    <s v="102"/>
    <s v="102999"/>
    <s v="Classe di rischio 0"/>
    <m/>
    <s v="Classe di rischio 0"/>
  </r>
  <r>
    <n v="329383"/>
    <x v="2"/>
    <x v="2"/>
    <x v="16"/>
    <n v="53850"/>
    <n v="261"/>
    <s v="053850_261"/>
    <s v="Discovery Day"/>
    <s v="Mai valutato"/>
    <m/>
    <s v="202504085664989L"/>
    <n v="2613300001265"/>
    <n v="20250408"/>
    <s v="AA - Bonifico da e per estero "/>
    <m/>
    <s v="091 - PRINCIPATO DI MONACO"/>
    <s v="A     - Avere"/>
    <n v="10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382"/>
    <x v="4"/>
    <x v="4"/>
    <x v="16"/>
    <n v="53850"/>
    <n v="102"/>
    <s v="053850_102"/>
    <s v="Discovery Day"/>
    <s v="Mai valutato"/>
    <m/>
    <n v="202504087878890"/>
    <n v="1603300002981"/>
    <n v="20250408"/>
    <s v="48 - Bonifico in arrivo "/>
    <m/>
    <s v="086 - ITALIA"/>
    <s v="A     - Ave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x v="2"/>
    <x v="1"/>
    <x v="0"/>
    <m/>
    <x v="0"/>
    <x v="0"/>
    <s v="999"/>
    <s v="475"/>
    <s v="475999"/>
    <m/>
    <s v="1"/>
    <s v="Classe di rischio 1"/>
  </r>
  <r>
    <n v="329381"/>
    <x v="4"/>
    <x v="4"/>
    <x v="16"/>
    <n v="53850"/>
    <n v="102"/>
    <s v="053850_102"/>
    <s v="Discovery Day"/>
    <s v="Mai valutato"/>
    <m/>
    <n v="202504087880062"/>
    <n v="1023300113820"/>
    <n v="20250408"/>
    <s v="26 - Bonifico in partenza "/>
    <m/>
    <s v="086 - ITALIA"/>
    <s v="D     - Dare"/>
    <n v="127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380"/>
    <x v="4"/>
    <x v="4"/>
    <x v="16"/>
    <n v="53850"/>
    <n v="200"/>
    <s v="053850_200"/>
    <s v="Discovery Day"/>
    <s v="Mai valutato"/>
    <m/>
    <n v="202504087878812"/>
    <n v="2003300003730"/>
    <n v="20250408"/>
    <s v="48 - Bonifico in arrivo "/>
    <m/>
    <s v="086 - ITALIA"/>
    <s v="A     - Avere"/>
    <n v="750000"/>
    <n v="0"/>
    <n v="3731305"/>
    <s v="GGLLCN65C30C632E"/>
    <s v="GAGLIARDI LUCIANO"/>
    <s v="600 - Famiglie consumatrici"/>
    <m/>
    <s v="086 - ITALIA"/>
    <n v="1837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379"/>
    <x v="6"/>
    <x v="6"/>
    <x v="16"/>
    <n v="53850"/>
    <n v="125"/>
    <s v="053850_125"/>
    <s v="Discovery Day"/>
    <s v="Mai valutato"/>
    <m/>
    <n v="202504087879279"/>
    <n v="1253300003471"/>
    <n v="20250408"/>
    <s v="AA - Bonifico da e per estero "/>
    <m/>
    <s v="076 - TURCHIA"/>
    <s v="D     - Dare"/>
    <n v="23319.200000000001"/>
    <n v="0"/>
    <n v="3735747"/>
    <n v="9507921212"/>
    <s v="DISTRIBUZIONE ITALIA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x v="1"/>
    <x v="0"/>
    <x v="0"/>
    <m/>
    <x v="0"/>
    <x v="0"/>
    <s v="463"/>
    <s v="430"/>
    <s v="430463"/>
    <s v="Classe di rischio 3"/>
    <m/>
    <s v="Classe di rischio 3"/>
  </r>
  <r>
    <n v="329378"/>
    <x v="3"/>
    <x v="3"/>
    <x v="16"/>
    <n v="53850"/>
    <n v="171"/>
    <s v="053850_171"/>
    <s v="Discovery Day"/>
    <s v="Mai valutato"/>
    <m/>
    <s v="Vari (08/04/2025)"/>
    <n v="1713305728950"/>
    <n v="20250408"/>
    <s v="03 - Versamento contante cassa continua "/>
    <m/>
    <m/>
    <s v="A     - Avere"/>
    <n v="202735"/>
    <n v="20273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377"/>
    <x v="5"/>
    <x v="5"/>
    <x v="16"/>
    <n v="53850"/>
    <n v="116"/>
    <s v="053850_116"/>
    <s v="Discovery Day"/>
    <s v="Mai valutato"/>
    <m/>
    <n v="202504087879941"/>
    <n v="2343300010453"/>
    <n v="20250408"/>
    <s v="03 - Versamento contante cassa continua "/>
    <m/>
    <m/>
    <s v="A     - Avere"/>
    <n v="171133.95"/>
    <n v="171133.9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29376"/>
    <x v="3"/>
    <x v="3"/>
    <x v="16"/>
    <n v="53850"/>
    <n v="267"/>
    <s v="053850_267"/>
    <s v="Discovery Day"/>
    <s v="Mai valutato"/>
    <m/>
    <n v="202504087880428"/>
    <n v="2673300003600"/>
    <n v="20250408"/>
    <s v="D1 - Versamento di contante "/>
    <m/>
    <m/>
    <s v="A     - Avere"/>
    <n v="107000"/>
    <n v="10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4"/>
    <x v="1"/>
    <x v="0"/>
    <x v="0"/>
    <n v="1705101"/>
    <x v="1"/>
    <x v="0"/>
    <s v="999"/>
    <s v="492"/>
    <s v="492999"/>
    <m/>
    <s v="1"/>
    <s v="Classe di rischio 2"/>
  </r>
  <r>
    <n v="329375"/>
    <x v="4"/>
    <x v="4"/>
    <x v="16"/>
    <n v="53850"/>
    <n v="102"/>
    <s v="053850_102"/>
    <s v="Discovery Day"/>
    <s v="Mai valutato"/>
    <m/>
    <n v="202504087880073"/>
    <n v="1603300002981"/>
    <n v="20250408"/>
    <s v="50 - Pagamenti diversi"/>
    <m/>
    <m/>
    <s v="D     - Dare"/>
    <n v="23639999.420000002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4"/>
    <x v="2"/>
    <x v="1"/>
    <x v="0"/>
    <m/>
    <x v="0"/>
    <x v="0"/>
    <s v="999"/>
    <s v="475"/>
    <s v="475999"/>
    <m/>
    <s v="1"/>
    <s v="Classe di rischio 1"/>
  </r>
  <r>
    <n v="329374"/>
    <x v="5"/>
    <x v="5"/>
    <x v="16"/>
    <n v="53850"/>
    <n v="102"/>
    <s v="053850_102"/>
    <s v="Discovery Day"/>
    <s v="Mai valutato"/>
    <m/>
    <n v="202504087879502"/>
    <n v="1023308722503"/>
    <n v="20250408"/>
    <s v="03 - Versamento contante cassa continua "/>
    <m/>
    <m/>
    <s v="A     - Avere"/>
    <n v="22610"/>
    <n v="226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373"/>
    <x v="4"/>
    <x v="4"/>
    <x v="16"/>
    <n v="53850"/>
    <n v="102"/>
    <s v="053850_102"/>
    <s v="Discovery Day"/>
    <s v="Mai valutato"/>
    <m/>
    <n v="202504087878484"/>
    <n v="1023308727570"/>
    <n v="20250408"/>
    <s v="48 - Bonifico in arrivo "/>
    <m/>
    <s v="086 - ITALIA"/>
    <s v="A     - Avere"/>
    <n v="4000000"/>
    <n v="0"/>
    <n v="3726777"/>
    <n v="8920410720"/>
    <s v="VICTUS HORIZON SRL"/>
    <s v="285 - Holding operative finanziarie"/>
    <s v="642 - ATTIVITÀ DELLE SOCIETÀ DI PARTECIPAZIONE (HOLDING)"/>
    <s v="086 - ITALIA"/>
    <n v="739"/>
    <m/>
    <m/>
    <m/>
    <m/>
    <m/>
    <m/>
    <m/>
    <n v="0"/>
    <n v="202504"/>
    <x v="2"/>
    <x v="1"/>
    <x v="0"/>
    <m/>
    <x v="0"/>
    <x v="0"/>
    <s v="999"/>
    <s v="285"/>
    <s v="285999"/>
    <m/>
    <s v="1"/>
    <s v="Classe di rischio 0"/>
  </r>
  <r>
    <n v="329372"/>
    <x v="3"/>
    <x v="3"/>
    <x v="16"/>
    <n v="53850"/>
    <n v="116"/>
    <s v="053850_116"/>
    <s v="Discovery Day"/>
    <s v="Mai valutato"/>
    <m/>
    <n v="202504087879941"/>
    <n v="2343300010453"/>
    <n v="20250408"/>
    <s v="03 - Versamento contante cassa continua "/>
    <m/>
    <m/>
    <s v="A     - Avere"/>
    <n v="171133.95"/>
    <n v="171133.9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29371"/>
    <x v="4"/>
    <x v="4"/>
    <x v="16"/>
    <n v="53850"/>
    <n v="102"/>
    <s v="053850_102"/>
    <s v="Discovery Day"/>
    <s v="Mai valutato"/>
    <m/>
    <n v="202504087879191"/>
    <n v="1023308723686"/>
    <n v="20250408"/>
    <s v="48 - Bonifico in arrivo "/>
    <m/>
    <s v="086 - ITALIA"/>
    <s v="A     - Avere"/>
    <n v="2362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4"/>
    <x v="1"/>
    <x v="0"/>
    <x v="0"/>
    <n v="531420"/>
    <x v="1"/>
    <x v="0"/>
    <s v="999"/>
    <s v="615"/>
    <s v="615999"/>
    <m/>
    <s v="1"/>
    <s v="Classe di rischio 3"/>
  </r>
  <r>
    <n v="329370"/>
    <x v="3"/>
    <x v="3"/>
    <x v="16"/>
    <n v="53850"/>
    <n v="182"/>
    <s v="053850_182"/>
    <s v="Discovery Day"/>
    <s v="Mai valutato"/>
    <m/>
    <n v="202504087880332"/>
    <n v="1823300168510"/>
    <n v="20250408"/>
    <s v="G7 - Versamento assegno circolare altro intermediario "/>
    <m/>
    <m/>
    <s v="A     - Avere"/>
    <n v="155000"/>
    <n v="0"/>
    <n v="3186190"/>
    <s v="SNTMRA48C67L049L"/>
    <s v="SANTURINI MARIA"/>
    <s v="600 - Famiglie consumatrici"/>
    <m/>
    <s v="086 - ITALIA"/>
    <n v="614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369"/>
    <x v="4"/>
    <x v="4"/>
    <x v="16"/>
    <n v="53850"/>
    <n v="175"/>
    <s v="053850_175"/>
    <s v="Discovery Day"/>
    <s v="Mai valutato"/>
    <m/>
    <n v="202504087880034"/>
    <n v="1753305678410"/>
    <n v="20250408"/>
    <s v="50 - Pagamenti diversi"/>
    <m/>
    <m/>
    <s v="D     - Dare"/>
    <n v="160000"/>
    <n v="0"/>
    <n v="567841"/>
    <s v="NCLVCN55T22F052Q"/>
    <s v="NICOLETTI VINCENZO"/>
    <s v="600 - Famiglie consumatrici"/>
    <m/>
    <s v="086 - ITALIA"/>
    <n v="1585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368"/>
    <x v="4"/>
    <x v="4"/>
    <x v="16"/>
    <n v="53850"/>
    <n v="147"/>
    <s v="053850_147"/>
    <s v="Discovery Day"/>
    <s v="Mai valutato"/>
    <m/>
    <n v="202504087880231"/>
    <n v="1473300003059"/>
    <n v="20250408"/>
    <s v="SPECIAL"/>
    <m/>
    <m/>
    <s v="D     - Dare"/>
    <n v="42791.93"/>
    <n v="0"/>
    <n v="4963912"/>
    <n v="2946001217"/>
    <s v="FALLIMENTO EUROBREAD &amp; CO. S.A.S. DI MENDOZZA ROSARIA"/>
    <s v="480 - Quasi societa' non finanziarie artigiane - Unita' o societa' con 20 o piu' addetti"/>
    <s v="469 - COMMERCIO ALL'INGROSSO NON SPECIALIZZATO"/>
    <s v="086 - ITALIA"/>
    <n v="1356"/>
    <m/>
    <m/>
    <m/>
    <m/>
    <m/>
    <m/>
    <m/>
    <n v="0"/>
    <n v="202504"/>
    <x v="0"/>
    <x v="0"/>
    <x v="0"/>
    <m/>
    <x v="0"/>
    <x v="1"/>
    <s v="999"/>
    <s v="480"/>
    <s v="480999"/>
    <m/>
    <s v="1"/>
    <s v="Classe di rischio 2"/>
  </r>
  <r>
    <n v="329367"/>
    <x v="4"/>
    <x v="4"/>
    <x v="16"/>
    <n v="53850"/>
    <n v="114"/>
    <s v="053850_114"/>
    <s v="Discovery Day"/>
    <s v="Mai valutato"/>
    <m/>
    <n v="202504087878114"/>
    <n v="1143306280621"/>
    <n v="20250408"/>
    <s v="39 - Disposizione per emolumenti"/>
    <m/>
    <m/>
    <s v="D     - Dare"/>
    <n v="203481.28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29366"/>
    <x v="5"/>
    <x v="5"/>
    <x v="16"/>
    <n v="53850"/>
    <n v="131"/>
    <s v="053850_131"/>
    <s v="Discovery Day"/>
    <s v="Mai valutato"/>
    <m/>
    <n v="202504087879650"/>
    <n v="1313300002205"/>
    <n v="20250408"/>
    <s v="03 - Versamento contante cassa continua "/>
    <m/>
    <m/>
    <s v="A     - Avere"/>
    <n v="21000"/>
    <n v="21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4"/>
    <x v="1"/>
    <x v="0"/>
    <x v="0"/>
    <n v="4055163"/>
    <x v="1"/>
    <x v="0"/>
    <s v="477"/>
    <s v="615"/>
    <s v="615477"/>
    <s v="Classe di rischio 6"/>
    <m/>
    <s v="Classe di rischio 6"/>
  </r>
  <r>
    <n v="329365"/>
    <x v="4"/>
    <x v="4"/>
    <x v="16"/>
    <n v="53850"/>
    <n v="125"/>
    <s v="053850_125"/>
    <s v="Discovery Day"/>
    <s v="Mai valutato"/>
    <m/>
    <n v="202504087878592"/>
    <n v="1253300000194"/>
    <n v="20250408"/>
    <s v="48 - Bonifico in arrivo "/>
    <m/>
    <s v="086 - ITALIA"/>
    <s v="A     - Avere"/>
    <n v="1468326.89"/>
    <n v="0"/>
    <n v="4075615"/>
    <n v="1898620610"/>
    <s v="L'OASI - CENTRO RESIDENZA DI RIABILITAZIONE NEUROMOTORIA ANZIANI E DISABILI SRL"/>
    <s v="430 - Imprese produttive"/>
    <s v="861 - SERVIZI OSPEDALIERI"/>
    <s v="086 - ITALIA"/>
    <n v="982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364"/>
    <x v="4"/>
    <x v="4"/>
    <x v="16"/>
    <n v="53850"/>
    <n v="147"/>
    <s v="053850_147"/>
    <s v="Discovery Day"/>
    <s v="Mai valutato"/>
    <m/>
    <n v="202504087880228"/>
    <n v="1473300003312"/>
    <n v="20250408"/>
    <s v="SPECIAL"/>
    <m/>
    <m/>
    <s v="D     - Dare"/>
    <n v="8167.78"/>
    <n v="0"/>
    <n v="4991735"/>
    <m/>
    <s v="PROC. ESEC. IMM. RGE 70 2016 TRIB. DI TORRE ANNUNZIATA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x v="0"/>
    <x v="0"/>
    <x v="0"/>
    <m/>
    <x v="0"/>
    <x v="1"/>
    <s v="999"/>
    <s v="501"/>
    <s v="501999"/>
    <s v="Classe di rischio 3"/>
    <m/>
    <s v="Classe di rischio 3"/>
  </r>
  <r>
    <n v="329363"/>
    <x v="4"/>
    <x v="4"/>
    <x v="16"/>
    <n v="53850"/>
    <n v="182"/>
    <s v="053850_182"/>
    <s v="Discovery Day"/>
    <s v="Mai valutato"/>
    <m/>
    <n v="202504087880336"/>
    <n v="1823300174221"/>
    <n v="20250408"/>
    <s v="SPECIAL"/>
    <m/>
    <m/>
    <s v="D     - Dare"/>
    <n v="131839.34"/>
    <n v="0"/>
    <n v="3020729"/>
    <s v="FNSTMS46A55L049I"/>
    <s v="FONSECA TOMMASINA"/>
    <s v="600 - Famiglie consumatrici"/>
    <m/>
    <s v="086 - ITALIA"/>
    <n v="1656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362"/>
    <x v="2"/>
    <x v="2"/>
    <x v="16"/>
    <n v="53850"/>
    <n v="178"/>
    <s v="053850_178"/>
    <s v="Discovery Day"/>
    <s v="Mai valutato"/>
    <m/>
    <s v="202504085669361L"/>
    <n v="1783301004302"/>
    <n v="20250408"/>
    <s v="AA - Bonifico da e per estero "/>
    <m/>
    <s v="238 - ABU DHABI"/>
    <s v="D     - Dare"/>
    <n v="2399.98"/>
    <n v="0"/>
    <n v="4846279"/>
    <s v="DLADNC92E29A669L"/>
    <s v="DALO' DOMENICO"/>
    <s v="614 - Artigiani"/>
    <s v="152 - FABBRICAZIONE DI CALZATURE"/>
    <s v="086 - ITALIA"/>
    <n v="746"/>
    <m/>
    <m/>
    <m/>
    <m/>
    <m/>
    <m/>
    <m/>
    <n v="0"/>
    <n v="202504"/>
    <x v="1"/>
    <x v="0"/>
    <x v="0"/>
    <m/>
    <x v="0"/>
    <x v="0"/>
    <s v="999"/>
    <s v="614"/>
    <s v="614999"/>
    <m/>
    <s v="1"/>
    <s v="Classe di rischio 3"/>
  </r>
  <r>
    <n v="329361"/>
    <x v="4"/>
    <x v="4"/>
    <x v="17"/>
    <n v="53850"/>
    <n v="182"/>
    <s v="053850_182"/>
    <s v="Discovery Day"/>
    <s v="Mai valutato"/>
    <m/>
    <n v="202504087876006"/>
    <n v="1823300017474"/>
    <n v="20250408"/>
    <s v="BB - Acquisto a pronti titoli e diritti d'opzione "/>
    <m/>
    <m/>
    <s v="D     - Dare"/>
    <n v="975210.17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360"/>
    <x v="4"/>
    <x v="4"/>
    <x v="17"/>
    <n v="53850"/>
    <n v="125"/>
    <s v="053850_125"/>
    <s v="Discovery Day"/>
    <s v="Mai valutato"/>
    <m/>
    <s v="202504075610360L"/>
    <n v="1253300002492"/>
    <n v="20250407"/>
    <s v="SPECIAL"/>
    <m/>
    <m/>
    <s v="D     - Dare"/>
    <n v="1335.4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4"/>
    <x v="1"/>
    <x v="0"/>
    <x v="0"/>
    <m/>
    <x v="0"/>
    <x v="1"/>
    <s v="999"/>
    <s v="430"/>
    <s v="430999"/>
    <m/>
    <s v="1"/>
    <s v="Classe di rischio 1"/>
  </r>
  <r>
    <n v="329359"/>
    <x v="5"/>
    <x v="5"/>
    <x v="17"/>
    <n v="53850"/>
    <n v="284"/>
    <s v="053850_284"/>
    <s v="Discovery Day"/>
    <s v="Mai valutato"/>
    <m/>
    <s v="Vari (07/04/2025)"/>
    <n v="2843300001336"/>
    <n v="20250407"/>
    <s v="VV"/>
    <m/>
    <m/>
    <s v="A     - Avere"/>
    <n v="53994.5"/>
    <n v="5100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4"/>
    <x v="1"/>
    <x v="0"/>
    <x v="0"/>
    <m/>
    <x v="0"/>
    <x v="1"/>
    <s v="999"/>
    <s v="430"/>
    <s v="430999"/>
    <m/>
    <s v="1"/>
    <s v="Classe di rischio 1"/>
  </r>
  <r>
    <n v="329358"/>
    <x v="5"/>
    <x v="5"/>
    <x v="17"/>
    <n v="53850"/>
    <n v="102"/>
    <s v="053850_102"/>
    <s v="Discovery Day"/>
    <s v="Mai valutato"/>
    <m/>
    <s v="Vari (07/04/2025)"/>
    <n v="1023308722503"/>
    <n v="20250407"/>
    <s v="03 - Versamento contante cassa continua "/>
    <m/>
    <m/>
    <s v="A     - Avere"/>
    <n v="30230"/>
    <n v="302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357"/>
    <x v="3"/>
    <x v="3"/>
    <x v="17"/>
    <n v="53850"/>
    <n v="118"/>
    <s v="053850_118"/>
    <s v="Discovery Day"/>
    <s v="Mai valutato"/>
    <m/>
    <n v="202504077877018"/>
    <n v="1183306281257"/>
    <n v="20250407"/>
    <s v="G2 - Versamento assegni tratti sullo stesso intermediario "/>
    <m/>
    <m/>
    <s v="A     - Avere"/>
    <n v="130000"/>
    <n v="0"/>
    <n v="4903828"/>
    <s v="NZZDNC73T48A225O"/>
    <s v="NUZZI DOMENICA"/>
    <s v="600 - Famiglie consumatrici"/>
    <m/>
    <s v="086 - ITALIA"/>
    <n v="632"/>
    <m/>
    <m/>
    <m/>
    <m/>
    <m/>
    <m/>
    <m/>
    <n v="0"/>
    <n v="202504"/>
    <x v="4"/>
    <x v="1"/>
    <x v="0"/>
    <m/>
    <x v="0"/>
    <x v="0"/>
    <s v="999"/>
    <s v="600"/>
    <s v="600999"/>
    <s v="Classe di rischio 7"/>
    <m/>
    <s v="Classe di rischio 7"/>
  </r>
  <r>
    <n v="329356"/>
    <x v="4"/>
    <x v="4"/>
    <x v="17"/>
    <n v="53850"/>
    <n v="102"/>
    <s v="053850_102"/>
    <s v="Discovery Day"/>
    <s v="Mai valutato"/>
    <m/>
    <n v="202504077875103"/>
    <n v="1023304132020"/>
    <n v="20250407"/>
    <s v="48 - Bonifico in arrivo "/>
    <m/>
    <s v="086 - ITALIA"/>
    <s v="A     - Avere"/>
    <n v="1546306.64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4"/>
    <x v="1"/>
    <x v="0"/>
    <x v="0"/>
    <m/>
    <x v="0"/>
    <x v="0"/>
    <s v="412"/>
    <s v="430"/>
    <s v="430412"/>
    <s v="Classe di rischio 3"/>
    <m/>
    <s v="Classe di rischio 3"/>
  </r>
  <r>
    <n v="329355"/>
    <x v="3"/>
    <x v="3"/>
    <x v="17"/>
    <n v="53850"/>
    <n v="118"/>
    <s v="053850_118"/>
    <s v="Discovery Day"/>
    <s v="Mai valutato"/>
    <m/>
    <n v="202504077877019"/>
    <n v="1183306280338"/>
    <n v="20250407"/>
    <s v="G2 - Versamento assegni tratti sullo stesso intermediario "/>
    <m/>
    <m/>
    <s v="A     - Avere"/>
    <n v="130000"/>
    <n v="0"/>
    <n v="4979859"/>
    <n v="8669660725"/>
    <s v="ELLECI IMPIANTI S.R.L."/>
    <s v="430 - Imprese produttive"/>
    <s v="432 - INSTALLAZIONE DI IMPIANTI ELETTRICI, IDRAULICI ED ALTRI LAVORI DI COSTRUZIONE E INSTALLAZIONE"/>
    <s v="086 - ITALIA"/>
    <n v="979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354"/>
    <x v="5"/>
    <x v="5"/>
    <x v="17"/>
    <n v="53850"/>
    <n v="182"/>
    <s v="053850_182"/>
    <s v="Discovery Day"/>
    <s v="Mai valutato"/>
    <m/>
    <s v="Vari (07/04/2025)"/>
    <n v="1823300169301"/>
    <n v="20250407"/>
    <s v="03 - Versamento contante cassa continua "/>
    <m/>
    <m/>
    <s v="A     - Avere"/>
    <n v="37615"/>
    <n v="3761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x v="1"/>
    <x v="0"/>
    <x v="0"/>
    <n v="4284957"/>
    <x v="1"/>
    <x v="0"/>
    <s v="920"/>
    <s v="615"/>
    <s v="615920"/>
    <s v="Classe di rischio 6"/>
    <m/>
    <s v="Classe di rischio 6"/>
  </r>
  <r>
    <n v="329353"/>
    <x v="4"/>
    <x v="4"/>
    <x v="17"/>
    <n v="53850"/>
    <n v="267"/>
    <s v="053850_267"/>
    <s v="Discovery Day"/>
    <s v="Mai valutato"/>
    <m/>
    <s v="202504075613823L"/>
    <n v="2673300010262"/>
    <n v="20250407"/>
    <s v="SPECIAL"/>
    <m/>
    <m/>
    <s v="D     - Dare"/>
    <n v="1033.3800000000001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4"/>
    <x v="1"/>
    <x v="0"/>
    <x v="0"/>
    <n v="1616725"/>
    <x v="1"/>
    <x v="1"/>
    <s v="999"/>
    <s v="430"/>
    <s v="430999"/>
    <m/>
    <s v="1"/>
    <s v="Classe di rischio 1"/>
  </r>
  <r>
    <n v="329352"/>
    <x v="3"/>
    <x v="3"/>
    <x v="17"/>
    <n v="53850"/>
    <n v="102"/>
    <s v="053850_102"/>
    <s v="Discovery Day"/>
    <s v="Mai valutato"/>
    <m/>
    <s v="Vari (07/04/2025)"/>
    <n v="1023300660520"/>
    <n v="20250407"/>
    <s v="VV"/>
    <m/>
    <m/>
    <s v="A     - Avere"/>
    <n v="169736"/>
    <n v="3383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4"/>
    <x v="4"/>
    <x v="1"/>
    <x v="0"/>
    <n v="66052"/>
    <x v="1"/>
    <x v="1"/>
    <s v="999"/>
    <s v="430"/>
    <s v="430999"/>
    <m/>
    <s v="1"/>
    <s v="Classe di rischio 1"/>
  </r>
  <r>
    <n v="329351"/>
    <x v="3"/>
    <x v="3"/>
    <x v="17"/>
    <n v="53850"/>
    <n v="287"/>
    <s v="053850_287"/>
    <s v="Discovery Day"/>
    <s v="Mai valutato"/>
    <m/>
    <s v="Vari (07/04/2025)"/>
    <n v="2873300001853"/>
    <n v="20250407"/>
    <s v="VV"/>
    <m/>
    <m/>
    <s v="A     - Avere"/>
    <n v="138072.9"/>
    <n v="7925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x v="0"/>
    <x v="0"/>
    <x v="0"/>
    <n v="3722213"/>
    <x v="1"/>
    <x v="1"/>
    <s v="463"/>
    <s v="430"/>
    <s v="430463"/>
    <s v="Classe di rischio 3"/>
    <m/>
    <s v="Classe di rischio 3"/>
  </r>
  <r>
    <n v="329350"/>
    <x v="11"/>
    <x v="11"/>
    <x v="17"/>
    <n v="53850"/>
    <n v="182"/>
    <s v="053850_182"/>
    <s v="Discovery Day"/>
    <s v="Mai valutato"/>
    <m/>
    <n v="202504077877288"/>
    <n v="1823300038953"/>
    <n v="20250407"/>
    <s v="52 - Prelevamento con moduli di sportello "/>
    <m/>
    <m/>
    <s v="D     - Dare"/>
    <n v="35375"/>
    <n v="35375"/>
    <n v="4898608"/>
    <n v="3093910739"/>
    <s v="RI.PRO SOCIETA' COOPERATIVA SOCIALE"/>
    <s v="430 - Imprese produttive"/>
    <s v="881 - ASSISTENZA SOCIALE NON RESIDENZIALE PER ANZIANI E DISABILI"/>
    <s v="086 - ITALIA"/>
    <n v="676"/>
    <m/>
    <m/>
    <m/>
    <m/>
    <m/>
    <m/>
    <m/>
    <n v="0"/>
    <n v="202504"/>
    <x v="0"/>
    <x v="0"/>
    <x v="1"/>
    <n v="4898608"/>
    <x v="1"/>
    <x v="0"/>
    <s v="999"/>
    <s v="430"/>
    <s v="430999"/>
    <m/>
    <s v="1"/>
    <s v="Classe di rischio 1"/>
  </r>
  <r>
    <n v="329349"/>
    <x v="5"/>
    <x v="5"/>
    <x v="17"/>
    <n v="53850"/>
    <n v="170"/>
    <s v="053850_170"/>
    <s v="Discovery Day"/>
    <s v="Mai valutato"/>
    <m/>
    <s v="Vari (07/04/2025)"/>
    <n v="1703300000428"/>
    <n v="20250407"/>
    <s v="03 - Versamento contante cassa continua "/>
    <m/>
    <m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4"/>
    <x v="1"/>
    <x v="0"/>
    <x v="0"/>
    <n v="4833134"/>
    <x v="1"/>
    <x v="0"/>
    <s v="999"/>
    <s v="430"/>
    <s v="430999"/>
    <m/>
    <s v="1"/>
    <s v="Classe di rischio 1"/>
  </r>
  <r>
    <n v="329348"/>
    <x v="3"/>
    <x v="3"/>
    <x v="17"/>
    <n v="53850"/>
    <n v="108"/>
    <s v="053850_108"/>
    <s v="Discovery Day"/>
    <s v="Mai valutato"/>
    <m/>
    <s v="Vari (07/04/2025)"/>
    <n v="1083306291105"/>
    <n v="20250407"/>
    <s v="VV"/>
    <m/>
    <m/>
    <s v="A     - Avere"/>
    <n v="128778.83"/>
    <n v="34129.6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1"/>
    <s v="999"/>
    <s v="430"/>
    <s v="430999"/>
    <m/>
    <s v="1"/>
    <s v="Classe di rischio 1"/>
  </r>
  <r>
    <n v="329347"/>
    <x v="5"/>
    <x v="5"/>
    <x v="17"/>
    <n v="53850"/>
    <n v="268"/>
    <s v="053850_268"/>
    <s v="Discovery Day"/>
    <s v="Mai valutato"/>
    <m/>
    <s v="Vari (07/04/2025)"/>
    <n v="2683300010030"/>
    <n v="20250407"/>
    <s v="03 - Versamento contante cassa continua "/>
    <m/>
    <m/>
    <s v="A     - Avere"/>
    <n v="56580"/>
    <n v="5658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x v="1"/>
    <x v="0"/>
    <x v="0"/>
    <n v="4966939"/>
    <x v="1"/>
    <x v="0"/>
    <s v="999"/>
    <s v="615"/>
    <s v="615999"/>
    <m/>
    <s v="1"/>
    <s v="Classe di rischio 3"/>
  </r>
  <r>
    <n v="329346"/>
    <x v="4"/>
    <x v="4"/>
    <x v="17"/>
    <n v="53850"/>
    <n v="204"/>
    <s v="053850_204"/>
    <s v="Discovery Day"/>
    <s v="Mai valutato"/>
    <m/>
    <s v="202504075610573L"/>
    <n v="2043300012553"/>
    <n v="20250407"/>
    <s v="SPECIAL"/>
    <m/>
    <m/>
    <s v="D     - Dare"/>
    <n v="1004.79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4"/>
    <x v="1"/>
    <x v="0"/>
    <x v="0"/>
    <m/>
    <x v="0"/>
    <x v="1"/>
    <s v="999"/>
    <s v="430"/>
    <s v="430999"/>
    <m/>
    <s v="1"/>
    <s v="Classe di rischio 1"/>
  </r>
  <r>
    <n v="329345"/>
    <x v="2"/>
    <x v="2"/>
    <x v="17"/>
    <n v="53850"/>
    <n v="268"/>
    <s v="053850_268"/>
    <s v="Discovery Day"/>
    <s v="Mai valutato"/>
    <m/>
    <n v="202504077875826"/>
    <n v="2681147800157"/>
    <n v="20250407"/>
    <s v="AA - Bonifico da e per estero "/>
    <m/>
    <s v="027 - FILIPPINE"/>
    <s v="D     - Dare"/>
    <n v="292246.8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344"/>
    <x v="5"/>
    <x v="5"/>
    <x v="17"/>
    <n v="53850"/>
    <n v="189"/>
    <s v="053850_189"/>
    <s v="Discovery Day"/>
    <s v="Mai valutato"/>
    <m/>
    <n v="202504077877308"/>
    <n v="1893300023546"/>
    <n v="20250407"/>
    <s v="D1 - Versamento di contante "/>
    <m/>
    <m/>
    <s v="A     - Avere"/>
    <n v="55765"/>
    <n v="55765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4"/>
    <x v="1"/>
    <x v="0"/>
    <x v="0"/>
    <n v="3064562"/>
    <x v="1"/>
    <x v="0"/>
    <s v="999"/>
    <s v="615"/>
    <s v="615999"/>
    <m/>
    <s v="1"/>
    <s v="Classe di rischio 3"/>
  </r>
  <r>
    <n v="329343"/>
    <x v="3"/>
    <x v="3"/>
    <x v="17"/>
    <n v="53850"/>
    <n v="182"/>
    <s v="053850_182"/>
    <s v="Discovery Day"/>
    <s v="Mai valutato"/>
    <m/>
    <s v="Vari (07/04/2025)"/>
    <n v="1823300169301"/>
    <n v="20250407"/>
    <s v="03 - Versamento contante cassa continua "/>
    <m/>
    <m/>
    <s v="A     - Avere"/>
    <n v="37615"/>
    <n v="3761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4"/>
    <x v="1"/>
    <x v="0"/>
    <x v="0"/>
    <n v="4284957"/>
    <x v="1"/>
    <x v="0"/>
    <s v="920"/>
    <s v="615"/>
    <s v="615920"/>
    <s v="Classe di rischio 6"/>
    <m/>
    <s v="Classe di rischio 6"/>
  </r>
  <r>
    <n v="329342"/>
    <x v="4"/>
    <x v="4"/>
    <x v="17"/>
    <n v="53850"/>
    <n v="273"/>
    <s v="053850_273"/>
    <s v="Discovery Day"/>
    <s v="Mai valutato"/>
    <m/>
    <s v="202504075614001L"/>
    <n v="2733300004121"/>
    <n v="20250407"/>
    <s v="SPECIAL"/>
    <m/>
    <m/>
    <s v="D     - Dare"/>
    <n v="1035.48"/>
    <n v="0"/>
    <n v="1694705"/>
    <n v="1947330690"/>
    <s v="GABRI' PARK HOTEL S.R.L."/>
    <s v="430 - Imprese produttive"/>
    <s v="561 - RISTORANTI E ATTIVITÀ DI RISTORAZIONE MOBILE"/>
    <s v="086 - ITALIA"/>
    <n v="1765"/>
    <m/>
    <m/>
    <m/>
    <m/>
    <m/>
    <m/>
    <m/>
    <n v="0"/>
    <n v="202504"/>
    <x v="0"/>
    <x v="0"/>
    <x v="0"/>
    <m/>
    <x v="0"/>
    <x v="1"/>
    <s v="999"/>
    <s v="430"/>
    <s v="430999"/>
    <m/>
    <s v="1"/>
    <s v="Classe di rischio 1"/>
  </r>
  <r>
    <n v="329341"/>
    <x v="6"/>
    <x v="6"/>
    <x v="17"/>
    <n v="53850"/>
    <n v="141"/>
    <s v="053850_141"/>
    <s v="Discovery Day"/>
    <s v="Mai valutato"/>
    <m/>
    <n v="202504077874267"/>
    <n v="1413300003985"/>
    <n v="20250407"/>
    <s v="AA - Bonifico da e per estero "/>
    <m/>
    <s v="071 - SVIZZERA"/>
    <s v="D     - Dare"/>
    <n v="35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x v="1"/>
    <x v="0"/>
    <x v="0"/>
    <m/>
    <x v="0"/>
    <x v="0"/>
    <s v="931"/>
    <s v="430"/>
    <s v="430931"/>
    <s v="Classe di rischio 3"/>
    <m/>
    <s v="Classe di rischio 3"/>
  </r>
  <r>
    <n v="329340"/>
    <x v="4"/>
    <x v="4"/>
    <x v="17"/>
    <n v="53850"/>
    <n v="196"/>
    <s v="053850_196"/>
    <s v="Discovery Day"/>
    <s v="Mai valutato"/>
    <m/>
    <s v="202504075610582L"/>
    <n v="1963302354339"/>
    <n v="20250407"/>
    <s v="SPECIAL"/>
    <m/>
    <m/>
    <s v="D     - Dare"/>
    <n v="1057.92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4"/>
    <x v="2"/>
    <x v="1"/>
    <x v="0"/>
    <m/>
    <x v="0"/>
    <x v="1"/>
    <s v="999"/>
    <s v="480"/>
    <s v="480999"/>
    <m/>
    <s v="1"/>
    <s v="Classe di rischio 2"/>
  </r>
  <r>
    <n v="329339"/>
    <x v="4"/>
    <x v="4"/>
    <x v="17"/>
    <n v="53850"/>
    <n v="187"/>
    <s v="053850_187"/>
    <s v="Discovery Day"/>
    <s v="Mai valutato"/>
    <m/>
    <n v="202504077876611"/>
    <n v="1873300102696"/>
    <n v="20250407"/>
    <s v="50 - Pagamenti diversi"/>
    <m/>
    <m/>
    <s v="D     - Dare"/>
    <n v="436461.36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x v="1"/>
    <x v="0"/>
    <x v="0"/>
    <m/>
    <x v="0"/>
    <x v="0"/>
    <s v="463"/>
    <s v="430"/>
    <s v="430463"/>
    <s v="Classe di rischio 3"/>
    <m/>
    <s v="Classe di rischio 3"/>
  </r>
  <r>
    <n v="329338"/>
    <x v="4"/>
    <x v="4"/>
    <x v="17"/>
    <n v="53850"/>
    <n v="120"/>
    <s v="053850_120"/>
    <s v="Discovery Day"/>
    <s v="Mai valutato"/>
    <m/>
    <s v="202504075609692L"/>
    <n v="1203300002401"/>
    <n v="20250407"/>
    <s v="SPECIAL"/>
    <m/>
    <m/>
    <s v="D     - Dare"/>
    <n v="1783.86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x v="1"/>
    <x v="0"/>
    <x v="0"/>
    <n v="613876"/>
    <x v="1"/>
    <x v="1"/>
    <s v="999"/>
    <s v="500"/>
    <s v="500999"/>
    <m/>
    <s v="1"/>
    <s v="Classe di rischio 3"/>
  </r>
  <r>
    <n v="329337"/>
    <x v="5"/>
    <x v="5"/>
    <x v="17"/>
    <n v="53850"/>
    <n v="264"/>
    <s v="053850_264"/>
    <s v="Discovery Day"/>
    <s v="Mai valutato"/>
    <m/>
    <s v="Vari (07/04/2025)"/>
    <n v="2643300010604"/>
    <n v="20250407"/>
    <s v="03 - Versamento contante cassa continua "/>
    <m/>
    <m/>
    <s v="A     - Avere"/>
    <n v="21640"/>
    <n v="21640"/>
    <n v="3730784"/>
    <n v="1347980771"/>
    <s v="PALUMBO SRL FARMACIA SAN BERNARDINO S.N.C."/>
    <s v="492 - Quasi societa' non finanziarie altre - Unita' o societa' con meno di 20 addetti"/>
    <s v="477 - COMMERCIO AL DETTAGLIO DI ALTRI PRODOTTI IN ESERCIZI SPECIALIZZATI"/>
    <s v="086 - ITALIA"/>
    <n v="1851"/>
    <m/>
    <m/>
    <m/>
    <m/>
    <m/>
    <m/>
    <m/>
    <n v="0"/>
    <n v="202504"/>
    <x v="1"/>
    <x v="0"/>
    <x v="0"/>
    <n v="3730784"/>
    <x v="1"/>
    <x v="0"/>
    <s v="477"/>
    <s v="492"/>
    <s v="492477"/>
    <s v="Classe di rischio 5"/>
    <m/>
    <s v="Classe di rischio 5"/>
  </r>
  <r>
    <n v="329336"/>
    <x v="4"/>
    <x v="4"/>
    <x v="17"/>
    <n v="53850"/>
    <n v="188"/>
    <s v="053850_188"/>
    <s v="Discovery Day"/>
    <s v="Mai valutato"/>
    <m/>
    <s v="202504075610820L"/>
    <n v="1883300028081"/>
    <n v="20250407"/>
    <s v="SPECIAL"/>
    <m/>
    <m/>
    <s v="D     - Dare"/>
    <n v="1085.97"/>
    <n v="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4"/>
    <x v="0"/>
    <x v="0"/>
    <x v="0"/>
    <n v="3001543"/>
    <x v="1"/>
    <x v="1"/>
    <s v="999"/>
    <s v="430"/>
    <s v="430999"/>
    <m/>
    <s v="1"/>
    <s v="Classe di rischio 1"/>
  </r>
  <r>
    <n v="329335"/>
    <x v="4"/>
    <x v="4"/>
    <x v="17"/>
    <n v="53850"/>
    <n v="102"/>
    <s v="053850_102"/>
    <s v="Discovery Day"/>
    <s v="Mai valutato"/>
    <m/>
    <n v="202504077876856"/>
    <n v="1023301264620"/>
    <n v="20250407"/>
    <s v="10 - Emisione assegni circolari e titoli similari vaglia"/>
    <m/>
    <m/>
    <s v="D     - Dare"/>
    <n v="30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334"/>
    <x v="4"/>
    <x v="4"/>
    <x v="17"/>
    <n v="53850"/>
    <n v="268"/>
    <s v="053850_268"/>
    <s v="Discovery Day"/>
    <s v="Mai valutato"/>
    <m/>
    <s v="202504075614079L"/>
    <n v="2683300005043"/>
    <n v="20250407"/>
    <s v="SPECIAL"/>
    <m/>
    <m/>
    <s v="D     - Dare"/>
    <n v="1788.37"/>
    <n v="0"/>
    <n v="1687990"/>
    <n v="3703970792"/>
    <s v="IPER PER TE SRL"/>
    <s v="430 - Imprese produttive"/>
    <s v="471 - COMMERCIO AL DETTAGLIO IN ESERCIZI NON SPECIALIZZATI"/>
    <s v="086 - ITALIA"/>
    <n v="1891"/>
    <m/>
    <m/>
    <m/>
    <m/>
    <m/>
    <m/>
    <m/>
    <n v="0"/>
    <n v="202504"/>
    <x v="2"/>
    <x v="1"/>
    <x v="0"/>
    <n v="1687990"/>
    <x v="1"/>
    <x v="1"/>
    <s v="999"/>
    <s v="430"/>
    <s v="430999"/>
    <m/>
    <s v="1"/>
    <s v="Classe di rischio 1"/>
  </r>
  <r>
    <n v="329333"/>
    <x v="2"/>
    <x v="2"/>
    <x v="17"/>
    <n v="53850"/>
    <n v="149"/>
    <s v="053850_149"/>
    <s v="Discovery Day"/>
    <s v="Mai valutato"/>
    <m/>
    <n v="202504077874784"/>
    <n v="1493300663564"/>
    <n v="20250407"/>
    <s v="AA - Bonifico da e per estero "/>
    <m/>
    <s v="012 - BULGARIA"/>
    <s v="A     - Avere"/>
    <n v="5486"/>
    <n v="0"/>
    <n v="4851736"/>
    <n v="8243781211"/>
    <s v="VITTORIA CAPPELLI SOCIETA' A RESPONSABILITA' LIMITATA SEMPLIFICAT"/>
    <s v="430 - Imprese produttive"/>
    <s v="791 - ATTIVITÀ DELLE AGENZIE DI VIAGGIO E DEI TOUR OPERATOR"/>
    <s v="086 - ITALIA"/>
    <n v="1256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332"/>
    <x v="4"/>
    <x v="4"/>
    <x v="17"/>
    <n v="53850"/>
    <n v="167"/>
    <s v="053850_167"/>
    <s v="Discovery Day"/>
    <s v="Mai valutato"/>
    <m/>
    <s v="202504075611245L"/>
    <n v="1673301674288"/>
    <n v="20250407"/>
    <s v="SPECIAL"/>
    <m/>
    <m/>
    <s v="D     - Dare"/>
    <n v="1269.1199999999999"/>
    <n v="0"/>
    <n v="562079"/>
    <n v="4629890726"/>
    <s v="GRAN MARKET SUD SOCIETA' A RESPONSABILITA' LIMITATA"/>
    <s v="430 - Imprese produttive"/>
    <s v="479 - COMMERCIO AL DETTAGLIO AL DI FUORI DI NEGOZI, BANCHI E MERCATI"/>
    <s v="086 - ITALIA"/>
    <n v="1175"/>
    <m/>
    <m/>
    <m/>
    <m/>
    <m/>
    <m/>
    <m/>
    <n v="0"/>
    <n v="202504"/>
    <x v="0"/>
    <x v="0"/>
    <x v="0"/>
    <n v="562079"/>
    <x v="1"/>
    <x v="1"/>
    <s v="999"/>
    <s v="430"/>
    <s v="430999"/>
    <m/>
    <s v="1"/>
    <s v="Classe di rischio 1"/>
  </r>
  <r>
    <n v="329331"/>
    <x v="4"/>
    <x v="4"/>
    <x v="17"/>
    <n v="53850"/>
    <n v="109"/>
    <s v="053850_109"/>
    <s v="Discovery Day"/>
    <s v="Mai valutato"/>
    <m/>
    <s v="202504075609934L"/>
    <n v="1093306674452"/>
    <n v="20250407"/>
    <s v="SPECIAL"/>
    <m/>
    <m/>
    <s v="D     - Dare"/>
    <n v="1889.77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4"/>
    <x v="1"/>
    <x v="0"/>
    <x v="0"/>
    <m/>
    <x v="0"/>
    <x v="1"/>
    <s v="999"/>
    <s v="430"/>
    <s v="430999"/>
    <m/>
    <s v="1"/>
    <s v="Classe di rischio 1"/>
  </r>
  <r>
    <n v="329330"/>
    <x v="4"/>
    <x v="4"/>
    <x v="17"/>
    <n v="53850"/>
    <n v="109"/>
    <s v="053850_109"/>
    <s v="Discovery Day"/>
    <s v="Mai valutato"/>
    <m/>
    <s v="202504075609859L"/>
    <n v="1093306677007"/>
    <n v="20250407"/>
    <s v="SPECIAL"/>
    <m/>
    <m/>
    <s v="D     - Dare"/>
    <n v="1523.9"/>
    <n v="0"/>
    <n v="3710113"/>
    <n v="8795060725"/>
    <s v="GIAMPA' GROUP S.R.L."/>
    <s v="430 - Imprese produttive"/>
    <s v="561 - RISTORANTI E ATTIVITÀ DI RISTORAZIONE MOBILE"/>
    <s v="086 - ITALIA"/>
    <n v="502"/>
    <m/>
    <m/>
    <m/>
    <m/>
    <m/>
    <m/>
    <m/>
    <n v="0"/>
    <n v="202504"/>
    <x v="1"/>
    <x v="0"/>
    <x v="0"/>
    <n v="3710113"/>
    <x v="1"/>
    <x v="1"/>
    <s v="999"/>
    <s v="430"/>
    <s v="430999"/>
    <m/>
    <s v="1"/>
    <s v="Classe di rischio 1"/>
  </r>
  <r>
    <n v="329329"/>
    <x v="5"/>
    <x v="5"/>
    <x v="17"/>
    <n v="53850"/>
    <n v="268"/>
    <s v="053850_268"/>
    <s v="Discovery Day"/>
    <s v="Mai valutato"/>
    <m/>
    <s v="Vari (07/04/2025)"/>
    <n v="2683300006749"/>
    <n v="20250407"/>
    <s v="03 - Versamento contante cassa continua "/>
    <m/>
    <m/>
    <s v="A     - Avere"/>
    <n v="18760"/>
    <n v="18760"/>
    <n v="1705239"/>
    <s v="PPDMRA59H47I945V"/>
    <s v="PAPADIA MARIA"/>
    <s v="615 - Altre famiglie produttrici"/>
    <s v="477 - COMMERCIO AL DETTAGLIO DI ALTRI PRODOTTI IN ESERCIZI SPECIALIZZATI"/>
    <s v="086 - ITALIA"/>
    <n v="1834"/>
    <m/>
    <m/>
    <m/>
    <m/>
    <m/>
    <m/>
    <m/>
    <n v="0"/>
    <n v="202504"/>
    <x v="4"/>
    <x v="1"/>
    <x v="0"/>
    <n v="1705239"/>
    <x v="1"/>
    <x v="0"/>
    <s v="477"/>
    <s v="615"/>
    <s v="615477"/>
    <s v="Classe di rischio 6"/>
    <m/>
    <s v="Classe di rischio 6"/>
  </r>
  <r>
    <n v="329328"/>
    <x v="4"/>
    <x v="4"/>
    <x v="17"/>
    <n v="53850"/>
    <n v="120"/>
    <s v="053850_120"/>
    <s v="Discovery Day"/>
    <s v="Mai valutato"/>
    <m/>
    <s v="202504075609693L"/>
    <n v="1203300002401"/>
    <n v="20250407"/>
    <s v="SPECIAL"/>
    <m/>
    <m/>
    <s v="D     - Dare"/>
    <n v="1168.03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x v="1"/>
    <x v="0"/>
    <x v="0"/>
    <n v="613876"/>
    <x v="1"/>
    <x v="1"/>
    <s v="999"/>
    <s v="500"/>
    <s v="500999"/>
    <m/>
    <s v="1"/>
    <s v="Classe di rischio 3"/>
  </r>
  <r>
    <n v="329327"/>
    <x v="4"/>
    <x v="4"/>
    <x v="17"/>
    <n v="53850"/>
    <n v="114"/>
    <s v="053850_114"/>
    <s v="Discovery Day"/>
    <s v="Mai valutato"/>
    <m/>
    <n v="202504077876318"/>
    <n v="1143306280636"/>
    <n v="20250407"/>
    <s v="31 - Effetti ritirati "/>
    <m/>
    <m/>
    <s v="D     - Dare"/>
    <n v="212409.61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29326"/>
    <x v="3"/>
    <x v="3"/>
    <x v="17"/>
    <n v="53850"/>
    <n v="103"/>
    <s v="053850_103"/>
    <s v="Discovery Day"/>
    <s v="Mai valutato"/>
    <m/>
    <n v="202504077876891"/>
    <n v="1033306978389"/>
    <n v="20250407"/>
    <s v="G1 - Versamento assegni tratti su altro intermediario "/>
    <m/>
    <m/>
    <s v="A     - Avere"/>
    <n v="440000"/>
    <n v="0"/>
    <n v="4912146"/>
    <n v="8078930727"/>
    <s v="ESTIA SOCIETA' A RESPONSABILITA' LIMITATA"/>
    <s v="430 - Imprese produttive"/>
    <s v="412 - COSTRUZIONE DI EDIFICI RESIDENZIALI E NON RESIDENZIALI"/>
    <s v="086 - ITALIA"/>
    <n v="739"/>
    <m/>
    <m/>
    <m/>
    <m/>
    <m/>
    <m/>
    <m/>
    <n v="0"/>
    <n v="202504"/>
    <x v="0"/>
    <x v="0"/>
    <x v="0"/>
    <m/>
    <x v="0"/>
    <x v="0"/>
    <s v="412"/>
    <s v="430"/>
    <s v="430412"/>
    <s v="Classe di rischio 3"/>
    <m/>
    <s v="Classe di rischio 3"/>
  </r>
  <r>
    <n v="329325"/>
    <x v="5"/>
    <x v="5"/>
    <x v="17"/>
    <n v="53850"/>
    <n v="171"/>
    <s v="053850_171"/>
    <s v="Discovery Day"/>
    <s v="Mai valutato"/>
    <m/>
    <s v="Vari (07/04/2025)"/>
    <n v="1713305728950"/>
    <n v="20250407"/>
    <s v="03 - Versamento contante cassa continua "/>
    <m/>
    <m/>
    <s v="A     - Avere"/>
    <n v="41691.050000000003"/>
    <n v="41691.05000000000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324"/>
    <x v="5"/>
    <x v="5"/>
    <x v="17"/>
    <n v="53850"/>
    <n v="102"/>
    <s v="053850_102"/>
    <s v="Discovery Day"/>
    <s v="Mai valutato"/>
    <m/>
    <n v="202504077876879"/>
    <n v="1023308720537"/>
    <n v="20250407"/>
    <s v="D1 - Versamento di contante "/>
    <m/>
    <m/>
    <s v="A     - Avere"/>
    <n v="47500"/>
    <n v="4750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4"/>
    <x v="0"/>
    <x v="0"/>
    <x v="0"/>
    <n v="4653840"/>
    <x v="1"/>
    <x v="0"/>
    <s v="999"/>
    <s v="430"/>
    <s v="430999"/>
    <m/>
    <s v="1"/>
    <s v="Classe di rischio 1"/>
  </r>
  <r>
    <n v="329323"/>
    <x v="3"/>
    <x v="3"/>
    <x v="17"/>
    <n v="53850"/>
    <n v="161"/>
    <s v="053850_161"/>
    <s v="Discovery Day"/>
    <s v="Mai valutato"/>
    <m/>
    <s v="Vari (07/04/2025)"/>
    <n v="1613300029653"/>
    <n v="20250407"/>
    <s v="VV"/>
    <m/>
    <m/>
    <s v="A     - Avere"/>
    <n v="98360.01"/>
    <n v="75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4"/>
    <x v="1"/>
    <x v="0"/>
    <x v="0"/>
    <n v="4088769"/>
    <x v="1"/>
    <x v="1"/>
    <s v="464"/>
    <s v="430"/>
    <s v="430464"/>
    <s v="Classe di rischio 4"/>
    <m/>
    <s v="Classe di rischio 4"/>
  </r>
  <r>
    <n v="329322"/>
    <x v="4"/>
    <x v="4"/>
    <x v="17"/>
    <n v="53850"/>
    <n v="216"/>
    <s v="053850_216"/>
    <s v="Discovery Day"/>
    <s v="Mai valutato"/>
    <m/>
    <s v="202504075610532L"/>
    <n v="2163300012270"/>
    <n v="20250407"/>
    <s v="SPECIAL"/>
    <m/>
    <m/>
    <s v="D     - Dare"/>
    <n v="2017.05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4"/>
    <x v="1"/>
    <x v="0"/>
    <x v="0"/>
    <m/>
    <x v="0"/>
    <x v="1"/>
    <s v="999"/>
    <s v="430"/>
    <s v="430999"/>
    <m/>
    <s v="1"/>
    <s v="Classe di rischio 1"/>
  </r>
  <r>
    <n v="329321"/>
    <x v="5"/>
    <x v="5"/>
    <x v="17"/>
    <n v="53850"/>
    <n v="102"/>
    <s v="053850_102"/>
    <s v="Discovery Day"/>
    <s v="Mai valutato"/>
    <m/>
    <s v="Vari (07/04/2025)"/>
    <n v="1023308722071"/>
    <n v="20250407"/>
    <s v="VV"/>
    <m/>
    <m/>
    <s v="A     - Avere"/>
    <n v="36910"/>
    <n v="3021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4"/>
    <x v="2"/>
    <x v="1"/>
    <x v="0"/>
    <n v="194802"/>
    <x v="1"/>
    <x v="1"/>
    <s v="477"/>
    <s v="430"/>
    <s v="430477"/>
    <s v="Classe di rischio 3"/>
    <m/>
    <s v="Classe di rischio 3"/>
  </r>
  <r>
    <n v="329320"/>
    <x v="4"/>
    <x v="4"/>
    <x v="17"/>
    <n v="53850"/>
    <n v="109"/>
    <s v="053850_109"/>
    <s v="Discovery Day"/>
    <s v="Mai valutato"/>
    <m/>
    <s v="202504075609896L"/>
    <n v="1093306677028"/>
    <n v="20250407"/>
    <s v="SPECIAL"/>
    <m/>
    <m/>
    <s v="D     - Dare"/>
    <n v="1334.44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4"/>
    <x v="2"/>
    <x v="1"/>
    <x v="0"/>
    <m/>
    <x v="0"/>
    <x v="1"/>
    <s v="999"/>
    <s v="430"/>
    <s v="430999"/>
    <m/>
    <s v="1"/>
    <s v="Classe di rischio 1"/>
  </r>
  <r>
    <n v="329319"/>
    <x v="5"/>
    <x v="5"/>
    <x v="17"/>
    <n v="53850"/>
    <n v="287"/>
    <s v="053850_287"/>
    <s v="Discovery Day"/>
    <s v="Mai valutato"/>
    <m/>
    <s v="Vari (07/04/2025)"/>
    <n v="2873300001853"/>
    <n v="20250407"/>
    <s v="VV"/>
    <m/>
    <m/>
    <s v="A     - Avere"/>
    <n v="138072.9"/>
    <n v="7925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x v="0"/>
    <x v="0"/>
    <x v="0"/>
    <n v="3722213"/>
    <x v="1"/>
    <x v="1"/>
    <s v="463"/>
    <s v="430"/>
    <s v="430463"/>
    <s v="Classe di rischio 3"/>
    <m/>
    <s v="Classe di rischio 3"/>
  </r>
  <r>
    <n v="329318"/>
    <x v="4"/>
    <x v="4"/>
    <x v="17"/>
    <n v="53850"/>
    <n v="102"/>
    <s v="053850_102"/>
    <s v="Discovery Day"/>
    <s v="Mai valutato"/>
    <m/>
    <n v="202504077876859"/>
    <n v="1023308724252"/>
    <n v="20250407"/>
    <s v="54 - Incassi diversi"/>
    <m/>
    <m/>
    <s v="A     - Avere"/>
    <n v="58752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x v="2"/>
    <x v="1"/>
    <x v="0"/>
    <m/>
    <x v="0"/>
    <x v="0"/>
    <s v="412"/>
    <s v="430"/>
    <s v="430412"/>
    <s v="Classe di rischio 3"/>
    <m/>
    <s v="Classe di rischio 3"/>
  </r>
  <r>
    <n v="329317"/>
    <x v="4"/>
    <x v="4"/>
    <x v="17"/>
    <n v="53850"/>
    <n v="267"/>
    <s v="053850_267"/>
    <s v="Discovery Day"/>
    <s v="Mai valutato"/>
    <m/>
    <s v="202504075613806L"/>
    <n v="2673300000258"/>
    <n v="20250407"/>
    <s v="SPECIAL"/>
    <m/>
    <m/>
    <s v="D     - Dare"/>
    <n v="1181.46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4"/>
    <x v="1"/>
    <x v="0"/>
    <x v="0"/>
    <n v="1616725"/>
    <x v="1"/>
    <x v="1"/>
    <s v="999"/>
    <s v="430"/>
    <s v="430999"/>
    <m/>
    <s v="1"/>
    <s v="Classe di rischio 1"/>
  </r>
  <r>
    <n v="329316"/>
    <x v="3"/>
    <x v="3"/>
    <x v="17"/>
    <n v="53850"/>
    <n v="103"/>
    <s v="053850_103"/>
    <s v="Discovery Day"/>
    <s v="Mai valutato"/>
    <m/>
    <n v="202504077876917"/>
    <n v="1033300114330"/>
    <n v="20250407"/>
    <s v="G2 - Versamento assegni tratti sullo stesso intermediario "/>
    <m/>
    <m/>
    <s v="A     - Avere"/>
    <n v="100000"/>
    <n v="0"/>
    <n v="11433"/>
    <s v="RGSNTN73E30A225P"/>
    <s v="RAGUSO ANTONIO"/>
    <s v="615 - Altre famiglie produttrici"/>
    <s v="012 - COLTIVAZIONE DI COLTURE PERMANENTI"/>
    <s v="086 - ITALIA"/>
    <n v="1175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29315"/>
    <x v="2"/>
    <x v="2"/>
    <x v="17"/>
    <n v="53850"/>
    <n v="268"/>
    <s v="053850_268"/>
    <s v="Discovery Day"/>
    <s v="Mai valutato"/>
    <m/>
    <n v="202504077875827"/>
    <n v="2681147800157"/>
    <n v="20250407"/>
    <s v="AA - Bonifico da e per estero "/>
    <m/>
    <s v="027 - FILIPPINE"/>
    <s v="D     - Dare"/>
    <n v="292048.43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314"/>
    <x v="4"/>
    <x v="4"/>
    <x v="17"/>
    <n v="53850"/>
    <n v="117"/>
    <s v="053850_117"/>
    <s v="Discovery Day"/>
    <s v="Mai valutato"/>
    <m/>
    <s v="202504075609766L"/>
    <n v="1173300538726"/>
    <n v="20250407"/>
    <s v="SPECIAL"/>
    <m/>
    <m/>
    <s v="D     - Dare"/>
    <n v="1593.4"/>
    <n v="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4"/>
    <x v="1"/>
    <x v="0"/>
    <x v="0"/>
    <n v="4784989"/>
    <x v="1"/>
    <x v="1"/>
    <s v="999"/>
    <s v="430"/>
    <s v="430999"/>
    <m/>
    <s v="1"/>
    <s v="Classe di rischio 1"/>
  </r>
  <r>
    <n v="329313"/>
    <x v="5"/>
    <x v="5"/>
    <x v="17"/>
    <n v="53850"/>
    <n v="114"/>
    <s v="053850_114"/>
    <s v="Discovery Day"/>
    <s v="Mai valutato"/>
    <m/>
    <n v="202504077876992"/>
    <n v="1143306280621"/>
    <n v="20250407"/>
    <s v="D1 - Versamento di contante "/>
    <m/>
    <m/>
    <s v="A     - Avere"/>
    <n v="53000"/>
    <n v="530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29312"/>
    <x v="4"/>
    <x v="4"/>
    <x v="17"/>
    <n v="53850"/>
    <n v="102"/>
    <s v="053850_102"/>
    <s v="Discovery Day"/>
    <s v="Mai valutato"/>
    <m/>
    <n v="202504077876860"/>
    <n v="1023308724252"/>
    <n v="20250407"/>
    <s v="54 - Incassi diversi"/>
    <m/>
    <m/>
    <s v="A     - Avere"/>
    <n v="881280"/>
    <n v="0"/>
    <n v="4917772"/>
    <n v="8218730722"/>
    <s v="COSTRUZIONI SVILUPPO SOCIETA' A RESPONSABILITA' LIMITATA"/>
    <s v="430 - Imprese produttive"/>
    <s v="412 - COSTRUZIONE DI EDIFICI RESIDENZIALI E NON RESIDENZIALI"/>
    <s v="086 - ITALIA"/>
    <n v="1203"/>
    <m/>
    <m/>
    <m/>
    <m/>
    <m/>
    <m/>
    <m/>
    <n v="0"/>
    <n v="202504"/>
    <x v="2"/>
    <x v="1"/>
    <x v="0"/>
    <m/>
    <x v="0"/>
    <x v="0"/>
    <s v="412"/>
    <s v="430"/>
    <s v="430412"/>
    <s v="Classe di rischio 3"/>
    <m/>
    <s v="Classe di rischio 3"/>
  </r>
  <r>
    <n v="329311"/>
    <x v="5"/>
    <x v="5"/>
    <x v="17"/>
    <n v="53850"/>
    <n v="102"/>
    <s v="053850_102"/>
    <s v="Discovery Day"/>
    <s v="Mai valutato"/>
    <m/>
    <n v="202504057876110"/>
    <n v="1023308722503"/>
    <n v="20250405"/>
    <s v="03 - Versamento contante cassa continua "/>
    <m/>
    <m/>
    <s v="A     - Avere"/>
    <n v="18950"/>
    <n v="189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310"/>
    <x v="2"/>
    <x v="2"/>
    <x v="17"/>
    <n v="53850"/>
    <n v="168"/>
    <s v="053850_168"/>
    <s v="Discovery Day"/>
    <s v="Mai valutato"/>
    <m/>
    <s v="202504045593742L"/>
    <n v="1683306277308"/>
    <n v="20250404"/>
    <s v="AA - Bonifico da e per estero "/>
    <m/>
    <s v="012 - BULGARIA"/>
    <s v="D     - Dare"/>
    <n v="4500"/>
    <n v="0"/>
    <n v="4950606"/>
    <n v="7856760728"/>
    <s v="TRANSPORT 68 SOCIETA' A RESPONSABILITA' LIMITATA"/>
    <s v="430 - Imprese produttive"/>
    <s v="494 - TRASPORTO DI MERCI SU STRADA E SERVIZI DI TRASLOCO"/>
    <s v="086 - ITALIA"/>
    <n v="1926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309"/>
    <x v="4"/>
    <x v="4"/>
    <x v="18"/>
    <n v="53850"/>
    <n v="109"/>
    <s v="053850_109"/>
    <s v="Discovery Day"/>
    <s v="Mai valutato"/>
    <m/>
    <n v="202504047868337"/>
    <n v="1093307072930"/>
    <n v="20250404"/>
    <s v="13 - Addebito per estinzione assegno"/>
    <m/>
    <m/>
    <s v="D     - Dare"/>
    <n v="400000"/>
    <n v="0"/>
    <n v="4505060"/>
    <s v="SCRMRA65R65L220E"/>
    <s v="SCORCA MARIA"/>
    <s v="600 - Famiglie consumatrici"/>
    <m/>
    <s v="086 - ITALIA"/>
    <n v="778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308"/>
    <x v="4"/>
    <x v="4"/>
    <x v="18"/>
    <n v="53850"/>
    <n v="182"/>
    <s v="053850_182"/>
    <s v="Discovery Day"/>
    <s v="Mai valutato"/>
    <m/>
    <n v="202504047867785"/>
    <n v="1823300072312"/>
    <n v="20250404"/>
    <s v="48 - Bonifico in arrivo "/>
    <m/>
    <s v="086 - ITALIA"/>
    <s v="A     - Avere"/>
    <n v="1091696.83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307"/>
    <x v="4"/>
    <x v="4"/>
    <x v="18"/>
    <n v="53850"/>
    <n v="182"/>
    <s v="053850_182"/>
    <s v="Discovery Day"/>
    <s v="Mai valutato"/>
    <m/>
    <n v="202504047869147"/>
    <n v="1823300169483"/>
    <n v="20250404"/>
    <s v="SPECIAL"/>
    <m/>
    <m/>
    <s v="D     - Dare"/>
    <n v="16393.25"/>
    <n v="0"/>
    <n v="4330466"/>
    <n v="2609640731"/>
    <s v="PIELLE COSTRUZIONI S.R.L."/>
    <s v="430 - Imprese produttive"/>
    <s v="412 - COSTRUZIONE DI EDIFICI RESIDENZIALI E NON RESIDENZIALI"/>
    <s v="086 - ITALIA"/>
    <n v="1101"/>
    <m/>
    <m/>
    <m/>
    <m/>
    <m/>
    <m/>
    <m/>
    <n v="0"/>
    <n v="202504"/>
    <x v="2"/>
    <x v="1"/>
    <x v="0"/>
    <m/>
    <x v="0"/>
    <x v="1"/>
    <s v="412"/>
    <s v="430"/>
    <s v="430412"/>
    <s v="Classe di rischio 3"/>
    <m/>
    <s v="Classe di rischio 3"/>
  </r>
  <r>
    <n v="329306"/>
    <x v="5"/>
    <x v="5"/>
    <x v="18"/>
    <n v="53850"/>
    <n v="114"/>
    <s v="053850_114"/>
    <s v="Discovery Day"/>
    <s v="Mai valutato"/>
    <m/>
    <n v="202504047868928"/>
    <n v="1143306280621"/>
    <n v="20250404"/>
    <s v="D1 - Versamento di contante "/>
    <m/>
    <m/>
    <s v="A     - Avere"/>
    <n v="50520"/>
    <n v="50520"/>
    <n v="4658875"/>
    <n v="3230890711"/>
    <s v="FARMACIA SANTA RITA DEI DOTTORI TERESA EGUST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29305"/>
    <x v="5"/>
    <x v="5"/>
    <x v="18"/>
    <n v="53850"/>
    <n v="104"/>
    <s v="053850_104"/>
    <s v="Discovery Day"/>
    <s v="Mai valutato"/>
    <m/>
    <s v="Vari (04/04/2025)"/>
    <n v="1043305922900"/>
    <n v="20250404"/>
    <s v="03 - Versamento contante cassa continua "/>
    <m/>
    <m/>
    <s v="A     - Avere"/>
    <n v="32030"/>
    <n v="3203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4"/>
    <x v="1"/>
    <x v="0"/>
    <x v="0"/>
    <n v="592290"/>
    <x v="1"/>
    <x v="0"/>
    <s v="999"/>
    <s v="615"/>
    <s v="615999"/>
    <m/>
    <s v="1"/>
    <s v="Classe di rischio 3"/>
  </r>
  <r>
    <n v="329304"/>
    <x v="5"/>
    <x v="5"/>
    <x v="18"/>
    <n v="53850"/>
    <n v="116"/>
    <s v="053850_116"/>
    <s v="Discovery Day"/>
    <s v="Mai valutato"/>
    <m/>
    <s v="Vari (04/04/2025)"/>
    <n v="1423300307298"/>
    <n v="20250404"/>
    <s v="03 - Versamento contante cassa continua "/>
    <m/>
    <m/>
    <s v="A     - Avere"/>
    <n v="47665"/>
    <n v="47665"/>
    <n v="4190581"/>
    <n v="5161670723"/>
    <s v="LADYES S.R.L."/>
    <s v="430 - Imprese produttive"/>
    <s v="563 - BAR E ALTRI ESERCIZI SIMILI SENZA CUCINA"/>
    <s v="086 - ITALIA"/>
    <n v="1612"/>
    <m/>
    <m/>
    <m/>
    <m/>
    <m/>
    <m/>
    <m/>
    <n v="0"/>
    <n v="202504"/>
    <x v="3"/>
    <x v="1"/>
    <x v="0"/>
    <n v="4190581"/>
    <x v="1"/>
    <x v="0"/>
    <s v="999"/>
    <s v="430"/>
    <s v="430999"/>
    <m/>
    <s v="1"/>
    <s v="Classe di rischio 1"/>
  </r>
  <r>
    <n v="329303"/>
    <x v="5"/>
    <x v="5"/>
    <x v="18"/>
    <n v="53850"/>
    <n v="153"/>
    <s v="053850_153"/>
    <s v="Discovery Day"/>
    <s v="Mai valutato"/>
    <m/>
    <s v="Vari (04/04/2025)"/>
    <n v="1533300663089"/>
    <n v="20250404"/>
    <s v="D1 - Versamento di contante "/>
    <m/>
    <m/>
    <s v="A     - Avere"/>
    <n v="32070"/>
    <n v="32070"/>
    <n v="4911375"/>
    <s v="VNCCLN96P58A509F"/>
    <s v="VINCIGUERRA CAROLINA"/>
    <s v="615 - Altre famiglie produttrici"/>
    <s v="472 - COMMERCIO AL DETTAGLIO DI PRODOTTI ALIMENTARI, BEVANDE E TABACCO IN ESERCIZI SPECIALIZZATI"/>
    <s v="086 - ITALIA"/>
    <n v="1055"/>
    <m/>
    <m/>
    <m/>
    <m/>
    <m/>
    <m/>
    <m/>
    <n v="0"/>
    <n v="202504"/>
    <x v="1"/>
    <x v="0"/>
    <x v="0"/>
    <n v="4911375"/>
    <x v="1"/>
    <x v="0"/>
    <s v="999"/>
    <s v="615"/>
    <s v="615999"/>
    <m/>
    <s v="1"/>
    <s v="Classe di rischio 3"/>
  </r>
  <r>
    <n v="329302"/>
    <x v="5"/>
    <x v="5"/>
    <x v="18"/>
    <n v="53850"/>
    <n v="171"/>
    <s v="053850_171"/>
    <s v="Discovery Day"/>
    <s v="Mai valutato"/>
    <m/>
    <s v="Vari (04/04/2025)"/>
    <n v="1713302214147"/>
    <n v="20250404"/>
    <s v="03 - Versamento contante cassa continua "/>
    <m/>
    <m/>
    <s v="A     - Avere"/>
    <n v="123439.35"/>
    <n v="123439.3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29301"/>
    <x v="5"/>
    <x v="5"/>
    <x v="18"/>
    <n v="53850"/>
    <n v="273"/>
    <s v="053850_273"/>
    <s v="Discovery Day"/>
    <s v="Mai valutato"/>
    <m/>
    <s v="Vari (04/04/2025)"/>
    <n v="2733300000498"/>
    <n v="20250404"/>
    <s v="03 - Versamento contante cassa continua "/>
    <m/>
    <m/>
    <s v="A     - Avere"/>
    <n v="27395"/>
    <n v="27395"/>
    <n v="1617415"/>
    <n v="2262360692"/>
    <s v="ALL GAMES S.R.L."/>
    <s v="430 - Imprese produttive"/>
    <s v="920 - ATTIVITÀ RIGUARDANTI LE LOTTERIE, LE SCOMMESSE, LE CASE DA GIOCO"/>
    <s v="086 - ITALIA"/>
    <n v="1765"/>
    <m/>
    <m/>
    <m/>
    <m/>
    <m/>
    <m/>
    <m/>
    <n v="0"/>
    <n v="202504"/>
    <x v="1"/>
    <x v="0"/>
    <x v="0"/>
    <n v="1617415"/>
    <x v="1"/>
    <x v="0"/>
    <s v="920"/>
    <s v="430"/>
    <s v="430920"/>
    <s v="Classe di rischio 4"/>
    <m/>
    <s v="Classe di rischio 4"/>
  </r>
  <r>
    <n v="329300"/>
    <x v="3"/>
    <x v="3"/>
    <x v="18"/>
    <n v="53850"/>
    <n v="171"/>
    <s v="053850_171"/>
    <s v="Discovery Day"/>
    <s v="Mai valutato"/>
    <m/>
    <s v="Vari (04/04/2025)"/>
    <n v="1713305728950"/>
    <n v="20250404"/>
    <s v="03 - Versamento contante cassa continua "/>
    <m/>
    <m/>
    <s v="A     - Avere"/>
    <n v="303602.48"/>
    <n v="303602.4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299"/>
    <x v="4"/>
    <x v="4"/>
    <x v="18"/>
    <n v="53850"/>
    <n v="131"/>
    <s v="053850_131"/>
    <s v="Discovery Day"/>
    <s v="Mai valutato"/>
    <m/>
    <s v="202504045555881L"/>
    <n v="1313300002966"/>
    <n v="20250404"/>
    <s v="SPECIAL"/>
    <m/>
    <m/>
    <s v="D     - Dare"/>
    <n v="3519.16"/>
    <n v="0"/>
    <n v="4264523"/>
    <s v="PLCNTN78C19F104V"/>
    <s v="PLACIDO ANTONIO"/>
    <s v="600 - Famiglie consumatrici"/>
    <m/>
    <s v="086 - ITALIA"/>
    <n v="1345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298"/>
    <x v="3"/>
    <x v="3"/>
    <x v="18"/>
    <n v="53850"/>
    <n v="126"/>
    <s v="053850_126"/>
    <s v="Discovery Day"/>
    <s v="Mai valutato"/>
    <m/>
    <n v="202504047868976"/>
    <n v="1263300002892"/>
    <n v="20250404"/>
    <s v="G1 - Versamento assegni tratti su altro intermediario "/>
    <m/>
    <m/>
    <s v="A     - Avere"/>
    <n v="150000"/>
    <n v="0"/>
    <n v="4846590"/>
    <s v="MTTVRN74A70L219F"/>
    <s v="METTA VALERIA ANNA"/>
    <s v="600 - Famiglie consumatrici"/>
    <m/>
    <s v="086 - ITALIA"/>
    <n v="1241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297"/>
    <x v="5"/>
    <x v="5"/>
    <x v="18"/>
    <n v="53850"/>
    <n v="102"/>
    <s v="053850_102"/>
    <s v="Discovery Day"/>
    <s v="Mai valutato"/>
    <m/>
    <n v="202504047868266"/>
    <n v="1023308722503"/>
    <n v="20250404"/>
    <s v="03 - Versamento contante cassa continua "/>
    <m/>
    <m/>
    <s v="A     - Avere"/>
    <n v="29730"/>
    <n v="297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296"/>
    <x v="3"/>
    <x v="3"/>
    <x v="18"/>
    <n v="53850"/>
    <n v="116"/>
    <s v="053850_116"/>
    <s v="Discovery Day"/>
    <s v="Mai valutato"/>
    <m/>
    <s v="Vari (04/04/2025)"/>
    <n v="1093306674353"/>
    <n v="20250404"/>
    <s v="VV"/>
    <m/>
    <m/>
    <s v="A     - Avere"/>
    <n v="131630"/>
    <n v="0"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4"/>
    <x v="1"/>
    <x v="0"/>
    <x v="0"/>
    <m/>
    <x v="0"/>
    <x v="1"/>
    <s v="451"/>
    <s v="430"/>
    <s v="430451"/>
    <s v="Classe di rischio 3"/>
    <m/>
    <s v="Classe di rischio 3"/>
  </r>
  <r>
    <n v="329295"/>
    <x v="4"/>
    <x v="4"/>
    <x v="18"/>
    <n v="53850"/>
    <n v="198"/>
    <s v="053850_198"/>
    <s v="Discovery Day"/>
    <s v="Mai valutato"/>
    <m/>
    <s v="202504045561727L"/>
    <n v="1983300001378"/>
    <n v="20250404"/>
    <s v="SPECIAL"/>
    <m/>
    <m/>
    <s v="D     - Dare"/>
    <n v="4300.62"/>
    <n v="0"/>
    <n v="4251364"/>
    <s v="BCCGRZ39C46I158O"/>
    <s v="BICCARI GRAZIA"/>
    <s v="600 - Famiglie consumatrici"/>
    <m/>
    <s v="086 - ITALIA"/>
    <n v="1718"/>
    <m/>
    <m/>
    <m/>
    <m/>
    <m/>
    <m/>
    <m/>
    <n v="0"/>
    <n v="202504"/>
    <x v="4"/>
    <x v="1"/>
    <x v="0"/>
    <m/>
    <x v="0"/>
    <x v="1"/>
    <s v="999"/>
    <s v="600"/>
    <s v="600999"/>
    <s v="Classe di rischio 7"/>
    <m/>
    <s v="Classe di rischio 7"/>
  </r>
  <r>
    <n v="329294"/>
    <x v="2"/>
    <x v="2"/>
    <x v="18"/>
    <n v="53850"/>
    <n v="145"/>
    <s v="053850_145"/>
    <s v="Discovery Day"/>
    <s v="Mai valutato"/>
    <m/>
    <n v="202504047867699"/>
    <n v="1453300003997"/>
    <n v="20250404"/>
    <s v="AA - Bonifico da e per estero "/>
    <m/>
    <s v="012 - BULGARIA"/>
    <s v="A     - Avere"/>
    <n v="11000"/>
    <n v="0"/>
    <n v="3737833"/>
    <n v="10171711210"/>
    <s v="PUNTO BIBITE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x v="1"/>
    <x v="0"/>
    <x v="0"/>
    <m/>
    <x v="0"/>
    <x v="0"/>
    <s v="463"/>
    <s v="430"/>
    <s v="430463"/>
    <s v="Classe di rischio 3"/>
    <m/>
    <s v="Classe di rischio 3"/>
  </r>
  <r>
    <n v="329293"/>
    <x v="4"/>
    <x v="4"/>
    <x v="18"/>
    <n v="53850"/>
    <n v="109"/>
    <s v="053850_109"/>
    <s v="Discovery Day"/>
    <s v="Mai valutato"/>
    <m/>
    <n v="202504047868337"/>
    <n v="1093307072930"/>
    <n v="20250404"/>
    <s v="13 - Addebito per estinzione assegno"/>
    <m/>
    <m/>
    <s v="D     - Dare"/>
    <n v="400000"/>
    <n v="0"/>
    <n v="4439527"/>
    <s v="MTTMCR62M11L220K"/>
    <s v="MATTIACE MERCURINO"/>
    <s v="600 - Famiglie consumatrici"/>
    <m/>
    <s v="086 - ITALIA"/>
    <n v="778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292"/>
    <x v="4"/>
    <x v="4"/>
    <x v="18"/>
    <n v="53850"/>
    <n v="117"/>
    <s v="053850_117"/>
    <s v="Discovery Day"/>
    <s v="Mai valutato"/>
    <m/>
    <n v="202504047867413"/>
    <n v="1173300536339"/>
    <n v="20250404"/>
    <s v="48 - Bonifico in arrivo "/>
    <m/>
    <s v="086 - ITALIA"/>
    <s v="A     - Avere"/>
    <n v="243955.63"/>
    <n v="0"/>
    <n v="3028778"/>
    <s v="DLMCRL58T29L049W"/>
    <s v="DEL MARE CARLO"/>
    <s v="600 - Famiglie consumatrici"/>
    <m/>
    <s v="086 - ITALIA"/>
    <n v="1772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291"/>
    <x v="4"/>
    <x v="4"/>
    <x v="18"/>
    <n v="53850"/>
    <n v="102"/>
    <s v="053850_102"/>
    <s v="Discovery Day"/>
    <s v="Mai valutato"/>
    <m/>
    <n v="202504047868273"/>
    <n v="1023308726574"/>
    <n v="20250404"/>
    <s v="13 - Addebito per estinzione assegno"/>
    <m/>
    <m/>
    <s v="D     - Dare"/>
    <n v="600000"/>
    <n v="0"/>
    <n v="403527"/>
    <s v="SQCNCL77A22C134E"/>
    <s v="SQUICCIARINI NICOLA"/>
    <s v="615 - Altre famiglie produttrici"/>
    <s v="011 - COLTIVAZIONE DI COLTURE AGRICOLE NON PERMANENTI"/>
    <s v="086 - ITALIA"/>
    <n v="1110"/>
    <m/>
    <m/>
    <m/>
    <m/>
    <m/>
    <m/>
    <m/>
    <n v="0"/>
    <n v="202504"/>
    <x v="1"/>
    <x v="0"/>
    <x v="0"/>
    <n v="403527"/>
    <x v="1"/>
    <x v="0"/>
    <s v="999"/>
    <s v="615"/>
    <s v="615999"/>
    <m/>
    <s v="1"/>
    <s v="Classe di rischio 3"/>
  </r>
  <r>
    <n v="329290"/>
    <x v="4"/>
    <x v="4"/>
    <x v="18"/>
    <n v="53850"/>
    <n v="102"/>
    <s v="053850_102"/>
    <s v="Discovery Day"/>
    <s v="Mai valutato"/>
    <m/>
    <n v="202504047868775"/>
    <n v="1503300003301"/>
    <n v="20250404"/>
    <s v="50 - Pagamenti diversi"/>
    <m/>
    <m/>
    <s v="D     - Dare"/>
    <n v="1250003.8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289"/>
    <x v="3"/>
    <x v="3"/>
    <x v="18"/>
    <n v="53850"/>
    <n v="128"/>
    <s v="053850_128"/>
    <s v="Discovery Day"/>
    <s v="Mai valutato"/>
    <m/>
    <s v="Vari (04/04/2025)"/>
    <n v="1283300001665"/>
    <n v="20250404"/>
    <s v="VV"/>
    <m/>
    <m/>
    <s v="A     - Avere"/>
    <n v="105722.96"/>
    <n v="303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4"/>
    <x v="1"/>
    <x v="0"/>
    <x v="0"/>
    <m/>
    <x v="0"/>
    <x v="1"/>
    <s v="999"/>
    <s v="430"/>
    <s v="430999"/>
    <m/>
    <s v="1"/>
    <s v="Classe di rischio 1"/>
  </r>
  <r>
    <n v="329288"/>
    <x v="4"/>
    <x v="4"/>
    <x v="18"/>
    <n v="53850"/>
    <n v="102"/>
    <s v="053850_102"/>
    <s v="Discovery Day"/>
    <s v="Mai valutato"/>
    <m/>
    <n v="202504047867071"/>
    <n v="1503300003301"/>
    <n v="20250404"/>
    <s v="48 - Bonifico in arrivo "/>
    <m/>
    <s v="086 - ITALIA"/>
    <s v="A     - Avere"/>
    <n v="1250004"/>
    <n v="0"/>
    <n v="4992759"/>
    <n v="2853230429"/>
    <s v="ARISTON S.P.A."/>
    <s v="430 - Imprese produttive"/>
    <s v="279 - FABBRICAZIONE DI ALTRE APPARECCHIATURE ELETTRICHE"/>
    <s v="086 - ITALIA"/>
    <n v="739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287"/>
    <x v="4"/>
    <x v="4"/>
    <x v="18"/>
    <n v="53850"/>
    <n v="102"/>
    <s v="053850_102"/>
    <s v="Discovery Day"/>
    <s v="Mai valutato"/>
    <m/>
    <n v="202504047868273"/>
    <n v="1023308726574"/>
    <n v="20250404"/>
    <s v="13 - Addebito per estinzione assegno"/>
    <m/>
    <m/>
    <s v="D     - Dare"/>
    <n v="600000"/>
    <n v="0"/>
    <n v="46622"/>
    <s v="SQCNTN46D15A225Z"/>
    <s v="SQUICCIARINI ANTONIO"/>
    <s v="615 - Altre famiglie produttrici"/>
    <s v="011 - COLTIVAZIONE DI COLTURE AGRICOLE NON PERMANENTI"/>
    <s v="086 - ITALIA"/>
    <n v="580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29286"/>
    <x v="4"/>
    <x v="4"/>
    <x v="18"/>
    <n v="53850"/>
    <n v="268"/>
    <s v="053850_268"/>
    <s v="Discovery Day"/>
    <s v="Mai valutato"/>
    <m/>
    <n v="202504047869226"/>
    <n v="2683300005239"/>
    <n v="20250404"/>
    <s v="SPECIAL"/>
    <m/>
    <m/>
    <s v="D     - Dare"/>
    <n v="99198.79"/>
    <n v="0"/>
    <n v="1600096"/>
    <s v="NSANNZ36R11F537B"/>
    <s v="NASO NUNZIO"/>
    <s v="600 - Famiglie consumatrici"/>
    <m/>
    <s v="086 - ITALIA"/>
    <n v="1757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285"/>
    <x v="2"/>
    <x v="2"/>
    <x v="18"/>
    <n v="53850"/>
    <n v="131"/>
    <s v="053850_131"/>
    <s v="Discovery Day"/>
    <s v="Mai valutato"/>
    <m/>
    <n v="202504047867631"/>
    <n v="1313300001588"/>
    <n v="20250404"/>
    <s v="AA - Bonifico da e per estero "/>
    <m/>
    <s v="261 - CROAZIA"/>
    <s v="A     - Avere"/>
    <n v="17730"/>
    <n v="0"/>
    <n v="4121868"/>
    <n v="5913290630"/>
    <s v="C.M.D. COSTRUZIONI MOTORI DIESEL S.P.A."/>
    <s v="430 - Imprese produttive"/>
    <s v="256 - TRATTAMENTO E RIVESTIMENTO DEI METALLI, LAVORI DI MECCANICA GENERALE"/>
    <s v="086 - ITALIA"/>
    <n v="739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284"/>
    <x v="3"/>
    <x v="3"/>
    <x v="18"/>
    <n v="53850"/>
    <n v="171"/>
    <s v="053850_171"/>
    <s v="Discovery Day"/>
    <s v="Mai valutato"/>
    <m/>
    <s v="Vari (04/04/2025)"/>
    <n v="1713302214147"/>
    <n v="20250404"/>
    <s v="03 - Versamento contante cassa continua "/>
    <m/>
    <m/>
    <s v="A     - Avere"/>
    <n v="123439.35"/>
    <n v="123439.3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29283"/>
    <x v="5"/>
    <x v="5"/>
    <x v="18"/>
    <n v="53850"/>
    <n v="171"/>
    <s v="053850_171"/>
    <s v="Discovery Day"/>
    <s v="Mai valutato"/>
    <m/>
    <s v="Vari (04/04/2025)"/>
    <n v="1713305728950"/>
    <n v="20250404"/>
    <s v="03 - Versamento contante cassa continua "/>
    <m/>
    <m/>
    <s v="A     - Avere"/>
    <n v="303602.48"/>
    <n v="303602.4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282"/>
    <x v="4"/>
    <x v="4"/>
    <x v="18"/>
    <n v="53850"/>
    <n v="114"/>
    <s v="053850_114"/>
    <s v="Discovery Day"/>
    <s v="Mai valutato"/>
    <m/>
    <n v="202504047866860"/>
    <n v="1143306285135"/>
    <n v="20250404"/>
    <s v="26 - Bonifico in partenza "/>
    <m/>
    <s v="086 - ITALIA"/>
    <s v="D     - Dare"/>
    <n v="100000"/>
    <n v="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4"/>
    <x v="1"/>
    <x v="0"/>
    <x v="0"/>
    <n v="3730898"/>
    <x v="1"/>
    <x v="0"/>
    <s v="477"/>
    <s v="615"/>
    <s v="615477"/>
    <s v="Classe di rischio 6"/>
    <m/>
    <s v="Classe di rischio 6"/>
  </r>
  <r>
    <n v="329281"/>
    <x v="4"/>
    <x v="4"/>
    <x v="18"/>
    <n v="53850"/>
    <n v="131"/>
    <s v="053850_131"/>
    <s v="Discovery Day"/>
    <s v="Mai valutato"/>
    <m/>
    <s v="202504045555881L"/>
    <n v="1313300002966"/>
    <n v="20250404"/>
    <s v="SPECIAL"/>
    <m/>
    <m/>
    <s v="D     - Dare"/>
    <n v="3519.16"/>
    <n v="0"/>
    <n v="4053961"/>
    <s v="SRRRSO55B58H307X"/>
    <s v="SERRAVALLO ROSA"/>
    <s v="600 - Famiglie consumatrici"/>
    <m/>
    <s v="086 - ITALIA"/>
    <n v="826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280"/>
    <x v="4"/>
    <x v="4"/>
    <x v="18"/>
    <n v="53850"/>
    <n v="273"/>
    <s v="053850_273"/>
    <s v="Discovery Day"/>
    <s v="Mai valutato"/>
    <m/>
    <n v="202504047867933"/>
    <n v="2733300010292"/>
    <n v="20250404"/>
    <s v="48 - Bonifico in arrivo "/>
    <m/>
    <s v="086 - ITALIA"/>
    <s v="A     - Avere"/>
    <n v="320000"/>
    <n v="0"/>
    <n v="1687356"/>
    <s v="DPTDRD99B18E372T"/>
    <s v="DI PETTA EDOARDO"/>
    <s v="600 - Famiglie consumatrici"/>
    <m/>
    <s v="086 - ITALIA"/>
    <n v="1295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279"/>
    <x v="5"/>
    <x v="5"/>
    <x v="18"/>
    <n v="53850"/>
    <n v="128"/>
    <s v="053850_128"/>
    <s v="Discovery Day"/>
    <s v="Mai valutato"/>
    <m/>
    <s v="Vari (04/04/2025)"/>
    <n v="1283300003941"/>
    <n v="20250404"/>
    <s v="VV"/>
    <m/>
    <m/>
    <s v="A     - Avere"/>
    <n v="46650"/>
    <n v="4665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4"/>
    <x v="1"/>
    <x v="0"/>
    <x v="0"/>
    <n v="4916499"/>
    <x v="1"/>
    <x v="1"/>
    <s v="999"/>
    <s v="615"/>
    <s v="615999"/>
    <m/>
    <s v="1"/>
    <s v="Classe di rischio 3"/>
  </r>
  <r>
    <n v="329278"/>
    <x v="4"/>
    <x v="4"/>
    <x v="18"/>
    <n v="53850"/>
    <n v="286"/>
    <s v="053850_286"/>
    <s v="Discovery Day"/>
    <s v="Mai valutato"/>
    <m/>
    <n v="202504047866977"/>
    <n v="2863300003269"/>
    <n v="20250404"/>
    <s v="26 - Bonifico in partenza "/>
    <m/>
    <s v="086 - ITALIA"/>
    <s v="D     - Dare"/>
    <n v="3760894.53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277"/>
    <x v="5"/>
    <x v="5"/>
    <x v="18"/>
    <n v="53850"/>
    <n v="174"/>
    <s v="053850_174"/>
    <s v="Discovery Day"/>
    <s v="Mai valutato"/>
    <m/>
    <s v="Vari (04/04/2025)"/>
    <n v="1743302879903"/>
    <n v="20250404"/>
    <s v="VV"/>
    <m/>
    <m/>
    <s v="A     - Avere"/>
    <n v="55724.92"/>
    <n v="5100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4"/>
    <x v="0"/>
    <x v="0"/>
    <x v="0"/>
    <n v="4928259"/>
    <x v="1"/>
    <x v="1"/>
    <s v="463"/>
    <s v="430"/>
    <s v="430463"/>
    <s v="Classe di rischio 3"/>
    <m/>
    <s v="Classe di rischio 3"/>
  </r>
  <r>
    <n v="329276"/>
    <x v="4"/>
    <x v="4"/>
    <x v="18"/>
    <n v="53850"/>
    <n v="153"/>
    <s v="053850_153"/>
    <s v="Discovery Day"/>
    <s v="Mai valutato"/>
    <m/>
    <n v="202504047866805"/>
    <n v="1533300662905"/>
    <n v="20250404"/>
    <s v="26 - Bonifico in partenza "/>
    <m/>
    <s v="086 - ITALIA"/>
    <s v="D     - Dare"/>
    <n v="73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4"/>
    <x v="1"/>
    <x v="0"/>
    <x v="0"/>
    <m/>
    <x v="0"/>
    <x v="0"/>
    <s v="236"/>
    <s v="430"/>
    <s v="430236"/>
    <s v="Classe di rischio 3"/>
    <m/>
    <s v="Classe di rischio 3"/>
  </r>
  <r>
    <n v="329275"/>
    <x v="5"/>
    <x v="5"/>
    <x v="18"/>
    <n v="53850"/>
    <n v="181"/>
    <s v="053850_181"/>
    <s v="Discovery Day"/>
    <s v="Mai valutato"/>
    <m/>
    <n v="202504047869135"/>
    <n v="1813301029924"/>
    <n v="20250404"/>
    <s v="D1 - Versamento di contante "/>
    <m/>
    <m/>
    <s v="A     - Avere"/>
    <n v="32340"/>
    <n v="32340"/>
    <n v="4948468"/>
    <s v="BRGCRL94M31L109B"/>
    <s v="BORAGINE CARLO"/>
    <s v="615 - Altre famiglie produttrici"/>
    <s v="472 - COMMERCIO AL DETTAGLIO DI PRODOTTI ALIMENTARI, BEVANDE E TABACCO IN ESERCIZI SPECIALIZZATI"/>
    <s v="086 - ITALIA"/>
    <n v="1943"/>
    <m/>
    <m/>
    <m/>
    <m/>
    <m/>
    <m/>
    <m/>
    <n v="0"/>
    <n v="202504"/>
    <x v="4"/>
    <x v="1"/>
    <x v="0"/>
    <n v="4948468"/>
    <x v="1"/>
    <x v="0"/>
    <s v="999"/>
    <s v="615"/>
    <s v="615999"/>
    <m/>
    <s v="1"/>
    <s v="Classe di rischio 3"/>
  </r>
  <r>
    <n v="329274"/>
    <x v="6"/>
    <x v="6"/>
    <x v="18"/>
    <n v="53850"/>
    <n v="226"/>
    <s v="053850_226"/>
    <s v="Discovery Day"/>
    <s v="Mai valutato"/>
    <m/>
    <n v="202504047867639"/>
    <n v="1453300003928"/>
    <n v="20250404"/>
    <s v="AA - Bonifico da e per estero "/>
    <m/>
    <s v="071 - SVIZZERA"/>
    <s v="A     - Avere"/>
    <n v="48000"/>
    <n v="0"/>
    <n v="3726295"/>
    <n v="10503411216"/>
    <s v="MHARE S.R.L."/>
    <s v="430 - Imprese produttive"/>
    <s v="721 - RICERCA E SVILUPPO SPERIMENTALE NEL CAMPO DELLE SCIENZE NATURALI E DELL'INGEGNERIA"/>
    <s v="086 - ITALIA"/>
    <n v="1932"/>
    <m/>
    <m/>
    <m/>
    <m/>
    <m/>
    <m/>
    <m/>
    <n v="0"/>
    <n v="202504"/>
    <x v="3"/>
    <x v="1"/>
    <x v="0"/>
    <m/>
    <x v="0"/>
    <x v="0"/>
    <s v="999"/>
    <s v="430"/>
    <s v="430999"/>
    <m/>
    <s v="1"/>
    <s v="Classe di rischio 1"/>
  </r>
  <r>
    <n v="329273"/>
    <x v="4"/>
    <x v="4"/>
    <x v="18"/>
    <n v="53850"/>
    <n v="106"/>
    <s v="053850_106"/>
    <s v="Discovery Day"/>
    <s v="Mai valutato"/>
    <m/>
    <n v="202504047867099"/>
    <n v="1063304957810"/>
    <n v="20250404"/>
    <s v="48 - Bonifico in arrivo "/>
    <m/>
    <s v="086 - ITALIA"/>
    <s v="A     - Avere"/>
    <n v="38623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272"/>
    <x v="4"/>
    <x v="4"/>
    <x v="18"/>
    <n v="53850"/>
    <n v="134"/>
    <s v="053850_134"/>
    <s v="Discovery Day"/>
    <s v="Mai valutato"/>
    <m/>
    <s v="202504045562917L"/>
    <n v="1343300002838"/>
    <n v="20250404"/>
    <s v="SPECIAL"/>
    <m/>
    <m/>
    <s v="D     - Dare"/>
    <n v="2746.26"/>
    <n v="0"/>
    <n v="4917006"/>
    <s v="KRYSTL66E53Z138T"/>
    <s v="KRYSHCHUCK SVITLANA"/>
    <s v="600 - Famiglie consumatrici"/>
    <m/>
    <s v="086 - ITALIA"/>
    <n v="1659"/>
    <m/>
    <m/>
    <m/>
    <m/>
    <m/>
    <m/>
    <m/>
    <n v="0"/>
    <n v="202504"/>
    <x v="3"/>
    <x v="1"/>
    <x v="0"/>
    <m/>
    <x v="0"/>
    <x v="1"/>
    <s v="999"/>
    <s v="600"/>
    <s v="600999"/>
    <s v="Classe di rischio 7"/>
    <m/>
    <s v="Classe di rischio 7"/>
  </r>
  <r>
    <n v="329271"/>
    <x v="5"/>
    <x v="5"/>
    <x v="18"/>
    <n v="53850"/>
    <n v="264"/>
    <s v="053850_264"/>
    <s v="Discovery Day"/>
    <s v="Mai valutato"/>
    <m/>
    <s v="Vari (04/04/2025)"/>
    <n v="2643300002171"/>
    <n v="20250404"/>
    <s v="03 - Versamento contante cassa continua "/>
    <m/>
    <m/>
    <s v="A     - Avere"/>
    <n v="33040"/>
    <n v="3304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s v="086 - ITALIA"/>
    <n v="936"/>
    <m/>
    <m/>
    <m/>
    <m/>
    <m/>
    <m/>
    <m/>
    <n v="0"/>
    <n v="202504"/>
    <x v="0"/>
    <x v="0"/>
    <x v="0"/>
    <n v="1705273"/>
    <x v="1"/>
    <x v="0"/>
    <s v="477"/>
    <s v="492"/>
    <s v="492477"/>
    <s v="Classe di rischio 5"/>
    <m/>
    <s v="Classe di rischio 5"/>
  </r>
  <r>
    <n v="329270"/>
    <x v="3"/>
    <x v="3"/>
    <x v="18"/>
    <n v="53850"/>
    <n v="126"/>
    <s v="053850_126"/>
    <s v="Discovery Day"/>
    <s v="Mai valutato"/>
    <m/>
    <n v="202504047868976"/>
    <n v="1263300002892"/>
    <n v="20250404"/>
    <s v="G1 - Versamento assegni tratti su altro intermediario "/>
    <m/>
    <m/>
    <s v="A     - Avere"/>
    <n v="150000"/>
    <n v="0"/>
    <n v="4846586"/>
    <s v="PTRFCR71H12B619G"/>
    <s v="PETRILLI FELICE ROBERTO"/>
    <s v="600 - Famiglie consumatrici"/>
    <m/>
    <s v="086 - ITALIA"/>
    <n v="1241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269"/>
    <x v="4"/>
    <x v="4"/>
    <x v="18"/>
    <n v="53850"/>
    <n v="147"/>
    <s v="053850_147"/>
    <s v="Discovery Day"/>
    <s v="Mai valutato"/>
    <m/>
    <n v="202504047869032"/>
    <n v="1473300003231"/>
    <n v="20250404"/>
    <s v="SPECIAL"/>
    <m/>
    <m/>
    <s v="D     - Dare"/>
    <n v="57836.480000000003"/>
    <n v="0"/>
    <n v="4983955"/>
    <m/>
    <s v="PROCEDURA ESECUTIVA IMMOBILIARE N. 55 2019 TRIB. NAPOLI NORD"/>
    <s v="501 - Istituzioni ed enti con finalita' di assistenza, beneficenza, istruzione, culturali, sindacali, politiche, sportive, ricreative e simili"/>
    <m/>
    <s v="086 - ITALIA"/>
    <n v="1356"/>
    <m/>
    <m/>
    <m/>
    <m/>
    <m/>
    <m/>
    <m/>
    <n v="0"/>
    <n v="202504"/>
    <x v="0"/>
    <x v="0"/>
    <x v="0"/>
    <m/>
    <x v="0"/>
    <x v="1"/>
    <s v="999"/>
    <s v="501"/>
    <s v="501999"/>
    <s v="Classe di rischio 3"/>
    <m/>
    <s v="Classe di rischio 3"/>
  </r>
  <r>
    <n v="329268"/>
    <x v="4"/>
    <x v="4"/>
    <x v="18"/>
    <n v="53850"/>
    <n v="198"/>
    <s v="053850_198"/>
    <s v="Discovery Day"/>
    <s v="Mai valutato"/>
    <m/>
    <s v="202504045561727L"/>
    <n v="1983300001378"/>
    <n v="20250404"/>
    <s v="SPECIAL"/>
    <m/>
    <m/>
    <s v="D     - Dare"/>
    <n v="4300.62"/>
    <n v="0"/>
    <n v="4409914"/>
    <s v="LNGBRN43D02I158G"/>
    <s v="LANGIALONGA BRUNO"/>
    <s v="600 - Famiglie consumatrici"/>
    <m/>
    <s v="086 - ITALIA"/>
    <n v="1718"/>
    <m/>
    <m/>
    <m/>
    <m/>
    <m/>
    <m/>
    <m/>
    <n v="0"/>
    <n v="202504"/>
    <x v="1"/>
    <x v="0"/>
    <x v="0"/>
    <m/>
    <x v="0"/>
    <x v="1"/>
    <s v="999"/>
    <s v="600"/>
    <s v="600999"/>
    <s v="Classe di rischio 7"/>
    <m/>
    <s v="Classe di rischio 7"/>
  </r>
  <r>
    <n v="329267"/>
    <x v="3"/>
    <x v="3"/>
    <x v="18"/>
    <n v="53850"/>
    <n v="175"/>
    <s v="053850_175"/>
    <s v="Discovery Day"/>
    <s v="Mai valutato"/>
    <m/>
    <s v="Vari (04/04/2025)"/>
    <n v="1753302201452"/>
    <n v="20250404"/>
    <s v="VV"/>
    <m/>
    <m/>
    <s v="A     - Avere"/>
    <n v="102859"/>
    <n v="1600"/>
    <n v="4329968"/>
    <n v="1135000774"/>
    <s v="P. &amp; G. S.A.S. DI GIANNANTONIO JOLE GRAZIA E"/>
    <s v="280 - Mediatori, agenti e consulenti di assicurazione"/>
    <s v="662 - ATTIVITÀ AUSILIARIE DELLE ASSICURAZIONI E DEI FONDI PENSIONE"/>
    <s v="086 - ITALIA"/>
    <n v="1110"/>
    <m/>
    <m/>
    <m/>
    <m/>
    <m/>
    <m/>
    <m/>
    <n v="0"/>
    <n v="202504"/>
    <x v="0"/>
    <x v="0"/>
    <x v="0"/>
    <n v="4329968"/>
    <x v="1"/>
    <x v="1"/>
    <s v="999"/>
    <s v="280"/>
    <s v="280999"/>
    <m/>
    <s v="1"/>
    <s v="Classe di rischio 2"/>
  </r>
  <r>
    <n v="329266"/>
    <x v="2"/>
    <x v="2"/>
    <x v="18"/>
    <n v="53850"/>
    <n v="192"/>
    <s v="053850_192"/>
    <s v="Discovery Day"/>
    <s v="Mai valutato"/>
    <m/>
    <n v="202504047867489"/>
    <n v="1923300185011"/>
    <n v="20250404"/>
    <s v="AA - Bonifico da e per estero "/>
    <m/>
    <s v="012 - BULGARIA"/>
    <s v="A     - Avere"/>
    <n v="5732"/>
    <n v="0"/>
    <n v="3710704"/>
    <s v="FSNMHL77R19H096V"/>
    <s v="FASANELLI MICHELE"/>
    <s v="615 - Altre famiglie produttrici"/>
    <s v="494 - TRASPORTO DI MERCI SU STRADA E SERVIZI DI TRASLOCO"/>
    <s v="086 - ITALIA"/>
    <n v="1907"/>
    <m/>
    <m/>
    <m/>
    <m/>
    <m/>
    <m/>
    <m/>
    <n v="0"/>
    <n v="202504"/>
    <x v="0"/>
    <x v="0"/>
    <x v="0"/>
    <m/>
    <x v="0"/>
    <x v="0"/>
    <s v="999"/>
    <s v="615"/>
    <s v="615999"/>
    <m/>
    <s v="1"/>
    <s v="Classe di rischio 3"/>
  </r>
  <r>
    <n v="329265"/>
    <x v="4"/>
    <x v="4"/>
    <x v="18"/>
    <n v="53850"/>
    <n v="102"/>
    <s v="053850_102"/>
    <s v="Discovery Day"/>
    <s v="Mai valutato"/>
    <m/>
    <n v="202504047868273"/>
    <n v="1023308726574"/>
    <n v="20250404"/>
    <s v="13 - Addebito per estinzione assegno"/>
    <m/>
    <m/>
    <s v="D     - Dare"/>
    <n v="600000"/>
    <n v="0"/>
    <n v="403529"/>
    <s v="SQCRRT80R46A225N"/>
    <s v="SQUICCIARINI ROBERTA"/>
    <s v="615 - Altre famiglie produttrici"/>
    <s v="011 - COLTIVAZIONE DI COLTURE AGRICOLE NON PERMANENTI"/>
    <s v="086 - ITALIA"/>
    <n v="1110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29264"/>
    <x v="4"/>
    <x v="4"/>
    <x v="18"/>
    <n v="53850"/>
    <n v="268"/>
    <s v="053850_268"/>
    <s v="Discovery Day"/>
    <s v="Mai valutato"/>
    <m/>
    <n v="202504047869226"/>
    <n v="2683300005239"/>
    <n v="20250404"/>
    <s v="SPECIAL"/>
    <m/>
    <m/>
    <s v="D     - Dare"/>
    <n v="99198.79"/>
    <n v="0"/>
    <n v="1646694"/>
    <s v="BRZCRN35C71L424O"/>
    <s v="BURZACHECHI CATERINA"/>
    <s v="600 - Famiglie consumatrici"/>
    <m/>
    <s v="086 - ITALIA"/>
    <n v="1757"/>
    <m/>
    <m/>
    <m/>
    <m/>
    <m/>
    <m/>
    <m/>
    <n v="0"/>
    <n v="202504"/>
    <x v="2"/>
    <x v="1"/>
    <x v="0"/>
    <m/>
    <x v="0"/>
    <x v="1"/>
    <s v="999"/>
    <s v="600"/>
    <s v="600999"/>
    <s v="Classe di rischio 7"/>
    <m/>
    <s v="Classe di rischio 7"/>
  </r>
  <r>
    <n v="329263"/>
    <x v="4"/>
    <x v="4"/>
    <x v="18"/>
    <n v="53850"/>
    <n v="174"/>
    <s v="053850_174"/>
    <s v="Discovery Day"/>
    <s v="Mai valutato"/>
    <m/>
    <n v="202504047867766"/>
    <n v="1743302880040"/>
    <n v="20250404"/>
    <s v="48 - Bonifico in arrivo "/>
    <m/>
    <s v="086 - ITALIA"/>
    <s v="A     - Avere"/>
    <n v="213953.88"/>
    <n v="0"/>
    <n v="4945451"/>
    <s v="CVLNGL78R24F376R"/>
    <s v="CAVALIERE ANGELO"/>
    <s v="600 - Famiglie consumatrici"/>
    <m/>
    <s v="086 - ITALIA"/>
    <n v="1106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262"/>
    <x v="4"/>
    <x v="4"/>
    <x v="18"/>
    <n v="53850"/>
    <n v="108"/>
    <s v="053850_108"/>
    <s v="Discovery Day"/>
    <s v="Mai valutato"/>
    <m/>
    <s v="202504045566453L"/>
    <n v="1083306288271"/>
    <n v="20250404"/>
    <s v="SPECIAL"/>
    <m/>
    <m/>
    <s v="D     - Dare"/>
    <n v="2066.14"/>
    <n v="0"/>
    <n v="4238924"/>
    <n v="6177420723"/>
    <s v="AGRUSTI &amp; C. S.R.L."/>
    <s v="430 - Imprese produttive"/>
    <s v="466 - COMMERCIO ALL'INGROSSO DI ALTRI MACCHINARI, ATTREZZATURE E FORNITURE"/>
    <s v="086 - ITALIA"/>
    <n v="1058"/>
    <m/>
    <m/>
    <m/>
    <m/>
    <m/>
    <m/>
    <m/>
    <n v="0"/>
    <n v="202504"/>
    <x v="0"/>
    <x v="0"/>
    <x v="0"/>
    <m/>
    <x v="0"/>
    <x v="1"/>
    <s v="999"/>
    <s v="430"/>
    <s v="430999"/>
    <m/>
    <s v="1"/>
    <s v="Classe di rischio 1"/>
  </r>
  <r>
    <n v="329261"/>
    <x v="5"/>
    <x v="5"/>
    <x v="18"/>
    <n v="53850"/>
    <n v="167"/>
    <s v="053850_167"/>
    <s v="Discovery Day"/>
    <s v="Mai valutato"/>
    <m/>
    <n v="202504047869081"/>
    <n v="1673301672576"/>
    <n v="20250404"/>
    <s v="D1 - Versamento di contante "/>
    <m/>
    <m/>
    <s v="A     - Avere"/>
    <n v="16020"/>
    <n v="16020"/>
    <n v="4639937"/>
    <n v="7129090721"/>
    <s v="FARMACIA ANCONA DEL DR.ANCONA ROCCO &amp; C.SOCI"/>
    <s v="492 - Quasi societa' non finanziarie altre - Unita' o societa' con meno di 20 addetti"/>
    <s v="477 - COMMERCIO AL DETTAGLIO DI ALTRI PRODOTTI IN ESERCIZI SPECIALIZZATI"/>
    <s v="086 - ITALIA"/>
    <n v="1175"/>
    <m/>
    <m/>
    <m/>
    <m/>
    <m/>
    <m/>
    <m/>
    <n v="0"/>
    <n v="202504"/>
    <x v="0"/>
    <x v="0"/>
    <x v="0"/>
    <m/>
    <x v="0"/>
    <x v="0"/>
    <s v="477"/>
    <s v="492"/>
    <s v="492477"/>
    <s v="Classe di rischio 5"/>
    <m/>
    <s v="Classe di rischio 5"/>
  </r>
  <r>
    <n v="329260"/>
    <x v="4"/>
    <x v="4"/>
    <x v="18"/>
    <n v="53850"/>
    <n v="286"/>
    <s v="053850_286"/>
    <s v="Discovery Day"/>
    <s v="Mai valutato"/>
    <m/>
    <n v="202504047867523"/>
    <n v="2863300003269"/>
    <n v="20250404"/>
    <s v="48 - Bonifico in arrivo "/>
    <m/>
    <s v="086 - ITALIA"/>
    <s v="A     - Avere"/>
    <n v="40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259"/>
    <x v="4"/>
    <x v="4"/>
    <x v="18"/>
    <n v="53850"/>
    <n v="110"/>
    <s v="053850_110"/>
    <s v="Discovery Day"/>
    <s v="Mai valutato"/>
    <m/>
    <n v="202504047868342"/>
    <n v="1103304235290"/>
    <n v="20250404"/>
    <s v="50 - Pagamenti diversi"/>
    <m/>
    <m/>
    <s v="D     - Dare"/>
    <n v="200000"/>
    <n v="0"/>
    <n v="423529"/>
    <s v="LTTMHL58D22F205F"/>
    <s v="LATTANZIO MICHELE"/>
    <s v="600 - Famiglie consumatrici"/>
    <m/>
    <s v="086 - ITALIA"/>
    <n v="458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258"/>
    <x v="4"/>
    <x v="4"/>
    <x v="19"/>
    <n v="53850"/>
    <n v="137"/>
    <s v="053850_137"/>
    <s v="Discovery Day"/>
    <s v="Mai valutato"/>
    <m/>
    <n v="202504047865531"/>
    <n v="1370050040202"/>
    <n v="20250404"/>
    <s v="C4 - Trasferim.titoli a altro istituto(portatore) "/>
    <m/>
    <m/>
    <s v="D     - Dare"/>
    <n v="467000"/>
    <n v="0"/>
    <n v="1007107"/>
    <s v="TRTMHL37E52B519Y"/>
    <s v="TARTAGLIA MICHELINA"/>
    <s v="600 - Famiglie consumatrici"/>
    <m/>
    <s v="086 - ITALIA"/>
    <n v="1797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257"/>
    <x v="4"/>
    <x v="4"/>
    <x v="19"/>
    <n v="53850"/>
    <n v="148"/>
    <s v="053850_148"/>
    <s v="Discovery Day"/>
    <s v="Mai valutato"/>
    <m/>
    <n v="202504037863564"/>
    <n v="1483300003872"/>
    <n v="20250403"/>
    <s v="26 - Bonifico in partenza "/>
    <m/>
    <s v="086 - ITALIA"/>
    <s v="D     - Dare"/>
    <n v="2000000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256"/>
    <x v="6"/>
    <x v="6"/>
    <x v="19"/>
    <n v="53850"/>
    <n v="136"/>
    <s v="053850_136"/>
    <s v="Discovery Day"/>
    <s v="Mai valutato"/>
    <m/>
    <n v="202504037865363"/>
    <n v="1363300004021"/>
    <n v="20250403"/>
    <s v="AA - Bonifico da e per estero "/>
    <m/>
    <s v="182 - ISRAELE"/>
    <s v="A     - Avere"/>
    <n v="40161.040000000001"/>
    <n v="0"/>
    <n v="4943632"/>
    <n v="1429720749"/>
    <s v="CANTINE PAOLO LEO S.R.L."/>
    <s v="430 - Imprese produttive"/>
    <s v="110 - INDUSTRIA DELLE BEVANDE"/>
    <s v="086 - ITALIA"/>
    <n v="1627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255"/>
    <x v="4"/>
    <x v="4"/>
    <x v="19"/>
    <n v="53850"/>
    <n v="182"/>
    <s v="053850_182"/>
    <s v="Discovery Day"/>
    <s v="Mai valutato"/>
    <m/>
    <n v="202504037865818"/>
    <n v="1823300102662"/>
    <n v="20250403"/>
    <s v="13 - Addebito per estinzione assegno"/>
    <m/>
    <m/>
    <s v="D     - Dare"/>
    <n v="300000"/>
    <n v="0"/>
    <n v="3041128"/>
    <s v="DYLMRA46T19H501W"/>
    <s v="D'AYALA VALVA MARIO"/>
    <s v="600 - Famiglie consumatrici"/>
    <m/>
    <s v="086 - ITALIA"/>
    <n v="616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254"/>
    <x v="4"/>
    <x v="4"/>
    <x v="19"/>
    <n v="53850"/>
    <n v="273"/>
    <s v="053850_273"/>
    <s v="Discovery Day"/>
    <s v="Mai valutato"/>
    <m/>
    <n v="202504037865929"/>
    <n v="2733300001088"/>
    <n v="20250403"/>
    <s v="25 - Pagamento di documenti su Italia "/>
    <m/>
    <m/>
    <s v="D     - Dare"/>
    <n v="500000"/>
    <n v="0"/>
    <n v="1629654"/>
    <n v="2589190699"/>
    <s v="CONSORZIO PANICHI &amp; STREVER"/>
    <s v="450 - Associazioni fra imprese non finanziarie"/>
    <s v="412 - COSTRUZIONE DI EDIFICI RESIDENZIALI E NON RESIDENZIALI"/>
    <s v="086 - ITALIA"/>
    <n v="1856"/>
    <m/>
    <m/>
    <m/>
    <m/>
    <m/>
    <m/>
    <m/>
    <n v="0"/>
    <n v="202504"/>
    <x v="1"/>
    <x v="0"/>
    <x v="0"/>
    <m/>
    <x v="0"/>
    <x v="0"/>
    <s v="412"/>
    <s v="450"/>
    <s v="450412"/>
    <s v="Classe di rischio 3"/>
    <m/>
    <s v="Classe di rischio 3"/>
  </r>
  <r>
    <n v="329253"/>
    <x v="6"/>
    <x v="6"/>
    <x v="19"/>
    <n v="53850"/>
    <n v="108"/>
    <s v="053850_108"/>
    <s v="Discovery Day"/>
    <s v="Mai valutato"/>
    <m/>
    <n v="202504037865354"/>
    <n v="1081204983779"/>
    <n v="20250403"/>
    <s v="AA - Bonifico da e per estero "/>
    <m/>
    <s v="016 - CINA"/>
    <s v="D     - Dare"/>
    <n v="59374.89"/>
    <n v="0"/>
    <n v="4983779"/>
    <n v="5371200725"/>
    <s v="LA MITO S.R.L. DISTRIBUZIONE"/>
    <s v="430 - Imprese produttive"/>
    <s v="466 - COMMERCIO ALL'INGROSSO DI ALTRI MACCHINARI, ATTREZZATURE E FORNITURE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252"/>
    <x v="5"/>
    <x v="5"/>
    <x v="19"/>
    <n v="53850"/>
    <n v="268"/>
    <s v="053850_268"/>
    <s v="Discovery Day"/>
    <s v="Mai valutato"/>
    <m/>
    <n v="202504037865918"/>
    <n v="2683300010030"/>
    <n v="20250403"/>
    <s v="03 - Versamento contante cassa continua "/>
    <m/>
    <m/>
    <s v="A     - Avere"/>
    <n v="31760"/>
    <n v="3176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x v="1"/>
    <x v="0"/>
    <x v="0"/>
    <n v="4966939"/>
    <x v="1"/>
    <x v="0"/>
    <s v="999"/>
    <s v="615"/>
    <s v="615999"/>
    <m/>
    <s v="1"/>
    <s v="Classe di rischio 3"/>
  </r>
  <r>
    <n v="329251"/>
    <x v="6"/>
    <x v="6"/>
    <x v="19"/>
    <n v="53850"/>
    <n v="108"/>
    <s v="053850_108"/>
    <s v="Discovery Day"/>
    <s v="Mai valutato"/>
    <m/>
    <n v="202504037865352"/>
    <n v="1081204983779"/>
    <n v="20250403"/>
    <s v="AA - Bonifico da e per estero "/>
    <m/>
    <s v="016 - CINA"/>
    <s v="D     - Dare"/>
    <n v="52214.11"/>
    <n v="0"/>
    <n v="4983779"/>
    <n v="5371200725"/>
    <s v="LA MITO S.R.L. DISTRIBUZIONE"/>
    <s v="430 - Imprese produttive"/>
    <s v="466 - COMMERCIO ALL'INGROSSO DI ALTRI MACCHINARI, ATTREZZATURE E FORNITURE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250"/>
    <x v="6"/>
    <x v="6"/>
    <x v="19"/>
    <n v="53850"/>
    <n v="108"/>
    <s v="053850_108"/>
    <s v="Discovery Day"/>
    <s v="Mai valutato"/>
    <m/>
    <n v="202504037865358"/>
    <n v="1081204983779"/>
    <n v="20250403"/>
    <s v="AA - Bonifico da e per estero "/>
    <m/>
    <s v="016 - CINA"/>
    <s v="D     - Dare"/>
    <n v="185695.42"/>
    <n v="0"/>
    <n v="4983779"/>
    <n v="5371200725"/>
    <s v="LA MITO S.R.L. DISTRIBUZIONE"/>
    <s v="430 - Imprese produttive"/>
    <s v="466 - COMMERCIO ALL'INGROSSO DI ALTRI MACCHINARI, ATTREZZATURE E FORNITURE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249"/>
    <x v="2"/>
    <x v="2"/>
    <x v="19"/>
    <n v="53850"/>
    <n v="199"/>
    <s v="053850_199"/>
    <s v="Discovery Day"/>
    <s v="Mai valutato"/>
    <m/>
    <s v="202504035518048L"/>
    <n v="1993300003021"/>
    <n v="20250403"/>
    <s v="AA - Bonifico da e per estero "/>
    <m/>
    <s v="012 - BULGARIA"/>
    <s v="D     - Dare"/>
    <n v="2000"/>
    <n v="0"/>
    <n v="4946318"/>
    <n v="2571200746"/>
    <s v="SARTY LTD"/>
    <s v="758 - Societa' non finanziarie dei paesi UE non membri dell'area dell'euro"/>
    <s v="141 - CONFEZIONE DI ARTICOLI DI ABBIGLIAMENTO (ESCLUSO ABBIGLIAMENTO IN PELLICCIA)"/>
    <s v="012 - BULGARIA"/>
    <n v="639"/>
    <m/>
    <m/>
    <m/>
    <m/>
    <m/>
    <m/>
    <m/>
    <n v="0"/>
    <n v="202504"/>
    <x v="1"/>
    <x v="0"/>
    <x v="0"/>
    <m/>
    <x v="0"/>
    <x v="0"/>
    <s v="999"/>
    <s v="758"/>
    <s v="758999"/>
    <m/>
    <s v="1"/>
    <s v="Classe di rischio 2"/>
  </r>
  <r>
    <n v="329248"/>
    <x v="5"/>
    <x v="5"/>
    <x v="19"/>
    <n v="53850"/>
    <n v="181"/>
    <s v="053850_181"/>
    <s v="Discovery Day"/>
    <s v="Mai valutato"/>
    <m/>
    <n v="202504037866232"/>
    <n v="1813301028560"/>
    <n v="20250403"/>
    <s v="D1 - Versamento di contante "/>
    <m/>
    <m/>
    <s v="A     - Avere"/>
    <n v="47000"/>
    <n v="4700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4"/>
    <x v="1"/>
    <x v="0"/>
    <x v="0"/>
    <n v="454268"/>
    <x v="1"/>
    <x v="0"/>
    <s v="477"/>
    <s v="615"/>
    <s v="615477"/>
    <s v="Classe di rischio 6"/>
    <m/>
    <s v="Classe di rischio 6"/>
  </r>
  <r>
    <n v="329247"/>
    <x v="6"/>
    <x v="6"/>
    <x v="19"/>
    <n v="53850"/>
    <n v="108"/>
    <s v="053850_108"/>
    <s v="Discovery Day"/>
    <s v="Mai valutato"/>
    <m/>
    <n v="202504037865350"/>
    <n v="1081204983779"/>
    <n v="20250403"/>
    <s v="AA - Bonifico da e per estero "/>
    <m/>
    <s v="016 - CINA"/>
    <s v="D     - Dare"/>
    <n v="49568.19"/>
    <n v="0"/>
    <n v="4983779"/>
    <n v="5371200725"/>
    <s v="LA MITO S.R.L. DISTRIBUZIONE"/>
    <s v="430 - Imprese produttive"/>
    <s v="466 - COMMERCIO ALL'INGROSSO DI ALTRI MACCHINARI, ATTREZZATURE E FORNITURE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246"/>
    <x v="2"/>
    <x v="2"/>
    <x v="19"/>
    <n v="53850"/>
    <n v="199"/>
    <s v="053850_199"/>
    <s v="Discovery Day"/>
    <s v="Mai valutato"/>
    <m/>
    <n v="202504037864274"/>
    <n v="1993300003021"/>
    <n v="20250403"/>
    <s v="AA - Bonifico da e per estero "/>
    <m/>
    <s v="012 - BULGARIA"/>
    <s v="D     - Dare"/>
    <n v="5000"/>
    <n v="0"/>
    <n v="4946318"/>
    <n v="2571200746"/>
    <s v="SARTY LTD"/>
    <s v="758 - Societa' non finanziarie dei paesi UE non membri dell'area dell'euro"/>
    <s v="141 - CONFEZIONE DI ARTICOLI DI ABBIGLIAMENTO (ESCLUSO ABBIGLIAMENTO IN PELLICCIA)"/>
    <s v="012 - BULGARIA"/>
    <n v="639"/>
    <m/>
    <m/>
    <m/>
    <m/>
    <m/>
    <m/>
    <m/>
    <n v="0"/>
    <n v="202504"/>
    <x v="1"/>
    <x v="0"/>
    <x v="0"/>
    <m/>
    <x v="0"/>
    <x v="0"/>
    <s v="999"/>
    <s v="758"/>
    <s v="758999"/>
    <m/>
    <s v="1"/>
    <s v="Classe di rischio 2"/>
  </r>
  <r>
    <n v="329245"/>
    <x v="5"/>
    <x v="5"/>
    <x v="19"/>
    <n v="53850"/>
    <n v="102"/>
    <s v="053850_102"/>
    <s v="Discovery Day"/>
    <s v="Mai valutato"/>
    <m/>
    <s v="Vari (03/04/2025)"/>
    <n v="1023308722503"/>
    <n v="20250403"/>
    <s v="03 - Versamento contante cassa continua "/>
    <m/>
    <m/>
    <s v="A     - Avere"/>
    <n v="45010"/>
    <n v="450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244"/>
    <x v="6"/>
    <x v="6"/>
    <x v="19"/>
    <n v="53850"/>
    <n v="103"/>
    <s v="053850_103"/>
    <s v="Discovery Day"/>
    <s v="Mai valutato"/>
    <m/>
    <n v="202504037865347"/>
    <n v="1033306976736"/>
    <n v="20250403"/>
    <s v="AA - Bonifico da e per estero "/>
    <m/>
    <s v="182 - ISRAELE"/>
    <s v="A     - Avere"/>
    <n v="48601"/>
    <n v="0"/>
    <n v="4127133"/>
    <n v="5762170727"/>
    <s v="FORM DESIGN S.R.L."/>
    <s v="430 - Imprese produttive"/>
    <s v="310 - FABBRICAZIONE DI MOBILI"/>
    <s v="086 - ITALIA"/>
    <n v="739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243"/>
    <x v="2"/>
    <x v="2"/>
    <x v="19"/>
    <n v="53850"/>
    <n v="154"/>
    <s v="053850_154"/>
    <s v="Discovery Day"/>
    <s v="Mai valutato"/>
    <m/>
    <n v="202504037865364"/>
    <n v="1543300004605"/>
    <n v="20250403"/>
    <s v="AA - Bonifico da e per estero "/>
    <m/>
    <s v="078 - SUDAFRICANA (REPUBBLICA)"/>
    <s v="A     - Avere"/>
    <n v="19999"/>
    <n v="0"/>
    <n v="4973543"/>
    <s v="RMNRCC81E18Z347K"/>
    <s v="ROMANO ROCCO"/>
    <s v="615 - Altre famiglie produttrici"/>
    <s v="661 - ATTIVITÀ AUSILIARIE DEI SERVIZI FINANZIARI (ESCLUSE LE ASSICURAZIONI E I FONDI PENSIONE)"/>
    <s v="086 - ITALIA"/>
    <n v="741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29242"/>
    <x v="4"/>
    <x v="4"/>
    <x v="19"/>
    <n v="53850"/>
    <n v="114"/>
    <s v="053850_114"/>
    <s v="Discovery Day"/>
    <s v="Mai valutato"/>
    <m/>
    <n v="202504037865056"/>
    <n v="1143306280621"/>
    <n v="20250403"/>
    <s v="48 - Bonifico in arrivo "/>
    <m/>
    <s v="086 - ITALIA"/>
    <s v="A     - Avere"/>
    <n v="370000"/>
    <n v="0"/>
    <n v="4658875"/>
    <n v="3230890711"/>
    <s v="FARMACIA SANTA RITA DEI DOTTORI TERESA EGUST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29241"/>
    <x v="5"/>
    <x v="5"/>
    <x v="19"/>
    <n v="53850"/>
    <n v="103"/>
    <s v="053850_103"/>
    <s v="Discovery Day"/>
    <s v="Mai valutato"/>
    <m/>
    <n v="202504037865990"/>
    <n v="1033306985374"/>
    <n v="20250403"/>
    <s v="D1 - Versamento di contante "/>
    <m/>
    <m/>
    <s v="A     - Avere"/>
    <n v="31600"/>
    <n v="31600"/>
    <n v="3722977"/>
    <n v="8874860722"/>
    <s v="FARMACIA MUMMOLO S.N.C. DI MUMMOLO NARDULLI GIUSEPPE E TOMMASO"/>
    <s v="482 - Quasi societa' non finanziarie artigiane - Unita' o societa' con meno di 20 addetti"/>
    <s v="477 - COMMERCIO AL DETTAGLIO DI ALTRI PRODOTTI IN ESERCIZI SPECIALIZZATI"/>
    <s v="086 - ITALIA"/>
    <n v="1916"/>
    <m/>
    <m/>
    <m/>
    <m/>
    <m/>
    <m/>
    <m/>
    <n v="0"/>
    <n v="202504"/>
    <x v="0"/>
    <x v="0"/>
    <x v="0"/>
    <m/>
    <x v="0"/>
    <x v="0"/>
    <s v="477"/>
    <s v="482"/>
    <s v="482477"/>
    <s v="Classe di rischio 5"/>
    <m/>
    <s v="Classe di rischio 5"/>
  </r>
  <r>
    <n v="329240"/>
    <x v="3"/>
    <x v="3"/>
    <x v="19"/>
    <n v="53850"/>
    <n v="102"/>
    <s v="053850_102"/>
    <s v="Discovery Day"/>
    <s v="Mai valutato"/>
    <m/>
    <n v="202504037865978"/>
    <n v="1023308726262"/>
    <n v="20250403"/>
    <s v="G8 - Versamento assegno circolare stesso intermediario"/>
    <m/>
    <m/>
    <s v="A     - Avere"/>
    <n v="570000"/>
    <n v="0"/>
    <n v="4978870"/>
    <n v="8663550724"/>
    <s v="SOCIETA' AGRICOLA INNOVATIVA LOIUDICE S.R.L."/>
    <s v="430 - Imprese produttive"/>
    <s v="011 - COLTIVAZIONE DI COLTURE AGRICOLE NON PERMANENTI"/>
    <s v="086 - ITALIA"/>
    <n v="1203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239"/>
    <x v="3"/>
    <x v="3"/>
    <x v="19"/>
    <n v="53850"/>
    <n v="102"/>
    <s v="053850_102"/>
    <s v="Discovery Day"/>
    <s v="Mai valutato"/>
    <m/>
    <n v="202504037865974"/>
    <n v="2263300012122"/>
    <n v="20250403"/>
    <s v="G7 - Versamento assegno circolare altro intermediario "/>
    <m/>
    <m/>
    <s v="A     - Avere"/>
    <n v="102000"/>
    <n v="0"/>
    <n v="4171923"/>
    <s v="NRDNTN72R11A285I"/>
    <s v="NARDONE ANTONIO"/>
    <s v="600 - Famiglie consumatrici"/>
    <m/>
    <s v="086 - ITALIA"/>
    <n v="1267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238"/>
    <x v="3"/>
    <x v="3"/>
    <x v="19"/>
    <n v="53850"/>
    <n v="102"/>
    <s v="053850_102"/>
    <s v="Discovery Day"/>
    <s v="Mai valutato"/>
    <m/>
    <n v="202504037865974"/>
    <n v="2263300012122"/>
    <n v="20250403"/>
    <s v="G7 - Versamento assegno circolare altro intermediario "/>
    <m/>
    <m/>
    <s v="A     - Avere"/>
    <n v="102000"/>
    <n v="0"/>
    <n v="4173227"/>
    <s v="DCRSLL71T46A669N"/>
    <s v="DE CARO SAMUELLA"/>
    <s v="600 - Famiglie consumatrici"/>
    <m/>
    <s v="086 - ITALIA"/>
    <n v="902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237"/>
    <x v="4"/>
    <x v="4"/>
    <x v="19"/>
    <n v="53850"/>
    <n v="104"/>
    <s v="053850_104"/>
    <s v="Discovery Day"/>
    <s v="Mai valutato"/>
    <m/>
    <n v="202504037863628"/>
    <n v="1043301448722"/>
    <n v="20250403"/>
    <s v="26 - Bonifico in partenza "/>
    <m/>
    <s v="086 - ITALIA"/>
    <s v="D     - Dare"/>
    <n v="800000"/>
    <n v="0"/>
    <n v="4155132"/>
    <n v="5287570724"/>
    <s v="CASILLO PARTECIPAZIONI S.P.A."/>
    <s v="432 - Holding operative private"/>
    <s v="701 - ATTIVITÀ DI DIREZIONE AZIENDALE"/>
    <s v="086 - ITALIA"/>
    <n v="1696"/>
    <m/>
    <m/>
    <m/>
    <m/>
    <m/>
    <m/>
    <m/>
    <n v="0"/>
    <n v="202504"/>
    <x v="1"/>
    <x v="0"/>
    <x v="0"/>
    <m/>
    <x v="0"/>
    <x v="0"/>
    <s v="999"/>
    <s v="432"/>
    <s v="432999"/>
    <m/>
    <s v="1"/>
    <s v="Classe di rischio 2"/>
  </r>
  <r>
    <n v="329236"/>
    <x v="5"/>
    <x v="5"/>
    <x v="19"/>
    <n v="53850"/>
    <n v="116"/>
    <s v="053850_116"/>
    <s v="Discovery Day"/>
    <s v="Mai valutato"/>
    <m/>
    <n v="202504037865881"/>
    <n v="2343300010453"/>
    <n v="20250403"/>
    <s v="03 - Versamento contante cassa continua "/>
    <m/>
    <m/>
    <s v="A     - Avere"/>
    <n v="56115.5"/>
    <n v="56115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29235"/>
    <x v="5"/>
    <x v="5"/>
    <x v="19"/>
    <n v="53850"/>
    <n v="273"/>
    <s v="053850_273"/>
    <s v="Discovery Day"/>
    <s v="Mai valutato"/>
    <m/>
    <s v="Vari (03/04/2025)"/>
    <n v="2733300000498"/>
    <n v="20250403"/>
    <s v="03 - Versamento contante cassa continua "/>
    <m/>
    <m/>
    <s v="A     - Avere"/>
    <n v="32135"/>
    <n v="32135"/>
    <n v="1617415"/>
    <n v="2262360692"/>
    <s v="ALL GAMES S.R.L."/>
    <s v="430 - Imprese produttive"/>
    <s v="920 - ATTIVITÀ RIGUARDANTI LE LOTTERIE, LE SCOMMESSE, LE CASE DA GIOCO"/>
    <s v="086 - ITALIA"/>
    <n v="1765"/>
    <m/>
    <m/>
    <m/>
    <m/>
    <m/>
    <m/>
    <m/>
    <n v="0"/>
    <n v="202504"/>
    <x v="1"/>
    <x v="0"/>
    <x v="0"/>
    <n v="1617415"/>
    <x v="1"/>
    <x v="0"/>
    <s v="920"/>
    <s v="430"/>
    <s v="430920"/>
    <s v="Classe di rischio 4"/>
    <m/>
    <s v="Classe di rischio 4"/>
  </r>
  <r>
    <n v="329234"/>
    <x v="5"/>
    <x v="5"/>
    <x v="19"/>
    <n v="53850"/>
    <n v="116"/>
    <s v="053850_116"/>
    <s v="Discovery Day"/>
    <s v="Mai valutato"/>
    <m/>
    <s v="Vari (03/04/2025)"/>
    <n v="1213300003438"/>
    <n v="20250403"/>
    <s v="03 - Versamento contante cassa continua "/>
    <m/>
    <m/>
    <s v="A     - Avere"/>
    <n v="37500"/>
    <n v="37500"/>
    <n v="3727401"/>
    <n v="8928290728"/>
    <s v="CITY HOME SOCIETA A RESPONSABILITA LIMITATA"/>
    <s v="430 - Imprese produttive"/>
    <s v="464 - COMMERCIO ALL'INGROSSO DI BENI DI CONSUMO FINALE"/>
    <s v="086 - ITALIA"/>
    <n v="928"/>
    <m/>
    <m/>
    <m/>
    <m/>
    <m/>
    <m/>
    <m/>
    <n v="0"/>
    <n v="202504"/>
    <x v="0"/>
    <x v="0"/>
    <x v="0"/>
    <n v="3727401"/>
    <x v="1"/>
    <x v="0"/>
    <s v="464"/>
    <s v="430"/>
    <s v="430464"/>
    <s v="Classe di rischio 4"/>
    <m/>
    <s v="Classe di rischio 4"/>
  </r>
  <r>
    <n v="329233"/>
    <x v="4"/>
    <x v="4"/>
    <x v="19"/>
    <n v="53850"/>
    <n v="188"/>
    <s v="053850_188"/>
    <s v="Discovery Day"/>
    <s v="Mai valutato"/>
    <m/>
    <n v="202504037864979"/>
    <n v="1883300028081"/>
    <n v="20250403"/>
    <s v="48 - Bonifico in arrivo "/>
    <m/>
    <s v="086 - ITALIA"/>
    <s v="A     - Avere"/>
    <n v="2062716.36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4"/>
    <x v="0"/>
    <x v="0"/>
    <x v="0"/>
    <n v="3001543"/>
    <x v="1"/>
    <x v="0"/>
    <s v="999"/>
    <s v="430"/>
    <s v="430999"/>
    <m/>
    <s v="1"/>
    <s v="Classe di rischio 1"/>
  </r>
  <r>
    <n v="329232"/>
    <x v="4"/>
    <x v="4"/>
    <x v="19"/>
    <n v="53850"/>
    <n v="188"/>
    <s v="053850_188"/>
    <s v="Discovery Day"/>
    <s v="Mai valutato"/>
    <m/>
    <n v="202504037865837"/>
    <n v="1883300028081"/>
    <n v="20250403"/>
    <s v="25 - Pagamento di documenti su Italia "/>
    <m/>
    <m/>
    <s v="D     - Dare"/>
    <n v="1800000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4"/>
    <x v="0"/>
    <x v="0"/>
    <x v="0"/>
    <n v="3001543"/>
    <x v="1"/>
    <x v="0"/>
    <s v="999"/>
    <s v="430"/>
    <s v="430999"/>
    <m/>
    <s v="1"/>
    <s v="Classe di rischio 1"/>
  </r>
  <r>
    <n v="329231"/>
    <x v="3"/>
    <x v="3"/>
    <x v="19"/>
    <n v="53850"/>
    <n v="181"/>
    <s v="053850_181"/>
    <s v="Discovery Day"/>
    <s v="Mai valutato"/>
    <m/>
    <n v="202504037866232"/>
    <n v="1813301028560"/>
    <n v="20250403"/>
    <s v="D1 - Versamento di contante "/>
    <m/>
    <m/>
    <s v="A     - Avere"/>
    <n v="47000"/>
    <n v="4700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4"/>
    <x v="1"/>
    <x v="0"/>
    <x v="0"/>
    <n v="454268"/>
    <x v="1"/>
    <x v="0"/>
    <s v="477"/>
    <s v="615"/>
    <s v="615477"/>
    <s v="Classe di rischio 6"/>
    <m/>
    <s v="Classe di rischio 6"/>
  </r>
  <r>
    <n v="329230"/>
    <x v="5"/>
    <x v="5"/>
    <x v="19"/>
    <n v="53850"/>
    <n v="267"/>
    <s v="053850_267"/>
    <s v="Discovery Day"/>
    <s v="Mai valutato"/>
    <m/>
    <n v="202504037866326"/>
    <n v="2673300002283"/>
    <n v="20250403"/>
    <s v="D1 - Versamento di contante "/>
    <m/>
    <m/>
    <s v="A     - Avere"/>
    <n v="45900"/>
    <n v="45900"/>
    <n v="1653892"/>
    <n v="3605780794"/>
    <s v="PHARMA CORE S.R.L."/>
    <s v="430 - Imprese produttive"/>
    <s v="477 - COMMERCIO AL DETTAGLIO DI ALTRI PRODOTTI IN ESERCIZI SPECIALIZZATI"/>
    <s v="086 - ITALIA"/>
    <n v="1891"/>
    <m/>
    <m/>
    <m/>
    <m/>
    <m/>
    <m/>
    <m/>
    <n v="0"/>
    <n v="202504"/>
    <x v="0"/>
    <x v="0"/>
    <x v="0"/>
    <m/>
    <x v="0"/>
    <x v="0"/>
    <s v="477"/>
    <s v="430"/>
    <s v="430477"/>
    <s v="Classe di rischio 3"/>
    <m/>
    <s v="Classe di rischio 3"/>
  </r>
  <r>
    <n v="329229"/>
    <x v="4"/>
    <x v="4"/>
    <x v="19"/>
    <n v="53850"/>
    <n v="195"/>
    <s v="053850_195"/>
    <s v="Discovery Day"/>
    <s v="Mai valutato"/>
    <m/>
    <n v="202504027865545"/>
    <n v="1950050084361"/>
    <n v="20250402"/>
    <s v="C2 - Trasf.titoli tra dossier(immissione) "/>
    <m/>
    <m/>
    <s v="A     - Avere"/>
    <n v="398797.32"/>
    <n v="0"/>
    <n v="3122467"/>
    <s v="CPDVTI65R31C136R"/>
    <s v="CAPODIFERRO VITO"/>
    <s v="600 - Famiglie consumatrici"/>
    <m/>
    <s v="086 - ITALIA"/>
    <m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228"/>
    <x v="4"/>
    <x v="4"/>
    <x v="19"/>
    <n v="53850"/>
    <n v="195"/>
    <s v="053850_195"/>
    <s v="Discovery Day"/>
    <s v="Mai valutato"/>
    <m/>
    <n v="202504027865545"/>
    <n v="1950050084361"/>
    <n v="20250402"/>
    <s v="C2 - Trasf.titoli tra dossier(immissione) "/>
    <m/>
    <m/>
    <s v="A     - Avere"/>
    <n v="398797.32"/>
    <n v="0"/>
    <n v="3044588"/>
    <s v="BTSLSU33E61C136P"/>
    <s v="BITOSA LUISA"/>
    <s v="600 - Famiglie consumatrici"/>
    <m/>
    <s v="086 - ITALIA"/>
    <m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227"/>
    <x v="5"/>
    <x v="5"/>
    <x v="20"/>
    <n v="53850"/>
    <n v="189"/>
    <s v="053850_189"/>
    <s v="Discovery Day"/>
    <s v="Mai valutato"/>
    <m/>
    <n v="202504027863313"/>
    <n v="1893300023546"/>
    <n v="20250402"/>
    <s v="D1 - Versamento di contante "/>
    <m/>
    <m/>
    <s v="A     - Avere"/>
    <n v="55950"/>
    <n v="5595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4"/>
    <x v="1"/>
    <x v="0"/>
    <x v="0"/>
    <n v="3064562"/>
    <x v="1"/>
    <x v="0"/>
    <s v="999"/>
    <s v="615"/>
    <s v="615999"/>
    <m/>
    <s v="1"/>
    <s v="Classe di rischio 3"/>
  </r>
  <r>
    <n v="329226"/>
    <x v="3"/>
    <x v="3"/>
    <x v="20"/>
    <n v="53850"/>
    <n v="171"/>
    <s v="053850_171"/>
    <s v="Discovery Day"/>
    <s v="Mai valutato"/>
    <m/>
    <s v="Vari (02/04/2025)"/>
    <n v="1023308717844"/>
    <n v="20250402"/>
    <s v="VV"/>
    <m/>
    <m/>
    <s v="A     - Avere"/>
    <n v="163950"/>
    <n v="3950"/>
    <n v="4201270"/>
    <s v="SCFLRT72E26F839C"/>
    <s v="SCAFARELLI ALBERTO"/>
    <s v="615 - Altre famiglie produttrici"/>
    <s v="691 - ATTIVITÀ DEGLI STUDI LEGALI"/>
    <s v="086 - ITALIA"/>
    <n v="1335"/>
    <m/>
    <m/>
    <m/>
    <m/>
    <m/>
    <m/>
    <m/>
    <n v="0"/>
    <n v="202504"/>
    <x v="1"/>
    <x v="0"/>
    <x v="0"/>
    <n v="4201270"/>
    <x v="1"/>
    <x v="1"/>
    <s v="999"/>
    <s v="615"/>
    <s v="615999"/>
    <m/>
    <s v="1"/>
    <s v="Classe di rischio 3"/>
  </r>
  <r>
    <n v="329225"/>
    <x v="5"/>
    <x v="5"/>
    <x v="20"/>
    <n v="53850"/>
    <n v="269"/>
    <s v="053850_269"/>
    <s v="Discovery Day"/>
    <s v="Mai valutato"/>
    <m/>
    <s v="Vari (02/04/2025)"/>
    <n v="2693300001614"/>
    <n v="20250402"/>
    <s v="D1 - Versamento di contante "/>
    <m/>
    <m/>
    <s v="A     - Avere"/>
    <n v="39960"/>
    <n v="3996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4"/>
    <x v="1"/>
    <x v="0"/>
    <x v="0"/>
    <n v="1695085"/>
    <x v="1"/>
    <x v="0"/>
    <s v="999"/>
    <s v="615"/>
    <s v="615999"/>
    <m/>
    <s v="1"/>
    <s v="Classe di rischio 3"/>
  </r>
  <r>
    <n v="329224"/>
    <x v="5"/>
    <x v="5"/>
    <x v="20"/>
    <n v="53850"/>
    <n v="102"/>
    <s v="053850_102"/>
    <s v="Discovery Day"/>
    <s v="Mai valutato"/>
    <m/>
    <s v="Vari (02/04/2025)"/>
    <n v="1023308722503"/>
    <n v="20250402"/>
    <s v="03 - Versamento contante cassa continua "/>
    <m/>
    <m/>
    <s v="A     - Avere"/>
    <n v="44050"/>
    <n v="440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223"/>
    <x v="3"/>
    <x v="3"/>
    <x v="20"/>
    <n v="53850"/>
    <n v="193"/>
    <s v="053850_193"/>
    <s v="Discovery Day"/>
    <s v="Mai valutato"/>
    <m/>
    <n v="202504027863342"/>
    <n v="1933300023909"/>
    <n v="20250402"/>
    <s v="G7 - Versamento assegno circolare altro intermediario "/>
    <m/>
    <m/>
    <s v="A     - Avere"/>
    <n v="115000"/>
    <n v="0"/>
    <n v="3051208"/>
    <s v="MNGNMR47S43F784Q"/>
    <s v="MONGELLI ANNA MARIA"/>
    <s v="600 - Famiglie consumatrici"/>
    <m/>
    <s v="086 - ITALIA"/>
    <n v="838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222"/>
    <x v="5"/>
    <x v="5"/>
    <x v="20"/>
    <n v="53850"/>
    <n v="287"/>
    <s v="053850_287"/>
    <s v="Discovery Day"/>
    <s v="Mai valutato"/>
    <m/>
    <s v="Vari (02/04/2025)"/>
    <n v="2873300001853"/>
    <n v="20250402"/>
    <s v="VV"/>
    <m/>
    <m/>
    <s v="A     - Avere"/>
    <n v="47601.62"/>
    <n v="3383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4"/>
    <x v="0"/>
    <x v="0"/>
    <x v="0"/>
    <n v="3722213"/>
    <x v="1"/>
    <x v="1"/>
    <s v="463"/>
    <s v="430"/>
    <s v="430463"/>
    <s v="Classe di rischio 3"/>
    <m/>
    <s v="Classe di rischio 3"/>
  </r>
  <r>
    <n v="329221"/>
    <x v="2"/>
    <x v="2"/>
    <x v="20"/>
    <n v="53850"/>
    <n v="145"/>
    <s v="053850_145"/>
    <s v="Discovery Day"/>
    <s v="Mai valutato"/>
    <m/>
    <n v="202504027861354"/>
    <n v="1453300003997"/>
    <n v="20250402"/>
    <s v="AA - Bonifico da e per estero "/>
    <m/>
    <s v="012 - BULGARIA"/>
    <s v="A     - Avere"/>
    <n v="36025.9"/>
    <n v="0"/>
    <n v="3737833"/>
    <n v="10171711210"/>
    <s v="PUNTO BIBITE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x v="1"/>
    <x v="0"/>
    <x v="0"/>
    <m/>
    <x v="0"/>
    <x v="0"/>
    <s v="463"/>
    <s v="430"/>
    <s v="430463"/>
    <s v="Classe di rischio 3"/>
    <m/>
    <s v="Classe di rischio 3"/>
  </r>
  <r>
    <n v="329220"/>
    <x v="4"/>
    <x v="4"/>
    <x v="20"/>
    <n v="53850"/>
    <n v="286"/>
    <s v="053850_286"/>
    <s v="Discovery Day"/>
    <s v="Mai valutato"/>
    <m/>
    <n v="202504027861487"/>
    <n v="2863300003269"/>
    <n v="20250402"/>
    <s v="48 - Bonifico in arrivo "/>
    <m/>
    <s v="086 - ITALIA"/>
    <s v="A     - Avere"/>
    <n v="1258615.31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219"/>
    <x v="5"/>
    <x v="5"/>
    <x v="20"/>
    <n v="53850"/>
    <n v="171"/>
    <s v="053850_171"/>
    <s v="Discovery Day"/>
    <s v="Mai valutato"/>
    <m/>
    <s v="Vari (02/04/2025)"/>
    <n v="1713302214147"/>
    <n v="20250402"/>
    <s v="03 - Versamento contante cassa continua "/>
    <m/>
    <m/>
    <s v="A     - Avere"/>
    <n v="145260"/>
    <n v="14526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29218"/>
    <x v="3"/>
    <x v="3"/>
    <x v="20"/>
    <n v="53850"/>
    <n v="108"/>
    <s v="053850_108"/>
    <s v="Discovery Day"/>
    <s v="Mai valutato"/>
    <m/>
    <s v="Vari (02/04/2025)"/>
    <n v="1083306291105"/>
    <n v="20250402"/>
    <s v="VV"/>
    <m/>
    <m/>
    <s v="A     - Avere"/>
    <n v="169780.22"/>
    <n v="150188.1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1"/>
    <s v="999"/>
    <s v="430"/>
    <s v="430999"/>
    <m/>
    <s v="1"/>
    <s v="Classe di rischio 1"/>
  </r>
  <r>
    <n v="329217"/>
    <x v="3"/>
    <x v="3"/>
    <x v="20"/>
    <n v="53850"/>
    <n v="116"/>
    <s v="053850_116"/>
    <s v="Discovery Day"/>
    <s v="Mai valutato"/>
    <m/>
    <n v="202504027862913"/>
    <n v="2343300010453"/>
    <n v="20250402"/>
    <s v="03 - Versamento contante cassa continua "/>
    <m/>
    <m/>
    <s v="A     - Avere"/>
    <n v="145499.5"/>
    <n v="145499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29216"/>
    <x v="4"/>
    <x v="4"/>
    <x v="20"/>
    <n v="53850"/>
    <n v="122"/>
    <s v="053850_122"/>
    <s v="Discovery Day"/>
    <s v="Mai valutato"/>
    <m/>
    <n v="202504027860835"/>
    <n v="1223300001682"/>
    <n v="20250402"/>
    <s v="26 - Bonifico in partenza "/>
    <m/>
    <s v="086 - ITALIA"/>
    <s v="D     - Dare"/>
    <n v="113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x v="0"/>
    <x v="0"/>
    <x v="0"/>
    <m/>
    <x v="0"/>
    <x v="0"/>
    <s v="620"/>
    <s v="430"/>
    <s v="430620"/>
    <s v="Classe di rischio 3"/>
    <m/>
    <s v="Classe di rischio 3"/>
  </r>
  <r>
    <n v="329215"/>
    <x v="4"/>
    <x v="4"/>
    <x v="20"/>
    <n v="53850"/>
    <n v="102"/>
    <s v="053850_102"/>
    <s v="Discovery Day"/>
    <s v="Mai valutato"/>
    <m/>
    <n v="202504027862288"/>
    <n v="1023301264620"/>
    <n v="20250402"/>
    <s v="AF - Disp.giro conti diversi intestati ordinante(stesso intermed.)"/>
    <m/>
    <s v="086 - ITALIA"/>
    <s v="A     - Avere"/>
    <n v="350000"/>
    <n v="0"/>
    <n v="126462"/>
    <s v="MRRDTS54A01A225M"/>
    <s v="MARROCCOLI DONATO SALVATORE"/>
    <s v="600 - Famiglie consumatrici"/>
    <m/>
    <s v="086 - ITALIA"/>
    <n v="1335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214"/>
    <x v="5"/>
    <x v="5"/>
    <x v="20"/>
    <n v="53850"/>
    <n v="114"/>
    <s v="053850_114"/>
    <s v="Discovery Day"/>
    <s v="Mai valutato"/>
    <m/>
    <n v="202504027863099"/>
    <n v="1143306280621"/>
    <n v="20250402"/>
    <s v="D1 - Versamento di contante "/>
    <m/>
    <m/>
    <s v="A     - Avere"/>
    <n v="45930"/>
    <n v="45930"/>
    <n v="4658875"/>
    <n v="3230890711"/>
    <s v="FARMACIA SANTA RITA DEI DOTTORI TERESA EGUST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4"/>
    <x v="1"/>
    <x v="0"/>
    <x v="0"/>
    <n v="4658875"/>
    <x v="1"/>
    <x v="0"/>
    <s v="477"/>
    <s v="492"/>
    <s v="492477"/>
    <s v="Classe di rischio 5"/>
    <m/>
    <s v="Classe di rischio 5"/>
  </r>
  <r>
    <n v="329213"/>
    <x v="4"/>
    <x v="4"/>
    <x v="20"/>
    <n v="53850"/>
    <n v="286"/>
    <s v="053850_286"/>
    <s v="Discovery Day"/>
    <s v="Mai valutato"/>
    <m/>
    <n v="202504027861856"/>
    <n v="2863300003129"/>
    <n v="20250402"/>
    <s v="48 - Bonifico in arrivo "/>
    <m/>
    <s v="086 - ITALIA"/>
    <s v="A     - Avere"/>
    <n v="250000"/>
    <n v="0"/>
    <n v="1604415"/>
    <s v="SBRMLL58A41I922G"/>
    <s v="SBORGIA MIRELLA"/>
    <s v="600 - Famiglie consumatrici"/>
    <m/>
    <s v="086 - ITALIA"/>
    <n v="1848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212"/>
    <x v="2"/>
    <x v="2"/>
    <x v="20"/>
    <n v="53850"/>
    <n v="149"/>
    <s v="053850_149"/>
    <s v="Discovery Day"/>
    <s v="Mai valutato"/>
    <m/>
    <n v="202504027861454"/>
    <n v="1493300663564"/>
    <n v="20250402"/>
    <s v="AA - Bonifico da e per estero "/>
    <m/>
    <s v="012 - BULGARIA"/>
    <s v="A     - Avere"/>
    <n v="6024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211"/>
    <x v="2"/>
    <x v="2"/>
    <x v="20"/>
    <n v="53850"/>
    <n v="103"/>
    <s v="053850_103"/>
    <s v="Discovery Day"/>
    <s v="Mai valutato"/>
    <m/>
    <s v="202504025458099L"/>
    <n v="1033305050740"/>
    <n v="20250402"/>
    <s v="AA - Bonifico da e per estero "/>
    <m/>
    <s v="261 - CROAZIA"/>
    <s v="D     - Dare"/>
    <n v="2050"/>
    <n v="0"/>
    <n v="505074"/>
    <n v="4293180727"/>
    <s v="CENTRO RADIOLOGICO PUGLIESE S.R.L."/>
    <s v="430 - Imprese produttive"/>
    <s v="869 - ALTRI SERVIZI DI ASSISTENZA SANITARIA"/>
    <s v="086 - ITALIA"/>
    <n v="1274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210"/>
    <x v="5"/>
    <x v="5"/>
    <x v="20"/>
    <n v="53850"/>
    <n v="171"/>
    <s v="053850_171"/>
    <s v="Discovery Day"/>
    <s v="Mai valutato"/>
    <m/>
    <s v="Vari (02/04/2025)"/>
    <n v="1713305728950"/>
    <n v="20250402"/>
    <s v="03 - Versamento contante cassa continua "/>
    <m/>
    <m/>
    <s v="A     - Avere"/>
    <n v="369028.3"/>
    <n v="369028.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209"/>
    <x v="5"/>
    <x v="5"/>
    <x v="20"/>
    <n v="53850"/>
    <n v="108"/>
    <s v="053850_108"/>
    <s v="Discovery Day"/>
    <s v="Mai valutato"/>
    <m/>
    <s v="Vari (02/04/2025)"/>
    <n v="1083306291105"/>
    <n v="20250402"/>
    <s v="VV"/>
    <m/>
    <m/>
    <s v="A     - Avere"/>
    <n v="169780.22"/>
    <n v="150188.1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4"/>
    <x v="1"/>
    <x v="0"/>
    <x v="0"/>
    <n v="4227057"/>
    <x v="1"/>
    <x v="1"/>
    <s v="999"/>
    <s v="430"/>
    <s v="430999"/>
    <m/>
    <s v="1"/>
    <s v="Classe di rischio 1"/>
  </r>
  <r>
    <n v="329208"/>
    <x v="3"/>
    <x v="3"/>
    <x v="20"/>
    <n v="53850"/>
    <n v="193"/>
    <s v="053850_193"/>
    <s v="Discovery Day"/>
    <s v="Mai valutato"/>
    <m/>
    <n v="202504027863342"/>
    <n v="1933300023909"/>
    <n v="20250402"/>
    <s v="G7 - Versamento assegno circolare altro intermediario "/>
    <m/>
    <m/>
    <s v="A     - Avere"/>
    <n v="115000"/>
    <n v="0"/>
    <n v="3051199"/>
    <s v="DCRFNC36B24F784D"/>
    <s v="DE CARLO FRANCESCO ANTONIO"/>
    <s v="600 - Famiglie consumatrici"/>
    <m/>
    <s v="086 - ITALIA"/>
    <n v="838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207"/>
    <x v="3"/>
    <x v="3"/>
    <x v="20"/>
    <n v="53850"/>
    <n v="171"/>
    <s v="053850_171"/>
    <s v="Discovery Day"/>
    <s v="Mai valutato"/>
    <m/>
    <s v="Vari (02/04/2025)"/>
    <n v="1713305728950"/>
    <n v="20250402"/>
    <s v="03 - Versamento contante cassa continua "/>
    <m/>
    <m/>
    <s v="A     - Avere"/>
    <n v="369028.3"/>
    <n v="369028.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0"/>
    <s v="999"/>
    <s v="430"/>
    <s v="430999"/>
    <m/>
    <s v="1"/>
    <s v="Classe di rischio 1"/>
  </r>
  <r>
    <n v="329206"/>
    <x v="4"/>
    <x v="4"/>
    <x v="20"/>
    <n v="53850"/>
    <n v="116"/>
    <s v="053850_116"/>
    <s v="Discovery Day"/>
    <s v="Mai valutato"/>
    <m/>
    <n v="202504027862260"/>
    <n v="2343300010453"/>
    <n v="20250402"/>
    <s v="48 - Bonifico in arrivo "/>
    <m/>
    <s v="086 - ITALIA"/>
    <s v="A     - Avere"/>
    <n v="80000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29205"/>
    <x v="3"/>
    <x v="3"/>
    <x v="20"/>
    <n v="53850"/>
    <n v="171"/>
    <s v="053850_171"/>
    <s v="Discovery Day"/>
    <s v="Mai valutato"/>
    <m/>
    <s v="Vari (02/04/2025)"/>
    <n v="1713302214147"/>
    <n v="20250402"/>
    <s v="03 - Versamento contante cassa continua "/>
    <m/>
    <m/>
    <s v="A     - Avere"/>
    <n v="145260"/>
    <n v="14526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0"/>
    <s v="999"/>
    <s v="430"/>
    <s v="430999"/>
    <m/>
    <s v="1"/>
    <s v="Classe di rischio 1"/>
  </r>
  <r>
    <n v="329204"/>
    <x v="4"/>
    <x v="4"/>
    <x v="20"/>
    <n v="53850"/>
    <n v="286"/>
    <s v="053850_286"/>
    <s v="Discovery Day"/>
    <s v="Mai valutato"/>
    <m/>
    <n v="202504027861856"/>
    <n v="2863300003129"/>
    <n v="20250402"/>
    <s v="48 - Bonifico in arrivo "/>
    <m/>
    <s v="086 - ITALIA"/>
    <s v="A     - Avere"/>
    <n v="250000"/>
    <n v="0"/>
    <n v="1622185"/>
    <s v="DMZMRA55A08C632V"/>
    <s v="DI MUZIO MARIO"/>
    <s v="600 - Famiglie consumatrici"/>
    <m/>
    <s v="086 - ITALIA"/>
    <n v="1848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203"/>
    <x v="6"/>
    <x v="6"/>
    <x v="20"/>
    <n v="53850"/>
    <n v="175"/>
    <s v="053850_175"/>
    <s v="Discovery Day"/>
    <s v="Mai valutato"/>
    <m/>
    <n v="202504027862311"/>
    <n v="1753302203813"/>
    <n v="20250402"/>
    <s v="AA - Bonifico da e per estero "/>
    <m/>
    <s v="103 - HONG KONG"/>
    <s v="D     - Dare"/>
    <n v="241232.45"/>
    <n v="0"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202"/>
    <x v="10"/>
    <x v="10"/>
    <x v="20"/>
    <n v="53850"/>
    <n v="266"/>
    <s v="053850_266"/>
    <s v="Discovery Day"/>
    <s v="Mai valutato"/>
    <m/>
    <n v="202504027863394"/>
    <m/>
    <n v="20250402"/>
    <s v="48 - Bonifico in arrivo "/>
    <m/>
    <s v="086 - ITALIA"/>
    <s v="A     - Avere"/>
    <n v="28147.84"/>
    <n v="28147.84"/>
    <n v="1615897"/>
    <s v="NLLCML74E67F537B"/>
    <s v="ANELLO CARMELA"/>
    <s v="600 - Famiglie consumatrici"/>
    <m/>
    <s v="086 - ITALIA"/>
    <n v="1811"/>
    <m/>
    <m/>
    <m/>
    <m/>
    <m/>
    <m/>
    <m/>
    <n v="0"/>
    <n v="202504"/>
    <x v="5"/>
    <x v="2"/>
    <x v="1"/>
    <m/>
    <x v="0"/>
    <x v="0"/>
    <s v="999"/>
    <s v="600"/>
    <s v="600999"/>
    <s v="Classe di rischio 7"/>
    <m/>
    <s v="Classe di rischio 7"/>
  </r>
  <r>
    <n v="329201"/>
    <x v="5"/>
    <x v="5"/>
    <x v="20"/>
    <n v="53850"/>
    <n v="266"/>
    <s v="053850_266"/>
    <s v="Discovery Day"/>
    <s v="Mai valutato"/>
    <m/>
    <s v="Vari (02/04/2025)"/>
    <n v="2663300001822"/>
    <n v="20250402"/>
    <s v="D1 - Versamento di contante "/>
    <m/>
    <m/>
    <s v="A     - Avere"/>
    <n v="31100"/>
    <n v="31100"/>
    <n v="1626200"/>
    <s v="BVVPRZ65R53G722T"/>
    <s v="BEVEVINO PATRIZIA"/>
    <s v="615 - Altre famiglie produttrici"/>
    <s v="472 - COMMERCIO AL DETTAGLIO DI PRODOTTI ALIMENTARI, BEVANDE E TABACCO IN ESERCIZI SPECIALIZZATI"/>
    <s v="086 - ITALIA"/>
    <n v="1785"/>
    <m/>
    <m/>
    <m/>
    <m/>
    <m/>
    <m/>
    <m/>
    <n v="0"/>
    <n v="202504"/>
    <x v="1"/>
    <x v="0"/>
    <x v="0"/>
    <n v="1626200"/>
    <x v="1"/>
    <x v="0"/>
    <s v="999"/>
    <s v="615"/>
    <s v="615999"/>
    <m/>
    <s v="1"/>
    <s v="Classe di rischio 3"/>
  </r>
  <r>
    <n v="329200"/>
    <x v="5"/>
    <x v="5"/>
    <x v="20"/>
    <n v="53850"/>
    <n v="116"/>
    <s v="053850_116"/>
    <s v="Discovery Day"/>
    <s v="Mai valutato"/>
    <m/>
    <n v="202504027862913"/>
    <n v="2343300010453"/>
    <n v="20250402"/>
    <s v="03 - Versamento contante cassa continua "/>
    <m/>
    <m/>
    <s v="A     - Avere"/>
    <n v="145499.5"/>
    <n v="145499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x v="3"/>
    <x v="1"/>
    <x v="0"/>
    <n v="4247777"/>
    <x v="1"/>
    <x v="0"/>
    <s v="463"/>
    <s v="430"/>
    <s v="430463"/>
    <s v="Classe di rischio 3"/>
    <m/>
    <s v="Classe di rischio 3"/>
  </r>
  <r>
    <n v="329199"/>
    <x v="6"/>
    <x v="6"/>
    <x v="20"/>
    <n v="53850"/>
    <n v="148"/>
    <s v="053850_148"/>
    <s v="Discovery Day"/>
    <s v="Mai valutato"/>
    <m/>
    <n v="202504027862309"/>
    <n v="1483300003872"/>
    <n v="20250402"/>
    <s v="AA - Bonifico da e per estero "/>
    <m/>
    <s v="103 - HONG KONG"/>
    <s v="A     - Avere"/>
    <n v="18885.599999999999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198"/>
    <x v="4"/>
    <x v="4"/>
    <x v="21"/>
    <n v="53850"/>
    <n v="195"/>
    <s v="053850_195"/>
    <s v="Discovery Day"/>
    <s v="Mai valutato"/>
    <m/>
    <n v="202504027858462"/>
    <n v="1953300028752"/>
    <n v="20250402"/>
    <s v="BB - Acquisto a pronti titoli e diritti d'opzione "/>
    <m/>
    <m/>
    <s v="D     - Dare"/>
    <n v="496781.48"/>
    <n v="0"/>
    <n v="3103898"/>
    <s v="CPTBNT39S19G252P"/>
    <s v="CAPUTO BENITO"/>
    <s v="615 - Altre famiglie produttrici"/>
    <s v="012 - COLTIVAZIONE DI COLTURE PERMANENTI"/>
    <s v="086 - ITALIA"/>
    <n v="1961"/>
    <m/>
    <m/>
    <m/>
    <m/>
    <m/>
    <m/>
    <m/>
    <n v="0"/>
    <n v="202504"/>
    <x v="2"/>
    <x v="1"/>
    <x v="0"/>
    <m/>
    <x v="0"/>
    <x v="0"/>
    <s v="999"/>
    <s v="615"/>
    <s v="615999"/>
    <m/>
    <s v="1"/>
    <s v="Classe di rischio 3"/>
  </r>
  <r>
    <n v="329197"/>
    <x v="5"/>
    <x v="5"/>
    <x v="21"/>
    <n v="53850"/>
    <n v="161"/>
    <s v="053850_161"/>
    <s v="Discovery Day"/>
    <s v="Mai valutato"/>
    <m/>
    <s v="Vari (01/04/2025)"/>
    <n v="1613300031333"/>
    <n v="20250401"/>
    <s v="VV"/>
    <m/>
    <m/>
    <s v="A     - Avere"/>
    <n v="45503.65"/>
    <n v="41305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4"/>
    <x v="1"/>
    <x v="0"/>
    <x v="0"/>
    <n v="511904"/>
    <x v="1"/>
    <x v="1"/>
    <s v="999"/>
    <s v="615"/>
    <s v="615999"/>
    <m/>
    <s v="1"/>
    <s v="Classe di rischio 3"/>
  </r>
  <r>
    <n v="329196"/>
    <x v="5"/>
    <x v="5"/>
    <x v="21"/>
    <n v="53850"/>
    <n v="268"/>
    <s v="053850_268"/>
    <s v="Discovery Day"/>
    <s v="Mai valutato"/>
    <m/>
    <n v="202504017860374"/>
    <n v="2683300006671"/>
    <n v="20250401"/>
    <s v="D1 - Versamento di contante "/>
    <m/>
    <m/>
    <s v="A     - Avere"/>
    <n v="24000"/>
    <n v="2400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4"/>
    <x v="0"/>
    <x v="0"/>
    <x v="0"/>
    <m/>
    <x v="0"/>
    <x v="0"/>
    <s v="477"/>
    <s v="480"/>
    <s v="480477"/>
    <s v="Classe di rischio 5"/>
    <m/>
    <s v="Classe di rischio 5"/>
  </r>
  <r>
    <n v="329195"/>
    <x v="5"/>
    <x v="5"/>
    <x v="21"/>
    <n v="53850"/>
    <n v="171"/>
    <s v="053850_171"/>
    <s v="Discovery Day"/>
    <s v="Mai valutato"/>
    <m/>
    <s v="Vari (01/04/2025)"/>
    <n v="1713302214147"/>
    <n v="20250401"/>
    <s v="VV"/>
    <m/>
    <m/>
    <s v="A     - Avere"/>
    <n v="49575"/>
    <n v="4355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4199319"/>
    <x v="1"/>
    <x v="1"/>
    <s v="999"/>
    <s v="430"/>
    <s v="430999"/>
    <m/>
    <s v="1"/>
    <s v="Classe di rischio 1"/>
  </r>
  <r>
    <n v="329194"/>
    <x v="4"/>
    <x v="4"/>
    <x v="21"/>
    <n v="53850"/>
    <n v="103"/>
    <s v="053850_103"/>
    <s v="Discovery Day"/>
    <s v="Mai valutato"/>
    <m/>
    <n v="202504017860035"/>
    <n v="1033306972235"/>
    <n v="20250401"/>
    <s v="10 - Emisione assegni circolari e titoli similari vaglia"/>
    <m/>
    <m/>
    <s v="D     - Dare"/>
    <n v="449000"/>
    <n v="0"/>
    <n v="4397101"/>
    <n v="6401490724"/>
    <s v="EDIL POLI SOCIETA' A RESPONSABILITA' LIMITAT"/>
    <s v="430 - Imprese produttive"/>
    <s v="412 - COSTRUZIONE DI EDIFICI RESIDENZIALI E NON RESIDENZIALI"/>
    <s v="086 - ITALIA"/>
    <n v="1274"/>
    <m/>
    <m/>
    <m/>
    <m/>
    <m/>
    <m/>
    <m/>
    <n v="0"/>
    <n v="202504"/>
    <x v="1"/>
    <x v="0"/>
    <x v="0"/>
    <m/>
    <x v="0"/>
    <x v="0"/>
    <s v="412"/>
    <s v="430"/>
    <s v="430412"/>
    <s v="Classe di rischio 3"/>
    <m/>
    <s v="Classe di rischio 3"/>
  </r>
  <r>
    <n v="329193"/>
    <x v="4"/>
    <x v="4"/>
    <x v="21"/>
    <n v="53850"/>
    <n v="105"/>
    <s v="053850_105"/>
    <s v="Discovery Day"/>
    <s v="Mai valutato"/>
    <m/>
    <n v="202504017860058"/>
    <n v="1053306288710"/>
    <n v="20250401"/>
    <s v="BB - Acquisto a pronti titoli e diritti d'opzione "/>
    <m/>
    <m/>
    <s v="D     - Dare"/>
    <n v="4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192"/>
    <x v="2"/>
    <x v="2"/>
    <x v="21"/>
    <n v="53850"/>
    <n v="174"/>
    <s v="053850_174"/>
    <s v="Discovery Day"/>
    <s v="Mai valutato"/>
    <m/>
    <s v="202504015377338L"/>
    <n v="1743302877913"/>
    <n v="20250401"/>
    <s v="AA - Bonifico da e per estero "/>
    <m/>
    <s v="261 - CROAZIA"/>
    <s v="A     - Avere"/>
    <n v="4193.1000000000004"/>
    <n v="0"/>
    <n v="4180010"/>
    <n v="5953650727"/>
    <s v="BARRACUDA S.A.S. DI DIROMA LEONARDO &amp; C."/>
    <s v="492 - Quasi societa' non finanziarie altre - Unita' o societa' con meno di 20 addetti"/>
    <s v="476 - COMMERCIO AL DETTAGLIO DI ARTICOLI CULTURALI E RICREATIVI IN ESERCIZI SPECIALIZZATI"/>
    <s v="086 - ITALIA"/>
    <n v="720"/>
    <m/>
    <m/>
    <m/>
    <m/>
    <m/>
    <m/>
    <m/>
    <n v="0"/>
    <n v="202504"/>
    <x v="4"/>
    <x v="1"/>
    <x v="0"/>
    <m/>
    <x v="0"/>
    <x v="0"/>
    <s v="999"/>
    <s v="492"/>
    <s v="492999"/>
    <m/>
    <s v="1"/>
    <s v="Classe di rischio 2"/>
  </r>
  <r>
    <n v="329191"/>
    <x v="4"/>
    <x v="4"/>
    <x v="21"/>
    <n v="53850"/>
    <n v="175"/>
    <s v="053850_175"/>
    <s v="Discovery Day"/>
    <s v="Mai valutato"/>
    <m/>
    <n v="202504017859492"/>
    <n v="1753305636160"/>
    <n v="20250401"/>
    <s v="29 - Accrediti o incasso RI.BA. "/>
    <m/>
    <m/>
    <s v="A     - Avere"/>
    <n v="2927958.33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4"/>
    <x v="1"/>
    <x v="0"/>
    <x v="0"/>
    <m/>
    <x v="0"/>
    <x v="0"/>
    <s v="464"/>
    <s v="430"/>
    <s v="430464"/>
    <s v="Classe di rischio 4"/>
    <m/>
    <s v="Classe di rischio 4"/>
  </r>
  <r>
    <n v="329190"/>
    <x v="4"/>
    <x v="4"/>
    <x v="21"/>
    <n v="53850"/>
    <n v="102"/>
    <s v="053850_102"/>
    <s v="Discovery Day"/>
    <s v="Mai valutato"/>
    <m/>
    <n v="202504017857363"/>
    <n v="1023308727499"/>
    <n v="20250401"/>
    <s v="48 - Bonifico in arrivo "/>
    <m/>
    <s v="086 - ITALIA"/>
    <s v="A     - Avere"/>
    <n v="300000"/>
    <n v="0"/>
    <n v="488324"/>
    <s v="LRSNTN88P06A225I"/>
    <s v="LORUSSO ANTONIO"/>
    <s v="600 - Famiglie consumatrici"/>
    <m/>
    <s v="086 - ITALIA"/>
    <n v="580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189"/>
    <x v="4"/>
    <x v="4"/>
    <x v="21"/>
    <n v="53850"/>
    <n v="120"/>
    <s v="053850_120"/>
    <s v="Discovery Day"/>
    <s v="Mai valutato"/>
    <m/>
    <n v="202504017857458"/>
    <n v="1203300002401"/>
    <n v="20250401"/>
    <s v="48 - Bonifico in arrivo "/>
    <m/>
    <s v="086 - ITALIA"/>
    <s v="A     - Avere"/>
    <n v="2263165.14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4"/>
    <x v="1"/>
    <x v="0"/>
    <x v="0"/>
    <n v="613876"/>
    <x v="1"/>
    <x v="0"/>
    <s v="999"/>
    <s v="500"/>
    <s v="500999"/>
    <m/>
    <s v="1"/>
    <s v="Classe di rischio 3"/>
  </r>
  <r>
    <n v="329188"/>
    <x v="4"/>
    <x v="4"/>
    <x v="21"/>
    <n v="53850"/>
    <n v="102"/>
    <s v="053850_102"/>
    <s v="Discovery Day"/>
    <s v="Mai valutato"/>
    <m/>
    <n v="202504017860008"/>
    <n v="1023300113820"/>
    <n v="20250401"/>
    <s v="26 - Bonifico in partenza "/>
    <m/>
    <s v="086 - ITALIA"/>
    <s v="D     - Dare"/>
    <n v="29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187"/>
    <x v="6"/>
    <x v="6"/>
    <x v="21"/>
    <n v="53850"/>
    <n v="149"/>
    <s v="053850_149"/>
    <s v="Discovery Day"/>
    <s v="Mai valutato"/>
    <m/>
    <n v="202504017858292"/>
    <n v="1493300662197"/>
    <n v="20250401"/>
    <s v="AA - Bonifico da e per estero "/>
    <m/>
    <s v="103 - HONG KONG"/>
    <s v="D     - Dare"/>
    <n v="5000"/>
    <n v="0"/>
    <n v="4636425"/>
    <n v="6517081219"/>
    <s v="LOLLY &amp; CO. S.R.L."/>
    <s v="430 - Imprese produttive"/>
    <s v="151 - PREPARAZIONE E CONCIA DEL CUOIO, FABBRICAZIONE DI ARTICOLI DA VIAGGIO, BORSE, PELLETTERIA E SELLERIA, PREPARAZIONE E TINTURA DI PELLICCE"/>
    <s v="086 - ITALIA"/>
    <n v="1256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186"/>
    <x v="6"/>
    <x v="6"/>
    <x v="21"/>
    <n v="53850"/>
    <n v="270"/>
    <s v="053850_270"/>
    <s v="Discovery Day"/>
    <s v="Mai valutato"/>
    <m/>
    <n v="202504017858297"/>
    <n v="2703300010876"/>
    <n v="20250401"/>
    <s v="AA - Bonifico da e per estero "/>
    <m/>
    <s v="071 - SVIZZERA"/>
    <s v="A     - Avere"/>
    <n v="132253.26"/>
    <n v="0"/>
    <n v="3741353"/>
    <s v="LNZGPP72C63E243R"/>
    <s v="LEONZIO GIUSEPPINA"/>
    <s v="775 - Famiglie consumatrici di paesi non UE"/>
    <m/>
    <s v="071 - SVIZZERA"/>
    <n v="1809"/>
    <m/>
    <m/>
    <m/>
    <m/>
    <m/>
    <m/>
    <m/>
    <n v="0"/>
    <n v="202504"/>
    <x v="1"/>
    <x v="0"/>
    <x v="0"/>
    <m/>
    <x v="0"/>
    <x v="0"/>
    <s v="999"/>
    <s v="775"/>
    <s v="775999"/>
    <s v="Classe di rischio 7"/>
    <m/>
    <s v="Classe di rischio 7"/>
  </r>
  <r>
    <n v="329185"/>
    <x v="2"/>
    <x v="2"/>
    <x v="21"/>
    <n v="53850"/>
    <n v="148"/>
    <s v="053850_148"/>
    <s v="Discovery Day"/>
    <s v="Mai valutato"/>
    <m/>
    <n v="202504017856696"/>
    <n v="1483300004073"/>
    <n v="20250401"/>
    <s v="AA - Bonifico da e per estero "/>
    <m/>
    <s v="261 - CROAZIA"/>
    <s v="D     - Dare"/>
    <n v="9000"/>
    <n v="0"/>
    <n v="4876039"/>
    <n v="1670580628"/>
    <s v="MUPU SOCIETA' A RESPONSABILITA' LIMITATASEMPLIFICATA"/>
    <s v="430 - Imprese produttive"/>
    <s v="960 - ALTRE ATTIVITÀ DI SERVIZI PER LA PERSONA"/>
    <s v="086 - ITALIA"/>
    <n v="1063"/>
    <m/>
    <m/>
    <m/>
    <m/>
    <m/>
    <m/>
    <m/>
    <n v="0"/>
    <n v="202504"/>
    <x v="1"/>
    <x v="0"/>
    <x v="0"/>
    <m/>
    <x v="0"/>
    <x v="0"/>
    <s v="999"/>
    <s v="430"/>
    <s v="430999"/>
    <m/>
    <s v="1"/>
    <s v="Classe di rischio 1"/>
  </r>
  <r>
    <n v="329184"/>
    <x v="2"/>
    <x v="2"/>
    <x v="21"/>
    <n v="53850"/>
    <n v="128"/>
    <s v="053850_128"/>
    <s v="Discovery Day"/>
    <s v="Mai valutato"/>
    <m/>
    <n v="202504017858290"/>
    <n v="1283300002423"/>
    <n v="20250401"/>
    <s v="AA - Bonifico da e per estero "/>
    <m/>
    <s v="238 - ABU DHABI"/>
    <s v="A     - Avere"/>
    <n v="15000"/>
    <n v="0"/>
    <n v="4582488"/>
    <s v="MRTMHL85H13F262D"/>
    <s v="MARTINO MICHELE"/>
    <s v="600 - Famiglie consumatrici"/>
    <m/>
    <s v="086 - ITALIA"/>
    <n v="726"/>
    <m/>
    <m/>
    <m/>
    <m/>
    <m/>
    <m/>
    <m/>
    <n v="0"/>
    <n v="202504"/>
    <x v="3"/>
    <x v="1"/>
    <x v="0"/>
    <m/>
    <x v="0"/>
    <x v="0"/>
    <s v="999"/>
    <s v="600"/>
    <s v="600999"/>
    <s v="Classe di rischio 7"/>
    <m/>
    <s v="Classe di rischio 7"/>
  </r>
  <r>
    <n v="329183"/>
    <x v="6"/>
    <x v="6"/>
    <x v="21"/>
    <n v="53850"/>
    <n v="140"/>
    <s v="053850_140"/>
    <s v="Discovery Day"/>
    <s v="Mai valutato"/>
    <m/>
    <n v="202504017857376"/>
    <n v="1403300003116"/>
    <n v="20250401"/>
    <s v="AA - Bonifico da e per estero "/>
    <m/>
    <s v="090 - LIECHTENSTEIN"/>
    <s v="A     - Avere"/>
    <n v="20000"/>
    <n v="0"/>
    <n v="4089951"/>
    <s v="CRFGPP48C20F842N"/>
    <s v="CARAFA GIUSEPPE"/>
    <s v="600 - Famiglie consumatrici"/>
    <m/>
    <s v="086 - ITALIA"/>
    <n v="1403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182"/>
    <x v="4"/>
    <x v="4"/>
    <x v="21"/>
    <n v="53850"/>
    <n v="129"/>
    <s v="053850_129"/>
    <s v="Discovery Day"/>
    <s v="Mai valutato"/>
    <m/>
    <n v="202504017856853"/>
    <n v="1293300002289"/>
    <n v="20250401"/>
    <s v="26 - Bonifico in partenza "/>
    <m/>
    <s v="086 - ITALIA"/>
    <s v="D     - Dare"/>
    <n v="1010413.22"/>
    <n v="0"/>
    <n v="401846"/>
    <n v="259270726"/>
    <s v="VETRERIE MERIDIONALI SPA"/>
    <s v="430 - Imprese produttive"/>
    <s v="231 - FABBRICAZIONE DI VETRO E DI PRODOTTI IN VETRO"/>
    <s v="086 - ITALIA"/>
    <n v="1058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181"/>
    <x v="3"/>
    <x v="3"/>
    <x v="21"/>
    <n v="53850"/>
    <n v="171"/>
    <s v="053850_171"/>
    <s v="Discovery Day"/>
    <s v="Mai valutato"/>
    <m/>
    <s v="Vari (01/04/2025)"/>
    <n v="1713305728950"/>
    <n v="20250401"/>
    <s v="VV"/>
    <m/>
    <m/>
    <s v="A     - Avere"/>
    <n v="224517.49"/>
    <n v="218237.4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1"/>
    <s v="999"/>
    <s v="430"/>
    <s v="430999"/>
    <m/>
    <s v="1"/>
    <s v="Classe di rischio 1"/>
  </r>
  <r>
    <n v="329180"/>
    <x v="3"/>
    <x v="3"/>
    <x v="21"/>
    <n v="53850"/>
    <n v="102"/>
    <s v="053850_102"/>
    <s v="Discovery Day"/>
    <s v="Mai valutato"/>
    <m/>
    <s v="Vari (01/04/2025)"/>
    <n v="1023308722503"/>
    <n v="20250401"/>
    <s v="03 - Versamento contante cassa continua "/>
    <m/>
    <m/>
    <s v="A     - Avere"/>
    <n v="58490"/>
    <n v="584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179"/>
    <x v="6"/>
    <x v="6"/>
    <x v="21"/>
    <n v="53850"/>
    <n v="140"/>
    <s v="053850_140"/>
    <s v="Discovery Day"/>
    <s v="Mai valutato"/>
    <m/>
    <n v="202504017857376"/>
    <n v="1403300003116"/>
    <n v="20250401"/>
    <s v="AA - Bonifico da e per estero "/>
    <m/>
    <s v="090 - LIECHTENSTEIN"/>
    <s v="A     - Avere"/>
    <n v="20000"/>
    <n v="0"/>
    <n v="4090758"/>
    <s v="CTLCCF50E43F842C"/>
    <s v="CATALDI CROCEFISSA"/>
    <s v="600 - Famiglie consumatrici"/>
    <m/>
    <s v="086 - ITALIA"/>
    <n v="1403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178"/>
    <x v="2"/>
    <x v="2"/>
    <x v="21"/>
    <n v="53850"/>
    <n v="148"/>
    <s v="053850_148"/>
    <s v="Discovery Day"/>
    <s v="Mai valutato"/>
    <m/>
    <n v="202504017858305"/>
    <n v="1483300003872"/>
    <n v="20250401"/>
    <s v="AA - Bonifico da e per estero "/>
    <m/>
    <s v="262 - RUSSIA (FEDERAZIONE DI)"/>
    <s v="D     - Dare"/>
    <n v="5018.09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4"/>
    <x v="0"/>
    <x v="0"/>
    <x v="0"/>
    <m/>
    <x v="0"/>
    <x v="0"/>
    <s v="999"/>
    <s v="430"/>
    <s v="430999"/>
    <m/>
    <s v="1"/>
    <s v="Classe di rischio 1"/>
  </r>
  <r>
    <n v="329177"/>
    <x v="3"/>
    <x v="3"/>
    <x v="21"/>
    <n v="53850"/>
    <n v="108"/>
    <s v="053850_108"/>
    <s v="Discovery Day"/>
    <s v="Mai valutato"/>
    <m/>
    <s v="Vari (01/04/2025)"/>
    <n v="1083300011180"/>
    <n v="20250401"/>
    <s v="VV"/>
    <m/>
    <m/>
    <s v="A     - Avere"/>
    <n v="281108.96999999997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x v="0"/>
    <x v="0"/>
    <x v="0"/>
    <m/>
    <x v="0"/>
    <x v="1"/>
    <s v="999"/>
    <s v="430"/>
    <s v="430999"/>
    <m/>
    <s v="1"/>
    <s v="Classe di rischio 1"/>
  </r>
  <r>
    <n v="329176"/>
    <x v="3"/>
    <x v="3"/>
    <x v="21"/>
    <n v="53850"/>
    <n v="175"/>
    <s v="053850_175"/>
    <s v="Discovery Day"/>
    <s v="Mai valutato"/>
    <m/>
    <n v="202504017860265"/>
    <n v="1753305678410"/>
    <n v="20250401"/>
    <s v="G7 - Versamento assegno circolare altro intermediario "/>
    <m/>
    <m/>
    <s v="A     - Avere"/>
    <n v="160000"/>
    <n v="0"/>
    <n v="567841"/>
    <s v="NCLVCN55T22F052Q"/>
    <s v="NICOLETTI VINCENZO"/>
    <s v="600 - Famiglie consumatrici"/>
    <m/>
    <s v="086 - ITALIA"/>
    <n v="1585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175"/>
    <x v="9"/>
    <x v="9"/>
    <x v="21"/>
    <n v="53850"/>
    <n v="270"/>
    <s v="053850_270"/>
    <s v="Discovery Day"/>
    <s v="Mai valutato"/>
    <m/>
    <n v="202504017858299"/>
    <n v="2703300010876"/>
    <n v="20250401"/>
    <s v="AA - Bonifico da e per estero "/>
    <m/>
    <s v="071 - SVIZZERA"/>
    <s v="A     - Avere"/>
    <n v="22180.77"/>
    <n v="0"/>
    <n v="3741353"/>
    <s v="LNZGPP72C63E243R"/>
    <s v="LEONZIO GIUSEPPINA"/>
    <s v="775 - Famiglie consumatrici di paesi non UE"/>
    <m/>
    <s v="071 - SVIZZERA"/>
    <n v="1809"/>
    <m/>
    <m/>
    <m/>
    <m/>
    <m/>
    <m/>
    <m/>
    <n v="0"/>
    <n v="202504"/>
    <x v="1"/>
    <x v="0"/>
    <x v="0"/>
    <m/>
    <x v="0"/>
    <x v="0"/>
    <s v="999"/>
    <s v="775"/>
    <s v="775999"/>
    <s v="Classe di rischio 7"/>
    <m/>
    <s v="Classe di rischio 7"/>
  </r>
  <r>
    <n v="329174"/>
    <x v="4"/>
    <x v="4"/>
    <x v="21"/>
    <n v="53850"/>
    <n v="105"/>
    <s v="053850_105"/>
    <s v="Discovery Day"/>
    <s v="Mai valutato"/>
    <m/>
    <n v="202504017858157"/>
    <n v="1053306288710"/>
    <n v="20250401"/>
    <s v="48 - Bonifico in arrivo "/>
    <m/>
    <s v="086 - ITALIA"/>
    <s v="A     - Avere"/>
    <n v="711984.1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173"/>
    <x v="9"/>
    <x v="9"/>
    <x v="21"/>
    <n v="53850"/>
    <n v="270"/>
    <s v="053850_270"/>
    <s v="Discovery Day"/>
    <s v="Mai valutato"/>
    <m/>
    <n v="202504017858297"/>
    <n v="2703300010876"/>
    <n v="20250401"/>
    <s v="AA - Bonifico da e per estero "/>
    <m/>
    <s v="071 - SVIZZERA"/>
    <s v="A     - Avere"/>
    <n v="132253.26"/>
    <n v="0"/>
    <n v="3741353"/>
    <s v="LNZGPP72C63E243R"/>
    <s v="LEONZIO GIUSEPPINA"/>
    <s v="775 - Famiglie consumatrici di paesi non UE"/>
    <m/>
    <s v="071 - SVIZZERA"/>
    <n v="1809"/>
    <m/>
    <m/>
    <m/>
    <m/>
    <m/>
    <m/>
    <m/>
    <n v="0"/>
    <n v="202504"/>
    <x v="1"/>
    <x v="0"/>
    <x v="0"/>
    <m/>
    <x v="0"/>
    <x v="0"/>
    <s v="999"/>
    <s v="775"/>
    <s v="775999"/>
    <s v="Classe di rischio 7"/>
    <m/>
    <s v="Classe di rischio 7"/>
  </r>
  <r>
    <n v="329172"/>
    <x v="2"/>
    <x v="2"/>
    <x v="21"/>
    <n v="53850"/>
    <n v="191"/>
    <s v="053850_191"/>
    <s v="Discovery Day"/>
    <s v="Mai valutato"/>
    <m/>
    <s v="202504015412296L"/>
    <n v="1913300068419"/>
    <n v="20250401"/>
    <s v="AA - Bonifico da e per estero "/>
    <m/>
    <s v="012 - BULGARIA"/>
    <s v="A     - Avere"/>
    <n v="1840"/>
    <n v="0"/>
    <n v="4961778"/>
    <n v="3279060739"/>
    <s v="SIET IMPIANTI SOCIETA' A RESPONSABILITA'LIMI"/>
    <s v="430 - Imprese produttive"/>
    <s v="432 - INSTALLAZIONE DI IMPIANTI ELETTRICI, IDRAULICI ED ALTRI LAVORI DI COSTRUZIONE E INSTALLAZIONE"/>
    <s v="086 - ITALIA"/>
    <n v="1915"/>
    <m/>
    <m/>
    <m/>
    <m/>
    <m/>
    <m/>
    <m/>
    <n v="0"/>
    <n v="202504"/>
    <x v="4"/>
    <x v="1"/>
    <x v="0"/>
    <m/>
    <x v="0"/>
    <x v="0"/>
    <s v="999"/>
    <s v="430"/>
    <s v="430999"/>
    <m/>
    <s v="1"/>
    <s v="Classe di rischio 1"/>
  </r>
  <r>
    <n v="329171"/>
    <x v="4"/>
    <x v="4"/>
    <x v="21"/>
    <n v="53850"/>
    <n v="105"/>
    <s v="053850_105"/>
    <s v="Discovery Day"/>
    <s v="Mai valutato"/>
    <m/>
    <n v="202504017858097"/>
    <n v="1053306288710"/>
    <n v="20250401"/>
    <s v="48 - Bonifico in arrivo "/>
    <m/>
    <s v="086 - ITALIA"/>
    <s v="A     - Avere"/>
    <n v="1154498.2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170"/>
    <x v="2"/>
    <x v="2"/>
    <x v="21"/>
    <n v="53850"/>
    <n v="128"/>
    <s v="053850_128"/>
    <s v="Discovery Day"/>
    <s v="Mai valutato"/>
    <m/>
    <n v="202504017858290"/>
    <n v="1283300002423"/>
    <n v="20250401"/>
    <s v="AA - Bonifico da e per estero "/>
    <m/>
    <s v="238 - ABU DHABI"/>
    <s v="A     - Avere"/>
    <n v="15000"/>
    <n v="0"/>
    <n v="4582492"/>
    <s v="MRTNCL52R05F262F"/>
    <s v="MARTINO NICOLA"/>
    <s v="600 - Famiglie consumatrici"/>
    <m/>
    <s v="086 - ITALIA"/>
    <n v="726"/>
    <m/>
    <m/>
    <m/>
    <m/>
    <m/>
    <m/>
    <m/>
    <n v="0"/>
    <n v="202504"/>
    <x v="0"/>
    <x v="0"/>
    <x v="0"/>
    <m/>
    <x v="0"/>
    <x v="0"/>
    <s v="999"/>
    <s v="600"/>
    <s v="600999"/>
    <s v="Classe di rischio 7"/>
    <m/>
    <s v="Classe di rischio 7"/>
  </r>
  <r>
    <n v="329169"/>
    <x v="4"/>
    <x v="4"/>
    <x v="21"/>
    <n v="53850"/>
    <n v="226"/>
    <s v="053850_226"/>
    <s v="Discovery Day"/>
    <s v="Mai valutato"/>
    <m/>
    <n v="202504017857996"/>
    <n v="2263300011408"/>
    <n v="20250401"/>
    <s v="48 - Bonifico in arrivo "/>
    <m/>
    <s v="086 - ITALIA"/>
    <s v="A     - Avere"/>
    <n v="242516.36"/>
    <n v="0"/>
    <n v="4542597"/>
    <s v="MMLNTN47A42L328J"/>
    <s v="MEMOLI ANTONIA"/>
    <s v="600 - Famiglie consumatrici"/>
    <m/>
    <s v="086 - ITALIA"/>
    <n v="1395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168"/>
    <x v="4"/>
    <x v="4"/>
    <x v="21"/>
    <n v="53850"/>
    <n v="109"/>
    <s v="053850_109"/>
    <s v="Discovery Day"/>
    <s v="Mai valutato"/>
    <m/>
    <n v="202504017860077"/>
    <n v="1095500086659"/>
    <n v="20250401"/>
    <s v="BT - Rimborso su libretti a risparmio "/>
    <m/>
    <m/>
    <s v="D     - Dare"/>
    <n v="240594.1"/>
    <n v="0"/>
    <n v="565141"/>
    <s v="RSTFNC34T12I907O"/>
    <s v="ROSATO FRANCESCO"/>
    <s v="600 - Famiglie consumatrici"/>
    <m/>
    <s v="086 - ITALIA"/>
    <n v="778"/>
    <m/>
    <m/>
    <m/>
    <m/>
    <m/>
    <m/>
    <m/>
    <n v="0"/>
    <n v="202504"/>
    <x v="2"/>
    <x v="1"/>
    <x v="0"/>
    <m/>
    <x v="0"/>
    <x v="0"/>
    <s v="999"/>
    <s v="600"/>
    <s v="600999"/>
    <s v="Classe di rischio 7"/>
    <m/>
    <s v="Classe di rischio 7"/>
  </r>
  <r>
    <n v="329167"/>
    <x v="6"/>
    <x v="6"/>
    <x v="21"/>
    <n v="53850"/>
    <n v="270"/>
    <s v="053850_270"/>
    <s v="Discovery Day"/>
    <s v="Mai valutato"/>
    <m/>
    <n v="202504017858299"/>
    <n v="2703300010876"/>
    <n v="20250401"/>
    <s v="AA - Bonifico da e per estero "/>
    <m/>
    <s v="071 - SVIZZERA"/>
    <s v="A     - Avere"/>
    <n v="22180.77"/>
    <n v="0"/>
    <n v="3741353"/>
    <s v="LNZGPP72C63E243R"/>
    <s v="LEONZIO GIUSEPPINA"/>
    <s v="775 - Famiglie consumatrici di paesi non UE"/>
    <m/>
    <s v="071 - SVIZZERA"/>
    <n v="1809"/>
    <m/>
    <m/>
    <m/>
    <m/>
    <m/>
    <m/>
    <m/>
    <n v="0"/>
    <n v="202504"/>
    <x v="1"/>
    <x v="0"/>
    <x v="0"/>
    <m/>
    <x v="0"/>
    <x v="0"/>
    <s v="999"/>
    <s v="775"/>
    <s v="775999"/>
    <s v="Classe di rischio 7"/>
    <m/>
    <s v="Classe di rischio 7"/>
  </r>
  <r>
    <n v="329166"/>
    <x v="4"/>
    <x v="4"/>
    <x v="21"/>
    <n v="53850"/>
    <n v="171"/>
    <s v="053850_171"/>
    <s v="Discovery Day"/>
    <s v="Mai valutato"/>
    <m/>
    <n v="202504017859421"/>
    <n v="1713302213842"/>
    <n v="20250401"/>
    <s v="13 - Addebito per estinzione assegno"/>
    <m/>
    <m/>
    <s v="D     - Dare"/>
    <n v="1415418.69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4"/>
    <x v="3"/>
    <x v="1"/>
    <x v="0"/>
    <m/>
    <x v="0"/>
    <x v="0"/>
    <s v="999"/>
    <s v="430"/>
    <s v="430999"/>
    <m/>
    <s v="1"/>
    <s v="Classe di rischio 1"/>
  </r>
  <r>
    <n v="329165"/>
    <x v="3"/>
    <x v="3"/>
    <x v="21"/>
    <n v="53850"/>
    <n v="121"/>
    <s v="053850_121"/>
    <s v="Discovery Day"/>
    <s v="Mai valutato"/>
    <m/>
    <s v="Vari (01/04/2025)"/>
    <n v="1093300013190"/>
    <n v="20250401"/>
    <s v="VV"/>
    <m/>
    <m/>
    <s v="A     - Avere"/>
    <n v="135956.74"/>
    <n v="0"/>
    <n v="1319"/>
    <n v="257660720"/>
    <s v="F. DIVELLA S.P.A."/>
    <s v="430 - Imprese produttive"/>
    <s v="107 - PRODUZIONE DI PRODOTTI DA FORNO E FARINACEI"/>
    <s v="086 - ITALIA"/>
    <n v="1696"/>
    <m/>
    <m/>
    <m/>
    <m/>
    <m/>
    <m/>
    <m/>
    <n v="0"/>
    <n v="202504"/>
    <x v="1"/>
    <x v="0"/>
    <x v="0"/>
    <m/>
    <x v="0"/>
    <x v="1"/>
    <s v="999"/>
    <s v="430"/>
    <s v="430999"/>
    <m/>
    <s v="1"/>
    <s v="Classe di rischio 1"/>
  </r>
  <r>
    <n v="329164"/>
    <x v="4"/>
    <x v="4"/>
    <x v="21"/>
    <n v="53850"/>
    <n v="102"/>
    <s v="053850_102"/>
    <s v="Discovery Day"/>
    <s v="Mai valutato"/>
    <m/>
    <n v="202504017857363"/>
    <n v="1023308727499"/>
    <n v="20250401"/>
    <s v="48 - Bonifico in arrivo "/>
    <m/>
    <s v="086 - ITALIA"/>
    <s v="A     - Avere"/>
    <n v="300000"/>
    <n v="0"/>
    <n v="187212"/>
    <s v="LDCMLR60M60A225B"/>
    <s v="LOIUDICE MARIA LAURA"/>
    <s v="600 - Famiglie consumatrici"/>
    <m/>
    <s v="086 - ITALIA"/>
    <n v="1335"/>
    <m/>
    <m/>
    <m/>
    <m/>
    <m/>
    <m/>
    <m/>
    <n v="0"/>
    <n v="202504"/>
    <x v="1"/>
    <x v="0"/>
    <x v="0"/>
    <m/>
    <x v="0"/>
    <x v="0"/>
    <s v="999"/>
    <s v="600"/>
    <s v="600999"/>
    <s v="Classe di rischio 7"/>
    <m/>
    <s v="Classe di rischio 7"/>
  </r>
  <r>
    <n v="329163"/>
    <x v="5"/>
    <x v="5"/>
    <x v="21"/>
    <n v="53850"/>
    <n v="171"/>
    <s v="053850_171"/>
    <s v="Discovery Day"/>
    <s v="Mai valutato"/>
    <m/>
    <s v="Vari (01/04/2025)"/>
    <n v="1713305728950"/>
    <n v="20250401"/>
    <s v="VV"/>
    <m/>
    <m/>
    <s v="A     - Avere"/>
    <n v="224517.49"/>
    <n v="218237.4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4"/>
    <x v="1"/>
    <x v="0"/>
    <x v="0"/>
    <n v="572895"/>
    <x v="1"/>
    <x v="1"/>
    <s v="999"/>
    <s v="430"/>
    <s v="430999"/>
    <m/>
    <s v="1"/>
    <s v="Classe di rischio 1"/>
  </r>
  <r>
    <n v="329162"/>
    <x v="5"/>
    <x v="5"/>
    <x v="21"/>
    <n v="53850"/>
    <n v="102"/>
    <s v="053850_102"/>
    <s v="Discovery Day"/>
    <s v="Mai valutato"/>
    <m/>
    <s v="Vari (01/04/2025)"/>
    <n v="1023308722503"/>
    <n v="20250401"/>
    <s v="03 - Versamento contante cassa continua "/>
    <m/>
    <m/>
    <s v="A     - Avere"/>
    <n v="58490"/>
    <n v="584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4"/>
    <x v="1"/>
    <x v="0"/>
    <x v="0"/>
    <n v="413650"/>
    <x v="1"/>
    <x v="0"/>
    <s v="920"/>
    <s v="492"/>
    <s v="492920"/>
    <s v="Classe di rischio 5"/>
    <m/>
    <s v="Classe di rischio 5"/>
  </r>
  <r>
    <n v="329161"/>
    <x v="6"/>
    <x v="6"/>
    <x v="21"/>
    <n v="53850"/>
    <n v="270"/>
    <s v="053850_270"/>
    <s v="Discovery Day"/>
    <s v="Mai valutato"/>
    <m/>
    <n v="202504017858298"/>
    <n v="2703300010876"/>
    <n v="20250401"/>
    <s v="AA - Bonifico da e per estero "/>
    <m/>
    <s v="071 - SVIZZERA"/>
    <s v="A     - Avere"/>
    <n v="38228.06"/>
    <n v="0"/>
    <n v="3741353"/>
    <s v="LNZGPP72C63E243R"/>
    <s v="LEONZIO GIUSEPPINA"/>
    <s v="775 - Famiglie consumatrici di paesi non UE"/>
    <m/>
    <s v="071 - SVIZZERA"/>
    <n v="1809"/>
    <m/>
    <m/>
    <m/>
    <m/>
    <m/>
    <m/>
    <m/>
    <n v="0"/>
    <n v="202504"/>
    <x v="1"/>
    <x v="0"/>
    <x v="0"/>
    <m/>
    <x v="0"/>
    <x v="0"/>
    <s v="999"/>
    <s v="775"/>
    <s v="775999"/>
    <s v="Classe di rischio 7"/>
    <m/>
    <s v="Classe di rischio 7"/>
  </r>
  <r>
    <n v="329160"/>
    <x v="9"/>
    <x v="9"/>
    <x v="21"/>
    <n v="53850"/>
    <n v="270"/>
    <s v="053850_270"/>
    <s v="Discovery Day"/>
    <s v="Mai valutato"/>
    <m/>
    <n v="202504017858298"/>
    <n v="2703300010876"/>
    <n v="20250401"/>
    <s v="AA - Bonifico da e per estero "/>
    <m/>
    <s v="071 - SVIZZERA"/>
    <s v="A     - Avere"/>
    <n v="38228.06"/>
    <n v="0"/>
    <n v="3741353"/>
    <s v="LNZGPP72C63E243R"/>
    <s v="LEONZIO GIUSEPPINA"/>
    <s v="775 - Famiglie consumatrici di paesi non UE"/>
    <m/>
    <s v="071 - SVIZZERA"/>
    <n v="1809"/>
    <m/>
    <m/>
    <m/>
    <m/>
    <m/>
    <m/>
    <m/>
    <n v="0"/>
    <n v="202504"/>
    <x v="1"/>
    <x v="0"/>
    <x v="0"/>
    <m/>
    <x v="0"/>
    <x v="0"/>
    <s v="999"/>
    <s v="775"/>
    <s v="775999"/>
    <s v="Classe di rischio 7"/>
    <m/>
    <s v="Classe di rischio 7"/>
  </r>
  <r>
    <n v="329159"/>
    <x v="5"/>
    <x v="5"/>
    <x v="21"/>
    <n v="53850"/>
    <n v="268"/>
    <s v="053850_268"/>
    <s v="Discovery Day"/>
    <s v="Mai valutato"/>
    <m/>
    <s v="Vari (01/04/2025)"/>
    <n v="2683300010030"/>
    <n v="20250401"/>
    <s v="03 - Versamento contante cassa continua "/>
    <m/>
    <m/>
    <s v="A     - Avere"/>
    <n v="30965"/>
    <n v="3096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4"/>
    <x v="1"/>
    <x v="0"/>
    <x v="0"/>
    <n v="4966939"/>
    <x v="1"/>
    <x v="0"/>
    <s v="999"/>
    <s v="615"/>
    <s v="615999"/>
    <m/>
    <s v="1"/>
    <s v="Classe di rischio 3"/>
  </r>
  <r>
    <n v="329158"/>
    <x v="4"/>
    <x v="4"/>
    <x v="21"/>
    <n v="53850"/>
    <n v="170"/>
    <s v="053850_170"/>
    <s v="Discovery Day"/>
    <s v="Mai valutato"/>
    <m/>
    <n v="202504017859384"/>
    <n v="1703306288195"/>
    <n v="20250401"/>
    <s v="29 - Accrediti o incasso RI.BA. "/>
    <m/>
    <m/>
    <s v="A     - Avere"/>
    <n v="2131682.06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4"/>
    <x v="2"/>
    <x v="1"/>
    <x v="0"/>
    <m/>
    <x v="0"/>
    <x v="0"/>
    <s v="999"/>
    <s v="430"/>
    <s v="430999"/>
    <m/>
    <s v="1"/>
    <s v="Classe di rischio 1"/>
  </r>
  <r>
    <n v="329157"/>
    <x v="3"/>
    <x v="3"/>
    <x v="21"/>
    <n v="53850"/>
    <n v="102"/>
    <s v="053850_102"/>
    <s v="Discovery Day"/>
    <s v="Mai valutato"/>
    <m/>
    <n v="202504017860017"/>
    <n v="1023306165160"/>
    <n v="20250401"/>
    <s v="G1 - Versamento assegni tratti su altro intermediario "/>
    <m/>
    <m/>
    <s v="A     - Avere"/>
    <n v="100000"/>
    <n v="0"/>
    <n v="616516"/>
    <s v="SMNNTN59T13A225S"/>
    <s v="SIMONE ANTONIO"/>
    <s v="615 - Altre famiglie produttrici"/>
    <s v="692 - CONTABILITÀ, CONTROLLO E REVISIONE CONTABILE, CONSULENZA IN MATERIA FISCALE E DEL LAVORO"/>
    <s v="086 - ITALIA"/>
    <n v="1443"/>
    <m/>
    <m/>
    <m/>
    <m/>
    <m/>
    <m/>
    <m/>
    <n v="0"/>
    <n v="202504"/>
    <x v="1"/>
    <x v="0"/>
    <x v="0"/>
    <m/>
    <x v="0"/>
    <x v="0"/>
    <s v="999"/>
    <s v="615"/>
    <s v="615999"/>
    <m/>
    <s v="1"/>
    <s v="Classe di rischio 3"/>
  </r>
  <r>
    <n v="352674"/>
    <x v="0"/>
    <x v="0"/>
    <x v="22"/>
    <n v="53850"/>
    <n v="268"/>
    <s v="053850_268"/>
    <s v="Discovery Frodi"/>
    <s v="Mai valutato"/>
    <m/>
    <m/>
    <n v="2683300010038"/>
    <n v="20250523"/>
    <s v="48 - Bonifico in arrivo "/>
    <m/>
    <m/>
    <s v="A     - Avere"/>
    <n v="239552.98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52672"/>
    <x v="0"/>
    <x v="0"/>
    <x v="22"/>
    <n v="53850"/>
    <n v="148"/>
    <s v="053850_148"/>
    <s v="Discovery Frodi"/>
    <s v="Mai valutato"/>
    <m/>
    <m/>
    <n v="1483300006067"/>
    <n v="20250507"/>
    <s v="48 - Bonifico in arrivo 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658"/>
    <x v="0"/>
    <x v="0"/>
    <x v="22"/>
    <n v="53850"/>
    <n v="147"/>
    <s v="053850_147"/>
    <s v="Discovery Frodi"/>
    <s v="Mai valutato"/>
    <m/>
    <m/>
    <n v="1473300002800"/>
    <n v="20250507"/>
    <s v="48 - Bonifico in arrivo "/>
    <m/>
    <m/>
    <s v="A     - Avere"/>
    <n v="315100"/>
    <m/>
    <n v="4932680"/>
    <n v="4423920612"/>
    <s v="DIEMME COSTRUZIONI S.R.L."/>
    <s v="430 - Imprese produttive"/>
    <s v="412 - COSTRUZIONE DI EDIFICI RESIDENZIALI E NON RESIDENZIALI"/>
    <s v="086 - ITALIA"/>
    <n v="1196"/>
    <m/>
    <m/>
    <m/>
    <m/>
    <m/>
    <m/>
    <m/>
    <n v="0"/>
    <n v="202505"/>
    <x v="1"/>
    <x v="0"/>
    <x v="0"/>
    <m/>
    <x v="0"/>
    <x v="0"/>
    <s v="412"/>
    <s v="430"/>
    <s v="430412"/>
    <s v="Classe di rischio 3"/>
    <m/>
    <s v="Classe di rischio 3"/>
  </r>
  <r>
    <n v="352657"/>
    <x v="0"/>
    <x v="0"/>
    <x v="22"/>
    <n v="53850"/>
    <n v="226"/>
    <s v="053850_226"/>
    <s v="Discovery Frodi"/>
    <s v="Mai valutato"/>
    <m/>
    <m/>
    <n v="2263300010989"/>
    <n v="20250505"/>
    <s v="48 - Bonifico in arrivo "/>
    <m/>
    <m/>
    <s v="A     - Avere"/>
    <n v="45269.67"/>
    <m/>
    <n v="4804128"/>
    <n v="6363770725"/>
    <s v="NUGNES 1920 S.R.L."/>
    <s v="430 - Imprese produttive"/>
    <s v="477 - COMMERCIO AL DETTAGLIO DI ALTRI PRODOTTI IN ESERCIZI SPECIALIZZATI"/>
    <s v="086 - ITALIA"/>
    <n v="1696"/>
    <m/>
    <m/>
    <m/>
    <m/>
    <m/>
    <m/>
    <m/>
    <n v="0"/>
    <n v="202505"/>
    <x v="3"/>
    <x v="1"/>
    <x v="0"/>
    <m/>
    <x v="0"/>
    <x v="0"/>
    <s v="477"/>
    <s v="430"/>
    <s v="430477"/>
    <s v="Classe di rischio 3"/>
    <m/>
    <s v="Classe di rischio 3"/>
  </r>
  <r>
    <n v="352653"/>
    <x v="0"/>
    <x v="0"/>
    <x v="22"/>
    <n v="53850"/>
    <n v="175"/>
    <s v="053850_175"/>
    <s v="Discovery Frodi"/>
    <s v="Mai valutato"/>
    <m/>
    <m/>
    <n v="1753302203813"/>
    <n v="20250522"/>
    <s v="48 - Bonifico in arrivo "/>
    <m/>
    <m/>
    <s v="A     - Avere"/>
    <n v="150000"/>
    <m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52652"/>
    <x v="0"/>
    <x v="0"/>
    <x v="22"/>
    <n v="53850"/>
    <n v="109"/>
    <s v="053850_109"/>
    <s v="Discovery Frodi"/>
    <s v="Mai valutato"/>
    <m/>
    <m/>
    <n v="1093306674353"/>
    <n v="20250519"/>
    <s v="48 - Bonifico in arrivo "/>
    <m/>
    <m/>
    <s v="A     - Avere"/>
    <n v="118651.23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5"/>
    <x v="1"/>
    <x v="0"/>
    <x v="0"/>
    <n v="4916449"/>
    <x v="1"/>
    <x v="0"/>
    <s v="451"/>
    <s v="430"/>
    <s v="430451"/>
    <s v="Classe di rischio 3"/>
    <m/>
    <s v="Classe di rischio 3"/>
  </r>
  <r>
    <n v="352650"/>
    <x v="0"/>
    <x v="0"/>
    <x v="22"/>
    <n v="53850"/>
    <n v="108"/>
    <s v="053850_108"/>
    <s v="Discovery Frodi"/>
    <s v="Mai valutato"/>
    <m/>
    <m/>
    <n v="1083300011180"/>
    <n v="20250502"/>
    <s v="48 - Bonifico in arrivo "/>
    <m/>
    <m/>
    <s v="A     - Avere"/>
    <n v="79846.03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52649"/>
    <x v="0"/>
    <x v="0"/>
    <x v="22"/>
    <n v="53850"/>
    <n v="108"/>
    <s v="053850_108"/>
    <s v="Discovery Frodi"/>
    <s v="Mai valutato"/>
    <m/>
    <m/>
    <n v="1083300011180"/>
    <n v="20250523"/>
    <s v="G1 - Versamento assegni tratti su altro intermediario "/>
    <m/>
    <m/>
    <s v="A     - Avere"/>
    <n v="60584.52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52646"/>
    <x v="0"/>
    <x v="0"/>
    <x v="22"/>
    <n v="53850"/>
    <n v="170"/>
    <s v="053850_170"/>
    <s v="Discovery Frodi"/>
    <s v="Mai valutato"/>
    <m/>
    <m/>
    <n v="1703306288195"/>
    <n v="20250520"/>
    <s v="48 - Bonifico in arrivo "/>
    <m/>
    <m/>
    <s v="A     - Avere"/>
    <n v="300000"/>
    <m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52645"/>
    <x v="0"/>
    <x v="0"/>
    <x v="22"/>
    <n v="53850"/>
    <n v="165"/>
    <s v="053850_165"/>
    <s v="Discovery Frodi"/>
    <s v="Mai valutato"/>
    <m/>
    <m/>
    <n v="1653300628596"/>
    <n v="20250516"/>
    <s v="48 - Bonifico in arrivo "/>
    <m/>
    <m/>
    <s v="A     - Avere"/>
    <n v="33543.4"/>
    <m/>
    <n v="4813580"/>
    <n v="3996180711"/>
    <s v="ORTOCOM PRENCIPE S.R.L."/>
    <s v="430 - Imprese produttive"/>
    <s v="463 - COMMERCIO ALL'INGROSSO DI PRODOTTI ALIMENTARI, BEVANDE E PRODOTTI DEL TABACCO"/>
    <s v="086 - ITALIA"/>
    <n v="844"/>
    <m/>
    <m/>
    <m/>
    <m/>
    <m/>
    <m/>
    <m/>
    <n v="0"/>
    <n v="202505"/>
    <x v="1"/>
    <x v="0"/>
    <x v="0"/>
    <m/>
    <x v="0"/>
    <x v="0"/>
    <s v="463"/>
    <s v="430"/>
    <s v="430463"/>
    <s v="Classe di rischio 3"/>
    <m/>
    <s v="Classe di rischio 3"/>
  </r>
  <r>
    <n v="352644"/>
    <x v="0"/>
    <x v="0"/>
    <x v="22"/>
    <n v="53850"/>
    <n v="116"/>
    <s v="053850_116"/>
    <s v="Discovery Frodi"/>
    <s v="Mai valutato"/>
    <m/>
    <m/>
    <n v="1163307619784"/>
    <n v="20250522"/>
    <s v="48 - Bonifico in arrivo "/>
    <m/>
    <m/>
    <s v="A     - Avere"/>
    <n v="367200"/>
    <m/>
    <n v="4826274"/>
    <n v="4414960759"/>
    <s v="MEDICAL SOLUTIONS &amp; CONSULTING S.R.L."/>
    <s v="430 - Imprese produttive"/>
    <s v="477 - COMMERCIO AL DETTAGLIO DI ALTRI PRODOTTI IN ESERCIZI SPECIALIZZATI"/>
    <s v="086 - ITALIA"/>
    <n v="1903"/>
    <m/>
    <m/>
    <m/>
    <m/>
    <m/>
    <m/>
    <m/>
    <n v="0"/>
    <n v="202505"/>
    <x v="2"/>
    <x v="1"/>
    <x v="0"/>
    <m/>
    <x v="0"/>
    <x v="0"/>
    <s v="477"/>
    <s v="430"/>
    <s v="430477"/>
    <s v="Classe di rischio 3"/>
    <m/>
    <s v="Classe di rischio 3"/>
  </r>
  <r>
    <n v="352642"/>
    <x v="0"/>
    <x v="0"/>
    <x v="22"/>
    <n v="53850"/>
    <n v="148"/>
    <s v="053850_148"/>
    <s v="Discovery Frodi"/>
    <s v="Mai valutato"/>
    <m/>
    <m/>
    <n v="1483300005779"/>
    <n v="20250520"/>
    <s v="48 - Bonifico in arrivo "/>
    <m/>
    <m/>
    <s v="A     - Avere"/>
    <n v="66000"/>
    <m/>
    <n v="3722303"/>
    <n v="1652800622"/>
    <s v="COMALSUR S.R.L."/>
    <s v="430 - Imprese produttive"/>
    <s v="463 - COMMERCIO ALL'INGROSSO DI PRODOTTI ALIMENTARI, BEVANDE E PRODOTTI DEL TABACCO"/>
    <s v="086 - ITALIA"/>
    <m/>
    <m/>
    <m/>
    <m/>
    <m/>
    <m/>
    <m/>
    <m/>
    <n v="0"/>
    <n v="202505"/>
    <x v="1"/>
    <x v="0"/>
    <x v="0"/>
    <m/>
    <x v="0"/>
    <x v="0"/>
    <s v="463"/>
    <s v="430"/>
    <s v="430463"/>
    <s v="Classe di rischio 3"/>
    <m/>
    <s v="Classe di rischio 3"/>
  </r>
  <r>
    <n v="352640"/>
    <x v="0"/>
    <x v="0"/>
    <x v="22"/>
    <n v="53850"/>
    <n v="273"/>
    <s v="053850_273"/>
    <s v="Discovery Frodi"/>
    <s v="Mai valutato"/>
    <m/>
    <m/>
    <n v="2733300000419"/>
    <n v="20250502"/>
    <s v="48 - Bonifico in arrivo "/>
    <m/>
    <m/>
    <s v="A     - Avere"/>
    <n v="35133.78"/>
    <m/>
    <n v="1615741"/>
    <n v="1399580693"/>
    <s v="TECNOPACK S.R.L."/>
    <s v="430 - Imprese produttive"/>
    <s v="162 - FABBRICAZIONE DI PRODOTTI IN LEGNO, SUGHERO, PAGLIA E MATERIALI DA INTRECCIO"/>
    <s v="086 - ITALIA"/>
    <n v="185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633"/>
    <x v="0"/>
    <x v="0"/>
    <x v="22"/>
    <n v="53850"/>
    <n v="161"/>
    <s v="053850_161"/>
    <s v="Discovery Frodi"/>
    <s v="Mai valutato"/>
    <m/>
    <m/>
    <n v="1613300032597"/>
    <n v="20250519"/>
    <s v="48 - Bonifico in arrivo "/>
    <m/>
    <m/>
    <s v="A     - Avere"/>
    <n v="65000"/>
    <m/>
    <n v="4848422"/>
    <n v="7580050727"/>
    <s v="AZIENDA AGRICOLA LA CORTE - SOCIETA' AGRICOL"/>
    <s v="491 - Quasi societa' non finanziarie altre - Unita' o societa' con piu' di 5 e meno di 20 addetti"/>
    <s v="014 - ALLEVAMENTO DI ANIMALI"/>
    <s v="086 - ITALIA"/>
    <n v="1903"/>
    <m/>
    <m/>
    <m/>
    <m/>
    <m/>
    <m/>
    <m/>
    <n v="0"/>
    <n v="202505"/>
    <x v="1"/>
    <x v="0"/>
    <x v="0"/>
    <m/>
    <x v="0"/>
    <x v="0"/>
    <s v="999"/>
    <s v="491"/>
    <s v="491999"/>
    <m/>
    <s v="1"/>
    <s v="Classe di rischio 2"/>
  </r>
  <r>
    <n v="352625"/>
    <x v="0"/>
    <x v="0"/>
    <x v="22"/>
    <n v="53850"/>
    <n v="132"/>
    <s v="053850_132"/>
    <s v="Discovery Frodi"/>
    <s v="Mai valutato"/>
    <m/>
    <m/>
    <n v="1323300003714"/>
    <n v="20250507"/>
    <s v="48 - Bonifico in arrivo "/>
    <m/>
    <m/>
    <s v="A     - Avere"/>
    <n v="26036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52624"/>
    <x v="0"/>
    <x v="0"/>
    <x v="22"/>
    <n v="53850"/>
    <n v="118"/>
    <s v="053850_118"/>
    <s v="Discovery Frodi"/>
    <s v="Mai valutato"/>
    <m/>
    <m/>
    <n v="1183306277717"/>
    <n v="20250506"/>
    <s v="48 - Bonifico in arrivo "/>
    <m/>
    <m/>
    <s v="A     - Avere"/>
    <n v="68573.66"/>
    <m/>
    <n v="4237439"/>
    <n v="5982410721"/>
    <s v="LINEA PELLE S.R.L."/>
    <s v="430 - Imprese produttive"/>
    <s v="462 - COMMERCIO ALL'INGROSSO DI MATERIE PRIME AGRICOLE E DI ANIMALI VIVI"/>
    <s v="086 - ITALIA"/>
    <n v="1203"/>
    <m/>
    <m/>
    <m/>
    <m/>
    <m/>
    <m/>
    <m/>
    <n v="0"/>
    <n v="202505"/>
    <x v="2"/>
    <x v="1"/>
    <x v="0"/>
    <m/>
    <x v="0"/>
    <x v="0"/>
    <s v="462"/>
    <s v="430"/>
    <s v="430462"/>
    <s v="Classe di rischio 3"/>
    <m/>
    <s v="Classe di rischio 3"/>
  </r>
  <r>
    <n v="352618"/>
    <x v="0"/>
    <x v="0"/>
    <x v="22"/>
    <n v="53850"/>
    <n v="105"/>
    <s v="053850_105"/>
    <s v="Discovery Frodi"/>
    <s v="Mai valutato"/>
    <m/>
    <m/>
    <n v="1053306287103"/>
    <n v="20250522"/>
    <s v="48 - Bonifico in arrivo "/>
    <m/>
    <m/>
    <s v="A     - Avere"/>
    <n v="425976.13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617"/>
    <x v="0"/>
    <x v="0"/>
    <x v="22"/>
    <n v="53850"/>
    <n v="105"/>
    <s v="053850_105"/>
    <s v="Discovery Frodi"/>
    <s v="Mai valutato"/>
    <m/>
    <m/>
    <n v="1053306287103"/>
    <n v="20250519"/>
    <s v="48 - Bonifico in arrivo "/>
    <m/>
    <m/>
    <s v="A     - Avere"/>
    <n v="140000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609"/>
    <x v="0"/>
    <x v="0"/>
    <x v="22"/>
    <n v="53850"/>
    <n v="261"/>
    <s v="053850_261"/>
    <s v="Discovery Frodi"/>
    <s v="Mai valutato"/>
    <m/>
    <m/>
    <n v="2613300010205"/>
    <n v="20250529"/>
    <s v="48 - Bonifico in arrivo "/>
    <m/>
    <m/>
    <s v="A     - Avere"/>
    <n v="29862"/>
    <m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5"/>
    <x v="1"/>
    <x v="0"/>
    <x v="0"/>
    <n v="4991786"/>
    <x v="1"/>
    <x v="0"/>
    <s v="999"/>
    <s v="430"/>
    <s v="430999"/>
    <m/>
    <s v="1"/>
    <s v="Classe di rischio 1"/>
  </r>
  <r>
    <n v="352600"/>
    <x v="0"/>
    <x v="0"/>
    <x v="22"/>
    <n v="53850"/>
    <n v="108"/>
    <s v="053850_108"/>
    <s v="Discovery Frodi"/>
    <s v="Mai valutato"/>
    <m/>
    <m/>
    <n v="1083300011180"/>
    <n v="20250520"/>
    <s v="G1 - Versamento assegni tratti su altro intermediario "/>
    <m/>
    <m/>
    <s v="A     - Avere"/>
    <n v="122693.54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52583"/>
    <x v="0"/>
    <x v="0"/>
    <x v="22"/>
    <n v="53850"/>
    <n v="187"/>
    <s v="053850_187"/>
    <s v="Discovery Frodi"/>
    <s v="Mai valutato"/>
    <m/>
    <m/>
    <n v="999361870311"/>
    <n v="20250516"/>
    <s v="48 - Bonifico in arrivo "/>
    <m/>
    <m/>
    <s v="A     - Avere"/>
    <n v="25162.68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52579"/>
    <x v="0"/>
    <x v="0"/>
    <x v="22"/>
    <n v="53850"/>
    <n v="105"/>
    <s v="053850_105"/>
    <s v="Discovery Frodi"/>
    <s v="Mai valutato"/>
    <m/>
    <m/>
    <n v="1053306287103"/>
    <n v="20250526"/>
    <s v="48 - Bonifico in arrivo "/>
    <m/>
    <m/>
    <s v="A     - Avere"/>
    <n v="1000000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578"/>
    <x v="0"/>
    <x v="0"/>
    <x v="22"/>
    <n v="53850"/>
    <n v="109"/>
    <s v="053850_109"/>
    <s v="Discovery Frodi"/>
    <s v="Mai valutato"/>
    <m/>
    <m/>
    <n v="1093306674353"/>
    <n v="20250516"/>
    <s v="48 - Bonifico in arrivo "/>
    <m/>
    <m/>
    <s v="A     - Avere"/>
    <n v="127798.39999999999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5"/>
    <x v="1"/>
    <x v="0"/>
    <x v="0"/>
    <n v="4916449"/>
    <x v="1"/>
    <x v="0"/>
    <s v="451"/>
    <s v="430"/>
    <s v="430451"/>
    <s v="Classe di rischio 3"/>
    <m/>
    <s v="Classe di rischio 3"/>
  </r>
  <r>
    <n v="352572"/>
    <x v="0"/>
    <x v="0"/>
    <x v="22"/>
    <n v="53850"/>
    <n v="108"/>
    <s v="053850_108"/>
    <s v="Discovery Frodi"/>
    <s v="Mai valutato"/>
    <m/>
    <m/>
    <n v="1083300011180"/>
    <n v="20250502"/>
    <s v="48 - Bonifico in arrivo "/>
    <m/>
    <m/>
    <s v="A     - Avere"/>
    <n v="260373.79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52566"/>
    <x v="0"/>
    <x v="0"/>
    <x v="22"/>
    <n v="53850"/>
    <n v="187"/>
    <s v="053850_187"/>
    <s v="Discovery Frodi"/>
    <s v="Mai valutato"/>
    <m/>
    <m/>
    <n v="999361870311"/>
    <n v="20250513"/>
    <s v="48 - Bonifico in arrivo "/>
    <m/>
    <m/>
    <s v="A     - Avere"/>
    <n v="110485.34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52561"/>
    <x v="0"/>
    <x v="0"/>
    <x v="22"/>
    <n v="53850"/>
    <n v="108"/>
    <s v="053850_108"/>
    <s v="Discovery Frodi"/>
    <s v="Mai valutato"/>
    <m/>
    <m/>
    <n v="1083300011180"/>
    <n v="20250519"/>
    <s v="G1 - Versamento assegni tratti su altro intermediario "/>
    <m/>
    <m/>
    <s v="A     - Avere"/>
    <n v="40244.620000000003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52558"/>
    <x v="0"/>
    <x v="0"/>
    <x v="22"/>
    <n v="53850"/>
    <n v="171"/>
    <s v="053850_171"/>
    <s v="Discovery Frodi"/>
    <s v="Mai valutato"/>
    <m/>
    <m/>
    <n v="1713302213842"/>
    <n v="20250526"/>
    <s v="48 - Bonifico in arrivo "/>
    <m/>
    <m/>
    <s v="A     - Avere"/>
    <n v="24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52553"/>
    <x v="0"/>
    <x v="0"/>
    <x v="22"/>
    <n v="53850"/>
    <n v="122"/>
    <s v="053850_122"/>
    <s v="Discovery Frodi"/>
    <s v="Mai valutato"/>
    <m/>
    <m/>
    <n v="1223300001682"/>
    <n v="20250529"/>
    <s v="48 - Bonifico in arrivo "/>
    <m/>
    <m/>
    <s v="A     - Avere"/>
    <n v="329680.36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x v="2"/>
    <x v="1"/>
    <x v="0"/>
    <m/>
    <x v="0"/>
    <x v="0"/>
    <s v="620"/>
    <s v="430"/>
    <s v="430620"/>
    <s v="Classe di rischio 3"/>
    <m/>
    <s v="Classe di rischio 3"/>
  </r>
  <r>
    <n v="352548"/>
    <x v="0"/>
    <x v="0"/>
    <x v="22"/>
    <n v="53850"/>
    <n v="122"/>
    <s v="053850_122"/>
    <s v="Discovery Frodi"/>
    <s v="Mai valutato"/>
    <m/>
    <m/>
    <n v="1223300002128"/>
    <n v="20250528"/>
    <s v="48 - Bonifico in arrivo "/>
    <m/>
    <m/>
    <s v="A     - Avere"/>
    <n v="40618.199999999997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x v="2"/>
    <x v="1"/>
    <x v="0"/>
    <m/>
    <x v="0"/>
    <x v="0"/>
    <s v="620"/>
    <s v="430"/>
    <s v="430620"/>
    <s v="Classe di rischio 3"/>
    <m/>
    <s v="Classe di rischio 3"/>
  </r>
  <r>
    <n v="352541"/>
    <x v="0"/>
    <x v="0"/>
    <x v="22"/>
    <n v="53850"/>
    <n v="171"/>
    <s v="053850_171"/>
    <s v="Discovery Frodi"/>
    <s v="Mai valutato"/>
    <m/>
    <m/>
    <n v="1713302213842"/>
    <n v="20250507"/>
    <s v="48 - Bonifico in arrivo "/>
    <m/>
    <m/>
    <s v="A     - Avere"/>
    <n v="1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52540"/>
    <x v="0"/>
    <x v="0"/>
    <x v="22"/>
    <n v="53850"/>
    <n v="153"/>
    <s v="053850_153"/>
    <s v="Discovery Frodi"/>
    <s v="Mai valutato"/>
    <m/>
    <m/>
    <n v="1533300663954"/>
    <n v="20250516"/>
    <s v="48 - Bonifico in arrivo "/>
    <m/>
    <m/>
    <s v="A     - Avere"/>
    <n v="177434.65"/>
    <m/>
    <n v="3716076"/>
    <n v="11929640966"/>
    <s v="PRESTITOSI' AUTOMOTIVE S.R.L."/>
    <s v="284 - Altri ausiliari finanziari"/>
    <s v="661 - ATTIVITÀ AUSILIARIE DEI SERVIZI FINANZIARI (ESCLUSE LE ASSICURAZIONI E I FONDI PENSIONE)"/>
    <s v="086 - ITALIA"/>
    <n v="1055"/>
    <m/>
    <m/>
    <m/>
    <m/>
    <m/>
    <m/>
    <m/>
    <n v="0"/>
    <n v="202505"/>
    <x v="1"/>
    <x v="0"/>
    <x v="0"/>
    <m/>
    <x v="0"/>
    <x v="0"/>
    <s v="999"/>
    <s v="284"/>
    <s v="284999"/>
    <m/>
    <s v="1"/>
    <s v="Classe di rischio 0"/>
  </r>
  <r>
    <n v="352530"/>
    <x v="0"/>
    <x v="0"/>
    <x v="22"/>
    <n v="53850"/>
    <n v="148"/>
    <s v="053850_148"/>
    <s v="Discovery Frodi"/>
    <s v="Mai valutato"/>
    <m/>
    <m/>
    <n v="1483300006067"/>
    <n v="20250507"/>
    <s v="48 - Bonifico in arrivo 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529"/>
    <x v="0"/>
    <x v="0"/>
    <x v="22"/>
    <n v="53850"/>
    <n v="171"/>
    <s v="053850_171"/>
    <s v="Discovery Frodi"/>
    <s v="Mai valutato"/>
    <m/>
    <m/>
    <n v="1713302213842"/>
    <n v="20250507"/>
    <s v="48 - Bonifico in arrivo "/>
    <m/>
    <m/>
    <s v="A     - Avere"/>
    <n v="5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52517"/>
    <x v="0"/>
    <x v="0"/>
    <x v="22"/>
    <n v="53850"/>
    <n v="125"/>
    <s v="053850_125"/>
    <s v="Discovery Frodi"/>
    <s v="Mai valutato"/>
    <m/>
    <m/>
    <n v="1253300002567"/>
    <n v="20250526"/>
    <s v="48 - Bonifico in arrivo "/>
    <m/>
    <m/>
    <s v="A     - Avere"/>
    <n v="40262"/>
    <m/>
    <n v="4951371"/>
    <n v="9498701219"/>
    <s v="CURCIO SERVICE SRL"/>
    <s v="430 - Imprese produttive"/>
    <s v="464 - COMMERCIO ALL'INGROSSO DI BENI DI CONSUMO FINALE"/>
    <s v="086 - ITALIA"/>
    <n v="1337"/>
    <m/>
    <m/>
    <m/>
    <m/>
    <m/>
    <m/>
    <m/>
    <n v="0"/>
    <n v="202505"/>
    <x v="1"/>
    <x v="0"/>
    <x v="0"/>
    <m/>
    <x v="0"/>
    <x v="0"/>
    <s v="464"/>
    <s v="430"/>
    <s v="430464"/>
    <s v="Classe di rischio 4"/>
    <m/>
    <s v="Classe di rischio 4"/>
  </r>
  <r>
    <n v="352505"/>
    <x v="0"/>
    <x v="0"/>
    <x v="22"/>
    <n v="53850"/>
    <n v="153"/>
    <s v="053850_153"/>
    <s v="Discovery Frodi"/>
    <s v="Mai valutato"/>
    <m/>
    <m/>
    <n v="1533300663959"/>
    <n v="20250519"/>
    <s v="48 - Bonifico in arrivo "/>
    <m/>
    <m/>
    <s v="A     - Avere"/>
    <n v="46200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5"/>
    <x v="1"/>
    <x v="0"/>
    <x v="0"/>
    <m/>
    <x v="0"/>
    <x v="0"/>
    <s v="462"/>
    <s v="430"/>
    <s v="430462"/>
    <s v="Classe di rischio 3"/>
    <m/>
    <s v="Classe di rischio 3"/>
  </r>
  <r>
    <n v="352503"/>
    <x v="0"/>
    <x v="0"/>
    <x v="22"/>
    <n v="53850"/>
    <n v="145"/>
    <s v="053850_145"/>
    <s v="Discovery Frodi"/>
    <s v="Mai valutato"/>
    <m/>
    <m/>
    <n v="1453300003389"/>
    <n v="20250512"/>
    <s v="48 - Bonifico in arrivo "/>
    <m/>
    <m/>
    <s v="A     - Avere"/>
    <n v="151719.9"/>
    <m/>
    <n v="4955147"/>
    <n v="5645531210"/>
    <s v="4 M.M. S.R.L."/>
    <s v="430 - Imprese produttive"/>
    <s v="464 - COMMERCIO ALL'INGROSSO DI BENI DI CONSUMO FINALE"/>
    <s v="086 - ITALIA"/>
    <n v="982"/>
    <m/>
    <m/>
    <m/>
    <m/>
    <m/>
    <m/>
    <m/>
    <n v="0"/>
    <n v="202505"/>
    <x v="4"/>
    <x v="1"/>
    <x v="0"/>
    <m/>
    <x v="0"/>
    <x v="0"/>
    <s v="464"/>
    <s v="430"/>
    <s v="430464"/>
    <s v="Classe di rischio 4"/>
    <m/>
    <s v="Classe di rischio 4"/>
  </r>
  <r>
    <n v="352489"/>
    <x v="0"/>
    <x v="0"/>
    <x v="22"/>
    <n v="53850"/>
    <n v="125"/>
    <s v="053850_125"/>
    <s v="Discovery Frodi"/>
    <s v="Mai valutato"/>
    <m/>
    <m/>
    <n v="1253309512895"/>
    <n v="20250528"/>
    <s v="48 - Bonifico in arrivo "/>
    <m/>
    <m/>
    <s v="A     - Avere"/>
    <n v="39983.01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487"/>
    <x v="0"/>
    <x v="0"/>
    <x v="22"/>
    <n v="53850"/>
    <n v="191"/>
    <s v="053850_191"/>
    <s v="Discovery Frodi"/>
    <s v="Mai valutato"/>
    <m/>
    <m/>
    <n v="1913300068122"/>
    <n v="20250521"/>
    <s v="48 - Bonifico in arrivo "/>
    <m/>
    <m/>
    <s v="A     - Avere"/>
    <n v="5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5"/>
    <x v="4"/>
    <x v="1"/>
    <x v="0"/>
    <m/>
    <x v="0"/>
    <x v="0"/>
    <s v="999"/>
    <s v="430"/>
    <s v="430999"/>
    <m/>
    <s v="1"/>
    <s v="Classe di rischio 1"/>
  </r>
  <r>
    <n v="352479"/>
    <x v="0"/>
    <x v="0"/>
    <x v="22"/>
    <n v="53850"/>
    <n v="103"/>
    <s v="053850_103"/>
    <s v="Discovery Frodi"/>
    <s v="Mai valutato"/>
    <m/>
    <m/>
    <n v="1033306967935"/>
    <n v="20250516"/>
    <s v="48 - Bonifico in arrivo "/>
    <m/>
    <m/>
    <s v="A     - Avere"/>
    <n v="43064.93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5"/>
    <x v="1"/>
    <x v="0"/>
    <x v="0"/>
    <n v="155052"/>
    <x v="1"/>
    <x v="0"/>
    <s v="999"/>
    <s v="430"/>
    <s v="430999"/>
    <m/>
    <s v="1"/>
    <s v="Classe di rischio 1"/>
  </r>
  <r>
    <n v="352465"/>
    <x v="0"/>
    <x v="0"/>
    <x v="22"/>
    <n v="53850"/>
    <n v="141"/>
    <s v="053850_141"/>
    <s v="Discovery Frodi"/>
    <s v="Mai valutato"/>
    <m/>
    <m/>
    <n v="1413300003738"/>
    <n v="20250523"/>
    <s v="48 - Bonifico in arrivo "/>
    <m/>
    <m/>
    <s v="A     - Avere"/>
    <n v="273506.31"/>
    <m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x v="1"/>
    <x v="0"/>
    <x v="0"/>
    <m/>
    <x v="0"/>
    <x v="0"/>
    <s v="620"/>
    <s v="430"/>
    <s v="430620"/>
    <s v="Classe di rischio 3"/>
    <m/>
    <s v="Classe di rischio 3"/>
  </r>
  <r>
    <n v="352457"/>
    <x v="0"/>
    <x v="0"/>
    <x v="22"/>
    <n v="53850"/>
    <n v="148"/>
    <s v="053850_148"/>
    <s v="Discovery Frodi"/>
    <s v="Mai valutato"/>
    <m/>
    <m/>
    <n v="1483300006067"/>
    <n v="20250522"/>
    <s v="48 - Bonifico in arrivo "/>
    <m/>
    <m/>
    <s v="A     - Avere"/>
    <n v="45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446"/>
    <x v="0"/>
    <x v="0"/>
    <x v="22"/>
    <n v="53850"/>
    <n v="187"/>
    <s v="053850_187"/>
    <s v="Discovery Frodi"/>
    <s v="Mai valutato"/>
    <m/>
    <m/>
    <n v="999361870311"/>
    <n v="20250516"/>
    <s v="48 - Bonifico in arrivo "/>
    <m/>
    <m/>
    <s v="A     - Avere"/>
    <n v="660695.05000000005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52433"/>
    <x v="0"/>
    <x v="0"/>
    <x v="22"/>
    <n v="53850"/>
    <n v="105"/>
    <s v="053850_105"/>
    <s v="Discovery Frodi"/>
    <s v="Mai valutato"/>
    <m/>
    <m/>
    <n v="1053306287103"/>
    <n v="20250530"/>
    <s v="48 - Bonifico in arrivo "/>
    <m/>
    <m/>
    <s v="A     - Avere"/>
    <n v="33925.46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429"/>
    <x v="0"/>
    <x v="0"/>
    <x v="22"/>
    <n v="53850"/>
    <n v="148"/>
    <s v="053850_148"/>
    <s v="Discovery Frodi"/>
    <s v="Mai valutato"/>
    <m/>
    <m/>
    <n v="1483300006067"/>
    <n v="20250507"/>
    <s v="48 - Bonifico in arrivo 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413"/>
    <x v="0"/>
    <x v="0"/>
    <x v="22"/>
    <n v="53850"/>
    <n v="261"/>
    <s v="053850_261"/>
    <s v="Discovery Frodi"/>
    <s v="Mai valutato"/>
    <m/>
    <m/>
    <n v="2613300010205"/>
    <n v="20250527"/>
    <s v="48 - Bonifico in arrivo "/>
    <m/>
    <m/>
    <s v="A     - Avere"/>
    <n v="27796.5"/>
    <m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5"/>
    <x v="1"/>
    <x v="0"/>
    <x v="0"/>
    <n v="4991786"/>
    <x v="1"/>
    <x v="0"/>
    <s v="999"/>
    <s v="430"/>
    <s v="430999"/>
    <m/>
    <s v="1"/>
    <s v="Classe di rischio 1"/>
  </r>
  <r>
    <n v="352376"/>
    <x v="0"/>
    <x v="0"/>
    <x v="22"/>
    <n v="53850"/>
    <n v="141"/>
    <s v="053850_141"/>
    <s v="Discovery Frodi"/>
    <s v="Mai valutato"/>
    <m/>
    <m/>
    <n v="1413300003347"/>
    <n v="20250515"/>
    <s v="48 - Bonifico in arrivo "/>
    <m/>
    <m/>
    <s v="A     - Avere"/>
    <n v="40000"/>
    <m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x v="1"/>
    <x v="0"/>
    <x v="0"/>
    <m/>
    <x v="0"/>
    <x v="0"/>
    <s v="620"/>
    <s v="430"/>
    <s v="430620"/>
    <s v="Classe di rischio 3"/>
    <m/>
    <s v="Classe di rischio 3"/>
  </r>
  <r>
    <n v="352339"/>
    <x v="0"/>
    <x v="0"/>
    <x v="22"/>
    <n v="53850"/>
    <n v="154"/>
    <s v="053850_154"/>
    <s v="Discovery Frodi"/>
    <s v="Mai valutato"/>
    <m/>
    <m/>
    <n v="1543300004860"/>
    <n v="20250521"/>
    <s v="48 - Bonifico in arrivo "/>
    <m/>
    <m/>
    <s v="A     - Avere"/>
    <n v="27250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326"/>
    <x v="0"/>
    <x v="0"/>
    <x v="22"/>
    <n v="53850"/>
    <n v="103"/>
    <s v="053850_103"/>
    <s v="Discovery Frodi"/>
    <s v="Mai valutato"/>
    <m/>
    <m/>
    <n v="1033306967935"/>
    <n v="20250506"/>
    <s v="G2 - Versamento assegni tratti sullo stesso intermediario "/>
    <m/>
    <m/>
    <s v="A     - Avere"/>
    <n v="25636.55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5"/>
    <x v="1"/>
    <x v="0"/>
    <x v="0"/>
    <n v="155052"/>
    <x v="1"/>
    <x v="0"/>
    <s v="999"/>
    <s v="430"/>
    <s v="430999"/>
    <m/>
    <s v="1"/>
    <s v="Classe di rischio 1"/>
  </r>
  <r>
    <n v="352298"/>
    <x v="0"/>
    <x v="0"/>
    <x v="22"/>
    <n v="53850"/>
    <n v="191"/>
    <s v="053850_191"/>
    <s v="Discovery Frodi"/>
    <s v="Mai valutato"/>
    <m/>
    <m/>
    <n v="1913300068122"/>
    <n v="20250522"/>
    <s v="48 - Bonifico in arrivo "/>
    <m/>
    <m/>
    <s v="A     - Avere"/>
    <n v="3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5"/>
    <x v="4"/>
    <x v="1"/>
    <x v="0"/>
    <m/>
    <x v="0"/>
    <x v="0"/>
    <s v="999"/>
    <s v="430"/>
    <s v="430999"/>
    <m/>
    <s v="1"/>
    <s v="Classe di rischio 1"/>
  </r>
  <r>
    <n v="352290"/>
    <x v="0"/>
    <x v="0"/>
    <x v="22"/>
    <n v="53850"/>
    <n v="141"/>
    <s v="053850_141"/>
    <s v="Discovery Frodi"/>
    <s v="Mai valutato"/>
    <m/>
    <m/>
    <n v="1413300003347"/>
    <n v="20250521"/>
    <s v="48 - Bonifico in arrivo "/>
    <m/>
    <m/>
    <s v="A     - Avere"/>
    <n v="27164.07"/>
    <m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x v="1"/>
    <x v="0"/>
    <x v="0"/>
    <m/>
    <x v="0"/>
    <x v="0"/>
    <s v="620"/>
    <s v="430"/>
    <s v="430620"/>
    <s v="Classe di rischio 3"/>
    <m/>
    <s v="Classe di rischio 3"/>
  </r>
  <r>
    <n v="352283"/>
    <x v="0"/>
    <x v="0"/>
    <x v="22"/>
    <n v="53850"/>
    <n v="189"/>
    <s v="053850_189"/>
    <s v="Discovery Frodi"/>
    <s v="Mai valutato"/>
    <m/>
    <m/>
    <n v="1893300039198"/>
    <n v="20250521"/>
    <s v="48 - Bonifico in arrivo "/>
    <m/>
    <m/>
    <s v="A     - Avere"/>
    <n v="53000"/>
    <m/>
    <n v="4946691"/>
    <n v="3168470734"/>
    <s v="I DUE MARI - SOCIETA' COOPERATIVA"/>
    <s v="430 - Imprese produttive"/>
    <s v="032 - ACQUACOLTURA"/>
    <s v="086 - ITALIA"/>
    <n v="1381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52268"/>
    <x v="0"/>
    <x v="0"/>
    <x v="22"/>
    <n v="53850"/>
    <n v="122"/>
    <s v="053850_122"/>
    <s v="Discovery Frodi"/>
    <s v="Mai valutato"/>
    <m/>
    <m/>
    <n v="1223300001682"/>
    <n v="20250527"/>
    <s v="48 - Bonifico in arrivo "/>
    <m/>
    <m/>
    <s v="A     - Avere"/>
    <n v="2562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x v="2"/>
    <x v="1"/>
    <x v="0"/>
    <m/>
    <x v="0"/>
    <x v="0"/>
    <s v="620"/>
    <s v="430"/>
    <s v="430620"/>
    <s v="Classe di rischio 3"/>
    <m/>
    <s v="Classe di rischio 3"/>
  </r>
  <r>
    <n v="352259"/>
    <x v="0"/>
    <x v="0"/>
    <x v="22"/>
    <n v="53850"/>
    <n v="145"/>
    <s v="053850_145"/>
    <s v="Discovery Frodi"/>
    <s v="Mai valutato"/>
    <m/>
    <m/>
    <n v="1453300004026"/>
    <n v="20250509"/>
    <s v="48 - Bonifico in arrivo "/>
    <m/>
    <m/>
    <s v="A     - Avere"/>
    <n v="51240"/>
    <m/>
    <n v="3741477"/>
    <n v="10665571211"/>
    <s v="PUBBLIVITA SRL"/>
    <s v="430 - Imprese produttive"/>
    <s v="731 - PUBBLICITÀ"/>
    <s v="086 - ITALIA"/>
    <n v="1222"/>
    <m/>
    <m/>
    <m/>
    <m/>
    <m/>
    <m/>
    <m/>
    <n v="0"/>
    <n v="202505"/>
    <x v="1"/>
    <x v="0"/>
    <x v="0"/>
    <m/>
    <x v="0"/>
    <x v="0"/>
    <s v="731"/>
    <s v="430"/>
    <s v="430731"/>
    <s v="Classe di rischio 3"/>
    <m/>
    <s v="Classe di rischio 3"/>
  </r>
  <r>
    <n v="352219"/>
    <x v="0"/>
    <x v="0"/>
    <x v="22"/>
    <n v="53850"/>
    <n v="136"/>
    <s v="053850_136"/>
    <s v="Discovery Frodi"/>
    <s v="Mai valutato"/>
    <m/>
    <m/>
    <n v="1363300003325"/>
    <n v="20250506"/>
    <s v="48 - Bonifico in arrivo "/>
    <m/>
    <m/>
    <s v="A     - Avere"/>
    <n v="43255.89"/>
    <m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162"/>
    <x v="0"/>
    <x v="0"/>
    <x v="22"/>
    <n v="53850"/>
    <n v="99"/>
    <s v="053850_99"/>
    <s v="Discovery Frodi"/>
    <s v="Mai valutato"/>
    <m/>
    <m/>
    <m/>
    <n v="20250508"/>
    <s v="48 - Bonifico in arrivo "/>
    <m/>
    <m/>
    <s v="A     - Avere"/>
    <n v="55919.05"/>
    <m/>
    <n v="1900001"/>
    <n v="604840777"/>
    <s v="BANCA POPOLARE DI PUGLIA E BASILICATA SOCIETA' COOPERATIVA PER AZIONI"/>
    <s v="245 - Sistema bancario"/>
    <s v="641 - INTERMEDIAZIONE MONETARIA"/>
    <s v="086 - ITALIA"/>
    <m/>
    <m/>
    <m/>
    <m/>
    <m/>
    <m/>
    <m/>
    <m/>
    <n v="0"/>
    <n v="202505"/>
    <x v="3"/>
    <x v="1"/>
    <x v="0"/>
    <m/>
    <x v="0"/>
    <x v="0"/>
    <s v="999"/>
    <s v="245"/>
    <s v="245999"/>
    <m/>
    <s v="1"/>
    <s v="Classe di rischio 0"/>
  </r>
  <r>
    <n v="352156"/>
    <x v="0"/>
    <x v="0"/>
    <x v="22"/>
    <n v="53850"/>
    <n v="116"/>
    <s v="053850_116"/>
    <s v="Discovery Frodi"/>
    <s v="Mai valutato"/>
    <m/>
    <m/>
    <n v="1163307620827"/>
    <n v="20250522"/>
    <s v="48 - Bonifico in arrivo "/>
    <m/>
    <m/>
    <s v="A     - Avere"/>
    <n v="27000"/>
    <m/>
    <n v="4871871"/>
    <n v="2516140726"/>
    <s v="FREZZA LEGNAMI S.P.A."/>
    <s v="430 - Imprese produttive"/>
    <s v="467 - COMMERCIO ALL'INGROSSO SPECIALIZZATO DI ALTRI PRODOTTI"/>
    <s v="086 - ITALIA"/>
    <n v="1903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100"/>
    <x v="0"/>
    <x v="0"/>
    <x v="22"/>
    <n v="53850"/>
    <n v="125"/>
    <s v="053850_125"/>
    <s v="Discovery Frodi"/>
    <s v="Mai valutato"/>
    <m/>
    <m/>
    <n v="1253309512895"/>
    <n v="20250528"/>
    <s v="48 - Bonifico in arrivo "/>
    <m/>
    <m/>
    <s v="A     - Avere"/>
    <n v="29469.42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2044"/>
    <x v="0"/>
    <x v="0"/>
    <x v="22"/>
    <n v="53850"/>
    <n v="191"/>
    <s v="053850_191"/>
    <s v="Discovery Frodi"/>
    <s v="Mai valutato"/>
    <m/>
    <m/>
    <n v="1913300068122"/>
    <n v="20250526"/>
    <s v="48 - Bonifico in arrivo "/>
    <m/>
    <m/>
    <s v="A     - Avere"/>
    <n v="5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5"/>
    <x v="4"/>
    <x v="1"/>
    <x v="0"/>
    <m/>
    <x v="0"/>
    <x v="0"/>
    <s v="999"/>
    <s v="430"/>
    <s v="430999"/>
    <m/>
    <s v="1"/>
    <s v="Classe di rischio 1"/>
  </r>
  <r>
    <n v="352033"/>
    <x v="0"/>
    <x v="0"/>
    <x v="22"/>
    <n v="53850"/>
    <n v="147"/>
    <s v="053850_147"/>
    <s v="Discovery Frodi"/>
    <s v="Mai valutato"/>
    <m/>
    <m/>
    <n v="1473300002800"/>
    <n v="20250507"/>
    <s v="48 - Bonifico in arrivo "/>
    <m/>
    <m/>
    <s v="A     - Avere"/>
    <n v="72400"/>
    <m/>
    <n v="4932680"/>
    <n v="4423920612"/>
    <s v="DIEMME COSTRUZIONI S.R.L."/>
    <s v="430 - Imprese produttive"/>
    <s v="412 - COSTRUZIONE DI EDIFICI RESIDENZIALI E NON RESIDENZIALI"/>
    <s v="086 - ITALIA"/>
    <n v="1196"/>
    <m/>
    <m/>
    <m/>
    <m/>
    <m/>
    <m/>
    <m/>
    <n v="0"/>
    <n v="202505"/>
    <x v="1"/>
    <x v="0"/>
    <x v="0"/>
    <m/>
    <x v="0"/>
    <x v="0"/>
    <s v="412"/>
    <s v="430"/>
    <s v="430412"/>
    <s v="Classe di rischio 3"/>
    <m/>
    <s v="Classe di rischio 3"/>
  </r>
  <r>
    <n v="351995"/>
    <x v="0"/>
    <x v="0"/>
    <x v="22"/>
    <n v="53850"/>
    <n v="105"/>
    <s v="053850_105"/>
    <s v="Discovery Frodi"/>
    <s v="Mai valutato"/>
    <m/>
    <m/>
    <n v="1053306287103"/>
    <n v="20250530"/>
    <s v="48 - Bonifico in arrivo "/>
    <m/>
    <m/>
    <s v="A     - Avere"/>
    <n v="974371.24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1993"/>
    <x v="0"/>
    <x v="0"/>
    <x v="22"/>
    <n v="53850"/>
    <n v="153"/>
    <s v="053850_153"/>
    <s v="Discovery Frodi"/>
    <s v="Mai valutato"/>
    <m/>
    <m/>
    <n v="1533300663959"/>
    <n v="20250509"/>
    <s v="48 - Bonifico in arrivo "/>
    <m/>
    <m/>
    <s v="A     - Avere"/>
    <n v="41031.54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5"/>
    <x v="1"/>
    <x v="0"/>
    <x v="0"/>
    <m/>
    <x v="0"/>
    <x v="0"/>
    <s v="462"/>
    <s v="430"/>
    <s v="430462"/>
    <s v="Classe di rischio 3"/>
    <m/>
    <s v="Classe di rischio 3"/>
  </r>
  <r>
    <n v="351979"/>
    <x v="0"/>
    <x v="0"/>
    <x v="22"/>
    <n v="53850"/>
    <n v="148"/>
    <s v="053850_148"/>
    <s v="Discovery Frodi"/>
    <s v="Mai valutato"/>
    <m/>
    <m/>
    <n v="1483300006067"/>
    <n v="20250522"/>
    <s v="48 - Bonifico in arrivo "/>
    <m/>
    <m/>
    <s v="A     - Avere"/>
    <n v="45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1963"/>
    <x v="0"/>
    <x v="0"/>
    <x v="22"/>
    <n v="53850"/>
    <n v="122"/>
    <s v="053850_122"/>
    <s v="Discovery Frodi"/>
    <s v="Mai valutato"/>
    <m/>
    <m/>
    <n v="1223300001682"/>
    <n v="20250527"/>
    <s v="48 - Bonifico in arrivo "/>
    <m/>
    <m/>
    <s v="A     - Avere"/>
    <n v="502850.93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x v="2"/>
    <x v="1"/>
    <x v="0"/>
    <m/>
    <x v="0"/>
    <x v="0"/>
    <s v="620"/>
    <s v="430"/>
    <s v="430620"/>
    <s v="Classe di rischio 3"/>
    <m/>
    <s v="Classe di rischio 3"/>
  </r>
  <r>
    <n v="351950"/>
    <x v="0"/>
    <x v="0"/>
    <x v="22"/>
    <n v="53850"/>
    <n v="148"/>
    <s v="053850_148"/>
    <s v="Discovery Frodi"/>
    <s v="Mai valutato"/>
    <m/>
    <m/>
    <n v="1483300006067"/>
    <n v="20250527"/>
    <s v="48 - Bonifico in arrivo 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1929"/>
    <x v="0"/>
    <x v="0"/>
    <x v="22"/>
    <n v="53850"/>
    <n v="171"/>
    <s v="053850_171"/>
    <s v="Discovery Frodi"/>
    <s v="Mai valutato"/>
    <m/>
    <m/>
    <n v="1713302213842"/>
    <n v="20250502"/>
    <s v="48 - Bonifico in arrivo "/>
    <m/>
    <m/>
    <s v="A     - Avere"/>
    <n v="2562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51921"/>
    <x v="0"/>
    <x v="0"/>
    <x v="22"/>
    <n v="53850"/>
    <n v="261"/>
    <s v="053850_261"/>
    <s v="Discovery Frodi"/>
    <s v="Mai valutato"/>
    <m/>
    <m/>
    <n v="2613300000185"/>
    <n v="20250513"/>
    <s v="48 - Bonifico in arrivo "/>
    <m/>
    <m/>
    <s v="A     - Avere"/>
    <n v="78000"/>
    <m/>
    <n v="1603119"/>
    <n v="941080707"/>
    <s v="SANNIOLAT S.R.L."/>
    <s v="430 - Imprese produttive"/>
    <s v="105 - INDUSTRIA LATTIERO-CASEARIA"/>
    <s v="086 - ITALIA"/>
    <n v="1856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51890"/>
    <x v="0"/>
    <x v="0"/>
    <x v="22"/>
    <n v="53850"/>
    <n v="187"/>
    <s v="053850_187"/>
    <s v="Discovery Frodi"/>
    <s v="Mai valutato"/>
    <m/>
    <m/>
    <n v="999361870311"/>
    <n v="20250505"/>
    <s v="48 - Bonifico in arrivo "/>
    <m/>
    <m/>
    <s v="A     - Avere"/>
    <n v="26652.48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51889"/>
    <x v="0"/>
    <x v="0"/>
    <x v="22"/>
    <n v="53850"/>
    <n v="175"/>
    <s v="053850_175"/>
    <s v="Discovery Frodi"/>
    <s v="Mai valutato"/>
    <m/>
    <m/>
    <n v="1753302203813"/>
    <n v="20250505"/>
    <s v="48 - Bonifico in arrivo "/>
    <m/>
    <m/>
    <s v="A     - Avere"/>
    <n v="127974.14"/>
    <m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51888"/>
    <x v="0"/>
    <x v="0"/>
    <x v="22"/>
    <n v="53850"/>
    <n v="171"/>
    <s v="053850_171"/>
    <s v="Discovery Frodi"/>
    <s v="Mai valutato"/>
    <m/>
    <m/>
    <n v="1713302213842"/>
    <n v="20250526"/>
    <s v="48 - Bonifico in arrivo "/>
    <m/>
    <m/>
    <s v="A     - Avere"/>
    <n v="2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51813"/>
    <x v="0"/>
    <x v="0"/>
    <x v="22"/>
    <n v="53850"/>
    <n v="128"/>
    <s v="053850_128"/>
    <s v="Discovery Frodi"/>
    <s v="Mai valutato"/>
    <m/>
    <m/>
    <n v="1283300003276"/>
    <n v="20250528"/>
    <s v="48 - Bonifico in arrivo "/>
    <m/>
    <m/>
    <s v="A     - Avere"/>
    <n v="84790"/>
    <m/>
    <n v="4804234"/>
    <n v="7652810727"/>
    <s v="EMMEFFEDI CAR S.R.L."/>
    <s v="430 - Imprese produttive"/>
    <s v="282 - FABBRICAZIONE DI ALTRE MACCHINE DI IMPIEGO GENERALE"/>
    <s v="086 - ITALIA"/>
    <n v="462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1794"/>
    <x v="0"/>
    <x v="0"/>
    <x v="22"/>
    <n v="53850"/>
    <n v="109"/>
    <s v="053850_109"/>
    <s v="Discovery Frodi"/>
    <s v="Mai valutato"/>
    <m/>
    <m/>
    <n v="1093306667367"/>
    <n v="20250530"/>
    <s v="48 - Bonifico in arrivo "/>
    <m/>
    <m/>
    <s v="A     - Avere"/>
    <n v="30000"/>
    <m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5"/>
    <x v="1"/>
    <x v="0"/>
    <x v="0"/>
    <n v="4026861"/>
    <x v="1"/>
    <x v="0"/>
    <s v="477"/>
    <s v="430"/>
    <s v="430477"/>
    <s v="Classe di rischio 3"/>
    <m/>
    <s v="Classe di rischio 3"/>
  </r>
  <r>
    <n v="351763"/>
    <x v="0"/>
    <x v="0"/>
    <x v="22"/>
    <n v="53850"/>
    <n v="148"/>
    <s v="053850_148"/>
    <s v="Discovery Frodi"/>
    <s v="Mai valutato"/>
    <m/>
    <m/>
    <n v="1483300006067"/>
    <n v="20250527"/>
    <s v="48 - Bonifico in arrivo 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1708"/>
    <x v="0"/>
    <x v="0"/>
    <x v="22"/>
    <n v="53850"/>
    <n v="141"/>
    <s v="053850_141"/>
    <s v="Discovery Frodi"/>
    <s v="Mai valutato"/>
    <m/>
    <m/>
    <n v="1413300003985"/>
    <n v="20250515"/>
    <s v="48 - Bonifico in arrivo "/>
    <m/>
    <m/>
    <s v="A     - Avere"/>
    <n v="2814221.66"/>
    <m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x v="1"/>
    <x v="0"/>
    <x v="0"/>
    <m/>
    <x v="0"/>
    <x v="0"/>
    <s v="931"/>
    <s v="430"/>
    <s v="430931"/>
    <s v="Classe di rischio 3"/>
    <m/>
    <s v="Classe di rischio 3"/>
  </r>
  <r>
    <n v="351683"/>
    <x v="0"/>
    <x v="0"/>
    <x v="22"/>
    <n v="53850"/>
    <n v="105"/>
    <s v="053850_105"/>
    <s v="Discovery Frodi"/>
    <s v="Mai valutato"/>
    <m/>
    <m/>
    <n v="1053306287103"/>
    <n v="20250522"/>
    <s v="48 - Bonifico in arrivo "/>
    <m/>
    <m/>
    <s v="A     - Avere"/>
    <n v="724480.51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1676"/>
    <x v="0"/>
    <x v="0"/>
    <x v="22"/>
    <n v="53850"/>
    <n v="122"/>
    <s v="053850_122"/>
    <s v="Discovery Frodi"/>
    <s v="Mai valutato"/>
    <m/>
    <m/>
    <n v="1223300002128"/>
    <n v="20250528"/>
    <s v="48 - Bonifico in arrivo "/>
    <m/>
    <m/>
    <s v="A     - Avere"/>
    <n v="129520.5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x v="2"/>
    <x v="1"/>
    <x v="0"/>
    <m/>
    <x v="0"/>
    <x v="0"/>
    <s v="620"/>
    <s v="430"/>
    <s v="430620"/>
    <s v="Classe di rischio 3"/>
    <m/>
    <s v="Classe di rischio 3"/>
  </r>
  <r>
    <n v="351649"/>
    <x v="0"/>
    <x v="0"/>
    <x v="22"/>
    <n v="53850"/>
    <n v="116"/>
    <s v="053850_116"/>
    <s v="Discovery Frodi"/>
    <s v="Mai valutato"/>
    <m/>
    <m/>
    <n v="1163307620827"/>
    <n v="20250522"/>
    <s v="48 - Bonifico in arrivo "/>
    <m/>
    <m/>
    <s v="A     - Avere"/>
    <n v="67000"/>
    <m/>
    <n v="4871871"/>
    <n v="2516140726"/>
    <s v="FREZZA LEGNAMI S.P.A."/>
    <s v="430 - Imprese produttive"/>
    <s v="467 - COMMERCIO ALL'INGROSSO SPECIALIZZATO DI ALTRI PRODOTTI"/>
    <s v="086 - ITALIA"/>
    <n v="1903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1646"/>
    <x v="0"/>
    <x v="0"/>
    <x v="22"/>
    <n v="53850"/>
    <n v="147"/>
    <s v="053850_147"/>
    <s v="Discovery Frodi"/>
    <s v="Mai valutato"/>
    <m/>
    <m/>
    <n v="1473300002945"/>
    <n v="20250516"/>
    <s v="48 - Bonifico in arrivo "/>
    <m/>
    <m/>
    <s v="A     - Avere"/>
    <n v="25624.18"/>
    <m/>
    <n v="4953849"/>
    <n v="8560621214"/>
    <s v="WORK START SOCIETA' COOPERATIVA A R.L."/>
    <s v="430 - Imprese produttive"/>
    <s v="522 - ATTIVITÀ DI SUPPORTO AI TRASPORTI"/>
    <s v="086 - ITALIA"/>
    <n v="135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1633"/>
    <x v="0"/>
    <x v="0"/>
    <x v="22"/>
    <n v="53850"/>
    <n v="145"/>
    <s v="053850_145"/>
    <s v="Discovery Frodi"/>
    <s v="Mai valutato"/>
    <m/>
    <m/>
    <n v="1453300003679"/>
    <n v="20250512"/>
    <s v="48 - Bonifico in arrivo "/>
    <m/>
    <m/>
    <s v="A     - Avere"/>
    <n v="51335.360000000001"/>
    <m/>
    <n v="4955147"/>
    <n v="5645531210"/>
    <s v="4 M.M. S.R.L."/>
    <s v="430 - Imprese produttive"/>
    <s v="464 - COMMERCIO ALL'INGROSSO DI BENI DI CONSUMO FINALE"/>
    <s v="086 - ITALIA"/>
    <n v="982"/>
    <m/>
    <m/>
    <m/>
    <m/>
    <m/>
    <m/>
    <m/>
    <n v="0"/>
    <n v="202505"/>
    <x v="4"/>
    <x v="1"/>
    <x v="0"/>
    <m/>
    <x v="0"/>
    <x v="0"/>
    <s v="464"/>
    <s v="430"/>
    <s v="430464"/>
    <s v="Classe di rischio 4"/>
    <m/>
    <s v="Classe di rischio 4"/>
  </r>
  <r>
    <n v="351589"/>
    <x v="0"/>
    <x v="0"/>
    <x v="22"/>
    <n v="53850"/>
    <n v="125"/>
    <s v="053850_125"/>
    <s v="Discovery Frodi"/>
    <s v="Mai valutato"/>
    <m/>
    <m/>
    <n v="1253300002567"/>
    <n v="20250527"/>
    <s v="48 - Bonifico in arrivo "/>
    <m/>
    <m/>
    <s v="A     - Avere"/>
    <n v="50262"/>
    <m/>
    <n v="4951371"/>
    <n v="9498701219"/>
    <s v="CURCIO SERVICE SRL"/>
    <s v="430 - Imprese produttive"/>
    <s v="464 - COMMERCIO ALL'INGROSSO DI BENI DI CONSUMO FINALE"/>
    <s v="086 - ITALIA"/>
    <n v="1337"/>
    <m/>
    <m/>
    <m/>
    <m/>
    <m/>
    <m/>
    <m/>
    <n v="0"/>
    <n v="202505"/>
    <x v="1"/>
    <x v="0"/>
    <x v="0"/>
    <m/>
    <x v="0"/>
    <x v="0"/>
    <s v="464"/>
    <s v="430"/>
    <s v="430464"/>
    <s v="Classe di rischio 4"/>
    <m/>
    <s v="Classe di rischio 4"/>
  </r>
  <r>
    <n v="351543"/>
    <x v="0"/>
    <x v="0"/>
    <x v="22"/>
    <n v="53850"/>
    <n v="171"/>
    <s v="053850_171"/>
    <s v="Discovery Frodi"/>
    <s v="Mai valutato"/>
    <m/>
    <m/>
    <n v="1713302213842"/>
    <n v="20250526"/>
    <s v="48 - Bonifico in arrivo "/>
    <m/>
    <m/>
    <s v="A     - Avere"/>
    <n v="15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51446"/>
    <x v="0"/>
    <x v="0"/>
    <x v="22"/>
    <n v="53850"/>
    <n v="128"/>
    <s v="053850_128"/>
    <s v="Discovery Frodi"/>
    <s v="Mai valutato"/>
    <m/>
    <m/>
    <n v="1283300003276"/>
    <n v="20250527"/>
    <s v="48 - Bonifico in arrivo "/>
    <m/>
    <m/>
    <s v="A     - Avere"/>
    <n v="81130"/>
    <m/>
    <n v="4804234"/>
    <n v="7652810727"/>
    <s v="EMMEFFEDI CAR S.R.L."/>
    <s v="430 - Imprese produttive"/>
    <s v="282 - FABBRICAZIONE DI ALTRE MACCHINE DI IMPIEGO GENERALE"/>
    <s v="086 - ITALIA"/>
    <n v="462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1405"/>
    <x v="0"/>
    <x v="0"/>
    <x v="22"/>
    <n v="53850"/>
    <n v="187"/>
    <s v="053850_187"/>
    <s v="Discovery Frodi"/>
    <s v="Mai valutato"/>
    <m/>
    <m/>
    <n v="999361870311"/>
    <n v="20250514"/>
    <s v="48 - Bonifico in arrivo "/>
    <m/>
    <m/>
    <s v="A     - Avere"/>
    <n v="36397.43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51362"/>
    <x v="0"/>
    <x v="0"/>
    <x v="22"/>
    <n v="53850"/>
    <n v="191"/>
    <s v="053850_191"/>
    <s v="Discovery Frodi"/>
    <s v="Mai valutato"/>
    <m/>
    <m/>
    <n v="1913300068122"/>
    <n v="20250509"/>
    <s v="48 - Bonifico in arrivo "/>
    <m/>
    <m/>
    <s v="A     - Avere"/>
    <n v="4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5"/>
    <x v="4"/>
    <x v="1"/>
    <x v="0"/>
    <m/>
    <x v="0"/>
    <x v="0"/>
    <s v="999"/>
    <s v="430"/>
    <s v="430999"/>
    <m/>
    <s v="1"/>
    <s v="Classe di rischio 1"/>
  </r>
  <r>
    <n v="351352"/>
    <x v="0"/>
    <x v="0"/>
    <x v="22"/>
    <n v="53850"/>
    <n v="191"/>
    <s v="053850_191"/>
    <s v="Discovery Frodi"/>
    <s v="Mai valutato"/>
    <m/>
    <m/>
    <n v="1913300068122"/>
    <n v="20250515"/>
    <s v="48 - Bonifico in arrivo "/>
    <m/>
    <m/>
    <s v="A     - Avere"/>
    <n v="5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5"/>
    <x v="4"/>
    <x v="1"/>
    <x v="0"/>
    <m/>
    <x v="0"/>
    <x v="0"/>
    <s v="999"/>
    <s v="430"/>
    <s v="430999"/>
    <m/>
    <s v="1"/>
    <s v="Classe di rischio 1"/>
  </r>
  <r>
    <n v="351293"/>
    <x v="0"/>
    <x v="0"/>
    <x v="22"/>
    <n v="53850"/>
    <n v="148"/>
    <s v="053850_148"/>
    <s v="Discovery Frodi"/>
    <s v="Mai valutato"/>
    <m/>
    <m/>
    <n v="1483300006067"/>
    <n v="20250527"/>
    <s v="48 - Bonifico in arrivo "/>
    <m/>
    <m/>
    <s v="A     - Avere"/>
    <n v="36233.43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1252"/>
    <x v="0"/>
    <x v="0"/>
    <x v="22"/>
    <n v="53850"/>
    <n v="171"/>
    <s v="053850_171"/>
    <s v="Discovery Frodi"/>
    <s v="Mai valutato"/>
    <m/>
    <m/>
    <n v="1713302213842"/>
    <n v="20250507"/>
    <s v="48 - Bonifico in arrivo "/>
    <m/>
    <m/>
    <s v="A     - Avere"/>
    <n v="4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51188"/>
    <x v="0"/>
    <x v="0"/>
    <x v="22"/>
    <n v="53850"/>
    <n v="122"/>
    <s v="053850_122"/>
    <s v="Discovery Frodi"/>
    <s v="Mai valutato"/>
    <m/>
    <m/>
    <n v="1223300002128"/>
    <n v="20250528"/>
    <s v="48 - Bonifico in arrivo "/>
    <m/>
    <m/>
    <s v="A     - Avere"/>
    <n v="26719.7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x v="2"/>
    <x v="1"/>
    <x v="0"/>
    <m/>
    <x v="0"/>
    <x v="0"/>
    <s v="620"/>
    <s v="430"/>
    <s v="430620"/>
    <s v="Classe di rischio 3"/>
    <m/>
    <s v="Classe di rischio 3"/>
  </r>
  <r>
    <n v="351084"/>
    <x v="0"/>
    <x v="0"/>
    <x v="22"/>
    <n v="53850"/>
    <n v="122"/>
    <s v="053850_122"/>
    <s v="Discovery Frodi"/>
    <s v="Mai valutato"/>
    <m/>
    <m/>
    <n v="1223300002128"/>
    <n v="20250528"/>
    <s v="48 - Bonifico in arrivo "/>
    <m/>
    <m/>
    <s v="A     - Avere"/>
    <n v="1856796.5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x v="2"/>
    <x v="1"/>
    <x v="0"/>
    <m/>
    <x v="0"/>
    <x v="0"/>
    <s v="620"/>
    <s v="430"/>
    <s v="430620"/>
    <s v="Classe di rischio 3"/>
    <m/>
    <s v="Classe di rischio 3"/>
  </r>
  <r>
    <n v="351076"/>
    <x v="0"/>
    <x v="0"/>
    <x v="22"/>
    <n v="53850"/>
    <n v="187"/>
    <s v="053850_187"/>
    <s v="Discovery Frodi"/>
    <s v="Mai valutato"/>
    <m/>
    <m/>
    <n v="999361870311"/>
    <n v="20250513"/>
    <s v="48 - Bonifico in arrivo "/>
    <m/>
    <m/>
    <s v="A     - Avere"/>
    <n v="292408.40999999997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51067"/>
    <x v="0"/>
    <x v="0"/>
    <x v="22"/>
    <n v="53850"/>
    <n v="104"/>
    <s v="053850_104"/>
    <s v="Discovery Frodi"/>
    <s v="Mai valutato"/>
    <m/>
    <m/>
    <n v="1043309503913"/>
    <n v="20250516"/>
    <s v="48 - Bonifico in arrivo "/>
    <m/>
    <m/>
    <s v="A     - Avere"/>
    <n v="53391.13"/>
    <m/>
    <n v="424944"/>
    <n v="3454860721"/>
    <s v="CO.BE.CA. S.R.L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4"/>
    <x v="1"/>
    <x v="0"/>
    <m/>
    <x v="0"/>
    <x v="0"/>
    <s v="463"/>
    <s v="430"/>
    <s v="430463"/>
    <s v="Classe di rischio 3"/>
    <m/>
    <s v="Classe di rischio 3"/>
  </r>
  <r>
    <n v="350896"/>
    <x v="0"/>
    <x v="0"/>
    <x v="22"/>
    <n v="53850"/>
    <n v="187"/>
    <s v="053850_187"/>
    <s v="Discovery Frodi"/>
    <s v="Mai valutato"/>
    <m/>
    <m/>
    <n v="999361870311"/>
    <n v="20250512"/>
    <s v="48 - Bonifico in arrivo "/>
    <m/>
    <m/>
    <s v="A     - Avere"/>
    <n v="31580.99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50847"/>
    <x v="0"/>
    <x v="0"/>
    <x v="22"/>
    <n v="53850"/>
    <n v="128"/>
    <s v="053850_128"/>
    <s v="Discovery Frodi"/>
    <s v="Mai valutato"/>
    <m/>
    <m/>
    <n v="1283300003276"/>
    <n v="20250523"/>
    <s v="48 - Bonifico in arrivo "/>
    <m/>
    <m/>
    <s v="A     - Avere"/>
    <n v="36600"/>
    <m/>
    <n v="4804234"/>
    <n v="7652810727"/>
    <s v="EMMEFFEDI CAR S.R.L."/>
    <s v="430 - Imprese produttive"/>
    <s v="282 - FABBRICAZIONE DI ALTRE MACCHINE DI IMPIEGO GENERALE"/>
    <s v="086 - ITALIA"/>
    <n v="462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0828"/>
    <x v="0"/>
    <x v="0"/>
    <x v="22"/>
    <n v="53850"/>
    <n v="268"/>
    <s v="053850_268"/>
    <s v="Discovery Frodi"/>
    <s v="Mai valutato"/>
    <m/>
    <m/>
    <n v="2683300010038"/>
    <n v="20250523"/>
    <s v="48 - Bonifico in arrivo "/>
    <m/>
    <m/>
    <s v="A     - Avere"/>
    <n v="99150.27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50748"/>
    <x v="0"/>
    <x v="0"/>
    <x v="22"/>
    <n v="53850"/>
    <n v="122"/>
    <s v="053850_122"/>
    <s v="Discovery Frodi"/>
    <s v="Mai valutato"/>
    <m/>
    <m/>
    <n v="1223300001682"/>
    <n v="20250529"/>
    <s v="48 - Bonifico in arrivo "/>
    <m/>
    <m/>
    <s v="A     - Avere"/>
    <n v="1252933.6200000001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x v="2"/>
    <x v="1"/>
    <x v="0"/>
    <m/>
    <x v="0"/>
    <x v="0"/>
    <s v="620"/>
    <s v="430"/>
    <s v="430620"/>
    <s v="Classe di rischio 3"/>
    <m/>
    <s v="Classe di rischio 3"/>
  </r>
  <r>
    <n v="350691"/>
    <x v="0"/>
    <x v="0"/>
    <x v="22"/>
    <n v="53850"/>
    <n v="141"/>
    <s v="053850_141"/>
    <s v="Discovery Frodi"/>
    <s v="Mai valutato"/>
    <m/>
    <m/>
    <n v="1413300003347"/>
    <n v="20250515"/>
    <s v="48 - Bonifico in arrivo "/>
    <m/>
    <m/>
    <s v="A     - Avere"/>
    <n v="182691.95"/>
    <m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x v="1"/>
    <x v="0"/>
    <x v="0"/>
    <m/>
    <x v="0"/>
    <x v="0"/>
    <s v="620"/>
    <s v="430"/>
    <s v="430620"/>
    <s v="Classe di rischio 3"/>
    <m/>
    <s v="Classe di rischio 3"/>
  </r>
  <r>
    <n v="350653"/>
    <x v="0"/>
    <x v="0"/>
    <x v="22"/>
    <n v="53850"/>
    <n v="117"/>
    <s v="053850_117"/>
    <s v="Discovery Frodi"/>
    <s v="Mai valutato"/>
    <m/>
    <m/>
    <n v="1173300539106"/>
    <n v="20250520"/>
    <s v="48 - Bonifico in arrivo "/>
    <m/>
    <m/>
    <s v="A     - Avere"/>
    <n v="28251.78"/>
    <m/>
    <n v="4859514"/>
    <s v="DRANNL95E23G786D"/>
    <s v="D'AURIA ANTONELLO"/>
    <s v="615 - Altre famiglie produttrici"/>
    <s v="012 - COLTIVAZIONE DI COLTURE PERMANENTI"/>
    <s v="086 - ITALIA"/>
    <n v="1772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50576"/>
    <x v="0"/>
    <x v="0"/>
    <x v="22"/>
    <n v="53850"/>
    <n v="148"/>
    <s v="053850_148"/>
    <s v="Discovery Frodi"/>
    <s v="Mai valutato"/>
    <m/>
    <m/>
    <n v="1483300006067"/>
    <n v="20250522"/>
    <s v="48 - Bonifico in arrivo 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50521"/>
    <x v="0"/>
    <x v="0"/>
    <x v="22"/>
    <n v="53850"/>
    <n v="261"/>
    <s v="053850_261"/>
    <s v="Discovery Frodi"/>
    <s v="Mai valutato"/>
    <m/>
    <m/>
    <n v="2613300000185"/>
    <n v="20250502"/>
    <s v="48 - Bonifico in arrivo "/>
    <m/>
    <m/>
    <s v="A     - Avere"/>
    <n v="70000"/>
    <m/>
    <n v="1603119"/>
    <n v="941080707"/>
    <s v="SANNIOLAT S.R.L."/>
    <s v="430 - Imprese produttive"/>
    <s v="105 - INDUSTRIA LATTIERO-CASEARIA"/>
    <s v="086 - ITALIA"/>
    <n v="1856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50518"/>
    <x v="0"/>
    <x v="0"/>
    <x v="22"/>
    <n v="53850"/>
    <n v="137"/>
    <s v="053850_137"/>
    <s v="Discovery Frodi"/>
    <s v="Mai valutato"/>
    <m/>
    <m/>
    <n v="1373300006051"/>
    <n v="20250513"/>
    <s v="48 - Bonifico in arrivo "/>
    <m/>
    <m/>
    <s v="A     - Avere"/>
    <n v="31925"/>
    <m/>
    <n v="3742657"/>
    <n v="1855700702"/>
    <s v="LA SCUDERIA S.R.L.S."/>
    <s v="430 - Imprese produttive"/>
    <s v="451 - COMMERCIO DI AUTOVEICOLI"/>
    <s v="086 - ITALIA"/>
    <n v="1867"/>
    <m/>
    <m/>
    <m/>
    <m/>
    <m/>
    <m/>
    <m/>
    <n v="0"/>
    <n v="202505"/>
    <x v="1"/>
    <x v="0"/>
    <x v="0"/>
    <m/>
    <x v="0"/>
    <x v="0"/>
    <s v="451"/>
    <s v="430"/>
    <s v="430451"/>
    <s v="Classe di rischio 3"/>
    <m/>
    <s v="Classe di rischio 3"/>
  </r>
  <r>
    <n v="350469"/>
    <x v="0"/>
    <x v="0"/>
    <x v="22"/>
    <n v="53850"/>
    <n v="161"/>
    <s v="053850_161"/>
    <s v="Discovery Frodi"/>
    <s v="Mai valutato"/>
    <m/>
    <m/>
    <n v="1613300032597"/>
    <n v="20250519"/>
    <s v="48 - Bonifico in arrivo "/>
    <m/>
    <m/>
    <s v="A     - Avere"/>
    <n v="299847.46999999997"/>
    <m/>
    <n v="4848422"/>
    <n v="7580050727"/>
    <s v="AZIENDA AGRICOLA LA CORTE - SOCIETA' AGRICOL"/>
    <s v="491 - Quasi societa' non finanziarie altre - Unita' o societa' con piu' di 5 e meno di 20 addetti"/>
    <s v="014 - ALLEVAMENTO DI ANIMALI"/>
    <s v="086 - ITALIA"/>
    <n v="1903"/>
    <m/>
    <m/>
    <m/>
    <m/>
    <m/>
    <m/>
    <m/>
    <n v="0"/>
    <n v="202505"/>
    <x v="1"/>
    <x v="0"/>
    <x v="0"/>
    <m/>
    <x v="0"/>
    <x v="0"/>
    <s v="999"/>
    <s v="491"/>
    <s v="491999"/>
    <m/>
    <s v="1"/>
    <s v="Classe di rischio 2"/>
  </r>
  <r>
    <n v="350364"/>
    <x v="0"/>
    <x v="0"/>
    <x v="22"/>
    <n v="53850"/>
    <n v="153"/>
    <s v="053850_153"/>
    <s v="Discovery Frodi"/>
    <s v="Mai valutato"/>
    <m/>
    <m/>
    <n v="1533300663959"/>
    <n v="20250505"/>
    <s v="48 - Bonifico in arrivo "/>
    <m/>
    <m/>
    <s v="A     - Avere"/>
    <n v="37951.49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5"/>
    <x v="1"/>
    <x v="0"/>
    <x v="0"/>
    <m/>
    <x v="0"/>
    <x v="0"/>
    <s v="462"/>
    <s v="430"/>
    <s v="430462"/>
    <s v="Classe di rischio 3"/>
    <m/>
    <s v="Classe di rischio 3"/>
  </r>
  <r>
    <n v="350283"/>
    <x v="0"/>
    <x v="0"/>
    <x v="22"/>
    <n v="53850"/>
    <n v="125"/>
    <s v="053850_125"/>
    <s v="Discovery Frodi"/>
    <s v="Mai valutato"/>
    <m/>
    <m/>
    <n v="1253309512895"/>
    <n v="20250523"/>
    <s v="48 - Bonifico in arrivo "/>
    <m/>
    <m/>
    <s v="A     - Avere"/>
    <n v="34953.980000000003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9304"/>
    <x v="1"/>
    <x v="1"/>
    <x v="22"/>
    <n v="53850"/>
    <n v="102"/>
    <s v="053850_102"/>
    <s v="Discovery Comportamenti"/>
    <s v="Mai valutato"/>
    <m/>
    <m/>
    <m/>
    <m/>
    <m/>
    <m/>
    <m/>
    <m/>
    <s v=""/>
    <m/>
    <n v="4269640"/>
    <n v="4797080969"/>
    <s v="FACTORIT S.P.A."/>
    <s v="259 - Societa' di factoring"/>
    <s v="64992 - Attività di factoring"/>
    <m/>
    <n v="1926"/>
    <m/>
    <m/>
    <m/>
    <m/>
    <m/>
    <m/>
    <m/>
    <n v="0"/>
    <m/>
    <x v="5"/>
    <x v="2"/>
    <x v="0"/>
    <m/>
    <x v="0"/>
    <x v="0"/>
    <s v="999"/>
    <s v="259"/>
    <s v="259999"/>
    <m/>
    <s v="1"/>
    <s v="Classe di rischio 0"/>
  </r>
  <r>
    <n v="349301"/>
    <x v="1"/>
    <x v="1"/>
    <x v="22"/>
    <n v="53850"/>
    <n v="122"/>
    <s v="053850_122"/>
    <s v="Discovery Comportamenti"/>
    <s v="Mai valutato"/>
    <m/>
    <m/>
    <m/>
    <m/>
    <m/>
    <m/>
    <m/>
    <m/>
    <s v=""/>
    <m/>
    <n v="3711207"/>
    <n v="8825020723"/>
    <s v="EXPRIVIA S.P.A."/>
    <s v="430 - Imprese produttive"/>
    <s v="6201 - Produzione di software non connesso all'edizione"/>
    <m/>
    <n v="1696"/>
    <m/>
    <m/>
    <m/>
    <m/>
    <m/>
    <m/>
    <m/>
    <n v="0"/>
    <m/>
    <x v="5"/>
    <x v="2"/>
    <x v="0"/>
    <m/>
    <x v="0"/>
    <x v="0"/>
    <s v="620"/>
    <s v="430"/>
    <s v="430620"/>
    <s v="Classe di rischio 3"/>
    <m/>
    <s v="Classe di rischio 3"/>
  </r>
  <r>
    <n v="349274"/>
    <x v="1"/>
    <x v="1"/>
    <x v="22"/>
    <n v="53850"/>
    <n v="265"/>
    <s v="053850_265"/>
    <s v="Discovery Comportamenti"/>
    <s v="Mai valutato"/>
    <m/>
    <m/>
    <m/>
    <m/>
    <m/>
    <m/>
    <m/>
    <m/>
    <s v=""/>
    <m/>
    <n v="1702012"/>
    <n v="1313480772"/>
    <s v="TERRE DELLA LUCE SOCIETA' COOPERATIVA AGRICOLA"/>
    <s v="430 - Imprese produttive"/>
    <s v="01132 - Coltivazione di ortaggi (inclusi i meloni) in foglia, a fusto, a frutto, in radici, bulbi e tuberi in colture protette (escluse barbabietola da zucchero e patate)"/>
    <m/>
    <n v="1926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49266"/>
    <x v="1"/>
    <x v="1"/>
    <x v="22"/>
    <n v="53850"/>
    <n v="286"/>
    <s v="053850_286"/>
    <s v="Discovery Comportamenti"/>
    <s v="Mai valutato"/>
    <m/>
    <m/>
    <m/>
    <m/>
    <m/>
    <m/>
    <m/>
    <m/>
    <s v=""/>
    <m/>
    <n v="1703846"/>
    <n v="2557890692"/>
    <s v="ENERGIE S.R.L."/>
    <s v="430 - Imprese produttive"/>
    <s v="3514 - Commercio di energia elettrica"/>
    <m/>
    <n v="1877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49253"/>
    <x v="1"/>
    <x v="1"/>
    <x v="22"/>
    <n v="53850"/>
    <n v="141"/>
    <s v="053850_141"/>
    <s v="Discovery Comportamenti"/>
    <s v="Mai valutato"/>
    <m/>
    <m/>
    <m/>
    <m/>
    <m/>
    <m/>
    <m/>
    <m/>
    <s v=""/>
    <m/>
    <n v="4835947"/>
    <n v="3351210756"/>
    <s v="LINKS - MANAGEMENT AND TECHNOLOGY - S.P.A. I"/>
    <s v="430 - Imprese produttive"/>
    <s v="6202 - Consulenza nel settore delle tecnologie dell'informatica"/>
    <m/>
    <n v="1627"/>
    <m/>
    <m/>
    <m/>
    <m/>
    <m/>
    <m/>
    <m/>
    <n v="0"/>
    <m/>
    <x v="5"/>
    <x v="2"/>
    <x v="0"/>
    <m/>
    <x v="0"/>
    <x v="0"/>
    <s v="620"/>
    <s v="430"/>
    <s v="430620"/>
    <s v="Classe di rischio 3"/>
    <m/>
    <s v="Classe di rischio 3"/>
  </r>
  <r>
    <n v="349221"/>
    <x v="1"/>
    <x v="1"/>
    <x v="22"/>
    <n v="53850"/>
    <n v="121"/>
    <s v="053850_121"/>
    <s v="Discovery Comportamenti"/>
    <s v="Mai valutato"/>
    <m/>
    <m/>
    <m/>
    <m/>
    <m/>
    <m/>
    <m/>
    <m/>
    <s v=""/>
    <m/>
    <n v="4669940"/>
    <n v="7216060728"/>
    <s v="TERRA VIVA - SOCIETA' COOPERATIVA AGRICOLA"/>
    <s v="430 - Imprese produttive"/>
    <s v="016100 - Attività di supporto alla produzione vegetale"/>
    <m/>
    <m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49207"/>
    <x v="1"/>
    <x v="1"/>
    <x v="22"/>
    <n v="53850"/>
    <n v="102"/>
    <s v="053850_102"/>
    <s v="Discovery Comportamenti"/>
    <s v="Mai valutato"/>
    <m/>
    <m/>
    <m/>
    <m/>
    <m/>
    <m/>
    <m/>
    <m/>
    <s v=""/>
    <m/>
    <n v="4449008"/>
    <n v="6606180724"/>
    <s v="CO.IMM. SOCIETA' A RESPONSABILITA' LIMITATA"/>
    <s v="430 - Imprese produttive"/>
    <s v="412000 - Costruzione di edifici residenziali e non residenziali"/>
    <m/>
    <n v="739"/>
    <m/>
    <m/>
    <m/>
    <m/>
    <m/>
    <m/>
    <m/>
    <n v="0"/>
    <m/>
    <x v="5"/>
    <x v="2"/>
    <x v="0"/>
    <m/>
    <x v="0"/>
    <x v="0"/>
    <s v="412"/>
    <s v="430"/>
    <s v="430412"/>
    <s v="Classe di rischio 3"/>
    <m/>
    <s v="Classe di rischio 3"/>
  </r>
  <r>
    <n v="349202"/>
    <x v="1"/>
    <x v="1"/>
    <x v="22"/>
    <n v="53850"/>
    <n v="109"/>
    <s v="053850_109"/>
    <s v="Discovery Comportamenti"/>
    <s v="Mai valutato"/>
    <m/>
    <m/>
    <m/>
    <m/>
    <m/>
    <m/>
    <m/>
    <m/>
    <s v=""/>
    <m/>
    <n v="4536482"/>
    <n v="268480720"/>
    <s v="RENAUTO SOCIETA' PER AZIONI"/>
    <s v="430 - Imprese produttive"/>
    <s v="451101 - Commercio all'ingrosso e al dettaglio di autovetture e di autoveicoli leggeri"/>
    <m/>
    <n v="1919"/>
    <m/>
    <m/>
    <m/>
    <m/>
    <m/>
    <m/>
    <m/>
    <n v="0"/>
    <m/>
    <x v="5"/>
    <x v="2"/>
    <x v="0"/>
    <m/>
    <x v="0"/>
    <x v="0"/>
    <s v="451"/>
    <s v="430"/>
    <s v="430451"/>
    <s v="Classe di rischio 3"/>
    <m/>
    <s v="Classe di rischio 3"/>
  </r>
  <r>
    <n v="349184"/>
    <x v="1"/>
    <x v="1"/>
    <x v="22"/>
    <n v="53850"/>
    <n v="103"/>
    <s v="053850_103"/>
    <s v="Discovery Comportamenti"/>
    <s v="Mai valutato"/>
    <m/>
    <m/>
    <m/>
    <m/>
    <m/>
    <m/>
    <m/>
    <m/>
    <s v=""/>
    <m/>
    <n v="4679373"/>
    <n v="3294040724"/>
    <s v="CEREAL - FER SEMENTI DI PANTONE DOMENICO&amp; C."/>
    <s v="492 - Quasi societa' non finanziarie altre - Unita' o societa' con meno di 20 addetti"/>
    <s v="016401 - Pulitura e cernita di semi e granaglie"/>
    <m/>
    <n v="1926"/>
    <m/>
    <m/>
    <m/>
    <m/>
    <m/>
    <m/>
    <m/>
    <n v="0"/>
    <m/>
    <x v="5"/>
    <x v="2"/>
    <x v="0"/>
    <m/>
    <x v="0"/>
    <x v="0"/>
    <s v="999"/>
    <s v="492"/>
    <s v="492999"/>
    <m/>
    <s v="1"/>
    <s v="Classe di rischio 2"/>
  </r>
  <r>
    <n v="349183"/>
    <x v="1"/>
    <x v="1"/>
    <x v="22"/>
    <n v="53850"/>
    <n v="102"/>
    <s v="053850_102"/>
    <s v="Discovery Comportamenti"/>
    <s v="Mai valutato"/>
    <m/>
    <m/>
    <m/>
    <m/>
    <m/>
    <m/>
    <m/>
    <m/>
    <s v=""/>
    <m/>
    <n v="4269640"/>
    <n v="4797080969"/>
    <s v="FACTORIT S.P.A."/>
    <s v="259 - Societa' di factoring"/>
    <s v="64992 - Attività di factoring"/>
    <m/>
    <n v="1926"/>
    <m/>
    <m/>
    <m/>
    <m/>
    <m/>
    <m/>
    <m/>
    <n v="0"/>
    <m/>
    <x v="5"/>
    <x v="2"/>
    <x v="0"/>
    <m/>
    <x v="0"/>
    <x v="0"/>
    <s v="999"/>
    <s v="259"/>
    <s v="259999"/>
    <m/>
    <s v="1"/>
    <s v="Classe di rischio 0"/>
  </r>
  <r>
    <n v="349169"/>
    <x v="1"/>
    <x v="1"/>
    <x v="22"/>
    <n v="53850"/>
    <n v="105"/>
    <s v="053850_105"/>
    <s v="Discovery Comportamenti"/>
    <s v="Mai valutato"/>
    <m/>
    <m/>
    <m/>
    <m/>
    <m/>
    <m/>
    <m/>
    <m/>
    <s v=""/>
    <m/>
    <n v="4263360"/>
    <n v="5982300724"/>
    <s v="CAPURSO AZIENDA CASEARIA S.R.L."/>
    <s v="430 - Imprese produttive"/>
    <s v="10512 - Produzione dei derivati del latte"/>
    <m/>
    <n v="1058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49163"/>
    <x v="1"/>
    <x v="1"/>
    <x v="22"/>
    <n v="53850"/>
    <n v="199"/>
    <s v="053850_199"/>
    <s v="Discovery Comportamenti"/>
    <s v="Mai valutato"/>
    <m/>
    <m/>
    <m/>
    <m/>
    <m/>
    <m/>
    <m/>
    <m/>
    <s v=""/>
    <m/>
    <n v="4862196"/>
    <n v="1430150746"/>
    <s v="CANTINE DUE PALME - SOCIETA' COOPERATIVAAGRI"/>
    <s v="430 - Imprese produttive"/>
    <s v="0121 - Coltivazione di uva"/>
    <m/>
    <n v="1627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49130"/>
    <x v="1"/>
    <x v="1"/>
    <x v="22"/>
    <n v="53850"/>
    <n v="102"/>
    <s v="053850_102"/>
    <s v="Discovery Comportamenti"/>
    <s v="Mai valutato"/>
    <m/>
    <m/>
    <m/>
    <m/>
    <m/>
    <m/>
    <m/>
    <m/>
    <s v=""/>
    <m/>
    <n v="11382"/>
    <n v="252420724"/>
    <s v="SEMOLIFICIO LOIUDICE S.R.L."/>
    <s v="430 - Imprese produttive"/>
    <s v="47911 - Commercio al dettaglio di qualsiasi tipo di prodotto effettuato via internet"/>
    <m/>
    <n v="1203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49102"/>
    <x v="1"/>
    <x v="1"/>
    <x v="22"/>
    <n v="53850"/>
    <n v="102"/>
    <s v="053850_102"/>
    <s v="Discovery Comportamenti"/>
    <s v="Mai valutato"/>
    <m/>
    <m/>
    <m/>
    <m/>
    <m/>
    <m/>
    <m/>
    <m/>
    <s v=""/>
    <m/>
    <n v="4269640"/>
    <n v="4797080969"/>
    <s v="FACTORIT S.P.A."/>
    <s v="259 - Societa' di factoring"/>
    <s v="64992 - Attività di factoring"/>
    <m/>
    <n v="1926"/>
    <m/>
    <m/>
    <m/>
    <m/>
    <m/>
    <m/>
    <m/>
    <n v="0"/>
    <m/>
    <x v="5"/>
    <x v="2"/>
    <x v="0"/>
    <m/>
    <x v="0"/>
    <x v="0"/>
    <s v="999"/>
    <s v="259"/>
    <s v="259999"/>
    <m/>
    <s v="1"/>
    <s v="Classe di rischio 0"/>
  </r>
  <r>
    <n v="349085"/>
    <x v="1"/>
    <x v="1"/>
    <x v="22"/>
    <n v="53850"/>
    <n v="109"/>
    <s v="053850_109"/>
    <s v="Discovery Comportamenti"/>
    <s v="Mai valutato"/>
    <m/>
    <m/>
    <m/>
    <m/>
    <m/>
    <m/>
    <m/>
    <m/>
    <s v=""/>
    <m/>
    <n v="4536482"/>
    <n v="268480720"/>
    <s v="RENAUTO SOCIETA' PER AZIONI"/>
    <s v="430 - Imprese produttive"/>
    <s v="451101 - Commercio all'ingrosso e al dettaglio di autovetture e di autoveicoli leggeri"/>
    <m/>
    <n v="1919"/>
    <m/>
    <m/>
    <m/>
    <m/>
    <m/>
    <m/>
    <m/>
    <n v="0"/>
    <m/>
    <x v="5"/>
    <x v="2"/>
    <x v="0"/>
    <m/>
    <x v="0"/>
    <x v="0"/>
    <s v="451"/>
    <s v="430"/>
    <s v="430451"/>
    <s v="Classe di rischio 3"/>
    <m/>
    <s v="Classe di rischio 3"/>
  </r>
  <r>
    <n v="349051"/>
    <x v="1"/>
    <x v="1"/>
    <x v="22"/>
    <n v="53850"/>
    <n v="187"/>
    <s v="053850_187"/>
    <s v="Discovery Comportamenti"/>
    <s v="Mai valutato"/>
    <m/>
    <m/>
    <m/>
    <m/>
    <m/>
    <m/>
    <m/>
    <m/>
    <s v=""/>
    <m/>
    <n v="3004644"/>
    <n v="80008750731"/>
    <s v="COMUNE DI TARANTO"/>
    <s v="173 - Amministrazioni comunali e unioni di comuni"/>
    <m/>
    <m/>
    <n v="1627"/>
    <m/>
    <m/>
    <m/>
    <m/>
    <m/>
    <m/>
    <m/>
    <n v="0"/>
    <m/>
    <x v="5"/>
    <x v="2"/>
    <x v="0"/>
    <m/>
    <x v="0"/>
    <x v="0"/>
    <s v="999"/>
    <s v="173"/>
    <s v="173999"/>
    <s v="Classe di rischio 0"/>
    <m/>
    <s v="Classe di rischio 0"/>
  </r>
  <r>
    <n v="349045"/>
    <x v="1"/>
    <x v="1"/>
    <x v="22"/>
    <n v="53850"/>
    <n v="190"/>
    <s v="053850_190"/>
    <s v="Discovery Comportamenti"/>
    <s v="Mai valutato"/>
    <m/>
    <m/>
    <m/>
    <m/>
    <m/>
    <m/>
    <m/>
    <m/>
    <s v=""/>
    <m/>
    <n v="4884959"/>
    <n v="6732580722"/>
    <s v="MACK &amp; SCHUHLE ITALIA S.P.A."/>
    <s v="430 - Imprese produttive"/>
    <s v="11021 - Produzione di vini da tavola e v.q.p.r.d."/>
    <m/>
    <n v="1926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49037"/>
    <x v="1"/>
    <x v="1"/>
    <x v="22"/>
    <n v="53850"/>
    <n v="102"/>
    <s v="053850_102"/>
    <s v="Discovery Comportamenti"/>
    <s v="Mai valutato"/>
    <m/>
    <m/>
    <m/>
    <m/>
    <m/>
    <m/>
    <m/>
    <m/>
    <s v=""/>
    <m/>
    <n v="3726777"/>
    <n v="8920410720"/>
    <s v="VICTUS HORIZON SRL"/>
    <s v="285 - Holding operative finanziarie"/>
    <s v="642000 - Attività delle società di partecipazione (holding)"/>
    <m/>
    <n v="739"/>
    <m/>
    <m/>
    <m/>
    <m/>
    <m/>
    <m/>
    <m/>
    <n v="0"/>
    <m/>
    <x v="5"/>
    <x v="2"/>
    <x v="0"/>
    <m/>
    <x v="0"/>
    <x v="0"/>
    <s v="999"/>
    <s v="285"/>
    <s v="285999"/>
    <m/>
    <s v="1"/>
    <s v="Classe di rischio 0"/>
  </r>
  <r>
    <n v="349031"/>
    <x v="1"/>
    <x v="1"/>
    <x v="22"/>
    <n v="53850"/>
    <n v="190"/>
    <s v="053850_190"/>
    <s v="Discovery Comportamenti"/>
    <s v="Mai valutato"/>
    <m/>
    <m/>
    <m/>
    <m/>
    <m/>
    <m/>
    <m/>
    <m/>
    <s v=""/>
    <m/>
    <n v="4884959"/>
    <n v="6732580722"/>
    <s v="MACK &amp; SCHUHLE ITALIA S.P.A."/>
    <s v="430 - Imprese produttive"/>
    <s v="11021 - Produzione di vini da tavola e v.q.p.r.d."/>
    <m/>
    <n v="1926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49013"/>
    <x v="1"/>
    <x v="1"/>
    <x v="22"/>
    <n v="53850"/>
    <n v="102"/>
    <s v="053850_102"/>
    <s v="Discovery Comportamenti"/>
    <s v="Mai valutato"/>
    <m/>
    <m/>
    <m/>
    <m/>
    <m/>
    <m/>
    <m/>
    <m/>
    <s v=""/>
    <m/>
    <n v="3726777"/>
    <n v="8920410720"/>
    <s v="VICTUS HORIZON SRL"/>
    <s v="285 - Holding operative finanziarie"/>
    <s v="642000 - Attività delle società di partecipazione (holding)"/>
    <m/>
    <n v="739"/>
    <m/>
    <m/>
    <m/>
    <m/>
    <m/>
    <m/>
    <m/>
    <n v="0"/>
    <m/>
    <x v="5"/>
    <x v="2"/>
    <x v="0"/>
    <m/>
    <x v="0"/>
    <x v="0"/>
    <s v="999"/>
    <s v="285"/>
    <s v="285999"/>
    <m/>
    <s v="1"/>
    <s v="Classe di rischio 0"/>
  </r>
  <r>
    <n v="348562"/>
    <x v="5"/>
    <x v="5"/>
    <x v="23"/>
    <n v="53850"/>
    <n v="128"/>
    <s v="053850_128"/>
    <s v="Discovery Day"/>
    <s v="Mai valutato"/>
    <m/>
    <n v="202505318034753"/>
    <n v="1283300003941"/>
    <n v="20250531"/>
    <s v="03 - Versamento contante cassa continua "/>
    <m/>
    <m/>
    <s v="A     - Avere"/>
    <n v="31650"/>
    <n v="3165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x v="1"/>
    <x v="0"/>
    <x v="0"/>
    <n v="4916499"/>
    <x v="1"/>
    <x v="0"/>
    <s v="999"/>
    <s v="615"/>
    <s v="615999"/>
    <m/>
    <s v="1"/>
    <s v="Classe di rischio 3"/>
  </r>
  <r>
    <n v="348561"/>
    <x v="5"/>
    <x v="5"/>
    <x v="23"/>
    <n v="53850"/>
    <n v="117"/>
    <s v="053850_117"/>
    <s v="Discovery Day"/>
    <s v="Mai valutato"/>
    <m/>
    <s v="Vari (31/05/2025)"/>
    <n v="1173300538726"/>
    <n v="20250531"/>
    <s v="03 - Versamento contante cassa continua "/>
    <m/>
    <m/>
    <s v="A     - Avere"/>
    <n v="39880"/>
    <n v="3988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5"/>
    <x v="1"/>
    <x v="0"/>
    <x v="0"/>
    <n v="4784989"/>
    <x v="1"/>
    <x v="0"/>
    <s v="999"/>
    <s v="430"/>
    <s v="430999"/>
    <m/>
    <s v="1"/>
    <s v="Classe di rischio 1"/>
  </r>
  <r>
    <n v="348560"/>
    <x v="2"/>
    <x v="2"/>
    <x v="23"/>
    <n v="53850"/>
    <n v="147"/>
    <s v="053850_147"/>
    <s v="Discovery Day"/>
    <s v="Mai valutato"/>
    <m/>
    <s v="202505307686251L"/>
    <n v="1473300005217"/>
    <n v="20250530"/>
    <s v="AA - Bonifico da e per estero "/>
    <m/>
    <s v="012 - BULGARIA"/>
    <s v="D     - Dare"/>
    <n v="1000"/>
    <n v="0"/>
    <n v="3724704"/>
    <n v="4306130610"/>
    <s v="SABATINO SRL"/>
    <s v="430 - Imprese produttive"/>
    <s v="494 - TRASPORTO DI MERCI SU STRADA E SERVIZI DI TRASLOCO"/>
    <s v="086 - ITALIA"/>
    <n v="1196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559"/>
    <x v="2"/>
    <x v="2"/>
    <x v="23"/>
    <n v="53850"/>
    <n v="168"/>
    <s v="053850_168"/>
    <s v="Discovery Day"/>
    <s v="Mai valutato"/>
    <m/>
    <s v="202505307685713L"/>
    <n v="1683306277308"/>
    <n v="20250530"/>
    <s v="AA - Bonifico da e per estero "/>
    <m/>
    <s v="012 - BULGARIA"/>
    <s v="D     - Dare"/>
    <n v="2100"/>
    <n v="0"/>
    <n v="4950606"/>
    <n v="7856760728"/>
    <s v="TRANSPORT 68 SOCIETA' A RESPONSABILITA' LIMI"/>
    <s v="430 - Imprese produttive"/>
    <s v="494 - TRASPORTO DI MERCI SU STRADA E SERVIZI DI TRASLOCO"/>
    <s v="086 - ITALIA"/>
    <n v="192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558"/>
    <x v="4"/>
    <x v="4"/>
    <x v="23"/>
    <n v="53850"/>
    <n v="190"/>
    <s v="053850_190"/>
    <s v="Discovery Day"/>
    <s v="Mai valutato"/>
    <m/>
    <n v="202505298034361"/>
    <n v="1900050025418"/>
    <n v="20250529"/>
    <s v="C5 - Immiss.dossier titoli a fronte c/c diversam.intestato(portatore) "/>
    <m/>
    <m/>
    <s v="A     - Avere"/>
    <n v="499974.96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48550"/>
    <x v="2"/>
    <x v="2"/>
    <x v="24"/>
    <n v="53850"/>
    <n v="171"/>
    <s v="053850_171"/>
    <s v="Discovery Day"/>
    <s v="Mai valutato"/>
    <m/>
    <n v="202505308024312"/>
    <n v="1713302213842"/>
    <n v="20250530"/>
    <s v="AA - Bonifico da e per estero "/>
    <m/>
    <s v="012 - BULGARIA"/>
    <s v="D     - Dare"/>
    <n v="13206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48549"/>
    <x v="3"/>
    <x v="3"/>
    <x v="24"/>
    <n v="53850"/>
    <n v="187"/>
    <s v="053850_187"/>
    <s v="Discovery Day"/>
    <s v="Mai valutato"/>
    <m/>
    <n v="202505308027709"/>
    <n v="1873300124079"/>
    <n v="20250530"/>
    <s v="G7 - Versamento assegno circolare altro intermediario "/>
    <m/>
    <m/>
    <s v="A     - Avere"/>
    <n v="200000"/>
    <n v="0"/>
    <n v="4085572"/>
    <s v="RCGSVT67E01L049K"/>
    <s v="RACUGNO SALVATORE"/>
    <s v="600 - Famiglie consumatrici"/>
    <m/>
    <s v="086 - ITALIA"/>
    <n v="478"/>
    <m/>
    <m/>
    <m/>
    <m/>
    <m/>
    <m/>
    <m/>
    <n v="0"/>
    <n v="202505"/>
    <x v="5"/>
    <x v="2"/>
    <x v="0"/>
    <m/>
    <x v="0"/>
    <x v="0"/>
    <s v="999"/>
    <s v="600"/>
    <s v="600999"/>
    <s v="Classe di rischio 7"/>
    <m/>
    <s v="Classe di rischio 7"/>
  </r>
  <r>
    <n v="348548"/>
    <x v="5"/>
    <x v="5"/>
    <x v="24"/>
    <n v="53850"/>
    <n v="171"/>
    <s v="053850_171"/>
    <s v="Discovery Day"/>
    <s v="Mai valutato"/>
    <m/>
    <s v="Vari (30/05/2025)"/>
    <n v="1713305728950"/>
    <n v="20250530"/>
    <s v="03 - Versamento contante cassa continua "/>
    <m/>
    <m/>
    <s v="A     - Avere"/>
    <n v="369560.4"/>
    <n v="369560.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547"/>
    <x v="4"/>
    <x v="4"/>
    <x v="24"/>
    <n v="53850"/>
    <n v="189"/>
    <s v="053850_189"/>
    <s v="Discovery Day"/>
    <s v="Mai valutato"/>
    <m/>
    <n v="202505308027189"/>
    <n v="1893300017217"/>
    <n v="20250530"/>
    <s v="SPECIAL"/>
    <m/>
    <m/>
    <s v="D     - Dare"/>
    <n v="12138.63"/>
    <n v="0"/>
    <n v="4351680"/>
    <s v="GRCPTR78P05E986Q"/>
    <s v="GRECO PIETRO"/>
    <s v="600 - Famiglie consumatrici"/>
    <m/>
    <s v="086 - ITALIA"/>
    <n v="1620"/>
    <m/>
    <m/>
    <m/>
    <m/>
    <m/>
    <m/>
    <m/>
    <n v="0"/>
    <n v="202505"/>
    <x v="5"/>
    <x v="2"/>
    <x v="0"/>
    <m/>
    <x v="0"/>
    <x v="1"/>
    <s v="999"/>
    <s v="600"/>
    <s v="600999"/>
    <s v="Classe di rischio 7"/>
    <m/>
    <s v="Classe di rischio 7"/>
  </r>
  <r>
    <n v="348546"/>
    <x v="3"/>
    <x v="3"/>
    <x v="24"/>
    <n v="53850"/>
    <n v="141"/>
    <s v="053850_141"/>
    <s v="Discovery Day"/>
    <s v="Mai valutato"/>
    <m/>
    <s v="Vari (30/05/2025)"/>
    <n v="1413300004393"/>
    <n v="20250530"/>
    <s v="VV"/>
    <m/>
    <m/>
    <s v="A     - Avere"/>
    <n v="87236.69"/>
    <n v="1289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s v="086 - ITALIA"/>
    <n v="862"/>
    <m/>
    <m/>
    <m/>
    <m/>
    <m/>
    <m/>
    <m/>
    <n v="0"/>
    <n v="202505"/>
    <x v="2"/>
    <x v="1"/>
    <x v="0"/>
    <n v="3743595"/>
    <x v="1"/>
    <x v="1"/>
    <s v="999"/>
    <s v="501"/>
    <s v="501999"/>
    <m/>
    <s v="1"/>
    <s v="Classe di rischio 3"/>
  </r>
  <r>
    <n v="348545"/>
    <x v="3"/>
    <x v="3"/>
    <x v="24"/>
    <n v="53850"/>
    <n v="145"/>
    <s v="053850_145"/>
    <s v="Discovery Day"/>
    <s v="Mai valutato"/>
    <m/>
    <n v="202505308027480"/>
    <n v="1453300003755"/>
    <n v="20250530"/>
    <s v="G7 - Versamento assegno circolare altro intermediario "/>
    <m/>
    <m/>
    <s v="A     - Avere"/>
    <n v="100000"/>
    <n v="0"/>
    <n v="4991602"/>
    <n v="80153690633"/>
    <s v="FALLIMENTO N. 99 2022 CENTRO ESTER ASSOCIAZIONE IN PARTECIPAZIONE"/>
    <s v="615 - Altre famiglie produttrici"/>
    <s v="85 - ISTRUZIONE"/>
    <s v="086 - ITALIA"/>
    <n v="1222"/>
    <m/>
    <m/>
    <m/>
    <m/>
    <m/>
    <m/>
    <m/>
    <n v="0"/>
    <n v="202505"/>
    <x v="5"/>
    <x v="2"/>
    <x v="0"/>
    <m/>
    <x v="0"/>
    <x v="0"/>
    <s v="999"/>
    <s v="615"/>
    <s v="615999"/>
    <m/>
    <s v="1"/>
    <s v="Classe di rischio 3"/>
  </r>
  <r>
    <n v="348544"/>
    <x v="3"/>
    <x v="3"/>
    <x v="24"/>
    <n v="53850"/>
    <n v="267"/>
    <s v="053850_267"/>
    <s v="Discovery Day"/>
    <s v="Mai valutato"/>
    <m/>
    <n v="202505308027801"/>
    <n v="2673300000258"/>
    <n v="20250530"/>
    <s v="D1 - Versamento di contante "/>
    <m/>
    <m/>
    <s v="A     - Avere"/>
    <n v="244200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5"/>
    <x v="1"/>
    <x v="0"/>
    <x v="0"/>
    <n v="1616725"/>
    <x v="1"/>
    <x v="0"/>
    <s v="999"/>
    <s v="430"/>
    <s v="430999"/>
    <m/>
    <s v="1"/>
    <s v="Classe di rischio 1"/>
  </r>
  <r>
    <n v="348543"/>
    <x v="3"/>
    <x v="3"/>
    <x v="24"/>
    <n v="53850"/>
    <n v="182"/>
    <s v="053850_182"/>
    <s v="Discovery Day"/>
    <s v="Mai valutato"/>
    <m/>
    <s v="Vari (30/05/2025)"/>
    <n v="1823300167815"/>
    <n v="20250530"/>
    <s v="VV"/>
    <m/>
    <m/>
    <s v="A     - Avere"/>
    <n v="85050"/>
    <n v="5650"/>
    <n v="4113436"/>
    <n v="2356720736"/>
    <s v="MJ MOTOR'S SRL"/>
    <s v="430 - Imprese produttive"/>
    <s v="454 - COMMERCIO, MANUTENZIONE E RIPARAZIONE DI MOTOCICLI E RELATIVE PARTI ED ACCESSORI"/>
    <s v="086 - ITALIA"/>
    <n v="1627"/>
    <m/>
    <m/>
    <m/>
    <m/>
    <m/>
    <m/>
    <m/>
    <n v="0"/>
    <n v="202505"/>
    <x v="0"/>
    <x v="0"/>
    <x v="0"/>
    <n v="4113436"/>
    <x v="1"/>
    <x v="1"/>
    <s v="454"/>
    <s v="430"/>
    <s v="430454"/>
    <s v="Classe di rischio 3"/>
    <m/>
    <s v="Classe di rischio 3"/>
  </r>
  <r>
    <n v="348542"/>
    <x v="3"/>
    <x v="3"/>
    <x v="24"/>
    <n v="53850"/>
    <n v="128"/>
    <s v="053850_128"/>
    <s v="Discovery Day"/>
    <s v="Mai valutato"/>
    <m/>
    <s v="Vari (30/05/2025)"/>
    <n v="1283300001665"/>
    <n v="20250530"/>
    <s v="VV"/>
    <m/>
    <m/>
    <s v="A     - Avere"/>
    <n v="483186.57"/>
    <n v="979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x v="1"/>
    <x v="0"/>
    <x v="0"/>
    <m/>
    <x v="0"/>
    <x v="1"/>
    <s v="999"/>
    <s v="430"/>
    <s v="430999"/>
    <m/>
    <s v="1"/>
    <s v="Classe di rischio 1"/>
  </r>
  <r>
    <n v="348541"/>
    <x v="4"/>
    <x v="4"/>
    <x v="24"/>
    <n v="53850"/>
    <n v="185"/>
    <s v="053850_185"/>
    <s v="Discovery Day"/>
    <s v="Mai valutato"/>
    <m/>
    <n v="202505308027693"/>
    <n v="1853300025786"/>
    <n v="20250530"/>
    <s v="SPECIAL"/>
    <m/>
    <m/>
    <s v="D     - Dare"/>
    <n v="108303.22"/>
    <n v="0"/>
    <n v="3048294"/>
    <s v="DRGNGL28E60L049O"/>
    <s v="DRAGONE ANGELA"/>
    <s v="600 - Famiglie consumatrici"/>
    <m/>
    <s v="086 - ITALIA"/>
    <n v="610"/>
    <m/>
    <m/>
    <m/>
    <m/>
    <m/>
    <m/>
    <m/>
    <n v="0"/>
    <n v="202505"/>
    <x v="5"/>
    <x v="2"/>
    <x v="0"/>
    <m/>
    <x v="0"/>
    <x v="1"/>
    <s v="999"/>
    <s v="600"/>
    <s v="600999"/>
    <s v="Classe di rischio 7"/>
    <m/>
    <s v="Classe di rischio 7"/>
  </r>
  <r>
    <n v="348540"/>
    <x v="5"/>
    <x v="5"/>
    <x v="24"/>
    <n v="53850"/>
    <n v="171"/>
    <s v="053850_171"/>
    <s v="Discovery Day"/>
    <s v="Mai valutato"/>
    <m/>
    <s v="Vari (30/05/2025)"/>
    <n v="1713302214147"/>
    <n v="20250530"/>
    <s v="03 - Versamento contante cassa continua "/>
    <m/>
    <m/>
    <s v="A     - Avere"/>
    <n v="134143.07"/>
    <n v="134143.07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539"/>
    <x v="4"/>
    <x v="4"/>
    <x v="24"/>
    <n v="53850"/>
    <n v="174"/>
    <s v="053850_174"/>
    <s v="Discovery Day"/>
    <s v="Mai valutato"/>
    <m/>
    <n v="202505308024053"/>
    <n v="1743302879671"/>
    <n v="20250530"/>
    <s v="26 - Bonifico in partenza "/>
    <m/>
    <s v="086 - ITALIA"/>
    <s v="D     - Dare"/>
    <n v="1071179.8700000001"/>
    <n v="0"/>
    <n v="4866710"/>
    <n v="265680728"/>
    <s v="AS LABRUNA S.R.L."/>
    <s v="430 - Imprese produttive"/>
    <s v="281 - FABBRICAZIONE DI MACCHINE DI IMPIEGO GENERALE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538"/>
    <x v="3"/>
    <x v="3"/>
    <x v="24"/>
    <n v="53850"/>
    <n v="171"/>
    <s v="053850_171"/>
    <s v="Discovery Day"/>
    <s v="Mai valutato"/>
    <m/>
    <s v="Vari (30/05/2025)"/>
    <n v="1713302214147"/>
    <n v="20250530"/>
    <s v="03 - Versamento contante cassa continua "/>
    <m/>
    <m/>
    <s v="A     - Avere"/>
    <n v="134143.07"/>
    <n v="134143.07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537"/>
    <x v="2"/>
    <x v="2"/>
    <x v="24"/>
    <n v="53850"/>
    <n v="118"/>
    <s v="053850_118"/>
    <s v="Discovery Day"/>
    <s v="Mai valutato"/>
    <m/>
    <s v="202505307656586L"/>
    <n v="1183306279524"/>
    <n v="20250530"/>
    <s v="AA - Bonifico da e per estero "/>
    <m/>
    <s v="238 - ABU DHABI"/>
    <s v="A     - Avere"/>
    <n v="1650"/>
    <n v="0"/>
    <n v="4908948"/>
    <n v="8176650722"/>
    <s v="AUT LIVELL SOCIETA' A RESPONSABILITA' LIMITATA"/>
    <s v="430 - Imprese produttive"/>
    <s v="433 - COMPLETAMENTO E FINITURA DI EDIFICI"/>
    <s v="086 - ITALIA"/>
    <n v="1649"/>
    <m/>
    <m/>
    <m/>
    <m/>
    <m/>
    <m/>
    <m/>
    <n v="0"/>
    <n v="202505"/>
    <x v="5"/>
    <x v="2"/>
    <x v="0"/>
    <m/>
    <x v="0"/>
    <x v="0"/>
    <s v="433"/>
    <s v="430"/>
    <s v="430433"/>
    <s v="Classe di rischio 3"/>
    <m/>
    <s v="Classe di rischio 3"/>
  </r>
  <r>
    <n v="348536"/>
    <x v="4"/>
    <x v="4"/>
    <x v="24"/>
    <n v="53850"/>
    <n v="128"/>
    <s v="053850_128"/>
    <s v="Discovery Day"/>
    <s v="Mai valutato"/>
    <m/>
    <n v="202505308027410"/>
    <n v="1283300001665"/>
    <n v="20250530"/>
    <s v="10 - Emisione assegni circolari e titoli similari vaglia"/>
    <m/>
    <m/>
    <s v="D     - Dare"/>
    <n v="1425000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535"/>
    <x v="4"/>
    <x v="4"/>
    <x v="24"/>
    <n v="53850"/>
    <n v="136"/>
    <s v="053850_136"/>
    <s v="Discovery Day"/>
    <s v="Mai valutato"/>
    <m/>
    <n v="202505308027183"/>
    <n v="1363300001888"/>
    <n v="20250530"/>
    <s v="48 - Bonifico in arrivo "/>
    <m/>
    <s v="086 - ITALIA"/>
    <s v="A     - Avere"/>
    <n v="1105649"/>
    <n v="0"/>
    <n v="4234848"/>
    <n v="61820742"/>
    <s v="ARCA NORD SALENTO"/>
    <s v="178 - Altre amministrazioni locali"/>
    <s v="841 - AMMINISTRAZIONE PUBBLICA: AMMINISTRAZIONE GENERALE, ECONOMICA E SOCIALE"/>
    <s v="086 - ITALIA"/>
    <n v="1909"/>
    <m/>
    <m/>
    <m/>
    <m/>
    <m/>
    <m/>
    <m/>
    <n v="0"/>
    <n v="202505"/>
    <x v="5"/>
    <x v="2"/>
    <x v="0"/>
    <m/>
    <x v="0"/>
    <x v="0"/>
    <s v="999"/>
    <s v="178"/>
    <s v="178999"/>
    <m/>
    <s v="1"/>
    <s v="Classe di rischio 0"/>
  </r>
  <r>
    <n v="348534"/>
    <x v="7"/>
    <x v="7"/>
    <x v="24"/>
    <n v="53850"/>
    <n v="99"/>
    <s v="053850_99"/>
    <s v="Discovery Day"/>
    <s v="Mai valutato"/>
    <m/>
    <n v="202505308027190"/>
    <m/>
    <n v="20250530"/>
    <s v="SPECIAL"/>
    <m/>
    <m/>
    <s v="D     - Dare"/>
    <n v="12138.63"/>
    <n v="0"/>
    <n v="4351680"/>
    <s v="GRCPTR78P05E986Q"/>
    <s v="GRECO PIETRO"/>
    <s v="600 - Famiglie consumatrici"/>
    <m/>
    <s v="086 - ITALIA"/>
    <n v="1620"/>
    <m/>
    <m/>
    <m/>
    <m/>
    <m/>
    <m/>
    <m/>
    <n v="0"/>
    <n v="202505"/>
    <x v="5"/>
    <x v="2"/>
    <x v="1"/>
    <m/>
    <x v="0"/>
    <x v="1"/>
    <s v="999"/>
    <s v="600"/>
    <s v="600999"/>
    <s v="Classe di rischio 7"/>
    <m/>
    <s v="Classe di rischio 7"/>
  </r>
  <r>
    <n v="348533"/>
    <x v="5"/>
    <x v="5"/>
    <x v="24"/>
    <n v="53850"/>
    <n v="174"/>
    <s v="053850_174"/>
    <s v="Discovery Day"/>
    <s v="Mai valutato"/>
    <m/>
    <s v="Vari (30/05/2025)"/>
    <n v="1743302881011"/>
    <n v="20250530"/>
    <s v="D1 - Versamento di contante "/>
    <m/>
    <m/>
    <s v="A     - Avere"/>
    <n v="35220"/>
    <n v="35220"/>
    <n v="3711270"/>
    <n v="8706460725"/>
    <s v="FARMACIA SANT'ELIA SOCIETA' A RESPONSABILITA"/>
    <s v="430 - Imprese produttive"/>
    <s v="477 - COMMERCIO AL DETTAGLIO DI ALTRI PRODOTTI IN ESERCIZI SPECIALIZZATI"/>
    <s v="086 - ITALIA"/>
    <n v="1058"/>
    <m/>
    <m/>
    <m/>
    <m/>
    <m/>
    <m/>
    <m/>
    <n v="0"/>
    <n v="202505"/>
    <x v="4"/>
    <x v="1"/>
    <x v="0"/>
    <n v="3711270"/>
    <x v="1"/>
    <x v="0"/>
    <s v="477"/>
    <s v="430"/>
    <s v="430477"/>
    <s v="Classe di rischio 3"/>
    <m/>
    <s v="Classe di rischio 3"/>
  </r>
  <r>
    <n v="348532"/>
    <x v="4"/>
    <x v="4"/>
    <x v="24"/>
    <n v="53850"/>
    <n v="175"/>
    <s v="053850_175"/>
    <s v="Discovery Day"/>
    <s v="Mai valutato"/>
    <m/>
    <n v="202505308027637"/>
    <n v="1753302205383"/>
    <n v="20250530"/>
    <s v="10 - Emisione assegni circolari e titoli similari vaglia"/>
    <m/>
    <m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531"/>
    <x v="5"/>
    <x v="5"/>
    <x v="24"/>
    <n v="53850"/>
    <n v="135"/>
    <s v="053850_135"/>
    <s v="Discovery Day"/>
    <s v="Mai valutato"/>
    <m/>
    <s v="Vari (30/05/2025)"/>
    <n v="1923300036309"/>
    <n v="20250530"/>
    <s v="D1 - Versamento di contante "/>
    <m/>
    <m/>
    <s v="A     - Avere"/>
    <n v="30991.16"/>
    <n v="30991.16"/>
    <n v="3732862"/>
    <n v="239870686"/>
    <s v="CESAR SPA"/>
    <s v="430 - Imprese produttive"/>
    <s v="477 - COMMERCIO AL DETTAGLIO DI ALTRI PRODOTTI IN ESERCIZI SPECIALIZZATI"/>
    <s v="086 - ITALIA"/>
    <m/>
    <m/>
    <m/>
    <m/>
    <m/>
    <m/>
    <m/>
    <m/>
    <n v="0"/>
    <n v="202505"/>
    <x v="1"/>
    <x v="0"/>
    <x v="0"/>
    <n v="3732862"/>
    <x v="1"/>
    <x v="0"/>
    <s v="477"/>
    <s v="430"/>
    <s v="430477"/>
    <s v="Classe di rischio 3"/>
    <m/>
    <s v="Classe di rischio 3"/>
  </r>
  <r>
    <n v="348530"/>
    <x v="3"/>
    <x v="3"/>
    <x v="24"/>
    <n v="53850"/>
    <n v="171"/>
    <s v="053850_171"/>
    <s v="Discovery Day"/>
    <s v="Mai valutato"/>
    <m/>
    <s v="Vari (30/05/2025)"/>
    <n v="1713305728950"/>
    <n v="20250530"/>
    <s v="03 - Versamento contante cassa continua "/>
    <m/>
    <m/>
    <s v="A     - Avere"/>
    <n v="369560.4"/>
    <n v="369560.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529"/>
    <x v="4"/>
    <x v="4"/>
    <x v="24"/>
    <n v="53850"/>
    <n v="105"/>
    <s v="053850_105"/>
    <s v="Discovery Day"/>
    <s v="Mai valutato"/>
    <m/>
    <n v="202505308027285"/>
    <n v="1053306286600"/>
    <n v="20250530"/>
    <s v="SPECIAL"/>
    <m/>
    <m/>
    <s v="D     - Dare"/>
    <n v="17259.12"/>
    <n v="0"/>
    <n v="4235456"/>
    <s v="SVRNGL37L67B520I"/>
    <s v="SAVARINO ANGELA"/>
    <s v="600 - Famiglie consumatrici"/>
    <m/>
    <s v="086 - ITALIA"/>
    <m/>
    <m/>
    <m/>
    <m/>
    <m/>
    <m/>
    <m/>
    <m/>
    <n v="0"/>
    <n v="202505"/>
    <x v="5"/>
    <x v="2"/>
    <x v="0"/>
    <m/>
    <x v="0"/>
    <x v="1"/>
    <s v="999"/>
    <s v="600"/>
    <s v="600999"/>
    <s v="Classe di rischio 7"/>
    <m/>
    <s v="Classe di rischio 7"/>
  </r>
  <r>
    <n v="348528"/>
    <x v="5"/>
    <x v="5"/>
    <x v="24"/>
    <n v="53850"/>
    <n v="134"/>
    <s v="053850_134"/>
    <s v="Discovery Day"/>
    <s v="Mai valutato"/>
    <m/>
    <s v="Vari (30/05/2025)"/>
    <n v="1343300002724"/>
    <n v="20250530"/>
    <s v="VV"/>
    <m/>
    <m/>
    <s v="A     - Avere"/>
    <n v="37563.050000000003"/>
    <n v="3221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5"/>
    <x v="4"/>
    <x v="1"/>
    <x v="0"/>
    <n v="4876967"/>
    <x v="1"/>
    <x v="1"/>
    <s v="999"/>
    <s v="615"/>
    <s v="615999"/>
    <m/>
    <s v="1"/>
    <s v="Classe di rischio 3"/>
  </r>
  <r>
    <n v="348527"/>
    <x v="5"/>
    <x v="5"/>
    <x v="24"/>
    <n v="53850"/>
    <n v="181"/>
    <s v="053850_181"/>
    <s v="Discovery Day"/>
    <s v="Mai valutato"/>
    <m/>
    <n v="202505308027661"/>
    <n v="1813301029924"/>
    <n v="20250530"/>
    <s v="D1 - Versamento di contante "/>
    <m/>
    <m/>
    <s v="A     - Avere"/>
    <n v="35425"/>
    <n v="35425"/>
    <n v="4948468"/>
    <s v="BRGCRL94M31L109B"/>
    <s v="BORAGINE CARLO"/>
    <s v="615 - Altre famiglie produttrici"/>
    <s v="472 - COMMERCIO AL DETTAGLIO DI PRODOTTI ALIMENTARI, BEVANDE E TABACCO IN ESERCIZI SPECIALIZZATI"/>
    <s v="086 - ITALIA"/>
    <n v="1943"/>
    <m/>
    <m/>
    <m/>
    <m/>
    <m/>
    <m/>
    <m/>
    <n v="0"/>
    <n v="202505"/>
    <x v="4"/>
    <x v="1"/>
    <x v="0"/>
    <n v="4948468"/>
    <x v="1"/>
    <x v="0"/>
    <s v="999"/>
    <s v="615"/>
    <s v="615999"/>
    <m/>
    <s v="1"/>
    <s v="Classe di rischio 3"/>
  </r>
  <r>
    <n v="348526"/>
    <x v="3"/>
    <x v="3"/>
    <x v="24"/>
    <n v="53850"/>
    <n v="161"/>
    <s v="053850_161"/>
    <s v="Discovery Day"/>
    <s v="Mai valutato"/>
    <m/>
    <s v="Vari (30/05/2025)"/>
    <n v="1613300029653"/>
    <n v="20250530"/>
    <s v="VV"/>
    <m/>
    <m/>
    <s v="A     - Avere"/>
    <n v="217448.27"/>
    <n v="61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x v="1"/>
    <x v="0"/>
    <x v="0"/>
    <n v="4088769"/>
    <x v="1"/>
    <x v="1"/>
    <s v="464"/>
    <s v="430"/>
    <s v="430464"/>
    <s v="Classe di rischio 4"/>
    <m/>
    <s v="Classe di rischio 4"/>
  </r>
  <r>
    <n v="348525"/>
    <x v="5"/>
    <x v="5"/>
    <x v="24"/>
    <n v="53850"/>
    <n v="108"/>
    <s v="053850_108"/>
    <s v="Discovery Day"/>
    <s v="Mai valutato"/>
    <m/>
    <s v="Vari (30/05/2025)"/>
    <n v="1083305200700"/>
    <n v="20250530"/>
    <s v="VV"/>
    <m/>
    <m/>
    <s v="A     - Avere"/>
    <n v="56238.38"/>
    <n v="3761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5"/>
    <x v="0"/>
    <x v="0"/>
    <x v="0"/>
    <n v="520070"/>
    <x v="1"/>
    <x v="1"/>
    <s v="464"/>
    <s v="430"/>
    <s v="430464"/>
    <s v="Classe di rischio 4"/>
    <m/>
    <s v="Classe di rischio 4"/>
  </r>
  <r>
    <n v="348524"/>
    <x v="3"/>
    <x v="3"/>
    <x v="24"/>
    <n v="53850"/>
    <n v="102"/>
    <s v="053850_102"/>
    <s v="Discovery Day"/>
    <s v="Mai valutato"/>
    <m/>
    <s v="Vari (30/05/2025)"/>
    <n v="1023308717655"/>
    <n v="20250530"/>
    <s v="VV"/>
    <m/>
    <m/>
    <s v="A     - Avere"/>
    <n v="208564.6"/>
    <n v="11670"/>
    <n v="4226959"/>
    <n v="6150080726"/>
    <s v="INDUSTRIA MOLITORIA F.LLI MARTIMUCCI S.R.L."/>
    <s v="430 - Imprese produttive"/>
    <s v="106 - LAVORAZIONE DELLE GRANAGLIE, PRODUZIONE DI AMIDI E DI PRODOTTI AMIDACEI"/>
    <s v="086 - ITALIA"/>
    <n v="739"/>
    <m/>
    <m/>
    <m/>
    <m/>
    <m/>
    <m/>
    <m/>
    <n v="0"/>
    <n v="202505"/>
    <x v="2"/>
    <x v="1"/>
    <x v="0"/>
    <m/>
    <x v="0"/>
    <x v="1"/>
    <s v="999"/>
    <s v="430"/>
    <s v="430999"/>
    <m/>
    <s v="1"/>
    <s v="Classe di rischio 1"/>
  </r>
  <r>
    <n v="348523"/>
    <x v="7"/>
    <x v="7"/>
    <x v="24"/>
    <n v="53850"/>
    <n v="103"/>
    <s v="053850_103"/>
    <s v="Discovery Day"/>
    <s v="Mai valutato"/>
    <m/>
    <n v="202505308027231"/>
    <m/>
    <n v="20250530"/>
    <s v="F3 - Cambio assegni tratti su altro intermediario "/>
    <m/>
    <m/>
    <s v="D     - Dare"/>
    <n v="50000"/>
    <n v="0"/>
    <n v="457680"/>
    <s v="NTNMGS63M54E155U"/>
    <s v="ANTONUCCI MARIA GIUSEPPE"/>
    <s v="600 - Famiglie consumatrici"/>
    <m/>
    <s v="086 - ITALIA"/>
    <n v="806"/>
    <m/>
    <m/>
    <m/>
    <m/>
    <m/>
    <m/>
    <m/>
    <n v="0"/>
    <n v="202505"/>
    <x v="5"/>
    <x v="2"/>
    <x v="1"/>
    <m/>
    <x v="0"/>
    <x v="0"/>
    <s v="999"/>
    <s v="600"/>
    <s v="600999"/>
    <s v="Classe di rischio 7"/>
    <m/>
    <s v="Classe di rischio 7"/>
  </r>
  <r>
    <n v="348522"/>
    <x v="5"/>
    <x v="5"/>
    <x v="24"/>
    <n v="53850"/>
    <n v="174"/>
    <s v="053850_174"/>
    <s v="Discovery Day"/>
    <s v="Mai valutato"/>
    <m/>
    <s v="Vari (30/05/2025)"/>
    <n v="1743302879903"/>
    <n v="20250530"/>
    <s v="VV"/>
    <m/>
    <m/>
    <s v="A     - Avere"/>
    <n v="73281.100000000006"/>
    <n v="5929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5"/>
    <x v="0"/>
    <x v="0"/>
    <x v="0"/>
    <n v="4928259"/>
    <x v="1"/>
    <x v="1"/>
    <s v="463"/>
    <s v="430"/>
    <s v="430463"/>
    <s v="Classe di rischio 3"/>
    <m/>
    <s v="Classe di rischio 3"/>
  </r>
  <r>
    <n v="348521"/>
    <x v="4"/>
    <x v="4"/>
    <x v="24"/>
    <n v="53850"/>
    <n v="105"/>
    <s v="053850_105"/>
    <s v="Discovery Day"/>
    <s v="Mai valutato"/>
    <m/>
    <n v="202505308027285"/>
    <n v="1053306286600"/>
    <n v="20250530"/>
    <s v="SPECIAL"/>
    <m/>
    <m/>
    <s v="D     - Dare"/>
    <n v="17259.12"/>
    <n v="0"/>
    <n v="4186319"/>
    <s v="BLLGPP37S03E038V"/>
    <s v="BELLACICCO GIUSEPPE"/>
    <s v="600 - Famiglie consumatrici"/>
    <m/>
    <s v="086 - ITALIA"/>
    <n v="1452"/>
    <m/>
    <m/>
    <m/>
    <m/>
    <m/>
    <m/>
    <m/>
    <n v="0"/>
    <n v="202505"/>
    <x v="5"/>
    <x v="2"/>
    <x v="0"/>
    <m/>
    <x v="0"/>
    <x v="1"/>
    <s v="999"/>
    <s v="600"/>
    <s v="600999"/>
    <s v="Classe di rischio 7"/>
    <m/>
    <s v="Classe di rischio 7"/>
  </r>
  <r>
    <n v="348520"/>
    <x v="4"/>
    <x v="4"/>
    <x v="24"/>
    <n v="53850"/>
    <n v="99"/>
    <s v="053850_99"/>
    <s v="Discovery Day"/>
    <s v="Mai valutato"/>
    <m/>
    <n v="202505308025295"/>
    <n v="999361870311"/>
    <n v="20250530"/>
    <s v="48 - Bonifico in arrivo "/>
    <m/>
    <s v="086 - ITALIA"/>
    <s v="A     - Avere"/>
    <n v="3375000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48519"/>
    <x v="4"/>
    <x v="4"/>
    <x v="24"/>
    <n v="53850"/>
    <n v="185"/>
    <s v="053850_185"/>
    <s v="Discovery Day"/>
    <s v="Mai valutato"/>
    <m/>
    <n v="202505308027693"/>
    <n v="1853300025786"/>
    <n v="20250530"/>
    <s v="SPECIAL"/>
    <m/>
    <m/>
    <s v="D     - Dare"/>
    <n v="108303.22"/>
    <n v="0"/>
    <n v="3017106"/>
    <s v="LBNMHL57B04A662Q"/>
    <s v="LABIANCA MICHELE"/>
    <s v="600 - Famiglie consumatrici"/>
    <m/>
    <s v="086 - ITALIA"/>
    <n v="610"/>
    <m/>
    <m/>
    <m/>
    <m/>
    <m/>
    <m/>
    <m/>
    <n v="0"/>
    <n v="202505"/>
    <x v="5"/>
    <x v="2"/>
    <x v="0"/>
    <m/>
    <x v="0"/>
    <x v="1"/>
    <s v="999"/>
    <s v="600"/>
    <s v="600999"/>
    <s v="Classe di rischio 7"/>
    <m/>
    <s v="Classe di rischio 7"/>
  </r>
  <r>
    <n v="348518"/>
    <x v="5"/>
    <x v="5"/>
    <x v="24"/>
    <n v="53850"/>
    <n v="114"/>
    <s v="053850_114"/>
    <s v="Discovery Day"/>
    <s v="Mai valutato"/>
    <m/>
    <n v="202505308027337"/>
    <n v="1143306280621"/>
    <n v="20250530"/>
    <s v="D1 - Versamento di contante "/>
    <m/>
    <m/>
    <s v="A     - Avere"/>
    <n v="35400"/>
    <n v="354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30"/>
    <s v="430477"/>
    <s v="Classe di rischio 3"/>
    <m/>
    <s v="Classe di rischio 3"/>
  </r>
  <r>
    <n v="348517"/>
    <x v="5"/>
    <x v="5"/>
    <x v="24"/>
    <n v="53850"/>
    <n v="102"/>
    <s v="053850_102"/>
    <s v="Discovery Day"/>
    <s v="Mai valutato"/>
    <m/>
    <n v="202505308026354"/>
    <n v="1023308722503"/>
    <n v="20250530"/>
    <s v="03 - Versamento contante cassa continua "/>
    <m/>
    <m/>
    <s v="A     - Avere"/>
    <n v="31980"/>
    <n v="319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516"/>
    <x v="5"/>
    <x v="5"/>
    <x v="24"/>
    <n v="53850"/>
    <n v="287"/>
    <s v="053850_287"/>
    <s v="Discovery Day"/>
    <s v="Mai valutato"/>
    <m/>
    <s v="Vari (30/05/2025)"/>
    <n v="2873300001853"/>
    <n v="20250530"/>
    <s v="VV"/>
    <m/>
    <m/>
    <s v="A     - Avere"/>
    <n v="51669.84"/>
    <n v="3559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x v="0"/>
    <x v="0"/>
    <x v="0"/>
    <n v="3722213"/>
    <x v="1"/>
    <x v="1"/>
    <s v="463"/>
    <s v="430"/>
    <s v="430463"/>
    <s v="Classe di rischio 3"/>
    <m/>
    <s v="Classe di rischio 3"/>
  </r>
  <r>
    <n v="348515"/>
    <x v="4"/>
    <x v="4"/>
    <x v="24"/>
    <n v="53850"/>
    <n v="120"/>
    <s v="053850_120"/>
    <s v="Discovery Day"/>
    <s v="Mai valutato"/>
    <m/>
    <n v="202505308023972"/>
    <n v="1203300002401"/>
    <n v="20250530"/>
    <s v="26 - Bonifico in partenza "/>
    <m/>
    <s v="086 - ITALIA"/>
    <s v="D     - Dare"/>
    <n v="2057740.82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x v="1"/>
    <x v="0"/>
    <x v="0"/>
    <n v="613876"/>
    <x v="1"/>
    <x v="0"/>
    <s v="999"/>
    <s v="500"/>
    <s v="500999"/>
    <m/>
    <s v="1"/>
    <s v="Classe di rischio 3"/>
  </r>
  <r>
    <n v="348514"/>
    <x v="6"/>
    <x v="6"/>
    <x v="24"/>
    <n v="53850"/>
    <n v="104"/>
    <s v="053850_104"/>
    <s v="Discovery Day"/>
    <s v="Mai valutato"/>
    <m/>
    <n v="202505308025935"/>
    <n v="1041204801448"/>
    <n v="20250530"/>
    <s v="AA - Bonifico da e per estero "/>
    <m/>
    <s v="016 - CINA"/>
    <s v="D     - Dare"/>
    <n v="50000"/>
    <n v="0"/>
    <n v="4801448"/>
    <n v="7244980723"/>
    <s v="FEELING MODE SOCIETA' A RESPONSABILITA' LIMI"/>
    <s v="430 - Imprese produttive"/>
    <s v="141 - CONFEZIONE DI ARTICOLI DI ABBIGLIAMENTO (ESCLUSO ABBIGLIAMENTO IN PELLICCIA)"/>
    <s v="086 - ITALIA"/>
    <n v="727"/>
    <m/>
    <m/>
    <m/>
    <m/>
    <m/>
    <m/>
    <m/>
    <n v="0"/>
    <n v="202505"/>
    <x v="5"/>
    <x v="2"/>
    <x v="0"/>
    <m/>
    <x v="0"/>
    <x v="0"/>
    <s v="999"/>
    <s v="430"/>
    <s v="430999"/>
    <m/>
    <s v="1"/>
    <s v="Classe di rischio 1"/>
  </r>
  <r>
    <n v="348513"/>
    <x v="3"/>
    <x v="3"/>
    <x v="24"/>
    <n v="53850"/>
    <n v="170"/>
    <s v="053850_170"/>
    <s v="Discovery Day"/>
    <s v="Mai valutato"/>
    <m/>
    <s v="Vari (30/05/2025)"/>
    <n v="1703306288421"/>
    <n v="20250530"/>
    <s v="VV"/>
    <m/>
    <m/>
    <s v="A     - Avere"/>
    <n v="130913.59"/>
    <n v="0"/>
    <n v="4803929"/>
    <n v="4829870726"/>
    <s v="I NOBILI S.R.L."/>
    <s v="430 - Imprese produttive"/>
    <s v="251 - FABBRICAZIONE DI ELEMENTI DA COSTRUZIONE IN METALLO"/>
    <s v="086 - ITALIA"/>
    <n v="1696"/>
    <m/>
    <m/>
    <m/>
    <m/>
    <m/>
    <m/>
    <m/>
    <n v="0"/>
    <n v="202505"/>
    <x v="5"/>
    <x v="2"/>
    <x v="0"/>
    <m/>
    <x v="0"/>
    <x v="1"/>
    <s v="999"/>
    <s v="430"/>
    <s v="430999"/>
    <m/>
    <s v="1"/>
    <s v="Classe di rischio 1"/>
  </r>
  <r>
    <n v="348512"/>
    <x v="2"/>
    <x v="2"/>
    <x v="24"/>
    <n v="53850"/>
    <n v="274"/>
    <s v="053850_274"/>
    <s v="Discovery Day"/>
    <s v="Mai valutato"/>
    <m/>
    <s v="202505307646304L"/>
    <n v="2743300000272"/>
    <n v="20250530"/>
    <s v="AA - Bonifico da e per estero "/>
    <m/>
    <s v="012 - BULGARIA"/>
    <s v="A     - Avere"/>
    <n v="1630.18"/>
    <n v="0"/>
    <n v="1622875"/>
    <n v="1689300695"/>
    <s v="MANIFATTURE MONACO DOMENICO S.R.L."/>
    <s v="430 - Imprese produttive"/>
    <s v="222 - FABBRICAZIONE DI ARTICOLI IN MATERIE PLASTICHE"/>
    <s v="086 - ITALIA"/>
    <n v="1413"/>
    <m/>
    <m/>
    <m/>
    <m/>
    <m/>
    <m/>
    <m/>
    <n v="0"/>
    <n v="202505"/>
    <x v="5"/>
    <x v="2"/>
    <x v="0"/>
    <m/>
    <x v="0"/>
    <x v="0"/>
    <s v="999"/>
    <s v="430"/>
    <s v="430999"/>
    <m/>
    <s v="1"/>
    <s v="Classe di rischio 1"/>
  </r>
  <r>
    <n v="348511"/>
    <x v="3"/>
    <x v="3"/>
    <x v="24"/>
    <n v="53850"/>
    <n v="120"/>
    <s v="053850_120"/>
    <s v="Discovery Day"/>
    <s v="Mai valutato"/>
    <m/>
    <s v="Vari (30/05/2025)"/>
    <n v="1033306972385"/>
    <n v="20250530"/>
    <s v="VV"/>
    <m/>
    <m/>
    <s v="A     - Avere"/>
    <n v="265131.34999999998"/>
    <n v="0"/>
    <n v="4419363"/>
    <n v="6616290729"/>
    <s v="EDIL CMC SOCIETA' A RESPONSABILITA' LIMITATA"/>
    <s v="430 - Imprese produttive"/>
    <s v="467 - COMMERCIO ALL'INGROSSO SPECIALIZZATO DI ALTRI PRODOTTI"/>
    <s v="086 - ITALIA"/>
    <n v="1274"/>
    <m/>
    <m/>
    <m/>
    <m/>
    <m/>
    <m/>
    <m/>
    <n v="0"/>
    <n v="202505"/>
    <x v="5"/>
    <x v="2"/>
    <x v="0"/>
    <m/>
    <x v="0"/>
    <x v="1"/>
    <s v="999"/>
    <s v="430"/>
    <s v="430999"/>
    <m/>
    <s v="1"/>
    <s v="Classe di rischio 1"/>
  </r>
  <r>
    <n v="348510"/>
    <x v="4"/>
    <x v="4"/>
    <x v="24"/>
    <n v="53850"/>
    <n v="181"/>
    <s v="053850_181"/>
    <s v="Discovery Day"/>
    <s v="Mai valutato"/>
    <m/>
    <n v="202505298027657"/>
    <n v="1813301035232"/>
    <n v="20250529"/>
    <s v="26 - Bonifico in partenza "/>
    <m/>
    <s v="086 - ITALIA"/>
    <s v="D     - Dare"/>
    <n v="656000"/>
    <n v="0"/>
    <n v="3738884"/>
    <n v="8714420729"/>
    <s v="AGERAPUGLIA SOCIETA' SEMPLICE SOCIETA' AGRIC"/>
    <s v="615 - Altre famiglie produttrici"/>
    <s v="012 - COLTIVAZIONE DI COLTURE PERMANENTI"/>
    <s v="086 - ITALIA"/>
    <n v="1943"/>
    <m/>
    <m/>
    <m/>
    <m/>
    <m/>
    <m/>
    <m/>
    <n v="0"/>
    <n v="202505"/>
    <x v="5"/>
    <x v="2"/>
    <x v="0"/>
    <m/>
    <x v="0"/>
    <x v="0"/>
    <s v="999"/>
    <s v="615"/>
    <s v="615999"/>
    <m/>
    <s v="1"/>
    <s v="Classe di rischio 3"/>
  </r>
  <r>
    <n v="348509"/>
    <x v="4"/>
    <x v="4"/>
    <x v="25"/>
    <n v="53850"/>
    <n v="273"/>
    <s v="053850_273"/>
    <s v="Discovery Day"/>
    <s v="Mai valutato"/>
    <m/>
    <n v="202505308022767"/>
    <n v="2733300001901"/>
    <n v="20250530"/>
    <s v="BB - Acquisto a pronti titoli e diritti d'opzione "/>
    <m/>
    <m/>
    <s v="D     - Dare"/>
    <n v="99232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508"/>
    <x v="4"/>
    <x v="4"/>
    <x v="25"/>
    <n v="53850"/>
    <n v="273"/>
    <s v="053850_273"/>
    <s v="Discovery Day"/>
    <s v="Mai valutato"/>
    <m/>
    <n v="202505308022766"/>
    <n v="2733300001901"/>
    <n v="20250530"/>
    <s v="BF - Rimborso titoli e/o fondi comuni "/>
    <m/>
    <m/>
    <s v="A     - Avere"/>
    <n v="100000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507"/>
    <x v="4"/>
    <x v="4"/>
    <x v="25"/>
    <n v="53850"/>
    <n v="103"/>
    <s v="053850_103"/>
    <s v="Discovery Day"/>
    <s v="Mai valutato"/>
    <m/>
    <n v="202505308022317"/>
    <n v="1033301682021"/>
    <n v="20250530"/>
    <s v="BF - Rimborso titoli e/o fondi comuni "/>
    <m/>
    <m/>
    <s v="A     - Avere"/>
    <n v="350000"/>
    <n v="0"/>
    <n v="107653"/>
    <s v="STMNRC53C03E155S"/>
    <s v="STIMOLA ENRICO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506"/>
    <x v="4"/>
    <x v="4"/>
    <x v="25"/>
    <n v="53850"/>
    <n v="188"/>
    <s v="053850_188"/>
    <s v="Discovery Day"/>
    <s v="Mai valutato"/>
    <m/>
    <n v="202505308022232"/>
    <n v="1883300130370"/>
    <n v="20250530"/>
    <s v="BE - Sottoscrizione titoli e/o fondi comuni 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x v="1"/>
    <x v="0"/>
    <x v="0"/>
    <m/>
    <x v="0"/>
    <x v="0"/>
    <s v="477"/>
    <s v="615"/>
    <s v="615477"/>
    <s v="Classe di rischio 6"/>
    <m/>
    <s v="Classe di rischio 6"/>
  </r>
  <r>
    <n v="348505"/>
    <x v="4"/>
    <x v="4"/>
    <x v="25"/>
    <n v="53850"/>
    <n v="270"/>
    <s v="053850_270"/>
    <s v="Discovery Day"/>
    <s v="Mai valutato"/>
    <m/>
    <n v="202505308022749"/>
    <n v="2703300002369"/>
    <n v="20250530"/>
    <s v="BB - Acquisto a pronti titoli e diritti d'opzione "/>
    <m/>
    <m/>
    <s v="D     - Dare"/>
    <n v="1111398.3999999999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504"/>
    <x v="4"/>
    <x v="4"/>
    <x v="25"/>
    <n v="53850"/>
    <n v="270"/>
    <s v="053850_270"/>
    <s v="Discovery Day"/>
    <s v="Mai valutato"/>
    <m/>
    <n v="202505308022748"/>
    <n v="2703300002369"/>
    <n v="20250530"/>
    <s v="BF - Rimborso titoli e/o fondi comuni "/>
    <m/>
    <m/>
    <s v="A     - Avere"/>
    <n v="1075000"/>
    <n v="0"/>
    <n v="1679871"/>
    <s v="DGRRTI62A65D763A"/>
    <s v="DI GIROLAMO RITA"/>
    <s v="600 - Famiglie consumatrici"/>
    <m/>
    <s v="086 - ITALIA"/>
    <n v="1803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503"/>
    <x v="4"/>
    <x v="4"/>
    <x v="25"/>
    <n v="53850"/>
    <n v="103"/>
    <s v="053850_103"/>
    <s v="Discovery Day"/>
    <s v="Mai valutato"/>
    <m/>
    <n v="202505308022317"/>
    <n v="1033301682021"/>
    <n v="20250530"/>
    <s v="BF - Rimborso titoli e/o fondi comuni "/>
    <m/>
    <m/>
    <s v="A     - Avere"/>
    <n v="350000"/>
    <n v="0"/>
    <n v="150652"/>
    <s v="SVNLRD54R52F052W"/>
    <s v="SAVINO LEONARDA"/>
    <s v="600 - Famiglie consumatrici"/>
    <m/>
    <s v="086 - ITALIA"/>
    <m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502"/>
    <x v="4"/>
    <x v="4"/>
    <x v="25"/>
    <n v="53850"/>
    <n v="273"/>
    <s v="053850_273"/>
    <s v="Discovery Day"/>
    <s v="Mai valutato"/>
    <m/>
    <n v="202505308022767"/>
    <n v="2733300001901"/>
    <n v="20250530"/>
    <s v="BB - Acquisto a pronti titoli e diritti d'opzione "/>
    <m/>
    <m/>
    <s v="D     - Dare"/>
    <n v="992320"/>
    <n v="0"/>
    <n v="1671771"/>
    <s v="RTSMCR57P69I148Y"/>
    <s v="ARTESE MARIA CRISTINA"/>
    <s v="600 - Famiglie consumatrici"/>
    <m/>
    <s v="086 - ITALIA"/>
    <n v="1844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501"/>
    <x v="4"/>
    <x v="4"/>
    <x v="25"/>
    <n v="53850"/>
    <n v="273"/>
    <s v="053850_273"/>
    <s v="Discovery Day"/>
    <s v="Mai valutato"/>
    <m/>
    <n v="202505308022766"/>
    <n v="2733300001901"/>
    <n v="20250530"/>
    <s v="BF - Rimborso titoli e/o fondi comuni "/>
    <m/>
    <m/>
    <s v="A     - Avere"/>
    <n v="1000000"/>
    <n v="0"/>
    <n v="1671965"/>
    <s v="BLDGRN57A20I148W"/>
    <s v="BALDASSARRE GUERINO"/>
    <s v="600 - Famiglie consumatrici"/>
    <m/>
    <s v="086 - ITALIA"/>
    <n v="1844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500"/>
    <x v="7"/>
    <x v="7"/>
    <x v="25"/>
    <n v="53850"/>
    <n v="99"/>
    <s v="053850_99"/>
    <s v="Discovery Day"/>
    <s v="Mai valutato"/>
    <m/>
    <n v="202505298023305"/>
    <m/>
    <n v="20250529"/>
    <s v="SPECIAL"/>
    <m/>
    <m/>
    <s v="D     - Dare"/>
    <n v="19671.54"/>
    <n v="0"/>
    <n v="461851"/>
    <s v="MRTGNN61D54E155R"/>
    <s v="MARTINELLI GIOVANNA"/>
    <s v="600 - Famiglie consumatrici"/>
    <m/>
    <s v="086 - ITALIA"/>
    <m/>
    <m/>
    <m/>
    <m/>
    <m/>
    <m/>
    <m/>
    <m/>
    <n v="0"/>
    <n v="202505"/>
    <x v="2"/>
    <x v="1"/>
    <x v="1"/>
    <m/>
    <x v="0"/>
    <x v="1"/>
    <s v="999"/>
    <s v="600"/>
    <s v="600999"/>
    <s v="Classe di rischio 7"/>
    <m/>
    <s v="Classe di rischio 7"/>
  </r>
  <r>
    <n v="348499"/>
    <x v="4"/>
    <x v="4"/>
    <x v="25"/>
    <n v="53850"/>
    <n v="176"/>
    <s v="053850_176"/>
    <s v="Discovery Day"/>
    <s v="Mai valutato"/>
    <m/>
    <n v="202505298023302"/>
    <n v="1763300020131"/>
    <n v="20250529"/>
    <s v="SPECIAL"/>
    <m/>
    <m/>
    <s v="D     - Dare"/>
    <n v="104917.75"/>
    <n v="0"/>
    <n v="4995696"/>
    <s v="GMPMLB49M63L477K"/>
    <s v="GIAMPIETRO MARIA LIBERATA"/>
    <s v="600 - Famiglie consumatrici"/>
    <m/>
    <s v="086 - ITALIA"/>
    <n v="672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498"/>
    <x v="7"/>
    <x v="7"/>
    <x v="25"/>
    <n v="53850"/>
    <n v="99"/>
    <s v="053850_99"/>
    <s v="Discovery Day"/>
    <s v="Mai valutato"/>
    <m/>
    <n v="202505298023305"/>
    <m/>
    <n v="20250529"/>
    <s v="SPECIAL"/>
    <m/>
    <m/>
    <s v="D     - Dare"/>
    <n v="19671.54"/>
    <n v="0"/>
    <n v="545653"/>
    <s v="MRTTMS65H22E155O"/>
    <s v="MARTINELLI TOMMASO"/>
    <s v="600 - Famiglie consumatrici"/>
    <m/>
    <s v="086 - ITALIA"/>
    <n v="1657"/>
    <m/>
    <m/>
    <m/>
    <m/>
    <m/>
    <m/>
    <m/>
    <n v="0"/>
    <n v="202505"/>
    <x v="2"/>
    <x v="1"/>
    <x v="1"/>
    <m/>
    <x v="0"/>
    <x v="1"/>
    <s v="999"/>
    <s v="600"/>
    <s v="600999"/>
    <s v="Classe di rischio 7"/>
    <m/>
    <s v="Classe di rischio 7"/>
  </r>
  <r>
    <n v="348497"/>
    <x v="4"/>
    <x v="4"/>
    <x v="25"/>
    <n v="53850"/>
    <n v="122"/>
    <s v="053850_122"/>
    <s v="Discovery Day"/>
    <s v="Mai valutato"/>
    <m/>
    <n v="202505298020860"/>
    <n v="1223300002128"/>
    <n v="20250529"/>
    <s v="AF - Disp.giro conti diversi intestati ordinante(stesso intermed.)"/>
    <m/>
    <s v="086 - ITALIA"/>
    <s v="D     - Dare"/>
    <n v="1422206.78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x v="2"/>
    <x v="1"/>
    <x v="0"/>
    <m/>
    <x v="0"/>
    <x v="0"/>
    <s v="620"/>
    <s v="430"/>
    <s v="430620"/>
    <s v="Classe di rischio 3"/>
    <m/>
    <s v="Classe di rischio 3"/>
  </r>
  <r>
    <n v="348496"/>
    <x v="3"/>
    <x v="3"/>
    <x v="25"/>
    <n v="53850"/>
    <n v="102"/>
    <s v="053850_102"/>
    <s v="Discovery Day"/>
    <s v="Mai valutato"/>
    <m/>
    <n v="202505298023327"/>
    <n v="1023306275332"/>
    <n v="20250529"/>
    <s v="G7 - Versamento assegno circolare altro intermediario "/>
    <m/>
    <m/>
    <s v="A     - Avere"/>
    <n v="155000"/>
    <n v="0"/>
    <n v="71112"/>
    <s v="NCMGPP42S17A225V"/>
    <s v="INCAMPO GIUSEPPE"/>
    <s v="600 - Famiglie consumatrici"/>
    <m/>
    <s v="086 - ITALIA"/>
    <n v="841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95"/>
    <x v="4"/>
    <x v="4"/>
    <x v="25"/>
    <n v="53850"/>
    <n v="103"/>
    <s v="053850_103"/>
    <s v="Discovery Day"/>
    <s v="Mai valutato"/>
    <m/>
    <n v="202505298023304"/>
    <n v="1033306979739"/>
    <n v="20250529"/>
    <s v="SPECIAL"/>
    <m/>
    <m/>
    <s v="D     - Dare"/>
    <n v="19671.54"/>
    <n v="0"/>
    <n v="545653"/>
    <s v="MRTTMS65H22E155O"/>
    <s v="MARTINELLI TOMMASO"/>
    <s v="600 - Famiglie consumatrici"/>
    <m/>
    <s v="086 - ITALIA"/>
    <n v="1657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494"/>
    <x v="4"/>
    <x v="4"/>
    <x v="25"/>
    <n v="53850"/>
    <n v="181"/>
    <s v="053850_181"/>
    <s v="Discovery Day"/>
    <s v="Mai valutato"/>
    <m/>
    <n v="202505298021226"/>
    <n v="1813301028560"/>
    <n v="20250529"/>
    <s v="48 - Bonifico in arrivo "/>
    <m/>
    <s v="086 - ITALIA"/>
    <s v="A     - Avere"/>
    <n v="70457.62"/>
    <n v="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5"/>
    <x v="1"/>
    <x v="0"/>
    <x v="0"/>
    <n v="454268"/>
    <x v="1"/>
    <x v="0"/>
    <s v="477"/>
    <s v="615"/>
    <s v="615477"/>
    <s v="Classe di rischio 6"/>
    <m/>
    <s v="Classe di rischio 6"/>
  </r>
  <r>
    <n v="348493"/>
    <x v="5"/>
    <x v="5"/>
    <x v="25"/>
    <n v="53850"/>
    <n v="116"/>
    <s v="053850_116"/>
    <s v="Discovery Day"/>
    <s v="Mai valutato"/>
    <m/>
    <n v="202505298023221"/>
    <n v="2343300010453"/>
    <n v="20250529"/>
    <s v="03 - Versamento contante cassa continua "/>
    <m/>
    <m/>
    <s v="A     - Avere"/>
    <n v="48970"/>
    <n v="4897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492"/>
    <x v="7"/>
    <x v="7"/>
    <x v="25"/>
    <n v="53850"/>
    <n v="99"/>
    <s v="053850_99"/>
    <s v="Discovery Day"/>
    <s v="Mai valutato"/>
    <m/>
    <n v="202505298023305"/>
    <m/>
    <n v="20250529"/>
    <s v="SPECIAL"/>
    <m/>
    <m/>
    <s v="D     - Dare"/>
    <n v="19671.54"/>
    <n v="0"/>
    <n v="597069"/>
    <s v="MRTNLN67E09E155X"/>
    <s v="MARTINELLI NICOLANTONIO"/>
    <s v="600 - Famiglie consumatrici"/>
    <m/>
    <s v="086 - ITALIA"/>
    <m/>
    <m/>
    <m/>
    <m/>
    <m/>
    <m/>
    <m/>
    <m/>
    <n v="0"/>
    <n v="202505"/>
    <x v="2"/>
    <x v="1"/>
    <x v="1"/>
    <m/>
    <x v="0"/>
    <x v="1"/>
    <s v="999"/>
    <s v="600"/>
    <s v="600999"/>
    <s v="Classe di rischio 7"/>
    <m/>
    <s v="Classe di rischio 7"/>
  </r>
  <r>
    <n v="348491"/>
    <x v="2"/>
    <x v="2"/>
    <x v="25"/>
    <n v="53850"/>
    <n v="271"/>
    <s v="053850_271"/>
    <s v="Discovery Day"/>
    <s v="Mai valutato"/>
    <m/>
    <n v="202505298022166"/>
    <n v="2713300010112"/>
    <n v="20250529"/>
    <s v="AA - Bonifico da e per estero "/>
    <m/>
    <s v="238 - ABU DHABI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5"/>
    <x v="0"/>
    <x v="0"/>
    <x v="0"/>
    <m/>
    <x v="0"/>
    <x v="0"/>
    <s v="999"/>
    <s v="615"/>
    <s v="615999"/>
    <m/>
    <s v="1"/>
    <s v="Classe di rischio 3"/>
  </r>
  <r>
    <n v="348490"/>
    <x v="11"/>
    <x v="11"/>
    <x v="25"/>
    <n v="53850"/>
    <n v="182"/>
    <s v="053850_182"/>
    <s v="Discovery Day"/>
    <s v="Mai valutato"/>
    <m/>
    <n v="202505298023642"/>
    <n v="1823300039445"/>
    <n v="20250529"/>
    <s v="26 - Bonifico in partenza "/>
    <m/>
    <m/>
    <s v="D     - Dare"/>
    <n v="37906"/>
    <n v="37906"/>
    <n v="4977010"/>
    <s v="NVLCLN78C53L049N"/>
    <s v="NOVELLINO CAROLINA"/>
    <s v="600 - Famiglie consumatrici"/>
    <m/>
    <s v="086 - ITALIA"/>
    <n v="614"/>
    <m/>
    <m/>
    <m/>
    <m/>
    <m/>
    <m/>
    <m/>
    <n v="0"/>
    <n v="202505"/>
    <x v="5"/>
    <x v="2"/>
    <x v="1"/>
    <m/>
    <x v="0"/>
    <x v="0"/>
    <s v="999"/>
    <s v="600"/>
    <s v="600999"/>
    <s v="Classe di rischio 7"/>
    <m/>
    <s v="Classe di rischio 7"/>
  </r>
  <r>
    <n v="348489"/>
    <x v="4"/>
    <x v="4"/>
    <x v="25"/>
    <n v="53850"/>
    <n v="109"/>
    <s v="053850_109"/>
    <s v="Discovery Day"/>
    <s v="Mai valutato"/>
    <m/>
    <n v="202505298022047"/>
    <n v="1093304728910"/>
    <n v="20250529"/>
    <s v="48 - Bonifico in arrivo "/>
    <m/>
    <s v="086 - ITALIA"/>
    <s v="A     - Avere"/>
    <n v="230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88"/>
    <x v="4"/>
    <x v="4"/>
    <x v="25"/>
    <n v="53850"/>
    <n v="105"/>
    <s v="053850_105"/>
    <s v="Discovery Day"/>
    <s v="Mai valutato"/>
    <m/>
    <n v="202505298021918"/>
    <n v="1053306288710"/>
    <n v="20250529"/>
    <s v="48 - Bonifico in arrivo 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87"/>
    <x v="3"/>
    <x v="3"/>
    <x v="25"/>
    <n v="53850"/>
    <n v="102"/>
    <s v="053850_102"/>
    <s v="Discovery Day"/>
    <s v="Mai valutato"/>
    <m/>
    <n v="202505298023327"/>
    <n v="1023306275332"/>
    <n v="20250529"/>
    <s v="G7 - Versamento assegno circolare altro intermediario "/>
    <m/>
    <m/>
    <s v="A     - Avere"/>
    <n v="155000"/>
    <n v="0"/>
    <n v="71122"/>
    <s v="DFNNMR43R71A225X"/>
    <s v="DIFONZO ANNA MARIA GERONIMA"/>
    <s v="600 - Famiglie consumatrici"/>
    <m/>
    <s v="086 - ITALIA"/>
    <n v="515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86"/>
    <x v="5"/>
    <x v="5"/>
    <x v="25"/>
    <n v="53850"/>
    <n v="109"/>
    <s v="053850_109"/>
    <s v="Discovery Day"/>
    <s v="Mai valutato"/>
    <m/>
    <n v="202505298023398"/>
    <n v="1093306675356"/>
    <n v="20250529"/>
    <s v="D1 - Versamento di contante "/>
    <m/>
    <m/>
    <s v="A     - Avere"/>
    <n v="33850"/>
    <n v="3385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5"/>
    <x v="1"/>
    <x v="0"/>
    <x v="0"/>
    <n v="4976123"/>
    <x v="1"/>
    <x v="0"/>
    <s v="477"/>
    <s v="430"/>
    <s v="430477"/>
    <s v="Classe di rischio 3"/>
    <m/>
    <s v="Classe di rischio 3"/>
  </r>
  <r>
    <n v="348485"/>
    <x v="2"/>
    <x v="2"/>
    <x v="25"/>
    <n v="53850"/>
    <n v="267"/>
    <s v="053850_267"/>
    <s v="Discovery Day"/>
    <s v="Mai valutato"/>
    <m/>
    <n v="202505298021783"/>
    <n v="2673300003629"/>
    <n v="20250529"/>
    <s v="AA - Bonifico da e per estero "/>
    <m/>
    <s v="012 - BULGARIA"/>
    <s v="A     - Avere"/>
    <n v="9000"/>
    <n v="0"/>
    <n v="1702554"/>
    <s v="PPULCN79E29F537D"/>
    <s v="PUPO LUCIANO"/>
    <s v="614 - Artigiani"/>
    <s v="161 - TAGLIO E PIALLATURA DEL LEGNO"/>
    <s v="086 - ITALIA"/>
    <n v="1878"/>
    <m/>
    <m/>
    <m/>
    <m/>
    <m/>
    <m/>
    <m/>
    <n v="0"/>
    <n v="202505"/>
    <x v="2"/>
    <x v="1"/>
    <x v="0"/>
    <m/>
    <x v="0"/>
    <x v="0"/>
    <s v="999"/>
    <s v="614"/>
    <s v="614999"/>
    <m/>
    <s v="1"/>
    <s v="Classe di rischio 3"/>
  </r>
  <r>
    <n v="348484"/>
    <x v="4"/>
    <x v="4"/>
    <x v="25"/>
    <n v="53850"/>
    <n v="103"/>
    <s v="053850_103"/>
    <s v="Discovery Day"/>
    <s v="Mai valutato"/>
    <m/>
    <n v="202505298023304"/>
    <n v="1033306979739"/>
    <n v="20250529"/>
    <s v="SPECIAL"/>
    <m/>
    <m/>
    <s v="D     - Dare"/>
    <n v="19671.54"/>
    <n v="0"/>
    <n v="461851"/>
    <s v="MRTGNN61D54E155R"/>
    <s v="MARTINELLI GIOVANNA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483"/>
    <x v="4"/>
    <x v="4"/>
    <x v="25"/>
    <n v="53850"/>
    <n v="171"/>
    <s v="053850_171"/>
    <s v="Discovery Day"/>
    <s v="Mai valutato"/>
    <m/>
    <n v="202505298021936"/>
    <n v="1713302213769"/>
    <n v="20250529"/>
    <s v="48 - Bonifico in arrivo "/>
    <m/>
    <s v="086 - ITALIA"/>
    <s v="A     - Avere"/>
    <n v="1733161.25"/>
    <n v="0"/>
    <n v="545638"/>
    <n v="434710729"/>
    <s v="GIUSEPPE VACCA OLII -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5"/>
    <x v="3"/>
    <x v="1"/>
    <x v="0"/>
    <m/>
    <x v="0"/>
    <x v="0"/>
    <s v="463"/>
    <s v="430"/>
    <s v="430463"/>
    <s v="Classe di rischio 3"/>
    <m/>
    <s v="Classe di rischio 3"/>
  </r>
  <r>
    <n v="348482"/>
    <x v="4"/>
    <x v="4"/>
    <x v="25"/>
    <n v="53850"/>
    <n v="102"/>
    <s v="053850_102"/>
    <s v="Discovery Day"/>
    <s v="Mai valutato"/>
    <m/>
    <n v="202505298020646"/>
    <n v="1503300003188"/>
    <n v="20250529"/>
    <s v="26 - Bonifico in partenza "/>
    <m/>
    <s v="086 - ITALIA"/>
    <s v="D     - Dare"/>
    <n v="1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x v="0"/>
    <x v="0"/>
    <x v="0"/>
    <m/>
    <x v="0"/>
    <x v="0"/>
    <s v="999"/>
    <s v="259"/>
    <s v="259999"/>
    <m/>
    <s v="1"/>
    <s v="Classe di rischio 0"/>
  </r>
  <r>
    <n v="348481"/>
    <x v="4"/>
    <x v="4"/>
    <x v="25"/>
    <n v="53850"/>
    <n v="103"/>
    <s v="053850_103"/>
    <s v="Discovery Day"/>
    <s v="Mai valutato"/>
    <m/>
    <n v="202505298021209"/>
    <n v="1033306975431"/>
    <n v="20250529"/>
    <s v="48 - Bonifico in arrivo "/>
    <m/>
    <s v="086 - ITALIA"/>
    <s v="A     - Avere"/>
    <n v="613389.04"/>
    <n v="0"/>
    <n v="4785176"/>
    <n v="7587320727"/>
    <s v="GLARCH S.R.L."/>
    <s v="430 - Imprese produttive"/>
    <s v="412 - COSTRUZIONE DI EDIFICI RESIDENZIALI E NON RESIDENZIALI"/>
    <s v="086 - ITALIA"/>
    <n v="1274"/>
    <m/>
    <m/>
    <m/>
    <m/>
    <m/>
    <m/>
    <m/>
    <n v="0"/>
    <n v="202505"/>
    <x v="2"/>
    <x v="1"/>
    <x v="0"/>
    <m/>
    <x v="0"/>
    <x v="0"/>
    <s v="412"/>
    <s v="430"/>
    <s v="430412"/>
    <s v="Classe di rischio 3"/>
    <m/>
    <s v="Classe di rischio 3"/>
  </r>
  <r>
    <n v="348480"/>
    <x v="5"/>
    <x v="5"/>
    <x v="25"/>
    <n v="53850"/>
    <n v="109"/>
    <s v="053850_109"/>
    <s v="Discovery Day"/>
    <s v="Mai valutato"/>
    <m/>
    <n v="202505298023415"/>
    <n v="1093306674001"/>
    <n v="20250529"/>
    <s v="D1 - Versamento di contante "/>
    <m/>
    <m/>
    <s v="A     - Avere"/>
    <n v="24935"/>
    <n v="24935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5"/>
    <x v="1"/>
    <x v="0"/>
    <x v="0"/>
    <n v="4125303"/>
    <x v="1"/>
    <x v="0"/>
    <s v="477"/>
    <s v="615"/>
    <s v="615477"/>
    <s v="Classe di rischio 6"/>
    <m/>
    <s v="Classe di rischio 6"/>
  </r>
  <r>
    <n v="348479"/>
    <x v="5"/>
    <x v="5"/>
    <x v="25"/>
    <n v="53850"/>
    <n v="114"/>
    <s v="053850_114"/>
    <s v="Discovery Day"/>
    <s v="Mai valutato"/>
    <m/>
    <n v="202505298023431"/>
    <n v="1143306280621"/>
    <n v="20250529"/>
    <s v="D1 - Versamento di contante "/>
    <m/>
    <m/>
    <s v="A     - Avere"/>
    <n v="57900"/>
    <n v="579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30"/>
    <s v="430477"/>
    <s v="Classe di rischio 3"/>
    <m/>
    <s v="Classe di rischio 3"/>
  </r>
  <r>
    <n v="348478"/>
    <x v="4"/>
    <x v="4"/>
    <x v="25"/>
    <n v="53850"/>
    <n v="109"/>
    <s v="053850_109"/>
    <s v="Discovery Day"/>
    <s v="Mai valutato"/>
    <m/>
    <n v="202505298021182"/>
    <n v="1093306673843"/>
    <n v="20250529"/>
    <s v="26 - Bonifico in partenza "/>
    <m/>
    <s v="086 - ITALIA"/>
    <s v="D     - Dare"/>
    <n v="771195.52"/>
    <n v="0"/>
    <n v="3183543"/>
    <n v="252920723"/>
    <s v="FIGLI MICHELE ANGIULI S.R.L."/>
    <s v="430 - Imprese produttive"/>
    <s v="463 - COMMERCIO ALL'INGROSSO DI PRODOTTI ALIMENTARI, BEVANDE E PRODOTTI DEL TABACCO"/>
    <s v="086 - ITALIA"/>
    <n v="1919"/>
    <m/>
    <m/>
    <m/>
    <m/>
    <m/>
    <m/>
    <m/>
    <n v="0"/>
    <n v="202505"/>
    <x v="2"/>
    <x v="1"/>
    <x v="0"/>
    <m/>
    <x v="0"/>
    <x v="0"/>
    <s v="463"/>
    <s v="430"/>
    <s v="430463"/>
    <s v="Classe di rischio 3"/>
    <m/>
    <s v="Classe di rischio 3"/>
  </r>
  <r>
    <n v="348477"/>
    <x v="5"/>
    <x v="5"/>
    <x v="25"/>
    <n v="53850"/>
    <n v="108"/>
    <s v="053850_108"/>
    <s v="Discovery Day"/>
    <s v="Mai valutato"/>
    <m/>
    <s v="Vari (29/05/2025)"/>
    <n v="1083306291105"/>
    <n v="20250529"/>
    <s v="VV"/>
    <m/>
    <m/>
    <s v="A     - Avere"/>
    <n v="57610.3"/>
    <n v="51658.6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48476"/>
    <x v="5"/>
    <x v="5"/>
    <x v="25"/>
    <n v="53850"/>
    <n v="102"/>
    <s v="053850_102"/>
    <s v="Discovery Day"/>
    <s v="Mai valutato"/>
    <m/>
    <n v="202505298022969"/>
    <n v="1023308722503"/>
    <n v="20250529"/>
    <s v="03 - Versamento contante cassa continua "/>
    <m/>
    <m/>
    <s v="A     - Avere"/>
    <n v="26990"/>
    <n v="269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475"/>
    <x v="5"/>
    <x v="5"/>
    <x v="25"/>
    <n v="53850"/>
    <n v="287"/>
    <s v="053850_287"/>
    <s v="Discovery Day"/>
    <s v="Mai valutato"/>
    <m/>
    <s v="Vari (29/05/2025)"/>
    <n v="2873300001853"/>
    <n v="20250529"/>
    <s v="VV"/>
    <m/>
    <m/>
    <s v="A     - Avere"/>
    <n v="70714.070000000007"/>
    <n v="4194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x v="0"/>
    <x v="0"/>
    <x v="0"/>
    <n v="3722213"/>
    <x v="1"/>
    <x v="1"/>
    <s v="463"/>
    <s v="430"/>
    <s v="430463"/>
    <s v="Classe di rischio 3"/>
    <m/>
    <s v="Classe di rischio 3"/>
  </r>
  <r>
    <n v="348474"/>
    <x v="7"/>
    <x v="7"/>
    <x v="25"/>
    <n v="53850"/>
    <n v="99"/>
    <s v="053850_99"/>
    <s v="Discovery Day"/>
    <s v="Mai valutato"/>
    <m/>
    <n v="202505298023308"/>
    <m/>
    <n v="20250529"/>
    <s v="SPECIAL"/>
    <m/>
    <m/>
    <s v="D     - Dare"/>
    <n v="11266.94"/>
    <n v="0"/>
    <n v="1650841"/>
    <s v="DPLMHL81D26B519Q"/>
    <s v="DE PAOLA MICHELE"/>
    <s v="600 - Famiglie consumatrici"/>
    <m/>
    <s v="086 - ITALIA"/>
    <n v="1295"/>
    <m/>
    <m/>
    <m/>
    <m/>
    <m/>
    <m/>
    <m/>
    <n v="0"/>
    <n v="202505"/>
    <x v="0"/>
    <x v="0"/>
    <x v="1"/>
    <m/>
    <x v="0"/>
    <x v="1"/>
    <s v="999"/>
    <s v="600"/>
    <s v="600999"/>
    <s v="Classe di rischio 7"/>
    <m/>
    <s v="Classe di rischio 7"/>
  </r>
  <r>
    <n v="348473"/>
    <x v="4"/>
    <x v="4"/>
    <x v="25"/>
    <n v="53850"/>
    <n v="273"/>
    <s v="053850_273"/>
    <s v="Discovery Day"/>
    <s v="Mai valutato"/>
    <m/>
    <n v="202505298020813"/>
    <n v="2733300004156"/>
    <n v="20250529"/>
    <s v="39 - Disposizione per emolumenti"/>
    <m/>
    <m/>
    <s v="D     - Dare"/>
    <n v="1161775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472"/>
    <x v="10"/>
    <x v="10"/>
    <x v="25"/>
    <n v="53850"/>
    <n v="182"/>
    <s v="053850_182"/>
    <s v="Discovery Day"/>
    <s v="Mai valutato"/>
    <m/>
    <n v="202505298023641"/>
    <m/>
    <n v="20250529"/>
    <s v="26 - Bonifico in partenza "/>
    <m/>
    <s v="086 - ITALIA"/>
    <s v="D     - Dare"/>
    <n v="37900"/>
    <n v="37900"/>
    <n v="4977010"/>
    <s v="NVLCLN78C53L049N"/>
    <s v="NOVELLINO CAROLINA"/>
    <s v="600 - Famiglie consumatrici"/>
    <m/>
    <s v="086 - ITALIA"/>
    <n v="614"/>
    <m/>
    <m/>
    <m/>
    <m/>
    <m/>
    <m/>
    <m/>
    <n v="0"/>
    <n v="202505"/>
    <x v="5"/>
    <x v="2"/>
    <x v="1"/>
    <m/>
    <x v="0"/>
    <x v="0"/>
    <s v="999"/>
    <s v="600"/>
    <s v="600999"/>
    <s v="Classe di rischio 7"/>
    <m/>
    <s v="Classe di rischio 7"/>
  </r>
  <r>
    <n v="348471"/>
    <x v="2"/>
    <x v="2"/>
    <x v="25"/>
    <n v="53850"/>
    <n v="104"/>
    <s v="053850_104"/>
    <s v="Discovery Day"/>
    <s v="Mai valutato"/>
    <m/>
    <s v="202505297583357L"/>
    <n v="1043309506207"/>
    <n v="20250529"/>
    <s v="AA - Bonifico da e per estero "/>
    <m/>
    <s v="012 - BULGARIA"/>
    <s v="D     - Dare"/>
    <n v="2500"/>
    <n v="0"/>
    <n v="420391"/>
    <s v="CSMCLD59H17C983P"/>
    <s v="CUSMAI CATALDO"/>
    <s v="615 - Altre famiglie produttrici"/>
    <s v="259 - FABBRICAZIONE DI ALTRI PRODOTTI IN METALLO"/>
    <s v="086 - ITALIA"/>
    <n v="1902"/>
    <m/>
    <m/>
    <m/>
    <m/>
    <m/>
    <m/>
    <m/>
    <n v="0"/>
    <n v="202505"/>
    <x v="0"/>
    <x v="0"/>
    <x v="0"/>
    <m/>
    <x v="0"/>
    <x v="0"/>
    <s v="999"/>
    <s v="615"/>
    <s v="615999"/>
    <m/>
    <s v="1"/>
    <s v="Classe di rischio 3"/>
  </r>
  <r>
    <n v="348470"/>
    <x v="2"/>
    <x v="2"/>
    <x v="25"/>
    <n v="53850"/>
    <n v="261"/>
    <s v="053850_261"/>
    <s v="Discovery Day"/>
    <s v="Mai valutato"/>
    <m/>
    <s v="202505297587181L"/>
    <n v="2613300010222"/>
    <n v="20250529"/>
    <s v="AA - Bonifico da e per estero "/>
    <m/>
    <s v="238 - ABU DHABI"/>
    <s v="A     - Avere"/>
    <n v="1760"/>
    <n v="0"/>
    <n v="4994040"/>
    <n v="997390943"/>
    <s v="NEARTH TARTUFI S.R.L."/>
    <s v="430 - Imprese produttive"/>
    <s v="103 - LAVORAZIONE E CONSERVAZIONE DI FRUTTA E ORTAGGI"/>
    <s v="086 - ITALIA"/>
    <n v="1782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469"/>
    <x v="4"/>
    <x v="4"/>
    <x v="25"/>
    <n v="53850"/>
    <n v="105"/>
    <s v="053850_105"/>
    <s v="Discovery Day"/>
    <s v="Mai valutato"/>
    <m/>
    <n v="202505298021932"/>
    <n v="1053306288710"/>
    <n v="20250529"/>
    <s v="48 - Bonifico in arrivo "/>
    <m/>
    <s v="086 - ITALIA"/>
    <s v="A     - Avere"/>
    <n v="208073.67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68"/>
    <x v="5"/>
    <x v="5"/>
    <x v="25"/>
    <n v="53850"/>
    <n v="102"/>
    <s v="053850_102"/>
    <s v="Discovery Day"/>
    <s v="Mai valutato"/>
    <m/>
    <s v="Vari (29/05/2025)"/>
    <n v="1023308723527"/>
    <n v="20250529"/>
    <s v="03 - Versamento contante cassa continua "/>
    <m/>
    <m/>
    <s v="A     - Avere"/>
    <n v="18640"/>
    <n v="1864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5"/>
    <x v="4"/>
    <x v="1"/>
    <x v="0"/>
    <n v="4883007"/>
    <x v="1"/>
    <x v="0"/>
    <s v="477"/>
    <s v="492"/>
    <s v="492477"/>
    <s v="Classe di rischio 5"/>
    <m/>
    <s v="Classe di rischio 5"/>
  </r>
  <r>
    <n v="348467"/>
    <x v="2"/>
    <x v="2"/>
    <x v="25"/>
    <n v="53850"/>
    <n v="121"/>
    <s v="053850_121"/>
    <s v="Discovery Day"/>
    <s v="Mai valutato"/>
    <m/>
    <s v="202505297585019L"/>
    <n v="1213300010474"/>
    <n v="20250529"/>
    <s v="AA - Bonifico da e per estero "/>
    <m/>
    <s v="091 - PRINCIPATO DI MONACO"/>
    <s v="A     - Avere"/>
    <n v="3056.06"/>
    <n v="0"/>
    <n v="4797139"/>
    <s v="BLLLSN78R14A662Q"/>
    <s v="BELLANTUONO ALESSANDRO"/>
    <s v="600 - Famiglie consumatrici"/>
    <m/>
    <s v="086 - ITALIA"/>
    <n v="96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66"/>
    <x v="2"/>
    <x v="2"/>
    <x v="25"/>
    <n v="53850"/>
    <n v="173"/>
    <s v="053850_173"/>
    <s v="Discovery Day"/>
    <s v="Mai valutato"/>
    <m/>
    <s v="202505297586364L"/>
    <n v="1733302705346"/>
    <n v="20250529"/>
    <s v="AA - Bonifico da e per estero "/>
    <m/>
    <s v="261 - CROAZIA"/>
    <s v="A     - Avere"/>
    <n v="1690"/>
    <n v="0"/>
    <n v="4669709"/>
    <n v="7222880721"/>
    <s v="M2 EVOLUTION CAR S.R.L."/>
    <s v="430 - Imprese produttive"/>
    <s v="466 - COMMERCIO ALL'INGROSSO DI ALTRI MACCHINARI, ATTREZZATURE E FORNITURE"/>
    <s v="086 - ITALIA"/>
    <n v="1530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465"/>
    <x v="4"/>
    <x v="4"/>
    <x v="25"/>
    <n v="53850"/>
    <n v="122"/>
    <s v="053850_122"/>
    <s v="Discovery Day"/>
    <s v="Mai valutato"/>
    <m/>
    <n v="202505298022050"/>
    <n v="1223300001682"/>
    <n v="20250529"/>
    <s v="48 - Bonifico in arrivo "/>
    <m/>
    <s v="086 - ITALIA"/>
    <s v="A     - Avere"/>
    <n v="1252933.6200000001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x v="2"/>
    <x v="1"/>
    <x v="0"/>
    <m/>
    <x v="0"/>
    <x v="0"/>
    <s v="620"/>
    <s v="430"/>
    <s v="430620"/>
    <s v="Classe di rischio 3"/>
    <m/>
    <s v="Classe di rischio 3"/>
  </r>
  <r>
    <n v="348464"/>
    <x v="4"/>
    <x v="4"/>
    <x v="25"/>
    <n v="53850"/>
    <n v="103"/>
    <s v="053850_103"/>
    <s v="Discovery Day"/>
    <s v="Mai valutato"/>
    <m/>
    <n v="202505298023304"/>
    <n v="1033306979739"/>
    <n v="20250529"/>
    <s v="SPECIAL"/>
    <m/>
    <m/>
    <s v="D     - Dare"/>
    <n v="19671.54"/>
    <n v="0"/>
    <n v="597069"/>
    <s v="MRTNLN67E09E155X"/>
    <s v="MARTINELLI NICOLANTONIO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463"/>
    <x v="4"/>
    <x v="4"/>
    <x v="25"/>
    <n v="53850"/>
    <n v="273"/>
    <s v="053850_273"/>
    <s v="Discovery Day"/>
    <s v="Mai valutato"/>
    <m/>
    <n v="202505298023307"/>
    <n v="2733300001505"/>
    <n v="20250529"/>
    <s v="SPECIAL"/>
    <m/>
    <m/>
    <s v="D     - Dare"/>
    <n v="11266.94"/>
    <n v="0"/>
    <n v="1650841"/>
    <s v="DPLMHL81D26B519Q"/>
    <s v="DE PAOLA MICHELE"/>
    <s v="600 - Famiglie consumatrici"/>
    <m/>
    <s v="086 - ITALIA"/>
    <n v="1295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8462"/>
    <x v="3"/>
    <x v="3"/>
    <x v="25"/>
    <n v="53850"/>
    <n v="141"/>
    <s v="053850_141"/>
    <s v="Discovery Day"/>
    <s v="Mai valutato"/>
    <m/>
    <n v="202505298023489"/>
    <n v="1413300002371"/>
    <n v="20250529"/>
    <s v="G1 - Versamento assegni tratti su altro intermediario "/>
    <m/>
    <m/>
    <s v="A     - Avere"/>
    <n v="152340"/>
    <n v="0"/>
    <n v="4846049"/>
    <s v="VGNFNC64H01D862C"/>
    <s v="FALLIMENTO VIGNERI FRANCESCO"/>
    <s v="614 - Artigiani"/>
    <s v="412 - COSTRUZIONE DI EDIFICI RESIDENZIALI E NON RESIDENZIALI"/>
    <s v="086 - ITALIA"/>
    <n v="862"/>
    <m/>
    <m/>
    <m/>
    <m/>
    <m/>
    <m/>
    <m/>
    <n v="0"/>
    <n v="202505"/>
    <x v="2"/>
    <x v="1"/>
    <x v="0"/>
    <m/>
    <x v="0"/>
    <x v="0"/>
    <s v="999"/>
    <s v="614"/>
    <s v="614999"/>
    <m/>
    <s v="1"/>
    <s v="Classe di rischio 3"/>
  </r>
  <r>
    <n v="348461"/>
    <x v="4"/>
    <x v="4"/>
    <x v="25"/>
    <n v="53850"/>
    <n v="105"/>
    <s v="053850_105"/>
    <s v="Discovery Day"/>
    <s v="Mai valutato"/>
    <m/>
    <n v="202505298021931"/>
    <n v="1053306288710"/>
    <n v="20250529"/>
    <s v="48 - Bonifico in arrivo "/>
    <m/>
    <s v="086 - ITALIA"/>
    <s v="A     - Avere"/>
    <n v="250672.7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60"/>
    <x v="3"/>
    <x v="3"/>
    <x v="25"/>
    <n v="53850"/>
    <n v="118"/>
    <s v="053850_118"/>
    <s v="Discovery Day"/>
    <s v="Mai valutato"/>
    <m/>
    <n v="202505298023444"/>
    <n v="1183306281320"/>
    <n v="20250529"/>
    <s v="G7 - Versamento assegno circolare altro intermediario "/>
    <m/>
    <m/>
    <s v="A     - Avere"/>
    <n v="122500"/>
    <n v="0"/>
    <n v="528885"/>
    <s v="CMMMRA50A57A225H"/>
    <s v="CAMMISA MARIA"/>
    <s v="600 - Famiglie consumatrici"/>
    <m/>
    <s v="086 - ITALIA"/>
    <n v="632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59"/>
    <x v="4"/>
    <x v="4"/>
    <x v="25"/>
    <n v="53850"/>
    <n v="105"/>
    <s v="053850_105"/>
    <s v="Discovery Day"/>
    <s v="Mai valutato"/>
    <m/>
    <n v="202505298021920"/>
    <n v="1053306288710"/>
    <n v="20250529"/>
    <s v="48 - Bonifico in arrivo "/>
    <m/>
    <s v="086 - ITALIA"/>
    <s v="A     - Avere"/>
    <n v="296427.53999999998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58"/>
    <x v="2"/>
    <x v="2"/>
    <x v="25"/>
    <n v="53850"/>
    <n v="129"/>
    <s v="053850_129"/>
    <s v="Discovery Day"/>
    <s v="Mai valutato"/>
    <m/>
    <n v="202505298021998"/>
    <n v="1293300002811"/>
    <n v="20250529"/>
    <s v="AA - Bonifico da e per estero "/>
    <m/>
    <s v="261 - CROAZIA"/>
    <s v="A     - Avere"/>
    <n v="15638.64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457"/>
    <x v="4"/>
    <x v="4"/>
    <x v="25"/>
    <n v="53850"/>
    <n v="175"/>
    <s v="053850_175"/>
    <s v="Discovery Day"/>
    <s v="Mai valutato"/>
    <m/>
    <n v="202505298020735"/>
    <n v="1753305636160"/>
    <n v="20250529"/>
    <s v="26 - Bonifico in partenza "/>
    <m/>
    <s v="086 - ITALIA"/>
    <s v="D     - Dare"/>
    <n v="9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x v="1"/>
    <x v="0"/>
    <x v="0"/>
    <m/>
    <x v="0"/>
    <x v="0"/>
    <s v="464"/>
    <s v="430"/>
    <s v="430464"/>
    <s v="Classe di rischio 4"/>
    <m/>
    <s v="Classe di rischio 4"/>
  </r>
  <r>
    <n v="348456"/>
    <x v="4"/>
    <x v="4"/>
    <x v="25"/>
    <n v="53850"/>
    <n v="273"/>
    <s v="053850_273"/>
    <s v="Discovery Day"/>
    <s v="Mai valutato"/>
    <m/>
    <n v="202505298021394"/>
    <n v="2733300004156"/>
    <n v="20250529"/>
    <s v="48 - Bonifico in arrivo "/>
    <m/>
    <s v="086 - ITALIA"/>
    <s v="A     - Avere"/>
    <n v="15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455"/>
    <x v="7"/>
    <x v="7"/>
    <x v="25"/>
    <n v="53850"/>
    <n v="99"/>
    <s v="053850_99"/>
    <s v="Discovery Day"/>
    <s v="Mai valutato"/>
    <m/>
    <n v="202505298023303"/>
    <m/>
    <n v="20250529"/>
    <s v="SPECIAL"/>
    <m/>
    <m/>
    <s v="D     - Dare"/>
    <n v="104917.75"/>
    <n v="0"/>
    <n v="4995696"/>
    <s v="GMPMLB49M63L477K"/>
    <s v="GIAMPIETRO MARIA LIBERATA"/>
    <s v="600 - Famiglie consumatrici"/>
    <m/>
    <s v="086 - ITALIA"/>
    <n v="672"/>
    <m/>
    <m/>
    <m/>
    <m/>
    <m/>
    <m/>
    <m/>
    <n v="0"/>
    <n v="202505"/>
    <x v="2"/>
    <x v="1"/>
    <x v="1"/>
    <m/>
    <x v="0"/>
    <x v="1"/>
    <s v="999"/>
    <s v="600"/>
    <s v="600999"/>
    <s v="Classe di rischio 7"/>
    <m/>
    <s v="Classe di rischio 7"/>
  </r>
  <r>
    <n v="348454"/>
    <x v="5"/>
    <x v="5"/>
    <x v="25"/>
    <n v="53850"/>
    <n v="269"/>
    <s v="053850_269"/>
    <s v="Discovery Day"/>
    <s v="Mai valutato"/>
    <m/>
    <s v="Vari (29/05/2025)"/>
    <n v="2693300001614"/>
    <n v="20250529"/>
    <s v="D1 - Versamento di contante "/>
    <m/>
    <m/>
    <s v="A     - Avere"/>
    <n v="38310"/>
    <n v="3831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5"/>
    <x v="1"/>
    <x v="0"/>
    <x v="0"/>
    <n v="1695085"/>
    <x v="1"/>
    <x v="0"/>
    <s v="999"/>
    <s v="615"/>
    <s v="615999"/>
    <m/>
    <s v="1"/>
    <s v="Classe di rischio 3"/>
  </r>
  <r>
    <n v="348453"/>
    <x v="4"/>
    <x v="4"/>
    <x v="26"/>
    <n v="53850"/>
    <n v="188"/>
    <s v="053850_188"/>
    <s v="Discovery Day"/>
    <s v="Mai valutato"/>
    <m/>
    <n v="202505298019364"/>
    <n v="1883300130370"/>
    <n v="20250529"/>
    <s v="BE - Sottoscrizione titoli e/o fondi comuni "/>
    <m/>
    <m/>
    <s v="D     - Dare"/>
    <n v="250000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x v="1"/>
    <x v="0"/>
    <x v="0"/>
    <m/>
    <x v="0"/>
    <x v="0"/>
    <s v="477"/>
    <s v="615"/>
    <s v="615477"/>
    <s v="Classe di rischio 6"/>
    <m/>
    <s v="Classe di rischio 6"/>
  </r>
  <r>
    <n v="348452"/>
    <x v="4"/>
    <x v="4"/>
    <x v="26"/>
    <n v="53850"/>
    <n v="110"/>
    <s v="053850_110"/>
    <s v="Discovery Day"/>
    <s v="Mai valutato"/>
    <m/>
    <s v="202505287567276L"/>
    <n v="1103306288198"/>
    <n v="20250528"/>
    <s v="SPECIAL"/>
    <m/>
    <m/>
    <s v="D     - Dare"/>
    <n v="1694.49"/>
    <n v="0"/>
    <n v="474103"/>
    <s v="LNTMHL42M17A669E"/>
    <s v="LANOTTE MICHELE"/>
    <s v="600 - Famiglie consumatrici"/>
    <m/>
    <s v="086 - ITALIA"/>
    <n v="1359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451"/>
    <x v="4"/>
    <x v="4"/>
    <x v="26"/>
    <n v="53850"/>
    <n v="153"/>
    <s v="053850_153"/>
    <s v="Discovery Day"/>
    <s v="Mai valutato"/>
    <m/>
    <s v="202505287572724L"/>
    <n v="1533300663592"/>
    <n v="20250528"/>
    <s v="SPECIAL"/>
    <m/>
    <m/>
    <s v="D     - Dare"/>
    <n v="1402.45"/>
    <n v="0"/>
    <n v="4982454"/>
    <s v="VLNMRA39D49A509N"/>
    <s v="VALENTINO MARIA"/>
    <s v="600 - Famiglie consumatrici"/>
    <m/>
    <s v="086 - ITALIA"/>
    <n v="1187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8450"/>
    <x v="2"/>
    <x v="2"/>
    <x v="26"/>
    <n v="53850"/>
    <n v="149"/>
    <s v="053850_149"/>
    <s v="Discovery Day"/>
    <s v="Mai valutato"/>
    <m/>
    <n v="202505288019224"/>
    <n v="1493300663564"/>
    <n v="20250528"/>
    <s v="AA - Bonifico da e per estero "/>
    <m/>
    <s v="012 - BULGARIA"/>
    <s v="A     - Avere"/>
    <n v="29966.5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449"/>
    <x v="5"/>
    <x v="5"/>
    <x v="26"/>
    <n v="53850"/>
    <n v="204"/>
    <s v="053850_204"/>
    <s v="Discovery Day"/>
    <s v="Mai valutato"/>
    <m/>
    <s v="Vari (28/05/2025)"/>
    <n v="2043300011647"/>
    <n v="20250528"/>
    <s v="D1 - Versamento di contante "/>
    <m/>
    <m/>
    <s v="A     - Avere"/>
    <n v="32050"/>
    <n v="32050"/>
    <n v="4635489"/>
    <n v="2317850697"/>
    <s v="FARMACIA SPARVIERI S.N.C."/>
    <s v="492 - Quasi societa' non finanziarie altre - Unita' o societa' con meno di 20 addetti"/>
    <s v="477 - COMMERCIO AL DETTAGLIO DI ALTRI PRODOTTI IN ESERCIZI SPECIALIZZATI"/>
    <s v="086 - ITALIA"/>
    <n v="1810"/>
    <m/>
    <m/>
    <m/>
    <m/>
    <m/>
    <m/>
    <m/>
    <n v="0"/>
    <n v="202505"/>
    <x v="0"/>
    <x v="0"/>
    <x v="0"/>
    <m/>
    <x v="0"/>
    <x v="0"/>
    <s v="477"/>
    <s v="492"/>
    <s v="492477"/>
    <s v="Classe di rischio 5"/>
    <m/>
    <s v="Classe di rischio 5"/>
  </r>
  <r>
    <n v="348448"/>
    <x v="4"/>
    <x v="4"/>
    <x v="26"/>
    <n v="53850"/>
    <n v="134"/>
    <s v="053850_134"/>
    <s v="Discovery Day"/>
    <s v="Mai valutato"/>
    <m/>
    <n v="202505288020006"/>
    <n v="1346004011555"/>
    <n v="20250528"/>
    <s v="AF - Disp.giro conti diversi intestati ordinante(stesso intermed.)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447"/>
    <x v="4"/>
    <x v="4"/>
    <x v="26"/>
    <n v="53850"/>
    <n v="169"/>
    <s v="053850_169"/>
    <s v="Discovery Day"/>
    <s v="Mai valutato"/>
    <m/>
    <n v="202505288018396"/>
    <n v="1693302224337"/>
    <n v="20250528"/>
    <s v="48 - Bonifico in arrivo "/>
    <m/>
    <s v="086 - ITALIA"/>
    <s v="A     - Avere"/>
    <n v="209054.58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46"/>
    <x v="4"/>
    <x v="4"/>
    <x v="26"/>
    <n v="53850"/>
    <n v="169"/>
    <s v="053850_169"/>
    <s v="Discovery Day"/>
    <s v="Mai valutato"/>
    <m/>
    <n v="202505288020312"/>
    <n v="1693305416200"/>
    <n v="20250528"/>
    <s v="BB - Acquisto a pronti titoli e diritti d'opzione "/>
    <m/>
    <m/>
    <s v="D     - Da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45"/>
    <x v="5"/>
    <x v="5"/>
    <x v="26"/>
    <n v="53850"/>
    <n v="137"/>
    <s v="053850_137"/>
    <s v="Discovery Day"/>
    <s v="Mai valutato"/>
    <m/>
    <n v="202505288020237"/>
    <n v="1373300005678"/>
    <n v="20250528"/>
    <s v="D1 - Versamento di contante "/>
    <m/>
    <m/>
    <s v="A     - Avere"/>
    <n v="20000"/>
    <n v="20000"/>
    <n v="4965991"/>
    <s v="DRRPQL78S17G964F"/>
    <s v="D'ERRICO PASQUALE"/>
    <s v="600 - Famiglie consumatrici"/>
    <m/>
    <s v="086 - ITALIA"/>
    <n v="1867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444"/>
    <x v="5"/>
    <x v="5"/>
    <x v="26"/>
    <n v="53850"/>
    <n v="286"/>
    <s v="053850_286"/>
    <s v="Discovery Day"/>
    <s v="Mai valutato"/>
    <m/>
    <n v="202505288019995"/>
    <n v="2863300002878"/>
    <n v="20250528"/>
    <s v="03 - Versamento contante cassa continua "/>
    <m/>
    <m/>
    <s v="A     - Avere"/>
    <n v="15020"/>
    <n v="15020"/>
    <n v="1686425"/>
    <n v="2629680691"/>
    <s v="FARMACIA GIACCI DI GIACCI ALBERTO E ROBERTA &amp; C. S.A.S."/>
    <s v="492 - Quasi societa' non finanziarie altre - Unita' o societa' con meno di 20 addetti"/>
    <s v="477 - COMMERCIO AL DETTAGLIO DI ALTRI PRODOTTI IN ESERCIZI SPECIALIZZATI"/>
    <s v="086 - ITALIA"/>
    <n v="1767"/>
    <m/>
    <m/>
    <m/>
    <m/>
    <m/>
    <m/>
    <m/>
    <n v="0"/>
    <n v="202505"/>
    <x v="0"/>
    <x v="0"/>
    <x v="0"/>
    <m/>
    <x v="0"/>
    <x v="0"/>
    <s v="477"/>
    <s v="492"/>
    <s v="492477"/>
    <s v="Classe di rischio 5"/>
    <m/>
    <s v="Classe di rischio 5"/>
  </r>
  <r>
    <n v="348443"/>
    <x v="2"/>
    <x v="2"/>
    <x v="26"/>
    <n v="53850"/>
    <n v="103"/>
    <s v="053850_103"/>
    <s v="Discovery Day"/>
    <s v="Mai valutato"/>
    <m/>
    <s v="202505287569197L"/>
    <n v="1033301641631"/>
    <n v="20250528"/>
    <s v="AA - Bonifico da e per estero "/>
    <m/>
    <s v="012 - BULGARIA"/>
    <s v="A     - Avere"/>
    <n v="1823.17"/>
    <n v="0"/>
    <n v="164163"/>
    <n v="3485840726"/>
    <s v="R.A.I. RICAMBI SRL"/>
    <s v="430 - Imprese produttive"/>
    <s v="453 - COMMERCIO DI PARTI E ACCESSORI DI AUTOVEICOLI"/>
    <s v="086 - ITALIA"/>
    <n v="1274"/>
    <m/>
    <m/>
    <m/>
    <m/>
    <m/>
    <m/>
    <m/>
    <n v="0"/>
    <n v="202505"/>
    <x v="2"/>
    <x v="1"/>
    <x v="0"/>
    <m/>
    <x v="0"/>
    <x v="0"/>
    <s v="453"/>
    <s v="430"/>
    <s v="430453"/>
    <s v="Classe di rischio 3"/>
    <m/>
    <s v="Classe di rischio 3"/>
  </r>
  <r>
    <n v="348442"/>
    <x v="6"/>
    <x v="6"/>
    <x v="26"/>
    <n v="53850"/>
    <n v="170"/>
    <s v="053850_170"/>
    <s v="Discovery Day"/>
    <s v="Mai valutato"/>
    <m/>
    <n v="202505288019287"/>
    <n v="1703306288195"/>
    <n v="20250528"/>
    <s v="AA - Bonifico da e per estero "/>
    <m/>
    <s v="076 - TURCHIA"/>
    <s v="D     - Dare"/>
    <n v="1236943.9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441"/>
    <x v="4"/>
    <x v="4"/>
    <x v="26"/>
    <n v="53850"/>
    <n v="105"/>
    <s v="053850_105"/>
    <s v="Discovery Day"/>
    <s v="Mai valutato"/>
    <m/>
    <n v="202505288020149"/>
    <n v="1053306288710"/>
    <n v="20250528"/>
    <s v="54 - Incassi diversi"/>
    <m/>
    <m/>
    <s v="A     - Avere"/>
    <n v="2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40"/>
    <x v="3"/>
    <x v="3"/>
    <x v="26"/>
    <n v="53850"/>
    <n v="171"/>
    <s v="053850_171"/>
    <s v="Discovery Day"/>
    <s v="Mai valutato"/>
    <m/>
    <s v="Vari (28/05/2025)"/>
    <n v="1713302214147"/>
    <n v="20250528"/>
    <s v="03 - Versamento contante cassa continua "/>
    <m/>
    <m/>
    <s v="A     - Avere"/>
    <n v="152155.66"/>
    <n v="152155.66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439"/>
    <x v="4"/>
    <x v="4"/>
    <x v="26"/>
    <n v="53850"/>
    <n v="114"/>
    <s v="053850_114"/>
    <s v="Discovery Day"/>
    <s v="Mai valutato"/>
    <m/>
    <s v="202505287567239L"/>
    <n v="1143306279849"/>
    <n v="20250528"/>
    <s v="SPECIAL"/>
    <m/>
    <m/>
    <s v="D     - Dare"/>
    <n v="2087.63"/>
    <n v="0"/>
    <n v="4070800"/>
    <s v="PSCVTI61R20D643V"/>
    <s v="PISCOPIELLO VITO"/>
    <s v="600 - Famiglie consumatrici"/>
    <m/>
    <s v="086 - ITALIA"/>
    <n v="907"/>
    <m/>
    <m/>
    <m/>
    <m/>
    <m/>
    <m/>
    <m/>
    <n v="0"/>
    <n v="202505"/>
    <x v="4"/>
    <x v="1"/>
    <x v="0"/>
    <m/>
    <x v="0"/>
    <x v="1"/>
    <s v="999"/>
    <s v="600"/>
    <s v="600999"/>
    <s v="Classe di rischio 7"/>
    <m/>
    <s v="Classe di rischio 7"/>
  </r>
  <r>
    <n v="348438"/>
    <x v="4"/>
    <x v="4"/>
    <x v="26"/>
    <n v="53850"/>
    <n v="103"/>
    <s v="053850_103"/>
    <s v="Discovery Day"/>
    <s v="Mai valutato"/>
    <m/>
    <n v="202505288019253"/>
    <n v="1033306974262"/>
    <n v="20250528"/>
    <s v="48 - Bonifico in arrivo "/>
    <m/>
    <s v="086 - ITALIA"/>
    <s v="A     - Avere"/>
    <n v="800000"/>
    <n v="0"/>
    <n v="4679373"/>
    <n v="3294040724"/>
    <s v="CEREAL - FER SEMENTI DI PANTONE DOMENICO&amp; 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5"/>
    <x v="2"/>
    <x v="1"/>
    <x v="0"/>
    <m/>
    <x v="0"/>
    <x v="0"/>
    <s v="999"/>
    <s v="492"/>
    <s v="492999"/>
    <m/>
    <s v="1"/>
    <s v="Classe di rischio 2"/>
  </r>
  <r>
    <n v="348437"/>
    <x v="5"/>
    <x v="5"/>
    <x v="26"/>
    <n v="53850"/>
    <n v="103"/>
    <s v="053850_103"/>
    <s v="Discovery Day"/>
    <s v="Mai valutato"/>
    <m/>
    <n v="202505288020100"/>
    <n v="1033306985374"/>
    <n v="20250528"/>
    <s v="D1 - Versamento di contante "/>
    <m/>
    <m/>
    <s v="A     - Avere"/>
    <n v="17000"/>
    <n v="17000"/>
    <n v="3722977"/>
    <n v="8874860722"/>
    <s v="FARMACIA MUMMOLO S.N.C. DI MUMMOLO NARDULLI GIUSEPPE E TOMMASO"/>
    <s v="482 - Quasi societa' non finanziarie artigiane - Unita' o societa' con meno di 20 addetti"/>
    <s v="477 - COMMERCIO AL DETTAGLIO DI ALTRI PRODOTTI IN ESERCIZI SPECIALIZZATI"/>
    <s v="086 - ITALIA"/>
    <n v="1916"/>
    <m/>
    <m/>
    <m/>
    <m/>
    <m/>
    <m/>
    <m/>
    <n v="0"/>
    <n v="202505"/>
    <x v="0"/>
    <x v="0"/>
    <x v="0"/>
    <n v="3722977"/>
    <x v="1"/>
    <x v="0"/>
    <s v="477"/>
    <s v="482"/>
    <s v="482477"/>
    <s v="Classe di rischio 5"/>
    <m/>
    <s v="Classe di rischio 5"/>
  </r>
  <r>
    <n v="348436"/>
    <x v="4"/>
    <x v="4"/>
    <x v="26"/>
    <n v="53850"/>
    <n v="134"/>
    <s v="053850_134"/>
    <s v="Discovery Day"/>
    <s v="Mai valutato"/>
    <m/>
    <n v="202505288020228"/>
    <n v="1343300003027"/>
    <n v="20250528"/>
    <s v="26 - Bonifico in partenza "/>
    <m/>
    <s v="086 - ITALIA"/>
    <s v="D     - Da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435"/>
    <x v="4"/>
    <x v="4"/>
    <x v="26"/>
    <n v="53850"/>
    <n v="116"/>
    <s v="053850_116"/>
    <s v="Discovery Day"/>
    <s v="Mai valutato"/>
    <m/>
    <n v="202505288018885"/>
    <n v="1163305431040"/>
    <n v="20250528"/>
    <s v="48 - Bonifico in arrivo "/>
    <m/>
    <s v="086 - ITALIA"/>
    <s v="A     - Avere"/>
    <n v="1349930"/>
    <n v="0"/>
    <n v="543104"/>
    <n v="4393640729"/>
    <s v="TURBO SERVICE S.R.L."/>
    <s v="430 - Imprese produttive"/>
    <s v="466 - COMMERCIO ALL'INGROSSO DI ALTRI MACCHINARI, ATTREZZATURE E FORNITURE"/>
    <s v="086 - ITALIA"/>
    <n v="1696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48434"/>
    <x v="5"/>
    <x v="5"/>
    <x v="26"/>
    <n v="53850"/>
    <n v="128"/>
    <s v="053850_128"/>
    <s v="Discovery Day"/>
    <s v="Mai valutato"/>
    <m/>
    <s v="Vari (28/05/2025)"/>
    <n v="1283300003941"/>
    <n v="20250528"/>
    <s v="03 - Versamento contante cassa continua "/>
    <m/>
    <m/>
    <s v="A     - Avere"/>
    <n v="50800"/>
    <n v="508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x v="1"/>
    <x v="0"/>
    <x v="0"/>
    <n v="4916499"/>
    <x v="1"/>
    <x v="0"/>
    <s v="999"/>
    <s v="615"/>
    <s v="615999"/>
    <m/>
    <s v="1"/>
    <s v="Classe di rischio 3"/>
  </r>
  <r>
    <n v="348433"/>
    <x v="4"/>
    <x v="4"/>
    <x v="26"/>
    <n v="53850"/>
    <n v="102"/>
    <s v="053850_102"/>
    <s v="Discovery Day"/>
    <s v="Mai valutato"/>
    <m/>
    <n v="202505288020077"/>
    <n v="1503300003188"/>
    <n v="20250528"/>
    <s v="26 - Bonifico in partenza "/>
    <m/>
    <s v="086 - ITALIA"/>
    <s v="D     - Dare"/>
    <n v="11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x v="0"/>
    <x v="0"/>
    <x v="0"/>
    <m/>
    <x v="0"/>
    <x v="0"/>
    <s v="999"/>
    <s v="259"/>
    <s v="259999"/>
    <m/>
    <s v="1"/>
    <s v="Classe di rischio 0"/>
  </r>
  <r>
    <n v="348432"/>
    <x v="5"/>
    <x v="5"/>
    <x v="26"/>
    <n v="53850"/>
    <n v="116"/>
    <s v="053850_116"/>
    <s v="Discovery Day"/>
    <s v="Mai valutato"/>
    <m/>
    <n v="202505288019941"/>
    <n v="2343300010453"/>
    <n v="20250528"/>
    <s v="03 - Versamento contante cassa continua "/>
    <m/>
    <m/>
    <s v="A     - Avere"/>
    <n v="150161.29999999999"/>
    <n v="150161.29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431"/>
    <x v="4"/>
    <x v="4"/>
    <x v="26"/>
    <n v="53850"/>
    <n v="170"/>
    <s v="053850_170"/>
    <s v="Discovery Day"/>
    <s v="Mai valutato"/>
    <m/>
    <n v="202505288019287"/>
    <n v="1703306288195"/>
    <n v="20250528"/>
    <s v="AA - Bonifico da e per estero "/>
    <m/>
    <s v="076 - TURCHIA"/>
    <s v="D     - Dare"/>
    <n v="1236943.9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430"/>
    <x v="5"/>
    <x v="5"/>
    <x v="26"/>
    <n v="53850"/>
    <n v="171"/>
    <s v="053850_171"/>
    <s v="Discovery Day"/>
    <s v="Mai valutato"/>
    <m/>
    <s v="Vari (28/05/2025)"/>
    <n v="1713305728950"/>
    <n v="20250528"/>
    <s v="03 - Versamento contante cassa continua "/>
    <m/>
    <m/>
    <s v="A     - Avere"/>
    <n v="382821.7"/>
    <n v="382821.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429"/>
    <x v="4"/>
    <x v="4"/>
    <x v="26"/>
    <n v="53850"/>
    <n v="169"/>
    <s v="053850_169"/>
    <s v="Discovery Day"/>
    <s v="Mai valutato"/>
    <m/>
    <n v="202505288020312"/>
    <n v="1693305416200"/>
    <n v="20250528"/>
    <s v="BB - Acquisto a pronti titoli e diritti d'opzione "/>
    <m/>
    <m/>
    <s v="D     - Da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28"/>
    <x v="5"/>
    <x v="5"/>
    <x v="26"/>
    <n v="53850"/>
    <n v="141"/>
    <s v="053850_141"/>
    <s v="Discovery Day"/>
    <s v="Mai valutato"/>
    <m/>
    <s v="Vari (28/05/2025)"/>
    <n v="1413300004393"/>
    <n v="20250528"/>
    <s v="VV"/>
    <m/>
    <m/>
    <s v="A     - Avere"/>
    <n v="45810.68"/>
    <n v="3125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s v="086 - ITALIA"/>
    <n v="862"/>
    <m/>
    <m/>
    <m/>
    <m/>
    <m/>
    <m/>
    <m/>
    <n v="0"/>
    <n v="202505"/>
    <x v="2"/>
    <x v="1"/>
    <x v="0"/>
    <n v="3743595"/>
    <x v="1"/>
    <x v="1"/>
    <s v="999"/>
    <s v="501"/>
    <s v="501999"/>
    <m/>
    <s v="1"/>
    <s v="Classe di rischio 3"/>
  </r>
  <r>
    <n v="348427"/>
    <x v="5"/>
    <x v="5"/>
    <x v="26"/>
    <n v="53850"/>
    <n v="189"/>
    <s v="053850_189"/>
    <s v="Discovery Day"/>
    <s v="Mai valutato"/>
    <m/>
    <n v="202505288020381"/>
    <n v="1893300023546"/>
    <n v="20250528"/>
    <s v="D1 - Versamento di contante "/>
    <m/>
    <m/>
    <s v="A     - Avere"/>
    <n v="43535"/>
    <n v="43535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5"/>
    <x v="1"/>
    <x v="0"/>
    <x v="0"/>
    <n v="3064562"/>
    <x v="1"/>
    <x v="0"/>
    <s v="999"/>
    <s v="615"/>
    <s v="615999"/>
    <m/>
    <s v="1"/>
    <s v="Classe di rischio 3"/>
  </r>
  <r>
    <n v="348426"/>
    <x v="3"/>
    <x v="3"/>
    <x v="26"/>
    <n v="53850"/>
    <n v="108"/>
    <s v="053850_108"/>
    <s v="Discovery Day"/>
    <s v="Mai valutato"/>
    <m/>
    <s v="Vari (28/05/2025)"/>
    <n v="1083300011180"/>
    <n v="20250528"/>
    <s v="VV"/>
    <m/>
    <m/>
    <s v="A     - Avere"/>
    <n v="128808.06"/>
    <n v="120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x v="0"/>
    <x v="0"/>
    <x v="0"/>
    <m/>
    <x v="0"/>
    <x v="1"/>
    <s v="999"/>
    <s v="430"/>
    <s v="430999"/>
    <m/>
    <s v="1"/>
    <s v="Classe di rischio 1"/>
  </r>
  <r>
    <n v="348425"/>
    <x v="4"/>
    <x v="4"/>
    <x v="26"/>
    <n v="53850"/>
    <n v="134"/>
    <s v="053850_134"/>
    <s v="Discovery Day"/>
    <s v="Mai valutato"/>
    <m/>
    <n v="202505288019999"/>
    <n v="1343300003027"/>
    <n v="20250528"/>
    <s v="AF - Disp.giro conti diversi intestati ordinante(stesso intermed.)"/>
    <m/>
    <s v="086 - ITALIA"/>
    <s v="A     - Avere"/>
    <n v="840000"/>
    <n v="0"/>
    <n v="4959963"/>
    <s v="LNCMHL98S51F104S"/>
    <s v="LANCELLOTTI MICHELA"/>
    <s v="600 - Famiglie consumatrici"/>
    <m/>
    <s v="086 - ITALIA"/>
    <n v="1562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424"/>
    <x v="3"/>
    <x v="3"/>
    <x v="26"/>
    <n v="53850"/>
    <n v="118"/>
    <s v="053850_118"/>
    <s v="Discovery Day"/>
    <s v="Mai valutato"/>
    <m/>
    <n v="202505288020196"/>
    <n v="1183302007820"/>
    <n v="20250528"/>
    <s v="G7 - Versamento assegno circolare altro intermediario "/>
    <m/>
    <m/>
    <s v="A     - Avere"/>
    <n v="107500"/>
    <n v="0"/>
    <n v="200782"/>
    <s v="SQCGCM49T18A225Y"/>
    <s v="SQUICCIARINI GIACOMO"/>
    <s v="600 - Famiglie consumatrici"/>
    <m/>
    <s v="086 - ITALIA"/>
    <n v="724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423"/>
    <x v="4"/>
    <x v="4"/>
    <x v="26"/>
    <n v="53850"/>
    <n v="261"/>
    <s v="053850_261"/>
    <s v="Discovery Day"/>
    <s v="Mai valutato"/>
    <m/>
    <n v="202505288018864"/>
    <n v="2613300000312"/>
    <n v="20250528"/>
    <s v="48 - Bonifico in arrivo "/>
    <m/>
    <s v="086 - ITALIA"/>
    <s v="A     - Avere"/>
    <n v="201301.01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422"/>
    <x v="4"/>
    <x v="4"/>
    <x v="26"/>
    <n v="53850"/>
    <n v="122"/>
    <s v="053850_122"/>
    <s v="Discovery Day"/>
    <s v="Mai valutato"/>
    <m/>
    <n v="202505288018264"/>
    <n v="1223300002128"/>
    <n v="20250528"/>
    <s v="48 - Bonifico in arrivo "/>
    <m/>
    <s v="086 - ITALIA"/>
    <s v="A     - Avere"/>
    <n v="1856796.5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x v="2"/>
    <x v="1"/>
    <x v="0"/>
    <m/>
    <x v="0"/>
    <x v="0"/>
    <s v="620"/>
    <s v="430"/>
    <s v="430620"/>
    <s v="Classe di rischio 3"/>
    <m/>
    <s v="Classe di rischio 3"/>
  </r>
  <r>
    <n v="348421"/>
    <x v="5"/>
    <x v="5"/>
    <x v="26"/>
    <n v="53850"/>
    <n v="178"/>
    <s v="053850_178"/>
    <s v="Discovery Day"/>
    <s v="Mai valutato"/>
    <m/>
    <n v="202505288020346"/>
    <n v="1783301004511"/>
    <n v="20250528"/>
    <s v="D1 - Versamento di contante "/>
    <m/>
    <m/>
    <s v="A     - Avere"/>
    <n v="20000"/>
    <n v="20000"/>
    <n v="4893024"/>
    <s v="CFGNTN99M15A669N"/>
    <s v="CAFAGNA ANTONIO"/>
    <s v="600 - Famiglie consumatrici"/>
    <m/>
    <s v="086 - ITALIA"/>
    <n v="1100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20"/>
    <x v="4"/>
    <x v="4"/>
    <x v="26"/>
    <n v="53850"/>
    <n v="116"/>
    <s v="053850_116"/>
    <s v="Discovery Day"/>
    <s v="Mai valutato"/>
    <m/>
    <n v="202505288019280"/>
    <n v="2173300010307"/>
    <n v="20250528"/>
    <s v="15 - Rimborso finanziamenti "/>
    <m/>
    <m/>
    <s v="D     - Dare"/>
    <n v="4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419"/>
    <x v="2"/>
    <x v="2"/>
    <x v="26"/>
    <n v="53850"/>
    <n v="128"/>
    <s v="053850_128"/>
    <s v="Discovery Day"/>
    <s v="Mai valutato"/>
    <m/>
    <n v="202505288019284"/>
    <n v="1283300002423"/>
    <n v="20250528"/>
    <s v="AA - Bonifico da e per estero "/>
    <m/>
    <s v="238 - ABU DHABI"/>
    <s v="A     - Avere"/>
    <n v="13128.9"/>
    <n v="0"/>
    <n v="4582492"/>
    <s v="MRTNCL52R05F262F"/>
    <s v="MARTINO NICOLA"/>
    <s v="600 - Famiglie consumatrici"/>
    <m/>
    <s v="086 - ITALIA"/>
    <n v="726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418"/>
    <x v="4"/>
    <x v="4"/>
    <x v="26"/>
    <n v="53850"/>
    <n v="286"/>
    <s v="053850_286"/>
    <s v="Discovery Day"/>
    <s v="Mai valutato"/>
    <m/>
    <n v="202505288020518"/>
    <n v="2863300003325"/>
    <n v="20250528"/>
    <s v="26 - Bonifico in partenza "/>
    <m/>
    <s v="086 - ITALIA"/>
    <s v="D     - Dare"/>
    <n v="100000"/>
    <n v="0"/>
    <n v="1705218"/>
    <s v="DPLGPP54R18Z110S"/>
    <s v="DI PALMA GIUSEPPE FRANCO"/>
    <s v="615 - Altre famiglie produttrici"/>
    <s v="477 - COMMERCIO AL DETTAGLIO DI ALTRI PRODOTTI IN ESERCIZI SPECIALIZZATI"/>
    <s v="086 - ITALIA"/>
    <n v="1841"/>
    <m/>
    <m/>
    <m/>
    <m/>
    <m/>
    <m/>
    <m/>
    <n v="0"/>
    <n v="202505"/>
    <x v="1"/>
    <x v="0"/>
    <x v="0"/>
    <n v="1705218"/>
    <x v="1"/>
    <x v="0"/>
    <s v="477"/>
    <s v="615"/>
    <s v="615477"/>
    <s v="Classe di rischio 6"/>
    <m/>
    <s v="Classe di rischio 6"/>
  </r>
  <r>
    <n v="348417"/>
    <x v="5"/>
    <x v="5"/>
    <x v="26"/>
    <n v="53850"/>
    <n v="171"/>
    <s v="053850_171"/>
    <s v="Discovery Day"/>
    <s v="Mai valutato"/>
    <m/>
    <s v="Vari (28/05/2025)"/>
    <n v="1713302214147"/>
    <n v="20250528"/>
    <s v="03 - Versamento contante cassa continua "/>
    <m/>
    <m/>
    <s v="A     - Avere"/>
    <n v="152155.66"/>
    <n v="152155.66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416"/>
    <x v="6"/>
    <x v="6"/>
    <x v="26"/>
    <n v="53850"/>
    <n v="110"/>
    <s v="053850_110"/>
    <s v="Discovery Day"/>
    <s v="Mai valutato"/>
    <m/>
    <n v="202505288019279"/>
    <n v="1103306288240"/>
    <n v="20250528"/>
    <s v="AA - Bonifico da e per estero "/>
    <m/>
    <s v="129 - INDONESIA"/>
    <s v="A     - Avere"/>
    <n v="35255.730000000003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5"/>
    <x v="0"/>
    <x v="0"/>
    <x v="0"/>
    <m/>
    <x v="0"/>
    <x v="0"/>
    <s v="464"/>
    <s v="430"/>
    <s v="430464"/>
    <s v="Classe di rischio 4"/>
    <m/>
    <s v="Classe di rischio 4"/>
  </r>
  <r>
    <n v="348415"/>
    <x v="5"/>
    <x v="5"/>
    <x v="26"/>
    <n v="53850"/>
    <n v="287"/>
    <s v="053850_287"/>
    <s v="Discovery Day"/>
    <s v="Mai valutato"/>
    <m/>
    <s v="Vari (28/05/2025)"/>
    <n v="2873300001853"/>
    <n v="20250528"/>
    <s v="VV"/>
    <m/>
    <m/>
    <s v="A     - Avere"/>
    <n v="60088.93"/>
    <n v="4256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x v="0"/>
    <x v="0"/>
    <x v="0"/>
    <n v="3722213"/>
    <x v="1"/>
    <x v="1"/>
    <s v="463"/>
    <s v="430"/>
    <s v="430463"/>
    <s v="Classe di rischio 3"/>
    <m/>
    <s v="Classe di rischio 3"/>
  </r>
  <r>
    <n v="348414"/>
    <x v="3"/>
    <x v="3"/>
    <x v="26"/>
    <n v="53850"/>
    <n v="171"/>
    <s v="053850_171"/>
    <s v="Discovery Day"/>
    <s v="Mai valutato"/>
    <m/>
    <s v="Vari (28/05/2025)"/>
    <n v="1713305728950"/>
    <n v="20250528"/>
    <s v="03 - Versamento contante cassa continua "/>
    <m/>
    <m/>
    <s v="A     - Avere"/>
    <n v="382821.7"/>
    <n v="382821.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413"/>
    <x v="4"/>
    <x v="4"/>
    <x v="26"/>
    <n v="53850"/>
    <n v="175"/>
    <s v="053850_175"/>
    <s v="Discovery Day"/>
    <s v="Mai valutato"/>
    <m/>
    <n v="202505288018359"/>
    <n v="1753302205383"/>
    <n v="20250528"/>
    <s v="48 - Bonifico in arrivo "/>
    <m/>
    <s v="086 - ITALIA"/>
    <s v="A     - Ave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12"/>
    <x v="3"/>
    <x v="3"/>
    <x v="26"/>
    <n v="53850"/>
    <n v="116"/>
    <s v="053850_116"/>
    <s v="Discovery Day"/>
    <s v="Mai valutato"/>
    <m/>
    <n v="202505288019941"/>
    <n v="2343300010453"/>
    <n v="20250528"/>
    <s v="03 - Versamento contante cassa continua "/>
    <m/>
    <m/>
    <s v="A     - Avere"/>
    <n v="150161.29999999999"/>
    <n v="150161.29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411"/>
    <x v="2"/>
    <x v="2"/>
    <x v="26"/>
    <n v="53850"/>
    <n v="128"/>
    <s v="053850_128"/>
    <s v="Discovery Day"/>
    <s v="Mai valutato"/>
    <m/>
    <n v="202505288019284"/>
    <n v="1283300002423"/>
    <n v="20250528"/>
    <s v="AA - Bonifico da e per estero "/>
    <m/>
    <s v="238 - ABU DHABI"/>
    <s v="A     - Avere"/>
    <n v="13128.9"/>
    <n v="0"/>
    <n v="4582488"/>
    <s v="MRTMHL85H13F262D"/>
    <s v="MARTINO MICHELE"/>
    <s v="600 - Famiglie consumatrici"/>
    <m/>
    <s v="086 - ITALIA"/>
    <n v="726"/>
    <m/>
    <m/>
    <m/>
    <m/>
    <m/>
    <m/>
    <m/>
    <n v="0"/>
    <n v="202505"/>
    <x v="3"/>
    <x v="1"/>
    <x v="0"/>
    <m/>
    <x v="0"/>
    <x v="0"/>
    <s v="999"/>
    <s v="600"/>
    <s v="600999"/>
    <s v="Classe di rischio 7"/>
    <m/>
    <s v="Classe di rischio 7"/>
  </r>
  <r>
    <n v="348410"/>
    <x v="5"/>
    <x v="5"/>
    <x v="26"/>
    <n v="53850"/>
    <n v="102"/>
    <s v="053850_102"/>
    <s v="Discovery Day"/>
    <s v="Mai valutato"/>
    <m/>
    <n v="202505288019617"/>
    <n v="1023308722503"/>
    <n v="20250528"/>
    <s v="03 - Versamento contante cassa continua "/>
    <m/>
    <m/>
    <s v="A     - Avere"/>
    <n v="37020"/>
    <n v="370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409"/>
    <x v="4"/>
    <x v="4"/>
    <x v="27"/>
    <n v="53850"/>
    <n v="171"/>
    <s v="053850_171"/>
    <s v="Discovery Day"/>
    <s v="Mai valutato"/>
    <m/>
    <n v="202505288016300"/>
    <n v="1713302214622"/>
    <n v="20250528"/>
    <s v="BE - Sottoscrizione titoli e/o fondi comuni "/>
    <m/>
    <m/>
    <s v="D     - Dare"/>
    <n v="350000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408"/>
    <x v="4"/>
    <x v="4"/>
    <x v="27"/>
    <n v="53850"/>
    <n v="103"/>
    <s v="053850_103"/>
    <s v="Discovery Day"/>
    <s v="Mai valutato"/>
    <m/>
    <n v="202505288016347"/>
    <n v="1033306970929"/>
    <n v="20250528"/>
    <s v="BB - Acquisto a pronti titoli e diritti d'opzione "/>
    <m/>
    <m/>
    <s v="D     - Dare"/>
    <n v="1706698.81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07"/>
    <x v="4"/>
    <x v="4"/>
    <x v="27"/>
    <n v="53850"/>
    <n v="190"/>
    <s v="053850_190"/>
    <s v="Discovery Day"/>
    <s v="Mai valutato"/>
    <m/>
    <n v="202505288016311"/>
    <n v="1903300015028"/>
    <n v="20250528"/>
    <s v="BE - Sottoscrizione titoli e/o fondi comuni "/>
    <m/>
    <m/>
    <s v="D     - Dare"/>
    <n v="500000"/>
    <n v="0"/>
    <n v="3018135"/>
    <s v="BNRVTI67A19E469T"/>
    <s v="BONORA VITO"/>
    <s v="615 - Altre famiglie produttrici"/>
    <s v="012 - COLTIVAZIONE DI COLTURE PERMANENTI"/>
    <s v="086 - ITALIA"/>
    <n v="828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48406"/>
    <x v="4"/>
    <x v="4"/>
    <x v="27"/>
    <n v="53850"/>
    <n v="103"/>
    <s v="053850_103"/>
    <s v="Discovery Day"/>
    <s v="Mai valutato"/>
    <m/>
    <n v="202505288016347"/>
    <n v="1033306970929"/>
    <n v="20250528"/>
    <s v="BB - Acquisto a pronti titoli e diritti d'opzione "/>
    <m/>
    <m/>
    <s v="D     - Dare"/>
    <n v="1706698.81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05"/>
    <x v="4"/>
    <x v="4"/>
    <x v="27"/>
    <n v="53850"/>
    <n v="190"/>
    <s v="053850_190"/>
    <s v="Discovery Day"/>
    <s v="Mai valutato"/>
    <m/>
    <n v="202505288016311"/>
    <n v="1903300015028"/>
    <n v="20250528"/>
    <s v="BE - Sottoscrizione titoli e/o fondi comuni "/>
    <m/>
    <m/>
    <s v="D     - Dare"/>
    <n v="500000"/>
    <n v="0"/>
    <n v="3018136"/>
    <s v="BNRSFN73D16E469S"/>
    <s v="BONORA STEFANO"/>
    <s v="600 - Famiglie consumatrici"/>
    <m/>
    <s v="086 - ITALIA"/>
    <n v="828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04"/>
    <x v="4"/>
    <x v="4"/>
    <x v="27"/>
    <n v="53850"/>
    <n v="103"/>
    <s v="053850_103"/>
    <s v="Discovery Day"/>
    <s v="Mai valutato"/>
    <m/>
    <n v="202505288016347"/>
    <n v="1033306970929"/>
    <n v="20250528"/>
    <s v="BB - Acquisto a pronti titoli e diritti d'opzione "/>
    <m/>
    <m/>
    <s v="D     - Dare"/>
    <n v="1706698.81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403"/>
    <x v="4"/>
    <x v="4"/>
    <x v="27"/>
    <n v="53850"/>
    <n v="105"/>
    <s v="053850_105"/>
    <s v="Discovery Day"/>
    <s v="Mai valutato"/>
    <m/>
    <n v="202505278017088"/>
    <n v="1053300516650"/>
    <n v="20250527"/>
    <s v="54 - Incassi diversi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402"/>
    <x v="4"/>
    <x v="4"/>
    <x v="27"/>
    <n v="53850"/>
    <n v="110"/>
    <s v="053850_110"/>
    <s v="Discovery Day"/>
    <s v="Mai valutato"/>
    <m/>
    <n v="202505278015854"/>
    <n v="1103306286918"/>
    <n v="20250527"/>
    <s v="48 - Bonifico in arrivo "/>
    <m/>
    <s v="086 - ITALIA"/>
    <s v="A     - Avere"/>
    <n v="377927.89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401"/>
    <x v="3"/>
    <x v="3"/>
    <x v="27"/>
    <n v="53850"/>
    <n v="108"/>
    <s v="053850_108"/>
    <s v="Discovery Day"/>
    <s v="Mai valutato"/>
    <m/>
    <s v="Vari (27/05/2025)"/>
    <n v="1083306291105"/>
    <n v="20250527"/>
    <s v="VV"/>
    <m/>
    <m/>
    <s v="A     - Avere"/>
    <n v="146073.12"/>
    <n v="117952.0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48400"/>
    <x v="2"/>
    <x v="2"/>
    <x v="27"/>
    <n v="53850"/>
    <n v="200"/>
    <s v="053850_200"/>
    <s v="Discovery Day"/>
    <s v="Mai valutato"/>
    <m/>
    <n v="202505278016245"/>
    <n v="2003300003730"/>
    <n v="20250527"/>
    <s v="AA - Bonifico da e per estero "/>
    <m/>
    <s v="238 - ABU DHABI"/>
    <s v="D     - Dare"/>
    <n v="35000"/>
    <n v="0"/>
    <n v="3731305"/>
    <s v="GGLLCN65C30C632E"/>
    <s v="GAGLIARDI LUCIANO"/>
    <s v="600 - Famiglie consumatrici"/>
    <m/>
    <s v="086 - ITALIA"/>
    <n v="1837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399"/>
    <x v="5"/>
    <x v="5"/>
    <x v="27"/>
    <n v="53850"/>
    <n v="161"/>
    <s v="053850_161"/>
    <s v="Discovery Day"/>
    <s v="Mai valutato"/>
    <m/>
    <s v="Vari (27/05/2025)"/>
    <n v="1613300031333"/>
    <n v="20250527"/>
    <s v="VV"/>
    <m/>
    <m/>
    <s v="A     - Avere"/>
    <n v="41503.85"/>
    <n v="3673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5"/>
    <x v="1"/>
    <x v="0"/>
    <x v="0"/>
    <n v="511904"/>
    <x v="1"/>
    <x v="1"/>
    <s v="999"/>
    <s v="615"/>
    <s v="615999"/>
    <m/>
    <s v="1"/>
    <s v="Classe di rischio 3"/>
  </r>
  <r>
    <n v="348398"/>
    <x v="4"/>
    <x v="4"/>
    <x v="27"/>
    <n v="53850"/>
    <n v="118"/>
    <s v="053850_118"/>
    <s v="Discovery Day"/>
    <s v="Mai valutato"/>
    <m/>
    <n v="202505278017157"/>
    <n v="1183306280319"/>
    <n v="20250527"/>
    <s v="SPECIAL"/>
    <m/>
    <m/>
    <s v="D     - Dare"/>
    <n v="21441.7"/>
    <n v="0"/>
    <n v="518647"/>
    <s v="TMBMRA40L51A225G"/>
    <s v="TAMBORRA MARIA"/>
    <s v="600 - Famiglie consumatrici"/>
    <m/>
    <s v="086 - ITALIA"/>
    <n v="724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397"/>
    <x v="4"/>
    <x v="4"/>
    <x v="27"/>
    <n v="53850"/>
    <n v="273"/>
    <s v="053850_273"/>
    <s v="Discovery Day"/>
    <s v="Mai valutato"/>
    <m/>
    <n v="202505278017459"/>
    <n v="2733300010399"/>
    <n v="20250527"/>
    <s v="26 - Bonifico in partenza "/>
    <m/>
    <s v="086 - ITALIA"/>
    <s v="D     - Dare"/>
    <n v="675717.72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x v="4"/>
    <x v="1"/>
    <x v="0"/>
    <m/>
    <x v="0"/>
    <x v="0"/>
    <s v="412"/>
    <s v="430"/>
    <s v="430412"/>
    <s v="Classe di rischio 3"/>
    <m/>
    <s v="Classe di rischio 3"/>
  </r>
  <r>
    <n v="348396"/>
    <x v="5"/>
    <x v="5"/>
    <x v="27"/>
    <n v="53850"/>
    <n v="114"/>
    <s v="053850_114"/>
    <s v="Discovery Day"/>
    <s v="Mai valutato"/>
    <m/>
    <n v="202505278017135"/>
    <n v="1143306280621"/>
    <n v="20250527"/>
    <s v="D1 - Versamento di contante "/>
    <m/>
    <m/>
    <s v="A     - Avere"/>
    <n v="31000"/>
    <n v="31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30"/>
    <s v="430477"/>
    <s v="Classe di rischio 3"/>
    <m/>
    <s v="Classe di rischio 3"/>
  </r>
  <r>
    <n v="348395"/>
    <x v="3"/>
    <x v="3"/>
    <x v="27"/>
    <n v="53850"/>
    <n v="109"/>
    <s v="053850_109"/>
    <s v="Discovery Day"/>
    <s v="Mai valutato"/>
    <m/>
    <n v="202505278017110"/>
    <n v="2263300011992"/>
    <n v="20250527"/>
    <s v="G7 - Versamento assegno circolare altro intermediario "/>
    <m/>
    <m/>
    <s v="A     - Avere"/>
    <n v="68166.679999999993"/>
    <n v="0"/>
    <n v="4847196"/>
    <s v="MNNPQL67E25A662Z"/>
    <s v="MININNI JANNUZZI PASQUALE"/>
    <s v="615 - Altre famiglie produttrici"/>
    <s v="477 - COMMERCIO AL DETTAGLIO DI ALTRI PRODOTTI IN ESERCIZI SPECIALIZZATI"/>
    <s v="086 - ITALIA"/>
    <n v="746"/>
    <m/>
    <m/>
    <m/>
    <m/>
    <m/>
    <m/>
    <m/>
    <n v="0"/>
    <n v="202505"/>
    <x v="1"/>
    <x v="0"/>
    <x v="0"/>
    <m/>
    <x v="0"/>
    <x v="0"/>
    <s v="477"/>
    <s v="615"/>
    <s v="615477"/>
    <s v="Classe di rischio 6"/>
    <m/>
    <s v="Classe di rischio 6"/>
  </r>
  <r>
    <n v="348394"/>
    <x v="4"/>
    <x v="4"/>
    <x v="27"/>
    <n v="53850"/>
    <n v="187"/>
    <s v="053850_187"/>
    <s v="Discovery Day"/>
    <s v="Mai valutato"/>
    <m/>
    <s v="202505277500727L"/>
    <n v="1873300111323"/>
    <n v="20250527"/>
    <s v="SPECIAL"/>
    <m/>
    <m/>
    <s v="D     - Dare"/>
    <n v="4885.4399999999996"/>
    <n v="0"/>
    <n v="3743565"/>
    <s v="CVLFNC90R16E205U"/>
    <s v="CAVALLO FRANCESCO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393"/>
    <x v="3"/>
    <x v="3"/>
    <x v="27"/>
    <n v="53850"/>
    <n v="141"/>
    <s v="053850_141"/>
    <s v="Discovery Day"/>
    <s v="Mai valutato"/>
    <m/>
    <s v="Vari (27/05/2025)"/>
    <n v="1413300004393"/>
    <n v="20250527"/>
    <s v="VV"/>
    <m/>
    <m/>
    <s v="A     - Avere"/>
    <n v="101703.51"/>
    <n v="15615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s v="086 - ITALIA"/>
    <n v="862"/>
    <m/>
    <m/>
    <m/>
    <m/>
    <m/>
    <m/>
    <m/>
    <n v="0"/>
    <n v="202505"/>
    <x v="2"/>
    <x v="1"/>
    <x v="0"/>
    <n v="3743595"/>
    <x v="1"/>
    <x v="1"/>
    <s v="999"/>
    <s v="501"/>
    <s v="501999"/>
    <m/>
    <s v="1"/>
    <s v="Classe di rischio 3"/>
  </r>
  <r>
    <n v="348392"/>
    <x v="3"/>
    <x v="3"/>
    <x v="27"/>
    <n v="53850"/>
    <n v="171"/>
    <s v="053850_171"/>
    <s v="Discovery Day"/>
    <s v="Mai valutato"/>
    <m/>
    <s v="Vari (27/05/2025)"/>
    <n v="1713305728950"/>
    <n v="20250527"/>
    <s v="03 - Versamento contante cassa continua "/>
    <m/>
    <m/>
    <s v="A     - Avere"/>
    <n v="189945"/>
    <n v="18994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391"/>
    <x v="4"/>
    <x v="4"/>
    <x v="27"/>
    <n v="53850"/>
    <n v="168"/>
    <s v="053850_168"/>
    <s v="Discovery Day"/>
    <s v="Mai valutato"/>
    <m/>
    <n v="202505278015403"/>
    <n v="1683306274827"/>
    <n v="20250527"/>
    <s v="27 - Emolumenti "/>
    <m/>
    <m/>
    <s v="A     - Avere"/>
    <n v="189076.79"/>
    <n v="0"/>
    <n v="4143678"/>
    <s v="DMTTZN67D69L682B"/>
    <s v="DE MATTIA TIZIANA"/>
    <s v="600 - Famiglie consumatrici"/>
    <m/>
    <s v="086 - ITALIA"/>
    <n v="13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90"/>
    <x v="5"/>
    <x v="5"/>
    <x v="27"/>
    <n v="53850"/>
    <n v="114"/>
    <s v="053850_114"/>
    <s v="Discovery Day"/>
    <s v="Mai valutato"/>
    <m/>
    <s v="Vari (27/05/2025)"/>
    <n v="1143306285135"/>
    <n v="20250527"/>
    <s v="VV"/>
    <m/>
    <m/>
    <s v="A     - Avere"/>
    <n v="29950"/>
    <n v="1575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5"/>
    <x v="1"/>
    <x v="0"/>
    <x v="0"/>
    <n v="3730898"/>
    <x v="1"/>
    <x v="1"/>
    <s v="477"/>
    <s v="615"/>
    <s v="615477"/>
    <s v="Classe di rischio 6"/>
    <m/>
    <s v="Classe di rischio 6"/>
  </r>
  <r>
    <n v="348389"/>
    <x v="5"/>
    <x v="5"/>
    <x v="27"/>
    <n v="53850"/>
    <n v="268"/>
    <s v="053850_268"/>
    <s v="Discovery Day"/>
    <s v="Mai valutato"/>
    <m/>
    <s v="Vari (27/05/2025)"/>
    <n v="2683300006671"/>
    <n v="20250527"/>
    <s v="03 - Versamento contante cassa continua "/>
    <m/>
    <m/>
    <s v="A     - Avere"/>
    <n v="15600"/>
    <n v="1560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5"/>
    <x v="0"/>
    <x v="0"/>
    <x v="0"/>
    <n v="1704716"/>
    <x v="1"/>
    <x v="0"/>
    <s v="477"/>
    <s v="480"/>
    <s v="480477"/>
    <s v="Classe di rischio 5"/>
    <m/>
    <s v="Classe di rischio 5"/>
  </r>
  <r>
    <n v="348388"/>
    <x v="5"/>
    <x v="5"/>
    <x v="27"/>
    <n v="53850"/>
    <n v="108"/>
    <s v="053850_108"/>
    <s v="Discovery Day"/>
    <s v="Mai valutato"/>
    <m/>
    <s v="Vari (27/05/2025)"/>
    <n v="1083306291105"/>
    <n v="20250527"/>
    <s v="VV"/>
    <m/>
    <m/>
    <s v="A     - Avere"/>
    <n v="146073.12"/>
    <n v="117952.0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48387"/>
    <x v="7"/>
    <x v="7"/>
    <x v="27"/>
    <n v="53850"/>
    <n v="102"/>
    <s v="053850_102"/>
    <s v="Discovery Day"/>
    <s v="Mai valutato"/>
    <m/>
    <n v="202505278017019"/>
    <m/>
    <n v="20250527"/>
    <s v="F1 - Incasso assegno circolare altro intermediario"/>
    <m/>
    <m/>
    <s v="D     - Dare"/>
    <n v="55350"/>
    <n v="0"/>
    <n v="4070953"/>
    <s v="CSNDNC73R28A225H"/>
    <s v="CASANOVA DOMENICO"/>
    <s v="600 - Famiglie consumatrici"/>
    <m/>
    <s v="086 - ITALIA"/>
    <n v="1431"/>
    <m/>
    <m/>
    <m/>
    <m/>
    <m/>
    <m/>
    <m/>
    <n v="0"/>
    <n v="202505"/>
    <x v="5"/>
    <x v="2"/>
    <x v="1"/>
    <m/>
    <x v="0"/>
    <x v="0"/>
    <s v="999"/>
    <s v="600"/>
    <s v="600999"/>
    <s v="Classe di rischio 7"/>
    <m/>
    <s v="Classe di rischio 7"/>
  </r>
  <r>
    <n v="348386"/>
    <x v="4"/>
    <x v="4"/>
    <x v="27"/>
    <n v="53850"/>
    <n v="200"/>
    <s v="053850_200"/>
    <s v="Discovery Day"/>
    <s v="Mai valutato"/>
    <m/>
    <n v="202505278015142"/>
    <n v="2003300002517"/>
    <n v="20250527"/>
    <s v="48 - Bonifico in arrivo "/>
    <m/>
    <s v="086 - ITALIA"/>
    <s v="A     - Avere"/>
    <n v="914775.13"/>
    <n v="0"/>
    <n v="4808884"/>
    <n v="2094150683"/>
    <s v="DI GIAMPAOLO S.R.L."/>
    <s v="430 - Imprese produttive"/>
    <s v="433 - COMPLETAMENTO E FINITURA DI EDIFICI"/>
    <s v="086 - ITALIA"/>
    <n v="1767"/>
    <m/>
    <m/>
    <m/>
    <m/>
    <m/>
    <m/>
    <m/>
    <n v="0"/>
    <n v="202505"/>
    <x v="1"/>
    <x v="0"/>
    <x v="0"/>
    <m/>
    <x v="0"/>
    <x v="0"/>
    <s v="433"/>
    <s v="430"/>
    <s v="430433"/>
    <s v="Classe di rischio 3"/>
    <m/>
    <s v="Classe di rischio 3"/>
  </r>
  <r>
    <n v="348385"/>
    <x v="3"/>
    <x v="3"/>
    <x v="27"/>
    <n v="53850"/>
    <n v="175"/>
    <s v="053850_175"/>
    <s v="Discovery Day"/>
    <s v="Mai valutato"/>
    <m/>
    <s v="Vari (27/05/2025)"/>
    <n v="1753302203350"/>
    <n v="20250527"/>
    <s v="VV"/>
    <m/>
    <m/>
    <s v="A     - Avere"/>
    <n v="221700"/>
    <n v="0"/>
    <n v="4844007"/>
    <n v="1296320771"/>
    <s v="STELLA COSTRUZIONI S.R.L."/>
    <s v="430 - Imprese produttive"/>
    <s v="412 - COSTRUZIONE DI EDIFICI RESIDENZIALI E NON RESIDENZIALI"/>
    <s v="086 - ITALIA"/>
    <n v="936"/>
    <m/>
    <m/>
    <m/>
    <m/>
    <m/>
    <m/>
    <m/>
    <n v="0"/>
    <n v="202505"/>
    <x v="2"/>
    <x v="1"/>
    <x v="0"/>
    <m/>
    <x v="0"/>
    <x v="1"/>
    <s v="412"/>
    <s v="430"/>
    <s v="430412"/>
    <s v="Classe di rischio 3"/>
    <m/>
    <s v="Classe di rischio 3"/>
  </r>
  <r>
    <n v="348384"/>
    <x v="5"/>
    <x v="5"/>
    <x v="27"/>
    <n v="53850"/>
    <n v="148"/>
    <s v="053850_148"/>
    <s v="Discovery Day"/>
    <s v="Mai valutato"/>
    <m/>
    <n v="202505278017221"/>
    <n v="1483300010620"/>
    <n v="20250527"/>
    <s v="D1 - Versamento di contante "/>
    <m/>
    <m/>
    <s v="A     - Avere"/>
    <n v="27530"/>
    <n v="2753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5"/>
    <x v="1"/>
    <x v="0"/>
    <x v="0"/>
    <n v="4247284"/>
    <x v="1"/>
    <x v="0"/>
    <s v="477"/>
    <s v="615"/>
    <s v="615477"/>
    <s v="Classe di rischio 6"/>
    <m/>
    <s v="Classe di rischio 6"/>
  </r>
  <r>
    <n v="348383"/>
    <x v="4"/>
    <x v="4"/>
    <x v="27"/>
    <n v="53850"/>
    <n v="270"/>
    <s v="053850_270"/>
    <s v="Discovery Day"/>
    <s v="Mai valutato"/>
    <m/>
    <n v="202505278017439"/>
    <n v="2703300002366"/>
    <n v="20250527"/>
    <s v="54 - Incassi diversi"/>
    <m/>
    <m/>
    <s v="A     - Avere"/>
    <n v="200000"/>
    <n v="0"/>
    <n v="1679865"/>
    <s v="DGRGNN46L06L263T"/>
    <s v="DI GIROLAMO GIOVANNI"/>
    <s v="600 - Famiglie consumatrici"/>
    <m/>
    <s v="086 - ITALIA"/>
    <n v="1803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382"/>
    <x v="4"/>
    <x v="4"/>
    <x v="27"/>
    <n v="53850"/>
    <n v="187"/>
    <s v="053850_187"/>
    <s v="Discovery Day"/>
    <s v="Mai valutato"/>
    <m/>
    <s v="202505277500727L"/>
    <n v="1873300111323"/>
    <n v="20250527"/>
    <s v="SPECIAL"/>
    <m/>
    <m/>
    <s v="D     - Dare"/>
    <n v="4885.4399999999996"/>
    <n v="0"/>
    <n v="3185415"/>
    <s v="PTRNNA69R50L219J"/>
    <s v="PETRUZZI ANNA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381"/>
    <x v="4"/>
    <x v="4"/>
    <x v="27"/>
    <n v="53850"/>
    <n v="268"/>
    <s v="053850_268"/>
    <s v="Discovery Day"/>
    <s v="Mai valutato"/>
    <m/>
    <n v="202505278017416"/>
    <n v="2683300003796"/>
    <n v="20250527"/>
    <s v="54 - Incassi diversi"/>
    <m/>
    <m/>
    <s v="A     - Avere"/>
    <n v="160000"/>
    <n v="0"/>
    <n v="1644839"/>
    <s v="LCNLSN01B11F537Z"/>
    <s v="LUCIANO ALESSANDRO FRANCESCO"/>
    <s v="600 - Famiglie consumatrici"/>
    <m/>
    <s v="086 - ITALIA"/>
    <n v="183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80"/>
    <x v="2"/>
    <x v="2"/>
    <x v="27"/>
    <n v="53850"/>
    <n v="137"/>
    <s v="053850_137"/>
    <s v="Discovery Day"/>
    <s v="Mai valutato"/>
    <m/>
    <n v="202505278017205"/>
    <n v="1373300005994"/>
    <n v="20250527"/>
    <s v="AA - Bonifico da e per estero "/>
    <m/>
    <s v="261 - CROAZIA"/>
    <s v="D     - Dare"/>
    <n v="46876.5"/>
    <n v="0"/>
    <n v="3734872"/>
    <n v="1896670708"/>
    <s v="MOLISE SUINI SRL"/>
    <s v="430 - Imprese produttive"/>
    <s v="014 - ALLEVAMENTO DI ANIMALI"/>
    <s v="086 - ITALIA"/>
    <n v="1867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379"/>
    <x v="4"/>
    <x v="4"/>
    <x v="27"/>
    <n v="53850"/>
    <n v="116"/>
    <s v="053850_116"/>
    <s v="Discovery Day"/>
    <s v="Mai valutato"/>
    <m/>
    <n v="202505278015455"/>
    <n v="2173300010307"/>
    <n v="20250527"/>
    <s v="48 - Bonifico in arrivo "/>
    <m/>
    <s v="086 - ITALIA"/>
    <s v="A     - Avere"/>
    <n v="11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378"/>
    <x v="3"/>
    <x v="3"/>
    <x v="27"/>
    <n v="53850"/>
    <n v="270"/>
    <s v="053850_270"/>
    <s v="Discovery Day"/>
    <s v="Mai valutato"/>
    <m/>
    <n v="202505278017437"/>
    <n v="2703300000994"/>
    <n v="20250527"/>
    <s v="G7 - Versamento assegno circolare altro intermediario "/>
    <m/>
    <m/>
    <s v="A     - Avere"/>
    <n v="164600"/>
    <n v="0"/>
    <n v="1625788"/>
    <s v="DGRLNS95R13C349Q"/>
    <s v="DI GREGORIO ALFONSO JUNIOR OSCAR"/>
    <s v="600 - Famiglie consumatrici"/>
    <m/>
    <s v="086 - ITALIA"/>
    <n v="1822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48377"/>
    <x v="3"/>
    <x v="3"/>
    <x v="27"/>
    <n v="53850"/>
    <n v="103"/>
    <s v="053850_103"/>
    <s v="Discovery Day"/>
    <s v="Mai valutato"/>
    <m/>
    <s v="Vari (27/05/2025)"/>
    <n v="1033306979706"/>
    <n v="20250527"/>
    <s v="VV"/>
    <m/>
    <m/>
    <s v="A     - Avere"/>
    <n v="157000"/>
    <n v="0"/>
    <n v="4963589"/>
    <n v="8530200727"/>
    <s v="P.L.P. COSTRUZIONI S.R.L."/>
    <s v="430 - Imprese produttive"/>
    <s v="412 - COSTRUZIONE DI EDIFICI RESIDENZIALI E NON RESIDENZIALI"/>
    <s v="086 - ITALIA"/>
    <n v="1175"/>
    <m/>
    <m/>
    <m/>
    <m/>
    <m/>
    <m/>
    <m/>
    <n v="0"/>
    <n v="202505"/>
    <x v="2"/>
    <x v="1"/>
    <x v="0"/>
    <m/>
    <x v="0"/>
    <x v="1"/>
    <s v="412"/>
    <s v="430"/>
    <s v="430412"/>
    <s v="Classe di rischio 3"/>
    <m/>
    <s v="Classe di rischio 3"/>
  </r>
  <r>
    <n v="348376"/>
    <x v="4"/>
    <x v="4"/>
    <x v="27"/>
    <n v="53850"/>
    <n v="187"/>
    <s v="053850_187"/>
    <s v="Discovery Day"/>
    <s v="Mai valutato"/>
    <m/>
    <s v="202505277500727L"/>
    <n v="1873300111323"/>
    <n v="20250527"/>
    <s v="SPECIAL"/>
    <m/>
    <m/>
    <s v="D     - Dare"/>
    <n v="4885.4399999999996"/>
    <n v="0"/>
    <n v="3743562"/>
    <s v="RGNLCN60T21L049B"/>
    <s v="RAGNATELA LUCIANO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375"/>
    <x v="5"/>
    <x v="5"/>
    <x v="27"/>
    <n v="53850"/>
    <n v="102"/>
    <s v="053850_102"/>
    <s v="Discovery Day"/>
    <s v="Mai valutato"/>
    <m/>
    <n v="202505278016504"/>
    <n v="1023308722503"/>
    <n v="20250527"/>
    <s v="03 - Versamento contante cassa continua "/>
    <m/>
    <m/>
    <s v="A     - Avere"/>
    <n v="19630"/>
    <n v="196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374"/>
    <x v="4"/>
    <x v="4"/>
    <x v="27"/>
    <n v="53850"/>
    <n v="116"/>
    <s v="053850_116"/>
    <s v="Discovery Day"/>
    <s v="Mai valutato"/>
    <m/>
    <n v="202505278014986"/>
    <n v="2173300010307"/>
    <n v="20250527"/>
    <s v="48 - Bonifico in arrivo "/>
    <m/>
    <s v="086 - ITALIA"/>
    <s v="A     - Avere"/>
    <n v="29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373"/>
    <x v="5"/>
    <x v="5"/>
    <x v="27"/>
    <n v="53850"/>
    <n v="171"/>
    <s v="053850_171"/>
    <s v="Discovery Day"/>
    <s v="Mai valutato"/>
    <m/>
    <s v="Vari (27/05/2025)"/>
    <n v="1713305728950"/>
    <n v="20250527"/>
    <s v="03 - Versamento contante cassa continua "/>
    <m/>
    <m/>
    <s v="A     - Avere"/>
    <n v="189945"/>
    <n v="18994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372"/>
    <x v="5"/>
    <x v="5"/>
    <x v="27"/>
    <n v="53850"/>
    <n v="104"/>
    <s v="053850_104"/>
    <s v="Discovery Day"/>
    <s v="Mai valutato"/>
    <m/>
    <s v="Vari (27/05/2025)"/>
    <n v="1043309509217"/>
    <n v="20250527"/>
    <s v="03 - Versamento contante cassa continua "/>
    <m/>
    <m/>
    <s v="A     - Avere"/>
    <n v="70100"/>
    <n v="70100"/>
    <n v="4323562"/>
    <s v="LTTMNT80D67C983T"/>
    <s v="LOTITO MARIANTONELLA"/>
    <s v="615 - Altre famiglie produttrici"/>
    <s v="472 - COMMERCIO AL DETTAGLIO DI PRODOTTI ALIMENTARI, BEVANDE E TABACCO IN ESERCIZI SPECIALIZZATI"/>
    <s v="086 - ITALIA"/>
    <n v="1401"/>
    <m/>
    <m/>
    <m/>
    <m/>
    <m/>
    <m/>
    <m/>
    <n v="0"/>
    <n v="202505"/>
    <x v="1"/>
    <x v="0"/>
    <x v="0"/>
    <n v="4323562"/>
    <x v="1"/>
    <x v="0"/>
    <s v="999"/>
    <s v="615"/>
    <s v="615999"/>
    <m/>
    <s v="1"/>
    <s v="Classe di rischio 3"/>
  </r>
  <r>
    <n v="348371"/>
    <x v="5"/>
    <x v="5"/>
    <x v="27"/>
    <n v="53850"/>
    <n v="171"/>
    <s v="053850_171"/>
    <s v="Discovery Day"/>
    <s v="Mai valutato"/>
    <m/>
    <s v="Vari (27/05/2025)"/>
    <n v="1713302214147"/>
    <n v="20250527"/>
    <s v="03 - Versamento contante cassa continua "/>
    <m/>
    <m/>
    <s v="A     - Avere"/>
    <n v="44835"/>
    <n v="4483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370"/>
    <x v="4"/>
    <x v="4"/>
    <x v="27"/>
    <n v="53850"/>
    <n v="120"/>
    <s v="053850_120"/>
    <s v="Discovery Day"/>
    <s v="Mai valutato"/>
    <m/>
    <n v="202505278016206"/>
    <n v="1203300002401"/>
    <n v="20250527"/>
    <s v="48 - Bonifico in arrivo "/>
    <m/>
    <s v="086 - ITALIA"/>
    <s v="A     - Avere"/>
    <n v="2500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x v="1"/>
    <x v="0"/>
    <x v="0"/>
    <n v="613876"/>
    <x v="1"/>
    <x v="0"/>
    <s v="999"/>
    <s v="500"/>
    <s v="500999"/>
    <m/>
    <s v="1"/>
    <s v="Classe di rischio 3"/>
  </r>
  <r>
    <n v="348369"/>
    <x v="5"/>
    <x v="5"/>
    <x v="28"/>
    <n v="53850"/>
    <n v="118"/>
    <s v="053850_118"/>
    <s v="Discovery Day"/>
    <s v="Mai valutato"/>
    <m/>
    <n v="202505268013894"/>
    <n v="1183306281318"/>
    <n v="20250526"/>
    <s v="D1 - Versamento di contante "/>
    <m/>
    <m/>
    <s v="A     - Avere"/>
    <n v="26300"/>
    <n v="26300"/>
    <n v="4615625"/>
    <s v="LZZDRN84C50A662G"/>
    <s v="LOIZZO DORIAN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68"/>
    <x v="4"/>
    <x v="4"/>
    <x v="28"/>
    <n v="53850"/>
    <n v="102"/>
    <s v="053850_102"/>
    <s v="Discovery Day"/>
    <s v="Mai valutato"/>
    <m/>
    <s v="202505267434058L"/>
    <n v="1023308724410"/>
    <n v="20250526"/>
    <s v="SPECIAL"/>
    <m/>
    <m/>
    <s v="D     - Dare"/>
    <n v="2739.9"/>
    <n v="0"/>
    <n v="528970"/>
    <s v="LDCMRA31R70A225Y"/>
    <s v="LOIUDICE MARIA"/>
    <s v="600 - Famiglie consumatrici"/>
    <m/>
    <s v="086 - ITALIA"/>
    <n v="638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367"/>
    <x v="5"/>
    <x v="5"/>
    <x v="28"/>
    <n v="53850"/>
    <n v="268"/>
    <s v="053850_268"/>
    <s v="Discovery Day"/>
    <s v="Mai valutato"/>
    <m/>
    <s v="Vari (26/05/2025)"/>
    <n v="2683300010030"/>
    <n v="20250526"/>
    <s v="03 - Versamento contante cassa continua "/>
    <m/>
    <m/>
    <s v="A     - Avere"/>
    <n v="41055"/>
    <n v="4105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x v="1"/>
    <x v="0"/>
    <x v="0"/>
    <n v="4966939"/>
    <x v="1"/>
    <x v="0"/>
    <s v="999"/>
    <s v="615"/>
    <s v="615999"/>
    <m/>
    <s v="1"/>
    <s v="Classe di rischio 3"/>
  </r>
  <r>
    <n v="348366"/>
    <x v="4"/>
    <x v="4"/>
    <x v="28"/>
    <n v="53850"/>
    <n v="111"/>
    <s v="053850_111"/>
    <s v="Discovery Day"/>
    <s v="Mai valutato"/>
    <m/>
    <n v="202505268013858"/>
    <n v="1113302814198"/>
    <n v="20250526"/>
    <s v="SPECIAL"/>
    <m/>
    <m/>
    <s v="D     - Dare"/>
    <n v="11112.61"/>
    <n v="0"/>
    <n v="520760"/>
    <s v="PCANCL49A06E326T"/>
    <s v="PACE NICOLA"/>
    <s v="600 - Famiglie consumatrici"/>
    <m/>
    <s v="086 - ITALIA"/>
    <n v="445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365"/>
    <x v="4"/>
    <x v="4"/>
    <x v="28"/>
    <n v="53850"/>
    <n v="277"/>
    <s v="053850_277"/>
    <s v="Discovery Day"/>
    <s v="Mai valutato"/>
    <m/>
    <n v="202505268014273"/>
    <n v="2773300000981"/>
    <n v="20250526"/>
    <s v="SPECIAL"/>
    <m/>
    <m/>
    <s v="D     - Dare"/>
    <n v="8094.28"/>
    <n v="0"/>
    <n v="1676767"/>
    <s v="FBRLLN67M58A485O"/>
    <s v="FABRIZIO ELISA ELENA"/>
    <s v="600 - Famiglie consumatrici"/>
    <m/>
    <s v="086 - ITALIA"/>
    <n v="1790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8364"/>
    <x v="6"/>
    <x v="6"/>
    <x v="28"/>
    <n v="53850"/>
    <n v="141"/>
    <s v="053850_141"/>
    <s v="Discovery Day"/>
    <s v="Mai valutato"/>
    <m/>
    <n v="202505268011348"/>
    <n v="1413300003985"/>
    <n v="20250526"/>
    <s v="AA - Bonifico da e per estero "/>
    <m/>
    <s v="071 - SVIZZERA"/>
    <s v="D     - Dare"/>
    <n v="28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x v="1"/>
    <x v="0"/>
    <x v="0"/>
    <m/>
    <x v="0"/>
    <x v="0"/>
    <s v="931"/>
    <s v="430"/>
    <s v="430931"/>
    <s v="Classe di rischio 3"/>
    <m/>
    <s v="Classe di rischio 3"/>
  </r>
  <r>
    <n v="348363"/>
    <x v="4"/>
    <x v="4"/>
    <x v="28"/>
    <n v="53850"/>
    <n v="103"/>
    <s v="053850_103"/>
    <s v="Discovery Day"/>
    <s v="Mai valutato"/>
    <m/>
    <n v="202505268013774"/>
    <n v="1035500408029"/>
    <n v="20250526"/>
    <s v="BT - Rimborso su libretti a risparmio "/>
    <m/>
    <m/>
    <s v="D     - Dare"/>
    <n v="251379.54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5"/>
    <x v="4"/>
    <x v="1"/>
    <x v="0"/>
    <m/>
    <x v="0"/>
    <x v="0"/>
    <s v="477"/>
    <s v="615"/>
    <s v="615477"/>
    <s v="Classe di rischio 6"/>
    <m/>
    <s v="Classe di rischio 6"/>
  </r>
  <r>
    <n v="348362"/>
    <x v="4"/>
    <x v="4"/>
    <x v="28"/>
    <n v="53850"/>
    <n v="187"/>
    <s v="053850_187"/>
    <s v="Discovery Day"/>
    <s v="Mai valutato"/>
    <m/>
    <n v="202505268011589"/>
    <n v="999361870311"/>
    <n v="20250526"/>
    <s v="26 - Bonifico in partenza 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48361"/>
    <x v="4"/>
    <x v="4"/>
    <x v="28"/>
    <n v="53850"/>
    <n v="111"/>
    <s v="053850_111"/>
    <s v="Discovery Day"/>
    <s v="Mai valutato"/>
    <m/>
    <n v="202505268013858"/>
    <n v="1113302814198"/>
    <n v="20250526"/>
    <s v="SPECIAL"/>
    <m/>
    <m/>
    <s v="D     - Dare"/>
    <n v="11112.61"/>
    <n v="0"/>
    <n v="520852"/>
    <s v="LLCMRC56P64E326D"/>
    <s v="LOLAICO MARIA ARCANGELA"/>
    <s v="600 - Famiglie consumatrici"/>
    <m/>
    <s v="086 - ITALIA"/>
    <n v="445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360"/>
    <x v="5"/>
    <x v="5"/>
    <x v="28"/>
    <n v="53850"/>
    <n v="118"/>
    <s v="053850_118"/>
    <s v="Discovery Day"/>
    <s v="Mai valutato"/>
    <m/>
    <n v="202505268013894"/>
    <n v="1183306281318"/>
    <n v="20250526"/>
    <s v="D1 - Versamento di contante "/>
    <m/>
    <m/>
    <s v="A     - Avere"/>
    <n v="26300"/>
    <n v="26300"/>
    <n v="516605"/>
    <s v="FRRRCC79B23A662T"/>
    <s v="FERRI ROCCO"/>
    <s v="600 - Famiglie consumatrici"/>
    <m/>
    <s v="086 - ITALIA"/>
    <n v="724"/>
    <m/>
    <m/>
    <m/>
    <m/>
    <m/>
    <m/>
    <m/>
    <n v="0"/>
    <n v="202505"/>
    <x v="1"/>
    <x v="0"/>
    <x v="0"/>
    <n v="516605"/>
    <x v="1"/>
    <x v="0"/>
    <s v="999"/>
    <s v="600"/>
    <s v="600999"/>
    <s v="Classe di rischio 7"/>
    <m/>
    <s v="Classe di rischio 7"/>
  </r>
  <r>
    <n v="348359"/>
    <x v="4"/>
    <x v="4"/>
    <x v="28"/>
    <n v="53850"/>
    <n v="104"/>
    <s v="053850_104"/>
    <s v="Discovery Day"/>
    <s v="Mai valutato"/>
    <m/>
    <n v="202505268012099"/>
    <n v="1043301450145"/>
    <n v="20250526"/>
    <s v="48 - Bonifico in arrivo "/>
    <m/>
    <s v="086 - ITALIA"/>
    <s v="A     - Avere"/>
    <n v="827713.75"/>
    <n v="0"/>
    <n v="4903762"/>
    <n v="8138460723"/>
    <s v="CORBUILD SOCIETA' A RESPONSABILITA' LIMITATA"/>
    <s v="430 - Imprese produttive"/>
    <s v="412 - COSTRUZIONE DI EDIFICI RESIDENZIALI E NON RESIDENZIALI"/>
    <s v="086 - ITALIA"/>
    <n v="1696"/>
    <m/>
    <m/>
    <m/>
    <m/>
    <m/>
    <m/>
    <m/>
    <n v="0"/>
    <n v="202505"/>
    <x v="1"/>
    <x v="0"/>
    <x v="0"/>
    <m/>
    <x v="0"/>
    <x v="0"/>
    <s v="412"/>
    <s v="430"/>
    <s v="430412"/>
    <s v="Classe di rischio 3"/>
    <m/>
    <s v="Classe di rischio 3"/>
  </r>
  <r>
    <n v="348358"/>
    <x v="3"/>
    <x v="3"/>
    <x v="28"/>
    <n v="53850"/>
    <n v="116"/>
    <s v="053850_116"/>
    <s v="Discovery Day"/>
    <s v="Mai valutato"/>
    <m/>
    <s v="Vari (26/05/2025)"/>
    <n v="1163307623465"/>
    <n v="20250526"/>
    <s v="G1 - Versamento assegni tratti su altro intermediario "/>
    <m/>
    <m/>
    <s v="A     - Avere"/>
    <n v="100000"/>
    <n v="0"/>
    <n v="3738297"/>
    <n v="8684570727"/>
    <s v="NOVAGORA' S.R.L."/>
    <s v="430 - Imprese produttive"/>
    <s v="412 - COSTRUZIONE DI EDIFICI RESIDENZIALI E NON RESIDENZIALI"/>
    <s v="086 - ITALIA"/>
    <n v="739"/>
    <m/>
    <m/>
    <m/>
    <m/>
    <m/>
    <m/>
    <m/>
    <n v="0"/>
    <n v="202505"/>
    <x v="2"/>
    <x v="1"/>
    <x v="0"/>
    <m/>
    <x v="0"/>
    <x v="0"/>
    <s v="412"/>
    <s v="430"/>
    <s v="430412"/>
    <s v="Classe di rischio 3"/>
    <m/>
    <s v="Classe di rischio 3"/>
  </r>
  <r>
    <n v="348357"/>
    <x v="5"/>
    <x v="5"/>
    <x v="28"/>
    <n v="53850"/>
    <n v="279"/>
    <s v="053850_279"/>
    <s v="Discovery Day"/>
    <s v="Mai valutato"/>
    <m/>
    <n v="202505268014281"/>
    <n v="2793300011670"/>
    <n v="20250526"/>
    <s v="D1 - Versamento di contante "/>
    <m/>
    <m/>
    <s v="A     - Avere"/>
    <n v="20000"/>
    <n v="20000"/>
    <n v="1681366"/>
    <s v="FRRGTT97R50E372M"/>
    <s v="FERRARA GIUDITTA"/>
    <s v="600 - Famiglie consumatrici"/>
    <m/>
    <s v="086 - ITALIA"/>
    <n v="1854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356"/>
    <x v="5"/>
    <x v="5"/>
    <x v="28"/>
    <n v="53850"/>
    <n v="104"/>
    <s v="053850_104"/>
    <s v="Discovery Day"/>
    <s v="Mai valutato"/>
    <m/>
    <s v="Vari (26/05/2025)"/>
    <n v="1043309509217"/>
    <n v="20250526"/>
    <s v="03 - Versamento contante cassa continua "/>
    <m/>
    <m/>
    <s v="A     - Avere"/>
    <n v="50000"/>
    <n v="50000"/>
    <n v="4323562"/>
    <s v="LTTMNT80D67C983T"/>
    <s v="LOTITO MARIANTONELLA"/>
    <s v="615 - Altre famiglie produttrici"/>
    <s v="472 - COMMERCIO AL DETTAGLIO DI PRODOTTI ALIMENTARI, BEVANDE E TABACCO IN ESERCIZI SPECIALIZZATI"/>
    <s v="086 - ITALIA"/>
    <n v="1401"/>
    <m/>
    <m/>
    <m/>
    <m/>
    <m/>
    <m/>
    <m/>
    <n v="0"/>
    <n v="202505"/>
    <x v="1"/>
    <x v="0"/>
    <x v="0"/>
    <n v="4323562"/>
    <x v="1"/>
    <x v="0"/>
    <s v="999"/>
    <s v="615"/>
    <s v="615999"/>
    <m/>
    <s v="1"/>
    <s v="Classe di rischio 3"/>
  </r>
  <r>
    <n v="348355"/>
    <x v="5"/>
    <x v="5"/>
    <x v="28"/>
    <n v="53850"/>
    <n v="102"/>
    <s v="053850_102"/>
    <s v="Discovery Day"/>
    <s v="Mai valutato"/>
    <m/>
    <s v="Vari (26/05/2025)"/>
    <n v="1023300660520"/>
    <n v="20250526"/>
    <s v="VV"/>
    <m/>
    <m/>
    <s v="A     - Avere"/>
    <n v="87515"/>
    <n v="3966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5"/>
    <x v="4"/>
    <x v="1"/>
    <x v="0"/>
    <n v="66052"/>
    <x v="1"/>
    <x v="1"/>
    <s v="999"/>
    <s v="430"/>
    <s v="430999"/>
    <m/>
    <s v="1"/>
    <s v="Classe di rischio 1"/>
  </r>
  <r>
    <n v="348354"/>
    <x v="4"/>
    <x v="4"/>
    <x v="28"/>
    <n v="53850"/>
    <n v="200"/>
    <s v="053850_200"/>
    <s v="Discovery Day"/>
    <s v="Mai valutato"/>
    <m/>
    <n v="202505268012515"/>
    <n v="2003300003846"/>
    <n v="20250526"/>
    <s v="48 - Bonifico in arrivo "/>
    <m/>
    <s v="086 - ITALIA"/>
    <s v="A     - Ave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353"/>
    <x v="4"/>
    <x v="4"/>
    <x v="28"/>
    <n v="53850"/>
    <n v="200"/>
    <s v="053850_200"/>
    <s v="Discovery Day"/>
    <s v="Mai valutato"/>
    <m/>
    <n v="202505268012515"/>
    <n v="2003300003846"/>
    <n v="20250526"/>
    <s v="48 - Bonifico in arrivo "/>
    <m/>
    <s v="086 - ITALIA"/>
    <s v="A     - Ave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352"/>
    <x v="4"/>
    <x v="4"/>
    <x v="28"/>
    <n v="53850"/>
    <n v="200"/>
    <s v="053850_200"/>
    <s v="Discovery Day"/>
    <s v="Mai valutato"/>
    <m/>
    <n v="202505268014187"/>
    <n v="2003300003805"/>
    <n v="20250526"/>
    <s v="26 - Bonifico in partenza "/>
    <m/>
    <s v="086 - ITALIA"/>
    <s v="D     - Dare"/>
    <n v="250000"/>
    <n v="0"/>
    <n v="3738733"/>
    <s v="CFLNNT82B41A783T"/>
    <s v="CIFELLI ANTONIETTA"/>
    <s v="600 - Famiglie consumatrici"/>
    <m/>
    <s v="086 - ITALIA"/>
    <n v="1837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351"/>
    <x v="3"/>
    <x v="3"/>
    <x v="28"/>
    <n v="53850"/>
    <n v="103"/>
    <s v="053850_103"/>
    <s v="Discovery Day"/>
    <s v="Mai valutato"/>
    <m/>
    <n v="202505268013775"/>
    <n v="1033306986134"/>
    <n v="20250526"/>
    <s v="D1 - Versamento di contante "/>
    <m/>
    <m/>
    <s v="A     - Avere"/>
    <n v="251379.54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5"/>
    <x v="4"/>
    <x v="1"/>
    <x v="0"/>
    <m/>
    <x v="0"/>
    <x v="0"/>
    <s v="477"/>
    <s v="615"/>
    <s v="615477"/>
    <s v="Classe di rischio 6"/>
    <m/>
    <s v="Classe di rischio 6"/>
  </r>
  <r>
    <n v="348350"/>
    <x v="4"/>
    <x v="4"/>
    <x v="28"/>
    <n v="53850"/>
    <n v="109"/>
    <s v="053850_109"/>
    <s v="Discovery Day"/>
    <s v="Mai valutato"/>
    <m/>
    <n v="202505268011368"/>
    <n v="1093306672844"/>
    <n v="20250526"/>
    <s v="26 - Bonifico in partenza "/>
    <m/>
    <s v="086 - ITALIA"/>
    <s v="D     - Dare"/>
    <n v="7000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5"/>
    <x v="1"/>
    <x v="0"/>
    <x v="0"/>
    <n v="440311"/>
    <x v="1"/>
    <x v="0"/>
    <s v="451"/>
    <s v="430"/>
    <s v="430451"/>
    <s v="Classe di rischio 3"/>
    <m/>
    <s v="Classe di rischio 3"/>
  </r>
  <r>
    <n v="348349"/>
    <x v="2"/>
    <x v="2"/>
    <x v="28"/>
    <n v="53850"/>
    <n v="282"/>
    <s v="053850_282"/>
    <s v="Discovery Day"/>
    <s v="Mai valutato"/>
    <m/>
    <s v="202505267441634L"/>
    <n v="2823300001773"/>
    <n v="20250526"/>
    <s v="AA - Bonifico da e per estero "/>
    <m/>
    <s v="238 - ABU DHABI"/>
    <s v="A     - Avere"/>
    <n v="3000"/>
    <n v="0"/>
    <n v="1669726"/>
    <s v="CPRDNL87M08E435Y"/>
    <s v="CAPORALE DANILO"/>
    <s v="600 - Famiglie consumatrici"/>
    <m/>
    <s v="086 - ITALIA"/>
    <n v="1802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348"/>
    <x v="5"/>
    <x v="5"/>
    <x v="28"/>
    <n v="53850"/>
    <n v="196"/>
    <s v="053850_196"/>
    <s v="Discovery Day"/>
    <s v="Mai valutato"/>
    <m/>
    <s v="Vari (26/05/2025)"/>
    <n v="1963302353452"/>
    <n v="20250526"/>
    <s v="03 - Versamento contante cassa continua "/>
    <m/>
    <m/>
    <s v="A     - Avere"/>
    <n v="33950"/>
    <n v="33950"/>
    <n v="4084962"/>
    <s v="CLNMRA67T58C514L"/>
    <s v="COLONNA MARIA"/>
    <s v="614 - Artigiani"/>
    <s v="563 - BAR E ALTRI ESERCIZI SIMILI SENZA CUCINA"/>
    <s v="086 - ITALIA"/>
    <n v="1945"/>
    <m/>
    <m/>
    <m/>
    <m/>
    <m/>
    <m/>
    <m/>
    <n v="0"/>
    <n v="202505"/>
    <x v="1"/>
    <x v="0"/>
    <x v="0"/>
    <n v="4084962"/>
    <x v="1"/>
    <x v="0"/>
    <s v="999"/>
    <s v="614"/>
    <s v="614999"/>
    <m/>
    <s v="1"/>
    <s v="Classe di rischio 3"/>
  </r>
  <r>
    <n v="348347"/>
    <x v="5"/>
    <x v="5"/>
    <x v="28"/>
    <n v="53850"/>
    <n v="267"/>
    <s v="053850_267"/>
    <s v="Discovery Day"/>
    <s v="Mai valutato"/>
    <m/>
    <s v="Vari (26/05/2025)"/>
    <n v="2673300003600"/>
    <n v="20250526"/>
    <s v="VV"/>
    <m/>
    <m/>
    <s v="A     - Avere"/>
    <n v="98000"/>
    <n v="9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x v="1"/>
    <x v="0"/>
    <x v="0"/>
    <n v="1705101"/>
    <x v="1"/>
    <x v="1"/>
    <s v="999"/>
    <s v="492"/>
    <s v="492999"/>
    <m/>
    <s v="1"/>
    <s v="Classe di rischio 2"/>
  </r>
  <r>
    <n v="348346"/>
    <x v="5"/>
    <x v="5"/>
    <x v="28"/>
    <n v="53850"/>
    <n v="104"/>
    <s v="053850_104"/>
    <s v="Discovery Day"/>
    <s v="Mai valutato"/>
    <m/>
    <s v="Vari (26/05/2025)"/>
    <n v="1043309505529"/>
    <n v="20250526"/>
    <s v="VV"/>
    <m/>
    <m/>
    <s v="A     - Avere"/>
    <n v="115125"/>
    <n v="65125"/>
    <n v="4222821"/>
    <n v="6131230721"/>
    <s v="LA SFORNATA S.R.L."/>
    <s v="430 - Imprese produttive"/>
    <s v="107 - PRODUZIONE DI PRODOTTI DA FORNO E FARINACEI"/>
    <s v="086 - ITALIA"/>
    <n v="727"/>
    <m/>
    <m/>
    <m/>
    <m/>
    <m/>
    <m/>
    <m/>
    <n v="0"/>
    <n v="202505"/>
    <x v="0"/>
    <x v="0"/>
    <x v="0"/>
    <n v="4222821"/>
    <x v="1"/>
    <x v="1"/>
    <s v="999"/>
    <s v="430"/>
    <s v="430999"/>
    <m/>
    <s v="1"/>
    <s v="Classe di rischio 1"/>
  </r>
  <r>
    <n v="348345"/>
    <x v="5"/>
    <x v="5"/>
    <x v="28"/>
    <n v="53850"/>
    <n v="102"/>
    <s v="053850_102"/>
    <s v="Discovery Day"/>
    <s v="Mai valutato"/>
    <m/>
    <n v="202505268013084"/>
    <n v="1023308722503"/>
    <n v="20250526"/>
    <s v="03 - Versamento contante cassa continua "/>
    <m/>
    <m/>
    <s v="A     - Avere"/>
    <n v="23660"/>
    <n v="236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344"/>
    <x v="5"/>
    <x v="5"/>
    <x v="28"/>
    <n v="53850"/>
    <n v="114"/>
    <s v="053850_114"/>
    <s v="Discovery Day"/>
    <s v="Mai valutato"/>
    <m/>
    <s v="Vari (26/05/2025)"/>
    <n v="1143306280621"/>
    <n v="20250526"/>
    <s v="D1 - Versamento di contante "/>
    <m/>
    <m/>
    <s v="A     - Avere"/>
    <n v="72800"/>
    <n v="728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30"/>
    <s v="430477"/>
    <s v="Classe di rischio 3"/>
    <m/>
    <s v="Classe di rischio 3"/>
  </r>
  <r>
    <n v="348343"/>
    <x v="5"/>
    <x v="5"/>
    <x v="28"/>
    <n v="53850"/>
    <n v="182"/>
    <s v="053850_182"/>
    <s v="Discovery Day"/>
    <s v="Mai valutato"/>
    <m/>
    <s v="Vari (26/05/2025)"/>
    <n v="1823300169301"/>
    <n v="20250526"/>
    <s v="03 - Versamento contante cassa continua "/>
    <m/>
    <m/>
    <s v="A     - Avere"/>
    <n v="31745"/>
    <n v="3174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x v="1"/>
    <x v="0"/>
    <x v="0"/>
    <n v="4284957"/>
    <x v="1"/>
    <x v="0"/>
    <s v="920"/>
    <s v="615"/>
    <s v="615920"/>
    <s v="Classe di rischio 6"/>
    <m/>
    <s v="Classe di rischio 6"/>
  </r>
  <r>
    <n v="348342"/>
    <x v="3"/>
    <x v="3"/>
    <x v="28"/>
    <n v="53850"/>
    <n v="128"/>
    <s v="053850_128"/>
    <s v="Discovery Day"/>
    <s v="Mai valutato"/>
    <m/>
    <s v="Vari (26/05/2025)"/>
    <n v="1093306674353"/>
    <n v="20250526"/>
    <s v="VV"/>
    <m/>
    <m/>
    <s v="A     - Avere"/>
    <n v="139000"/>
    <n v="12500"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5"/>
    <x v="1"/>
    <x v="0"/>
    <x v="0"/>
    <n v="4916449"/>
    <x v="1"/>
    <x v="1"/>
    <s v="451"/>
    <s v="430"/>
    <s v="430451"/>
    <s v="Classe di rischio 3"/>
    <m/>
    <s v="Classe di rischio 3"/>
  </r>
  <r>
    <n v="348341"/>
    <x v="4"/>
    <x v="4"/>
    <x v="28"/>
    <n v="53850"/>
    <n v="200"/>
    <s v="053850_200"/>
    <s v="Discovery Day"/>
    <s v="Mai valutato"/>
    <m/>
    <n v="202505268014187"/>
    <n v="2003300003805"/>
    <n v="20250526"/>
    <s v="26 - Bonifico in partenza "/>
    <m/>
    <s v="086 - ITALIA"/>
    <s v="D     - Dare"/>
    <n v="250000"/>
    <n v="0"/>
    <n v="3738734"/>
    <s v="SPNMSM70B28G482T"/>
    <s v="SPINOZZI MASSIMILIANO"/>
    <s v="600 - Famiglie consumatrici"/>
    <m/>
    <s v="086 - ITALIA"/>
    <n v="1837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340"/>
    <x v="4"/>
    <x v="4"/>
    <x v="28"/>
    <n v="53850"/>
    <n v="120"/>
    <s v="053850_120"/>
    <s v="Discovery Day"/>
    <s v="Mai valutato"/>
    <m/>
    <n v="202505268011662"/>
    <n v="1203300002401"/>
    <n v="20250526"/>
    <s v="39 - Disposizione per emolumenti"/>
    <m/>
    <m/>
    <s v="D     - Dare"/>
    <n v="3208144.83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x v="1"/>
    <x v="0"/>
    <x v="0"/>
    <n v="613876"/>
    <x v="1"/>
    <x v="0"/>
    <s v="999"/>
    <s v="500"/>
    <s v="500999"/>
    <m/>
    <s v="1"/>
    <s v="Classe di rischio 3"/>
  </r>
  <r>
    <n v="348339"/>
    <x v="3"/>
    <x v="3"/>
    <x v="28"/>
    <n v="53850"/>
    <n v="104"/>
    <s v="053850_104"/>
    <s v="Discovery Day"/>
    <s v="Mai valutato"/>
    <m/>
    <s v="Vari (26/05/2025)"/>
    <n v="1043309505529"/>
    <n v="20250526"/>
    <s v="VV"/>
    <m/>
    <m/>
    <s v="A     - Avere"/>
    <n v="115125"/>
    <n v="65125"/>
    <n v="4222821"/>
    <n v="6131230721"/>
    <s v="LA SFORNATA S.R.L."/>
    <s v="430 - Imprese produttive"/>
    <s v="107 - PRODUZIONE DI PRODOTTI DA FORNO E FARINACEI"/>
    <s v="086 - ITALIA"/>
    <n v="727"/>
    <m/>
    <m/>
    <m/>
    <m/>
    <m/>
    <m/>
    <m/>
    <n v="0"/>
    <n v="202505"/>
    <x v="0"/>
    <x v="0"/>
    <x v="0"/>
    <n v="4222821"/>
    <x v="1"/>
    <x v="1"/>
    <s v="999"/>
    <s v="430"/>
    <s v="430999"/>
    <m/>
    <s v="1"/>
    <s v="Classe di rischio 1"/>
  </r>
  <r>
    <n v="348338"/>
    <x v="2"/>
    <x v="2"/>
    <x v="28"/>
    <n v="53850"/>
    <n v="282"/>
    <s v="053850_282"/>
    <s v="Discovery Day"/>
    <s v="Mai valutato"/>
    <m/>
    <s v="202505267441633L"/>
    <n v="2823300001773"/>
    <n v="20250526"/>
    <s v="AA - Bonifico da e per estero "/>
    <m/>
    <s v="238 - ABU DHABI"/>
    <s v="A     - Avere"/>
    <n v="3000"/>
    <n v="0"/>
    <n v="1669726"/>
    <s v="CPRDNL87M08E435Y"/>
    <s v="CAPORALE DANILO"/>
    <s v="600 - Famiglie consumatrici"/>
    <m/>
    <s v="086 - ITALIA"/>
    <n v="1802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337"/>
    <x v="4"/>
    <x v="4"/>
    <x v="28"/>
    <n v="53850"/>
    <n v="286"/>
    <s v="053850_286"/>
    <s v="Discovery Day"/>
    <s v="Mai valutato"/>
    <m/>
    <n v="202505268012474"/>
    <n v="2863300000284"/>
    <n v="20250526"/>
    <s v="48 - Bonifico in arrivo "/>
    <m/>
    <s v="086 - ITALIA"/>
    <s v="A     - Avere"/>
    <n v="1967111.99"/>
    <n v="0"/>
    <n v="1604848"/>
    <n v="80000480691"/>
    <s v="TRIBUNALE DI CHIETI"/>
    <s v="102 - Amministrazione Statale e Organi Costituzionali"/>
    <s v="842 - SERVIZI COLLETTIVI DELLE AMMINISTRAZIONI PUBBLICHE"/>
    <s v="086 - ITALIA"/>
    <n v="1935"/>
    <m/>
    <m/>
    <m/>
    <m/>
    <m/>
    <m/>
    <m/>
    <n v="0"/>
    <n v="202505"/>
    <x v="1"/>
    <x v="0"/>
    <x v="0"/>
    <m/>
    <x v="0"/>
    <x v="0"/>
    <s v="999"/>
    <s v="102"/>
    <s v="102999"/>
    <m/>
    <s v="1"/>
    <s v="Classe di rischio 0"/>
  </r>
  <r>
    <n v="348336"/>
    <x v="3"/>
    <x v="3"/>
    <x v="28"/>
    <n v="53850"/>
    <n v="161"/>
    <s v="053850_161"/>
    <s v="Discovery Day"/>
    <s v="Mai valutato"/>
    <m/>
    <s v="Vari (26/05/2025)"/>
    <n v="1613300029653"/>
    <n v="20250526"/>
    <s v="VV"/>
    <m/>
    <m/>
    <s v="A     - Avere"/>
    <n v="110891.36"/>
    <n v="52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x v="1"/>
    <x v="0"/>
    <x v="0"/>
    <n v="4088769"/>
    <x v="1"/>
    <x v="1"/>
    <s v="464"/>
    <s v="430"/>
    <s v="430464"/>
    <s v="Classe di rischio 4"/>
    <m/>
    <s v="Classe di rischio 4"/>
  </r>
  <r>
    <n v="348335"/>
    <x v="5"/>
    <x v="5"/>
    <x v="28"/>
    <n v="53850"/>
    <n v="116"/>
    <s v="053850_116"/>
    <s v="Discovery Day"/>
    <s v="Mai valutato"/>
    <m/>
    <n v="202505268013600"/>
    <n v="2343300010453"/>
    <n v="20250526"/>
    <s v="03 - Versamento contante cassa continua "/>
    <m/>
    <m/>
    <s v="A     - Avere"/>
    <n v="166465.5"/>
    <n v="166465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334"/>
    <x v="3"/>
    <x v="3"/>
    <x v="28"/>
    <n v="53850"/>
    <n v="116"/>
    <s v="053850_116"/>
    <s v="Discovery Day"/>
    <s v="Mai valutato"/>
    <m/>
    <n v="202505268013600"/>
    <n v="2343300010453"/>
    <n v="20250526"/>
    <s v="03 - Versamento contante cassa continua "/>
    <m/>
    <m/>
    <s v="A     - Avere"/>
    <n v="166465.5"/>
    <n v="166465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333"/>
    <x v="3"/>
    <x v="3"/>
    <x v="28"/>
    <n v="53850"/>
    <n v="267"/>
    <s v="053850_267"/>
    <s v="Discovery Day"/>
    <s v="Mai valutato"/>
    <m/>
    <s v="Vari (26/05/2025)"/>
    <n v="2673300003600"/>
    <n v="20250526"/>
    <s v="VV"/>
    <m/>
    <m/>
    <s v="A     - Avere"/>
    <n v="98000"/>
    <n v="97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x v="1"/>
    <x v="0"/>
    <x v="0"/>
    <n v="1705101"/>
    <x v="1"/>
    <x v="1"/>
    <s v="999"/>
    <s v="492"/>
    <s v="492999"/>
    <m/>
    <s v="1"/>
    <s v="Classe di rischio 2"/>
  </r>
  <r>
    <n v="348332"/>
    <x v="4"/>
    <x v="4"/>
    <x v="28"/>
    <n v="53850"/>
    <n v="187"/>
    <s v="053850_187"/>
    <s v="Discovery Day"/>
    <s v="Mai valutato"/>
    <m/>
    <n v="202505268011218"/>
    <n v="999361870311"/>
    <n v="20250526"/>
    <s v="39 - Disposizione per emolumenti"/>
    <m/>
    <m/>
    <s v="D     - Dare"/>
    <n v="1240852.879999999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48331"/>
    <x v="5"/>
    <x v="5"/>
    <x v="28"/>
    <n v="53850"/>
    <n v="103"/>
    <s v="053850_103"/>
    <s v="Discovery Day"/>
    <s v="Mai valutato"/>
    <m/>
    <s v="Vari (26/05/2025)"/>
    <n v="1033306985251"/>
    <n v="20250526"/>
    <s v="VV"/>
    <m/>
    <m/>
    <s v="A     - Avere"/>
    <n v="30200"/>
    <n v="24600"/>
    <n v="3715965"/>
    <s v="MSTGLN96S63A662V"/>
    <s v="MASTROGIACOMO GIULIANA"/>
    <s v="600 - Famiglie consumatrici"/>
    <m/>
    <s v="086 - ITALIA"/>
    <n v="1224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330"/>
    <x v="3"/>
    <x v="3"/>
    <x v="28"/>
    <n v="53850"/>
    <n v="204"/>
    <s v="053850_204"/>
    <s v="Discovery Day"/>
    <s v="Mai valutato"/>
    <m/>
    <n v="202505268014195"/>
    <n v="2043300012892"/>
    <n v="20250526"/>
    <s v="G7 - Versamento assegno circolare altro intermediario "/>
    <m/>
    <m/>
    <s v="A     - Avere"/>
    <n v="115000"/>
    <n v="0"/>
    <n v="4224840"/>
    <s v="DFBVCN54A21F498J"/>
    <s v="DI FABIO VINCENZO"/>
    <s v="600 - Famiglie consumatrici"/>
    <m/>
    <s v="086 - ITALIA"/>
    <n v="1843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329"/>
    <x v="3"/>
    <x v="3"/>
    <x v="28"/>
    <n v="53850"/>
    <n v="175"/>
    <s v="053850_175"/>
    <s v="Discovery Day"/>
    <s v="Mai valutato"/>
    <m/>
    <s v="Vari (26/05/2025)"/>
    <n v="1753302203127"/>
    <n v="20250526"/>
    <s v="VV"/>
    <m/>
    <m/>
    <s v="A     - Avere"/>
    <n v="107794.45"/>
    <n v="23340"/>
    <n v="4160138"/>
    <n v="484200779"/>
    <s v="DE.RA.DO. SRL"/>
    <s v="430 - Imprese produttive"/>
    <s v="031 - PESCA"/>
    <s v="086 - ITALIA"/>
    <n v="739"/>
    <m/>
    <m/>
    <m/>
    <m/>
    <m/>
    <m/>
    <m/>
    <n v="0"/>
    <n v="202505"/>
    <x v="2"/>
    <x v="1"/>
    <x v="0"/>
    <n v="4160138"/>
    <x v="1"/>
    <x v="1"/>
    <s v="999"/>
    <s v="430"/>
    <s v="430999"/>
    <m/>
    <s v="1"/>
    <s v="Classe di rischio 1"/>
  </r>
  <r>
    <n v="348328"/>
    <x v="5"/>
    <x v="5"/>
    <x v="28"/>
    <n v="53850"/>
    <n v="103"/>
    <s v="053850_103"/>
    <s v="Discovery Day"/>
    <s v="Mai valutato"/>
    <m/>
    <s v="Vari (26/05/2025)"/>
    <n v="1033306985251"/>
    <n v="20250526"/>
    <s v="VV"/>
    <m/>
    <m/>
    <s v="A     - Avere"/>
    <n v="30200"/>
    <n v="24600"/>
    <n v="4643512"/>
    <s v="CCLVCN93L17E155O"/>
    <s v="CIACIULLI VINCENZO"/>
    <s v="600 - Famiglie consumatrici"/>
    <m/>
    <s v="086 - ITALIA"/>
    <n v="1224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327"/>
    <x v="4"/>
    <x v="4"/>
    <x v="28"/>
    <n v="53850"/>
    <n v="277"/>
    <s v="053850_277"/>
    <s v="Discovery Day"/>
    <s v="Mai valutato"/>
    <m/>
    <n v="202505268014273"/>
    <n v="2773300000981"/>
    <n v="20250526"/>
    <s v="SPECIAL"/>
    <m/>
    <m/>
    <s v="D     - Dare"/>
    <n v="8094.28"/>
    <n v="0"/>
    <n v="1676766"/>
    <s v="BCCCMN59A17L218N"/>
    <s v="BOCCHINI CARMINE ANTONIO"/>
    <s v="600 - Famiglie consumatrici"/>
    <m/>
    <s v="086 - ITALIA"/>
    <n v="1790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8326"/>
    <x v="5"/>
    <x v="5"/>
    <x v="28"/>
    <n v="53850"/>
    <n v="279"/>
    <s v="053850_279"/>
    <s v="Discovery Day"/>
    <s v="Mai valutato"/>
    <m/>
    <n v="202505268014281"/>
    <n v="2793300011670"/>
    <n v="20250526"/>
    <s v="D1 - Versamento di contante "/>
    <m/>
    <m/>
    <s v="A     - Avere"/>
    <n v="20000"/>
    <n v="20000"/>
    <n v="3744863"/>
    <s v="CPLMNL92L25E372C"/>
    <s v="CUPAIOLO EMANUELE"/>
    <s v="600 - Famiglie consumatrici"/>
    <m/>
    <s v="086 - ITALIA"/>
    <n v="1854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325"/>
    <x v="4"/>
    <x v="4"/>
    <x v="29"/>
    <n v="53850"/>
    <n v="226"/>
    <s v="053850_226"/>
    <s v="Discovery Day"/>
    <s v="Mai valutato"/>
    <m/>
    <n v="202505268005859"/>
    <n v="2265500010051"/>
    <n v="20250526"/>
    <s v="BU - Deposito su libretti a risparmio "/>
    <m/>
    <m/>
    <s v="A     - Avere"/>
    <n v="151048"/>
    <n v="0"/>
    <n v="616022"/>
    <s v="LCNNCL57L02L328T"/>
    <s v="LOCONTE NICOLA"/>
    <s v="600 - Famiglie consumatrici"/>
    <m/>
    <s v="086 - ITALIA"/>
    <n v="1395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24"/>
    <x v="4"/>
    <x v="4"/>
    <x v="29"/>
    <n v="53850"/>
    <n v="114"/>
    <s v="053850_114"/>
    <s v="Discovery Day"/>
    <s v="Mai valutato"/>
    <m/>
    <n v="202505268005702"/>
    <n v="1143306278589"/>
    <n v="20250526"/>
    <s v="BF - Rimborso titoli e/o fondi comuni "/>
    <m/>
    <m/>
    <s v="A     - Avere"/>
    <n v="4027998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323"/>
    <x v="4"/>
    <x v="4"/>
    <x v="29"/>
    <n v="53850"/>
    <n v="103"/>
    <s v="053850_103"/>
    <s v="Discovery Day"/>
    <s v="Mai valutato"/>
    <m/>
    <n v="202505268005630"/>
    <n v="1035500408053"/>
    <n v="20250526"/>
    <s v="BF - Rimborso titoli e/o fondi comuni 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22"/>
    <x v="4"/>
    <x v="4"/>
    <x v="29"/>
    <n v="53850"/>
    <n v="103"/>
    <s v="053850_103"/>
    <s v="Discovery Day"/>
    <s v="Mai valutato"/>
    <m/>
    <n v="202505268005629"/>
    <n v="1035500408053"/>
    <n v="20250526"/>
    <s v="BU - Deposito su libretti a risparmio "/>
    <m/>
    <m/>
    <s v="A     - Avere"/>
    <n v="3020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21"/>
    <x v="4"/>
    <x v="4"/>
    <x v="29"/>
    <n v="53850"/>
    <n v="182"/>
    <s v="053850_182"/>
    <s v="Discovery Day"/>
    <s v="Mai valutato"/>
    <m/>
    <n v="202505268005801"/>
    <n v="1823300167713"/>
    <n v="20250526"/>
    <s v="BF - Rimborso titoli e/o fondi comuni "/>
    <m/>
    <m/>
    <s v="A     - Avere"/>
    <n v="302098"/>
    <n v="0"/>
    <n v="599131"/>
    <s v="BRNCST82R54L049U"/>
    <s v="BERNARDINI CRISTINA"/>
    <s v="600 - Famiglie consumatrici"/>
    <m/>
    <s v="086 - ITALIA"/>
    <n v="6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20"/>
    <x v="4"/>
    <x v="4"/>
    <x v="29"/>
    <n v="53850"/>
    <n v="273"/>
    <s v="053850_273"/>
    <s v="Discovery Day"/>
    <s v="Mai valutato"/>
    <m/>
    <n v="202505268005902"/>
    <n v="2733300002410"/>
    <n v="20250526"/>
    <s v="BF - Rimborso titoli e/o fondi comuni "/>
    <m/>
    <m/>
    <s v="A     - Avere"/>
    <n v="528675"/>
    <n v="0"/>
    <n v="1664632"/>
    <s v="TTVMRZ71E02E372N"/>
    <s v="OTTAVIANO MAURIZIO"/>
    <s v="600 - Famiglie consumatrici"/>
    <m/>
    <s v="086 - ITALIA"/>
    <n v="1844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319"/>
    <x v="4"/>
    <x v="4"/>
    <x v="29"/>
    <n v="53850"/>
    <n v="273"/>
    <s v="053850_273"/>
    <s v="Discovery Day"/>
    <s v="Mai valutato"/>
    <m/>
    <n v="202505268005902"/>
    <n v="2733300002410"/>
    <n v="20250526"/>
    <s v="BF - Rimborso titoli e/o fondi comuni "/>
    <m/>
    <m/>
    <s v="A     - Avere"/>
    <n v="528675"/>
    <n v="0"/>
    <n v="1673302"/>
    <s v="MNCDBR75E54F839T"/>
    <s v="MONACO DEBORA"/>
    <s v="600 - Famiglie consumatrici"/>
    <m/>
    <s v="086 - ITALIA"/>
    <n v="1844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318"/>
    <x v="4"/>
    <x v="4"/>
    <x v="29"/>
    <n v="53850"/>
    <n v="114"/>
    <s v="053850_114"/>
    <s v="Discovery Day"/>
    <s v="Mai valutato"/>
    <m/>
    <n v="202505268005702"/>
    <n v="1143306278589"/>
    <n v="20250526"/>
    <s v="BF - Rimborso titoli e/o fondi comuni "/>
    <m/>
    <m/>
    <s v="A     - Avere"/>
    <n v="4027998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317"/>
    <x v="4"/>
    <x v="4"/>
    <x v="29"/>
    <n v="53850"/>
    <n v="188"/>
    <s v="053850_188"/>
    <s v="Discovery Day"/>
    <s v="Mai valutato"/>
    <m/>
    <n v="202505268005825"/>
    <n v="1883300130370"/>
    <n v="20250526"/>
    <s v="BF - Rimborso titoli e/o fondi comuni "/>
    <m/>
    <m/>
    <s v="A     - Avere"/>
    <n v="503498"/>
    <n v="0"/>
    <n v="3007793"/>
    <s v="FRNGTT54P52A662P"/>
    <s v="FRANCIOSO GIUDITTA"/>
    <s v="615 - Altre famiglie produttrici"/>
    <s v="477 - COMMERCIO AL DETTAGLIO DI ALTRI PRODOTTI IN ESERCIZI SPECIALIZZATI"/>
    <s v="086 - ITALIA"/>
    <n v="637"/>
    <m/>
    <m/>
    <m/>
    <m/>
    <m/>
    <m/>
    <m/>
    <n v="0"/>
    <n v="202505"/>
    <x v="1"/>
    <x v="0"/>
    <x v="0"/>
    <m/>
    <x v="0"/>
    <x v="0"/>
    <s v="477"/>
    <s v="615"/>
    <s v="615477"/>
    <s v="Classe di rischio 6"/>
    <m/>
    <s v="Classe di rischio 6"/>
  </r>
  <r>
    <n v="348316"/>
    <x v="4"/>
    <x v="4"/>
    <x v="29"/>
    <n v="53850"/>
    <n v="182"/>
    <s v="053850_182"/>
    <s v="Discovery Day"/>
    <s v="Mai valutato"/>
    <m/>
    <n v="202505268005813"/>
    <n v="1825502404908"/>
    <n v="20250526"/>
    <s v="BU - Deposito su libretti a risparmio "/>
    <m/>
    <m/>
    <s v="A     - Avere"/>
    <n v="201398"/>
    <n v="0"/>
    <n v="3000573"/>
    <s v="PGNCNZ70A48L049Y"/>
    <s v="PIGNATELLI CINZIA"/>
    <s v="600 - Famiglie consumatrici"/>
    <m/>
    <s v="086 - ITALIA"/>
    <n v="67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15"/>
    <x v="4"/>
    <x v="4"/>
    <x v="29"/>
    <n v="53850"/>
    <n v="103"/>
    <s v="053850_103"/>
    <s v="Discovery Day"/>
    <s v="Mai valutato"/>
    <m/>
    <n v="202505268005603"/>
    <n v="1033301057030"/>
    <n v="20250526"/>
    <s v="BF - Rimborso titoli e/o fondi comuni "/>
    <m/>
    <m/>
    <s v="A     - Avere"/>
    <n v="402798"/>
    <n v="0"/>
    <n v="105703"/>
    <s v="CLSMHL58T07E155M"/>
    <s v="COLASANTI MICHELE"/>
    <s v="600 - Famiglie consumatrici"/>
    <m/>
    <s v="086 - ITALIA"/>
    <n v="1657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14"/>
    <x v="4"/>
    <x v="4"/>
    <x v="29"/>
    <n v="53850"/>
    <n v="182"/>
    <s v="053850_182"/>
    <s v="Discovery Day"/>
    <s v="Mai valutato"/>
    <m/>
    <n v="202505268005809"/>
    <n v="1825502403124"/>
    <n v="20250526"/>
    <s v="BU - Deposito su libretti a risparmio "/>
    <m/>
    <m/>
    <s v="A     - Avere"/>
    <n v="15104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13"/>
    <x v="4"/>
    <x v="4"/>
    <x v="29"/>
    <n v="53850"/>
    <n v="226"/>
    <s v="053850_226"/>
    <s v="Discovery Day"/>
    <s v="Mai valutato"/>
    <m/>
    <n v="202505268005859"/>
    <n v="2265500010051"/>
    <n v="20250526"/>
    <s v="BU - Deposito su libretti a risparmio "/>
    <m/>
    <m/>
    <s v="A     - Avere"/>
    <n v="151048"/>
    <n v="0"/>
    <n v="4503929"/>
    <s v="DRGSVN59H63L328P"/>
    <s v="DRAGONETTI SAVINA"/>
    <s v="600 - Famiglie consumatrici"/>
    <m/>
    <s v="086 - ITALIA"/>
    <n v="1395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12"/>
    <x v="4"/>
    <x v="4"/>
    <x v="29"/>
    <n v="53850"/>
    <n v="103"/>
    <s v="053850_103"/>
    <s v="Discovery Day"/>
    <s v="Mai valutato"/>
    <m/>
    <n v="202505268005627"/>
    <n v="1035500408053"/>
    <n v="20250526"/>
    <s v="BU - Deposito su libretti a risparmio "/>
    <m/>
    <m/>
    <s v="A     - Avere"/>
    <n v="249998"/>
    <n v="0"/>
    <n v="147133"/>
    <s v="DGSDNC47A04E155U"/>
    <s v="DIGIESI DOMENICO"/>
    <s v="600 - Famiglie consumatrici"/>
    <m/>
    <s v="086 - ITALIA"/>
    <n v="80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11"/>
    <x v="4"/>
    <x v="4"/>
    <x v="29"/>
    <n v="53850"/>
    <n v="182"/>
    <s v="053850_182"/>
    <s v="Discovery Day"/>
    <s v="Mai valutato"/>
    <m/>
    <n v="202505268005813"/>
    <n v="1825502404908"/>
    <n v="20250526"/>
    <s v="BU - Deposito su libretti a risparmio "/>
    <m/>
    <m/>
    <s v="A     - Avere"/>
    <n v="201398"/>
    <n v="0"/>
    <n v="3000579"/>
    <s v="PGNGDE68A07L049U"/>
    <s v="PIGNATELLI EGIDIO"/>
    <s v="600 - Famiglie consumatrici"/>
    <m/>
    <s v="086 - ITALIA"/>
    <n v="6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10"/>
    <x v="4"/>
    <x v="4"/>
    <x v="29"/>
    <n v="53850"/>
    <n v="182"/>
    <s v="053850_182"/>
    <s v="Discovery Day"/>
    <s v="Mai valutato"/>
    <m/>
    <n v="202505268005794"/>
    <n v="1823300017474"/>
    <n v="20250526"/>
    <s v="BF - Rimborso titoli e/o fondi comuni "/>
    <m/>
    <m/>
    <s v="A     - Avere"/>
    <n v="90629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09"/>
    <x v="4"/>
    <x v="4"/>
    <x v="29"/>
    <n v="53850"/>
    <n v="182"/>
    <s v="053850_182"/>
    <s v="Discovery Day"/>
    <s v="Mai valutato"/>
    <m/>
    <n v="202505238005231"/>
    <n v="1823300172332"/>
    <n v="20250523"/>
    <s v="48 - Bonifico in arrivo "/>
    <m/>
    <s v="086 - ITALIA"/>
    <s v="A     - Avere"/>
    <n v="223136.7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08"/>
    <x v="4"/>
    <x v="4"/>
    <x v="29"/>
    <n v="53850"/>
    <n v="102"/>
    <s v="053850_102"/>
    <s v="Discovery Day"/>
    <s v="Mai valutato"/>
    <m/>
    <n v="202505238004809"/>
    <n v="1023308726073"/>
    <n v="20250523"/>
    <s v="48 - Bonifico in arrivo "/>
    <m/>
    <s v="086 - ITALIA"/>
    <s v="A     - Avere"/>
    <n v="830379.9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x v="2"/>
    <x v="1"/>
    <x v="0"/>
    <m/>
    <x v="0"/>
    <x v="0"/>
    <s v="412"/>
    <s v="430"/>
    <s v="430412"/>
    <s v="Classe di rischio 3"/>
    <m/>
    <s v="Classe di rischio 3"/>
  </r>
  <r>
    <n v="348307"/>
    <x v="5"/>
    <x v="5"/>
    <x v="29"/>
    <n v="53850"/>
    <n v="189"/>
    <s v="053850_189"/>
    <s v="Discovery Day"/>
    <s v="Mai valutato"/>
    <m/>
    <n v="202505238006783"/>
    <n v="1893300023546"/>
    <n v="20250523"/>
    <s v="D1 - Versamento di contante "/>
    <m/>
    <m/>
    <s v="A     - Avere"/>
    <n v="54950"/>
    <n v="5495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5"/>
    <x v="1"/>
    <x v="0"/>
    <x v="0"/>
    <n v="3064562"/>
    <x v="1"/>
    <x v="0"/>
    <s v="999"/>
    <s v="615"/>
    <s v="615999"/>
    <m/>
    <s v="1"/>
    <s v="Classe di rischio 3"/>
  </r>
  <r>
    <n v="348306"/>
    <x v="3"/>
    <x v="3"/>
    <x v="29"/>
    <n v="53850"/>
    <n v="171"/>
    <s v="053850_171"/>
    <s v="Discovery Day"/>
    <s v="Mai valutato"/>
    <m/>
    <s v="Vari (23/05/2025)"/>
    <n v="1713305728950"/>
    <n v="20250523"/>
    <s v="03 - Versamento contante cassa continua "/>
    <m/>
    <m/>
    <s v="A     - Avere"/>
    <n v="407100.71"/>
    <n v="407100.7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305"/>
    <x v="4"/>
    <x v="4"/>
    <x v="29"/>
    <n v="53850"/>
    <n v="182"/>
    <s v="053850_182"/>
    <s v="Discovery Day"/>
    <s v="Mai valutato"/>
    <m/>
    <n v="202505238005231"/>
    <n v="1823300172332"/>
    <n v="20250523"/>
    <s v="48 - Bonifico in arrivo "/>
    <m/>
    <s v="086 - ITALIA"/>
    <s v="A     - Avere"/>
    <n v="223136.7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304"/>
    <x v="5"/>
    <x v="5"/>
    <x v="29"/>
    <n v="53850"/>
    <n v="171"/>
    <s v="053850_171"/>
    <s v="Discovery Day"/>
    <s v="Mai valutato"/>
    <m/>
    <s v="Vari (23/05/2025)"/>
    <n v="1713305728950"/>
    <n v="20250523"/>
    <s v="03 - Versamento contante cassa continua "/>
    <m/>
    <m/>
    <s v="A     - Avere"/>
    <n v="407100.71"/>
    <n v="407100.7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303"/>
    <x v="5"/>
    <x v="5"/>
    <x v="29"/>
    <n v="53850"/>
    <n v="120"/>
    <s v="053850_120"/>
    <s v="Discovery Day"/>
    <s v="Mai valutato"/>
    <m/>
    <s v="Vari (23/05/2025)"/>
    <n v="1203300001670"/>
    <n v="20250523"/>
    <s v="VV"/>
    <m/>
    <m/>
    <s v="A     - Avere"/>
    <n v="59435"/>
    <n v="57035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s v="086 - ITALIA"/>
    <n v="1640"/>
    <m/>
    <m/>
    <m/>
    <m/>
    <m/>
    <m/>
    <m/>
    <n v="0"/>
    <n v="202505"/>
    <x v="4"/>
    <x v="1"/>
    <x v="0"/>
    <n v="4510434"/>
    <x v="1"/>
    <x v="1"/>
    <s v="999"/>
    <s v="492"/>
    <s v="492999"/>
    <m/>
    <s v="1"/>
    <s v="Classe di rischio 2"/>
  </r>
  <r>
    <n v="348302"/>
    <x v="5"/>
    <x v="5"/>
    <x v="29"/>
    <n v="53850"/>
    <n v="171"/>
    <s v="053850_171"/>
    <s v="Discovery Day"/>
    <s v="Mai valutato"/>
    <m/>
    <s v="Vari (23/05/2025)"/>
    <n v="1713302214147"/>
    <n v="20250523"/>
    <s v="03 - Versamento contante cassa continua "/>
    <m/>
    <m/>
    <s v="A     - Avere"/>
    <n v="136923.22"/>
    <n v="136923.22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301"/>
    <x v="3"/>
    <x v="3"/>
    <x v="29"/>
    <n v="53850"/>
    <n v="171"/>
    <s v="053850_171"/>
    <s v="Discovery Day"/>
    <s v="Mai valutato"/>
    <m/>
    <s v="Vari (23/05/2025)"/>
    <n v="1713302214147"/>
    <n v="20250523"/>
    <s v="03 - Versamento contante cassa continua "/>
    <m/>
    <m/>
    <s v="A     - Avere"/>
    <n v="136923.22"/>
    <n v="136923.22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300"/>
    <x v="5"/>
    <x v="5"/>
    <x v="29"/>
    <n v="53850"/>
    <n v="129"/>
    <s v="053850_129"/>
    <s v="Discovery Day"/>
    <s v="Mai valutato"/>
    <m/>
    <n v="202505238006623"/>
    <n v="1293300000754"/>
    <n v="20250523"/>
    <s v="D1 - Versamento di contante "/>
    <m/>
    <m/>
    <s v="A     - Avere"/>
    <n v="16550"/>
    <n v="16550"/>
    <n v="4370923"/>
    <n v="2778200721"/>
    <s v="CASA DEL DETERSIVO DI BIANCO MARIA &amp; C. S.A.S."/>
    <s v="492 - Quasi societa' non finanziarie altre - Unita' o societa' con meno di 20 addetti"/>
    <s v="477 - COMMERCIO AL DETTAGLIO DI ALTRI PRODOTTI IN ESERCIZI SPECIALIZZATI"/>
    <s v="086 - ITALIA"/>
    <n v="1355"/>
    <m/>
    <m/>
    <m/>
    <m/>
    <m/>
    <m/>
    <m/>
    <n v="0"/>
    <n v="202505"/>
    <x v="4"/>
    <x v="1"/>
    <x v="0"/>
    <n v="4370923"/>
    <x v="1"/>
    <x v="0"/>
    <s v="477"/>
    <s v="492"/>
    <s v="492477"/>
    <s v="Classe di rischio 5"/>
    <m/>
    <s v="Classe di rischio 5"/>
  </r>
  <r>
    <n v="348299"/>
    <x v="4"/>
    <x v="4"/>
    <x v="29"/>
    <n v="53850"/>
    <n v="277"/>
    <s v="053850_277"/>
    <s v="Discovery Day"/>
    <s v="Mai valutato"/>
    <m/>
    <s v="202505237390665L"/>
    <n v="2773300001134"/>
    <n v="20250523"/>
    <s v="SPECIAL"/>
    <m/>
    <m/>
    <s v="D     - Dare"/>
    <n v="1646.54"/>
    <n v="0"/>
    <n v="1676787"/>
    <s v="PRSMNG69T52E435R"/>
    <s v="PERSICHITTI MARINA GABRIELLA"/>
    <s v="600 - Famiglie consumatrici"/>
    <m/>
    <s v="086 - ITALIA"/>
    <n v="1791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8298"/>
    <x v="4"/>
    <x v="4"/>
    <x v="29"/>
    <n v="53850"/>
    <n v="105"/>
    <s v="053850_105"/>
    <s v="Discovery Day"/>
    <s v="Mai valutato"/>
    <m/>
    <n v="202505238004934"/>
    <n v="1053306287087"/>
    <n v="20250523"/>
    <s v="48 - Bonifico in arrivo "/>
    <m/>
    <s v="086 - ITALIA"/>
    <s v="A     - Avere"/>
    <n v="231556.77"/>
    <n v="0"/>
    <n v="454750"/>
    <s v="MNCGNN73D20E038C"/>
    <s v="MANCINO GIOVANNI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97"/>
    <x v="4"/>
    <x v="4"/>
    <x v="29"/>
    <n v="53850"/>
    <n v="149"/>
    <s v="053850_149"/>
    <s v="Discovery Day"/>
    <s v="Mai valutato"/>
    <m/>
    <n v="202505238006665"/>
    <n v="1493303650760"/>
    <n v="20250523"/>
    <s v="SPECIAL"/>
    <m/>
    <m/>
    <s v="D     - Dare"/>
    <n v="134330.78"/>
    <n v="0"/>
    <n v="2003192"/>
    <s v="PTRGLD26S43Z326W"/>
    <s v="PETRUZZI GILDA"/>
    <s v="600 - Famiglie consumatrici"/>
    <m/>
    <s v="086 - ITALIA"/>
    <n v="1231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8296"/>
    <x v="4"/>
    <x v="4"/>
    <x v="29"/>
    <n v="53850"/>
    <n v="196"/>
    <s v="053850_196"/>
    <s v="Discovery Day"/>
    <s v="Mai valutato"/>
    <m/>
    <n v="202505238006368"/>
    <n v="1963302354092"/>
    <n v="20250523"/>
    <s v="13 - Addebito per estinzione assegno"/>
    <m/>
    <m/>
    <s v="D     - Dare"/>
    <n v="250000"/>
    <n v="0"/>
    <n v="4922081"/>
    <s v="RNLLGU45M03C514F"/>
    <s v="RINALDI LUIGI"/>
    <s v="600 - Famiglie consumatrici"/>
    <m/>
    <s v="086 - ITALIA"/>
    <n v="878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295"/>
    <x v="4"/>
    <x v="4"/>
    <x v="29"/>
    <n v="53850"/>
    <n v="187"/>
    <s v="053850_187"/>
    <s v="Discovery Day"/>
    <s v="Mai valutato"/>
    <m/>
    <n v="202505238004297"/>
    <n v="999361870311"/>
    <n v="20250523"/>
    <s v="26 - Bonifico in partenza 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48294"/>
    <x v="5"/>
    <x v="5"/>
    <x v="29"/>
    <n v="53850"/>
    <n v="161"/>
    <s v="053850_161"/>
    <s v="Discovery Day"/>
    <s v="Mai valutato"/>
    <m/>
    <s v="Vari (23/05/2025)"/>
    <n v="1613300031333"/>
    <n v="20250523"/>
    <s v="VV"/>
    <m/>
    <m/>
    <s v="A     - Avere"/>
    <n v="45500.4"/>
    <n v="41925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5"/>
    <x v="1"/>
    <x v="0"/>
    <x v="0"/>
    <n v="511904"/>
    <x v="1"/>
    <x v="1"/>
    <s v="999"/>
    <s v="615"/>
    <s v="615999"/>
    <m/>
    <s v="1"/>
    <s v="Classe di rischio 3"/>
  </r>
  <r>
    <n v="348293"/>
    <x v="4"/>
    <x v="4"/>
    <x v="29"/>
    <n v="53850"/>
    <n v="105"/>
    <s v="053850_105"/>
    <s v="Discovery Day"/>
    <s v="Mai valutato"/>
    <m/>
    <n v="202505238006528"/>
    <n v="1053306288710"/>
    <n v="20250523"/>
    <s v="54 - Incassi diversi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92"/>
    <x v="4"/>
    <x v="4"/>
    <x v="29"/>
    <n v="53850"/>
    <n v="171"/>
    <s v="053850_171"/>
    <s v="Discovery Day"/>
    <s v="Mai valutato"/>
    <m/>
    <n v="202505238005359"/>
    <n v="1713302214622"/>
    <n v="20250523"/>
    <s v="48 - Bonifico in arrivo "/>
    <m/>
    <s v="086 - ITALIA"/>
    <s v="A     - Avere"/>
    <n v="356502.93"/>
    <n v="0"/>
    <n v="4253879"/>
    <s v="DSNVCN58A24D969M"/>
    <s v="DE SANTIS VINCENZO"/>
    <s v="600 - Famiglie consumatrici"/>
    <m/>
    <s v="086 - ITALIA"/>
    <n v="815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291"/>
    <x v="3"/>
    <x v="3"/>
    <x v="29"/>
    <n v="53850"/>
    <n v="121"/>
    <s v="053850_121"/>
    <s v="Discovery Day"/>
    <s v="Mai valutato"/>
    <m/>
    <n v="202505238006602"/>
    <n v="1213300002971"/>
    <n v="20250523"/>
    <s v="G1 - Versamento assegni tratti su altro intermediario "/>
    <m/>
    <m/>
    <s v="A     - Avere"/>
    <n v="219000"/>
    <n v="0"/>
    <n v="4859756"/>
    <n v="7229510727"/>
    <s v="ORGANIZZAZIONE DI PRODUTTORI PUGLIAVIVA - SO"/>
    <s v="430 - Imprese produttive"/>
    <s v="016 - ATTIVITÀ DI SUPPORTO ALL'AGRICOLTURA E ATTIVITÀ SUCCESSIVE ALLA RACCOLTA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290"/>
    <x v="4"/>
    <x v="4"/>
    <x v="29"/>
    <n v="53850"/>
    <n v="196"/>
    <s v="053850_196"/>
    <s v="Discovery Day"/>
    <s v="Mai valutato"/>
    <m/>
    <n v="202505238006368"/>
    <n v="1963302354092"/>
    <n v="20250523"/>
    <s v="13 - Addebito per estinzione assegno"/>
    <m/>
    <m/>
    <s v="D     - Dare"/>
    <n v="250000"/>
    <n v="0"/>
    <n v="4922085"/>
    <s v="DMBVCN42M49L219U"/>
    <s v="D'AMBROSIO VINCENZINA"/>
    <s v="600 - Famiglie consumatrici"/>
    <m/>
    <s v="086 - ITALIA"/>
    <n v="878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289"/>
    <x v="3"/>
    <x v="3"/>
    <x v="29"/>
    <n v="53850"/>
    <n v="109"/>
    <s v="053850_109"/>
    <s v="Discovery Day"/>
    <s v="Mai valutato"/>
    <m/>
    <n v="202505238006556"/>
    <n v="1093306669450"/>
    <n v="20250523"/>
    <s v="G7 - Versamento assegno circolare altro intermediario "/>
    <m/>
    <m/>
    <s v="A     - Avere"/>
    <n v="130000"/>
    <n v="0"/>
    <n v="4139883"/>
    <n v="5699390729"/>
    <s v="COGNETTI S.A.S. DI FUSCO TERESA"/>
    <s v="492 - Quasi societa' non finanziarie altre - Unita' o societa' con meno di 20 addetti"/>
    <s v="561 - RISTORANTI E ATTIVITÀ DI RISTORAZIONE MOBILE"/>
    <s v="086 - ITALIA"/>
    <n v="502"/>
    <m/>
    <m/>
    <m/>
    <m/>
    <m/>
    <m/>
    <m/>
    <n v="0"/>
    <n v="202505"/>
    <x v="1"/>
    <x v="0"/>
    <x v="0"/>
    <n v="4139883"/>
    <x v="1"/>
    <x v="0"/>
    <s v="561"/>
    <s v="492"/>
    <s v="492561"/>
    <s v="Classe di rischio 1"/>
    <m/>
    <s v="Classe di rischio 1"/>
  </r>
  <r>
    <n v="348288"/>
    <x v="5"/>
    <x v="5"/>
    <x v="29"/>
    <n v="53850"/>
    <n v="134"/>
    <s v="053850_134"/>
    <s v="Discovery Day"/>
    <s v="Mai valutato"/>
    <m/>
    <n v="202505238006630"/>
    <n v="1343300002724"/>
    <n v="20250523"/>
    <s v="D1 - Versamento di contante "/>
    <m/>
    <m/>
    <s v="A     - Avere"/>
    <n v="35140"/>
    <n v="3514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5"/>
    <x v="4"/>
    <x v="1"/>
    <x v="0"/>
    <n v="4876967"/>
    <x v="1"/>
    <x v="0"/>
    <s v="999"/>
    <s v="615"/>
    <s v="615999"/>
    <m/>
    <s v="1"/>
    <s v="Classe di rischio 3"/>
  </r>
  <r>
    <n v="348287"/>
    <x v="5"/>
    <x v="5"/>
    <x v="29"/>
    <n v="53850"/>
    <n v="118"/>
    <s v="053850_118"/>
    <s v="Discovery Day"/>
    <s v="Mai valutato"/>
    <m/>
    <n v="202505238006593"/>
    <n v="1183306278320"/>
    <n v="20250523"/>
    <s v="D1 - Versamento di contante "/>
    <m/>
    <m/>
    <s v="A     - Avere"/>
    <n v="17500"/>
    <n v="17500"/>
    <n v="4375950"/>
    <s v="LROTRS78P64A225K"/>
    <s v="LORE TERESA"/>
    <s v="600 - Famiglie consumatrici"/>
    <m/>
    <s v="086 - ITALIA"/>
    <n v="724"/>
    <m/>
    <m/>
    <m/>
    <m/>
    <m/>
    <m/>
    <m/>
    <n v="0"/>
    <n v="202505"/>
    <x v="2"/>
    <x v="1"/>
    <x v="0"/>
    <n v="4375950"/>
    <x v="1"/>
    <x v="0"/>
    <s v="999"/>
    <s v="600"/>
    <s v="600999"/>
    <s v="Classe di rischio 7"/>
    <m/>
    <s v="Classe di rischio 7"/>
  </r>
  <r>
    <n v="348286"/>
    <x v="2"/>
    <x v="2"/>
    <x v="29"/>
    <n v="53850"/>
    <n v="109"/>
    <s v="053850_109"/>
    <s v="Discovery Day"/>
    <s v="Mai valutato"/>
    <m/>
    <s v="202505237391215L"/>
    <n v="1093306672844"/>
    <n v="20250523"/>
    <s v="AA - Bonifico da e per estero "/>
    <m/>
    <s v="012 - BULGARIA"/>
    <s v="D     - Dare"/>
    <n v="48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5"/>
    <x v="1"/>
    <x v="0"/>
    <x v="0"/>
    <n v="440311"/>
    <x v="1"/>
    <x v="0"/>
    <s v="451"/>
    <s v="430"/>
    <s v="430451"/>
    <s v="Classe di rischio 3"/>
    <m/>
    <s v="Classe di rischio 3"/>
  </r>
  <r>
    <n v="348285"/>
    <x v="6"/>
    <x v="6"/>
    <x v="29"/>
    <n v="53850"/>
    <n v="131"/>
    <s v="053850_131"/>
    <s v="Discovery Day"/>
    <s v="Mai valutato"/>
    <m/>
    <n v="202505238005502"/>
    <n v="1313300004533"/>
    <n v="20250523"/>
    <s v="AA - Bonifico da e per estero "/>
    <m/>
    <s v="071 - SVIZZERA"/>
    <s v="A     - Avere"/>
    <n v="42006.79"/>
    <n v="0"/>
    <n v="3739148"/>
    <s v="FRNDRS57D59Z131E"/>
    <s v="FERNANDEZ ESCOBAR DOLORES"/>
    <s v="600 - Famiglie consumatrici"/>
    <m/>
    <s v="086 - ITALIA"/>
    <m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284"/>
    <x v="3"/>
    <x v="3"/>
    <x v="29"/>
    <n v="53850"/>
    <n v="171"/>
    <s v="053850_171"/>
    <s v="Discovery Day"/>
    <s v="Mai valutato"/>
    <m/>
    <n v="202505238006731"/>
    <n v="1713302217289"/>
    <n v="20250523"/>
    <s v="G7 - Versamento assegno circolare altro intermediario "/>
    <m/>
    <m/>
    <s v="A     - Avere"/>
    <n v="416591"/>
    <n v="0"/>
    <n v="435630"/>
    <s v="TRNDMN49R07A893H"/>
    <s v="TARANTINO DAMIANO"/>
    <s v="600 - Famiglie consumatrici"/>
    <m/>
    <s v="086 - ITALIA"/>
    <n v="815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83"/>
    <x v="5"/>
    <x v="5"/>
    <x v="29"/>
    <n v="53850"/>
    <n v="287"/>
    <s v="053850_287"/>
    <s v="Discovery Day"/>
    <s v="Mai valutato"/>
    <m/>
    <s v="Vari (23/05/2025)"/>
    <n v="2873300001853"/>
    <n v="20250523"/>
    <s v="VV"/>
    <m/>
    <m/>
    <s v="A     - Avere"/>
    <n v="52869.98"/>
    <n v="3486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x v="0"/>
    <x v="0"/>
    <x v="0"/>
    <n v="3722213"/>
    <x v="1"/>
    <x v="1"/>
    <s v="463"/>
    <s v="430"/>
    <s v="430463"/>
    <s v="Classe di rischio 3"/>
    <m/>
    <s v="Classe di rischio 3"/>
  </r>
  <r>
    <n v="348282"/>
    <x v="4"/>
    <x v="4"/>
    <x v="29"/>
    <n v="53850"/>
    <n v="105"/>
    <s v="053850_105"/>
    <s v="Discovery Day"/>
    <s v="Mai valutato"/>
    <m/>
    <n v="202505238004934"/>
    <n v="1053306287087"/>
    <n v="20250523"/>
    <s v="48 - Bonifico in arrivo "/>
    <m/>
    <s v="086 - ITALIA"/>
    <s v="A     - Avere"/>
    <n v="231556.77"/>
    <n v="0"/>
    <n v="4328851"/>
    <s v="CLZVNC74H44C136X"/>
    <s v="COLIZZI VERONIC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81"/>
    <x v="5"/>
    <x v="5"/>
    <x v="29"/>
    <n v="53850"/>
    <n v="128"/>
    <s v="053850_128"/>
    <s v="Discovery Day"/>
    <s v="Mai valutato"/>
    <m/>
    <n v="202505238006622"/>
    <n v="1283300003941"/>
    <n v="20250523"/>
    <s v="D1 - Versamento di contante "/>
    <m/>
    <m/>
    <s v="A     - Avere"/>
    <n v="31050"/>
    <n v="3105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x v="1"/>
    <x v="0"/>
    <x v="0"/>
    <n v="4916499"/>
    <x v="1"/>
    <x v="0"/>
    <s v="999"/>
    <s v="615"/>
    <s v="615999"/>
    <m/>
    <s v="1"/>
    <s v="Classe di rischio 3"/>
  </r>
  <r>
    <n v="348280"/>
    <x v="6"/>
    <x v="6"/>
    <x v="29"/>
    <n v="53850"/>
    <n v="131"/>
    <s v="053850_131"/>
    <s v="Discovery Day"/>
    <s v="Mai valutato"/>
    <m/>
    <n v="202505238005502"/>
    <n v="1313300004533"/>
    <n v="20250523"/>
    <s v="AA - Bonifico da e per estero "/>
    <m/>
    <s v="071 - SVIZZERA"/>
    <s v="A     - Avere"/>
    <n v="42006.79"/>
    <n v="0"/>
    <n v="3739153"/>
    <s v="MRACMN64P17H831I"/>
    <s v="MARE CARMINE DONATO"/>
    <s v="600 - Famiglie consumatrici"/>
    <m/>
    <s v="086 - ITALIA"/>
    <m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279"/>
    <x v="4"/>
    <x v="4"/>
    <x v="29"/>
    <n v="53850"/>
    <n v="175"/>
    <s v="053850_175"/>
    <s v="Discovery Day"/>
    <s v="Mai valutato"/>
    <m/>
    <n v="202505238006747"/>
    <n v="1753302205383"/>
    <n v="20250523"/>
    <s v="26 - Bonifico in partenza "/>
    <m/>
    <s v="086 - ITALIA"/>
    <s v="D     - Dare"/>
    <n v="309500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78"/>
    <x v="3"/>
    <x v="3"/>
    <x v="29"/>
    <n v="53850"/>
    <n v="128"/>
    <s v="053850_128"/>
    <s v="Discovery Day"/>
    <s v="Mai valutato"/>
    <m/>
    <s v="Vari (23/05/2025)"/>
    <n v="1093306674353"/>
    <n v="20250523"/>
    <s v="VV"/>
    <m/>
    <m/>
    <s v="A     - Avere"/>
    <n v="102870"/>
    <n v="20000"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5"/>
    <x v="1"/>
    <x v="0"/>
    <x v="0"/>
    <n v="4916449"/>
    <x v="1"/>
    <x v="1"/>
    <s v="451"/>
    <s v="430"/>
    <s v="430451"/>
    <s v="Classe di rischio 3"/>
    <m/>
    <s v="Classe di rischio 3"/>
  </r>
  <r>
    <n v="348277"/>
    <x v="5"/>
    <x v="5"/>
    <x v="29"/>
    <n v="53850"/>
    <n v="118"/>
    <s v="053850_118"/>
    <s v="Discovery Day"/>
    <s v="Mai valutato"/>
    <m/>
    <n v="202505238006593"/>
    <n v="1183306278320"/>
    <n v="20250523"/>
    <s v="D1 - Versamento di contante "/>
    <m/>
    <m/>
    <s v="A     - Avere"/>
    <n v="17500"/>
    <n v="17500"/>
    <n v="4225014"/>
    <s v="CLAMHL78P18A225V"/>
    <s v="CALIA MICHELE"/>
    <s v="600 - Famiglie consumatrici"/>
    <m/>
    <s v="086 - ITALIA"/>
    <n v="72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76"/>
    <x v="5"/>
    <x v="5"/>
    <x v="29"/>
    <n v="53850"/>
    <n v="108"/>
    <s v="053850_108"/>
    <s v="Discovery Day"/>
    <s v="Mai valutato"/>
    <m/>
    <s v="Vari (23/05/2025)"/>
    <n v="1083305200700"/>
    <n v="20250523"/>
    <s v="VV"/>
    <m/>
    <m/>
    <s v="A     - Avere"/>
    <n v="38304.730000000003"/>
    <n v="2871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5"/>
    <x v="0"/>
    <x v="0"/>
    <x v="0"/>
    <n v="520070"/>
    <x v="1"/>
    <x v="1"/>
    <s v="464"/>
    <s v="430"/>
    <s v="430464"/>
    <s v="Classe di rischio 4"/>
    <m/>
    <s v="Classe di rischio 4"/>
  </r>
  <r>
    <n v="348275"/>
    <x v="4"/>
    <x v="4"/>
    <x v="29"/>
    <n v="53850"/>
    <n v="277"/>
    <s v="053850_277"/>
    <s v="Discovery Day"/>
    <s v="Mai valutato"/>
    <m/>
    <s v="202505237390665L"/>
    <n v="2773300001134"/>
    <n v="20250523"/>
    <s v="SPECIAL"/>
    <m/>
    <m/>
    <s v="D     - Dare"/>
    <n v="1646.54"/>
    <n v="0"/>
    <n v="1677157"/>
    <s v="PRSDDR35E69L218N"/>
    <s v="PRESENZA DESIDERIA"/>
    <s v="600 - Famiglie consumatrici"/>
    <m/>
    <s v="086 - ITALIA"/>
    <m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8274"/>
    <x v="5"/>
    <x v="5"/>
    <x v="29"/>
    <n v="53850"/>
    <n v="174"/>
    <s v="053850_174"/>
    <s v="Discovery Day"/>
    <s v="Mai valutato"/>
    <m/>
    <s v="Vari (23/05/2025)"/>
    <n v="1743302879903"/>
    <n v="20250523"/>
    <s v="VV"/>
    <m/>
    <m/>
    <s v="A     - Avere"/>
    <n v="56153.19"/>
    <n v="5300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5"/>
    <x v="0"/>
    <x v="0"/>
    <x v="0"/>
    <n v="4928259"/>
    <x v="1"/>
    <x v="1"/>
    <s v="463"/>
    <s v="430"/>
    <s v="430463"/>
    <s v="Classe di rischio 3"/>
    <m/>
    <s v="Classe di rischio 3"/>
  </r>
  <r>
    <n v="348273"/>
    <x v="4"/>
    <x v="4"/>
    <x v="30"/>
    <n v="53850"/>
    <n v="108"/>
    <s v="053850_108"/>
    <s v="Discovery Day"/>
    <s v="Mai valutato"/>
    <m/>
    <n v="202505238002919"/>
    <n v="1085500039514"/>
    <n v="20250523"/>
    <s v="BT - Rimborso su libretti a risparmio "/>
    <m/>
    <m/>
    <s v="D     - Dare"/>
    <n v="196048.72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72"/>
    <x v="4"/>
    <x v="4"/>
    <x v="30"/>
    <n v="53850"/>
    <n v="108"/>
    <s v="053850_108"/>
    <s v="Discovery Day"/>
    <s v="Mai valutato"/>
    <m/>
    <n v="202505238002919"/>
    <n v="1085500039514"/>
    <n v="20250523"/>
    <s v="BT - Rimborso su libretti a risparmio "/>
    <m/>
    <m/>
    <s v="D     - Dare"/>
    <n v="196048.72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71"/>
    <x v="5"/>
    <x v="5"/>
    <x v="30"/>
    <n v="53850"/>
    <n v="108"/>
    <s v="053850_108"/>
    <s v="Discovery Day"/>
    <s v="Mai valutato"/>
    <m/>
    <s v="Vari (22/05/2025)"/>
    <n v="1083306291105"/>
    <n v="20250522"/>
    <s v="VV"/>
    <m/>
    <m/>
    <s v="A     - Avere"/>
    <n v="51942.51"/>
    <n v="37450.40000000000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48270"/>
    <x v="5"/>
    <x v="5"/>
    <x v="30"/>
    <n v="53850"/>
    <n v="156"/>
    <s v="053850_156"/>
    <s v="Discovery Day"/>
    <s v="Mai valutato"/>
    <m/>
    <n v="202505228003648"/>
    <n v="1923300181861"/>
    <n v="20250522"/>
    <s v="D1 - Versamento di contante "/>
    <m/>
    <m/>
    <s v="A     - Avere"/>
    <n v="27500"/>
    <n v="27500"/>
    <n v="3001368"/>
    <s v="DSNFNC37D24I954R"/>
    <s v="DISANTO FRANCESCO"/>
    <s v="600 - Famiglie consumatrici"/>
    <m/>
    <s v="086 - ITALIA"/>
    <n v="880"/>
    <m/>
    <m/>
    <m/>
    <m/>
    <m/>
    <m/>
    <m/>
    <n v="0"/>
    <n v="202505"/>
    <x v="4"/>
    <x v="1"/>
    <x v="0"/>
    <n v="3001368"/>
    <x v="1"/>
    <x v="0"/>
    <s v="999"/>
    <s v="600"/>
    <s v="600999"/>
    <s v="Classe di rischio 7"/>
    <m/>
    <s v="Classe di rischio 7"/>
  </r>
  <r>
    <n v="348269"/>
    <x v="4"/>
    <x v="4"/>
    <x v="30"/>
    <n v="53850"/>
    <n v="169"/>
    <s v="053850_169"/>
    <s v="Discovery Day"/>
    <s v="Mai valutato"/>
    <m/>
    <n v="202505228003684"/>
    <n v="1693305416200"/>
    <n v="20250522"/>
    <s v="BA - Vendita a prodotti titoli e diritti d'opzione"/>
    <m/>
    <m/>
    <s v="A     - Avere"/>
    <n v="310000"/>
    <n v="0"/>
    <n v="541618"/>
    <s v="CRCFNC38E24L328Y"/>
    <s v="CURCI FRANCESCO"/>
    <s v="600 - Famiglie consumatrici"/>
    <m/>
    <s v="086 - ITALIA"/>
    <n v="1352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68"/>
    <x v="5"/>
    <x v="5"/>
    <x v="30"/>
    <n v="53850"/>
    <n v="137"/>
    <s v="053850_137"/>
    <s v="Discovery Day"/>
    <s v="Mai valutato"/>
    <m/>
    <n v="202505228003605"/>
    <n v="1373304102703"/>
    <n v="20250522"/>
    <s v="D1 - Versamento di contante "/>
    <m/>
    <m/>
    <s v="A     - Avere"/>
    <n v="27000"/>
    <n v="27000"/>
    <n v="1001333"/>
    <s v="CSTFBR63M04B519K"/>
    <s v="CASTIGLIONE FILIBERTO"/>
    <s v="615 - Altre famiglie produttrici"/>
    <s v="477 - COMMERCIO AL DETTAGLIO DI ALTRI PRODOTTI IN ESERCIZI SPECIALIZZATI"/>
    <s v="086 - ITALIA"/>
    <n v="1867"/>
    <m/>
    <m/>
    <m/>
    <m/>
    <m/>
    <m/>
    <m/>
    <n v="0"/>
    <n v="202505"/>
    <x v="1"/>
    <x v="0"/>
    <x v="0"/>
    <n v="1001333"/>
    <x v="1"/>
    <x v="0"/>
    <s v="477"/>
    <s v="615"/>
    <s v="615477"/>
    <s v="Classe di rischio 6"/>
    <m/>
    <s v="Classe di rischio 6"/>
  </r>
  <r>
    <n v="348267"/>
    <x v="2"/>
    <x v="2"/>
    <x v="30"/>
    <n v="53850"/>
    <n v="173"/>
    <s v="053850_173"/>
    <s v="Discovery Day"/>
    <s v="Mai valutato"/>
    <m/>
    <s v="202505227343428L"/>
    <n v="1733302704312"/>
    <n v="20250522"/>
    <s v="AA - Bonifico da e per estero "/>
    <m/>
    <s v="012 - BULGARIA"/>
    <s v="A     - Avere"/>
    <n v="1641.6"/>
    <n v="0"/>
    <n v="4386378"/>
    <s v="NGLDNT52B02A055H"/>
    <s v="ANGIULI DONATO"/>
    <s v="614 - Artigiani"/>
    <s v="110 - INDUSTRIA DELLE BEVANDE"/>
    <s v="086 - ITALIA"/>
    <n v="1530"/>
    <m/>
    <m/>
    <m/>
    <m/>
    <m/>
    <m/>
    <m/>
    <n v="0"/>
    <n v="202505"/>
    <x v="1"/>
    <x v="0"/>
    <x v="0"/>
    <n v="4386378"/>
    <x v="1"/>
    <x v="0"/>
    <s v="999"/>
    <s v="614"/>
    <s v="614999"/>
    <m/>
    <s v="1"/>
    <s v="Classe di rischio 3"/>
  </r>
  <r>
    <n v="348266"/>
    <x v="6"/>
    <x v="6"/>
    <x v="30"/>
    <n v="53850"/>
    <n v="175"/>
    <s v="053850_175"/>
    <s v="Discovery Day"/>
    <s v="Mai valutato"/>
    <m/>
    <n v="202505228002785"/>
    <n v="1753302203813"/>
    <n v="20250522"/>
    <s v="AA - Bonifico da e per estero "/>
    <m/>
    <s v="103 - HONG KONG"/>
    <s v="D     - Dare"/>
    <n v="139939.23000000001"/>
    <n v="0"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265"/>
    <x v="7"/>
    <x v="7"/>
    <x v="30"/>
    <n v="53850"/>
    <n v="154"/>
    <s v="053850_154"/>
    <s v="Discovery Day"/>
    <s v="Mai valutato"/>
    <m/>
    <n v="202505228003645"/>
    <m/>
    <n v="20250522"/>
    <s v="F1 - Incasso assegno circolare altro intermediario"/>
    <m/>
    <m/>
    <s v="D     - Dare"/>
    <n v="117404.4"/>
    <n v="0"/>
    <n v="4837667"/>
    <s v="TRAFRZ65A01G023D"/>
    <s v="AUTUORI FABRIZIO"/>
    <s v="600 - Famiglie consumatrici"/>
    <m/>
    <s v="086 - ITALIA"/>
    <m/>
    <m/>
    <m/>
    <m/>
    <m/>
    <m/>
    <m/>
    <m/>
    <n v="0"/>
    <n v="202505"/>
    <x v="1"/>
    <x v="0"/>
    <x v="1"/>
    <m/>
    <x v="0"/>
    <x v="0"/>
    <s v="999"/>
    <s v="600"/>
    <s v="600999"/>
    <s v="Classe di rischio 7"/>
    <m/>
    <s v="Classe di rischio 7"/>
  </r>
  <r>
    <n v="348264"/>
    <x v="6"/>
    <x v="6"/>
    <x v="30"/>
    <n v="53850"/>
    <n v="161"/>
    <s v="053850_161"/>
    <s v="Discovery Day"/>
    <s v="Mai valutato"/>
    <m/>
    <n v="202505228002778"/>
    <n v="1613300031507"/>
    <n v="20250522"/>
    <s v="AA - Bonifico da e per estero "/>
    <m/>
    <s v="103 - HONG KONG"/>
    <s v="D     - Dare"/>
    <n v="34358.129999999997"/>
    <n v="0"/>
    <n v="4604262"/>
    <s v="PZZNTN80R28A662J"/>
    <s v="PIZZI ANTONIO"/>
    <s v="615 - Altre famiglie produttrici"/>
    <s v="479 - COMMERCIO AL DETTAGLIO AL DI FUORI DI NEGOZI, BANCHI E MERCATI"/>
    <s v="086 - ITALIA"/>
    <n v="1118"/>
    <m/>
    <m/>
    <m/>
    <m/>
    <m/>
    <m/>
    <m/>
    <n v="0"/>
    <n v="202505"/>
    <x v="1"/>
    <x v="0"/>
    <x v="0"/>
    <m/>
    <x v="0"/>
    <x v="0"/>
    <s v="999"/>
    <s v="615"/>
    <s v="615999"/>
    <m/>
    <s v="1"/>
    <s v="Classe di rischio 3"/>
  </r>
  <r>
    <n v="348263"/>
    <x v="4"/>
    <x v="4"/>
    <x v="30"/>
    <n v="53850"/>
    <n v="114"/>
    <s v="053850_114"/>
    <s v="Discovery Day"/>
    <s v="Mai valutato"/>
    <m/>
    <n v="202505228003525"/>
    <n v="1143306280045"/>
    <n v="20250522"/>
    <s v="SPECIAL"/>
    <m/>
    <m/>
    <s v="D     - Dare"/>
    <n v="88763.05"/>
    <n v="0"/>
    <n v="4440994"/>
    <s v="CRCNTN51H05D643K"/>
    <s v="CORCETTI ANTONIO"/>
    <s v="600 - Famiglie consumatrici"/>
    <m/>
    <s v="086 - ITALIA"/>
    <n v="907"/>
    <m/>
    <m/>
    <m/>
    <m/>
    <m/>
    <m/>
    <m/>
    <n v="0"/>
    <n v="202505"/>
    <x v="4"/>
    <x v="1"/>
    <x v="0"/>
    <m/>
    <x v="0"/>
    <x v="1"/>
    <s v="999"/>
    <s v="600"/>
    <s v="600999"/>
    <s v="Classe di rischio 7"/>
    <m/>
    <s v="Classe di rischio 7"/>
  </r>
  <r>
    <n v="348262"/>
    <x v="2"/>
    <x v="2"/>
    <x v="30"/>
    <n v="53850"/>
    <n v="261"/>
    <s v="053850_261"/>
    <s v="Discovery Day"/>
    <s v="Mai valutato"/>
    <m/>
    <s v="202505227343997L"/>
    <n v="2613300001265"/>
    <n v="20250522"/>
    <s v="AA - Bonifico da e per estero "/>
    <m/>
    <s v="091 - PRINCIPATO DI MONACO"/>
    <s v="A     - Avere"/>
    <n v="1200.5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261"/>
    <x v="6"/>
    <x v="6"/>
    <x v="30"/>
    <n v="53850"/>
    <n v="141"/>
    <s v="053850_141"/>
    <s v="Discovery Day"/>
    <s v="Mai valutato"/>
    <m/>
    <n v="202505228001380"/>
    <n v="1413300003985"/>
    <n v="20250522"/>
    <s v="AA - Bonifico da e per estero "/>
    <m/>
    <s v="071 - SVIZZERA"/>
    <s v="D     - Dare"/>
    <n v="34989.089999999997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x v="1"/>
    <x v="0"/>
    <x v="0"/>
    <m/>
    <x v="0"/>
    <x v="0"/>
    <s v="931"/>
    <s v="430"/>
    <s v="430931"/>
    <s v="Classe di rischio 3"/>
    <m/>
    <s v="Classe di rischio 3"/>
  </r>
  <r>
    <n v="348260"/>
    <x v="3"/>
    <x v="3"/>
    <x v="30"/>
    <n v="53850"/>
    <n v="106"/>
    <s v="053850_106"/>
    <s v="Discovery Day"/>
    <s v="Mai valutato"/>
    <m/>
    <n v="202505228003468"/>
    <n v="1063302769017"/>
    <n v="20250522"/>
    <s v="G7 - Versamento assegno circolare altro intermediario "/>
    <m/>
    <m/>
    <s v="A     - Avere"/>
    <n v="200000"/>
    <n v="0"/>
    <n v="4178244"/>
    <n v="5966130725"/>
    <s v="S.A.P. COSTRUZIONI SRL"/>
    <s v="430 - Imprese produttive"/>
    <s v="412 - COSTRUZIONE DI EDIFICI RESIDENZIALI E NON RESIDENZIALI"/>
    <s v="086 - ITALIA"/>
    <n v="727"/>
    <m/>
    <m/>
    <m/>
    <m/>
    <m/>
    <m/>
    <m/>
    <n v="0"/>
    <n v="202505"/>
    <x v="2"/>
    <x v="1"/>
    <x v="0"/>
    <m/>
    <x v="0"/>
    <x v="0"/>
    <s v="412"/>
    <s v="430"/>
    <s v="430412"/>
    <s v="Classe di rischio 3"/>
    <m/>
    <s v="Classe di rischio 3"/>
  </r>
  <r>
    <n v="348259"/>
    <x v="2"/>
    <x v="2"/>
    <x v="30"/>
    <n v="53850"/>
    <n v="189"/>
    <s v="053850_189"/>
    <s v="Discovery Day"/>
    <s v="Mai valutato"/>
    <m/>
    <n v="202505228001235"/>
    <n v="1893300039198"/>
    <n v="20250522"/>
    <s v="AA - Bonifico da e per estero "/>
    <m/>
    <s v="012 - BULGARIA"/>
    <s v="D     - Dare"/>
    <n v="52800"/>
    <n v="0"/>
    <n v="4946691"/>
    <n v="3168470734"/>
    <s v="I DUE MARI - SOCIETA' COOPERATIVA"/>
    <s v="430 - Imprese produttive"/>
    <s v="032 - ACQUACOLTURA"/>
    <s v="086 - ITALIA"/>
    <n v="1381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258"/>
    <x v="2"/>
    <x v="2"/>
    <x v="30"/>
    <n v="53850"/>
    <n v="116"/>
    <s v="053850_116"/>
    <s v="Discovery Day"/>
    <s v="Mai valutato"/>
    <m/>
    <s v="202505227344075L"/>
    <n v="1423300308490"/>
    <n v="20250522"/>
    <s v="AA - Bonifico da e per estero "/>
    <m/>
    <s v="012 - BULGARIA"/>
    <s v="A     - Avere"/>
    <n v="1865"/>
    <n v="0"/>
    <n v="4793312"/>
    <n v="2314700747"/>
    <s v="HOLLY TOUR S.R.L."/>
    <s v="430 - Imprese produttive"/>
    <s v="791 - ATTIVITÀ DELLE AGENZIE DI VIAGGIO E DEI TOUR OPERATOR"/>
    <s v="086 - ITALIA"/>
    <n v="417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257"/>
    <x v="5"/>
    <x v="5"/>
    <x v="30"/>
    <n v="53850"/>
    <n v="116"/>
    <s v="053850_116"/>
    <s v="Discovery Day"/>
    <s v="Mai valutato"/>
    <m/>
    <n v="202505228003321"/>
    <n v="2343300010453"/>
    <n v="20250522"/>
    <s v="03 - Versamento contante cassa continua "/>
    <m/>
    <m/>
    <s v="A     - Avere"/>
    <n v="55211.8"/>
    <n v="55211.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256"/>
    <x v="2"/>
    <x v="2"/>
    <x v="30"/>
    <n v="53850"/>
    <n v="187"/>
    <s v="053850_187"/>
    <s v="Discovery Day"/>
    <s v="Mai valutato"/>
    <m/>
    <n v="202505228002422"/>
    <n v="1873300102696"/>
    <n v="20250522"/>
    <s v="AA - Bonifico da e per estero "/>
    <m/>
    <s v="012 - BULGARIA"/>
    <s v="A     - Avere"/>
    <n v="5028.63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5"/>
    <x v="1"/>
    <x v="0"/>
    <x v="0"/>
    <m/>
    <x v="0"/>
    <x v="0"/>
    <s v="463"/>
    <s v="430"/>
    <s v="430463"/>
    <s v="Classe di rischio 3"/>
    <m/>
    <s v="Classe di rischio 3"/>
  </r>
  <r>
    <n v="348255"/>
    <x v="11"/>
    <x v="11"/>
    <x v="30"/>
    <n v="53850"/>
    <n v="156"/>
    <s v="053850_156"/>
    <s v="Discovery Day"/>
    <s v="Mai valutato"/>
    <m/>
    <n v="202505228003649"/>
    <n v="1825500227410"/>
    <n v="20250522"/>
    <s v="BT - Rimborso su libretti a risparmio "/>
    <m/>
    <m/>
    <s v="D     - Dare"/>
    <n v="27500"/>
    <n v="27500"/>
    <n v="3001368"/>
    <s v="DSNFNC37D24I954R"/>
    <s v="DISANTO FRANCESCO"/>
    <s v="600 - Famiglie consumatrici"/>
    <m/>
    <s v="086 - ITALIA"/>
    <n v="880"/>
    <m/>
    <m/>
    <m/>
    <m/>
    <m/>
    <m/>
    <m/>
    <n v="0"/>
    <n v="202505"/>
    <x v="4"/>
    <x v="1"/>
    <x v="1"/>
    <n v="3001368"/>
    <x v="1"/>
    <x v="0"/>
    <s v="999"/>
    <s v="600"/>
    <s v="600999"/>
    <s v="Classe di rischio 7"/>
    <m/>
    <s v="Classe di rischio 7"/>
  </r>
  <r>
    <n v="348254"/>
    <x v="4"/>
    <x v="4"/>
    <x v="30"/>
    <n v="53850"/>
    <n v="114"/>
    <s v="053850_114"/>
    <s v="Discovery Day"/>
    <s v="Mai valutato"/>
    <m/>
    <n v="202505228003525"/>
    <n v="1143306280045"/>
    <n v="20250522"/>
    <s v="SPECIAL"/>
    <m/>
    <m/>
    <s v="D     - Dare"/>
    <n v="88763.05"/>
    <n v="0"/>
    <n v="4440996"/>
    <s v="TTDMLS55R48D643W"/>
    <s v="ATTADEMO MARIA LUISA"/>
    <s v="600 - Famiglie consumatrici"/>
    <m/>
    <s v="086 - ITALIA"/>
    <n v="642"/>
    <m/>
    <m/>
    <m/>
    <m/>
    <m/>
    <m/>
    <m/>
    <n v="0"/>
    <n v="202505"/>
    <x v="1"/>
    <x v="0"/>
    <x v="0"/>
    <m/>
    <x v="0"/>
    <x v="1"/>
    <s v="999"/>
    <s v="600"/>
    <s v="600999"/>
    <s v="Classe di rischio 7"/>
    <m/>
    <s v="Classe di rischio 7"/>
  </r>
  <r>
    <n v="348253"/>
    <x v="5"/>
    <x v="5"/>
    <x v="30"/>
    <n v="53850"/>
    <n v="102"/>
    <s v="053850_102"/>
    <s v="Discovery Day"/>
    <s v="Mai valutato"/>
    <m/>
    <s v="Vari (22/05/2025)"/>
    <n v="1023308722503"/>
    <n v="20250522"/>
    <s v="03 - Versamento contante cassa continua "/>
    <m/>
    <m/>
    <s v="A     - Avere"/>
    <n v="70570"/>
    <n v="705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252"/>
    <x v="2"/>
    <x v="2"/>
    <x v="30"/>
    <n v="53850"/>
    <n v="129"/>
    <s v="053850_129"/>
    <s v="Discovery Day"/>
    <s v="Mai valutato"/>
    <m/>
    <s v="202505227343980L"/>
    <n v="1293300002811"/>
    <n v="20250522"/>
    <s v="AA - Bonifico da e per estero "/>
    <m/>
    <s v="261 - CROAZIA"/>
    <s v="A     - Avere"/>
    <n v="3000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251"/>
    <x v="5"/>
    <x v="5"/>
    <x v="30"/>
    <n v="53850"/>
    <n v="156"/>
    <s v="053850_156"/>
    <s v="Discovery Day"/>
    <s v="Mai valutato"/>
    <m/>
    <n v="202505228003648"/>
    <n v="1923300181861"/>
    <n v="20250522"/>
    <s v="D1 - Versamento di contante "/>
    <m/>
    <m/>
    <s v="A     - Avere"/>
    <n v="27500"/>
    <n v="27500"/>
    <n v="3001369"/>
    <s v="SLRNNT44B59I954J"/>
    <s v="SALERNO ANTONIETTA"/>
    <s v="600 - Famiglie consumatrici"/>
    <m/>
    <s v="086 - ITALIA"/>
    <n v="481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250"/>
    <x v="4"/>
    <x v="4"/>
    <x v="30"/>
    <n v="53850"/>
    <n v="169"/>
    <s v="053850_169"/>
    <s v="Discovery Day"/>
    <s v="Mai valutato"/>
    <m/>
    <n v="202505228003684"/>
    <n v="1693305416200"/>
    <n v="20250522"/>
    <s v="BA - Vendita a prodotti titoli e diritti d'opzione"/>
    <m/>
    <m/>
    <s v="A     - Avere"/>
    <n v="310000"/>
    <n v="0"/>
    <n v="541619"/>
    <s v="PSQCCT46D64L328Z"/>
    <s v="PASQUADIBISCEGLIE CONCETTA"/>
    <s v="600 - Famiglie consumatrici"/>
    <m/>
    <s v="086 - ITALIA"/>
    <n v="1352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49"/>
    <x v="6"/>
    <x v="6"/>
    <x v="30"/>
    <n v="53850"/>
    <n v="148"/>
    <s v="053850_148"/>
    <s v="Discovery Day"/>
    <s v="Mai valutato"/>
    <m/>
    <n v="202505228002777"/>
    <n v="1483300003872"/>
    <n v="20250522"/>
    <s v="AA - Bonifico da e per estero "/>
    <m/>
    <s v="103 - HONG KONG"/>
    <s v="A     - Avere"/>
    <n v="19180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248"/>
    <x v="5"/>
    <x v="5"/>
    <x v="30"/>
    <n v="53850"/>
    <n v="268"/>
    <s v="053850_268"/>
    <s v="Discovery Day"/>
    <s v="Mai valutato"/>
    <m/>
    <s v="Vari (22/05/2025)"/>
    <n v="2683300006744"/>
    <n v="20250522"/>
    <s v="03 - Versamento contante cassa continua "/>
    <m/>
    <m/>
    <s v="A     - Avere"/>
    <n v="29550"/>
    <n v="29550"/>
    <n v="1705200"/>
    <s v="DVDFLC64P63F537P"/>
    <s v="DAVID FELICIA"/>
    <s v="615 - Altre famiglie produttrici"/>
    <s v="477 - COMMERCIO AL DETTAGLIO DI ALTRI PRODOTTI IN ESERCIZI SPECIALIZZATI"/>
    <s v="086 - ITALIA"/>
    <n v="1757"/>
    <m/>
    <m/>
    <m/>
    <m/>
    <m/>
    <m/>
    <m/>
    <n v="0"/>
    <n v="202505"/>
    <x v="1"/>
    <x v="0"/>
    <x v="0"/>
    <n v="1705200"/>
    <x v="1"/>
    <x v="0"/>
    <s v="477"/>
    <s v="615"/>
    <s v="615477"/>
    <s v="Classe di rischio 6"/>
    <m/>
    <s v="Classe di rischio 6"/>
  </r>
  <r>
    <n v="348247"/>
    <x v="2"/>
    <x v="2"/>
    <x v="30"/>
    <n v="53850"/>
    <n v="266"/>
    <s v="053850_266"/>
    <s v="Discovery Day"/>
    <s v="Mai valutato"/>
    <m/>
    <n v="202505228002722"/>
    <n v="2663300000387"/>
    <n v="20250522"/>
    <s v="AA - Bonifico da e per estero "/>
    <m/>
    <s v="012 - BULGARIA"/>
    <s v="A     - Avere"/>
    <n v="8000"/>
    <n v="0"/>
    <n v="1633798"/>
    <s v="RMOFNC71T10G722S"/>
    <s v="ROMEO FRANCESCO"/>
    <s v="600 - Famiglie consumatrici"/>
    <m/>
    <s v="086 - ITALIA"/>
    <n v="1799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46"/>
    <x v="4"/>
    <x v="4"/>
    <x v="30"/>
    <n v="53850"/>
    <n v="114"/>
    <s v="053850_114"/>
    <s v="Discovery Day"/>
    <s v="Mai valutato"/>
    <m/>
    <n v="202505228003518"/>
    <n v="1143306282512"/>
    <n v="20250522"/>
    <s v="SPECIAL"/>
    <m/>
    <m/>
    <s v="D     - Dare"/>
    <n v="664672.81999999995"/>
    <n v="0"/>
    <n v="4969914"/>
    <n v="3855320713"/>
    <s v="FALLIMENTO AGRICOLA ZAPPONETA S.R.L."/>
    <s v="430 - Imprese produttive"/>
    <s v="011 - COLTIVAZIONE DI COLTURE AGRICOLE NON PERMANENTI"/>
    <s v="086 - ITALIA"/>
    <n v="519"/>
    <m/>
    <m/>
    <m/>
    <m/>
    <m/>
    <m/>
    <m/>
    <n v="0"/>
    <n v="202505"/>
    <x v="1"/>
    <x v="0"/>
    <x v="0"/>
    <m/>
    <x v="0"/>
    <x v="1"/>
    <s v="999"/>
    <s v="430"/>
    <s v="430999"/>
    <m/>
    <s v="1"/>
    <s v="Classe di rischio 1"/>
  </r>
  <r>
    <n v="348245"/>
    <x v="4"/>
    <x v="4"/>
    <x v="30"/>
    <n v="53850"/>
    <n v="104"/>
    <s v="053850_104"/>
    <s v="Discovery Day"/>
    <s v="Mai valutato"/>
    <m/>
    <n v="202505228001924"/>
    <n v="1043301449156"/>
    <n v="20250522"/>
    <s v="48 - Bonifico in arrivo "/>
    <m/>
    <s v="086 - ITALIA"/>
    <s v="A     - Ave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244"/>
    <x v="4"/>
    <x v="4"/>
    <x v="30"/>
    <n v="53850"/>
    <n v="104"/>
    <s v="053850_104"/>
    <s v="Discovery Day"/>
    <s v="Mai valutato"/>
    <m/>
    <n v="202505228002767"/>
    <n v="1043301449156"/>
    <n v="20250522"/>
    <s v="15 - Rimborso finanziamenti "/>
    <m/>
    <m/>
    <s v="D     - Dare"/>
    <n v="3500000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243"/>
    <x v="3"/>
    <x v="3"/>
    <x v="30"/>
    <n v="53850"/>
    <n v="102"/>
    <s v="053850_102"/>
    <s v="Discovery Day"/>
    <s v="Mai valutato"/>
    <m/>
    <s v="Vari (22/05/2025)"/>
    <n v="1023308722503"/>
    <n v="20250522"/>
    <s v="03 - Versamento contante cassa continua "/>
    <m/>
    <m/>
    <s v="A     - Avere"/>
    <n v="70570"/>
    <n v="705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242"/>
    <x v="2"/>
    <x v="2"/>
    <x v="30"/>
    <n v="53850"/>
    <n v="105"/>
    <s v="053850_105"/>
    <s v="Discovery Day"/>
    <s v="Mai valutato"/>
    <m/>
    <s v="202505227344015L"/>
    <n v="1053306295089"/>
    <n v="20250522"/>
    <s v="AA - Bonifico da e per estero "/>
    <m/>
    <s v="012 - BULGARIA"/>
    <s v="A     - Avere"/>
    <n v="1845.33"/>
    <n v="0"/>
    <n v="3716148"/>
    <n v="6264740728"/>
    <s v="ZEROTF S.R.L."/>
    <s v="430 - Imprese produttive"/>
    <s v="467 - COMMERCIO ALL'INGROSSO SPECIALIZZATO DI ALTRI PRODOTTI"/>
    <s v="086 - ITALIA"/>
    <n v="462"/>
    <m/>
    <m/>
    <m/>
    <m/>
    <m/>
    <m/>
    <m/>
    <n v="0"/>
    <n v="202505"/>
    <x v="4"/>
    <x v="1"/>
    <x v="0"/>
    <m/>
    <x v="0"/>
    <x v="0"/>
    <s v="999"/>
    <s v="430"/>
    <s v="430999"/>
    <m/>
    <s v="1"/>
    <s v="Classe di rischio 1"/>
  </r>
  <r>
    <n v="348241"/>
    <x v="4"/>
    <x v="4"/>
    <x v="30"/>
    <n v="53850"/>
    <n v="200"/>
    <s v="053850_200"/>
    <s v="Discovery Day"/>
    <s v="Mai valutato"/>
    <m/>
    <n v="202505228003776"/>
    <n v="2003300003833"/>
    <n v="20250522"/>
    <s v="26 - Bonifico in partenza "/>
    <m/>
    <s v="086 - ITALIA"/>
    <s v="D     - Dare"/>
    <n v="203277.8"/>
    <n v="0"/>
    <n v="3742670"/>
    <s v="CCCMNL89C07H5L1G"/>
    <s v="COCCO EMANUELE"/>
    <s v="600 - Famiglie consumatrici"/>
    <m/>
    <s v="086 - ITALIA"/>
    <n v="1837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240"/>
    <x v="5"/>
    <x v="5"/>
    <x v="30"/>
    <n v="53850"/>
    <n v="156"/>
    <s v="053850_156"/>
    <s v="Discovery Day"/>
    <s v="Mai valutato"/>
    <m/>
    <n v="202505228003648"/>
    <n v="1923300181861"/>
    <n v="20250522"/>
    <s v="D1 - Versamento di contante "/>
    <m/>
    <m/>
    <s v="A     - Avere"/>
    <n v="27500"/>
    <n v="27500"/>
    <n v="4114433"/>
    <s v="DSNPTR73A29L049Q"/>
    <s v="DI SANTO PIETRO"/>
    <s v="600 - Famiglie consumatrici"/>
    <m/>
    <s v="086 - ITALIA"/>
    <n v="1962"/>
    <m/>
    <m/>
    <m/>
    <m/>
    <m/>
    <m/>
    <m/>
    <n v="0"/>
    <n v="202505"/>
    <x v="1"/>
    <x v="0"/>
    <x v="0"/>
    <n v="4114433"/>
    <x v="1"/>
    <x v="0"/>
    <s v="999"/>
    <s v="600"/>
    <s v="600999"/>
    <s v="Classe di rischio 7"/>
    <m/>
    <s v="Classe di rischio 7"/>
  </r>
  <r>
    <n v="348239"/>
    <x v="5"/>
    <x v="5"/>
    <x v="30"/>
    <n v="53850"/>
    <n v="269"/>
    <s v="053850_269"/>
    <s v="Discovery Day"/>
    <s v="Mai valutato"/>
    <m/>
    <s v="Vari (22/05/2025)"/>
    <n v="2693300001614"/>
    <n v="20250522"/>
    <s v="D1 - Versamento di contante "/>
    <m/>
    <m/>
    <s v="A     - Avere"/>
    <n v="36430"/>
    <n v="3643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5"/>
    <x v="1"/>
    <x v="0"/>
    <x v="0"/>
    <n v="1695085"/>
    <x v="1"/>
    <x v="0"/>
    <s v="999"/>
    <s v="615"/>
    <s v="615999"/>
    <m/>
    <s v="1"/>
    <s v="Classe di rischio 3"/>
  </r>
  <r>
    <n v="348238"/>
    <x v="2"/>
    <x v="2"/>
    <x v="30"/>
    <n v="53850"/>
    <n v="261"/>
    <s v="053850_261"/>
    <s v="Discovery Day"/>
    <s v="Mai valutato"/>
    <m/>
    <s v="202505227342260L"/>
    <n v="2613300010205"/>
    <n v="20250522"/>
    <s v="AA - Bonifico da e per estero "/>
    <m/>
    <s v="012 - BULGARIA"/>
    <s v="D     - Dare"/>
    <n v="1000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5"/>
    <x v="1"/>
    <x v="0"/>
    <x v="0"/>
    <n v="4991786"/>
    <x v="1"/>
    <x v="0"/>
    <s v="999"/>
    <s v="430"/>
    <s v="430999"/>
    <m/>
    <s v="1"/>
    <s v="Classe di rischio 1"/>
  </r>
  <r>
    <n v="348237"/>
    <x v="4"/>
    <x v="4"/>
    <x v="30"/>
    <n v="53850"/>
    <n v="261"/>
    <s v="053850_261"/>
    <s v="Discovery Day"/>
    <s v="Mai valutato"/>
    <m/>
    <n v="202505228003788"/>
    <n v="2613300000312"/>
    <n v="20250522"/>
    <s v="54 - Incassi diversi"/>
    <m/>
    <m/>
    <s v="A     - Avere"/>
    <n v="200000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236"/>
    <x v="11"/>
    <x v="11"/>
    <x v="30"/>
    <n v="53850"/>
    <n v="156"/>
    <s v="053850_156"/>
    <s v="Discovery Day"/>
    <s v="Mai valutato"/>
    <m/>
    <n v="202505228003649"/>
    <n v="1825500227410"/>
    <n v="20250522"/>
    <s v="BT - Rimborso su libretti a risparmio "/>
    <m/>
    <m/>
    <s v="D     - Dare"/>
    <n v="27500"/>
    <n v="27500"/>
    <n v="3001369"/>
    <s v="SLRNNT44B59I954J"/>
    <s v="SALERNO ANTONIETTA"/>
    <s v="600 - Famiglie consumatrici"/>
    <m/>
    <s v="086 - ITALIA"/>
    <n v="481"/>
    <m/>
    <m/>
    <m/>
    <m/>
    <m/>
    <m/>
    <m/>
    <n v="0"/>
    <n v="202505"/>
    <x v="0"/>
    <x v="0"/>
    <x v="1"/>
    <m/>
    <x v="0"/>
    <x v="0"/>
    <s v="999"/>
    <s v="600"/>
    <s v="600999"/>
    <s v="Classe di rischio 7"/>
    <m/>
    <s v="Classe di rischio 7"/>
  </r>
  <r>
    <n v="348235"/>
    <x v="6"/>
    <x v="6"/>
    <x v="30"/>
    <n v="53850"/>
    <n v="170"/>
    <s v="053850_170"/>
    <s v="Discovery Day"/>
    <s v="Mai valutato"/>
    <m/>
    <n v="202505228002783"/>
    <n v="1703306286085"/>
    <n v="20250522"/>
    <s v="AA - Bonifico da e per estero "/>
    <m/>
    <s v="026 - ETIOPIA"/>
    <s v="D     - Dare"/>
    <n v="20000"/>
    <n v="0"/>
    <n v="4264592"/>
    <n v="90059390725"/>
    <s v="INSIEME PER L'AFRICA - ONLUS"/>
    <s v="501 - Istituzioni ed enti con finalita' di assistenza, beneficenza, istruzione, culturali, sindacali, politiche, sportive, ricreative e simili"/>
    <m/>
    <s v="086 - ITALIA"/>
    <n v="694"/>
    <m/>
    <m/>
    <m/>
    <m/>
    <m/>
    <m/>
    <m/>
    <n v="0"/>
    <n v="202505"/>
    <x v="2"/>
    <x v="1"/>
    <x v="0"/>
    <m/>
    <x v="0"/>
    <x v="0"/>
    <s v="999"/>
    <s v="501"/>
    <s v="501999"/>
    <s v="Classe di rischio 3"/>
    <m/>
    <s v="Classe di rischio 3"/>
  </r>
  <r>
    <n v="348234"/>
    <x v="4"/>
    <x v="4"/>
    <x v="30"/>
    <n v="53850"/>
    <n v="268"/>
    <s v="053850_268"/>
    <s v="Discovery Day"/>
    <s v="Mai valutato"/>
    <m/>
    <n v="202505228003810"/>
    <n v="2683300010355"/>
    <n v="20250522"/>
    <s v="54 - Incassi diversi"/>
    <m/>
    <m/>
    <s v="A     - Avere"/>
    <n v="220000"/>
    <n v="0"/>
    <n v="1633404"/>
    <s v="CRPVCN75D30F537F"/>
    <s v="CRUPI VINCENZO VALTER"/>
    <s v="600 - Famiglie consumatrici"/>
    <m/>
    <s v="086 - ITALIA"/>
    <n v="183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33"/>
    <x v="4"/>
    <x v="4"/>
    <x v="30"/>
    <n v="53850"/>
    <n v="264"/>
    <s v="053850_264"/>
    <s v="Discovery Day"/>
    <s v="Mai valutato"/>
    <m/>
    <n v="202505228002659"/>
    <n v="2643300002152"/>
    <n v="20250522"/>
    <s v="48 - Bonifico in arrivo "/>
    <m/>
    <s v="086 - ITALIA"/>
    <s v="A     - Avere"/>
    <n v="73930.63"/>
    <n v="0"/>
    <n v="1700966"/>
    <s v="CRRDNC57L01A662B"/>
    <s v="CERROTTI DOMENICO"/>
    <s v="615 - Altre famiglie produttrici"/>
    <s v="477 - COMMERCIO AL DETTAGLIO DI ALTRI PRODOTTI IN ESERCIZI SPECIALIZZATI"/>
    <s v="086 - ITALIA"/>
    <n v="1851"/>
    <m/>
    <m/>
    <m/>
    <m/>
    <m/>
    <m/>
    <m/>
    <n v="0"/>
    <n v="202505"/>
    <x v="1"/>
    <x v="0"/>
    <x v="0"/>
    <n v="1700966"/>
    <x v="1"/>
    <x v="0"/>
    <s v="477"/>
    <s v="615"/>
    <s v="615477"/>
    <s v="Classe di rischio 6"/>
    <m/>
    <s v="Classe di rischio 6"/>
  </r>
  <r>
    <n v="348232"/>
    <x v="2"/>
    <x v="2"/>
    <x v="30"/>
    <n v="53850"/>
    <n v="261"/>
    <s v="053850_261"/>
    <s v="Discovery Day"/>
    <s v="Mai valutato"/>
    <m/>
    <s v="202505217341646L"/>
    <n v="2613300010205"/>
    <n v="20250521"/>
    <s v="AA - Bonifico da e per estero "/>
    <m/>
    <s v="012 - BULGARIA"/>
    <s v="D     - Dare"/>
    <n v="1000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5"/>
    <x v="1"/>
    <x v="0"/>
    <x v="0"/>
    <n v="4991786"/>
    <x v="1"/>
    <x v="0"/>
    <s v="999"/>
    <s v="430"/>
    <s v="430999"/>
    <m/>
    <s v="1"/>
    <s v="Classe di rischio 1"/>
  </r>
  <r>
    <n v="348231"/>
    <x v="3"/>
    <x v="3"/>
    <x v="31"/>
    <n v="53850"/>
    <n v="161"/>
    <s v="053850_161"/>
    <s v="Discovery Day"/>
    <s v="Mai valutato"/>
    <m/>
    <s v="Vari (21/05/2025)"/>
    <n v="1613300029653"/>
    <n v="20250521"/>
    <s v="VV"/>
    <m/>
    <m/>
    <s v="A     - Avere"/>
    <n v="104738.68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x v="1"/>
    <x v="0"/>
    <x v="0"/>
    <n v="4088769"/>
    <x v="1"/>
    <x v="1"/>
    <s v="464"/>
    <s v="430"/>
    <s v="430464"/>
    <s v="Classe di rischio 4"/>
    <m/>
    <s v="Classe di rischio 4"/>
  </r>
  <r>
    <n v="348230"/>
    <x v="5"/>
    <x v="5"/>
    <x v="31"/>
    <n v="53850"/>
    <n v="131"/>
    <s v="053850_131"/>
    <s v="Discovery Day"/>
    <s v="Mai valutato"/>
    <m/>
    <n v="202505218000434"/>
    <n v="1313300002205"/>
    <n v="20250521"/>
    <s v="03 - Versamento contante cassa continua "/>
    <m/>
    <m/>
    <s v="A     - Avere"/>
    <n v="26000"/>
    <n v="26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5"/>
    <x v="1"/>
    <x v="0"/>
    <x v="0"/>
    <n v="4055163"/>
    <x v="1"/>
    <x v="0"/>
    <s v="477"/>
    <s v="615"/>
    <s v="615477"/>
    <s v="Classe di rischio 6"/>
    <m/>
    <s v="Classe di rischio 6"/>
  </r>
  <r>
    <n v="348229"/>
    <x v="5"/>
    <x v="5"/>
    <x v="31"/>
    <n v="53850"/>
    <n v="199"/>
    <s v="053850_199"/>
    <s v="Discovery Day"/>
    <s v="Mai valutato"/>
    <m/>
    <n v="202505218001090"/>
    <n v="1993300002890"/>
    <n v="20250521"/>
    <s v="D1 - Versamento di contante "/>
    <m/>
    <m/>
    <s v="A     - Avere"/>
    <n v="54465"/>
    <n v="54465"/>
    <n v="4917498"/>
    <n v="2566490740"/>
    <s v="MANUKA S.R.L."/>
    <s v="430 - Imprese produttive"/>
    <s v="477 - COMMERCIO AL DETTAGLIO DI ALTRI PRODOTTI IN ESERCIZI SPECIALIZZATI"/>
    <s v="086 - ITALIA"/>
    <n v="881"/>
    <m/>
    <m/>
    <m/>
    <m/>
    <m/>
    <m/>
    <m/>
    <n v="0"/>
    <n v="202505"/>
    <x v="2"/>
    <x v="1"/>
    <x v="0"/>
    <m/>
    <x v="0"/>
    <x v="0"/>
    <s v="477"/>
    <s v="430"/>
    <s v="430477"/>
    <s v="Classe di rischio 3"/>
    <m/>
    <s v="Classe di rischio 3"/>
  </r>
  <r>
    <n v="348228"/>
    <x v="5"/>
    <x v="5"/>
    <x v="31"/>
    <n v="53850"/>
    <n v="264"/>
    <s v="053850_264"/>
    <s v="Discovery Day"/>
    <s v="Mai valutato"/>
    <m/>
    <s v="Vari (21/05/2025)"/>
    <n v="2643300002171"/>
    <n v="20250521"/>
    <s v="03 - Versamento contante cassa continua "/>
    <m/>
    <m/>
    <s v="A     - Avere"/>
    <n v="32090"/>
    <n v="3209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s v="086 - ITALIA"/>
    <n v="936"/>
    <m/>
    <m/>
    <m/>
    <m/>
    <m/>
    <m/>
    <m/>
    <n v="0"/>
    <n v="202505"/>
    <x v="2"/>
    <x v="1"/>
    <x v="0"/>
    <m/>
    <x v="0"/>
    <x v="0"/>
    <s v="477"/>
    <s v="492"/>
    <s v="492477"/>
    <s v="Classe di rischio 5"/>
    <m/>
    <s v="Classe di rischio 5"/>
  </r>
  <r>
    <n v="348227"/>
    <x v="4"/>
    <x v="4"/>
    <x v="31"/>
    <n v="53850"/>
    <n v="105"/>
    <s v="053850_105"/>
    <s v="Discovery Day"/>
    <s v="Mai valutato"/>
    <m/>
    <n v="202505217999576"/>
    <n v="1053306288710"/>
    <n v="20250521"/>
    <s v="48 - Bonifico in arrivo "/>
    <m/>
    <s v="086 - ITALIA"/>
    <s v="A     - Avere"/>
    <n v="200531.43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26"/>
    <x v="5"/>
    <x v="5"/>
    <x v="31"/>
    <n v="53850"/>
    <n v="116"/>
    <s v="053850_116"/>
    <s v="Discovery Day"/>
    <s v="Mai valutato"/>
    <m/>
    <n v="202505218000628"/>
    <n v="2343300010453"/>
    <n v="20250521"/>
    <s v="03 - Versamento contante cassa continua "/>
    <m/>
    <m/>
    <s v="A     - Avere"/>
    <n v="153410.79999999999"/>
    <n v="153410.79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225"/>
    <x v="4"/>
    <x v="4"/>
    <x v="31"/>
    <n v="53850"/>
    <n v="175"/>
    <s v="053850_175"/>
    <s v="Discovery Day"/>
    <s v="Mai valutato"/>
    <m/>
    <n v="202505217998785"/>
    <n v="1753305636160"/>
    <n v="20250521"/>
    <s v="26 - Bonifico in partenza "/>
    <m/>
    <s v="086 - ITALIA"/>
    <s v="D     - Dare"/>
    <n v="366991.76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x v="1"/>
    <x v="0"/>
    <x v="0"/>
    <m/>
    <x v="0"/>
    <x v="0"/>
    <s v="464"/>
    <s v="430"/>
    <s v="430464"/>
    <s v="Classe di rischio 4"/>
    <m/>
    <s v="Classe di rischio 4"/>
  </r>
  <r>
    <n v="348224"/>
    <x v="4"/>
    <x v="4"/>
    <x v="31"/>
    <n v="53850"/>
    <n v="122"/>
    <s v="053850_122"/>
    <s v="Discovery Day"/>
    <s v="Mai valutato"/>
    <m/>
    <s v="202505217304233L"/>
    <n v="1223300001984"/>
    <n v="20250521"/>
    <s v="SPECIAL"/>
    <m/>
    <m/>
    <s v="D     - Dare"/>
    <n v="1177.48"/>
    <n v="0"/>
    <n v="4682230"/>
    <s v="GDLSST82R07A883V"/>
    <s v="GADALETA SEBASTIANO"/>
    <s v="600 - Famiglie consumatrici"/>
    <m/>
    <s v="086 - ITALIA"/>
    <n v="1566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223"/>
    <x v="4"/>
    <x v="4"/>
    <x v="31"/>
    <n v="53850"/>
    <n v="191"/>
    <s v="053850_191"/>
    <s v="Discovery Day"/>
    <s v="Mai valutato"/>
    <m/>
    <n v="202505218001044"/>
    <n v="1913300068760"/>
    <n v="20250521"/>
    <s v="SPECIAL"/>
    <m/>
    <m/>
    <s v="D     - Dare"/>
    <n v="120110.85"/>
    <n v="0"/>
    <n v="3099802"/>
    <s v="DMNFMN36D46E882U"/>
    <s v="DIMONOPOLI FILOMENA"/>
    <s v="600 - Famiglie consumatrici"/>
    <m/>
    <s v="086 - ITALIA"/>
    <n v="952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222"/>
    <x v="5"/>
    <x v="5"/>
    <x v="31"/>
    <n v="53850"/>
    <n v="171"/>
    <s v="053850_171"/>
    <s v="Discovery Day"/>
    <s v="Mai valutato"/>
    <m/>
    <s v="Vari (21/05/2025)"/>
    <n v="1713305728950"/>
    <n v="20250521"/>
    <s v="03 - Versamento contante cassa continua "/>
    <m/>
    <m/>
    <s v="A     - Avere"/>
    <n v="411980.15"/>
    <n v="411980.1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221"/>
    <x v="3"/>
    <x v="3"/>
    <x v="31"/>
    <n v="53850"/>
    <n v="108"/>
    <s v="053850_108"/>
    <s v="Discovery Day"/>
    <s v="Mai valutato"/>
    <m/>
    <n v="202505218000783"/>
    <n v="1083305068340"/>
    <n v="20250521"/>
    <s v="G7 - Versamento assegno circolare altro intermediario "/>
    <m/>
    <m/>
    <s v="A     - Avere"/>
    <n v="100000"/>
    <n v="0"/>
    <n v="506834"/>
    <s v="RCCDNC50C23F915D"/>
    <s v="RECCHIA DOMENICO"/>
    <s v="614 - Artigiani"/>
    <s v="412 - COSTRUZIONE DI EDIFICI RESIDENZIALI E NON RESIDENZIALI"/>
    <s v="086 - ITALIA"/>
    <n v="1118"/>
    <m/>
    <m/>
    <m/>
    <m/>
    <m/>
    <m/>
    <m/>
    <n v="0"/>
    <n v="202505"/>
    <x v="2"/>
    <x v="1"/>
    <x v="0"/>
    <m/>
    <x v="0"/>
    <x v="0"/>
    <s v="999"/>
    <s v="614"/>
    <s v="614999"/>
    <m/>
    <s v="1"/>
    <s v="Classe di rischio 3"/>
  </r>
  <r>
    <n v="348220"/>
    <x v="3"/>
    <x v="3"/>
    <x v="31"/>
    <n v="53850"/>
    <n v="171"/>
    <s v="053850_171"/>
    <s v="Discovery Day"/>
    <s v="Mai valutato"/>
    <m/>
    <s v="Vari (21/05/2025)"/>
    <n v="1713305728950"/>
    <n v="20250521"/>
    <s v="03 - Versamento contante cassa continua "/>
    <m/>
    <m/>
    <s v="A     - Avere"/>
    <n v="411980.15"/>
    <n v="411980.1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219"/>
    <x v="4"/>
    <x v="4"/>
    <x v="31"/>
    <n v="53850"/>
    <n v="110"/>
    <s v="053850_110"/>
    <s v="Discovery Day"/>
    <s v="Mai valutato"/>
    <m/>
    <n v="202505218000710"/>
    <n v="1103306285611"/>
    <n v="20250521"/>
    <s v="SPECIAL"/>
    <m/>
    <m/>
    <s v="D     - Dare"/>
    <n v="40771.61"/>
    <n v="0"/>
    <n v="537815"/>
    <s v="DRNBBR82A64L219H"/>
    <s v="DORONZO BARBARA"/>
    <s v="600 - Famiglie consumatrici"/>
    <m/>
    <s v="086 - ITALIA"/>
    <n v="458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8218"/>
    <x v="3"/>
    <x v="3"/>
    <x v="31"/>
    <n v="53850"/>
    <n v="116"/>
    <s v="053850_116"/>
    <s v="Discovery Day"/>
    <s v="Mai valutato"/>
    <m/>
    <n v="202505218000628"/>
    <n v="2343300010453"/>
    <n v="20250521"/>
    <s v="03 - Versamento contante cassa continua "/>
    <m/>
    <m/>
    <s v="A     - Avere"/>
    <n v="153410.79999999999"/>
    <n v="153410.79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217"/>
    <x v="4"/>
    <x v="4"/>
    <x v="31"/>
    <n v="53850"/>
    <n v="105"/>
    <s v="053850_105"/>
    <s v="Discovery Day"/>
    <s v="Mai valutato"/>
    <m/>
    <n v="202505217999489"/>
    <n v="1053306288710"/>
    <n v="20250521"/>
    <s v="48 - Bonifico in arrivo "/>
    <m/>
    <s v="086 - ITALIA"/>
    <s v="A     - Avere"/>
    <n v="306973.39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16"/>
    <x v="3"/>
    <x v="3"/>
    <x v="31"/>
    <n v="53850"/>
    <n v="171"/>
    <s v="053850_171"/>
    <s v="Discovery Day"/>
    <s v="Mai valutato"/>
    <m/>
    <s v="Vari (21/05/2025)"/>
    <n v="1713302214147"/>
    <n v="20250521"/>
    <s v="03 - Versamento contante cassa continua "/>
    <m/>
    <m/>
    <s v="A     - Avere"/>
    <n v="178460"/>
    <n v="17846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215"/>
    <x v="5"/>
    <x v="5"/>
    <x v="31"/>
    <n v="53850"/>
    <n v="171"/>
    <s v="053850_171"/>
    <s v="Discovery Day"/>
    <s v="Mai valutato"/>
    <m/>
    <s v="Vari (21/05/2025)"/>
    <n v="1713302214147"/>
    <n v="20250521"/>
    <s v="03 - Versamento contante cassa continua "/>
    <m/>
    <m/>
    <s v="A     - Avere"/>
    <n v="178460"/>
    <n v="17846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214"/>
    <x v="7"/>
    <x v="7"/>
    <x v="31"/>
    <n v="53850"/>
    <n v="99"/>
    <s v="053850_99"/>
    <s v="Discovery Day"/>
    <s v="Mai valutato"/>
    <m/>
    <n v="202505218000711"/>
    <m/>
    <n v="20250521"/>
    <s v="SPECIAL"/>
    <m/>
    <m/>
    <s v="D     - Dare"/>
    <n v="40771.61"/>
    <n v="0"/>
    <n v="537815"/>
    <s v="DRNBBR82A64L219H"/>
    <s v="DORONZO BARBARA"/>
    <s v="600 - Famiglie consumatrici"/>
    <m/>
    <s v="086 - ITALIA"/>
    <n v="458"/>
    <m/>
    <m/>
    <m/>
    <m/>
    <m/>
    <m/>
    <m/>
    <n v="0"/>
    <n v="202505"/>
    <x v="0"/>
    <x v="0"/>
    <x v="1"/>
    <m/>
    <x v="0"/>
    <x v="1"/>
    <s v="999"/>
    <s v="600"/>
    <s v="600999"/>
    <s v="Classe di rischio 7"/>
    <m/>
    <s v="Classe di rischio 7"/>
  </r>
  <r>
    <n v="348213"/>
    <x v="4"/>
    <x v="4"/>
    <x v="31"/>
    <n v="53850"/>
    <n v="110"/>
    <s v="053850_110"/>
    <s v="Discovery Day"/>
    <s v="Mai valutato"/>
    <m/>
    <n v="202505218000807"/>
    <n v="1103306286918"/>
    <n v="20250521"/>
    <s v="54 - Incassi diversi"/>
    <m/>
    <m/>
    <s v="A     - Avere"/>
    <n v="162000"/>
    <n v="0"/>
    <n v="469616"/>
    <s v="CPNMRA55B67A669N"/>
    <s v="CAPUANO MARIA"/>
    <s v="600 - Famiglie consumatrici"/>
    <m/>
    <s v="086 - ITALIA"/>
    <n v="458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212"/>
    <x v="2"/>
    <x v="2"/>
    <x v="31"/>
    <n v="53850"/>
    <n v="103"/>
    <s v="053850_103"/>
    <s v="Discovery Day"/>
    <s v="Mai valutato"/>
    <m/>
    <s v="202505217313268L"/>
    <n v="1033301641631"/>
    <n v="20250521"/>
    <s v="AA - Bonifico da e per estero "/>
    <m/>
    <s v="012 - BULGARIA"/>
    <s v="A     - Avere"/>
    <n v="1312.85"/>
    <n v="0"/>
    <n v="164163"/>
    <n v="3485840726"/>
    <s v="R.A.I. RICAMBI SRL"/>
    <s v="430 - Imprese produttive"/>
    <s v="453 - COMMERCIO DI PARTI E ACCESSORI DI AUTOVEICOLI"/>
    <s v="086 - ITALIA"/>
    <n v="1274"/>
    <m/>
    <m/>
    <m/>
    <m/>
    <m/>
    <m/>
    <m/>
    <n v="0"/>
    <n v="202505"/>
    <x v="2"/>
    <x v="1"/>
    <x v="0"/>
    <m/>
    <x v="0"/>
    <x v="0"/>
    <s v="453"/>
    <s v="430"/>
    <s v="430453"/>
    <s v="Classe di rischio 3"/>
    <m/>
    <s v="Classe di rischio 3"/>
  </r>
  <r>
    <n v="348211"/>
    <x v="5"/>
    <x v="5"/>
    <x v="31"/>
    <n v="53850"/>
    <n v="102"/>
    <s v="053850_102"/>
    <s v="Discovery Day"/>
    <s v="Mai valutato"/>
    <m/>
    <n v="202505218000339"/>
    <n v="1023308722503"/>
    <n v="20250521"/>
    <s v="03 - Versamento contante cassa continua "/>
    <m/>
    <m/>
    <s v="A     - Avere"/>
    <n v="27000"/>
    <n v="27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210"/>
    <x v="7"/>
    <x v="7"/>
    <x v="31"/>
    <n v="53850"/>
    <n v="122"/>
    <s v="053850_122"/>
    <s v="Discovery Day"/>
    <s v="Mai valutato"/>
    <m/>
    <s v="202505217304232L"/>
    <m/>
    <n v="20250521"/>
    <s v="SPECIAL"/>
    <m/>
    <m/>
    <s v="D     - Dare"/>
    <n v="1177.48"/>
    <n v="0"/>
    <n v="4682230"/>
    <s v="GDLSST82R07A883V"/>
    <s v="GADALETA SEBASTIANO"/>
    <s v="600 - Famiglie consumatrici"/>
    <m/>
    <s v="086 - ITALIA"/>
    <n v="1566"/>
    <m/>
    <m/>
    <m/>
    <m/>
    <m/>
    <m/>
    <m/>
    <n v="0"/>
    <n v="202505"/>
    <x v="2"/>
    <x v="1"/>
    <x v="1"/>
    <m/>
    <x v="0"/>
    <x v="1"/>
    <s v="999"/>
    <s v="600"/>
    <s v="600999"/>
    <s v="Classe di rischio 7"/>
    <m/>
    <s v="Classe di rischio 7"/>
  </r>
  <r>
    <n v="348209"/>
    <x v="5"/>
    <x v="5"/>
    <x v="31"/>
    <n v="53850"/>
    <n v="287"/>
    <s v="053850_287"/>
    <s v="Discovery Day"/>
    <s v="Mai valutato"/>
    <m/>
    <s v="Vari (21/05/2025)"/>
    <n v="2873300001853"/>
    <n v="20250521"/>
    <s v="VV"/>
    <m/>
    <m/>
    <s v="A     - Avere"/>
    <n v="62749.43"/>
    <n v="3444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x v="0"/>
    <x v="0"/>
    <x v="0"/>
    <n v="3722213"/>
    <x v="1"/>
    <x v="1"/>
    <s v="463"/>
    <s v="430"/>
    <s v="430463"/>
    <s v="Classe di rischio 3"/>
    <m/>
    <s v="Classe di rischio 3"/>
  </r>
  <r>
    <n v="348208"/>
    <x v="4"/>
    <x v="4"/>
    <x v="31"/>
    <n v="53850"/>
    <n v="175"/>
    <s v="053850_175"/>
    <s v="Discovery Day"/>
    <s v="Mai valutato"/>
    <m/>
    <n v="202505217999321"/>
    <n v="1753302205349"/>
    <n v="20250521"/>
    <s v="48 - Bonifico in arrivo "/>
    <m/>
    <s v="086 - ITALIA"/>
    <s v="A     - Avere"/>
    <n v="842689.95"/>
    <n v="0"/>
    <n v="3741362"/>
    <s v="LGNGNR42S07E147I"/>
    <s v="LAGONIGRO GENNARO"/>
    <s v="600 - Famiglie consumatrici"/>
    <m/>
    <s v="086 - ITALIA"/>
    <n v="1267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07"/>
    <x v="4"/>
    <x v="4"/>
    <x v="32"/>
    <n v="53850"/>
    <n v="108"/>
    <s v="053850_108"/>
    <s v="Discovery Day"/>
    <s v="Mai valutato"/>
    <m/>
    <n v="202505217997107"/>
    <n v="1085500039514"/>
    <n v="20250521"/>
    <s v="BU - Deposito su libretti a risparmio "/>
    <m/>
    <m/>
    <s v="A     - Avere"/>
    <n v="1714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06"/>
    <x v="4"/>
    <x v="4"/>
    <x v="32"/>
    <n v="53850"/>
    <n v="108"/>
    <s v="053850_108"/>
    <s v="Discovery Day"/>
    <s v="Mai valutato"/>
    <m/>
    <n v="202505217997107"/>
    <n v="1085500039514"/>
    <n v="20250521"/>
    <s v="BU - Deposito su libretti a risparmio "/>
    <m/>
    <m/>
    <s v="A     - Avere"/>
    <n v="1714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205"/>
    <x v="4"/>
    <x v="4"/>
    <x v="32"/>
    <n v="53850"/>
    <n v="102"/>
    <s v="053850_102"/>
    <s v="Discovery Day"/>
    <s v="Mai valutato"/>
    <m/>
    <s v="202505207235321L"/>
    <n v="1023308727899"/>
    <n v="20250520"/>
    <s v="SPECIAL"/>
    <m/>
    <m/>
    <s v="D     - Dare"/>
    <n v="1649.45"/>
    <n v="0"/>
    <n v="3734883"/>
    <s v="PLNFNC07C24A225B"/>
    <s v="PLANTAMURA FRANCESCO"/>
    <s v="600 - Famiglie consumatrici"/>
    <m/>
    <s v="086 - ITALIA"/>
    <n v="515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204"/>
    <x v="7"/>
    <x v="7"/>
    <x v="32"/>
    <n v="53850"/>
    <n v="167"/>
    <s v="053850_167"/>
    <s v="Discovery Day"/>
    <s v="Mai valutato"/>
    <m/>
    <n v="202505207998079"/>
    <m/>
    <n v="20250520"/>
    <s v="F1 - Incasso assegno circolare altro intermediario"/>
    <m/>
    <m/>
    <s v="D     - Dare"/>
    <n v="90000"/>
    <n v="0"/>
    <n v="614676"/>
    <s v="MRCCLL71M15E155Z"/>
    <s v="MARCULLI CAMILLO"/>
    <s v="600 - Famiglie consumatrici"/>
    <m/>
    <s v="086 - ITALIA"/>
    <n v="1427"/>
    <m/>
    <m/>
    <m/>
    <m/>
    <m/>
    <m/>
    <m/>
    <n v="0"/>
    <n v="202505"/>
    <x v="5"/>
    <x v="2"/>
    <x v="1"/>
    <m/>
    <x v="0"/>
    <x v="0"/>
    <s v="999"/>
    <s v="600"/>
    <s v="600999"/>
    <s v="Classe di rischio 7"/>
    <m/>
    <s v="Classe di rischio 7"/>
  </r>
  <r>
    <n v="348203"/>
    <x v="5"/>
    <x v="5"/>
    <x v="32"/>
    <n v="53850"/>
    <n v="102"/>
    <s v="053850_102"/>
    <s v="Discovery Day"/>
    <s v="Mai valutato"/>
    <m/>
    <n v="202505207997284"/>
    <n v="1023308722503"/>
    <n v="20250520"/>
    <s v="03 - Versamento contante cassa continua "/>
    <m/>
    <m/>
    <s v="A     - Avere"/>
    <n v="26900"/>
    <n v="269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202"/>
    <x v="2"/>
    <x v="2"/>
    <x v="32"/>
    <n v="53850"/>
    <n v="102"/>
    <s v="053850_102"/>
    <s v="Discovery Day"/>
    <s v="Mai valutato"/>
    <m/>
    <n v="202505207997832"/>
    <n v="1023308716491"/>
    <n v="20250520"/>
    <s v="AA - Bonifico da e per estero "/>
    <m/>
    <s v="091 - PRINCIPATO DI MONACO"/>
    <s v="D     - Dare"/>
    <n v="45000"/>
    <n v="0"/>
    <n v="3970"/>
    <s v="CRNRRT78A19A225Y"/>
    <s v="CORNACCHIA ROBERTO"/>
    <s v="600 - Famiglie consumatrici"/>
    <m/>
    <s v="086 - ITALIA"/>
    <n v="1431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201"/>
    <x v="2"/>
    <x v="2"/>
    <x v="32"/>
    <n v="53850"/>
    <n v="268"/>
    <s v="053850_268"/>
    <s v="Discovery Day"/>
    <s v="Mai valutato"/>
    <m/>
    <s v="202505207242755L"/>
    <n v="2683300006808"/>
    <n v="20250520"/>
    <s v="AA - Bonifico da e per estero "/>
    <m/>
    <s v="027 - FILIPPINE"/>
    <s v="A     - Avere"/>
    <n v="1351.76"/>
    <n v="0"/>
    <n v="1705772"/>
    <n v="3489800791"/>
    <s v="L'ARTIGIANO DELLA NDUJA S.R.L."/>
    <s v="430 - Imprese produttive"/>
    <s v="101 - LAVORAZIONE E CONSERVAZIONE DI CARNE E PRODUZIONE DI PRODOTTI A BASE DI CARNE"/>
    <s v="086 - ITALIA"/>
    <n v="1891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200"/>
    <x v="4"/>
    <x v="4"/>
    <x v="32"/>
    <n v="53850"/>
    <n v="192"/>
    <s v="053850_192"/>
    <s v="Discovery Day"/>
    <s v="Mai valutato"/>
    <m/>
    <n v="202505207998171"/>
    <n v="1923300183163"/>
    <n v="20250520"/>
    <s v="26 - Bonifico in partenza "/>
    <m/>
    <s v="086 - ITALIA"/>
    <s v="D     - Dare"/>
    <n v="984000"/>
    <n v="0"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5"/>
    <x v="1"/>
    <x v="0"/>
    <x v="0"/>
    <n v="4695944"/>
    <x v="1"/>
    <x v="0"/>
    <s v="999"/>
    <s v="615"/>
    <s v="615999"/>
    <m/>
    <s v="1"/>
    <s v="Classe di rischio 3"/>
  </r>
  <r>
    <n v="348199"/>
    <x v="3"/>
    <x v="3"/>
    <x v="32"/>
    <n v="53850"/>
    <n v="131"/>
    <s v="053850_131"/>
    <s v="Discovery Day"/>
    <s v="Mai valutato"/>
    <m/>
    <n v="202505207997996"/>
    <n v="1313300001281"/>
    <n v="20250520"/>
    <s v="G7 - Versamento assegno circolare altro intermediario "/>
    <m/>
    <m/>
    <s v="A     - Avere"/>
    <n v="130000"/>
    <n v="0"/>
    <n v="4053158"/>
    <s v="DNLLBT66S58Z133Q"/>
    <s v="DINELLA ELISABETTA"/>
    <s v="600 - Famiglie consumatrici"/>
    <m/>
    <s v="086 - ITALIA"/>
    <n v="82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98"/>
    <x v="4"/>
    <x v="4"/>
    <x v="32"/>
    <n v="53850"/>
    <n v="121"/>
    <s v="053850_121"/>
    <s v="Discovery Day"/>
    <s v="Mai valutato"/>
    <m/>
    <n v="202505207995690"/>
    <n v="1213300002600"/>
    <n v="20250520"/>
    <s v="26 - Bonifico in partenza "/>
    <m/>
    <s v="086 - ITALIA"/>
    <s v="D     - Dare"/>
    <n v="673080.41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x v="3"/>
    <x v="1"/>
    <x v="0"/>
    <m/>
    <x v="0"/>
    <x v="0"/>
    <s v="463"/>
    <s v="430"/>
    <s v="430463"/>
    <s v="Classe di rischio 3"/>
    <m/>
    <s v="Classe di rischio 3"/>
  </r>
  <r>
    <n v="348197"/>
    <x v="5"/>
    <x v="5"/>
    <x v="32"/>
    <n v="53850"/>
    <n v="114"/>
    <s v="053850_114"/>
    <s v="Discovery Day"/>
    <s v="Mai valutato"/>
    <m/>
    <s v="Vari (20/05/2025)"/>
    <n v="1143306280621"/>
    <n v="20250520"/>
    <s v="D1 - Versamento di contante "/>
    <m/>
    <m/>
    <s v="A     - Avere"/>
    <n v="49460"/>
    <n v="4946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30"/>
    <s v="430477"/>
    <s v="Classe di rischio 3"/>
    <m/>
    <s v="Classe di rischio 3"/>
  </r>
  <r>
    <n v="348196"/>
    <x v="5"/>
    <x v="5"/>
    <x v="32"/>
    <n v="53850"/>
    <n v="171"/>
    <s v="053850_171"/>
    <s v="Discovery Day"/>
    <s v="Mai valutato"/>
    <m/>
    <s v="Vari (20/05/2025)"/>
    <n v="1713305728950"/>
    <n v="20250520"/>
    <s v="03 - Versamento contante cassa continua "/>
    <m/>
    <m/>
    <s v="A     - Avere"/>
    <n v="188863.68"/>
    <n v="188863.6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195"/>
    <x v="3"/>
    <x v="3"/>
    <x v="32"/>
    <n v="53850"/>
    <n v="108"/>
    <s v="053850_108"/>
    <s v="Discovery Day"/>
    <s v="Mai valutato"/>
    <m/>
    <s v="Vari (20/05/2025)"/>
    <n v="1083306291105"/>
    <n v="20250520"/>
    <s v="VV"/>
    <m/>
    <m/>
    <s v="A     - Avere"/>
    <n v="147771.42000000001"/>
    <n v="139798.04999999999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48194"/>
    <x v="5"/>
    <x v="5"/>
    <x v="32"/>
    <n v="53850"/>
    <n v="171"/>
    <s v="053850_171"/>
    <s v="Discovery Day"/>
    <s v="Mai valutato"/>
    <m/>
    <s v="Vari (20/05/2025)"/>
    <n v="1713302214147"/>
    <n v="20250520"/>
    <s v="03 - Versamento contante cassa continua "/>
    <m/>
    <m/>
    <s v="A     - Avere"/>
    <n v="36255"/>
    <n v="3625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193"/>
    <x v="2"/>
    <x v="2"/>
    <x v="32"/>
    <n v="53850"/>
    <n v="226"/>
    <s v="053850_226"/>
    <s v="Discovery Day"/>
    <s v="Mai valutato"/>
    <m/>
    <n v="202505207996357"/>
    <n v="1163307619285"/>
    <n v="20250520"/>
    <s v="AA - Bonifico da e per estero "/>
    <m/>
    <s v="012 - BULGARIA"/>
    <s v="A     - Avere"/>
    <n v="6500"/>
    <n v="0"/>
    <n v="4709685"/>
    <n v="6911480728"/>
    <s v="BELLUCCI S.A.S DI TUFARELLI MARIA PATRIZIA &amp;"/>
    <s v="482 - Quasi societa' non finanziarie artigiane - Unita' o societa' con meno di 20 addetti"/>
    <s v="292 - FABBRICAZIONE DI CARROZZERIE PER AUTOVEICOLI, RIMORCHI E SEMIRIMORCHI"/>
    <s v="086 - ITALIA"/>
    <n v="1932"/>
    <m/>
    <m/>
    <m/>
    <m/>
    <m/>
    <m/>
    <m/>
    <n v="0"/>
    <n v="202505"/>
    <x v="3"/>
    <x v="1"/>
    <x v="0"/>
    <m/>
    <x v="0"/>
    <x v="0"/>
    <s v="999"/>
    <s v="482"/>
    <s v="482999"/>
    <m/>
    <s v="1"/>
    <s v="Classe di rischio 2"/>
  </r>
  <r>
    <n v="348192"/>
    <x v="2"/>
    <x v="2"/>
    <x v="32"/>
    <n v="53850"/>
    <n v="149"/>
    <s v="053850_149"/>
    <s v="Discovery Day"/>
    <s v="Mai valutato"/>
    <m/>
    <n v="202505207996979"/>
    <n v="1493300664731"/>
    <n v="20250520"/>
    <s v="AA - Bonifico da e per estero "/>
    <m/>
    <s v="091 - PRINCIPATO DI MONACO"/>
    <s v="D     - Dare"/>
    <n v="28000"/>
    <n v="0"/>
    <n v="4993188"/>
    <n v="10155501215"/>
    <s v="LOGIKOMNIA S.R.L."/>
    <s v="430 - Imprese produttive"/>
    <s v="900 - ATTIVITÀ CREATIVE, ARTISTICHE E DI INTRATTENIMENTO"/>
    <s v="086 - ITALIA"/>
    <n v="1910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191"/>
    <x v="5"/>
    <x v="5"/>
    <x v="32"/>
    <n v="53850"/>
    <n v="108"/>
    <s v="053850_108"/>
    <s v="Discovery Day"/>
    <s v="Mai valutato"/>
    <m/>
    <s v="Vari (20/05/2025)"/>
    <n v="1083306291105"/>
    <n v="20250520"/>
    <s v="VV"/>
    <m/>
    <m/>
    <s v="A     - Avere"/>
    <n v="147771.42000000001"/>
    <n v="139798.04999999999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48190"/>
    <x v="5"/>
    <x v="5"/>
    <x v="32"/>
    <n v="53850"/>
    <n v="103"/>
    <s v="053850_103"/>
    <s v="Discovery Day"/>
    <s v="Mai valutato"/>
    <m/>
    <n v="202505207997851"/>
    <n v="1033306986091"/>
    <n v="20250520"/>
    <s v="D1 - Versamento di contante "/>
    <m/>
    <m/>
    <s v="A     - Avere"/>
    <n v="60000"/>
    <n v="60000"/>
    <n v="4124141"/>
    <s v="RSCVTI83H23L328F"/>
    <s v="RISUCCI VITO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89"/>
    <x v="3"/>
    <x v="3"/>
    <x v="32"/>
    <n v="53850"/>
    <n v="120"/>
    <s v="053850_120"/>
    <s v="Discovery Day"/>
    <s v="Mai valutato"/>
    <m/>
    <n v="202505207997972"/>
    <n v="1203300004095"/>
    <n v="20250520"/>
    <s v="G7 - Versamento assegno circolare altro intermediario "/>
    <m/>
    <m/>
    <s v="A     - Avere"/>
    <n v="150000"/>
    <n v="0"/>
    <n v="3734272"/>
    <s v="CCCCTA05S59A048S"/>
    <s v="CACCIOPPOLI CATI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88"/>
    <x v="2"/>
    <x v="2"/>
    <x v="32"/>
    <n v="53850"/>
    <n v="129"/>
    <s v="053850_129"/>
    <s v="Discovery Day"/>
    <s v="Mai valutato"/>
    <m/>
    <n v="202505207996930"/>
    <n v="1293300002811"/>
    <n v="20250520"/>
    <s v="AA - Bonifico da e per estero "/>
    <m/>
    <s v="261 - CROAZIA"/>
    <s v="A     - Avere"/>
    <n v="26002.57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187"/>
    <x v="4"/>
    <x v="4"/>
    <x v="32"/>
    <n v="53850"/>
    <n v="187"/>
    <s v="053850_187"/>
    <s v="Discovery Day"/>
    <s v="Mai valutato"/>
    <m/>
    <n v="202505207995725"/>
    <n v="999361870311"/>
    <n v="20250520"/>
    <s v="26 - Bonifico in partenza "/>
    <m/>
    <s v="086 - ITALIA"/>
    <s v="D     - Dare"/>
    <n v="1405323.6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48186"/>
    <x v="3"/>
    <x v="3"/>
    <x v="32"/>
    <n v="53850"/>
    <n v="120"/>
    <s v="053850_120"/>
    <s v="Discovery Day"/>
    <s v="Mai valutato"/>
    <m/>
    <n v="202505207997972"/>
    <n v="1203300004095"/>
    <n v="20250520"/>
    <s v="G7 - Versamento assegno circolare altro intermediario "/>
    <m/>
    <m/>
    <s v="A     - Avere"/>
    <n v="150000"/>
    <n v="0"/>
    <n v="4890472"/>
    <s v="SPNMRZ69T41A048C"/>
    <s v="SAPONE MARZIA"/>
    <s v="600 - Famiglie consumatrici"/>
    <m/>
    <s v="086 - ITALIA"/>
    <n v="1640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85"/>
    <x v="2"/>
    <x v="2"/>
    <x v="32"/>
    <n v="53850"/>
    <n v="168"/>
    <s v="053850_168"/>
    <s v="Discovery Day"/>
    <s v="Mai valutato"/>
    <m/>
    <s v="202505207240311L"/>
    <n v="1683306274557"/>
    <n v="20250520"/>
    <s v="AA - Bonifico da e per estero "/>
    <m/>
    <s v="012 - BULGARIA"/>
    <s v="D     - Dare"/>
    <n v="3000"/>
    <n v="0"/>
    <n v="4091384"/>
    <n v="5530850725"/>
    <s v="CARONE GIACOMA S.R.L."/>
    <s v="430 - Imprese produttive"/>
    <s v="494 - TRASPORTO DI MERCI SU STRADA E SERVIZI DI TRASLOCO"/>
    <s v="086 - ITALIA"/>
    <n v="192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184"/>
    <x v="4"/>
    <x v="4"/>
    <x v="32"/>
    <n v="53850"/>
    <n v="273"/>
    <s v="053850_273"/>
    <s v="Discovery Day"/>
    <s v="Mai valutato"/>
    <m/>
    <n v="202505207996485"/>
    <n v="2733300010399"/>
    <n v="20250520"/>
    <s v="48 - Bonifico in arrivo "/>
    <m/>
    <s v="086 - ITALIA"/>
    <s v="A     - Avere"/>
    <n v="2252392.3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5"/>
    <x v="4"/>
    <x v="1"/>
    <x v="0"/>
    <m/>
    <x v="0"/>
    <x v="0"/>
    <s v="412"/>
    <s v="430"/>
    <s v="430412"/>
    <s v="Classe di rischio 3"/>
    <m/>
    <s v="Classe di rischio 3"/>
  </r>
  <r>
    <n v="348183"/>
    <x v="5"/>
    <x v="5"/>
    <x v="32"/>
    <n v="53850"/>
    <n v="103"/>
    <s v="053850_103"/>
    <s v="Discovery Day"/>
    <s v="Mai valutato"/>
    <m/>
    <n v="202505207997851"/>
    <n v="1033306986091"/>
    <n v="20250520"/>
    <s v="D1 - Versamento di contante "/>
    <m/>
    <m/>
    <s v="A     - Avere"/>
    <n v="60000"/>
    <n v="60000"/>
    <n v="56091"/>
    <s v="BRZVCN48A62F220R"/>
    <s v="BRIZZI VINCENZA"/>
    <s v="600 - Famiglie consumatrici"/>
    <m/>
    <s v="086 - ITALIA"/>
    <n v="80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82"/>
    <x v="3"/>
    <x v="3"/>
    <x v="32"/>
    <n v="53850"/>
    <n v="108"/>
    <s v="053850_108"/>
    <s v="Discovery Day"/>
    <s v="Mai valutato"/>
    <m/>
    <n v="202505207997906"/>
    <n v="1083300011180"/>
    <n v="20250520"/>
    <s v="G1 - Versamento assegni tratti su altro intermediario "/>
    <m/>
    <m/>
    <s v="A     - Avere"/>
    <n v="122693.54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181"/>
    <x v="3"/>
    <x v="3"/>
    <x v="32"/>
    <n v="53850"/>
    <n v="171"/>
    <s v="053850_171"/>
    <s v="Discovery Day"/>
    <s v="Mai valutato"/>
    <m/>
    <s v="Vari (20/05/2025)"/>
    <n v="1713305728950"/>
    <n v="20250520"/>
    <s v="03 - Versamento contante cassa continua "/>
    <m/>
    <m/>
    <s v="A     - Avere"/>
    <n v="188863.68"/>
    <n v="188863.68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180"/>
    <x v="5"/>
    <x v="5"/>
    <x v="32"/>
    <n v="53850"/>
    <n v="128"/>
    <s v="053850_128"/>
    <s v="Discovery Day"/>
    <s v="Mai valutato"/>
    <m/>
    <s v="Vari (20/05/2025)"/>
    <n v="1283300003941"/>
    <n v="20250520"/>
    <s v="VV"/>
    <m/>
    <m/>
    <s v="A     - Avere"/>
    <n v="52600"/>
    <n v="526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x v="1"/>
    <x v="0"/>
    <x v="0"/>
    <n v="4916499"/>
    <x v="1"/>
    <x v="1"/>
    <s v="999"/>
    <s v="615"/>
    <s v="615999"/>
    <m/>
    <s v="1"/>
    <s v="Classe di rischio 3"/>
  </r>
  <r>
    <n v="348179"/>
    <x v="5"/>
    <x v="5"/>
    <x v="32"/>
    <n v="53850"/>
    <n v="264"/>
    <s v="053850_264"/>
    <s v="Discovery Day"/>
    <s v="Mai valutato"/>
    <m/>
    <s v="Vari (20/05/2025)"/>
    <n v="2643300010604"/>
    <n v="20250520"/>
    <s v="03 - Versamento contante cassa continua "/>
    <m/>
    <m/>
    <s v="A     - Avere"/>
    <n v="25270"/>
    <n v="25270"/>
    <n v="3730784"/>
    <n v="1347980771"/>
    <s v="PALUMBO SRL FARMACIA SAN BERNARDINO S.N.C."/>
    <s v="492 - Quasi societa' non finanziarie altre - Unita' o societa' con meno di 20 addetti"/>
    <s v="477 - COMMERCIO AL DETTAGLIO DI ALTRI PRODOTTI IN ESERCIZI SPECIALIZZATI"/>
    <s v="086 - ITALIA"/>
    <n v="1851"/>
    <m/>
    <m/>
    <m/>
    <m/>
    <m/>
    <m/>
    <m/>
    <n v="0"/>
    <n v="202505"/>
    <x v="2"/>
    <x v="1"/>
    <x v="0"/>
    <m/>
    <x v="0"/>
    <x v="0"/>
    <s v="477"/>
    <s v="492"/>
    <s v="492477"/>
    <s v="Classe di rischio 5"/>
    <m/>
    <s v="Classe di rischio 5"/>
  </r>
  <r>
    <n v="348178"/>
    <x v="4"/>
    <x v="4"/>
    <x v="32"/>
    <n v="53850"/>
    <n v="198"/>
    <s v="053850_198"/>
    <s v="Discovery Day"/>
    <s v="Mai valutato"/>
    <m/>
    <n v="202505207997806"/>
    <n v="1983300002101"/>
    <n v="20250520"/>
    <s v="SPECIAL"/>
    <m/>
    <m/>
    <s v="D     - Dare"/>
    <n v="12234.6"/>
    <n v="0"/>
    <n v="622877"/>
    <s v="PNTMRS43L49I158L"/>
    <s v="PINTO MARIA ROSARIA"/>
    <s v="600 - Famiglie consumatrici"/>
    <m/>
    <s v="086 - ITALIA"/>
    <n v="1718"/>
    <m/>
    <m/>
    <m/>
    <m/>
    <m/>
    <m/>
    <m/>
    <n v="0"/>
    <n v="202505"/>
    <x v="4"/>
    <x v="1"/>
    <x v="0"/>
    <m/>
    <x v="0"/>
    <x v="1"/>
    <s v="999"/>
    <s v="600"/>
    <s v="600999"/>
    <s v="Classe di rischio 7"/>
    <m/>
    <s v="Classe di rischio 7"/>
  </r>
  <r>
    <n v="348177"/>
    <x v="3"/>
    <x v="3"/>
    <x v="32"/>
    <n v="53850"/>
    <n v="131"/>
    <s v="053850_131"/>
    <s v="Discovery Day"/>
    <s v="Mai valutato"/>
    <m/>
    <n v="202505207997996"/>
    <n v="1313300001281"/>
    <n v="20250520"/>
    <s v="G7 - Versamento assegno circolare altro intermediario "/>
    <m/>
    <m/>
    <s v="A     - Avere"/>
    <n v="130000"/>
    <n v="0"/>
    <n v="4053792"/>
    <s v="TLSPRN65M05A482Q"/>
    <s v="TELESCA PIETRO ANTONIO"/>
    <s v="600 - Famiglie consumatrici"/>
    <m/>
    <s v="086 - ITALIA"/>
    <n v="82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76"/>
    <x v="4"/>
    <x v="4"/>
    <x v="32"/>
    <n v="53850"/>
    <n v="175"/>
    <s v="053850_175"/>
    <s v="Discovery Day"/>
    <s v="Mai valutato"/>
    <m/>
    <n v="202505207996819"/>
    <n v="1753302205383"/>
    <n v="20250520"/>
    <s v="48 - Bonifico in arrivo "/>
    <m/>
    <s v="086 - ITALIA"/>
    <s v="A     - Avere"/>
    <n v="310022.93"/>
    <n v="0"/>
    <n v="4268589"/>
    <s v="GSLFNC46T43G712D"/>
    <s v="GESUALDI FRANCA LUCIANA"/>
    <s v="600 - Famiglie consumatrici"/>
    <m/>
    <s v="086 - ITALIA"/>
    <n v="109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75"/>
    <x v="8"/>
    <x v="8"/>
    <x v="32"/>
    <n v="53850"/>
    <n v="149"/>
    <s v="053850_149"/>
    <s v="Discovery Day"/>
    <s v="Mai valutato"/>
    <m/>
    <n v="202505207996979"/>
    <n v="1493300664731"/>
    <n v="20250520"/>
    <s v="AA - Bonifico da e per estero "/>
    <m/>
    <s v="091 - PRINCIPATO DI MONACO"/>
    <s v="D     - Dare"/>
    <n v="28000"/>
    <n v="0"/>
    <n v="4993188"/>
    <n v="10155501215"/>
    <s v="LOGIKOMNIA S.R.L."/>
    <s v="430 - Imprese produttive"/>
    <s v="900 - ATTIVITÀ CREATIVE, ARTISTICHE E DI INTRATTENIMENTO"/>
    <s v="086 - ITALIA"/>
    <n v="1910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174"/>
    <x v="2"/>
    <x v="2"/>
    <x v="32"/>
    <n v="53850"/>
    <n v="114"/>
    <s v="053850_114"/>
    <s v="Discovery Day"/>
    <s v="Mai valutato"/>
    <m/>
    <s v="202505207237026L"/>
    <n v="1143300001238"/>
    <n v="20250520"/>
    <s v="AA - Bonifico da e per estero "/>
    <m/>
    <s v="012 - BULGARIA"/>
    <s v="A     - Avere"/>
    <n v="4000"/>
    <n v="0"/>
    <n v="4747564"/>
    <s v="BSSNTN69L21F104K"/>
    <s v="BASSO ANTONIO"/>
    <s v="600 - Famiglie consumatrici"/>
    <m/>
    <s v="086 - ITALIA"/>
    <n v="804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173"/>
    <x v="2"/>
    <x v="2"/>
    <x v="32"/>
    <n v="53850"/>
    <n v="171"/>
    <s v="053850_171"/>
    <s v="Discovery Day"/>
    <s v="Mai valutato"/>
    <m/>
    <s v="202505207242753L"/>
    <n v="1713302215492"/>
    <n v="20250520"/>
    <s v="AA - Bonifico da e per estero "/>
    <m/>
    <s v="238 - ABU DHABI"/>
    <s v="A     - Avere"/>
    <n v="1370.82"/>
    <n v="0"/>
    <n v="4650898"/>
    <n v="7175960728"/>
    <s v="ENTERPRISE DIGITAL SOLUTIONS SRL"/>
    <s v="430 - Imprese produttive"/>
    <s v="332 - INSTALLAZIONE DI MACCHINE ED APPARECCHIATURE INDUSTRIALI"/>
    <s v="086 - ITALIA"/>
    <n v="1118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172"/>
    <x v="7"/>
    <x v="7"/>
    <x v="32"/>
    <n v="53850"/>
    <n v="99"/>
    <s v="053850_99"/>
    <s v="Discovery Day"/>
    <s v="Mai valutato"/>
    <m/>
    <n v="202505207997807"/>
    <m/>
    <n v="20250520"/>
    <s v="SPECIAL"/>
    <m/>
    <m/>
    <s v="D     - Dare"/>
    <n v="12234.6"/>
    <n v="0"/>
    <n v="622877"/>
    <s v="PNTMRS43L49I158L"/>
    <s v="PINTO MARIA ROSARIA"/>
    <s v="600 - Famiglie consumatrici"/>
    <m/>
    <s v="086 - ITALIA"/>
    <n v="1718"/>
    <m/>
    <m/>
    <m/>
    <m/>
    <m/>
    <m/>
    <m/>
    <n v="0"/>
    <n v="202505"/>
    <x v="4"/>
    <x v="1"/>
    <x v="1"/>
    <m/>
    <x v="0"/>
    <x v="1"/>
    <s v="999"/>
    <s v="600"/>
    <s v="600999"/>
    <s v="Classe di rischio 7"/>
    <m/>
    <s v="Classe di rischio 7"/>
  </r>
  <r>
    <n v="348171"/>
    <x v="4"/>
    <x v="4"/>
    <x v="32"/>
    <n v="53850"/>
    <n v="103"/>
    <s v="053850_103"/>
    <s v="Discovery Day"/>
    <s v="Mai valutato"/>
    <m/>
    <n v="202505197997156"/>
    <n v="1030050004920"/>
    <n v="20250519"/>
    <s v="C1 - Trasferim.titoli tra dossier(uscita) "/>
    <m/>
    <m/>
    <s v="D     - Dare"/>
    <n v="210004.99"/>
    <n v="0"/>
    <n v="7973"/>
    <s v="BRNGNN47H26E155S"/>
    <s v="BRUNO GIOVANNI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70"/>
    <x v="2"/>
    <x v="2"/>
    <x v="32"/>
    <n v="53850"/>
    <n v="147"/>
    <s v="053850_147"/>
    <s v="Discovery Day"/>
    <s v="Mai valutato"/>
    <m/>
    <n v="202505197995739"/>
    <n v="1473300005300"/>
    <n v="20250519"/>
    <s v="AA - Bonifico da e per estero "/>
    <m/>
    <s v="261 - CROAZIA"/>
    <s v="D     - Dare"/>
    <n v="9828"/>
    <n v="0"/>
    <n v="3735726"/>
    <n v="4803200619"/>
    <s v="PELMA SOCIETA' A RESPONSABILITA' LIMITATA SEMPLIFICATA"/>
    <s v="430 - Imprese produttive"/>
    <s v="467 - COMMERCIO ALL'INGROSSO SPECIALIZZATO DI ALTRI PRODOTTI"/>
    <s v="086 - ITALIA"/>
    <n v="135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169"/>
    <x v="5"/>
    <x v="5"/>
    <x v="33"/>
    <n v="53850"/>
    <n v="114"/>
    <s v="053850_114"/>
    <s v="Discovery Day"/>
    <s v="Mai valutato"/>
    <m/>
    <s v="Vari (19/05/2025)"/>
    <n v="1143306280621"/>
    <n v="20250519"/>
    <s v="D1 - Versamento di contante "/>
    <m/>
    <m/>
    <s v="A     - Avere"/>
    <n v="76200"/>
    <n v="762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30"/>
    <s v="430477"/>
    <s v="Classe di rischio 3"/>
    <m/>
    <s v="Classe di rischio 3"/>
  </r>
  <r>
    <n v="348168"/>
    <x v="5"/>
    <x v="5"/>
    <x v="33"/>
    <n v="53850"/>
    <n v="116"/>
    <s v="053850_116"/>
    <s v="Discovery Day"/>
    <s v="Mai valutato"/>
    <m/>
    <n v="202505197994592"/>
    <n v="2343300010453"/>
    <n v="20250519"/>
    <s v="03 - Versamento contante cassa continua "/>
    <m/>
    <m/>
    <s v="A     - Avere"/>
    <n v="154339.85"/>
    <n v="154339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167"/>
    <x v="3"/>
    <x v="3"/>
    <x v="33"/>
    <n v="53850"/>
    <n v="102"/>
    <s v="053850_102"/>
    <s v="Discovery Day"/>
    <s v="Mai valutato"/>
    <m/>
    <n v="202505197994721"/>
    <n v="1033306969732"/>
    <n v="20250519"/>
    <s v="G2 - Versamento assegni tratti sullo stesso intermediario "/>
    <m/>
    <m/>
    <s v="A     - Avere"/>
    <n v="125000"/>
    <n v="0"/>
    <n v="461958"/>
    <s v="MRMFNC67T15E155W"/>
    <s v="MORAMARCO FRANCESCO"/>
    <s v="600 - Famiglie consumatrici"/>
    <m/>
    <s v="086 - ITALIA"/>
    <n v="1912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66"/>
    <x v="4"/>
    <x v="4"/>
    <x v="33"/>
    <n v="53850"/>
    <n v="173"/>
    <s v="053850_173"/>
    <s v="Discovery Day"/>
    <s v="Mai valutato"/>
    <m/>
    <n v="202505197994686"/>
    <n v="1733302704527"/>
    <n v="20250519"/>
    <s v="SPECIAL"/>
    <m/>
    <m/>
    <s v="D     - Dare"/>
    <n v="5894.36"/>
    <n v="0"/>
    <n v="591632"/>
    <s v="DDNGNN66R41L425H"/>
    <s v="ADDANTE GIOVANNA"/>
    <s v="600 - Famiglie consumatrici"/>
    <m/>
    <s v="086 - ITALIA"/>
    <n v="1470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165"/>
    <x v="5"/>
    <x v="5"/>
    <x v="33"/>
    <n v="53850"/>
    <n v="102"/>
    <s v="053850_102"/>
    <s v="Discovery Day"/>
    <s v="Mai valutato"/>
    <m/>
    <s v="Vari (19/05/2025)"/>
    <n v="1023308720537"/>
    <n v="20250519"/>
    <s v="VV"/>
    <m/>
    <m/>
    <s v="A     - Avere"/>
    <n v="46620"/>
    <n v="46620"/>
    <n v="4653840"/>
    <n v="7052850729"/>
    <s v="SUPERMERCATI LELLA SOCIETA' A RESPONSABILITA"/>
    <s v="430 - Imprese produttive"/>
    <s v="471 - COMMERCIO AL DETTAGLIO IN ESERCIZI NON SPECIALIZZATI"/>
    <s v="086 - ITALIA"/>
    <n v="979"/>
    <m/>
    <m/>
    <m/>
    <m/>
    <m/>
    <m/>
    <m/>
    <n v="0"/>
    <n v="202505"/>
    <x v="1"/>
    <x v="0"/>
    <x v="0"/>
    <n v="4653840"/>
    <x v="1"/>
    <x v="1"/>
    <s v="999"/>
    <s v="430"/>
    <s v="430999"/>
    <m/>
    <s v="1"/>
    <s v="Classe di rischio 1"/>
  </r>
  <r>
    <n v="348164"/>
    <x v="3"/>
    <x v="3"/>
    <x v="33"/>
    <n v="53850"/>
    <n v="116"/>
    <s v="053850_116"/>
    <s v="Discovery Day"/>
    <s v="Mai valutato"/>
    <m/>
    <n v="202505197994592"/>
    <n v="2343300010453"/>
    <n v="20250519"/>
    <s v="03 - Versamento contante cassa continua "/>
    <m/>
    <m/>
    <s v="A     - Avere"/>
    <n v="154339.85"/>
    <n v="154339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163"/>
    <x v="2"/>
    <x v="2"/>
    <x v="33"/>
    <n v="53850"/>
    <n v="168"/>
    <s v="053850_168"/>
    <s v="Discovery Day"/>
    <s v="Mai valutato"/>
    <m/>
    <s v="202505197175517L"/>
    <n v="1683306277308"/>
    <n v="20250519"/>
    <s v="AA - Bonifico da e per estero "/>
    <m/>
    <s v="012 - BULGARIA"/>
    <s v="D     - Dare"/>
    <n v="4300"/>
    <n v="0"/>
    <n v="4950606"/>
    <n v="7856760728"/>
    <s v="TRANSPORT 68 SOCIETA' A RESPONSABILITA' LIMI"/>
    <s v="430 - Imprese produttive"/>
    <s v="494 - TRASPORTO DI MERCI SU STRADA E SERVIZI DI TRASLOCO"/>
    <s v="086 - ITALIA"/>
    <n v="192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162"/>
    <x v="4"/>
    <x v="4"/>
    <x v="33"/>
    <n v="53850"/>
    <n v="277"/>
    <s v="053850_277"/>
    <s v="Discovery Day"/>
    <s v="Mai valutato"/>
    <m/>
    <s v="202505197180093L"/>
    <n v="2773300002057"/>
    <n v="20250519"/>
    <s v="SPECIAL"/>
    <m/>
    <m/>
    <s v="D     - Dare"/>
    <n v="1048.27"/>
    <n v="0"/>
    <n v="1676448"/>
    <s v="RSSPRZ61M62E435E"/>
    <s v="RUSSO PATRIZIA"/>
    <s v="600 - Famiglie consumatrici"/>
    <m/>
    <s v="086 - ITALIA"/>
    <n v="1790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8161"/>
    <x v="3"/>
    <x v="3"/>
    <x v="33"/>
    <n v="53850"/>
    <n v="102"/>
    <s v="053850_102"/>
    <s v="Discovery Day"/>
    <s v="Mai valutato"/>
    <m/>
    <n v="202505197994695"/>
    <n v="1023308725968"/>
    <n v="20250519"/>
    <s v="G8 - Versamento assegno circolare stesso intermediario"/>
    <m/>
    <m/>
    <s v="A     - Avere"/>
    <n v="230000"/>
    <n v="0"/>
    <n v="171922"/>
    <s v="NZZMDL53D45A225C"/>
    <s v="NUZZOLESE MADDALENA"/>
    <s v="600 - Famiglie consumatrici"/>
    <m/>
    <s v="086 - ITALIA"/>
    <n v="1648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60"/>
    <x v="7"/>
    <x v="7"/>
    <x v="33"/>
    <n v="53850"/>
    <n v="99"/>
    <s v="053850_99"/>
    <s v="Discovery Day"/>
    <s v="Mai valutato"/>
    <m/>
    <n v="202505197994687"/>
    <m/>
    <n v="20250519"/>
    <s v="SPECIAL"/>
    <m/>
    <m/>
    <s v="D     - Dare"/>
    <n v="5894.36"/>
    <n v="0"/>
    <n v="591632"/>
    <s v="DDNGNN66R41L425H"/>
    <s v="ADDANTE GIOVANNA"/>
    <s v="600 - Famiglie consumatrici"/>
    <m/>
    <s v="086 - ITALIA"/>
    <n v="1470"/>
    <m/>
    <m/>
    <m/>
    <m/>
    <m/>
    <m/>
    <m/>
    <n v="0"/>
    <n v="202505"/>
    <x v="2"/>
    <x v="1"/>
    <x v="1"/>
    <m/>
    <x v="0"/>
    <x v="1"/>
    <s v="999"/>
    <s v="600"/>
    <s v="600999"/>
    <s v="Classe di rischio 7"/>
    <m/>
    <s v="Classe di rischio 7"/>
  </r>
  <r>
    <n v="348159"/>
    <x v="4"/>
    <x v="4"/>
    <x v="33"/>
    <n v="53850"/>
    <n v="182"/>
    <s v="053850_182"/>
    <s v="Discovery Day"/>
    <s v="Mai valutato"/>
    <m/>
    <n v="202505197995123"/>
    <n v="1823300172332"/>
    <n v="20250519"/>
    <s v="54 - Incassi diversi"/>
    <m/>
    <m/>
    <s v="A     - Avere"/>
    <n v="260000"/>
    <n v="0"/>
    <n v="3032172"/>
    <s v="LVRNNA54C57L049R"/>
    <s v="OLIVIERI ANNA"/>
    <s v="600 - Famiglie consumatrici"/>
    <m/>
    <s v="086 - ITALIA"/>
    <n v="6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58"/>
    <x v="3"/>
    <x v="3"/>
    <x v="33"/>
    <n v="53850"/>
    <n v="196"/>
    <s v="053850_196"/>
    <s v="Discovery Day"/>
    <s v="Mai valutato"/>
    <m/>
    <n v="202505197995160"/>
    <n v="1963302354823"/>
    <n v="20250519"/>
    <s v="G1 - Versamento assegni tratti su altro intermediario "/>
    <m/>
    <m/>
    <s v="A     - Avere"/>
    <n v="170000"/>
    <n v="0"/>
    <n v="4988260"/>
    <s v="DMDPTR85R24B619X"/>
    <s v="DI MODUGNO PIETRO"/>
    <s v="615 - Altre famiglie produttrici"/>
    <s v="012 - COLTIVAZIONE DI COLTURE PERMANENTI"/>
    <s v="086 - ITALIA"/>
    <n v="1453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48157"/>
    <x v="5"/>
    <x v="5"/>
    <x v="33"/>
    <n v="53850"/>
    <n v="268"/>
    <s v="053850_268"/>
    <s v="Discovery Day"/>
    <s v="Mai valutato"/>
    <m/>
    <n v="202505197994656"/>
    <n v="2683300010030"/>
    <n v="20250519"/>
    <s v="03 - Versamento contante cassa continua "/>
    <m/>
    <m/>
    <s v="A     - Avere"/>
    <n v="30630"/>
    <n v="3063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x v="1"/>
    <x v="0"/>
    <x v="0"/>
    <n v="4966939"/>
    <x v="1"/>
    <x v="0"/>
    <s v="999"/>
    <s v="615"/>
    <s v="615999"/>
    <m/>
    <s v="1"/>
    <s v="Classe di rischio 3"/>
  </r>
  <r>
    <n v="348156"/>
    <x v="5"/>
    <x v="5"/>
    <x v="33"/>
    <n v="53850"/>
    <n v="170"/>
    <s v="053850_170"/>
    <s v="Discovery Day"/>
    <s v="Mai valutato"/>
    <m/>
    <s v="Vari (19/05/2025)"/>
    <n v="1703300000428"/>
    <n v="20250519"/>
    <s v="03 - Versamento contante cassa continua "/>
    <m/>
    <m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5"/>
    <x v="1"/>
    <x v="0"/>
    <x v="0"/>
    <n v="4833134"/>
    <x v="1"/>
    <x v="0"/>
    <s v="999"/>
    <s v="430"/>
    <s v="430999"/>
    <m/>
    <s v="1"/>
    <s v="Classe di rischio 1"/>
  </r>
  <r>
    <n v="348155"/>
    <x v="2"/>
    <x v="2"/>
    <x v="33"/>
    <n v="53850"/>
    <n v="134"/>
    <s v="053850_134"/>
    <s v="Discovery Day"/>
    <s v="Mai valutato"/>
    <m/>
    <s v="202505197179782L"/>
    <n v="1303300000237"/>
    <n v="20250519"/>
    <s v="AA - Bonifico da e per estero "/>
    <m/>
    <s v="012 - BULGARIA"/>
    <s v="A     - Avere"/>
    <n v="4000"/>
    <n v="0"/>
    <n v="4005541"/>
    <s v="LMTPTR64P07A612G"/>
    <s v="LOMUTO PIETRO"/>
    <s v="600 - Famiglie consumatrici"/>
    <m/>
    <s v="086 - ITALIA"/>
    <n v="1659"/>
    <m/>
    <m/>
    <m/>
    <m/>
    <m/>
    <m/>
    <m/>
    <n v="0"/>
    <n v="202505"/>
    <x v="3"/>
    <x v="1"/>
    <x v="0"/>
    <m/>
    <x v="0"/>
    <x v="0"/>
    <s v="999"/>
    <s v="600"/>
    <s v="600999"/>
    <s v="Classe di rischio 7"/>
    <m/>
    <s v="Classe di rischio 7"/>
  </r>
  <r>
    <n v="348154"/>
    <x v="5"/>
    <x v="5"/>
    <x v="33"/>
    <n v="53850"/>
    <n v="182"/>
    <s v="053850_182"/>
    <s v="Discovery Day"/>
    <s v="Mai valutato"/>
    <m/>
    <s v="Vari (19/05/2025)"/>
    <n v="1823300169301"/>
    <n v="20250519"/>
    <s v="03 - Versamento contante cassa continua "/>
    <m/>
    <m/>
    <s v="A     - Avere"/>
    <n v="39220"/>
    <n v="3922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x v="1"/>
    <x v="0"/>
    <x v="0"/>
    <n v="4284957"/>
    <x v="1"/>
    <x v="0"/>
    <s v="920"/>
    <s v="615"/>
    <s v="615920"/>
    <s v="Classe di rischio 6"/>
    <m/>
    <s v="Classe di rischio 6"/>
  </r>
  <r>
    <n v="348153"/>
    <x v="4"/>
    <x v="4"/>
    <x v="33"/>
    <n v="53850"/>
    <n v="169"/>
    <s v="053850_169"/>
    <s v="Discovery Day"/>
    <s v="Mai valutato"/>
    <m/>
    <n v="202505197992531"/>
    <n v="1693302225447"/>
    <n v="20250519"/>
    <s v="48 - Bonifico in arrivo "/>
    <m/>
    <s v="086 - ITALIA"/>
    <s v="A     - Avere"/>
    <n v="298753.13"/>
    <n v="0"/>
    <n v="553393"/>
    <s v="CCEMDL41A41F284K"/>
    <s v="CECI MADDALENA"/>
    <s v="600 - Famiglie consumatrici"/>
    <m/>
    <s v="086 - ITALIA"/>
    <n v="1352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52"/>
    <x v="2"/>
    <x v="2"/>
    <x v="33"/>
    <n v="53850"/>
    <n v="119"/>
    <s v="053850_119"/>
    <s v="Discovery Day"/>
    <s v="Mai valutato"/>
    <m/>
    <s v="202505197179785L"/>
    <n v="1193308875001"/>
    <n v="20250519"/>
    <s v="AA - Bonifico da e per estero "/>
    <m/>
    <s v="012 - BULGARIA"/>
    <s v="A     - Avere"/>
    <n v="2800"/>
    <n v="0"/>
    <n v="4926288"/>
    <s v="DLLLRT95P14A662V"/>
    <s v="DELLINO ALBERTO"/>
    <s v="615 - Altre famiglie produttrici"/>
    <s v="331 - RIPARAZIONE E MANUTENZIONE DI PRODOTTI IN METALLO, MACCHINE ED APPARECCHIATURE"/>
    <s v="086 - ITALIA"/>
    <n v="656"/>
    <m/>
    <m/>
    <m/>
    <m/>
    <m/>
    <m/>
    <m/>
    <n v="0"/>
    <n v="202505"/>
    <x v="1"/>
    <x v="0"/>
    <x v="0"/>
    <m/>
    <x v="0"/>
    <x v="0"/>
    <s v="999"/>
    <s v="615"/>
    <s v="615999"/>
    <m/>
    <s v="1"/>
    <s v="Classe di rischio 3"/>
  </r>
  <r>
    <n v="348151"/>
    <x v="5"/>
    <x v="5"/>
    <x v="33"/>
    <n v="53850"/>
    <n v="259"/>
    <s v="053850_259"/>
    <s v="Discovery Day"/>
    <s v="Mai valutato"/>
    <m/>
    <n v="202505197994602"/>
    <n v="2593300000914"/>
    <n v="20250519"/>
    <s v="03 - Versamento contante cassa continua "/>
    <m/>
    <m/>
    <s v="A     - Avere"/>
    <n v="32700"/>
    <n v="32700"/>
    <n v="4960187"/>
    <n v="8510340725"/>
    <s v="FARMACIA SANT'ANDREA S.R.L."/>
    <s v="430 - Imprese produttive"/>
    <s v="477 - COMMERCIO AL DETTAGLIO DI ALTRI PRODOTTI IN ESERCIZI SPECIALIZZATI"/>
    <s v="086 - ITALIA"/>
    <n v="1578"/>
    <m/>
    <m/>
    <m/>
    <m/>
    <m/>
    <m/>
    <m/>
    <n v="0"/>
    <n v="202505"/>
    <x v="1"/>
    <x v="0"/>
    <x v="0"/>
    <n v="4960187"/>
    <x v="1"/>
    <x v="0"/>
    <s v="477"/>
    <s v="430"/>
    <s v="430477"/>
    <s v="Classe di rischio 3"/>
    <m/>
    <s v="Classe di rischio 3"/>
  </r>
  <r>
    <n v="348150"/>
    <x v="3"/>
    <x v="3"/>
    <x v="33"/>
    <n v="53850"/>
    <n v="167"/>
    <s v="053850_167"/>
    <s v="Discovery Day"/>
    <s v="Mai valutato"/>
    <m/>
    <n v="202505197995026"/>
    <n v="1033306971144"/>
    <n v="20250519"/>
    <s v="G1 - Versamento assegni tratti su altro intermediario "/>
    <m/>
    <m/>
    <s v="A     - Avere"/>
    <n v="103913.4"/>
    <n v="0"/>
    <n v="4216641"/>
    <n v="6103450729"/>
    <s v="DAGEL MANGIMI SRL"/>
    <s v="430 - Imprese produttive"/>
    <s v="109 - PRODUZIONE DI PRODOTTI PER L'ALIMENTAZIONE DEGLI ANIMALI"/>
    <s v="086 - ITALIA"/>
    <n v="192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149"/>
    <x v="5"/>
    <x v="5"/>
    <x v="33"/>
    <n v="53850"/>
    <n v="167"/>
    <s v="053850_167"/>
    <s v="Discovery Day"/>
    <s v="Mai valutato"/>
    <m/>
    <s v="Vari (19/05/2025)"/>
    <n v="1673300705418"/>
    <n v="20250519"/>
    <s v="VV"/>
    <m/>
    <m/>
    <s v="A     - Avere"/>
    <n v="37250"/>
    <n v="32650"/>
    <n v="3722809"/>
    <s v="SQCRNN94T50E155U"/>
    <s v="SQUICCIARINO ARIANNA"/>
    <s v="600 - Famiglie consumatrici"/>
    <m/>
    <s v="086 - ITALIA"/>
    <n v="962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148"/>
    <x v="5"/>
    <x v="5"/>
    <x v="33"/>
    <n v="53850"/>
    <n v="267"/>
    <s v="053850_267"/>
    <s v="Discovery Day"/>
    <s v="Mai valutato"/>
    <m/>
    <n v="202505197995219"/>
    <n v="2673300003600"/>
    <n v="20250519"/>
    <s v="D1 - Versamento di contante "/>
    <m/>
    <m/>
    <s v="A     - Avere"/>
    <n v="86000"/>
    <n v="86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x v="1"/>
    <x v="0"/>
    <x v="0"/>
    <n v="1705101"/>
    <x v="1"/>
    <x v="0"/>
    <s v="999"/>
    <s v="492"/>
    <s v="492999"/>
    <m/>
    <s v="1"/>
    <s v="Classe di rischio 2"/>
  </r>
  <r>
    <n v="348147"/>
    <x v="3"/>
    <x v="3"/>
    <x v="33"/>
    <n v="53850"/>
    <n v="182"/>
    <s v="053850_182"/>
    <s v="Discovery Day"/>
    <s v="Mai valutato"/>
    <m/>
    <s v="Vari (19/05/2025)"/>
    <n v="1823300169301"/>
    <n v="20250519"/>
    <s v="03 - Versamento contante cassa continua "/>
    <m/>
    <m/>
    <s v="A     - Avere"/>
    <n v="39220"/>
    <n v="3922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x v="1"/>
    <x v="0"/>
    <x v="0"/>
    <n v="4284957"/>
    <x v="1"/>
    <x v="0"/>
    <s v="920"/>
    <s v="615"/>
    <s v="615920"/>
    <s v="Classe di rischio 6"/>
    <m/>
    <s v="Classe di rischio 6"/>
  </r>
  <r>
    <n v="348146"/>
    <x v="3"/>
    <x v="3"/>
    <x v="33"/>
    <n v="53850"/>
    <n v="128"/>
    <s v="053850_128"/>
    <s v="Discovery Day"/>
    <s v="Mai valutato"/>
    <m/>
    <s v="Vari (19/05/2025)"/>
    <n v="1283300001665"/>
    <n v="20250519"/>
    <s v="VV"/>
    <m/>
    <m/>
    <s v="A     - Avere"/>
    <n v="114563.41"/>
    <n v="745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x v="1"/>
    <x v="0"/>
    <x v="0"/>
    <m/>
    <x v="0"/>
    <x v="1"/>
    <s v="999"/>
    <s v="430"/>
    <s v="430999"/>
    <m/>
    <s v="1"/>
    <s v="Classe di rischio 1"/>
  </r>
  <r>
    <n v="348145"/>
    <x v="2"/>
    <x v="2"/>
    <x v="33"/>
    <n v="53850"/>
    <n v="261"/>
    <s v="053850_261"/>
    <s v="Discovery Day"/>
    <s v="Mai valutato"/>
    <m/>
    <s v="202505197178620L"/>
    <n v="2613300001265"/>
    <n v="20250519"/>
    <s v="AA - Bonifico da e per estero "/>
    <m/>
    <s v="091 - PRINCIPATO DI MONACO"/>
    <s v="A     - Avere"/>
    <n v="35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144"/>
    <x v="4"/>
    <x v="4"/>
    <x v="33"/>
    <n v="53850"/>
    <n v="173"/>
    <s v="053850_173"/>
    <s v="Discovery Day"/>
    <s v="Mai valutato"/>
    <m/>
    <n v="202505197994686"/>
    <n v="1733302704527"/>
    <n v="20250519"/>
    <s v="SPECIAL"/>
    <m/>
    <m/>
    <s v="D     - Dare"/>
    <n v="5894.36"/>
    <n v="0"/>
    <n v="464730"/>
    <s v="LPRSMN62B17L425Q"/>
    <s v="LOPRIORE SIMONE"/>
    <s v="600 - Famiglie consumatrici"/>
    <m/>
    <s v="086 - ITALIA"/>
    <n v="1470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143"/>
    <x v="6"/>
    <x v="6"/>
    <x v="33"/>
    <n v="53850"/>
    <n v="104"/>
    <s v="053850_104"/>
    <s v="Discovery Day"/>
    <s v="Mai valutato"/>
    <m/>
    <n v="202505197992867"/>
    <n v="1041204046489"/>
    <n v="20250519"/>
    <s v="AA - Bonifico da e per estero "/>
    <m/>
    <s v="103 - HONG KONG"/>
    <s v="D     - Dare"/>
    <n v="55951.3"/>
    <n v="0"/>
    <n v="4046489"/>
    <n v="5063080724"/>
    <s v="NEWAGE S.P.A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48142"/>
    <x v="4"/>
    <x v="4"/>
    <x v="33"/>
    <n v="53850"/>
    <n v="182"/>
    <s v="053850_182"/>
    <s v="Discovery Day"/>
    <s v="Mai valutato"/>
    <m/>
    <n v="202505197995123"/>
    <n v="1823300172332"/>
    <n v="20250519"/>
    <s v="54 - Incassi diversi"/>
    <m/>
    <m/>
    <s v="A     - Avere"/>
    <n v="260000"/>
    <n v="0"/>
    <n v="4778753"/>
    <s v="ZZLLSN93R60L049I"/>
    <s v="AZZOLLINI ALESSANDRA"/>
    <s v="600 - Famiglie consumatrici"/>
    <m/>
    <s v="086 - ITALIA"/>
    <n v="6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41"/>
    <x v="3"/>
    <x v="3"/>
    <x v="33"/>
    <n v="53850"/>
    <n v="102"/>
    <s v="053850_102"/>
    <s v="Discovery Day"/>
    <s v="Mai valutato"/>
    <m/>
    <n v="202505197994721"/>
    <n v="1033306969732"/>
    <n v="20250519"/>
    <s v="G2 - Versamento assegni tratti sullo stesso intermediario "/>
    <m/>
    <m/>
    <s v="A     - Avere"/>
    <n v="125000"/>
    <n v="0"/>
    <n v="480103"/>
    <s v="SPNNGL66S49E155K"/>
    <s v="SPANO ANGELA"/>
    <s v="614 - Artigiani"/>
    <s v="351 - PRODUZIONE, TRASMISSIONE E DISTRIBUZIONE DI ENERGIA ELETTRICA"/>
    <s v="086 - ITALIA"/>
    <n v="1912"/>
    <m/>
    <m/>
    <m/>
    <m/>
    <m/>
    <m/>
    <m/>
    <n v="0"/>
    <n v="202505"/>
    <x v="2"/>
    <x v="1"/>
    <x v="0"/>
    <m/>
    <x v="0"/>
    <x v="0"/>
    <s v="999"/>
    <s v="614"/>
    <s v="614999"/>
    <m/>
    <s v="1"/>
    <s v="Classe di rischio 3"/>
  </r>
  <r>
    <n v="348140"/>
    <x v="5"/>
    <x v="5"/>
    <x v="33"/>
    <n v="53850"/>
    <n v="167"/>
    <s v="053850_167"/>
    <s v="Discovery Day"/>
    <s v="Mai valutato"/>
    <m/>
    <s v="Vari (19/05/2025)"/>
    <n v="1673300705418"/>
    <n v="20250519"/>
    <s v="VV"/>
    <m/>
    <m/>
    <s v="A     - Avere"/>
    <n v="37250"/>
    <n v="32650"/>
    <n v="4047023"/>
    <s v="SCHFNC89M20F052T"/>
    <s v="SCHINCO FRANCESCO"/>
    <s v="600 - Famiglie consumatrici"/>
    <m/>
    <s v="086 - ITALIA"/>
    <n v="962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139"/>
    <x v="3"/>
    <x v="3"/>
    <x v="33"/>
    <n v="53850"/>
    <n v="108"/>
    <s v="053850_108"/>
    <s v="Discovery Day"/>
    <s v="Mai valutato"/>
    <m/>
    <n v="202505197994796"/>
    <n v="1083306291316"/>
    <n v="20250519"/>
    <s v="G7 - Versamento assegno circolare altro intermediario "/>
    <m/>
    <m/>
    <s v="A     - Avere"/>
    <n v="105298"/>
    <n v="0"/>
    <n v="4996910"/>
    <s v="DPRRSO87M71H096A"/>
    <s v="D'APRILE ROSA"/>
    <s v="600 - Famiglie consumatrici"/>
    <m/>
    <s v="086 - ITALIA"/>
    <n v="127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38"/>
    <x v="3"/>
    <x v="3"/>
    <x v="33"/>
    <n v="53850"/>
    <n v="102"/>
    <s v="053850_102"/>
    <s v="Discovery Day"/>
    <s v="Mai valutato"/>
    <m/>
    <n v="202505197994695"/>
    <n v="1023308725968"/>
    <n v="20250519"/>
    <s v="G8 - Versamento assegno circolare stesso intermediario"/>
    <m/>
    <m/>
    <s v="A     - Avere"/>
    <n v="230000"/>
    <n v="0"/>
    <n v="135562"/>
    <s v="LTRGNN46E05A225X"/>
    <s v="LATERZA GIOVANNI"/>
    <s v="614 - Artigiani"/>
    <s v="452 - MANUTENZIONE E RIPARAZIONE DI AUTOVEICOLI"/>
    <s v="086 - ITALIA"/>
    <m/>
    <m/>
    <m/>
    <m/>
    <m/>
    <m/>
    <m/>
    <m/>
    <n v="0"/>
    <n v="202505"/>
    <x v="2"/>
    <x v="1"/>
    <x v="0"/>
    <m/>
    <x v="0"/>
    <x v="0"/>
    <s v="999"/>
    <s v="614"/>
    <s v="614999"/>
    <m/>
    <s v="1"/>
    <s v="Classe di rischio 3"/>
  </r>
  <r>
    <n v="348137"/>
    <x v="5"/>
    <x v="5"/>
    <x v="33"/>
    <n v="53850"/>
    <n v="102"/>
    <s v="053850_102"/>
    <s v="Discovery Day"/>
    <s v="Mai valutato"/>
    <m/>
    <s v="Vari (19/05/2025)"/>
    <n v="1023308718942"/>
    <n v="20250519"/>
    <s v="D1 - Versamento di contante "/>
    <m/>
    <m/>
    <s v="A     - Avere"/>
    <n v="34040"/>
    <n v="34040"/>
    <n v="417727"/>
    <n v="4700510722"/>
    <s v="NUOVA ALTILIA SRL"/>
    <s v="430 - Imprese produttive"/>
    <s v="801 - SERVIZI DI VIGILANZA PRIVATA"/>
    <s v="086 - ITALIA"/>
    <n v="911"/>
    <m/>
    <m/>
    <m/>
    <m/>
    <m/>
    <m/>
    <m/>
    <n v="0"/>
    <n v="202505"/>
    <x v="2"/>
    <x v="1"/>
    <x v="0"/>
    <m/>
    <x v="0"/>
    <x v="0"/>
    <s v="801"/>
    <s v="430"/>
    <s v="430801"/>
    <s v="Classe di rischio 3"/>
    <m/>
    <s v="Classe di rischio 3"/>
  </r>
  <r>
    <n v="348136"/>
    <x v="7"/>
    <x v="7"/>
    <x v="33"/>
    <n v="53850"/>
    <n v="99"/>
    <s v="053850_99"/>
    <s v="Discovery Day"/>
    <s v="Mai valutato"/>
    <m/>
    <n v="202505197994687"/>
    <m/>
    <n v="20250519"/>
    <s v="SPECIAL"/>
    <m/>
    <m/>
    <s v="D     - Dare"/>
    <n v="5894.36"/>
    <n v="0"/>
    <n v="464730"/>
    <s v="LPRSMN62B17L425Q"/>
    <s v="LOPRIORE SIMONE"/>
    <s v="600 - Famiglie consumatrici"/>
    <m/>
    <s v="086 - ITALIA"/>
    <n v="1470"/>
    <m/>
    <m/>
    <m/>
    <m/>
    <m/>
    <m/>
    <m/>
    <n v="0"/>
    <n v="202505"/>
    <x v="2"/>
    <x v="1"/>
    <x v="1"/>
    <m/>
    <x v="0"/>
    <x v="1"/>
    <s v="999"/>
    <s v="600"/>
    <s v="600999"/>
    <s v="Classe di rischio 7"/>
    <m/>
    <s v="Classe di rischio 7"/>
  </r>
  <r>
    <n v="348135"/>
    <x v="2"/>
    <x v="2"/>
    <x v="33"/>
    <n v="53850"/>
    <n v="141"/>
    <s v="053850_141"/>
    <s v="Discovery Day"/>
    <s v="Mai valutato"/>
    <m/>
    <n v="202505197992873"/>
    <n v="1413300004310"/>
    <n v="20250519"/>
    <s v="AA - Bonifico da e per estero "/>
    <m/>
    <s v="091 - PRINCIPATO DI MONACO"/>
    <s v="A     - Avere"/>
    <n v="13200"/>
    <n v="0"/>
    <n v="3737453"/>
    <n v="4916910757"/>
    <s v="RSG PROPERTY MANAGEMENT SRLS"/>
    <s v="430 - Imprese produttive"/>
    <s v="551 - ALBERGHI E STRUTTURE SIMILI"/>
    <s v="086 - ITALIA"/>
    <m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134"/>
    <x v="4"/>
    <x v="4"/>
    <x v="33"/>
    <n v="53850"/>
    <n v="103"/>
    <s v="053850_103"/>
    <s v="Discovery Day"/>
    <s v="Mai valutato"/>
    <m/>
    <n v="202505197994728"/>
    <n v="1033302886547"/>
    <n v="20250519"/>
    <s v="SPECIAL"/>
    <m/>
    <m/>
    <s v="D     - Dare"/>
    <n v="53494.55"/>
    <n v="0"/>
    <n v="5453"/>
    <n v="82000970721"/>
    <s v="COMUNE DI GRAVINA"/>
    <s v="173 - Amministrazioni comunali e unioni di comuni"/>
    <m/>
    <s v="086 - ITALIA"/>
    <n v="1926"/>
    <m/>
    <m/>
    <m/>
    <m/>
    <m/>
    <m/>
    <m/>
    <n v="0"/>
    <n v="202505"/>
    <x v="1"/>
    <x v="0"/>
    <x v="0"/>
    <m/>
    <x v="0"/>
    <x v="1"/>
    <s v="999"/>
    <s v="173"/>
    <s v="173999"/>
    <s v="Classe di rischio 0"/>
    <m/>
    <s v="Classe di rischio 0"/>
  </r>
  <r>
    <n v="348133"/>
    <x v="5"/>
    <x v="5"/>
    <x v="33"/>
    <n v="53850"/>
    <n v="161"/>
    <s v="053850_161"/>
    <s v="Discovery Day"/>
    <s v="Mai valutato"/>
    <m/>
    <n v="202505197994994"/>
    <n v="1613300031333"/>
    <n v="20250519"/>
    <s v="D1 - Versamento di contante "/>
    <m/>
    <m/>
    <s v="A     - Avere"/>
    <n v="30500"/>
    <n v="3050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5"/>
    <x v="1"/>
    <x v="0"/>
    <x v="0"/>
    <n v="511904"/>
    <x v="1"/>
    <x v="0"/>
    <s v="999"/>
    <s v="615"/>
    <s v="615999"/>
    <m/>
    <s v="1"/>
    <s v="Classe di rischio 3"/>
  </r>
  <r>
    <n v="348132"/>
    <x v="4"/>
    <x v="4"/>
    <x v="33"/>
    <n v="53850"/>
    <n v="116"/>
    <s v="053850_116"/>
    <s v="Discovery Day"/>
    <s v="Mai valutato"/>
    <m/>
    <n v="202505197994867"/>
    <n v="1163307617735"/>
    <n v="20250519"/>
    <s v="26 - Bonifico in partenza "/>
    <m/>
    <s v="086 - ITALIA"/>
    <s v="D     - Dare"/>
    <n v="340000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x v="3"/>
    <x v="1"/>
    <x v="0"/>
    <m/>
    <x v="0"/>
    <x v="0"/>
    <s v="999"/>
    <s v="600"/>
    <s v="600999"/>
    <s v="Classe di rischio 7"/>
    <m/>
    <s v="Classe di rischio 7"/>
  </r>
  <r>
    <n v="348131"/>
    <x v="5"/>
    <x v="5"/>
    <x v="33"/>
    <n v="53850"/>
    <n v="117"/>
    <s v="053850_117"/>
    <s v="Discovery Day"/>
    <s v="Mai valutato"/>
    <m/>
    <s v="Vari (18/05/2025)"/>
    <n v="1173300538726"/>
    <n v="20250518"/>
    <s v="03 - Versamento contante cassa continua "/>
    <m/>
    <m/>
    <s v="A     - Avere"/>
    <n v="37590"/>
    <n v="3759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5"/>
    <x v="1"/>
    <x v="0"/>
    <x v="0"/>
    <n v="4784989"/>
    <x v="1"/>
    <x v="0"/>
    <s v="999"/>
    <s v="430"/>
    <s v="430999"/>
    <m/>
    <s v="1"/>
    <s v="Classe di rischio 1"/>
  </r>
  <r>
    <n v="348130"/>
    <x v="5"/>
    <x v="5"/>
    <x v="33"/>
    <n v="53850"/>
    <n v="118"/>
    <s v="053850_118"/>
    <s v="Discovery Day"/>
    <s v="Mai valutato"/>
    <m/>
    <n v="202505187994075"/>
    <n v="1023308722503"/>
    <n v="20250518"/>
    <s v="03 - Versamento contante cassa continua "/>
    <m/>
    <m/>
    <s v="A     - Avere"/>
    <n v="18700"/>
    <n v="187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129"/>
    <x v="5"/>
    <x v="5"/>
    <x v="33"/>
    <n v="53850"/>
    <n v="116"/>
    <s v="053850_116"/>
    <s v="Discovery Day"/>
    <s v="Mai valutato"/>
    <m/>
    <s v="Vari (17/05/2025)"/>
    <n v="1423300307298"/>
    <n v="20250517"/>
    <s v="03 - Versamento contante cassa continua "/>
    <m/>
    <m/>
    <s v="A     - Avere"/>
    <n v="43800"/>
    <n v="43800"/>
    <n v="4190581"/>
    <n v="5161670723"/>
    <s v="LADYES S.R.L."/>
    <s v="430 - Imprese produttive"/>
    <s v="563 - BAR E ALTRI ESERCIZI SIMILI SENZA CUCINA"/>
    <s v="086 - ITALIA"/>
    <n v="1612"/>
    <m/>
    <m/>
    <m/>
    <m/>
    <m/>
    <m/>
    <m/>
    <n v="0"/>
    <n v="202505"/>
    <x v="3"/>
    <x v="1"/>
    <x v="0"/>
    <n v="4190581"/>
    <x v="1"/>
    <x v="0"/>
    <s v="999"/>
    <s v="430"/>
    <s v="430999"/>
    <m/>
    <s v="1"/>
    <s v="Classe di rischio 1"/>
  </r>
  <r>
    <n v="348128"/>
    <x v="5"/>
    <x v="5"/>
    <x v="33"/>
    <n v="53850"/>
    <n v="109"/>
    <s v="053850_109"/>
    <s v="Discovery Day"/>
    <s v="Mai valutato"/>
    <m/>
    <s v="Vari (09/05/2025)"/>
    <n v="1093306674001"/>
    <n v="20250509"/>
    <s v="D1 - Versamento di contante "/>
    <m/>
    <m/>
    <s v="A     - Avere"/>
    <n v="18360"/>
    <n v="18360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5"/>
    <x v="1"/>
    <x v="0"/>
    <x v="0"/>
    <n v="4125303"/>
    <x v="1"/>
    <x v="0"/>
    <s v="477"/>
    <s v="615"/>
    <s v="615477"/>
    <s v="Classe di rischio 6"/>
    <m/>
    <s v="Classe di rischio 6"/>
  </r>
  <r>
    <n v="348127"/>
    <x v="5"/>
    <x v="5"/>
    <x v="34"/>
    <n v="53850"/>
    <n v="119"/>
    <s v="053850_119"/>
    <s v="Discovery Day"/>
    <s v="Mai valutato"/>
    <m/>
    <n v="202505167986161"/>
    <n v="1093306673806"/>
    <n v="20250516"/>
    <s v="03 - Versamento contante cassa continua "/>
    <m/>
    <m/>
    <s v="A     - Avere"/>
    <n v="15100"/>
    <n v="15100"/>
    <n v="4852124"/>
    <n v="7886680722"/>
    <s v="FARMACIA SAN PIETRO DELLE DOTT.SSE PATANO M.A. E RICCHETTI R. S.N.C."/>
    <s v="492 - Quasi societa' non finanziarie altre - Unita' o societa' con meno di 20 addetti"/>
    <s v="477 - COMMERCIO AL DETTAGLIO DI ALTRI PRODOTTI IN ESERCIZI SPECIALIZZATI"/>
    <s v="086 - ITALIA"/>
    <n v="1107"/>
    <m/>
    <m/>
    <m/>
    <m/>
    <m/>
    <m/>
    <m/>
    <n v="0"/>
    <n v="202505"/>
    <x v="1"/>
    <x v="0"/>
    <x v="0"/>
    <m/>
    <x v="0"/>
    <x v="0"/>
    <s v="477"/>
    <s v="492"/>
    <s v="492477"/>
    <s v="Classe di rischio 5"/>
    <m/>
    <s v="Classe di rischio 5"/>
  </r>
  <r>
    <n v="348126"/>
    <x v="5"/>
    <x v="5"/>
    <x v="34"/>
    <n v="53850"/>
    <n v="171"/>
    <s v="053850_171"/>
    <s v="Discovery Day"/>
    <s v="Mai valutato"/>
    <m/>
    <s v="Vari (16/05/2025)"/>
    <n v="1713305728950"/>
    <n v="20250516"/>
    <s v="03 - Versamento contante cassa continua "/>
    <m/>
    <m/>
    <s v="A     - Avere"/>
    <n v="364852.12"/>
    <n v="364852.12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125"/>
    <x v="4"/>
    <x v="4"/>
    <x v="34"/>
    <n v="53850"/>
    <n v="102"/>
    <s v="053850_102"/>
    <s v="Discovery Day"/>
    <s v="Mai valutato"/>
    <m/>
    <n v="202505167985582"/>
    <n v="1023308728031"/>
    <n v="20250516"/>
    <s v="50 - Pagamenti diversi"/>
    <m/>
    <m/>
    <s v="D     - Dare"/>
    <n v="1401654.56"/>
    <n v="0"/>
    <n v="3033613"/>
    <n v="5066690156"/>
    <s v="PELLEGRINI S.P.A."/>
    <s v="430 - Imprese produttive"/>
    <s v="562 - FORNITURA DI PASTI PREPARATI (CATERING) E ALTRI SERVIZI DI RISTORAZIONE"/>
    <s v="086 - ITALIA"/>
    <n v="1203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124"/>
    <x v="4"/>
    <x v="4"/>
    <x v="34"/>
    <n v="53850"/>
    <n v="109"/>
    <s v="053850_109"/>
    <s v="Discovery Day"/>
    <s v="Mai valutato"/>
    <m/>
    <n v="202505167985905"/>
    <n v="1093306673999"/>
    <n v="20250516"/>
    <s v="50 - Pagamenti diversi"/>
    <m/>
    <m/>
    <s v="D     - Dare"/>
    <n v="1138611.3600000001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123"/>
    <x v="4"/>
    <x v="4"/>
    <x v="34"/>
    <n v="53850"/>
    <n v="187"/>
    <s v="053850_187"/>
    <s v="Discovery Day"/>
    <s v="Mai valutato"/>
    <m/>
    <n v="202505167984032"/>
    <n v="999361870311"/>
    <n v="20250516"/>
    <s v="AA - Bonifico da e per estero "/>
    <m/>
    <s v="050 - PAESI BASSI"/>
    <s v="D     - Dare"/>
    <n v="1828906.6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48122"/>
    <x v="4"/>
    <x v="4"/>
    <x v="34"/>
    <n v="53850"/>
    <n v="114"/>
    <s v="053850_114"/>
    <s v="Discovery Day"/>
    <s v="Mai valutato"/>
    <m/>
    <n v="202505167986712"/>
    <n v="1143306280450"/>
    <n v="20250516"/>
    <s v="SPECIAL"/>
    <m/>
    <m/>
    <s v="D     - Dare"/>
    <n v="39861.81"/>
    <n v="0"/>
    <n v="4585160"/>
    <n v="2073300713"/>
    <s v="FALLIMENTO FRATELLI BRACCIA DI BRACCIA ANTON"/>
    <s v="430 - Imprese produttive"/>
    <s v="473 - COMMERCIO AL DETTAGLIO DI CARBURANTE PER AUTOTRAZIONE IN ESERCIZI SPECIALIZZATI"/>
    <s v="086 - ITALIA"/>
    <n v="519"/>
    <m/>
    <m/>
    <m/>
    <m/>
    <m/>
    <m/>
    <m/>
    <n v="0"/>
    <n v="202505"/>
    <x v="1"/>
    <x v="0"/>
    <x v="0"/>
    <m/>
    <x v="0"/>
    <x v="1"/>
    <s v="999"/>
    <s v="430"/>
    <s v="430999"/>
    <m/>
    <s v="1"/>
    <s v="Classe di rischio 1"/>
  </r>
  <r>
    <n v="348121"/>
    <x v="3"/>
    <x v="3"/>
    <x v="34"/>
    <n v="53850"/>
    <n v="121"/>
    <s v="053850_121"/>
    <s v="Discovery Day"/>
    <s v="Mai valutato"/>
    <m/>
    <n v="202505167986741"/>
    <n v="1213300002971"/>
    <n v="20250516"/>
    <s v="G1 - Versamento assegni tratti su altro intermediario "/>
    <m/>
    <m/>
    <s v="A     - Avere"/>
    <n v="150000"/>
    <n v="0"/>
    <n v="4859756"/>
    <n v="7229510727"/>
    <s v="ORGANIZZAZIONE DI PRODUTTORI PUGLIAVIVA - SO"/>
    <s v="430 - Imprese produttive"/>
    <s v="016 - ATTIVITÀ DI SUPPORTO ALL'AGRICOLTURA E ATTIVITÀ SUCCESSIVE ALLA RACCOLTA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120"/>
    <x v="4"/>
    <x v="4"/>
    <x v="34"/>
    <n v="53850"/>
    <n v="173"/>
    <s v="053850_173"/>
    <s v="Discovery Day"/>
    <s v="Mai valutato"/>
    <m/>
    <n v="202505167986883"/>
    <n v="1733302705276"/>
    <n v="20250516"/>
    <s v="26 - Bonifico in partenza "/>
    <m/>
    <s v="086 - ITALIA"/>
    <s v="D     - Da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19"/>
    <x v="5"/>
    <x v="5"/>
    <x v="34"/>
    <n v="53850"/>
    <n v="174"/>
    <s v="053850_174"/>
    <s v="Discovery Day"/>
    <s v="Mai valutato"/>
    <m/>
    <s v="Vari (16/05/2025)"/>
    <n v="1743302879903"/>
    <n v="20250516"/>
    <s v="VV"/>
    <m/>
    <m/>
    <s v="A     - Avere"/>
    <n v="70995.5"/>
    <n v="5577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5"/>
    <x v="0"/>
    <x v="0"/>
    <x v="0"/>
    <n v="4928259"/>
    <x v="1"/>
    <x v="1"/>
    <s v="463"/>
    <s v="430"/>
    <s v="430463"/>
    <s v="Classe di rischio 3"/>
    <m/>
    <s v="Classe di rischio 3"/>
  </r>
  <r>
    <n v="348118"/>
    <x v="6"/>
    <x v="6"/>
    <x v="34"/>
    <n v="53850"/>
    <n v="191"/>
    <s v="053850_191"/>
    <s v="Discovery Day"/>
    <s v="Mai valutato"/>
    <m/>
    <n v="202505167986944"/>
    <n v="1913300069010"/>
    <n v="20250516"/>
    <s v="AA - Bonifico da e per estero "/>
    <m/>
    <s v="071 - SVIZZERA"/>
    <s v="D     - Dare"/>
    <n v="230000"/>
    <n v="0"/>
    <n v="4067141"/>
    <s v="RSSNNA50P49E882S"/>
    <s v="ROSSETTI ANNA"/>
    <s v="775 - Famiglie consumatrici di paesi non UE"/>
    <m/>
    <s v="071 - SVIZZERA"/>
    <n v="517"/>
    <m/>
    <m/>
    <m/>
    <m/>
    <m/>
    <m/>
    <m/>
    <n v="0"/>
    <n v="202505"/>
    <x v="2"/>
    <x v="1"/>
    <x v="0"/>
    <m/>
    <x v="0"/>
    <x v="0"/>
    <s v="999"/>
    <s v="775"/>
    <s v="775999"/>
    <s v="Classe di rischio 7"/>
    <m/>
    <s v="Classe di rischio 7"/>
  </r>
  <r>
    <n v="348117"/>
    <x v="2"/>
    <x v="2"/>
    <x v="34"/>
    <n v="53850"/>
    <n v="105"/>
    <s v="053850_105"/>
    <s v="Discovery Day"/>
    <s v="Mai valutato"/>
    <m/>
    <n v="202505167985175"/>
    <n v="1053306286871"/>
    <n v="20250516"/>
    <s v="AA - Bonifico da e per estero "/>
    <m/>
    <s v="238 - ABU DHABI"/>
    <s v="A     - Avere"/>
    <n v="5112"/>
    <n v="0"/>
    <n v="4269425"/>
    <n v="4938290725"/>
    <s v="SAN DOMENICO S.N.C. DI FILIPPO MANCINO &amp; C."/>
    <s v="482 - Quasi societa' non finanziarie artigiane - Unita' o societa' con meno di 20 addetti"/>
    <s v="104 - PRODUZIONE DI OLI E GRASSI VEGETALI E ANIMALI"/>
    <s v="086 - ITALIA"/>
    <n v="1947"/>
    <m/>
    <m/>
    <m/>
    <m/>
    <m/>
    <m/>
    <m/>
    <n v="0"/>
    <n v="202505"/>
    <x v="4"/>
    <x v="1"/>
    <x v="0"/>
    <m/>
    <x v="0"/>
    <x v="0"/>
    <s v="999"/>
    <s v="482"/>
    <s v="482999"/>
    <m/>
    <s v="1"/>
    <s v="Classe di rischio 2"/>
  </r>
  <r>
    <n v="348116"/>
    <x v="4"/>
    <x v="4"/>
    <x v="34"/>
    <n v="53850"/>
    <n v="109"/>
    <s v="053850_109"/>
    <s v="Discovery Day"/>
    <s v="Mai valutato"/>
    <m/>
    <s v="202505167124637L"/>
    <n v="1093306674144"/>
    <n v="20250516"/>
    <s v="SPECIAL"/>
    <m/>
    <m/>
    <s v="D     - Dare"/>
    <n v="1992.86"/>
    <n v="0"/>
    <n v="4895193"/>
    <s v="LGRDRD69A55A662X"/>
    <s v="LEGROTTAGLIE IDA LOREDANA"/>
    <s v="600 - Famiglie consumatrici"/>
    <m/>
    <s v="086 - ITALIA"/>
    <n v="929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115"/>
    <x v="4"/>
    <x v="4"/>
    <x v="34"/>
    <n v="53850"/>
    <n v="170"/>
    <s v="053850_170"/>
    <s v="Discovery Day"/>
    <s v="Mai valutato"/>
    <m/>
    <n v="202505167986875"/>
    <n v="1703306289593"/>
    <n v="20250516"/>
    <s v="AF - Disp.giro conti diversi intestati ordinante(stesso intermed.)"/>
    <m/>
    <s v="086 - ITALIA"/>
    <s v="A     - Avere"/>
    <n v="312000"/>
    <n v="0"/>
    <n v="4944194"/>
    <s v="FNTVCN90L09A285V"/>
    <s v="FINTO VINCENZO"/>
    <s v="600 - Famiglie consumatrici"/>
    <m/>
    <s v="086 - ITALIA"/>
    <n v="195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14"/>
    <x v="3"/>
    <x v="3"/>
    <x v="34"/>
    <n v="53850"/>
    <n v="102"/>
    <s v="053850_102"/>
    <s v="Discovery Day"/>
    <s v="Mai valutato"/>
    <m/>
    <n v="202505167986600"/>
    <n v="1023302038620"/>
    <n v="20250516"/>
    <s v="D1 - Versamento di contante "/>
    <m/>
    <m/>
    <s v="A     - Avere"/>
    <n v="800000"/>
    <n v="0"/>
    <n v="42352"/>
    <s v="LDCGPP47A18A225P"/>
    <s v="LOIUDICE GIUSEPPE"/>
    <s v="615 - Altre famiglie produttrici"/>
    <s v="251 - FABBRICAZIONE DI ELEMENTI DA COSTRUZIONE IN METALLO"/>
    <s v="086 - ITALIA"/>
    <n v="580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48113"/>
    <x v="4"/>
    <x v="4"/>
    <x v="34"/>
    <n v="53850"/>
    <n v="182"/>
    <s v="053850_182"/>
    <s v="Discovery Day"/>
    <s v="Mai valutato"/>
    <m/>
    <n v="202505167984806"/>
    <n v="1823300072312"/>
    <n v="20250516"/>
    <s v="48 - Bonifico in arrivo "/>
    <m/>
    <s v="086 - ITALIA"/>
    <s v="A     - Avere"/>
    <n v="1215238.24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112"/>
    <x v="2"/>
    <x v="2"/>
    <x v="34"/>
    <n v="53850"/>
    <n v="103"/>
    <s v="053850_103"/>
    <s v="Discovery Day"/>
    <s v="Mai valutato"/>
    <m/>
    <n v="202505167985123"/>
    <n v="1033306976736"/>
    <n v="20250516"/>
    <s v="AA - Bonifico da e per estero "/>
    <m/>
    <s v="261 - CROAZIA"/>
    <s v="A     - Avere"/>
    <n v="18153.02"/>
    <n v="0"/>
    <n v="4127133"/>
    <n v="5762170727"/>
    <s v="FORM DESIGN S.R.L."/>
    <s v="430 - Imprese produttive"/>
    <s v="310 - FABBRICAZIONE DI MOBILI"/>
    <s v="086 - ITALIA"/>
    <n v="739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111"/>
    <x v="2"/>
    <x v="2"/>
    <x v="34"/>
    <n v="53850"/>
    <n v="103"/>
    <s v="053850_103"/>
    <s v="Discovery Day"/>
    <s v="Mai valutato"/>
    <m/>
    <n v="202505167984110"/>
    <n v="1033302886146"/>
    <n v="20250516"/>
    <s v="AA - Bonifico da e per estero "/>
    <m/>
    <s v="012 - BULGARIA"/>
    <s v="D     - Dare"/>
    <n v="7832.4"/>
    <n v="0"/>
    <n v="4503362"/>
    <n v="6800040724"/>
    <s v="AUTOTRASPORTI F.LLI LOMBARDI DI LOMBARDI VIN"/>
    <s v="482 - Quasi societa' non finanziarie artigiane - Unita' o societa' con meno di 20 addetti"/>
    <s v="494 - TRASPORTO DI MERCI SU STRADA E SERVIZI DI TRASLOCO"/>
    <s v="086 - ITALIA"/>
    <n v="1912"/>
    <m/>
    <m/>
    <m/>
    <m/>
    <m/>
    <m/>
    <m/>
    <n v="0"/>
    <n v="202505"/>
    <x v="2"/>
    <x v="1"/>
    <x v="0"/>
    <m/>
    <x v="0"/>
    <x v="0"/>
    <s v="999"/>
    <s v="482"/>
    <s v="482999"/>
    <m/>
    <s v="1"/>
    <s v="Classe di rischio 2"/>
  </r>
  <r>
    <n v="348110"/>
    <x v="4"/>
    <x v="4"/>
    <x v="34"/>
    <n v="53850"/>
    <n v="102"/>
    <s v="053850_102"/>
    <s v="Discovery Day"/>
    <s v="Mai valutato"/>
    <m/>
    <n v="202505167984992"/>
    <n v="1023308727913"/>
    <n v="20250516"/>
    <s v="48 - Bonifico in arrivo "/>
    <m/>
    <s v="086 - ITALIA"/>
    <s v="A     - Avere"/>
    <n v="972757.19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5"/>
    <x v="1"/>
    <x v="0"/>
    <x v="0"/>
    <m/>
    <x v="0"/>
    <x v="0"/>
    <s v="412"/>
    <s v="430"/>
    <s v="430412"/>
    <s v="Classe di rischio 3"/>
    <m/>
    <s v="Classe di rischio 3"/>
  </r>
  <r>
    <n v="348109"/>
    <x v="5"/>
    <x v="5"/>
    <x v="34"/>
    <n v="53850"/>
    <n v="268"/>
    <s v="053850_268"/>
    <s v="Discovery Day"/>
    <s v="Mai valutato"/>
    <m/>
    <n v="202505167986544"/>
    <n v="2683300006671"/>
    <n v="20250516"/>
    <s v="03 - Versamento contante cassa continua "/>
    <m/>
    <m/>
    <s v="A     - Avere"/>
    <n v="21150"/>
    <n v="2115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5"/>
    <x v="0"/>
    <x v="0"/>
    <x v="0"/>
    <n v="1704716"/>
    <x v="1"/>
    <x v="0"/>
    <s v="477"/>
    <s v="480"/>
    <s v="480477"/>
    <s v="Classe di rischio 5"/>
    <m/>
    <s v="Classe di rischio 5"/>
  </r>
  <r>
    <n v="348108"/>
    <x v="3"/>
    <x v="3"/>
    <x v="34"/>
    <n v="53850"/>
    <n v="171"/>
    <s v="053850_171"/>
    <s v="Discovery Day"/>
    <s v="Mai valutato"/>
    <m/>
    <s v="Vari (16/05/2025)"/>
    <n v="1713305728950"/>
    <n v="20250516"/>
    <s v="03 - Versamento contante cassa continua "/>
    <m/>
    <m/>
    <s v="A     - Avere"/>
    <n v="364852.12"/>
    <n v="364852.12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107"/>
    <x v="4"/>
    <x v="4"/>
    <x v="34"/>
    <n v="53850"/>
    <n v="141"/>
    <s v="053850_141"/>
    <s v="Discovery Day"/>
    <s v="Mai valutato"/>
    <m/>
    <n v="202505167985904"/>
    <n v="1413300003347"/>
    <n v="20250516"/>
    <s v="50 - Pagamenti diversi"/>
    <m/>
    <m/>
    <s v="D     - Dare"/>
    <n v="796339.63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x v="1"/>
    <x v="0"/>
    <x v="0"/>
    <m/>
    <x v="0"/>
    <x v="0"/>
    <s v="620"/>
    <s v="430"/>
    <s v="430620"/>
    <s v="Classe di rischio 3"/>
    <m/>
    <s v="Classe di rischio 3"/>
  </r>
  <r>
    <n v="348106"/>
    <x v="4"/>
    <x v="4"/>
    <x v="34"/>
    <n v="53850"/>
    <n v="141"/>
    <s v="053850_141"/>
    <s v="Discovery Day"/>
    <s v="Mai valutato"/>
    <m/>
    <n v="202505167983788"/>
    <n v="1413300003985"/>
    <n v="20250516"/>
    <s v="26 - Bonifico in partenza "/>
    <m/>
    <s v="086 - ITALIA"/>
    <s v="D     - Dare"/>
    <n v="170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x v="1"/>
    <x v="0"/>
    <x v="0"/>
    <m/>
    <x v="0"/>
    <x v="0"/>
    <s v="931"/>
    <s v="430"/>
    <s v="430931"/>
    <s v="Classe di rischio 3"/>
    <m/>
    <s v="Classe di rischio 3"/>
  </r>
  <r>
    <n v="348105"/>
    <x v="4"/>
    <x v="4"/>
    <x v="34"/>
    <n v="53850"/>
    <n v="109"/>
    <s v="053850_109"/>
    <s v="Discovery Day"/>
    <s v="Mai valutato"/>
    <m/>
    <s v="202505167124637L"/>
    <n v="1093306674144"/>
    <n v="20250516"/>
    <s v="SPECIAL"/>
    <m/>
    <m/>
    <s v="D     - Dare"/>
    <n v="1992.86"/>
    <n v="0"/>
    <n v="613337"/>
    <s v="DNGMRT31L41F915A"/>
    <s v="D'ONGHIA MARTA"/>
    <s v="600 - Famiglie consumatrici"/>
    <m/>
    <s v="086 - ITALIA"/>
    <n v="1430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104"/>
    <x v="2"/>
    <x v="2"/>
    <x v="34"/>
    <n v="53850"/>
    <n v="178"/>
    <s v="053850_178"/>
    <s v="Discovery Day"/>
    <s v="Mai valutato"/>
    <m/>
    <n v="202505167985188"/>
    <n v="1783301004847"/>
    <n v="20250516"/>
    <s v="AA - Bonifico da e per estero "/>
    <m/>
    <s v="238 - ABU DHABI"/>
    <s v="A     - Avere"/>
    <n v="5000"/>
    <n v="0"/>
    <n v="585288"/>
    <s v="SPRGLM56P01A669R"/>
    <s v="SPERA GIROLAMO"/>
    <s v="614 - Artigiani"/>
    <s v="452 - MANUTENZIONE E RIPARAZIONE DI AUTOVEICOLI"/>
    <s v="086 - ITALIA"/>
    <n v="685"/>
    <m/>
    <m/>
    <m/>
    <m/>
    <m/>
    <m/>
    <m/>
    <n v="0"/>
    <n v="202505"/>
    <x v="2"/>
    <x v="1"/>
    <x v="0"/>
    <m/>
    <x v="0"/>
    <x v="0"/>
    <s v="999"/>
    <s v="614"/>
    <s v="614999"/>
    <m/>
    <s v="1"/>
    <s v="Classe di rischio 3"/>
  </r>
  <r>
    <n v="348103"/>
    <x v="4"/>
    <x v="4"/>
    <x v="34"/>
    <n v="53850"/>
    <n v="188"/>
    <s v="053850_188"/>
    <s v="Discovery Day"/>
    <s v="Mai valutato"/>
    <m/>
    <n v="202505167984802"/>
    <n v="1883300028081"/>
    <n v="20250516"/>
    <s v="48 - Bonifico in arrivo "/>
    <m/>
    <s v="086 - ITALIA"/>
    <s v="A     - Avere"/>
    <n v="2051309.86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5"/>
    <x v="0"/>
    <x v="0"/>
    <x v="0"/>
    <n v="3001543"/>
    <x v="1"/>
    <x v="0"/>
    <s v="999"/>
    <s v="430"/>
    <s v="430999"/>
    <m/>
    <s v="1"/>
    <s v="Classe di rischio 1"/>
  </r>
  <r>
    <n v="348102"/>
    <x v="4"/>
    <x v="4"/>
    <x v="34"/>
    <n v="53850"/>
    <n v="105"/>
    <s v="053850_105"/>
    <s v="Discovery Day"/>
    <s v="Mai valutato"/>
    <m/>
    <n v="202505167986663"/>
    <n v="1053306288710"/>
    <n v="20250516"/>
    <s v="54 - Incassi diversi"/>
    <m/>
    <m/>
    <s v="A     - Avere"/>
    <n v="300000"/>
    <n v="0"/>
    <n v="522982"/>
    <s v="CPRGPP51L15E038H"/>
    <s v="CAPURSO GIUSEPPE"/>
    <s v="600 - Famiglie consumatrici"/>
    <m/>
    <s v="086 - ITALIA"/>
    <n v="83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101"/>
    <x v="4"/>
    <x v="4"/>
    <x v="34"/>
    <n v="53850"/>
    <n v="116"/>
    <s v="053850_116"/>
    <s v="Discovery Day"/>
    <s v="Mai valutato"/>
    <m/>
    <n v="202505167985179"/>
    <n v="2173300010307"/>
    <n v="20250516"/>
    <s v="15 - Rimborso finanziamenti "/>
    <m/>
    <m/>
    <s v="D     - Dare"/>
    <n v="6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100"/>
    <x v="5"/>
    <x v="5"/>
    <x v="34"/>
    <n v="53850"/>
    <n v="137"/>
    <s v="053850_137"/>
    <s v="Discovery Day"/>
    <s v="Mai valutato"/>
    <m/>
    <n v="202505167986782"/>
    <n v="1373304102703"/>
    <n v="20250516"/>
    <s v="D1 - Versamento di contante "/>
    <m/>
    <m/>
    <s v="A     - Avere"/>
    <n v="21070"/>
    <n v="21070"/>
    <n v="1001333"/>
    <s v="CSTFBR63M04B519K"/>
    <s v="CASTIGLIONE FILIBERTO"/>
    <s v="615 - Altre famiglie produttrici"/>
    <s v="477 - COMMERCIO AL DETTAGLIO DI ALTRI PRODOTTI IN ESERCIZI SPECIALIZZATI"/>
    <s v="086 - ITALIA"/>
    <n v="1867"/>
    <m/>
    <m/>
    <m/>
    <m/>
    <m/>
    <m/>
    <m/>
    <n v="0"/>
    <n v="202505"/>
    <x v="1"/>
    <x v="0"/>
    <x v="0"/>
    <n v="1001333"/>
    <x v="1"/>
    <x v="0"/>
    <s v="477"/>
    <s v="615"/>
    <s v="615477"/>
    <s v="Classe di rischio 6"/>
    <m/>
    <s v="Classe di rischio 6"/>
  </r>
  <r>
    <n v="348099"/>
    <x v="3"/>
    <x v="3"/>
    <x v="34"/>
    <n v="53850"/>
    <n v="171"/>
    <s v="053850_171"/>
    <s v="Discovery Day"/>
    <s v="Mai valutato"/>
    <m/>
    <s v="Vari (16/05/2025)"/>
    <n v="1713302214147"/>
    <n v="20250516"/>
    <s v="03 - Versamento contante cassa continua "/>
    <m/>
    <m/>
    <s v="A     - Avere"/>
    <n v="135105.82"/>
    <n v="135105.82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098"/>
    <x v="9"/>
    <x v="9"/>
    <x v="34"/>
    <n v="53850"/>
    <n v="191"/>
    <s v="053850_191"/>
    <s v="Discovery Day"/>
    <s v="Mai valutato"/>
    <m/>
    <n v="202505167986944"/>
    <n v="1913300069010"/>
    <n v="20250516"/>
    <s v="AA - Bonifico da e per estero "/>
    <m/>
    <s v="071 - SVIZZERA"/>
    <s v="D     - Dare"/>
    <n v="230000"/>
    <n v="0"/>
    <n v="4067141"/>
    <s v="RSSNNA50P49E882S"/>
    <s v="ROSSETTI ANNA"/>
    <s v="775 - Famiglie consumatrici di paesi non UE"/>
    <m/>
    <s v="071 - SVIZZERA"/>
    <n v="517"/>
    <m/>
    <m/>
    <m/>
    <m/>
    <m/>
    <m/>
    <m/>
    <n v="0"/>
    <n v="202505"/>
    <x v="2"/>
    <x v="1"/>
    <x v="0"/>
    <m/>
    <x v="0"/>
    <x v="0"/>
    <s v="999"/>
    <s v="775"/>
    <s v="775999"/>
    <s v="Classe di rischio 7"/>
    <m/>
    <s v="Classe di rischio 7"/>
  </r>
  <r>
    <n v="348097"/>
    <x v="4"/>
    <x v="4"/>
    <x v="34"/>
    <n v="53850"/>
    <n v="196"/>
    <s v="053850_196"/>
    <s v="Discovery Day"/>
    <s v="Mai valutato"/>
    <m/>
    <n v="202505167986970"/>
    <n v="1963302355156"/>
    <n v="20250516"/>
    <s v="SPECIAL"/>
    <m/>
    <m/>
    <s v="D     - Dare"/>
    <n v="37875.4"/>
    <n v="0"/>
    <n v="4444344"/>
    <s v="DBNMHL60A03C514M"/>
    <s v="DIBENEDETTO MICHELE"/>
    <s v="615 - Altre famiglie produttrici"/>
    <s v="012 - COLTIVAZIONE DI COLTURE PERMANENTI"/>
    <s v="086 - ITALIA"/>
    <n v="1945"/>
    <m/>
    <m/>
    <m/>
    <m/>
    <m/>
    <m/>
    <m/>
    <n v="0"/>
    <n v="202505"/>
    <x v="2"/>
    <x v="1"/>
    <x v="0"/>
    <m/>
    <x v="0"/>
    <x v="1"/>
    <s v="999"/>
    <s v="615"/>
    <s v="615999"/>
    <m/>
    <s v="1"/>
    <s v="Classe di rischio 3"/>
  </r>
  <r>
    <n v="348096"/>
    <x v="5"/>
    <x v="5"/>
    <x v="34"/>
    <n v="53850"/>
    <n v="171"/>
    <s v="053850_171"/>
    <s v="Discovery Day"/>
    <s v="Mai valutato"/>
    <m/>
    <s v="Vari (16/05/2025)"/>
    <n v="1713302214147"/>
    <n v="20250516"/>
    <s v="03 - Versamento contante cassa continua "/>
    <m/>
    <m/>
    <s v="A     - Avere"/>
    <n v="135105.82"/>
    <n v="135105.82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095"/>
    <x v="4"/>
    <x v="4"/>
    <x v="34"/>
    <n v="53850"/>
    <n v="141"/>
    <s v="053850_141"/>
    <s v="Discovery Day"/>
    <s v="Mai valutato"/>
    <m/>
    <n v="202505167984955"/>
    <n v="1413300003749"/>
    <n v="20250516"/>
    <s v="48 - Bonifico in arrivo "/>
    <m/>
    <s v="086 - ITALIA"/>
    <s v="A     - Avere"/>
    <n v="986023.06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x v="1"/>
    <x v="0"/>
    <x v="0"/>
    <m/>
    <x v="0"/>
    <x v="0"/>
    <s v="620"/>
    <s v="430"/>
    <s v="430620"/>
    <s v="Classe di rischio 3"/>
    <m/>
    <s v="Classe di rischio 3"/>
  </r>
  <r>
    <n v="348094"/>
    <x v="3"/>
    <x v="3"/>
    <x v="34"/>
    <n v="53850"/>
    <n v="104"/>
    <s v="053850_104"/>
    <s v="Discovery Day"/>
    <s v="Mai valutato"/>
    <m/>
    <n v="202505167986651"/>
    <n v="1043301448675"/>
    <n v="20250516"/>
    <s v="G7 - Versamento assegno circolare altro intermediario "/>
    <m/>
    <m/>
    <s v="A     - Avere"/>
    <n v="183000"/>
    <n v="0"/>
    <n v="4139723"/>
    <s v="DBRMHL76E10C983Y"/>
    <s v="DI BARTOLOMEO MICHELE"/>
    <s v="600 - Famiglie consumatrici"/>
    <m/>
    <s v="086 - ITALIA"/>
    <n v="1422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93"/>
    <x v="2"/>
    <x v="2"/>
    <x v="34"/>
    <n v="53850"/>
    <n v="148"/>
    <s v="053850_148"/>
    <s v="Discovery Day"/>
    <s v="Mai valutato"/>
    <m/>
    <n v="202505167985199"/>
    <n v="1483300003872"/>
    <n v="20250516"/>
    <s v="AA - Bonifico da e per estero "/>
    <m/>
    <s v="262 - RUSSIA (FEDERAZIONE DI)"/>
    <s v="D     - Dare"/>
    <n v="5033.28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092"/>
    <x v="4"/>
    <x v="4"/>
    <x v="34"/>
    <n v="53850"/>
    <n v="187"/>
    <s v="053850_187"/>
    <s v="Discovery Day"/>
    <s v="Mai valutato"/>
    <m/>
    <n v="202505167984002"/>
    <n v="999361870311"/>
    <n v="20250516"/>
    <s v="AA - Bonifico da e per estero "/>
    <m/>
    <s v="050 - PAESI BASSI"/>
    <s v="D     - Dare"/>
    <n v="4838233.3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48091"/>
    <x v="4"/>
    <x v="4"/>
    <x v="34"/>
    <n v="53850"/>
    <n v="114"/>
    <s v="053850_114"/>
    <s v="Discovery Day"/>
    <s v="Mai valutato"/>
    <m/>
    <n v="202505167983800"/>
    <n v="1143306285135"/>
    <n v="20250516"/>
    <s v="26 - Bonifico in partenza "/>
    <m/>
    <s v="086 - ITALIA"/>
    <s v="D     - Dare"/>
    <n v="100000"/>
    <n v="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5"/>
    <x v="1"/>
    <x v="0"/>
    <x v="0"/>
    <n v="3730898"/>
    <x v="1"/>
    <x v="0"/>
    <s v="477"/>
    <s v="615"/>
    <s v="615477"/>
    <s v="Classe di rischio 6"/>
    <m/>
    <s v="Classe di rischio 6"/>
  </r>
  <r>
    <n v="348090"/>
    <x v="5"/>
    <x v="5"/>
    <x v="34"/>
    <n v="53850"/>
    <n v="134"/>
    <s v="053850_134"/>
    <s v="Discovery Day"/>
    <s v="Mai valutato"/>
    <m/>
    <s v="Vari (16/05/2025)"/>
    <n v="1343300002724"/>
    <n v="20250516"/>
    <s v="VV"/>
    <m/>
    <m/>
    <s v="A     - Avere"/>
    <n v="36290"/>
    <n v="3441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5"/>
    <x v="4"/>
    <x v="1"/>
    <x v="0"/>
    <n v="4876967"/>
    <x v="1"/>
    <x v="1"/>
    <s v="999"/>
    <s v="615"/>
    <s v="615999"/>
    <m/>
    <s v="1"/>
    <s v="Classe di rischio 3"/>
  </r>
  <r>
    <n v="348089"/>
    <x v="2"/>
    <x v="2"/>
    <x v="34"/>
    <n v="53850"/>
    <n v="118"/>
    <s v="053850_118"/>
    <s v="Discovery Day"/>
    <s v="Mai valutato"/>
    <m/>
    <n v="202505167983803"/>
    <n v="1183306279384"/>
    <n v="20250516"/>
    <s v="AA - Bonifico da e per estero "/>
    <m/>
    <s v="012 - BULGARIA"/>
    <s v="D     - Dare"/>
    <n v="9000"/>
    <n v="0"/>
    <n v="4896093"/>
    <n v="8070110724"/>
    <s v="ITALWOOD SOCIETA' A RESPONSABILITA' LIMITATA"/>
    <s v="430 - Imprese produttive"/>
    <s v="310 - FABBRICAZIONE DI MOBILI"/>
    <s v="086 - ITALIA"/>
    <n v="979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088"/>
    <x v="4"/>
    <x v="4"/>
    <x v="34"/>
    <n v="53850"/>
    <n v="120"/>
    <s v="053850_120"/>
    <s v="Discovery Day"/>
    <s v="Mai valutato"/>
    <m/>
    <n v="202505167985462"/>
    <n v="1203300002401"/>
    <n v="20250516"/>
    <s v="50 - Pagamenti diversi"/>
    <m/>
    <m/>
    <s v="D     - Dare"/>
    <n v="3451969.31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x v="1"/>
    <x v="0"/>
    <x v="0"/>
    <n v="613876"/>
    <x v="1"/>
    <x v="0"/>
    <s v="999"/>
    <s v="500"/>
    <s v="500999"/>
    <m/>
    <s v="1"/>
    <s v="Classe di rischio 3"/>
  </r>
  <r>
    <n v="348087"/>
    <x v="4"/>
    <x v="4"/>
    <x v="34"/>
    <n v="53850"/>
    <n v="109"/>
    <s v="053850_109"/>
    <s v="Discovery Day"/>
    <s v="Mai valutato"/>
    <m/>
    <s v="202505167124637L"/>
    <n v="1093306674144"/>
    <n v="20250516"/>
    <s v="SPECIAL"/>
    <m/>
    <m/>
    <s v="D     - Dare"/>
    <n v="1992.86"/>
    <n v="0"/>
    <n v="563942"/>
    <s v="LGRRLL70A55A662I"/>
    <s v="LEGROTTAGLIE ORNELLA ANNA"/>
    <s v="600 - Famiglie consumatrici"/>
    <m/>
    <s v="086 - ITALIA"/>
    <n v="929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086"/>
    <x v="4"/>
    <x v="4"/>
    <x v="34"/>
    <n v="53850"/>
    <n v="195"/>
    <s v="053850_195"/>
    <s v="Discovery Day"/>
    <s v="Mai valutato"/>
    <m/>
    <n v="202505167986467"/>
    <n v="1943300004576"/>
    <n v="20250516"/>
    <s v="13 - Addebito per estinzione assegno"/>
    <m/>
    <m/>
    <s v="D     - Dare"/>
    <n v="90000"/>
    <n v="0"/>
    <n v="3043207"/>
    <s v="SNRFNC60T13E986P"/>
    <s v="SANARICA FRANCESCO"/>
    <s v="615 - Altre famiglie produttrici"/>
    <s v="477 - COMMERCIO AL DETTAGLIO DI ALTRI PRODOTTI IN ESERCIZI SPECIALIZZATI"/>
    <s v="086 - ITALIA"/>
    <n v="938"/>
    <m/>
    <m/>
    <m/>
    <m/>
    <m/>
    <m/>
    <m/>
    <n v="0"/>
    <n v="202505"/>
    <x v="2"/>
    <x v="1"/>
    <x v="0"/>
    <m/>
    <x v="0"/>
    <x v="0"/>
    <s v="477"/>
    <s v="615"/>
    <s v="615477"/>
    <s v="Classe di rischio 6"/>
    <m/>
    <s v="Classe di rischio 6"/>
  </r>
  <r>
    <n v="348085"/>
    <x v="6"/>
    <x v="6"/>
    <x v="34"/>
    <n v="53850"/>
    <n v="174"/>
    <s v="053850_174"/>
    <s v="Discovery Day"/>
    <s v="Mai valutato"/>
    <m/>
    <n v="202505167985187"/>
    <n v="1743302880339"/>
    <n v="20250516"/>
    <s v="AA - Bonifico da e per estero "/>
    <m/>
    <s v="290 - MONTENEGRO"/>
    <s v="A     - Avere"/>
    <n v="25000"/>
    <n v="0"/>
    <n v="4969332"/>
    <n v="9411491211"/>
    <s v="VESUVIOTOUR S.R.L.S."/>
    <s v="430 - Imprese produttive"/>
    <s v="552 - ALLOGGI PER VACANZE E ALTRE STRUTTURE PER BREVI SOGGIORNI"/>
    <s v="086 - ITALIA"/>
    <n v="502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084"/>
    <x v="6"/>
    <x v="6"/>
    <x v="34"/>
    <n v="53850"/>
    <n v="105"/>
    <s v="053850_105"/>
    <s v="Discovery Day"/>
    <s v="Mai valutato"/>
    <m/>
    <n v="202505167985176"/>
    <n v="1053300176050"/>
    <n v="20250516"/>
    <s v="AA - Bonifico da e per estero "/>
    <m/>
    <s v="016 - CINA"/>
    <s v="D     - Dare"/>
    <n v="660031.41"/>
    <n v="0"/>
    <n v="17605"/>
    <n v="261350722"/>
    <s v="AC BOILERS S.P.A."/>
    <s v="430 - Imprese produttive"/>
    <s v="282 - FABBRICAZIONE DI ALTRE MACCHINE DI IMPIEGO GENERALE"/>
    <s v="086 - ITALIA"/>
    <n v="1058"/>
    <m/>
    <m/>
    <m/>
    <m/>
    <m/>
    <m/>
    <m/>
    <n v="0"/>
    <n v="202505"/>
    <x v="4"/>
    <x v="1"/>
    <x v="0"/>
    <m/>
    <x v="0"/>
    <x v="0"/>
    <s v="999"/>
    <s v="430"/>
    <s v="430999"/>
    <m/>
    <s v="1"/>
    <s v="Classe di rischio 1"/>
  </r>
  <r>
    <n v="348083"/>
    <x v="7"/>
    <x v="7"/>
    <x v="34"/>
    <n v="53850"/>
    <n v="102"/>
    <s v="053850_102"/>
    <s v="Discovery Day"/>
    <s v="Mai valutato"/>
    <m/>
    <n v="202505167986599"/>
    <m/>
    <n v="20250516"/>
    <s v="F3 - Cambio assegni tratti su altro intermediario "/>
    <m/>
    <m/>
    <s v="D     - Dare"/>
    <n v="800000"/>
    <n v="0"/>
    <n v="42352"/>
    <s v="LDCGPP47A18A225P"/>
    <s v="LOIUDICE GIUSEPPE"/>
    <s v="615 - Altre famiglie produttrici"/>
    <s v="251 - FABBRICAZIONE DI ELEMENTI DA COSTRUZIONE IN METALLO"/>
    <s v="086 - ITALIA"/>
    <n v="580"/>
    <m/>
    <m/>
    <m/>
    <m/>
    <m/>
    <m/>
    <m/>
    <n v="0"/>
    <n v="202505"/>
    <x v="2"/>
    <x v="1"/>
    <x v="1"/>
    <m/>
    <x v="0"/>
    <x v="0"/>
    <s v="999"/>
    <s v="615"/>
    <s v="615999"/>
    <m/>
    <s v="1"/>
    <s v="Classe di rischio 3"/>
  </r>
  <r>
    <n v="348082"/>
    <x v="4"/>
    <x v="4"/>
    <x v="35"/>
    <n v="53850"/>
    <n v="103"/>
    <s v="053850_103"/>
    <s v="Discovery Day"/>
    <s v="Mai valutato"/>
    <m/>
    <n v="202505167982350"/>
    <n v="1030050005143"/>
    <n v="20250516"/>
    <s v="C4 - Trasferim.titoli a altro istituto(portatore) "/>
    <m/>
    <m/>
    <s v="D     - Dare"/>
    <n v="200000"/>
    <n v="0"/>
    <n v="156633"/>
    <s v="GGLNNA54A57E155Q"/>
    <s v="GIGLIO ANNA"/>
    <s v="600 - Famiglie consumatrici"/>
    <m/>
    <s v="086 - ITALIA"/>
    <n v="1657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81"/>
    <x v="4"/>
    <x v="4"/>
    <x v="35"/>
    <n v="53850"/>
    <n v="103"/>
    <s v="053850_103"/>
    <s v="Discovery Day"/>
    <s v="Mai valutato"/>
    <m/>
    <n v="202505167982350"/>
    <n v="1030050005143"/>
    <n v="20250516"/>
    <s v="C4 - Trasferim.titoli a altro istituto(portatore) "/>
    <m/>
    <m/>
    <s v="D     - Dare"/>
    <n v="200000"/>
    <n v="0"/>
    <n v="18223"/>
    <s v="TRNNGL49A24E155M"/>
    <s v="TRANQUILLINO MINERVA ANGELO"/>
    <s v="600 - Famiglie consumatrici"/>
    <m/>
    <s v="086 - ITALIA"/>
    <n v="1657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80"/>
    <x v="3"/>
    <x v="3"/>
    <x v="35"/>
    <n v="53850"/>
    <n v="103"/>
    <s v="053850_103"/>
    <s v="Discovery Day"/>
    <s v="Mai valutato"/>
    <m/>
    <n v="202505157983016"/>
    <n v="1033306985959"/>
    <n v="20250515"/>
    <s v="G8 - Versamento assegno circolare stesso intermediario"/>
    <m/>
    <m/>
    <s v="A     - Avere"/>
    <n v="270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79"/>
    <x v="2"/>
    <x v="2"/>
    <x v="35"/>
    <n v="53850"/>
    <n v="102"/>
    <s v="053850_102"/>
    <s v="Discovery Day"/>
    <s v="Mai valutato"/>
    <m/>
    <s v="202505157069350L"/>
    <n v="1023308724471"/>
    <n v="20250515"/>
    <s v="AA - Bonifico da e per estero "/>
    <m/>
    <s v="238 - ABU DHABI"/>
    <s v="A     - Avere"/>
    <n v="3000"/>
    <n v="0"/>
    <n v="4926972"/>
    <n v="8178330729"/>
    <s v="MPALQUADRATO SOCIETA' A RESPONSABILITA' LIMI"/>
    <s v="430 - Imprese produttive"/>
    <s v="477 - COMMERCIO AL DETTAGLIO DI ALTRI PRODOTTI IN ESERCIZI SPECIALIZZATI"/>
    <s v="086 - ITALIA"/>
    <n v="1443"/>
    <m/>
    <m/>
    <m/>
    <m/>
    <m/>
    <m/>
    <m/>
    <n v="0"/>
    <n v="202505"/>
    <x v="2"/>
    <x v="1"/>
    <x v="0"/>
    <m/>
    <x v="0"/>
    <x v="0"/>
    <s v="477"/>
    <s v="430"/>
    <s v="430477"/>
    <s v="Classe di rischio 3"/>
    <m/>
    <s v="Classe di rischio 3"/>
  </r>
  <r>
    <n v="348078"/>
    <x v="2"/>
    <x v="2"/>
    <x v="35"/>
    <n v="53850"/>
    <n v="198"/>
    <s v="053850_198"/>
    <s v="Discovery Day"/>
    <s v="Mai valutato"/>
    <m/>
    <s v="202505157058592L"/>
    <n v="1983309519925"/>
    <n v="20250515"/>
    <s v="AA - Bonifico da e per estero "/>
    <m/>
    <s v="078 - SUDAFRICANA (REPUBBLICA)"/>
    <s v="A     - Avere"/>
    <n v="2477"/>
    <n v="0"/>
    <n v="4033412"/>
    <s v="MTTGUO63D10H501E"/>
    <s v="AMETTA UGO"/>
    <s v="615 - Altre famiglie produttrici"/>
    <s v="104 - PRODUZIONE DI OLI E GRASSI VEGETALI E ANIMALI"/>
    <s v="086 - ITALIA"/>
    <n v="1923"/>
    <m/>
    <m/>
    <m/>
    <m/>
    <m/>
    <m/>
    <m/>
    <n v="0"/>
    <n v="202505"/>
    <x v="1"/>
    <x v="0"/>
    <x v="0"/>
    <m/>
    <x v="0"/>
    <x v="0"/>
    <s v="999"/>
    <s v="615"/>
    <s v="615999"/>
    <m/>
    <s v="1"/>
    <s v="Classe di rischio 3"/>
  </r>
  <r>
    <n v="348077"/>
    <x v="4"/>
    <x v="4"/>
    <x v="35"/>
    <n v="53850"/>
    <n v="103"/>
    <s v="053850_103"/>
    <s v="Discovery Day"/>
    <s v="Mai valutato"/>
    <m/>
    <n v="202505157983001"/>
    <n v="1033306974276"/>
    <n v="20250515"/>
    <s v="10 - Emisione assegni circolari e titoli similari vaglia"/>
    <m/>
    <m/>
    <s v="D     - Dare"/>
    <n v="225000"/>
    <n v="0"/>
    <n v="4098513"/>
    <s v="SPRNTN68A30E155V"/>
    <s v="SPORTELLA ANTONIO"/>
    <s v="600 - Famiglie consumatrici"/>
    <m/>
    <s v="086 - ITALIA"/>
    <n v="80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76"/>
    <x v="5"/>
    <x v="5"/>
    <x v="35"/>
    <n v="53850"/>
    <n v="109"/>
    <s v="053850_109"/>
    <s v="Discovery Day"/>
    <s v="Mai valutato"/>
    <m/>
    <n v="202505157983072"/>
    <n v="1093306675356"/>
    <n v="20250515"/>
    <s v="D1 - Versamento di contante "/>
    <m/>
    <m/>
    <s v="A     - Avere"/>
    <n v="46000"/>
    <n v="460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5"/>
    <x v="1"/>
    <x v="0"/>
    <x v="0"/>
    <n v="4976123"/>
    <x v="1"/>
    <x v="0"/>
    <s v="477"/>
    <s v="430"/>
    <s v="430477"/>
    <s v="Classe di rischio 3"/>
    <m/>
    <s v="Classe di rischio 3"/>
  </r>
  <r>
    <n v="348075"/>
    <x v="6"/>
    <x v="6"/>
    <x v="35"/>
    <n v="53850"/>
    <n v="102"/>
    <s v="053850_102"/>
    <s v="Discovery Day"/>
    <s v="Mai valutato"/>
    <m/>
    <n v="202505157982041"/>
    <n v="2583302250573"/>
    <n v="20250515"/>
    <s v="AA - Bonifico da e per estero "/>
    <m/>
    <s v="071 - SVIZZERA"/>
    <s v="A     - Avere"/>
    <n v="24000"/>
    <n v="0"/>
    <n v="4127428"/>
    <s v="NGRTMS74B24A225L"/>
    <s v="NIGRO TOMMASO"/>
    <s v="615 - Altre famiglie produttrici"/>
    <s v="799 - ALTRI SERVIZI DI PRENOTAZIONE E ATTIVITÀ CONNESSE"/>
    <s v="086 - ITALIA"/>
    <n v="1949"/>
    <m/>
    <m/>
    <m/>
    <m/>
    <m/>
    <m/>
    <m/>
    <n v="0"/>
    <n v="202505"/>
    <x v="1"/>
    <x v="0"/>
    <x v="0"/>
    <n v="4127428"/>
    <x v="1"/>
    <x v="0"/>
    <s v="999"/>
    <s v="615"/>
    <s v="615999"/>
    <m/>
    <s v="1"/>
    <s v="Classe di rischio 3"/>
  </r>
  <r>
    <n v="348074"/>
    <x v="4"/>
    <x v="4"/>
    <x v="35"/>
    <n v="53850"/>
    <n v="102"/>
    <s v="053850_102"/>
    <s v="Discovery Day"/>
    <s v="Mai valutato"/>
    <m/>
    <n v="202505157981565"/>
    <n v="1023308719190"/>
    <n v="20250515"/>
    <s v="48 - Bonifico in arrivo "/>
    <m/>
    <s v="086 - ITALIA"/>
    <s v="A     - Avere"/>
    <n v="1575466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x v="2"/>
    <x v="1"/>
    <x v="0"/>
    <m/>
    <x v="0"/>
    <x v="0"/>
    <s v="999"/>
    <s v="248"/>
    <s v="248999"/>
    <m/>
    <s v="1"/>
    <s v="Classe di rischio 0"/>
  </r>
  <r>
    <n v="348073"/>
    <x v="5"/>
    <x v="5"/>
    <x v="35"/>
    <n v="53850"/>
    <n v="108"/>
    <s v="053850_108"/>
    <s v="Discovery Day"/>
    <s v="Mai valutato"/>
    <m/>
    <n v="202505157983067"/>
    <n v="1083306291105"/>
    <n v="20250515"/>
    <s v="D1 - Versamento di contante "/>
    <m/>
    <m/>
    <s v="A     - Avere"/>
    <n v="61124.75"/>
    <n v="61124.7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0"/>
    <s v="999"/>
    <s v="430"/>
    <s v="430999"/>
    <m/>
    <s v="1"/>
    <s v="Classe di rischio 1"/>
  </r>
  <r>
    <n v="348072"/>
    <x v="4"/>
    <x v="4"/>
    <x v="35"/>
    <n v="53850"/>
    <n v="141"/>
    <s v="053850_141"/>
    <s v="Discovery Day"/>
    <s v="Mai valutato"/>
    <m/>
    <n v="202505157981971"/>
    <n v="1413300003985"/>
    <n v="20250515"/>
    <s v="48 - Bonifico in arrivo "/>
    <m/>
    <s v="086 - ITALIA"/>
    <s v="A     - Avere"/>
    <n v="2814221.6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x v="1"/>
    <x v="0"/>
    <x v="0"/>
    <m/>
    <x v="0"/>
    <x v="0"/>
    <s v="931"/>
    <s v="430"/>
    <s v="430931"/>
    <s v="Classe di rischio 3"/>
    <m/>
    <s v="Classe di rischio 3"/>
  </r>
  <r>
    <n v="348071"/>
    <x v="2"/>
    <x v="2"/>
    <x v="35"/>
    <n v="53850"/>
    <n v="129"/>
    <s v="053850_129"/>
    <s v="Discovery Day"/>
    <s v="Mai valutato"/>
    <m/>
    <n v="202505157981969"/>
    <n v="1293300002811"/>
    <n v="20250515"/>
    <s v="AA - Bonifico da e per estero "/>
    <m/>
    <s v="261 - CROAZIA"/>
    <s v="A     - Avere"/>
    <n v="5644.91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070"/>
    <x v="4"/>
    <x v="4"/>
    <x v="35"/>
    <n v="53850"/>
    <n v="164"/>
    <s v="053850_164"/>
    <s v="Discovery Day"/>
    <s v="Mai valutato"/>
    <m/>
    <n v="202505157983238"/>
    <n v="1643300015060"/>
    <n v="20250515"/>
    <s v="SPECIAL"/>
    <m/>
    <m/>
    <s v="D     - Dare"/>
    <n v="12394.44"/>
    <n v="0"/>
    <n v="810601"/>
    <s v="QLNMHL44A22A339Z"/>
    <s v="AQUILANO MICHELE"/>
    <s v="600 - Famiglie consumatrici"/>
    <m/>
    <s v="086 - ITALIA"/>
    <n v="787"/>
    <m/>
    <m/>
    <m/>
    <m/>
    <m/>
    <m/>
    <m/>
    <n v="0"/>
    <n v="202505"/>
    <x v="1"/>
    <x v="0"/>
    <x v="0"/>
    <m/>
    <x v="0"/>
    <x v="1"/>
    <s v="999"/>
    <s v="600"/>
    <s v="600999"/>
    <s v="Classe di rischio 7"/>
    <m/>
    <s v="Classe di rischio 7"/>
  </r>
  <r>
    <n v="348069"/>
    <x v="5"/>
    <x v="5"/>
    <x v="35"/>
    <n v="53850"/>
    <n v="189"/>
    <s v="053850_189"/>
    <s v="Discovery Day"/>
    <s v="Mai valutato"/>
    <m/>
    <n v="202505157983336"/>
    <n v="1893300023546"/>
    <n v="20250515"/>
    <s v="D1 - Versamento di contante "/>
    <m/>
    <m/>
    <s v="A     - Avere"/>
    <n v="69710"/>
    <n v="6971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5"/>
    <x v="1"/>
    <x v="0"/>
    <x v="0"/>
    <n v="3064562"/>
    <x v="1"/>
    <x v="0"/>
    <s v="999"/>
    <s v="615"/>
    <s v="615999"/>
    <m/>
    <s v="1"/>
    <s v="Classe di rischio 3"/>
  </r>
  <r>
    <n v="348068"/>
    <x v="4"/>
    <x v="4"/>
    <x v="35"/>
    <n v="53850"/>
    <n v="173"/>
    <s v="053850_173"/>
    <s v="Discovery Day"/>
    <s v="Mai valutato"/>
    <m/>
    <n v="202505157981675"/>
    <n v="1733302705276"/>
    <n v="20250515"/>
    <s v="48 - Bonifico in arrivo "/>
    <m/>
    <s v="086 - ITALIA"/>
    <s v="A     - Avere"/>
    <n v="400000"/>
    <n v="0"/>
    <n v="4792738"/>
    <s v="VNTGNN60H13L425V"/>
    <s v="VENTRELLA GAETANO ANTONIO"/>
    <s v="600 - Famiglie consumatrici"/>
    <m/>
    <s v="086 - ITALIA"/>
    <n v="1179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67"/>
    <x v="4"/>
    <x v="4"/>
    <x v="35"/>
    <n v="53850"/>
    <n v="102"/>
    <s v="053850_102"/>
    <s v="Discovery Day"/>
    <s v="Mai valutato"/>
    <m/>
    <n v="202505157982423"/>
    <n v="1023308719190"/>
    <n v="20250515"/>
    <s v="50 - Pagamenti diversi"/>
    <m/>
    <m/>
    <s v="D     - Dare"/>
    <n v="1602602.6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5"/>
    <x v="2"/>
    <x v="1"/>
    <x v="0"/>
    <m/>
    <x v="0"/>
    <x v="0"/>
    <s v="999"/>
    <s v="248"/>
    <s v="248999"/>
    <m/>
    <s v="1"/>
    <s v="Classe di rischio 0"/>
  </r>
  <r>
    <n v="348066"/>
    <x v="3"/>
    <x v="3"/>
    <x v="35"/>
    <n v="53850"/>
    <n v="109"/>
    <s v="053850_109"/>
    <s v="Discovery Day"/>
    <s v="Mai valutato"/>
    <m/>
    <n v="202505157983074"/>
    <n v="1093306674752"/>
    <n v="20250515"/>
    <s v="G7 - Versamento assegno circolare altro intermediario "/>
    <m/>
    <m/>
    <s v="A     - Avere"/>
    <n v="196000"/>
    <n v="0"/>
    <n v="4945428"/>
    <s v="STRMNC69M63A662Y"/>
    <s v="STRIPPOLI MONICA"/>
    <s v="600 - Famiglie consumatrici"/>
    <m/>
    <s v="086 - ITALIA"/>
    <n v="1918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65"/>
    <x v="5"/>
    <x v="5"/>
    <x v="35"/>
    <n v="53850"/>
    <n v="103"/>
    <s v="053850_103"/>
    <s v="Discovery Day"/>
    <s v="Mai valutato"/>
    <m/>
    <n v="202505157983000"/>
    <n v="1033306985374"/>
    <n v="20250515"/>
    <s v="D1 - Versamento di contante "/>
    <m/>
    <m/>
    <s v="A     - Avere"/>
    <n v="26000"/>
    <n v="26000"/>
    <n v="3722977"/>
    <n v="8874860722"/>
    <s v="FARMACIA MUMMOLO S.N.C. DI MUMMOLO NARDULLI GIUSEPPE E TOMMASO"/>
    <s v="482 - Quasi societa' non finanziarie artigiane - Unita' o societa' con meno di 20 addetti"/>
    <s v="477 - COMMERCIO AL DETTAGLIO DI ALTRI PRODOTTI IN ESERCIZI SPECIALIZZATI"/>
    <s v="086 - ITALIA"/>
    <n v="1916"/>
    <m/>
    <m/>
    <m/>
    <m/>
    <m/>
    <m/>
    <m/>
    <n v="0"/>
    <n v="202505"/>
    <x v="0"/>
    <x v="0"/>
    <x v="0"/>
    <n v="3722977"/>
    <x v="1"/>
    <x v="0"/>
    <s v="477"/>
    <s v="482"/>
    <s v="482477"/>
    <s v="Classe di rischio 5"/>
    <m/>
    <s v="Classe di rischio 5"/>
  </r>
  <r>
    <n v="348064"/>
    <x v="4"/>
    <x v="4"/>
    <x v="35"/>
    <n v="53850"/>
    <n v="103"/>
    <s v="053850_103"/>
    <s v="Discovery Day"/>
    <s v="Mai valutato"/>
    <m/>
    <n v="202505157982989"/>
    <n v="1033306979264"/>
    <n v="20250515"/>
    <s v="SPECIAL"/>
    <m/>
    <m/>
    <s v="D     - Dare"/>
    <n v="58953.41"/>
    <n v="0"/>
    <n v="608841"/>
    <s v="DMRFNC75H48A225G"/>
    <s v="DEMARZIO FRANCESCA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063"/>
    <x v="3"/>
    <x v="3"/>
    <x v="35"/>
    <n v="53850"/>
    <n v="153"/>
    <s v="053850_153"/>
    <s v="Discovery Day"/>
    <s v="Mai valutato"/>
    <m/>
    <n v="202505157983208"/>
    <n v="1533300662905"/>
    <n v="20250515"/>
    <s v="G1 - Versamento assegni tratti su altro intermediario "/>
    <m/>
    <m/>
    <s v="A     - Avere"/>
    <n v="92678.99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5"/>
    <x v="1"/>
    <x v="0"/>
    <x v="0"/>
    <m/>
    <x v="0"/>
    <x v="0"/>
    <s v="236"/>
    <s v="430"/>
    <s v="430236"/>
    <s v="Classe di rischio 3"/>
    <m/>
    <s v="Classe di rischio 3"/>
  </r>
  <r>
    <n v="348062"/>
    <x v="2"/>
    <x v="2"/>
    <x v="35"/>
    <n v="53850"/>
    <n v="196"/>
    <s v="053850_196"/>
    <s v="Discovery Day"/>
    <s v="Mai valutato"/>
    <m/>
    <s v="202505157058591L"/>
    <n v="1963302354532"/>
    <n v="20250515"/>
    <s v="AA - Bonifico da e per estero "/>
    <m/>
    <s v="078 - SUDAFRICANA (REPUBBLICA)"/>
    <s v="D     - Dare"/>
    <n v="1000"/>
    <n v="0"/>
    <n v="4962400"/>
    <s v="CTRGRL94T52C514B"/>
    <s v="CATERINA GABRIELLA"/>
    <s v="600 - Famiglie consumatrici"/>
    <m/>
    <s v="086 - ITALIA"/>
    <n v="79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61"/>
    <x v="4"/>
    <x v="4"/>
    <x v="35"/>
    <n v="53850"/>
    <n v="265"/>
    <s v="053850_265"/>
    <s v="Discovery Day"/>
    <s v="Mai valutato"/>
    <m/>
    <s v="202505157060372L"/>
    <n v="2653300000419"/>
    <n v="20250515"/>
    <s v="SPECIAL"/>
    <m/>
    <m/>
    <s v="D     - Dare"/>
    <n v="1652"/>
    <n v="0"/>
    <n v="1636814"/>
    <s v="FLRMMT35T68L220V"/>
    <s v="FLORIO MARIA MATTEA"/>
    <s v="600 - Famiglie consumatrici"/>
    <m/>
    <s v="086 - ITALIA"/>
    <n v="1890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060"/>
    <x v="5"/>
    <x v="5"/>
    <x v="35"/>
    <n v="53850"/>
    <n v="268"/>
    <s v="053850_268"/>
    <s v="Discovery Day"/>
    <s v="Mai valutato"/>
    <m/>
    <s v="Vari (15/05/2025)"/>
    <n v="2683300010030"/>
    <n v="20250515"/>
    <s v="03 - Versamento contante cassa continua "/>
    <m/>
    <m/>
    <s v="A     - Avere"/>
    <n v="33925"/>
    <n v="3392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x v="1"/>
    <x v="0"/>
    <x v="0"/>
    <n v="4966939"/>
    <x v="1"/>
    <x v="0"/>
    <s v="999"/>
    <s v="615"/>
    <s v="615999"/>
    <m/>
    <s v="1"/>
    <s v="Classe di rischio 3"/>
  </r>
  <r>
    <n v="348059"/>
    <x v="3"/>
    <x v="3"/>
    <x v="35"/>
    <n v="53850"/>
    <n v="161"/>
    <s v="053850_161"/>
    <s v="Discovery Day"/>
    <s v="Mai valutato"/>
    <m/>
    <n v="202505157983234"/>
    <n v="1613300032598"/>
    <n v="20250515"/>
    <s v="G1 - Versamento assegni tratti su altro intermediario "/>
    <m/>
    <m/>
    <s v="A     - Avere"/>
    <n v="153569.38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48058"/>
    <x v="4"/>
    <x v="4"/>
    <x v="35"/>
    <n v="53850"/>
    <n v="182"/>
    <s v="053850_182"/>
    <s v="Discovery Day"/>
    <s v="Mai valutato"/>
    <m/>
    <n v="202505157983327"/>
    <n v="1823300172492"/>
    <n v="20250515"/>
    <s v="54 - Incassi diversi"/>
    <m/>
    <m/>
    <s v="A     - Avere"/>
    <n v="233000"/>
    <n v="0"/>
    <n v="3014130"/>
    <s v="TROMHL60T47L049N"/>
    <s v="TORIO MICHELINA"/>
    <s v="600 - Famiglie consumatrici"/>
    <m/>
    <s v="086 - ITALIA"/>
    <n v="616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057"/>
    <x v="4"/>
    <x v="4"/>
    <x v="35"/>
    <n v="53850"/>
    <n v="196"/>
    <s v="053850_196"/>
    <s v="Discovery Day"/>
    <s v="Mai valutato"/>
    <m/>
    <n v="202505157983369"/>
    <n v="1963302355120"/>
    <n v="20250515"/>
    <s v="48 - Bonifico in arrivo "/>
    <m/>
    <s v="086 - ITALIA"/>
    <s v="A     - Avere"/>
    <n v="890523.24"/>
    <n v="0"/>
    <n v="3722752"/>
    <n v="1998440711"/>
    <s v="SIMEONE S.P.A."/>
    <s v="430 - Imprese produttive"/>
    <s v="429 - COSTRUZIONE DI ALTRE OPERE DI INGEGNERIA CIVILE"/>
    <s v="086 - ITALIA"/>
    <n v="870"/>
    <m/>
    <m/>
    <m/>
    <m/>
    <m/>
    <m/>
    <m/>
    <n v="0"/>
    <n v="202505"/>
    <x v="2"/>
    <x v="1"/>
    <x v="0"/>
    <m/>
    <x v="0"/>
    <x v="0"/>
    <s v="429"/>
    <s v="430"/>
    <s v="430429"/>
    <s v="Classe di rischio 3"/>
    <m/>
    <s v="Classe di rischio 3"/>
  </r>
  <r>
    <n v="348056"/>
    <x v="5"/>
    <x v="5"/>
    <x v="35"/>
    <n v="53850"/>
    <n v="269"/>
    <s v="053850_269"/>
    <s v="Discovery Day"/>
    <s v="Mai valutato"/>
    <m/>
    <s v="Vari (15/05/2025)"/>
    <n v="2693300001614"/>
    <n v="20250515"/>
    <s v="D1 - Versamento di contante "/>
    <m/>
    <m/>
    <s v="A     - Avere"/>
    <n v="35120"/>
    <n v="3512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5"/>
    <x v="1"/>
    <x v="0"/>
    <x v="0"/>
    <n v="1695085"/>
    <x v="1"/>
    <x v="0"/>
    <s v="999"/>
    <s v="615"/>
    <s v="615999"/>
    <m/>
    <s v="1"/>
    <s v="Classe di rischio 3"/>
  </r>
  <r>
    <n v="348055"/>
    <x v="4"/>
    <x v="4"/>
    <x v="35"/>
    <n v="53850"/>
    <n v="187"/>
    <s v="053850_187"/>
    <s v="Discovery Day"/>
    <s v="Mai valutato"/>
    <m/>
    <n v="202505157980945"/>
    <n v="999361870311"/>
    <n v="20250515"/>
    <s v="26 - Bonifico in partenza 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x v="1"/>
    <x v="0"/>
    <x v="0"/>
    <m/>
    <x v="0"/>
    <x v="0"/>
    <s v="999"/>
    <s v="173"/>
    <s v="173999"/>
    <s v="Classe di rischio 0"/>
    <m/>
    <s v="Classe di rischio 0"/>
  </r>
  <r>
    <n v="348054"/>
    <x v="4"/>
    <x v="4"/>
    <x v="35"/>
    <n v="53850"/>
    <n v="118"/>
    <s v="053850_118"/>
    <s v="Discovery Day"/>
    <s v="Mai valutato"/>
    <m/>
    <n v="202505157983116"/>
    <n v="1183306278983"/>
    <n v="20250515"/>
    <s v="SPECIAL"/>
    <m/>
    <m/>
    <s v="D     - Dare"/>
    <n v="7987.97"/>
    <n v="0"/>
    <n v="56722"/>
    <s v="GRVVTI30D25A225E"/>
    <s v="GERVASIO VITO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053"/>
    <x v="4"/>
    <x v="4"/>
    <x v="35"/>
    <n v="53850"/>
    <n v="116"/>
    <s v="053850_116"/>
    <s v="Discovery Day"/>
    <s v="Mai valutato"/>
    <m/>
    <n v="202505157981153"/>
    <n v="2173300010307"/>
    <n v="20250515"/>
    <s v="48 - Bonifico in arrivo "/>
    <m/>
    <s v="086 - ITALIA"/>
    <s v="A     - Avere"/>
    <n v="2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052"/>
    <x v="4"/>
    <x v="4"/>
    <x v="35"/>
    <n v="53850"/>
    <n v="118"/>
    <s v="053850_118"/>
    <s v="Discovery Day"/>
    <s v="Mai valutato"/>
    <m/>
    <n v="202505157983116"/>
    <n v="1183306278983"/>
    <n v="20250515"/>
    <s v="SPECIAL"/>
    <m/>
    <m/>
    <s v="D     - Dare"/>
    <n v="7987.97"/>
    <n v="0"/>
    <n v="56732"/>
    <s v="CLNNGL32M42A225B"/>
    <s v="COLONNA ANGELA"/>
    <s v="600 - Famiglie consumatrici"/>
    <m/>
    <s v="086 - ITALIA"/>
    <n v="632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051"/>
    <x v="4"/>
    <x v="4"/>
    <x v="35"/>
    <n v="53850"/>
    <n v="103"/>
    <s v="053850_103"/>
    <s v="Discovery Day"/>
    <s v="Mai valutato"/>
    <m/>
    <n v="202505157982989"/>
    <n v="1033306979264"/>
    <n v="20250515"/>
    <s v="SPECIAL"/>
    <m/>
    <m/>
    <s v="D     - Dare"/>
    <n v="58953.41"/>
    <n v="0"/>
    <n v="96293"/>
    <s v="DPLRNI40R62E155R"/>
    <s v="DIPALO IRENE"/>
    <s v="600 - Famiglie consumatrici"/>
    <m/>
    <s v="086 - ITALIA"/>
    <n v="959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050"/>
    <x v="2"/>
    <x v="2"/>
    <x v="35"/>
    <n v="53850"/>
    <n v="137"/>
    <s v="053850_137"/>
    <s v="Discovery Day"/>
    <s v="Mai valutato"/>
    <m/>
    <n v="202505157981080"/>
    <n v="1373300005994"/>
    <n v="20250515"/>
    <s v="AA - Bonifico da e per estero "/>
    <m/>
    <s v="261 - CROAZIA"/>
    <s v="D     - Dare"/>
    <n v="47483.7"/>
    <n v="0"/>
    <n v="3734872"/>
    <n v="1896670708"/>
    <s v="MOLISE SUINI SRL"/>
    <s v="430 - Imprese produttive"/>
    <s v="014 - ALLEVAMENTO DI ANIMALI"/>
    <s v="086 - ITALIA"/>
    <n v="1867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049"/>
    <x v="6"/>
    <x v="6"/>
    <x v="35"/>
    <n v="53850"/>
    <n v="110"/>
    <s v="053850_110"/>
    <s v="Discovery Day"/>
    <s v="Mai valutato"/>
    <m/>
    <n v="202505157982165"/>
    <n v="1103306288240"/>
    <n v="20250515"/>
    <s v="AA - Bonifico da e per estero "/>
    <m/>
    <s v="129 - INDONESIA"/>
    <s v="A     - Avere"/>
    <n v="298635.90999999997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5"/>
    <x v="0"/>
    <x v="0"/>
    <x v="0"/>
    <m/>
    <x v="0"/>
    <x v="0"/>
    <s v="464"/>
    <s v="430"/>
    <s v="430464"/>
    <s v="Classe di rischio 4"/>
    <m/>
    <s v="Classe di rischio 4"/>
  </r>
  <r>
    <n v="348048"/>
    <x v="5"/>
    <x v="5"/>
    <x v="35"/>
    <n v="53850"/>
    <n v="102"/>
    <s v="053850_102"/>
    <s v="Discovery Day"/>
    <s v="Mai valutato"/>
    <m/>
    <s v="Vari (15/05/2025)"/>
    <n v="1023308723527"/>
    <n v="20250515"/>
    <s v="03 - Versamento contante cassa continua "/>
    <m/>
    <m/>
    <s v="A     - Avere"/>
    <n v="21840"/>
    <n v="21840"/>
    <n v="4883007"/>
    <n v="8028310723"/>
    <s v="FARMACIA SAN GIOVANNI BOSCO DEI DOTTORI LILIA SPERANDIO &amp; MASSIMILIANO VITTORIO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5"/>
    <x v="4"/>
    <x v="1"/>
    <x v="0"/>
    <n v="4883007"/>
    <x v="1"/>
    <x v="0"/>
    <s v="477"/>
    <s v="492"/>
    <s v="492477"/>
    <s v="Classe di rischio 5"/>
    <m/>
    <s v="Classe di rischio 5"/>
  </r>
  <r>
    <n v="348047"/>
    <x v="5"/>
    <x v="5"/>
    <x v="35"/>
    <n v="53850"/>
    <n v="116"/>
    <s v="053850_116"/>
    <s v="Discovery Day"/>
    <s v="Mai valutato"/>
    <m/>
    <n v="202505157982858"/>
    <n v="2343300010453"/>
    <n v="20250515"/>
    <s v="03 - Versamento contante cassa continua "/>
    <m/>
    <m/>
    <s v="A     - Avere"/>
    <n v="54776.3"/>
    <n v="54776.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046"/>
    <x v="5"/>
    <x v="5"/>
    <x v="35"/>
    <n v="53850"/>
    <n v="102"/>
    <s v="053850_102"/>
    <s v="Discovery Day"/>
    <s v="Mai valutato"/>
    <m/>
    <s v="Vari (15/05/2025)"/>
    <n v="1023308722503"/>
    <n v="20250515"/>
    <s v="03 - Versamento contante cassa continua "/>
    <m/>
    <m/>
    <s v="A     - Avere"/>
    <n v="47360"/>
    <n v="473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045"/>
    <x v="3"/>
    <x v="3"/>
    <x v="35"/>
    <n v="53850"/>
    <n v="161"/>
    <s v="053850_161"/>
    <s v="Discovery Day"/>
    <s v="Mai valutato"/>
    <m/>
    <s v="Vari (15/05/2025)"/>
    <n v="1613300029653"/>
    <n v="20250515"/>
    <s v="VV"/>
    <m/>
    <m/>
    <s v="A     - Avere"/>
    <n v="225130.1"/>
    <n v="94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x v="1"/>
    <x v="0"/>
    <x v="0"/>
    <n v="4088769"/>
    <x v="1"/>
    <x v="1"/>
    <s v="464"/>
    <s v="430"/>
    <s v="430464"/>
    <s v="Classe di rischio 4"/>
    <m/>
    <s v="Classe di rischio 4"/>
  </r>
  <r>
    <n v="348044"/>
    <x v="4"/>
    <x v="4"/>
    <x v="35"/>
    <n v="53850"/>
    <n v="125"/>
    <s v="053850_125"/>
    <s v="Discovery Day"/>
    <s v="Mai valutato"/>
    <m/>
    <n v="202505157980462"/>
    <n v="1253300010106"/>
    <n v="20250515"/>
    <s v="AA - Bonifico da e per estero "/>
    <m/>
    <s v="031 - REGNO UNITO"/>
    <s v="D     - Dare"/>
    <n v="309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043"/>
    <x v="3"/>
    <x v="3"/>
    <x v="35"/>
    <n v="53850"/>
    <n v="128"/>
    <s v="053850_128"/>
    <s v="Discovery Day"/>
    <s v="Mai valutato"/>
    <m/>
    <s v="Vari (15/05/2025)"/>
    <n v="1283300001665"/>
    <n v="20250515"/>
    <s v="VV"/>
    <m/>
    <m/>
    <s v="A     - Avere"/>
    <n v="160952.84"/>
    <n v="203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x v="1"/>
    <x v="0"/>
    <x v="0"/>
    <m/>
    <x v="0"/>
    <x v="1"/>
    <s v="999"/>
    <s v="430"/>
    <s v="430999"/>
    <m/>
    <s v="1"/>
    <s v="Classe di rischio 1"/>
  </r>
  <r>
    <n v="348042"/>
    <x v="4"/>
    <x v="4"/>
    <x v="35"/>
    <n v="53850"/>
    <n v="103"/>
    <s v="053850_103"/>
    <s v="Discovery Day"/>
    <s v="Mai valutato"/>
    <m/>
    <n v="202505157982989"/>
    <n v="1033306979264"/>
    <n v="20250515"/>
    <s v="SPECIAL"/>
    <m/>
    <m/>
    <s v="D     - Dare"/>
    <n v="58953.41"/>
    <n v="0"/>
    <n v="540058"/>
    <s v="DMRRLB69A45A225H"/>
    <s v="DEMARZIO ROSALBA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041"/>
    <x v="4"/>
    <x v="4"/>
    <x v="35"/>
    <n v="53850"/>
    <n v="103"/>
    <s v="053850_103"/>
    <s v="Discovery Day"/>
    <s v="Mai valutato"/>
    <m/>
    <n v="202505157982989"/>
    <n v="1033306979264"/>
    <n v="20250515"/>
    <s v="SPECIAL"/>
    <m/>
    <m/>
    <s v="D     - Dare"/>
    <n v="58953.41"/>
    <n v="0"/>
    <n v="608838"/>
    <s v="DMRGPP73H47A225Z"/>
    <s v="DEMARZIO GIUSEPPINA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040"/>
    <x v="2"/>
    <x v="2"/>
    <x v="35"/>
    <n v="53850"/>
    <n v="187"/>
    <s v="053850_187"/>
    <s v="Discovery Day"/>
    <s v="Mai valutato"/>
    <m/>
    <s v="202505157056744L"/>
    <n v="1873300102696"/>
    <n v="20250515"/>
    <s v="AA - Bonifico da e per estero "/>
    <m/>
    <s v="012 - BULGARIA"/>
    <s v="A     - Avere"/>
    <n v="1574.15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5"/>
    <x v="1"/>
    <x v="0"/>
    <x v="0"/>
    <m/>
    <x v="0"/>
    <x v="0"/>
    <s v="463"/>
    <s v="430"/>
    <s v="430463"/>
    <s v="Classe di rischio 3"/>
    <m/>
    <s v="Classe di rischio 3"/>
  </r>
  <r>
    <n v="348039"/>
    <x v="5"/>
    <x v="5"/>
    <x v="35"/>
    <n v="53850"/>
    <n v="287"/>
    <s v="053850_287"/>
    <s v="Discovery Day"/>
    <s v="Mai valutato"/>
    <m/>
    <s v="Vari (15/05/2025)"/>
    <n v="2873300001853"/>
    <n v="20250515"/>
    <s v="VV"/>
    <m/>
    <m/>
    <s v="A     - Avere"/>
    <n v="47304.38"/>
    <n v="3705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x v="0"/>
    <x v="0"/>
    <x v="0"/>
    <n v="3722213"/>
    <x v="1"/>
    <x v="1"/>
    <s v="463"/>
    <s v="430"/>
    <s v="430463"/>
    <s v="Classe di rischio 3"/>
    <m/>
    <s v="Classe di rischio 3"/>
  </r>
  <r>
    <n v="348038"/>
    <x v="4"/>
    <x v="4"/>
    <x v="35"/>
    <n v="53850"/>
    <n v="182"/>
    <s v="053850_182"/>
    <s v="Discovery Day"/>
    <s v="Mai valutato"/>
    <m/>
    <n v="202505157983327"/>
    <n v="1823300172492"/>
    <n v="20250515"/>
    <s v="54 - Incassi diversi"/>
    <m/>
    <m/>
    <s v="A     - Avere"/>
    <n v="233000"/>
    <n v="0"/>
    <n v="3113202"/>
    <s v="TROMLD67P43L049E"/>
    <s v="TORIO MATILDE"/>
    <s v="600 - Famiglie consumatrici"/>
    <m/>
    <s v="086 - ITALIA"/>
    <n v="616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037"/>
    <x v="4"/>
    <x v="4"/>
    <x v="35"/>
    <n v="53850"/>
    <n v="116"/>
    <s v="053850_116"/>
    <s v="Discovery Day"/>
    <s v="Mai valutato"/>
    <m/>
    <n v="202505157981810"/>
    <n v="1163307617735"/>
    <n v="20250515"/>
    <s v="48 - Bonifico in arrivo "/>
    <m/>
    <s v="086 - ITALIA"/>
    <s v="A     - Avere"/>
    <n v="264367"/>
    <n v="0"/>
    <n v="570966"/>
    <s v="STMGPP65B24A662A"/>
    <s v="STIMOLA GIUSEPPE"/>
    <s v="600 - Famiglie consumatrici"/>
    <m/>
    <s v="086 - ITALIA"/>
    <n v="924"/>
    <m/>
    <m/>
    <m/>
    <m/>
    <m/>
    <m/>
    <m/>
    <n v="0"/>
    <n v="202505"/>
    <x v="3"/>
    <x v="1"/>
    <x v="0"/>
    <m/>
    <x v="0"/>
    <x v="0"/>
    <s v="999"/>
    <s v="600"/>
    <s v="600999"/>
    <s v="Classe di rischio 7"/>
    <m/>
    <s v="Classe di rischio 7"/>
  </r>
  <r>
    <n v="348036"/>
    <x v="4"/>
    <x v="4"/>
    <x v="36"/>
    <n v="53850"/>
    <n v="268"/>
    <s v="053850_268"/>
    <s v="Discovery Day"/>
    <s v="Mai valutato"/>
    <m/>
    <n v="202505157979361"/>
    <n v="2683300002752"/>
    <n v="20250515"/>
    <s v="BA - Vendita a prodotti titoli e diritti d'opzione"/>
    <m/>
    <m/>
    <s v="A     - Avere"/>
    <n v="623419.42000000004"/>
    <n v="0"/>
    <n v="1611487"/>
    <s v="LVRFTN39R28E479V"/>
    <s v="ALVARO FORTUNATO"/>
    <s v="600 - Famiglie consumatrici"/>
    <m/>
    <s v="086 - ITALIA"/>
    <n v="183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35"/>
    <x v="4"/>
    <x v="4"/>
    <x v="36"/>
    <n v="53850"/>
    <n v="268"/>
    <s v="053850_268"/>
    <s v="Discovery Day"/>
    <s v="Mai valutato"/>
    <m/>
    <n v="202505157979361"/>
    <n v="2683300002752"/>
    <n v="20250515"/>
    <s v="BA - Vendita a prodotti titoli e diritti d'opzione"/>
    <m/>
    <m/>
    <s v="A     - Avere"/>
    <n v="623419.42000000004"/>
    <n v="0"/>
    <n v="1625093"/>
    <s v="PSTPMP40P59D005I"/>
    <s v="PISTOIA POMPEA"/>
    <s v="600 - Famiglie consumatrici"/>
    <m/>
    <s v="086 - ITALIA"/>
    <n v="183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34"/>
    <x v="5"/>
    <x v="5"/>
    <x v="36"/>
    <n v="53850"/>
    <n v="102"/>
    <s v="053850_102"/>
    <s v="Discovery Day"/>
    <s v="Mai valutato"/>
    <m/>
    <n v="202505147979491"/>
    <n v="1023308722503"/>
    <n v="20250514"/>
    <s v="03 - Versamento contante cassa continua "/>
    <m/>
    <m/>
    <s v="A     - Avere"/>
    <n v="20530"/>
    <n v="2053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8033"/>
    <x v="2"/>
    <x v="2"/>
    <x v="36"/>
    <n v="53850"/>
    <n v="148"/>
    <s v="053850_148"/>
    <s v="Discovery Day"/>
    <s v="Mai valutato"/>
    <m/>
    <s v="202505147038544L"/>
    <n v="1483300003580"/>
    <n v="20250514"/>
    <s v="AA - Bonifico da e per estero "/>
    <m/>
    <s v="261 - CROAZIA"/>
    <s v="A     - Avere"/>
    <n v="1500"/>
    <n v="0"/>
    <n v="4771374"/>
    <s v="KRZJSP84S29Z149E"/>
    <s v="KRIZANIC JOSIP"/>
    <s v="600 - Famiglie consumatrici"/>
    <m/>
    <s v="086 - ITALIA"/>
    <n v="1064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032"/>
    <x v="3"/>
    <x v="3"/>
    <x v="36"/>
    <n v="53850"/>
    <n v="116"/>
    <s v="053850_116"/>
    <s v="Discovery Day"/>
    <s v="Mai valutato"/>
    <m/>
    <n v="202505147980033"/>
    <n v="1163307620997"/>
    <n v="20250514"/>
    <s v="G7 - Versamento assegno circolare altro intermediario "/>
    <m/>
    <m/>
    <s v="A     - Avere"/>
    <n v="150000"/>
    <n v="0"/>
    <n v="4925993"/>
    <s v="CVLCLL97D51A662J"/>
    <s v="CAVALCANTI CAMILLA"/>
    <s v="600 - Famiglie consumatrici"/>
    <m/>
    <s v="086 - ITALIA"/>
    <n v="808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31"/>
    <x v="6"/>
    <x v="6"/>
    <x v="36"/>
    <n v="53850"/>
    <n v="109"/>
    <s v="053850_109"/>
    <s v="Discovery Day"/>
    <s v="Mai valutato"/>
    <m/>
    <n v="202505147979164"/>
    <n v="1093306667367"/>
    <n v="20250514"/>
    <s v="AA - Bonifico da e per estero "/>
    <m/>
    <s v="103 - HONG KONG"/>
    <s v="A     - Avere"/>
    <n v="51994.49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5"/>
    <x v="1"/>
    <x v="0"/>
    <x v="0"/>
    <n v="4026861"/>
    <x v="1"/>
    <x v="0"/>
    <s v="477"/>
    <s v="430"/>
    <s v="430477"/>
    <s v="Classe di rischio 3"/>
    <m/>
    <s v="Classe di rischio 3"/>
  </r>
  <r>
    <n v="348030"/>
    <x v="4"/>
    <x v="4"/>
    <x v="36"/>
    <n v="53850"/>
    <n v="105"/>
    <s v="053850_105"/>
    <s v="Discovery Day"/>
    <s v="Mai valutato"/>
    <m/>
    <n v="202505147979957"/>
    <n v="1053300336450"/>
    <n v="20250514"/>
    <s v="54 - Incassi diversi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8029"/>
    <x v="3"/>
    <x v="3"/>
    <x v="36"/>
    <n v="53850"/>
    <n v="116"/>
    <s v="053850_116"/>
    <s v="Discovery Day"/>
    <s v="Mai valutato"/>
    <m/>
    <n v="202505147980033"/>
    <n v="1163307620997"/>
    <n v="20250514"/>
    <s v="G7 - Versamento assegno circolare altro intermediario "/>
    <m/>
    <m/>
    <s v="A     - Avere"/>
    <n v="150000"/>
    <n v="0"/>
    <n v="4996140"/>
    <s v="CVLRNI98S53A662Y"/>
    <s v="CAVALCANTI IRENE"/>
    <s v="600 - Famiglie consumatrici"/>
    <m/>
    <s v="086 - ITALIA"/>
    <n v="73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28"/>
    <x v="3"/>
    <x v="3"/>
    <x v="36"/>
    <n v="53850"/>
    <n v="116"/>
    <s v="053850_116"/>
    <s v="Discovery Day"/>
    <s v="Mai valutato"/>
    <m/>
    <n v="202505147980033"/>
    <n v="1163307620997"/>
    <n v="20250514"/>
    <s v="G7 - Versamento assegno circolare altro intermediario "/>
    <m/>
    <m/>
    <s v="A     - Avere"/>
    <n v="150000"/>
    <n v="0"/>
    <n v="523257"/>
    <s v="CVLRFL62S13A662E"/>
    <s v="CAVALCANTI RAFFAELE"/>
    <s v="615 - Altre famiglie produttrici"/>
    <s v="862 - SERVIZI DEGLI STUDI MEDICI E ODONTOIATRICI"/>
    <s v="086 - ITALIA"/>
    <n v="1612"/>
    <m/>
    <m/>
    <m/>
    <m/>
    <m/>
    <m/>
    <m/>
    <n v="0"/>
    <n v="202505"/>
    <x v="1"/>
    <x v="0"/>
    <x v="0"/>
    <m/>
    <x v="0"/>
    <x v="0"/>
    <s v="999"/>
    <s v="615"/>
    <s v="615999"/>
    <m/>
    <s v="1"/>
    <s v="Classe di rischio 3"/>
  </r>
  <r>
    <n v="348027"/>
    <x v="3"/>
    <x v="3"/>
    <x v="36"/>
    <n v="53850"/>
    <n v="108"/>
    <s v="053850_108"/>
    <s v="Discovery Day"/>
    <s v="Mai valutato"/>
    <m/>
    <s v="Vari (14/05/2025)"/>
    <n v="1083306291105"/>
    <n v="20250514"/>
    <s v="VV"/>
    <m/>
    <m/>
    <s v="A     - Avere"/>
    <n v="187262.31"/>
    <n v="112449.6000000000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48026"/>
    <x v="3"/>
    <x v="3"/>
    <x v="36"/>
    <n v="53850"/>
    <n v="116"/>
    <s v="053850_116"/>
    <s v="Discovery Day"/>
    <s v="Mai valutato"/>
    <m/>
    <n v="202505147979800"/>
    <n v="2343300010453"/>
    <n v="20250514"/>
    <s v="03 - Versamento contante cassa continua "/>
    <m/>
    <m/>
    <s v="A     - Avere"/>
    <n v="157456.45000000001"/>
    <n v="157456.4500000000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025"/>
    <x v="4"/>
    <x v="4"/>
    <x v="36"/>
    <n v="53850"/>
    <n v="102"/>
    <s v="053850_102"/>
    <s v="Discovery Day"/>
    <s v="Mai valutato"/>
    <m/>
    <n v="202505147979467"/>
    <n v="1023300113820"/>
    <n v="20250514"/>
    <s v="25 - Pagamento di documenti su Italia "/>
    <m/>
    <m/>
    <s v="D     - Dare"/>
    <n v="1026452.35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024"/>
    <x v="5"/>
    <x v="5"/>
    <x v="36"/>
    <n v="53850"/>
    <n v="108"/>
    <s v="053850_108"/>
    <s v="Discovery Day"/>
    <s v="Mai valutato"/>
    <m/>
    <s v="Vari (14/05/2025)"/>
    <n v="1083306291105"/>
    <n v="20250514"/>
    <s v="VV"/>
    <m/>
    <m/>
    <s v="A     - Avere"/>
    <n v="187262.31"/>
    <n v="112449.6000000000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48023"/>
    <x v="4"/>
    <x v="4"/>
    <x v="36"/>
    <n v="53850"/>
    <n v="125"/>
    <s v="053850_125"/>
    <s v="Discovery Day"/>
    <s v="Mai valutato"/>
    <m/>
    <n v="202505147977797"/>
    <n v="1253300010383"/>
    <n v="20250514"/>
    <s v="26 - Bonifico in partenza "/>
    <m/>
    <s v="086 - ITALIA"/>
    <s v="D     - Dare"/>
    <n v="1750000"/>
    <n v="0"/>
    <n v="4693650"/>
    <n v="7055451210"/>
    <s v="IMI SUD LAMINATI S.R.L."/>
    <s v="430 - Imprese produttive"/>
    <s v="241 - SIDERURGIA"/>
    <s v="086 - ITALIA"/>
    <n v="982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8022"/>
    <x v="5"/>
    <x v="5"/>
    <x v="36"/>
    <n v="53850"/>
    <n v="114"/>
    <s v="053850_114"/>
    <s v="Discovery Day"/>
    <s v="Mai valutato"/>
    <m/>
    <n v="202505147980021"/>
    <n v="1143306280621"/>
    <n v="20250514"/>
    <s v="D1 - Versamento di contante "/>
    <m/>
    <m/>
    <s v="A     - Avere"/>
    <n v="49000"/>
    <n v="49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30"/>
    <s v="430477"/>
    <s v="Classe di rischio 3"/>
    <m/>
    <s v="Classe di rischio 3"/>
  </r>
  <r>
    <n v="348021"/>
    <x v="3"/>
    <x v="3"/>
    <x v="36"/>
    <n v="53850"/>
    <n v="284"/>
    <s v="053850_284"/>
    <s v="Discovery Day"/>
    <s v="Mai valutato"/>
    <m/>
    <n v="202505147980387"/>
    <n v="2843300000683"/>
    <n v="20250514"/>
    <s v="G7 - Versamento assegno circolare altro intermediario "/>
    <m/>
    <m/>
    <s v="A     - Avere"/>
    <n v="110000"/>
    <n v="0"/>
    <n v="1669887"/>
    <s v="DPCNMR58R59D763H"/>
    <s v="DI PECO ANNA MARIA"/>
    <s v="600 - Famiglie consumatrici"/>
    <m/>
    <s v="086 - ITALIA"/>
    <m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020"/>
    <x v="7"/>
    <x v="7"/>
    <x v="36"/>
    <n v="53850"/>
    <n v="171"/>
    <s v="053850_171"/>
    <s v="Discovery Day"/>
    <s v="Mai valutato"/>
    <m/>
    <n v="202505147980194"/>
    <m/>
    <n v="20250514"/>
    <s v="F2 - Incasso assegno circolare stesso intermediario"/>
    <m/>
    <m/>
    <s v="D     - Dare"/>
    <n v="16050"/>
    <n v="31"/>
    <n v="4021488"/>
    <s v="TRLNGL36L16A893M"/>
    <s v="TERLIZZI ANGELO"/>
    <s v="600 - Famiglie consumatrici"/>
    <m/>
    <s v="086 - ITALIA"/>
    <n v="662"/>
    <m/>
    <m/>
    <m/>
    <m/>
    <m/>
    <m/>
    <m/>
    <n v="0"/>
    <n v="202505"/>
    <x v="5"/>
    <x v="2"/>
    <x v="1"/>
    <m/>
    <x v="0"/>
    <x v="0"/>
    <s v="999"/>
    <s v="600"/>
    <s v="600999"/>
    <s v="Classe di rischio 7"/>
    <m/>
    <s v="Classe di rischio 7"/>
  </r>
  <r>
    <n v="348019"/>
    <x v="5"/>
    <x v="5"/>
    <x v="36"/>
    <n v="53850"/>
    <n v="171"/>
    <s v="053850_171"/>
    <s v="Discovery Day"/>
    <s v="Mai valutato"/>
    <m/>
    <s v="Vari (14/05/2025)"/>
    <n v="1713305728950"/>
    <n v="20250514"/>
    <s v="03 - Versamento contante cassa continua "/>
    <m/>
    <m/>
    <s v="A     - Avere"/>
    <n v="386588.7"/>
    <n v="386588.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8018"/>
    <x v="4"/>
    <x v="4"/>
    <x v="36"/>
    <n v="53850"/>
    <n v="161"/>
    <s v="053850_161"/>
    <s v="Discovery Day"/>
    <s v="Mai valutato"/>
    <m/>
    <n v="202505147978905"/>
    <n v="1613300029174"/>
    <n v="20250514"/>
    <s v="48 - Bonifico in arrivo "/>
    <m/>
    <s v="086 - ITALIA"/>
    <s v="A     - Avere"/>
    <n v="325570.92"/>
    <n v="0"/>
    <n v="4017792"/>
    <s v="FZAGPP63P67A892K"/>
    <s v="FAZIO GIUSEPPINA"/>
    <s v="600 - Famiglie consumatrici"/>
    <m/>
    <s v="086 - ITALIA"/>
    <n v="1662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017"/>
    <x v="3"/>
    <x v="3"/>
    <x v="36"/>
    <n v="53850"/>
    <n v="266"/>
    <s v="053850_266"/>
    <s v="Discovery Day"/>
    <s v="Mai valutato"/>
    <m/>
    <s v="Vari (14/05/2025)"/>
    <n v="2663300000556"/>
    <n v="20250514"/>
    <s v="VV"/>
    <m/>
    <m/>
    <s v="A     - Avere"/>
    <n v="226958.14"/>
    <n v="0"/>
    <n v="1633047"/>
    <s v="PRNFNC46C54B819N"/>
    <s v="PRANDI FRANCA"/>
    <s v="600 - Famiglie consumatrici"/>
    <m/>
    <s v="086 - ITALIA"/>
    <n v="1799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016"/>
    <x v="4"/>
    <x v="4"/>
    <x v="36"/>
    <n v="53850"/>
    <n v="170"/>
    <s v="053850_170"/>
    <s v="Discovery Day"/>
    <s v="Mai valutato"/>
    <m/>
    <n v="202505147977415"/>
    <n v="1703306290830"/>
    <n v="20250514"/>
    <s v="39 - Disposizione per emolumenti"/>
    <m/>
    <m/>
    <s v="D     - Dare"/>
    <n v="729828.68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5"/>
    <x v="2"/>
    <x v="1"/>
    <x v="0"/>
    <m/>
    <x v="0"/>
    <x v="0"/>
    <s v="812"/>
    <s v="430"/>
    <s v="430812"/>
    <s v="Classe di rischio 3"/>
    <m/>
    <s v="Classe di rischio 3"/>
  </r>
  <r>
    <n v="348015"/>
    <x v="5"/>
    <x v="5"/>
    <x v="36"/>
    <n v="53850"/>
    <n v="116"/>
    <s v="053850_116"/>
    <s v="Discovery Day"/>
    <s v="Mai valutato"/>
    <m/>
    <n v="202505147979800"/>
    <n v="2343300010453"/>
    <n v="20250514"/>
    <s v="03 - Versamento contante cassa continua "/>
    <m/>
    <m/>
    <s v="A     - Avere"/>
    <n v="157456.45000000001"/>
    <n v="157456.4500000000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8014"/>
    <x v="3"/>
    <x v="3"/>
    <x v="36"/>
    <n v="53850"/>
    <n v="171"/>
    <s v="053850_171"/>
    <s v="Discovery Day"/>
    <s v="Mai valutato"/>
    <m/>
    <s v="Vari (14/05/2025)"/>
    <n v="1713302214147"/>
    <n v="20250514"/>
    <s v="03 - Versamento contante cassa continua "/>
    <m/>
    <m/>
    <s v="A     - Avere"/>
    <n v="164995"/>
    <n v="16499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8013"/>
    <x v="6"/>
    <x v="6"/>
    <x v="36"/>
    <n v="53850"/>
    <n v="140"/>
    <s v="053850_140"/>
    <s v="Discovery Day"/>
    <s v="Mai valutato"/>
    <m/>
    <n v="202505147979180"/>
    <n v="1403300003116"/>
    <n v="20250514"/>
    <s v="AA - Bonifico da e per estero "/>
    <m/>
    <s v="090 - LIECHTENSTEIN"/>
    <s v="A     - Avere"/>
    <n v="18942.89"/>
    <n v="0"/>
    <n v="4089951"/>
    <s v="CRFGPP48C20F842N"/>
    <s v="CARAFA GIUSEPPE"/>
    <s v="600 - Famiglie consumatrici"/>
    <m/>
    <s v="086 - ITALIA"/>
    <n v="140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12"/>
    <x v="4"/>
    <x v="4"/>
    <x v="36"/>
    <n v="53850"/>
    <n v="170"/>
    <s v="053850_170"/>
    <s v="Discovery Day"/>
    <s v="Mai valutato"/>
    <m/>
    <s v="202505147041628L"/>
    <n v="1703306287314"/>
    <n v="20250514"/>
    <s v="SPECIAL"/>
    <m/>
    <m/>
    <s v="A     - Avere"/>
    <n v="1000"/>
    <n v="0"/>
    <n v="4221749"/>
    <n v="5485630726"/>
    <s v="ANTONIO FIORE ALIMENTARE S.R.L."/>
    <s v="430 - Imprese produttive"/>
    <s v="107 - PRODUZIONE DI PRODOTTI DA FORNO E FARINACEI"/>
    <s v="086 - ITALIA"/>
    <n v="1920"/>
    <m/>
    <m/>
    <m/>
    <m/>
    <m/>
    <m/>
    <m/>
    <n v="0"/>
    <n v="202505"/>
    <x v="2"/>
    <x v="1"/>
    <x v="0"/>
    <m/>
    <x v="0"/>
    <x v="1"/>
    <s v="999"/>
    <s v="430"/>
    <s v="430999"/>
    <m/>
    <s v="1"/>
    <s v="Classe di rischio 1"/>
  </r>
  <r>
    <n v="348011"/>
    <x v="8"/>
    <x v="8"/>
    <x v="36"/>
    <n v="53850"/>
    <n v="140"/>
    <s v="053850_140"/>
    <s v="Discovery Day"/>
    <s v="Mai valutato"/>
    <m/>
    <n v="202505147979180"/>
    <n v="1403300003116"/>
    <n v="20250514"/>
    <s v="AA - Bonifico da e per estero "/>
    <m/>
    <s v="090 - LIECHTENSTEIN"/>
    <s v="A     - Avere"/>
    <n v="18942.89"/>
    <n v="0"/>
    <n v="4089951"/>
    <s v="CRFGPP48C20F842N"/>
    <s v="CARAFA GIUSEPPE"/>
    <s v="600 - Famiglie consumatrici"/>
    <m/>
    <s v="086 - ITALIA"/>
    <n v="140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10"/>
    <x v="2"/>
    <x v="2"/>
    <x v="36"/>
    <n v="53850"/>
    <n v="147"/>
    <s v="053850_147"/>
    <s v="Discovery Day"/>
    <s v="Mai valutato"/>
    <m/>
    <s v="202505147036040L"/>
    <n v="1473300005217"/>
    <n v="20250514"/>
    <s v="AA - Bonifico da e per estero "/>
    <m/>
    <s v="012 - BULGARIA"/>
    <s v="D     - Dare"/>
    <n v="1825"/>
    <n v="0"/>
    <n v="3724704"/>
    <n v="4306130610"/>
    <s v="SABATINO SRL"/>
    <s v="430 - Imprese produttive"/>
    <s v="494 - TRASPORTO DI MERCI SU STRADA E SERVIZI DI TRASLOCO"/>
    <s v="086 - ITALIA"/>
    <n v="1196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48009"/>
    <x v="3"/>
    <x v="3"/>
    <x v="36"/>
    <n v="53850"/>
    <n v="266"/>
    <s v="053850_266"/>
    <s v="Discovery Day"/>
    <s v="Mai valutato"/>
    <m/>
    <s v="Vari (14/05/2025)"/>
    <n v="2663300000556"/>
    <n v="20250514"/>
    <s v="VV"/>
    <m/>
    <m/>
    <s v="A     - Avere"/>
    <n v="226958.14"/>
    <n v="0"/>
    <n v="1633772"/>
    <s v="STLPPL44L19F112K"/>
    <s v="STILLITANI PIER PAOLO"/>
    <s v="600 - Famiglie consumatrici"/>
    <m/>
    <s v="086 - ITALIA"/>
    <n v="1799"/>
    <m/>
    <m/>
    <m/>
    <m/>
    <m/>
    <m/>
    <m/>
    <n v="0"/>
    <n v="202505"/>
    <x v="4"/>
    <x v="1"/>
    <x v="0"/>
    <m/>
    <x v="0"/>
    <x v="1"/>
    <s v="999"/>
    <s v="600"/>
    <s v="600999"/>
    <s v="Classe di rischio 7"/>
    <m/>
    <s v="Classe di rischio 7"/>
  </r>
  <r>
    <n v="348008"/>
    <x v="4"/>
    <x v="4"/>
    <x v="36"/>
    <n v="53850"/>
    <n v="102"/>
    <s v="053850_102"/>
    <s v="Discovery Day"/>
    <s v="Mai valutato"/>
    <m/>
    <n v="202505147979882"/>
    <n v="1023308717407"/>
    <n v="20250514"/>
    <s v="SPECIAL"/>
    <m/>
    <m/>
    <s v="D     - Dare"/>
    <n v="14235.26"/>
    <n v="0"/>
    <n v="49012"/>
    <s v="LRRNGL37M71A225X"/>
    <s v="LAURIERO ANGELA"/>
    <s v="600 - Famiglie consumatrici"/>
    <m/>
    <s v="086 - ITALIA"/>
    <n v="580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8007"/>
    <x v="3"/>
    <x v="3"/>
    <x v="36"/>
    <n v="53850"/>
    <n v="129"/>
    <s v="053850_129"/>
    <s v="Discovery Day"/>
    <s v="Mai valutato"/>
    <m/>
    <n v="202505147980062"/>
    <n v="1293300003071"/>
    <n v="20250514"/>
    <s v="G8 - Versamento assegno circolare stesso intermediario"/>
    <m/>
    <m/>
    <s v="A     - Avere"/>
    <n v="185000"/>
    <n v="0"/>
    <n v="4400202"/>
    <s v="BNCLGV45C64C134J"/>
    <s v="BIANCO ELISA GIOVANNA"/>
    <s v="600 - Famiglie consumatrici"/>
    <m/>
    <s v="086 - ITALIA"/>
    <n v="1355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48006"/>
    <x v="8"/>
    <x v="8"/>
    <x v="36"/>
    <n v="53850"/>
    <n v="140"/>
    <s v="053850_140"/>
    <s v="Discovery Day"/>
    <s v="Mai valutato"/>
    <m/>
    <n v="202505147979180"/>
    <n v="1403300003116"/>
    <n v="20250514"/>
    <s v="AA - Bonifico da e per estero "/>
    <m/>
    <s v="090 - LIECHTENSTEIN"/>
    <s v="A     - Avere"/>
    <n v="18942.89"/>
    <n v="0"/>
    <n v="4090758"/>
    <s v="CTLCCF50E43F842C"/>
    <s v="CATALDI CROCEFISSA"/>
    <s v="600 - Famiglie consumatrici"/>
    <m/>
    <s v="086 - ITALIA"/>
    <n v="140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05"/>
    <x v="3"/>
    <x v="3"/>
    <x v="36"/>
    <n v="53850"/>
    <n v="284"/>
    <s v="053850_284"/>
    <s v="Discovery Day"/>
    <s v="Mai valutato"/>
    <m/>
    <n v="202505147980387"/>
    <n v="2843300000683"/>
    <n v="20250514"/>
    <s v="G7 - Versamento assegno circolare altro intermediario "/>
    <m/>
    <m/>
    <s v="A     - Avere"/>
    <n v="110000"/>
    <n v="0"/>
    <n v="1669888"/>
    <s v="MTTNZE61B13H320C"/>
    <s v="MATTIOLI ENZO"/>
    <s v="600 - Famiglie consumatrici"/>
    <m/>
    <s v="086 - ITALIA"/>
    <n v="1858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8004"/>
    <x v="4"/>
    <x v="4"/>
    <x v="36"/>
    <n v="53850"/>
    <n v="286"/>
    <s v="053850_286"/>
    <s v="Discovery Day"/>
    <s v="Mai valutato"/>
    <m/>
    <s v="202505147040459L"/>
    <n v="2863300002062"/>
    <n v="20250514"/>
    <s v="SPECIAL"/>
    <m/>
    <m/>
    <s v="D     - Dare"/>
    <n v="1841.29"/>
    <n v="0"/>
    <n v="1656116"/>
    <s v="DPRFNC43T11H562L"/>
    <s v="DI PROFIO FRANCO"/>
    <s v="600 - Famiglie consumatrici"/>
    <m/>
    <s v="086 - ITALIA"/>
    <n v="1764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8003"/>
    <x v="4"/>
    <x v="4"/>
    <x v="36"/>
    <n v="53850"/>
    <n v="103"/>
    <s v="053850_103"/>
    <s v="Discovery Day"/>
    <s v="Mai valutato"/>
    <m/>
    <n v="202505147979921"/>
    <n v="1033306985959"/>
    <n v="20250514"/>
    <s v="10 - Emisione assegni circolari e titoli similari vaglia"/>
    <m/>
    <m/>
    <s v="D     - Dare"/>
    <n v="270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8002"/>
    <x v="4"/>
    <x v="4"/>
    <x v="36"/>
    <n v="53850"/>
    <n v="116"/>
    <s v="053850_116"/>
    <s v="Discovery Day"/>
    <s v="Mai valutato"/>
    <m/>
    <n v="202505147978940"/>
    <n v="2173300010307"/>
    <n v="20250514"/>
    <s v="48 - Bonifico in arrivo "/>
    <m/>
    <s v="086 - ITALIA"/>
    <s v="A     - Avere"/>
    <n v="3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8001"/>
    <x v="2"/>
    <x v="2"/>
    <x v="36"/>
    <n v="53850"/>
    <n v="271"/>
    <s v="053850_271"/>
    <s v="Discovery Day"/>
    <s v="Mai valutato"/>
    <m/>
    <n v="202505147979176"/>
    <n v="2713300010112"/>
    <n v="20250514"/>
    <s v="AA - Bonifico da e per estero "/>
    <m/>
    <s v="238 - ABU DHABI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5"/>
    <x v="0"/>
    <x v="0"/>
    <x v="0"/>
    <m/>
    <x v="0"/>
    <x v="0"/>
    <s v="999"/>
    <s v="615"/>
    <s v="615999"/>
    <m/>
    <s v="1"/>
    <s v="Classe di rischio 3"/>
  </r>
  <r>
    <n v="348000"/>
    <x v="4"/>
    <x v="4"/>
    <x v="36"/>
    <n v="53850"/>
    <n v="161"/>
    <s v="053850_161"/>
    <s v="Discovery Day"/>
    <s v="Mai valutato"/>
    <m/>
    <n v="202505147978905"/>
    <n v="1613300029174"/>
    <n v="20250514"/>
    <s v="48 - Bonifico in arrivo "/>
    <m/>
    <s v="086 - ITALIA"/>
    <s v="A     - Avere"/>
    <n v="325570.92"/>
    <n v="0"/>
    <n v="4017790"/>
    <s v="GRMNCL63T05G291O"/>
    <s v="GERMANO NICOLA"/>
    <s v="600 - Famiglie consumatrici"/>
    <m/>
    <s v="086 - ITALIA"/>
    <n v="1662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7999"/>
    <x v="6"/>
    <x v="6"/>
    <x v="36"/>
    <n v="53850"/>
    <n v="140"/>
    <s v="053850_140"/>
    <s v="Discovery Day"/>
    <s v="Mai valutato"/>
    <m/>
    <n v="202505147979180"/>
    <n v="1403300003116"/>
    <n v="20250514"/>
    <s v="AA - Bonifico da e per estero "/>
    <m/>
    <s v="090 - LIECHTENSTEIN"/>
    <s v="A     - Avere"/>
    <n v="18942.89"/>
    <n v="0"/>
    <n v="4090758"/>
    <s v="CTLCCF50E43F842C"/>
    <s v="CATALDI CROCEFISSA"/>
    <s v="600 - Famiglie consumatrici"/>
    <m/>
    <s v="086 - ITALIA"/>
    <n v="1403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7998"/>
    <x v="2"/>
    <x v="2"/>
    <x v="36"/>
    <n v="53850"/>
    <n v="149"/>
    <s v="053850_149"/>
    <s v="Discovery Day"/>
    <s v="Mai valutato"/>
    <m/>
    <s v="202505147038756L"/>
    <n v="1493300663564"/>
    <n v="20250514"/>
    <s v="AA - Bonifico da e per estero "/>
    <m/>
    <s v="012 - BULGARIA"/>
    <s v="A     - Avere"/>
    <n v="3040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7997"/>
    <x v="5"/>
    <x v="5"/>
    <x v="36"/>
    <n v="53850"/>
    <n v="171"/>
    <s v="053850_171"/>
    <s v="Discovery Day"/>
    <s v="Mai valutato"/>
    <m/>
    <s v="Vari (14/05/2025)"/>
    <n v="1713302214147"/>
    <n v="20250514"/>
    <s v="03 - Versamento contante cassa continua "/>
    <m/>
    <m/>
    <s v="A     - Avere"/>
    <n v="164995"/>
    <n v="16499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7996"/>
    <x v="3"/>
    <x v="3"/>
    <x v="36"/>
    <n v="53850"/>
    <n v="116"/>
    <s v="053850_116"/>
    <s v="Discovery Day"/>
    <s v="Mai valutato"/>
    <m/>
    <n v="202505147980033"/>
    <n v="1163307620997"/>
    <n v="20250514"/>
    <s v="G7 - Versamento assegno circolare altro intermediario "/>
    <m/>
    <m/>
    <s v="A     - Avere"/>
    <n v="150000"/>
    <n v="0"/>
    <n v="4925190"/>
    <s v="CLVCST66A43A662O"/>
    <s v="CALVANESE CELESTE"/>
    <s v="600 - Famiglie consumatrici"/>
    <m/>
    <s v="086 - ITALIA"/>
    <n v="808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7995"/>
    <x v="2"/>
    <x v="2"/>
    <x v="36"/>
    <n v="53850"/>
    <n v="116"/>
    <s v="053850_116"/>
    <s v="Discovery Day"/>
    <s v="Mai valutato"/>
    <m/>
    <n v="202505147979166"/>
    <n v="1161208800014"/>
    <n v="20250514"/>
    <s v="AA - Bonifico da e per estero "/>
    <m/>
    <s v="012 - BULGARIA"/>
    <s v="D     - Dare"/>
    <n v="11840.06"/>
    <n v="0"/>
    <n v="4871871"/>
    <n v="2516140726"/>
    <s v="FREZZA LEGNAMI S.P.A."/>
    <s v="430 - Imprese produttive"/>
    <s v="467 - COMMERCIO ALL'INGROSSO SPECIALIZZATO DI ALTRI PRODOTTI"/>
    <s v="086 - ITALIA"/>
    <n v="1903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7994"/>
    <x v="3"/>
    <x v="3"/>
    <x v="36"/>
    <n v="53850"/>
    <n v="171"/>
    <s v="053850_171"/>
    <s v="Discovery Day"/>
    <s v="Mai valutato"/>
    <m/>
    <s v="Vari (14/05/2025)"/>
    <n v="1713305728950"/>
    <n v="20250514"/>
    <s v="03 - Versamento contante cassa continua "/>
    <m/>
    <m/>
    <s v="A     - Avere"/>
    <n v="386588.7"/>
    <n v="386588.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7993"/>
    <x v="5"/>
    <x v="5"/>
    <x v="36"/>
    <n v="53850"/>
    <n v="128"/>
    <s v="053850_128"/>
    <s v="Discovery Day"/>
    <s v="Mai valutato"/>
    <m/>
    <s v="Vari (14/05/2025)"/>
    <n v="1283300003941"/>
    <n v="20250514"/>
    <s v="03 - Versamento contante cassa continua "/>
    <m/>
    <m/>
    <s v="A     - Avere"/>
    <n v="44000"/>
    <n v="440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x v="1"/>
    <x v="0"/>
    <x v="0"/>
    <n v="4916499"/>
    <x v="1"/>
    <x v="0"/>
    <s v="999"/>
    <s v="615"/>
    <s v="615999"/>
    <m/>
    <s v="1"/>
    <s v="Classe di rischio 3"/>
  </r>
  <r>
    <n v="347992"/>
    <x v="4"/>
    <x v="4"/>
    <x v="36"/>
    <n v="53850"/>
    <n v="109"/>
    <s v="053850_109"/>
    <s v="Discovery Day"/>
    <s v="Mai valutato"/>
    <m/>
    <n v="202505147979977"/>
    <n v="1723306283969"/>
    <n v="20250514"/>
    <s v="SPECIAL"/>
    <m/>
    <m/>
    <s v="D     - Dare"/>
    <n v="42874.68"/>
    <n v="0"/>
    <n v="4972749"/>
    <s v="NTTMHL37M07A662M"/>
    <s v="NITTI MICHELE"/>
    <s v="600 - Famiglie consumatrici"/>
    <m/>
    <s v="086 - ITALIA"/>
    <n v="494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7991"/>
    <x v="4"/>
    <x v="4"/>
    <x v="37"/>
    <n v="53850"/>
    <n v="174"/>
    <s v="053850_174"/>
    <s v="Discovery Day"/>
    <s v="Mai valutato"/>
    <m/>
    <n v="202505147975908"/>
    <n v="1743302879825"/>
    <n v="20250514"/>
    <s v="BA - Vendita a prodotti titoli e diritti d'opzione"/>
    <m/>
    <m/>
    <s v="A     - Avere"/>
    <n v="156758.56"/>
    <n v="0"/>
    <n v="4916814"/>
    <s v="LSTNTN47E16H643U"/>
    <s v="LOSITO ANTONIO"/>
    <s v="615 - Altre famiglie produttrici"/>
    <s v="477 - COMMERCIO AL DETTAGLIO DI ALTRI PRODOTTI IN ESERCIZI SPECIALIZZATI"/>
    <s v="086 - ITALIA"/>
    <n v="720"/>
    <m/>
    <m/>
    <m/>
    <m/>
    <m/>
    <m/>
    <m/>
    <n v="0"/>
    <n v="202505"/>
    <x v="2"/>
    <x v="1"/>
    <x v="0"/>
    <m/>
    <x v="0"/>
    <x v="0"/>
    <s v="477"/>
    <s v="615"/>
    <s v="615477"/>
    <s v="Classe di rischio 6"/>
    <m/>
    <s v="Classe di rischio 6"/>
  </r>
  <r>
    <n v="347990"/>
    <x v="4"/>
    <x v="4"/>
    <x v="37"/>
    <n v="53850"/>
    <n v="102"/>
    <s v="053850_102"/>
    <s v="Discovery Day"/>
    <s v="Mai valutato"/>
    <m/>
    <n v="202505147975743"/>
    <n v="1023302251821"/>
    <n v="20250514"/>
    <s v="BB - Acquisto a pronti titoli e diritti d'opzione "/>
    <m/>
    <m/>
    <s v="D     - Dare"/>
    <n v="196891"/>
    <n v="0"/>
    <n v="522069"/>
    <s v="CHRGNN79D17A225A"/>
    <s v="CHIRONNA GIOVANNI"/>
    <s v="614 - Artigiani"/>
    <s v="383 - RECUPERO DEI MATERIALI"/>
    <s v="086 - ITALIA"/>
    <n v="1306"/>
    <m/>
    <m/>
    <m/>
    <m/>
    <m/>
    <m/>
    <m/>
    <n v="0"/>
    <n v="202505"/>
    <x v="1"/>
    <x v="0"/>
    <x v="0"/>
    <m/>
    <x v="0"/>
    <x v="0"/>
    <s v="383"/>
    <s v="614"/>
    <s v="614383"/>
    <s v="Classe di rischio 6"/>
    <m/>
    <s v="Classe di rischio 6"/>
  </r>
  <r>
    <n v="347989"/>
    <x v="5"/>
    <x v="5"/>
    <x v="37"/>
    <n v="53850"/>
    <n v="286"/>
    <s v="053850_286"/>
    <s v="Discovery Day"/>
    <s v="Mai valutato"/>
    <m/>
    <n v="202505137976728"/>
    <n v="2863300002878"/>
    <n v="20250513"/>
    <s v="03 - Versamento contante cassa continua "/>
    <m/>
    <m/>
    <s v="A     - Avere"/>
    <n v="15130"/>
    <n v="15130"/>
    <n v="1686425"/>
    <n v="2629680691"/>
    <s v="FARMACIA GIACCI DI GIACCI ALBERTO E ROBERTA &amp; C. S.A.S."/>
    <s v="492 - Quasi societa' non finanziarie altre - Unita' o societa' con meno di 20 addetti"/>
    <s v="477 - COMMERCIO AL DETTAGLIO DI ALTRI PRODOTTI IN ESERCIZI SPECIALIZZATI"/>
    <s v="086 - ITALIA"/>
    <n v="1767"/>
    <m/>
    <m/>
    <m/>
    <m/>
    <m/>
    <m/>
    <m/>
    <n v="0"/>
    <n v="202505"/>
    <x v="0"/>
    <x v="0"/>
    <x v="0"/>
    <m/>
    <x v="0"/>
    <x v="0"/>
    <s v="477"/>
    <s v="492"/>
    <s v="492477"/>
    <s v="Classe di rischio 5"/>
    <m/>
    <s v="Classe di rischio 5"/>
  </r>
  <r>
    <n v="347988"/>
    <x v="5"/>
    <x v="5"/>
    <x v="37"/>
    <n v="53850"/>
    <n v="102"/>
    <s v="053850_102"/>
    <s v="Discovery Day"/>
    <s v="Mai valutato"/>
    <m/>
    <s v="Vari (13/05/2025)"/>
    <n v="1023308722503"/>
    <n v="20250513"/>
    <s v="03 - Versamento contante cassa continua "/>
    <m/>
    <m/>
    <s v="A     - Avere"/>
    <n v="44860"/>
    <n v="448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7987"/>
    <x v="5"/>
    <x v="5"/>
    <x v="37"/>
    <n v="53850"/>
    <n v="171"/>
    <s v="053850_171"/>
    <s v="Discovery Day"/>
    <s v="Mai valutato"/>
    <m/>
    <s v="Vari (13/05/2025)"/>
    <n v="1713305728950"/>
    <n v="20250513"/>
    <s v="03 - Versamento contante cassa continua "/>
    <m/>
    <m/>
    <s v="A     - Avere"/>
    <n v="201900"/>
    <n v="20190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7986"/>
    <x v="3"/>
    <x v="3"/>
    <x v="37"/>
    <n v="53850"/>
    <n v="171"/>
    <s v="053850_171"/>
    <s v="Discovery Day"/>
    <s v="Mai valutato"/>
    <m/>
    <s v="Vari (13/05/2025)"/>
    <n v="1713305728950"/>
    <n v="20250513"/>
    <s v="03 - Versamento contante cassa continua "/>
    <m/>
    <m/>
    <s v="A     - Avere"/>
    <n v="201900"/>
    <n v="20190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47985"/>
    <x v="6"/>
    <x v="6"/>
    <x v="37"/>
    <n v="53850"/>
    <n v="102"/>
    <s v="053850_102"/>
    <s v="Discovery Day"/>
    <s v="Mai valutato"/>
    <m/>
    <n v="202505137975485"/>
    <n v="1023308723686"/>
    <n v="20250513"/>
    <s v="AA - Bonifico da e per estero "/>
    <m/>
    <s v="071 - SVIZZERA"/>
    <s v="A     - Avere"/>
    <n v="50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5"/>
    <x v="1"/>
    <x v="0"/>
    <x v="0"/>
    <m/>
    <x v="0"/>
    <x v="0"/>
    <s v="999"/>
    <s v="615"/>
    <s v="615999"/>
    <m/>
    <s v="1"/>
    <s v="Classe di rischio 3"/>
  </r>
  <r>
    <n v="347984"/>
    <x v="4"/>
    <x v="4"/>
    <x v="37"/>
    <n v="53850"/>
    <n v="175"/>
    <s v="053850_175"/>
    <s v="Discovery Day"/>
    <s v="Mai valutato"/>
    <m/>
    <n v="202505137973833"/>
    <n v="1753305636160"/>
    <n v="20250513"/>
    <s v="26 - Bonifico in partenza "/>
    <m/>
    <s v="086 - ITALIA"/>
    <s v="D     - Dare"/>
    <n v="2000000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x v="1"/>
    <x v="0"/>
    <x v="0"/>
    <m/>
    <x v="0"/>
    <x v="0"/>
    <s v="464"/>
    <s v="430"/>
    <s v="430464"/>
    <s v="Classe di rischio 4"/>
    <m/>
    <s v="Classe di rischio 4"/>
  </r>
  <r>
    <n v="347983"/>
    <x v="4"/>
    <x v="4"/>
    <x v="37"/>
    <n v="53850"/>
    <n v="268"/>
    <s v="053850_268"/>
    <s v="Discovery Day"/>
    <s v="Mai valutato"/>
    <m/>
    <s v="202505136970097L"/>
    <n v="2683300002309"/>
    <n v="20250513"/>
    <s v="SPECIAL"/>
    <m/>
    <m/>
    <s v="D     - Dare"/>
    <n v="1518.13"/>
    <n v="0"/>
    <n v="1635245"/>
    <s v="TTNTRS22S56F888G"/>
    <s v="ATTANASIO TERESA"/>
    <s v="600 - Famiglie consumatrici"/>
    <m/>
    <s v="086 - ITALIA"/>
    <n v="1830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7982"/>
    <x v="4"/>
    <x v="4"/>
    <x v="37"/>
    <n v="53850"/>
    <n v="279"/>
    <s v="053850_279"/>
    <s v="Discovery Day"/>
    <s v="Mai valutato"/>
    <m/>
    <s v="202505136969919L"/>
    <n v="2793300001229"/>
    <n v="20250513"/>
    <s v="SPECIAL"/>
    <m/>
    <m/>
    <s v="D     - Dare"/>
    <n v="1045.46"/>
    <n v="0"/>
    <n v="1681220"/>
    <s v="CRZFNC12D14G290I"/>
    <s v="CORAZZARI FRANCESCO"/>
    <s v="600 - Famiglie consumatrici"/>
    <m/>
    <s v="086 - ITALIA"/>
    <n v="1847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7981"/>
    <x v="4"/>
    <x v="4"/>
    <x v="37"/>
    <n v="53850"/>
    <n v="286"/>
    <s v="053850_286"/>
    <s v="Discovery Day"/>
    <s v="Mai valutato"/>
    <m/>
    <n v="202505137974985"/>
    <n v="2863300013638"/>
    <n v="20250513"/>
    <s v="48 - Bonifico in arrivo "/>
    <m/>
    <s v="086 - ITALIA"/>
    <s v="A     - Avere"/>
    <n v="1371568.24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x v="1"/>
    <x v="0"/>
    <x v="0"/>
    <m/>
    <x v="0"/>
    <x v="0"/>
    <s v="999"/>
    <s v="285"/>
    <s v="285999"/>
    <m/>
    <s v="1"/>
    <s v="Classe di rischio 0"/>
  </r>
  <r>
    <n v="347980"/>
    <x v="4"/>
    <x v="4"/>
    <x v="37"/>
    <n v="53850"/>
    <n v="125"/>
    <s v="053850_125"/>
    <s v="Discovery Day"/>
    <s v="Mai valutato"/>
    <m/>
    <n v="202505137975561"/>
    <n v="1253300010106"/>
    <n v="20250513"/>
    <s v="AF - Disp.giro conti diversi intestati ordinante(stesso intermed.)"/>
    <m/>
    <s v="086 - ITALIA"/>
    <s v="A     - Avere"/>
    <n v="400000"/>
    <n v="0"/>
    <n v="4315652"/>
    <s v="MNLPQL72H12F839B"/>
    <s v="MENALE PASQUALANTONIO"/>
    <s v="600 - Famiglie consumatrici"/>
    <m/>
    <s v="086 - ITALIA"/>
    <n v="1346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7979"/>
    <x v="6"/>
    <x v="6"/>
    <x v="37"/>
    <n v="53850"/>
    <n v="102"/>
    <s v="053850_102"/>
    <s v="Discovery Day"/>
    <s v="Mai valutato"/>
    <m/>
    <n v="202505137975252"/>
    <n v="1023308723686"/>
    <n v="20250513"/>
    <s v="AA - Bonifico da e per estero "/>
    <m/>
    <s v="071 - SVIZZERA"/>
    <s v="A     - Avere"/>
    <n v="30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5"/>
    <x v="1"/>
    <x v="0"/>
    <x v="0"/>
    <m/>
    <x v="0"/>
    <x v="0"/>
    <s v="999"/>
    <s v="615"/>
    <s v="615999"/>
    <m/>
    <s v="1"/>
    <s v="Classe di rischio 3"/>
  </r>
  <r>
    <n v="347978"/>
    <x v="6"/>
    <x v="6"/>
    <x v="37"/>
    <n v="53850"/>
    <n v="131"/>
    <s v="053850_131"/>
    <s v="Discovery Day"/>
    <s v="Mai valutato"/>
    <m/>
    <n v="202505137976926"/>
    <n v="1313300004532"/>
    <n v="20250513"/>
    <s v="AA - Bonifico da e per estero "/>
    <m/>
    <s v="071 - SVIZZERA"/>
    <s v="D     - Dare"/>
    <n v="15666.67"/>
    <n v="0"/>
    <n v="3739170"/>
    <s v="GGLDNL97R31E919P"/>
    <s v="GIGLIO DANIELE"/>
    <s v="600 - Famiglie consumatrici"/>
    <m/>
    <s v="086 - ITALIA"/>
    <n v="915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47977"/>
    <x v="4"/>
    <x v="4"/>
    <x v="37"/>
    <n v="53850"/>
    <n v="268"/>
    <s v="053850_268"/>
    <s v="Discovery Day"/>
    <s v="Mai valutato"/>
    <m/>
    <s v="202505136970099L"/>
    <n v="2683300004281"/>
    <n v="20250513"/>
    <s v="SPECIAL"/>
    <m/>
    <m/>
    <s v="D     - Dare"/>
    <n v="2060.67"/>
    <n v="0"/>
    <n v="1648024"/>
    <s v="MZZMTR24D57I854G"/>
    <s v="MAZZOTTA MARIA TERESA"/>
    <s v="600 - Famiglie consumatrici"/>
    <m/>
    <s v="086 - ITALIA"/>
    <n v="1830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7976"/>
    <x v="3"/>
    <x v="3"/>
    <x v="37"/>
    <n v="53850"/>
    <n v="196"/>
    <s v="053850_196"/>
    <s v="Discovery Day"/>
    <s v="Mai valutato"/>
    <m/>
    <n v="202505137977147"/>
    <n v="1963302351731"/>
    <n v="20250513"/>
    <s v="G1 - Versamento assegni tratti su altro intermediario "/>
    <m/>
    <m/>
    <s v="A     - Avere"/>
    <n v="200000"/>
    <n v="0"/>
    <n v="4284661"/>
    <s v="DMNMSP66M69E885G"/>
    <s v="DIMONTE MARIA SIPONTINA"/>
    <s v="615 - Altre famiglie produttrici"/>
    <s v="012 - COLTIVAZIONE DI COLTURE PERMANENTI"/>
    <s v="086 - ITALIA"/>
    <n v="1945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47975"/>
    <x v="6"/>
    <x v="6"/>
    <x v="37"/>
    <n v="53850"/>
    <n v="131"/>
    <s v="053850_131"/>
    <s v="Discovery Day"/>
    <s v="Mai valutato"/>
    <m/>
    <n v="202505137976927"/>
    <n v="1313300004532"/>
    <n v="20250513"/>
    <s v="AA - Bonifico da e per estero "/>
    <m/>
    <s v="071 - SVIZZERA"/>
    <s v="D     - Dare"/>
    <n v="28666.66"/>
    <n v="0"/>
    <n v="3739170"/>
    <s v="GGLDNL97R31E919P"/>
    <s v="GIGLIO DANIELE"/>
    <s v="600 - Famiglie consumatrici"/>
    <m/>
    <s v="086 - ITALIA"/>
    <n v="915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47974"/>
    <x v="6"/>
    <x v="6"/>
    <x v="37"/>
    <n v="53850"/>
    <n v="226"/>
    <s v="053850_226"/>
    <s v="Discovery Day"/>
    <s v="Mai valutato"/>
    <m/>
    <n v="202505137975650"/>
    <n v="2263300011935"/>
    <n v="20250513"/>
    <s v="AA - Bonifico da e per estero "/>
    <m/>
    <s v="182 - ISRAELE"/>
    <s v="D     - Dare"/>
    <n v="20007.37"/>
    <n v="0"/>
    <n v="3715508"/>
    <n v="5330180729"/>
    <s v="EDWARD SPOSA S.A.S. DI VINO ANTONIA &amp; C."/>
    <s v="492 - Quasi societa' non finanziarie altre - Unita' o societa' con meno di 20 addetti"/>
    <s v="477 - COMMERCIO AL DETTAGLIO DI ALTRI PRODOTTI IN ESERCIZI SPECIALIZZATI"/>
    <s v="086 - ITALIA"/>
    <n v="1932"/>
    <m/>
    <m/>
    <m/>
    <m/>
    <m/>
    <m/>
    <m/>
    <n v="0"/>
    <n v="202505"/>
    <x v="2"/>
    <x v="1"/>
    <x v="0"/>
    <m/>
    <x v="0"/>
    <x v="0"/>
    <s v="477"/>
    <s v="492"/>
    <s v="492477"/>
    <s v="Classe di rischio 5"/>
    <m/>
    <s v="Classe di rischio 5"/>
  </r>
  <r>
    <n v="347973"/>
    <x v="4"/>
    <x v="4"/>
    <x v="37"/>
    <n v="53850"/>
    <n v="114"/>
    <s v="053850_114"/>
    <s v="Discovery Day"/>
    <s v="Mai valutato"/>
    <m/>
    <n v="202505137976880"/>
    <n v="1143306281849"/>
    <n v="20250513"/>
    <s v="SPECIAL"/>
    <m/>
    <m/>
    <s v="D     - Dare"/>
    <n v="80449.399999999994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5"/>
    <x v="1"/>
    <x v="0"/>
    <x v="0"/>
    <m/>
    <x v="0"/>
    <x v="1"/>
    <s v="999"/>
    <s v="102"/>
    <s v="102999"/>
    <s v="Classe di rischio 0"/>
    <m/>
    <s v="Classe di rischio 0"/>
  </r>
  <r>
    <n v="347972"/>
    <x v="6"/>
    <x v="6"/>
    <x v="37"/>
    <n v="53850"/>
    <n v="148"/>
    <s v="053850_148"/>
    <s v="Discovery Day"/>
    <s v="Mai valutato"/>
    <m/>
    <n v="202505137973801"/>
    <n v="1483303001176"/>
    <n v="20250513"/>
    <s v="AA - Bonifico da e per estero "/>
    <m/>
    <s v="071 - SVIZZERA"/>
    <s v="D     - Dare"/>
    <n v="25000"/>
    <n v="0"/>
    <n v="2012964"/>
    <s v="LGRMSM55B16A783Q"/>
    <s v="LIGUORI MASSIMINO"/>
    <s v="600 - Famiglie consumatrici"/>
    <m/>
    <s v="086 - ITALIA"/>
    <n v="1636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47971"/>
    <x v="4"/>
    <x v="4"/>
    <x v="37"/>
    <n v="53850"/>
    <n v="176"/>
    <s v="053850_176"/>
    <s v="Discovery Day"/>
    <s v="Mai valutato"/>
    <m/>
    <n v="202505137977069"/>
    <n v="1763300002000"/>
    <n v="20250513"/>
    <s v="SPECIAL"/>
    <m/>
    <m/>
    <s v="D     - Dare"/>
    <n v="7018.4"/>
    <n v="0"/>
    <n v="3400212"/>
    <s v="SCZFNC61R09G942P"/>
    <s v="SCAZZARI FRANCESCO"/>
    <s v="600 - Famiglie consumatrici"/>
    <m/>
    <s v="086 - ITALIA"/>
    <n v="672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7970"/>
    <x v="4"/>
    <x v="4"/>
    <x v="37"/>
    <n v="53850"/>
    <n v="102"/>
    <s v="053850_102"/>
    <s v="Discovery Day"/>
    <s v="Mai valutato"/>
    <m/>
    <n v="202505137973992"/>
    <n v="1023308726073"/>
    <n v="20250513"/>
    <s v="26 - Bonifico in partenza "/>
    <m/>
    <s v="086 - ITALIA"/>
    <s v="D     - Dare"/>
    <n v="1200000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x v="2"/>
    <x v="1"/>
    <x v="0"/>
    <m/>
    <x v="0"/>
    <x v="0"/>
    <s v="412"/>
    <s v="430"/>
    <s v="430412"/>
    <s v="Classe di rischio 3"/>
    <m/>
    <s v="Classe di rischio 3"/>
  </r>
  <r>
    <n v="347969"/>
    <x v="4"/>
    <x v="4"/>
    <x v="37"/>
    <n v="53850"/>
    <n v="286"/>
    <s v="053850_286"/>
    <s v="Discovery Day"/>
    <s v="Mai valutato"/>
    <m/>
    <s v="202505136969831L"/>
    <n v="2863300001177"/>
    <n v="20250513"/>
    <s v="SPECIAL"/>
    <m/>
    <m/>
    <s v="D     - Dare"/>
    <n v="1038.44"/>
    <n v="0"/>
    <n v="1653433"/>
    <s v="FSLDGS43E48C632K"/>
    <s v="FUSELLA ADALGISA"/>
    <s v="600 - Famiglie consumatrici"/>
    <m/>
    <s v="086 - ITALIA"/>
    <n v="1764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7968"/>
    <x v="5"/>
    <x v="5"/>
    <x v="37"/>
    <n v="53850"/>
    <n v="136"/>
    <s v="053850_136"/>
    <s v="Discovery Day"/>
    <s v="Mai valutato"/>
    <m/>
    <n v="202505137976951"/>
    <n v="1363300004078"/>
    <n v="20250513"/>
    <s v="D1 - Versamento di contante "/>
    <m/>
    <m/>
    <s v="A     - Avere"/>
    <n v="143030"/>
    <n v="143030"/>
    <n v="4952440"/>
    <s v="GRCFNC77T27B180B"/>
    <s v="GRECO FRANCESCO"/>
    <s v="615 - Altre famiglie produttrici"/>
    <s v="563 - BAR E ALTRI ESERCIZI SIMILI SENZA CUCINA"/>
    <s v="086 - ITALIA"/>
    <n v="1552"/>
    <m/>
    <m/>
    <m/>
    <m/>
    <m/>
    <m/>
    <m/>
    <n v="0"/>
    <n v="202505"/>
    <x v="1"/>
    <x v="0"/>
    <x v="0"/>
    <n v="4952440"/>
    <x v="1"/>
    <x v="0"/>
    <s v="999"/>
    <s v="615"/>
    <s v="615999"/>
    <m/>
    <s v="1"/>
    <s v="Classe di rischio 3"/>
  </r>
  <r>
    <n v="347967"/>
    <x v="3"/>
    <x v="3"/>
    <x v="37"/>
    <n v="53850"/>
    <n v="286"/>
    <s v="053850_286"/>
    <s v="Discovery Day"/>
    <s v="Mai valutato"/>
    <m/>
    <n v="202505137977259"/>
    <n v="2863300013639"/>
    <n v="20250513"/>
    <s v="G8 - Versamento assegno circolare stesso intermediario"/>
    <m/>
    <m/>
    <s v="A     - Avere"/>
    <n v="331000"/>
    <n v="0"/>
    <n v="3730622"/>
    <n v="2540520695"/>
    <s v="SVILUPPO ENERGIE S.R.L."/>
    <s v="290 - Società di partecipazione (holding) di gruppi finanziari e non finanziari"/>
    <s v="642 - ATTIVITÀ DELLE SOCIETÀ DI PARTECIPAZIONE (HOLDING)"/>
    <s v="086 - ITALIA"/>
    <n v="1877"/>
    <m/>
    <m/>
    <m/>
    <m/>
    <m/>
    <m/>
    <m/>
    <n v="0"/>
    <n v="202505"/>
    <x v="1"/>
    <x v="0"/>
    <x v="0"/>
    <m/>
    <x v="0"/>
    <x v="0"/>
    <s v="999"/>
    <s v="290"/>
    <s v="290999"/>
    <m/>
    <s v="1"/>
    <s v="Classe di rischio 0"/>
  </r>
  <r>
    <n v="347966"/>
    <x v="4"/>
    <x v="4"/>
    <x v="37"/>
    <n v="53850"/>
    <n v="268"/>
    <s v="053850_268"/>
    <s v="Discovery Day"/>
    <s v="Mai valutato"/>
    <m/>
    <s v="202505136970098L"/>
    <n v="2683300002913"/>
    <n v="20250513"/>
    <s v="SPECIAL"/>
    <m/>
    <m/>
    <s v="D     - Dare"/>
    <n v="1744.07"/>
    <n v="0"/>
    <n v="1700584"/>
    <s v="FLIFNC26C21F537W"/>
    <s v="FIALA' FRANCESCO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7965"/>
    <x v="6"/>
    <x v="6"/>
    <x v="37"/>
    <n v="53850"/>
    <n v="103"/>
    <s v="053850_103"/>
    <s v="Discovery Day"/>
    <s v="Mai valutato"/>
    <m/>
    <n v="202505137975250"/>
    <n v="1033305840830"/>
    <n v="20250513"/>
    <s v="AA - Bonifico da e per estero "/>
    <m/>
    <s v="071 - SVIZZERA"/>
    <s v="A     - Avere"/>
    <n v="40000"/>
    <n v="0"/>
    <n v="584083"/>
    <s v="DVNFNC67L14A225B"/>
    <s v="DIVINCENZO FRANCESCO"/>
    <s v="600 - Famiglie consumatrici"/>
    <m/>
    <s v="086 - ITALIA"/>
    <n v="600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7964"/>
    <x v="4"/>
    <x v="4"/>
    <x v="37"/>
    <n v="53850"/>
    <n v="199"/>
    <s v="053850_199"/>
    <s v="Discovery Day"/>
    <s v="Mai valutato"/>
    <m/>
    <n v="202505137975477"/>
    <n v="1993300002653"/>
    <n v="20250513"/>
    <s v="48 - Bonifico in arrivo "/>
    <m/>
    <s v="086 - ITALIA"/>
    <s v="A     - Avere"/>
    <n v="1185000"/>
    <n v="0"/>
    <n v="4862196"/>
    <n v="1430150746"/>
    <s v="CANTINE DUE PALME - SOCIETA' COOPERATIVAAGRI"/>
    <s v="430 - Imprese produttive"/>
    <s v="012 - COLTIVAZIONE DI COLTURE PERMANENTI"/>
    <s v="086 - ITALIA"/>
    <n v="1627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7963"/>
    <x v="6"/>
    <x v="6"/>
    <x v="37"/>
    <n v="53850"/>
    <n v="102"/>
    <s v="053850_102"/>
    <s v="Discovery Day"/>
    <s v="Mai valutato"/>
    <m/>
    <n v="202505137975634"/>
    <n v="1023306274744"/>
    <n v="20250513"/>
    <s v="AA - Bonifico da e per estero "/>
    <m/>
    <s v="076 - TURCHIA"/>
    <s v="A     - Avere"/>
    <n v="63102"/>
    <n v="0"/>
    <n v="4873420"/>
    <n v="7966910726"/>
    <s v="LA CASA DEI SOGNI SOCIETA' A RESPONSABILITA LIMITATA SEMPLIFICATA"/>
    <s v="430 - Imprese produttive"/>
    <s v="433 - COMPLETAMENTO E FINITURA DI EDIFICI"/>
    <s v="086 - ITALIA"/>
    <n v="1443"/>
    <m/>
    <m/>
    <m/>
    <m/>
    <m/>
    <m/>
    <m/>
    <n v="0"/>
    <n v="202505"/>
    <x v="7"/>
    <x v="1"/>
    <x v="0"/>
    <m/>
    <x v="0"/>
    <x v="0"/>
    <s v="433"/>
    <s v="430"/>
    <s v="430433"/>
    <s v="Classe di rischio 3"/>
    <m/>
    <s v="Classe di rischio 3"/>
  </r>
  <r>
    <n v="347962"/>
    <x v="4"/>
    <x v="4"/>
    <x v="37"/>
    <n v="53850"/>
    <n v="103"/>
    <s v="053850_103"/>
    <s v="Discovery Day"/>
    <s v="Mai valutato"/>
    <m/>
    <n v="202505137976155"/>
    <n v="1033306976187"/>
    <n v="20250513"/>
    <s v="13 - Addebito per estinzione assegno"/>
    <m/>
    <m/>
    <s v="D     - Dare"/>
    <n v="232000"/>
    <n v="0"/>
    <n v="4540292"/>
    <s v="CCGMLC76A61E155O"/>
    <s v="CUCUGLIELLI MARIA LUCREZI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7961"/>
    <x v="4"/>
    <x v="4"/>
    <x v="37"/>
    <n v="53850"/>
    <n v="125"/>
    <s v="053850_125"/>
    <s v="Discovery Day"/>
    <s v="Mai valutato"/>
    <m/>
    <n v="202505137975413"/>
    <n v="1253300010013"/>
    <n v="20250513"/>
    <s v="48 - Bonifico in arrivo "/>
    <m/>
    <s v="086 - ITALIA"/>
    <s v="A     - Avere"/>
    <n v="400000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5"/>
    <x v="0"/>
    <x v="0"/>
    <x v="0"/>
    <m/>
    <x v="0"/>
    <x v="0"/>
    <s v="464"/>
    <s v="430"/>
    <s v="430464"/>
    <s v="Classe di rischio 4"/>
    <m/>
    <s v="Classe di rischio 4"/>
  </r>
  <r>
    <n v="347960"/>
    <x v="4"/>
    <x v="4"/>
    <x v="37"/>
    <n v="53850"/>
    <n v="103"/>
    <s v="053850_103"/>
    <s v="Discovery Day"/>
    <s v="Mai valutato"/>
    <m/>
    <n v="202505137974141"/>
    <n v="1033306973875"/>
    <n v="20250513"/>
    <s v="26 - Bonifico in partenza "/>
    <m/>
    <s v="086 - ITALIA"/>
    <s v="D     - Dare"/>
    <n v="900000"/>
    <n v="0"/>
    <n v="4669615"/>
    <n v="7203330720"/>
    <s v="CAPORALCEREALI SOCIETA' A RESPONSABILITA' LI"/>
    <s v="430 - Imprese produttive"/>
    <s v="462 - COMMERCIO ALL'INGROSSO DI MATERIE PRIME AGRICOLE E DI ANIMALI VIVI"/>
    <s v="086 - ITALIA"/>
    <n v="1926"/>
    <m/>
    <m/>
    <m/>
    <m/>
    <m/>
    <m/>
    <m/>
    <n v="0"/>
    <n v="202505"/>
    <x v="4"/>
    <x v="1"/>
    <x v="0"/>
    <m/>
    <x v="0"/>
    <x v="0"/>
    <s v="462"/>
    <s v="430"/>
    <s v="430462"/>
    <s v="Classe di rischio 3"/>
    <m/>
    <s v="Classe di rischio 3"/>
  </r>
  <r>
    <n v="347959"/>
    <x v="5"/>
    <x v="5"/>
    <x v="37"/>
    <n v="53850"/>
    <n v="171"/>
    <s v="053850_171"/>
    <s v="Discovery Day"/>
    <s v="Mai valutato"/>
    <m/>
    <s v="Vari (13/05/2025)"/>
    <n v="1713302214147"/>
    <n v="20250513"/>
    <s v="03 - Versamento contante cassa continua "/>
    <m/>
    <m/>
    <s v="A     - Avere"/>
    <n v="43115"/>
    <n v="4311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47958"/>
    <x v="4"/>
    <x v="4"/>
    <x v="37"/>
    <n v="53850"/>
    <n v="268"/>
    <s v="053850_268"/>
    <s v="Discovery Day"/>
    <s v="Mai valutato"/>
    <m/>
    <n v="202505137977203"/>
    <n v="2683300000159"/>
    <n v="20250513"/>
    <s v="SPECIAL"/>
    <m/>
    <m/>
    <s v="D     - Dare"/>
    <n v="5336.47"/>
    <n v="0"/>
    <n v="1606026"/>
    <s v="LBNNDR37H18E479Y"/>
    <s v="ALBINO FREZZA ANDREA"/>
    <s v="600 - Famiglie consumatrici"/>
    <m/>
    <s v="086 - ITALIA"/>
    <n v="1830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7957"/>
    <x v="3"/>
    <x v="3"/>
    <x v="37"/>
    <n v="53850"/>
    <n v="108"/>
    <s v="053850_108"/>
    <s v="Discovery Day"/>
    <s v="Mai valutato"/>
    <m/>
    <s v="Vari (13/05/2025)"/>
    <n v="1083300011180"/>
    <n v="20250513"/>
    <s v="VV"/>
    <m/>
    <m/>
    <s v="A     - Avere"/>
    <n v="133274.48000000001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x v="0"/>
    <x v="0"/>
    <x v="0"/>
    <m/>
    <x v="0"/>
    <x v="1"/>
    <s v="999"/>
    <s v="430"/>
    <s v="430999"/>
    <m/>
    <s v="1"/>
    <s v="Classe di rischio 1"/>
  </r>
  <r>
    <n v="347956"/>
    <x v="4"/>
    <x v="4"/>
    <x v="37"/>
    <n v="53850"/>
    <n v="269"/>
    <s v="053850_269"/>
    <s v="Discovery Day"/>
    <s v="Mai valutato"/>
    <m/>
    <s v="202505136970056L"/>
    <n v="2693300001109"/>
    <n v="20250513"/>
    <s v="SPECIAL"/>
    <m/>
    <m/>
    <s v="D     - Dare"/>
    <n v="1526.83"/>
    <n v="0"/>
    <n v="1679198"/>
    <s v="FRGSLV21L21D209Z"/>
    <s v="FORGIONE SILVIO"/>
    <s v="600 - Famiglie consumatrici"/>
    <m/>
    <s v="086 - ITALIA"/>
    <n v="1879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7955"/>
    <x v="4"/>
    <x v="4"/>
    <x v="37"/>
    <n v="53850"/>
    <n v="268"/>
    <s v="053850_268"/>
    <s v="Discovery Day"/>
    <s v="Mai valutato"/>
    <m/>
    <s v="202505136970098L"/>
    <n v="2683300002913"/>
    <n v="20250513"/>
    <s v="SPECIAL"/>
    <m/>
    <m/>
    <s v="D     - Dare"/>
    <n v="1744.07"/>
    <n v="0"/>
    <n v="1630064"/>
    <s v="DCINTN37H53I093G"/>
    <s v="DIACO ANTONIA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7954"/>
    <x v="7"/>
    <x v="7"/>
    <x v="37"/>
    <n v="53850"/>
    <n v="99"/>
    <s v="053850_99"/>
    <s v="Discovery Day"/>
    <s v="Mai valutato"/>
    <m/>
    <n v="202505137976741"/>
    <m/>
    <n v="20250513"/>
    <s v="SPECIAL"/>
    <m/>
    <m/>
    <s v="D     - Dare"/>
    <n v="36278.19"/>
    <n v="0"/>
    <n v="1677596"/>
    <s v="MGRSLV76E43G224K"/>
    <s v="MAGRI SILVIA"/>
    <s v="600 - Famiglie consumatrici"/>
    <m/>
    <s v="086 - ITALIA"/>
    <n v="1798"/>
    <m/>
    <m/>
    <m/>
    <m/>
    <m/>
    <m/>
    <m/>
    <n v="0"/>
    <n v="202505"/>
    <x v="0"/>
    <x v="0"/>
    <x v="1"/>
    <m/>
    <x v="0"/>
    <x v="1"/>
    <s v="999"/>
    <s v="600"/>
    <s v="600999"/>
    <s v="Classe di rischio 7"/>
    <m/>
    <s v="Classe di rischio 7"/>
  </r>
  <r>
    <n v="347953"/>
    <x v="4"/>
    <x v="4"/>
    <x v="37"/>
    <n v="53850"/>
    <n v="169"/>
    <s v="053850_169"/>
    <s v="Discovery Day"/>
    <s v="Mai valutato"/>
    <m/>
    <n v="202505137977032"/>
    <n v="1693302225641"/>
    <n v="20250513"/>
    <s v="SPECIAL"/>
    <m/>
    <m/>
    <s v="D     - Dare"/>
    <n v="14482.57"/>
    <n v="0"/>
    <n v="3715785"/>
    <n v="6316660726"/>
    <s v="MARNJN S.R.L. UNIPERSONALE"/>
    <s v="430 - Imprese produttive"/>
    <s v="561 - RISTORANTI E ATTIVITÀ DI RISTORAZIONE MOBILE"/>
    <s v="086 - ITALIA"/>
    <n v="905"/>
    <m/>
    <m/>
    <m/>
    <m/>
    <m/>
    <m/>
    <m/>
    <n v="0"/>
    <n v="202505"/>
    <x v="2"/>
    <x v="1"/>
    <x v="0"/>
    <m/>
    <x v="0"/>
    <x v="1"/>
    <s v="999"/>
    <s v="430"/>
    <s v="430999"/>
    <m/>
    <s v="1"/>
    <s v="Classe di rischio 1"/>
  </r>
  <r>
    <n v="347952"/>
    <x v="3"/>
    <x v="3"/>
    <x v="37"/>
    <n v="53850"/>
    <n v="136"/>
    <s v="053850_136"/>
    <s v="Discovery Day"/>
    <s v="Mai valutato"/>
    <m/>
    <n v="202505137976951"/>
    <n v="1363300004078"/>
    <n v="20250513"/>
    <s v="D1 - Versamento di contante "/>
    <m/>
    <m/>
    <s v="A     - Avere"/>
    <n v="143030"/>
    <n v="143030"/>
    <n v="4952440"/>
    <s v="GRCFNC77T27B180B"/>
    <s v="GRECO FRANCESCO"/>
    <s v="615 - Altre famiglie produttrici"/>
    <s v="563 - BAR E ALTRI ESERCIZI SIMILI SENZA CUCINA"/>
    <s v="086 - ITALIA"/>
    <n v="1552"/>
    <m/>
    <m/>
    <m/>
    <m/>
    <m/>
    <m/>
    <m/>
    <n v="0"/>
    <n v="202505"/>
    <x v="1"/>
    <x v="0"/>
    <x v="0"/>
    <n v="4952440"/>
    <x v="1"/>
    <x v="0"/>
    <s v="999"/>
    <s v="615"/>
    <s v="615999"/>
    <m/>
    <s v="1"/>
    <s v="Classe di rischio 3"/>
  </r>
  <r>
    <n v="347951"/>
    <x v="2"/>
    <x v="2"/>
    <x v="37"/>
    <n v="53850"/>
    <n v="199"/>
    <s v="053850_199"/>
    <s v="Discovery Day"/>
    <s v="Mai valutato"/>
    <m/>
    <n v="202505137973901"/>
    <n v="1993300003021"/>
    <n v="20250513"/>
    <s v="AA - Bonifico da e per estero "/>
    <m/>
    <s v="012 - BULGARIA"/>
    <s v="D     - Dare"/>
    <n v="5000"/>
    <n v="0"/>
    <n v="4946318"/>
    <n v="2571200746"/>
    <s v="SARTY LTD"/>
    <s v="758 - Societa' non finanziarie dei paesi UE non membri dell'area dell'euro"/>
    <s v="141 - CONFEZIONE DI ARTICOLI DI ABBIGLIAMENTO (ESCLUSO ABBIGLIAMENTO IN PELLICCIA)"/>
    <s v="012 - BULGARIA"/>
    <n v="639"/>
    <m/>
    <m/>
    <m/>
    <m/>
    <m/>
    <m/>
    <m/>
    <n v="0"/>
    <n v="202505"/>
    <x v="1"/>
    <x v="0"/>
    <x v="0"/>
    <m/>
    <x v="0"/>
    <x v="0"/>
    <s v="999"/>
    <s v="758"/>
    <s v="758999"/>
    <m/>
    <s v="1"/>
    <s v="Classe di rischio 2"/>
  </r>
  <r>
    <n v="347950"/>
    <x v="4"/>
    <x v="4"/>
    <x v="37"/>
    <n v="53850"/>
    <n v="286"/>
    <s v="053850_286"/>
    <s v="Discovery Day"/>
    <s v="Mai valutato"/>
    <m/>
    <n v="202505137974664"/>
    <n v="2863300013638"/>
    <n v="20250513"/>
    <s v="48 - Bonifico in arrivo "/>
    <m/>
    <s v="086 - ITALIA"/>
    <s v="A     - Avere"/>
    <n v="250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5"/>
    <x v="1"/>
    <x v="0"/>
    <x v="0"/>
    <m/>
    <x v="0"/>
    <x v="0"/>
    <s v="999"/>
    <s v="285"/>
    <s v="285999"/>
    <m/>
    <s v="1"/>
    <s v="Classe di rischio 0"/>
  </r>
  <r>
    <n v="347949"/>
    <x v="5"/>
    <x v="5"/>
    <x v="37"/>
    <n v="53850"/>
    <n v="161"/>
    <s v="053850_161"/>
    <s v="Discovery Day"/>
    <s v="Mai valutato"/>
    <m/>
    <s v="Vari (13/05/2025)"/>
    <n v="1613300031333"/>
    <n v="20250513"/>
    <s v="VV"/>
    <m/>
    <m/>
    <s v="A     - Avere"/>
    <n v="45007.4"/>
    <n v="4010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5"/>
    <x v="1"/>
    <x v="0"/>
    <x v="0"/>
    <n v="511904"/>
    <x v="1"/>
    <x v="1"/>
    <s v="999"/>
    <s v="615"/>
    <s v="615999"/>
    <m/>
    <s v="1"/>
    <s v="Classe di rischio 3"/>
  </r>
  <r>
    <n v="347948"/>
    <x v="4"/>
    <x v="4"/>
    <x v="37"/>
    <n v="53850"/>
    <n v="102"/>
    <s v="053850_102"/>
    <s v="Discovery Day"/>
    <s v="Mai valutato"/>
    <m/>
    <n v="202505137974765"/>
    <n v="1023308726073"/>
    <n v="20250513"/>
    <s v="48 - Bonifico in arrivo "/>
    <m/>
    <s v="086 - ITALIA"/>
    <s v="A     - Avere"/>
    <n v="69517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x v="2"/>
    <x v="1"/>
    <x v="0"/>
    <m/>
    <x v="0"/>
    <x v="0"/>
    <s v="412"/>
    <s v="430"/>
    <s v="430412"/>
    <s v="Classe di rischio 3"/>
    <m/>
    <s v="Classe di rischio 3"/>
  </r>
  <r>
    <n v="347947"/>
    <x v="4"/>
    <x v="4"/>
    <x v="37"/>
    <n v="53850"/>
    <n v="109"/>
    <s v="053850_109"/>
    <s v="Discovery Day"/>
    <s v="Mai valutato"/>
    <m/>
    <n v="202505137976858"/>
    <n v="1093304100117"/>
    <n v="20250513"/>
    <s v="SPECIAL"/>
    <m/>
    <m/>
    <s v="D     - Dare"/>
    <n v="7719.46"/>
    <n v="0"/>
    <n v="1007122"/>
    <s v="TRSVCN26P29F519D"/>
    <s v="TARSIA VINCENZO"/>
    <s v="600 - Famiglie consumatrici"/>
    <m/>
    <s v="086 - ITALIA"/>
    <n v="1271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47946"/>
    <x v="6"/>
    <x v="6"/>
    <x v="37"/>
    <n v="53850"/>
    <n v="131"/>
    <s v="053850_131"/>
    <s v="Discovery Day"/>
    <s v="Mai valutato"/>
    <m/>
    <n v="202505137976928"/>
    <n v="1313300004532"/>
    <n v="20250513"/>
    <s v="AA - Bonifico da e per estero "/>
    <m/>
    <s v="071 - SVIZZERA"/>
    <s v="D     - Dare"/>
    <n v="15666.67"/>
    <n v="0"/>
    <n v="3739170"/>
    <s v="GGLDNL97R31E919P"/>
    <s v="GIGLIO DANIELE"/>
    <s v="600 - Famiglie consumatrici"/>
    <m/>
    <s v="086 - ITALIA"/>
    <n v="915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47945"/>
    <x v="4"/>
    <x v="4"/>
    <x v="37"/>
    <n v="53850"/>
    <n v="286"/>
    <s v="053850_286"/>
    <s v="Discovery Day"/>
    <s v="Mai valutato"/>
    <m/>
    <n v="202505137976740"/>
    <n v="2863300002276"/>
    <n v="20250513"/>
    <s v="SPECIAL"/>
    <m/>
    <m/>
    <s v="D     - Dare"/>
    <n v="36278.19"/>
    <n v="0"/>
    <n v="1677596"/>
    <s v="MGRSLV76E43G224K"/>
    <s v="MAGRI SILVIA"/>
    <s v="600 - Famiglie consumatrici"/>
    <m/>
    <s v="086 - ITALIA"/>
    <n v="1798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7944"/>
    <x v="4"/>
    <x v="4"/>
    <x v="37"/>
    <n v="53850"/>
    <n v="270"/>
    <s v="053850_270"/>
    <s v="Discovery Day"/>
    <s v="Mai valutato"/>
    <m/>
    <n v="202505137977212"/>
    <n v="2703300000033"/>
    <n v="20250513"/>
    <s v="SPECIAL"/>
    <m/>
    <m/>
    <s v="D     - Dare"/>
    <n v="6937.71"/>
    <n v="0"/>
    <n v="1602036"/>
    <s v="CLLVTR32M52H501Z"/>
    <s v="COLELLA VITTORIA"/>
    <s v="600 - Famiglie consumatrici"/>
    <m/>
    <s v="086 - ITALIA"/>
    <n v="1822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7943"/>
    <x v="2"/>
    <x v="2"/>
    <x v="37"/>
    <n v="53850"/>
    <n v="226"/>
    <s v="053850_226"/>
    <s v="Discovery Day"/>
    <s v="Mai valutato"/>
    <m/>
    <s v="202505126963324L"/>
    <n v="2263300011652"/>
    <n v="20250512"/>
    <s v="AA - Bonifico da e per estero "/>
    <m/>
    <s v="261 - CROAZIA"/>
    <s v="D     - Dare"/>
    <n v="1000"/>
    <n v="0"/>
    <n v="4445772"/>
    <s v="DCMCMN64P15I907M"/>
    <s v="DE CAMELIS CARMINE"/>
    <s v="600 - Famiglie consumatrici"/>
    <m/>
    <s v="086 - ITALIA"/>
    <n v="1395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7942"/>
    <x v="2"/>
    <x v="2"/>
    <x v="37"/>
    <n v="53850"/>
    <n v="226"/>
    <s v="053850_226"/>
    <s v="Discovery Day"/>
    <s v="Mai valutato"/>
    <m/>
    <s v="202505126963325L"/>
    <n v="2263300011719"/>
    <n v="20250512"/>
    <s v="AA - Bonifico da e per estero "/>
    <m/>
    <s v="261 - CROAZIA"/>
    <s v="D     - Dare"/>
    <n v="1000"/>
    <n v="0"/>
    <n v="4445784"/>
    <s v="DCMMHL62L06L328M"/>
    <s v="DE CAMELIS MICHELE"/>
    <s v="600 - Famiglie consumatrici"/>
    <m/>
    <s v="086 - ITALIA"/>
    <n v="1395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7941"/>
    <x v="5"/>
    <x v="5"/>
    <x v="37"/>
    <n v="53850"/>
    <n v="195"/>
    <s v="053850_195"/>
    <s v="Discovery Day"/>
    <s v="Mai valutato"/>
    <m/>
    <s v="Vari (12/05/2025)"/>
    <n v="1953300026976"/>
    <n v="20250512"/>
    <s v="03 - Versamento contante cassa continua "/>
    <m/>
    <m/>
    <s v="A     - Avere"/>
    <n v="43350"/>
    <n v="43350"/>
    <n v="4081785"/>
    <s v="DGSNGL77E03F027Z"/>
    <s v="D'AGOSTINO ANGELO"/>
    <s v="615 - Altre famiglie produttrici"/>
    <s v="475 - COMMERCIO AL DETTAGLIO DI ALTRI PRODOTTI PER USO DOMESTICO IN ESERCIZI SPECIALIZZATI"/>
    <s v="086 - ITALIA"/>
    <n v="938"/>
    <m/>
    <m/>
    <m/>
    <m/>
    <m/>
    <m/>
    <m/>
    <n v="0"/>
    <n v="202505"/>
    <x v="1"/>
    <x v="0"/>
    <x v="0"/>
    <n v="4081785"/>
    <x v="1"/>
    <x v="0"/>
    <s v="999"/>
    <s v="615"/>
    <s v="615999"/>
    <m/>
    <s v="1"/>
    <s v="Classe di rischio 3"/>
  </r>
  <r>
    <n v="347940"/>
    <x v="4"/>
    <x v="4"/>
    <x v="38"/>
    <n v="53850"/>
    <n v="108"/>
    <s v="053850_108"/>
    <s v="Discovery Day"/>
    <s v="Mai valutato"/>
    <m/>
    <n v="202505137971953"/>
    <n v="1085500039514"/>
    <n v="20250513"/>
    <s v="BU - Deposito su libretti a risparmio "/>
    <m/>
    <m/>
    <s v="A     - Avere"/>
    <n v="195977.3"/>
    <n v="0"/>
    <n v="426147"/>
    <s v="MNSPDN34T55F915F"/>
    <s v="MANSUETO PRUDENZI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7939"/>
    <x v="4"/>
    <x v="4"/>
    <x v="38"/>
    <n v="53850"/>
    <n v="108"/>
    <s v="053850_108"/>
    <s v="Discovery Day"/>
    <s v="Mai valutato"/>
    <m/>
    <n v="202505137971953"/>
    <n v="1085500039514"/>
    <n v="20250513"/>
    <s v="BU - Deposito su libretti a risparmio "/>
    <m/>
    <m/>
    <s v="A     - Avere"/>
    <n v="195977.3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7938"/>
    <x v="5"/>
    <x v="5"/>
    <x v="38"/>
    <n v="53850"/>
    <n v="268"/>
    <s v="053850_268"/>
    <s v="Discovery Day"/>
    <s v="Mai valutato"/>
    <m/>
    <s v="Vari (12/05/2025)"/>
    <n v="2683300010030"/>
    <n v="20250512"/>
    <s v="03 - Versamento contante cassa continua "/>
    <m/>
    <m/>
    <s v="A     - Avere"/>
    <n v="46505"/>
    <n v="4650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x v="1"/>
    <x v="0"/>
    <x v="0"/>
    <n v="4966939"/>
    <x v="1"/>
    <x v="0"/>
    <s v="999"/>
    <s v="615"/>
    <s v="615999"/>
    <m/>
    <s v="1"/>
    <s v="Classe di rischio 3"/>
  </r>
  <r>
    <n v="347937"/>
    <x v="3"/>
    <x v="3"/>
    <x v="38"/>
    <n v="53850"/>
    <n v="104"/>
    <s v="053850_104"/>
    <s v="Discovery Day"/>
    <s v="Mai valutato"/>
    <m/>
    <s v="Vari (12/05/2025)"/>
    <n v="1043304173550"/>
    <n v="20250512"/>
    <s v="VV"/>
    <m/>
    <m/>
    <s v="A     - Avere"/>
    <n v="108176.82"/>
    <n v="920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5"/>
    <x v="0"/>
    <x v="0"/>
    <x v="0"/>
    <n v="417355"/>
    <x v="1"/>
    <x v="1"/>
    <s v="464"/>
    <s v="430"/>
    <s v="430464"/>
    <s v="Classe di rischio 4"/>
    <m/>
    <s v="Classe di rischio 4"/>
  </r>
  <r>
    <n v="347936"/>
    <x v="3"/>
    <x v="3"/>
    <x v="38"/>
    <n v="53850"/>
    <n v="102"/>
    <s v="053850_102"/>
    <s v="Discovery Day"/>
    <s v="Mai valutato"/>
    <m/>
    <s v="Vari (12/05/2025)"/>
    <n v="1023300660520"/>
    <n v="20250512"/>
    <s v="VV"/>
    <m/>
    <m/>
    <s v="A     - Avere"/>
    <n v="197178.41"/>
    <n v="983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5"/>
    <x v="4"/>
    <x v="1"/>
    <x v="0"/>
    <n v="66052"/>
    <x v="1"/>
    <x v="1"/>
    <s v="999"/>
    <s v="430"/>
    <s v="430999"/>
    <m/>
    <s v="1"/>
    <s v="Classe di rischio 1"/>
  </r>
  <r>
    <n v="347935"/>
    <x v="4"/>
    <x v="4"/>
    <x v="38"/>
    <n v="53850"/>
    <n v="284"/>
    <s v="053850_284"/>
    <s v="Discovery Day"/>
    <s v="Mai valutato"/>
    <m/>
    <n v="202505127973664"/>
    <n v="2845500000060"/>
    <n v="20250512"/>
    <s v="BT - Rimborso su libretti a risparmio "/>
    <m/>
    <m/>
    <s v="D     - Dare"/>
    <n v="175971.72"/>
    <n v="0"/>
    <n v="1656421"/>
    <s v="MRSMRA51C56B238E"/>
    <s v="MARUSCO MARIA"/>
    <s v="600 - Famiglie consumatrici"/>
    <m/>
    <s v="086 - ITALIA"/>
    <n v="1840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7934"/>
    <x v="5"/>
    <x v="5"/>
    <x v="38"/>
    <n v="53850"/>
    <n v="269"/>
    <s v="053850_269"/>
    <s v="Discovery Day"/>
    <s v="Mai valutato"/>
    <m/>
    <s v="Vari (12/05/2025)"/>
    <n v="2693300010131"/>
    <n v="20250512"/>
    <s v="D1 - Versamento di contante "/>
    <m/>
    <m/>
    <s v="A     - Avere"/>
    <n v="34395"/>
    <n v="34395"/>
    <n v="4996619"/>
    <n v="2782690693"/>
    <s v="COMITATOFESTIVAL DEL CARCIOFO 2023"/>
    <s v="501 - Istituzioni ed enti con finalita' di assistenza, beneficenza, istruzione, culturali, sindacali, politiche, sportive, ricreative e simili"/>
    <s v="949 - ATTIVITÀ DI ALTRE ORGANIZZAZIONI ASSOCIATIVE "/>
    <s v="086 - ITALIA"/>
    <n v="1773"/>
    <m/>
    <m/>
    <m/>
    <m/>
    <m/>
    <m/>
    <m/>
    <n v="0"/>
    <n v="202505"/>
    <x v="1"/>
    <x v="0"/>
    <x v="0"/>
    <n v="4996619"/>
    <x v="1"/>
    <x v="0"/>
    <s v="999"/>
    <s v="501"/>
    <s v="501999"/>
    <m/>
    <s v="1"/>
    <s v="Classe di rischio 3"/>
  </r>
  <r>
    <n v="347933"/>
    <x v="2"/>
    <x v="2"/>
    <x v="38"/>
    <n v="53850"/>
    <n v="187"/>
    <s v="053850_187"/>
    <s v="Discovery Day"/>
    <s v="Mai valutato"/>
    <m/>
    <s v="202505126907757L"/>
    <n v="1873300102696"/>
    <n v="20250512"/>
    <s v="AA - Bonifico da e per estero "/>
    <m/>
    <s v="012 - BULGARIA"/>
    <s v="A     - Avere"/>
    <n v="4670.97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5"/>
    <x v="1"/>
    <x v="0"/>
    <x v="0"/>
    <m/>
    <x v="0"/>
    <x v="0"/>
    <s v="463"/>
    <s v="430"/>
    <s v="430463"/>
    <s v="Classe di rischio 3"/>
    <m/>
    <s v="Classe di rischio 3"/>
  </r>
  <r>
    <n v="347932"/>
    <x v="5"/>
    <x v="5"/>
    <x v="38"/>
    <n v="53850"/>
    <n v="182"/>
    <s v="053850_182"/>
    <s v="Discovery Day"/>
    <s v="Mai valutato"/>
    <m/>
    <s v="Vari (12/05/2025)"/>
    <n v="1823300169301"/>
    <n v="20250512"/>
    <s v="03 - Versamento contante cassa continua "/>
    <m/>
    <m/>
    <s v="A     - Avere"/>
    <n v="39500"/>
    <n v="3950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x v="1"/>
    <x v="0"/>
    <x v="0"/>
    <n v="4284957"/>
    <x v="1"/>
    <x v="0"/>
    <s v="920"/>
    <s v="615"/>
    <s v="615920"/>
    <s v="Classe di rischio 6"/>
    <m/>
    <s v="Classe di rischio 6"/>
  </r>
  <r>
    <n v="347931"/>
    <x v="3"/>
    <x v="3"/>
    <x v="38"/>
    <n v="53850"/>
    <n v="182"/>
    <s v="053850_182"/>
    <s v="Discovery Day"/>
    <s v="Mai valutato"/>
    <m/>
    <s v="Vari (12/05/2025)"/>
    <n v="1823300169301"/>
    <n v="20250512"/>
    <s v="03 - Versamento contante cassa continua "/>
    <m/>
    <m/>
    <s v="A     - Avere"/>
    <n v="39500"/>
    <n v="3950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x v="1"/>
    <x v="0"/>
    <x v="0"/>
    <n v="4284957"/>
    <x v="1"/>
    <x v="0"/>
    <s v="920"/>
    <s v="615"/>
    <s v="615920"/>
    <s v="Classe di rischio 6"/>
    <m/>
    <s v="Classe di rischio 6"/>
  </r>
  <r>
    <n v="347930"/>
    <x v="4"/>
    <x v="4"/>
    <x v="38"/>
    <n v="53850"/>
    <n v="102"/>
    <s v="053850_102"/>
    <s v="Discovery Day"/>
    <s v="Mai valutato"/>
    <m/>
    <n v="202505127969820"/>
    <n v="1023308719178"/>
    <n v="20250512"/>
    <s v="26 - Bonifico in partenza "/>
    <m/>
    <s v="086 - ITALIA"/>
    <s v="D     - Dare"/>
    <n v="612708.1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x v="2"/>
    <x v="1"/>
    <x v="0"/>
    <m/>
    <x v="0"/>
    <x v="0"/>
    <s v="462"/>
    <s v="430"/>
    <s v="430462"/>
    <s v="Classe di rischio 3"/>
    <m/>
    <s v="Classe di rischio 3"/>
  </r>
  <r>
    <n v="347929"/>
    <x v="7"/>
    <x v="7"/>
    <x v="38"/>
    <n v="53850"/>
    <n v="261"/>
    <s v="053850_261"/>
    <s v="Discovery Day"/>
    <s v="Mai valutato"/>
    <m/>
    <n v="202505127973576"/>
    <m/>
    <n v="20250512"/>
    <s v="F2 - Incasso assegno circolare stesso intermediario"/>
    <m/>
    <m/>
    <s v="D     - Dare"/>
    <n v="62019.32"/>
    <n v="0"/>
    <n v="4173710"/>
    <s v="CRFPLA68R16E335Y"/>
    <s v="CARFAGNA PAOLO"/>
    <s v="600 - Famiglie consumatrici"/>
    <m/>
    <s v="086 - ITALIA"/>
    <m/>
    <m/>
    <m/>
    <m/>
    <m/>
    <m/>
    <m/>
    <m/>
    <n v="0"/>
    <n v="202505"/>
    <x v="0"/>
    <x v="0"/>
    <x v="1"/>
    <m/>
    <x v="0"/>
    <x v="0"/>
    <s v="999"/>
    <s v="600"/>
    <s v="600999"/>
    <s v="Classe di rischio 7"/>
    <m/>
    <s v="Classe di rischio 7"/>
  </r>
  <r>
    <n v="347928"/>
    <x v="5"/>
    <x v="5"/>
    <x v="38"/>
    <n v="53850"/>
    <n v="267"/>
    <s v="053850_267"/>
    <s v="Discovery Day"/>
    <s v="Mai valutato"/>
    <m/>
    <n v="202505127973602"/>
    <n v="2673300003600"/>
    <n v="20250512"/>
    <s v="D1 - Versamento di contante "/>
    <m/>
    <m/>
    <s v="A     - Avere"/>
    <n v="85000"/>
    <n v="8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x v="1"/>
    <x v="0"/>
    <x v="0"/>
    <n v="1705101"/>
    <x v="1"/>
    <x v="0"/>
    <s v="999"/>
    <s v="492"/>
    <s v="492999"/>
    <m/>
    <s v="1"/>
    <s v="Classe di rischio 2"/>
  </r>
  <r>
    <n v="347927"/>
    <x v="5"/>
    <x v="5"/>
    <x v="38"/>
    <n v="53850"/>
    <n v="102"/>
    <s v="053850_102"/>
    <s v="Discovery Day"/>
    <s v="Mai valutato"/>
    <m/>
    <s v="Vari (12/05/2025)"/>
    <n v="1023305677850"/>
    <n v="20250512"/>
    <s v="VV"/>
    <m/>
    <m/>
    <s v="A     - Avere"/>
    <n v="40000"/>
    <n v="31500"/>
    <n v="567785"/>
    <n v="4522700725"/>
    <s v="GIOIELLERIA LOGLISCI G. SOCIETA' A RESPONSAB"/>
    <s v="430 - Imprese produttive"/>
    <s v="477 - COMMERCIO AL DETTAGLIO DI ALTRI PRODOTTI IN ESERCIZI SPECIALIZZATI"/>
    <s v="086 - ITALIA"/>
    <n v="911"/>
    <m/>
    <m/>
    <m/>
    <m/>
    <m/>
    <m/>
    <m/>
    <n v="0"/>
    <n v="202505"/>
    <x v="1"/>
    <x v="0"/>
    <x v="0"/>
    <n v="567785"/>
    <x v="1"/>
    <x v="1"/>
    <s v="477"/>
    <s v="430"/>
    <s v="430477"/>
    <s v="Classe di rischio 3"/>
    <m/>
    <s v="Classe di rischio 3"/>
  </r>
  <r>
    <n v="347926"/>
    <x v="5"/>
    <x v="5"/>
    <x v="38"/>
    <n v="53850"/>
    <n v="170"/>
    <s v="053850_170"/>
    <s v="Discovery Day"/>
    <s v="Mai valutato"/>
    <m/>
    <n v="202505127973395"/>
    <n v="1703300000428"/>
    <n v="20250512"/>
    <s v="D1 - Versamento di contante "/>
    <m/>
    <m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5"/>
    <x v="1"/>
    <x v="0"/>
    <x v="0"/>
    <n v="4833134"/>
    <x v="1"/>
    <x v="0"/>
    <s v="999"/>
    <s v="430"/>
    <s v="430999"/>
    <m/>
    <s v="1"/>
    <s v="Classe di rischio 1"/>
  </r>
  <r>
    <n v="347925"/>
    <x v="2"/>
    <x v="2"/>
    <x v="38"/>
    <n v="53850"/>
    <n v="187"/>
    <s v="053850_187"/>
    <s v="Discovery Day"/>
    <s v="Mai valutato"/>
    <m/>
    <s v="202505126908168L"/>
    <n v="1873300001435"/>
    <n v="20250512"/>
    <s v="AA - Bonifico da e per estero "/>
    <m/>
    <s v="238 - ABU DHABI"/>
    <s v="A     - Avere"/>
    <n v="1000"/>
    <n v="0"/>
    <n v="3120377"/>
    <s v="MRTGPP53M15L049C"/>
    <s v="MARTURANO GIUSEPPE"/>
    <s v="600 - Famiglie consumatrici"/>
    <m/>
    <s v="086 - ITALIA"/>
    <n v="479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7924"/>
    <x v="5"/>
    <x v="5"/>
    <x v="38"/>
    <n v="53850"/>
    <n v="114"/>
    <s v="053850_114"/>
    <s v="Discovery Day"/>
    <s v="Mai valutato"/>
    <m/>
    <n v="202505127973196"/>
    <n v="1143306280621"/>
    <n v="20250512"/>
    <s v="D1 - Versamento di contante "/>
    <m/>
    <m/>
    <s v="A     - Avere"/>
    <n v="46000"/>
    <n v="46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30"/>
    <s v="430477"/>
    <s v="Classe di rischio 3"/>
    <m/>
    <s v="Classe di rischio 3"/>
  </r>
  <r>
    <n v="347923"/>
    <x v="4"/>
    <x v="4"/>
    <x v="38"/>
    <n v="53850"/>
    <n v="164"/>
    <s v="053850_164"/>
    <s v="Discovery Day"/>
    <s v="Mai valutato"/>
    <m/>
    <n v="202505127973356"/>
    <n v="1643300370785"/>
    <n v="20250512"/>
    <s v="26 - Bonifico in partenza "/>
    <m/>
    <s v="086 - ITALIA"/>
    <s v="D     - Dare"/>
    <n v="1016300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7922"/>
    <x v="4"/>
    <x v="4"/>
    <x v="38"/>
    <n v="53850"/>
    <n v="261"/>
    <s v="053850_261"/>
    <s v="Discovery Day"/>
    <s v="Mai valutato"/>
    <m/>
    <s v="202505126909305L"/>
    <n v="2613300003915"/>
    <n v="20250512"/>
    <s v="SPECIAL"/>
    <m/>
    <m/>
    <s v="D     - Dare"/>
    <n v="2473.96"/>
    <n v="0"/>
    <n v="1696446"/>
    <s v="VRDNTN35H14B466O"/>
    <s v="VERDILE ANTONIO"/>
    <s v="600 - Famiglie consumatrici"/>
    <m/>
    <s v="086 - ITALIA"/>
    <n v="1818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7921"/>
    <x v="4"/>
    <x v="4"/>
    <x v="38"/>
    <n v="53850"/>
    <n v="261"/>
    <s v="053850_261"/>
    <s v="Discovery Day"/>
    <s v="Mai valutato"/>
    <m/>
    <s v="202505126909304L"/>
    <n v="2613300002543"/>
    <n v="20250512"/>
    <s v="SPECIAL"/>
    <m/>
    <m/>
    <s v="D     - Dare"/>
    <n v="2270.96"/>
    <n v="0"/>
    <n v="1651802"/>
    <s v="STFDTT37C51F429L"/>
    <s v="STAFFIERI ADILETTA"/>
    <s v="600 - Famiglie consumatrici"/>
    <m/>
    <s v="086 - ITALIA"/>
    <n v="1755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47920"/>
    <x v="2"/>
    <x v="2"/>
    <x v="38"/>
    <n v="53850"/>
    <n v="149"/>
    <s v="053850_149"/>
    <s v="Discovery Day"/>
    <s v="Mai valutato"/>
    <m/>
    <n v="202505127970731"/>
    <n v="1493300663564"/>
    <n v="20250512"/>
    <s v="AA - Bonifico da e per estero "/>
    <m/>
    <s v="012 - BULGARIA"/>
    <s v="A     - Avere"/>
    <n v="30246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47919"/>
    <x v="5"/>
    <x v="5"/>
    <x v="38"/>
    <n v="53850"/>
    <n v="116"/>
    <s v="053850_116"/>
    <s v="Discovery Day"/>
    <s v="Mai valutato"/>
    <m/>
    <n v="202505127972864"/>
    <n v="2343300010453"/>
    <n v="20250512"/>
    <s v="03 - Versamento contante cassa continua "/>
    <m/>
    <m/>
    <s v="A     - Avere"/>
    <n v="191268.3"/>
    <n v="191268.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7918"/>
    <x v="4"/>
    <x v="4"/>
    <x v="38"/>
    <n v="53850"/>
    <n v="102"/>
    <s v="053850_102"/>
    <s v="Discovery Day"/>
    <s v="Mai valutato"/>
    <m/>
    <n v="202505127971335"/>
    <n v="1603300002981"/>
    <n v="20250512"/>
    <s v="48 - Bonifico in arrivo "/>
    <m/>
    <s v="086 - ITALIA"/>
    <s v="A     - Ave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x v="2"/>
    <x v="1"/>
    <x v="0"/>
    <m/>
    <x v="0"/>
    <x v="0"/>
    <s v="999"/>
    <s v="475"/>
    <s v="475999"/>
    <m/>
    <s v="1"/>
    <s v="Classe di rischio 1"/>
  </r>
  <r>
    <n v="347917"/>
    <x v="4"/>
    <x v="4"/>
    <x v="38"/>
    <n v="53850"/>
    <n v="114"/>
    <s v="053850_114"/>
    <s v="Discovery Day"/>
    <s v="Mai valutato"/>
    <m/>
    <n v="202505127972094"/>
    <n v="1146000019363"/>
    <n v="20250512"/>
    <s v="54 - Incassi diversi"/>
    <m/>
    <m/>
    <s v="A     - Avere"/>
    <n v="194072.24"/>
    <n v="0"/>
    <n v="4072202"/>
    <s v="DCRNRT67M57D643S"/>
    <s v="DI CARLO ANNA RITA"/>
    <s v="600 - Famiglie consumatrici"/>
    <m/>
    <s v="086 - ITALIA"/>
    <n v="1644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47916"/>
    <x v="5"/>
    <x v="5"/>
    <x v="38"/>
    <n v="53850"/>
    <n v="104"/>
    <s v="053850_104"/>
    <s v="Discovery Day"/>
    <s v="Mai valutato"/>
    <m/>
    <s v="Vari (12/05/2025)"/>
    <n v="1043309505529"/>
    <n v="20250512"/>
    <s v="03 - Versamento contante cassa continua "/>
    <m/>
    <m/>
    <s v="A     - Avere"/>
    <n v="69940"/>
    <n v="69940"/>
    <n v="4222821"/>
    <n v="6131230721"/>
    <s v="LA SFORNATA S.R.L."/>
    <s v="430 - Imprese produttive"/>
    <s v="107 - PRODUZIONE DI PRODOTTI DA FORNO E FARINACEI"/>
    <s v="086 - ITALIA"/>
    <n v="727"/>
    <m/>
    <m/>
    <m/>
    <m/>
    <m/>
    <m/>
    <m/>
    <n v="0"/>
    <n v="202505"/>
    <x v="0"/>
    <x v="0"/>
    <x v="0"/>
    <n v="4222821"/>
    <x v="1"/>
    <x v="0"/>
    <s v="999"/>
    <s v="430"/>
    <s v="430999"/>
    <m/>
    <s v="1"/>
    <s v="Classe di rischio 1"/>
  </r>
  <r>
    <n v="347915"/>
    <x v="9"/>
    <x v="9"/>
    <x v="38"/>
    <n v="53850"/>
    <n v="168"/>
    <s v="053850_168"/>
    <s v="Discovery Day"/>
    <s v="Mai valutato"/>
    <m/>
    <n v="202505127971840"/>
    <n v="1683306277782"/>
    <n v="20250512"/>
    <s v="AA - Bonifico da e per estero "/>
    <m/>
    <s v="071 - SVIZZERA"/>
    <s v="A     - Avere"/>
    <n v="12855.42"/>
    <n v="0"/>
    <n v="3743230"/>
    <s v="LEOGRL01A20I330R"/>
    <s v="LEO GABRIELE"/>
    <s v="775 - Famiglie consumatrici di paesi non UE"/>
    <m/>
    <s v="071 - SVIZZERA"/>
    <n v="1358"/>
    <m/>
    <m/>
    <m/>
    <m/>
    <m/>
    <m/>
    <m/>
    <n v="0"/>
    <n v="202505"/>
    <x v="2"/>
    <x v="1"/>
    <x v="0"/>
    <m/>
    <x v="0"/>
    <x v="0"/>
    <s v="999"/>
    <s v="775"/>
    <s v="775999"/>
    <s v="Classe di rischio 7"/>
    <m/>
    <s v="Classe di rischio 7"/>
  </r>
  <r>
    <n v="347914"/>
    <x v="4"/>
    <x v="4"/>
    <x v="38"/>
    <n v="53850"/>
    <n v="102"/>
    <s v="053850_102"/>
    <s v="Discovery Day"/>
    <s v="Mai valutato"/>
    <m/>
    <n v="202505127973062"/>
    <n v="1603300002981"/>
    <n v="20250512"/>
    <s v="50 - Pagamenti diversi"/>
    <m/>
    <m/>
    <s v="D     - Dare"/>
    <n v="14903049.34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5"/>
    <x v="2"/>
    <x v="1"/>
    <x v="0"/>
    <m/>
    <x v="0"/>
    <x v="0"/>
    <s v="999"/>
    <s v="475"/>
    <s v="475999"/>
    <m/>
    <s v="1"/>
    <s v="Classe di rischio 1"/>
  </r>
  <r>
    <n v="347913"/>
    <x v="5"/>
    <x v="5"/>
    <x v="38"/>
    <n v="53850"/>
    <n v="259"/>
    <s v="053850_259"/>
    <s v="Discovery Day"/>
    <s v="Mai valutato"/>
    <m/>
    <s v="Vari (12/05/2025)"/>
    <n v="2593300000146"/>
    <n v="20250512"/>
    <s v="VV"/>
    <m/>
    <m/>
    <s v="A     - Avere"/>
    <n v="58120"/>
    <n v="57000"/>
    <n v="4574357"/>
    <n v="5690380729"/>
    <s v="FRUTTATTIVA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x v="0"/>
    <x v="0"/>
    <x v="0"/>
    <n v="4574357"/>
    <x v="1"/>
    <x v="1"/>
    <s v="463"/>
    <s v="430"/>
    <s v="430463"/>
    <s v="Classe di rischio 3"/>
    <m/>
    <s v="Classe di rischio 3"/>
  </r>
  <r>
    <n v="347912"/>
    <x v="2"/>
    <x v="2"/>
    <x v="38"/>
    <n v="53850"/>
    <n v="111"/>
    <s v="053850_111"/>
    <s v="Discovery Day"/>
    <s v="Mai valutato"/>
    <m/>
    <s v="202505126903098L"/>
    <n v="1113305626850"/>
    <n v="20250512"/>
    <s v="AA - Bonifico da e per estero "/>
    <m/>
    <s v="261 - CROAZIA"/>
    <s v="D     - Dare"/>
    <n v="182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47911"/>
    <x v="4"/>
    <x v="4"/>
    <x v="38"/>
    <n v="53850"/>
    <n v="102"/>
    <s v="053850_102"/>
    <s v="Discovery Day"/>
    <s v="Mai valutato"/>
    <m/>
    <n v="202505127972163"/>
    <n v="1023305697550"/>
    <n v="20250512"/>
    <s v="13 - Addebito per estinzione assegno"/>
    <m/>
    <m/>
    <s v="D     - Dare"/>
    <n v="1200000"/>
    <n v="0"/>
    <n v="569755"/>
    <n v="4504560725"/>
    <s v="LOIUDICE S.R.L."/>
    <s v="430 - Imprese produttive"/>
    <s v="259 - FABBRICAZIONE DI ALTRI PRODOTTI IN METALLO"/>
    <s v="086 - ITALIA"/>
    <n v="739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47910"/>
    <x v="3"/>
    <x v="3"/>
    <x v="38"/>
    <n v="53850"/>
    <n v="116"/>
    <s v="053850_116"/>
    <s v="Discovery Day"/>
    <s v="Mai valutato"/>
    <m/>
    <n v="202505127972864"/>
    <n v="2343300010453"/>
    <n v="20250512"/>
    <s v="03 - Versamento contante cassa continua "/>
    <m/>
    <m/>
    <s v="A     - Avere"/>
    <n v="191268.3"/>
    <n v="191268.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47909"/>
    <x v="5"/>
    <x v="5"/>
    <x v="38"/>
    <n v="53850"/>
    <n v="109"/>
    <s v="053850_109"/>
    <s v="Discovery Day"/>
    <s v="Mai valutato"/>
    <m/>
    <n v="202505127973143"/>
    <n v="1093306675356"/>
    <n v="20250512"/>
    <s v="D1 - Versamento di contante "/>
    <m/>
    <m/>
    <s v="A     - Avere"/>
    <n v="33500"/>
    <n v="335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5"/>
    <x v="1"/>
    <x v="0"/>
    <x v="0"/>
    <n v="4976123"/>
    <x v="1"/>
    <x v="0"/>
    <s v="477"/>
    <s v="430"/>
    <s v="430477"/>
    <s v="Classe di rischio 3"/>
    <m/>
    <s v="Classe di rischio 3"/>
  </r>
  <r>
    <n v="347908"/>
    <x v="4"/>
    <x v="4"/>
    <x v="38"/>
    <n v="53850"/>
    <n v="284"/>
    <s v="053850_284"/>
    <s v="Discovery Day"/>
    <s v="Mai valutato"/>
    <m/>
    <n v="202505127973664"/>
    <n v="2845500000060"/>
    <n v="20250512"/>
    <s v="BT - Rimborso su libretti a risparmio "/>
    <m/>
    <m/>
    <s v="D     - Dare"/>
    <n v="175971.72"/>
    <n v="0"/>
    <n v="1604878"/>
    <s v="MRSLCN60L04B238C"/>
    <s v="MARUSCO LUCIANO"/>
    <s v="600 - Famiglie consumatrici"/>
    <m/>
    <s v="086 - ITALIA"/>
    <n v="1840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7907"/>
    <x v="3"/>
    <x v="3"/>
    <x v="38"/>
    <n v="53850"/>
    <n v="287"/>
    <s v="053850_287"/>
    <s v="Discovery Day"/>
    <s v="Mai valutato"/>
    <m/>
    <s v="Vari (12/05/2025)"/>
    <n v="2873300001853"/>
    <n v="20250512"/>
    <s v="VV"/>
    <m/>
    <m/>
    <s v="A     - Avere"/>
    <n v="105369.64"/>
    <n v="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x v="0"/>
    <x v="0"/>
    <x v="0"/>
    <n v="3722213"/>
    <x v="1"/>
    <x v="1"/>
    <s v="463"/>
    <s v="430"/>
    <s v="430463"/>
    <s v="Classe di rischio 3"/>
    <m/>
    <s v="Classe di rischio 3"/>
  </r>
  <r>
    <n v="347906"/>
    <x v="4"/>
    <x v="4"/>
    <x v="38"/>
    <n v="53850"/>
    <n v="102"/>
    <s v="053850_102"/>
    <s v="Discovery Day"/>
    <s v="Mai valutato"/>
    <m/>
    <n v="202505127970583"/>
    <n v="1023302279020"/>
    <n v="20250512"/>
    <s v="39 - Disposizione per emolumenti"/>
    <m/>
    <m/>
    <s v="D     - Dare"/>
    <n v="419575.92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5"/>
    <x v="2"/>
    <x v="1"/>
    <x v="0"/>
    <m/>
    <x v="0"/>
    <x v="0"/>
    <s v="493"/>
    <s v="430"/>
    <s v="430493"/>
    <s v="Classe di rischio 3"/>
    <m/>
    <s v="Classe di rischio 3"/>
  </r>
  <r>
    <n v="347905"/>
    <x v="3"/>
    <x v="3"/>
    <x v="38"/>
    <n v="53850"/>
    <n v="284"/>
    <s v="053850_284"/>
    <s v="Discovery Day"/>
    <s v="Mai valutato"/>
    <m/>
    <n v="202505127973665"/>
    <n v="2843300000381"/>
    <n v="20250512"/>
    <s v="D1 - Versamento di contante "/>
    <m/>
    <m/>
    <s v="A     - Avere"/>
    <n v="175971.72"/>
    <n v="0"/>
    <n v="1656421"/>
    <s v="MRSMRA51C56B238E"/>
    <s v="MARUSCO MARIA"/>
    <s v="600 - Famiglie consumatrici"/>
    <m/>
    <s v="086 - ITALIA"/>
    <n v="1840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47904"/>
    <x v="2"/>
    <x v="2"/>
    <x v="38"/>
    <n v="53850"/>
    <n v="187"/>
    <s v="053850_187"/>
    <s v="Discovery Day"/>
    <s v="Mai valutato"/>
    <m/>
    <s v="202505126908168L"/>
    <n v="1873300001435"/>
    <n v="20250512"/>
    <s v="AA - Bonifico da e per estero "/>
    <m/>
    <s v="238 - ABU DHABI"/>
    <s v="A     - Avere"/>
    <n v="1000"/>
    <n v="0"/>
    <n v="3023756"/>
    <s v="LZZMNL53P63L049I"/>
    <s v="LAZZARETTI MARINELLA"/>
    <s v="600 - Famiglie consumatrici"/>
    <m/>
    <s v="086 - ITALIA"/>
    <n v="479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47903"/>
    <x v="4"/>
    <x v="4"/>
    <x v="38"/>
    <n v="53850"/>
    <n v="161"/>
    <s v="053850_161"/>
    <s v="Discovery Day"/>
    <s v="Mai valutato"/>
    <m/>
    <n v="202505127972562"/>
    <n v="1613300029653"/>
    <n v="20250512"/>
    <s v="50 - Pagamenti diversi"/>
    <m/>
    <m/>
    <s v="D     - Dare"/>
    <n v="523753.44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x v="1"/>
    <x v="0"/>
    <x v="0"/>
    <n v="4088769"/>
    <x v="1"/>
    <x v="0"/>
    <s v="464"/>
    <s v="430"/>
    <s v="430464"/>
    <s v="Classe di rischio 4"/>
    <m/>
    <s v="Classe di rischio 4"/>
  </r>
  <r>
    <n v="347902"/>
    <x v="6"/>
    <x v="6"/>
    <x v="38"/>
    <n v="53850"/>
    <n v="149"/>
    <s v="053850_149"/>
    <s v="Discovery Day"/>
    <s v="Mai valutato"/>
    <m/>
    <n v="202505127971838"/>
    <n v="1493300664691"/>
    <n v="20250512"/>
    <s v="AA - Bonifico da e per estero "/>
    <m/>
    <s v="182 - ISRAELE"/>
    <s v="D     - Dare"/>
    <n v="19320"/>
    <n v="0"/>
    <n v="4988257"/>
    <n v="7432651219"/>
    <s v="M&amp;C DIVISION S.R.L."/>
    <s v="430 - Imprese produttive"/>
    <s v="464 - COMMERCIO ALL'INGROSSO DI BENI DI CONSUMO FINALE"/>
    <s v="086 - ITALIA"/>
    <n v="1910"/>
    <m/>
    <m/>
    <m/>
    <m/>
    <m/>
    <m/>
    <m/>
    <n v="0"/>
    <n v="202505"/>
    <x v="4"/>
    <x v="1"/>
    <x v="0"/>
    <m/>
    <x v="0"/>
    <x v="0"/>
    <s v="464"/>
    <s v="430"/>
    <s v="430464"/>
    <s v="Classe di rischio 4"/>
    <m/>
    <s v="Classe di rischio 4"/>
  </r>
  <r>
    <n v="347901"/>
    <x v="5"/>
    <x v="5"/>
    <x v="38"/>
    <n v="53850"/>
    <n v="102"/>
    <s v="053850_102"/>
    <s v="Discovery Day"/>
    <s v="Mai valutato"/>
    <m/>
    <n v="202505107972107"/>
    <n v="1023308722503"/>
    <n v="20250510"/>
    <s v="03 - Versamento contante cassa continua "/>
    <m/>
    <m/>
    <s v="A     - Avere"/>
    <n v="17000"/>
    <n v="17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47900"/>
    <x v="2"/>
    <x v="2"/>
    <x v="38"/>
    <n v="53850"/>
    <n v="175"/>
    <s v="053850_175"/>
    <s v="Discovery Day"/>
    <s v="Mai valutato"/>
    <m/>
    <s v="202505096890610L"/>
    <n v="1753302201268"/>
    <n v="20250509"/>
    <s v="AA - Bonifico da e per estero "/>
    <m/>
    <s v="012 - BULGARIA"/>
    <s v="D     - Dare"/>
    <n v="3807.4"/>
    <n v="0"/>
    <n v="4162195"/>
    <s v="RNICRL83T29A225K"/>
    <s v="IUORNO CARLO"/>
    <s v="615 - Altre famiglie produttrici"/>
    <s v="900 - ATTIVITÀ CREATIVE, ARTISTICHE E DI INTRATTENIMENTO"/>
    <s v="086 - ITALIA"/>
    <n v="1110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38044"/>
    <x v="4"/>
    <x v="4"/>
    <x v="0"/>
    <n v="53850"/>
    <n v="103"/>
    <s v="053850_103"/>
    <s v="Discovery Day"/>
    <s v="Mai valutato"/>
    <m/>
    <n v="202505127963855"/>
    <n v="1033306970929"/>
    <n v="20250512"/>
    <s v="BA - Vendita a prodotti titoli e diritti d'opzione"/>
    <m/>
    <m/>
    <s v="A     - Avere"/>
    <n v="1376294.69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8043"/>
    <x v="4"/>
    <x v="4"/>
    <x v="0"/>
    <n v="53850"/>
    <n v="103"/>
    <s v="053850_103"/>
    <s v="Discovery Day"/>
    <s v="Mai valutato"/>
    <m/>
    <n v="202505127963855"/>
    <n v="1033306970929"/>
    <n v="20250512"/>
    <s v="BA - Vendita a prodotti titoli e diritti d'opzione"/>
    <m/>
    <m/>
    <s v="A     - Avere"/>
    <n v="1376294.69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8042"/>
    <x v="4"/>
    <x v="4"/>
    <x v="0"/>
    <n v="53850"/>
    <n v="103"/>
    <s v="053850_103"/>
    <s v="Discovery Day"/>
    <s v="Mai valutato"/>
    <m/>
    <n v="202505127963855"/>
    <n v="1033306970929"/>
    <n v="20250512"/>
    <s v="BA - Vendita a prodotti titoli e diritti d'opzione"/>
    <m/>
    <m/>
    <s v="A     - Avere"/>
    <n v="1376294.69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8041"/>
    <x v="4"/>
    <x v="4"/>
    <x v="0"/>
    <n v="53850"/>
    <n v="118"/>
    <s v="053850_118"/>
    <s v="Discovery Day"/>
    <s v="Mai valutato"/>
    <m/>
    <n v="202505097964583"/>
    <n v="1183306278672"/>
    <n v="20250509"/>
    <s v="AF - Disp.giro conti diversi intestati ordinante(stesso intermed.)"/>
    <m/>
    <s v="086 - ITALIA"/>
    <s v="A     - Avere"/>
    <n v="1500000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8040"/>
    <x v="3"/>
    <x v="3"/>
    <x v="0"/>
    <n v="53850"/>
    <n v="193"/>
    <s v="053850_193"/>
    <s v="Discovery Day"/>
    <s v="Mai valutato"/>
    <m/>
    <n v="202505097964822"/>
    <n v="1943300005251"/>
    <n v="20250509"/>
    <s v="G7 - Versamento assegno circolare altro intermediario "/>
    <m/>
    <m/>
    <s v="A     - Avere"/>
    <n v="150000"/>
    <n v="0"/>
    <n v="4273110"/>
    <s v="NNMNLG77H15A662Z"/>
    <s v="INNAMORATO ANGELO GIOVANNI"/>
    <s v="600 - Famiglie consumatrici"/>
    <m/>
    <s v="086 - ITALIA"/>
    <n v="1450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8039"/>
    <x v="4"/>
    <x v="4"/>
    <x v="0"/>
    <n v="53850"/>
    <n v="118"/>
    <s v="053850_118"/>
    <s v="Discovery Day"/>
    <s v="Mai valutato"/>
    <m/>
    <n v="202505097964573"/>
    <n v="1183306280513"/>
    <n v="20250509"/>
    <s v="AF - Disp.giro conti diversi intestati ordinante(stesso intermed.)"/>
    <m/>
    <s v="086 - ITALIA"/>
    <s v="D     - Da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8038"/>
    <x v="4"/>
    <x v="4"/>
    <x v="0"/>
    <n v="53850"/>
    <n v="264"/>
    <s v="053850_264"/>
    <s v="Discovery Day"/>
    <s v="Mai valutato"/>
    <m/>
    <s v="202505096850921L"/>
    <n v="2643300001045"/>
    <n v="20250509"/>
    <s v="SPECIAL"/>
    <m/>
    <m/>
    <s v="D     - Dare"/>
    <n v="4102.1499999999996"/>
    <n v="0"/>
    <n v="1646159"/>
    <s v="DSNNNA22C59I029S"/>
    <s v="DISANZA ANNA"/>
    <s v="600 - Famiglie consumatrici"/>
    <m/>
    <s v="086 - ITALIA"/>
    <n v="1824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8037"/>
    <x v="4"/>
    <x v="4"/>
    <x v="0"/>
    <n v="53850"/>
    <n v="161"/>
    <s v="053850_161"/>
    <s v="Discovery Day"/>
    <s v="Mai valutato"/>
    <m/>
    <s v="202505096857492L"/>
    <n v="1613300033039"/>
    <n v="20250509"/>
    <s v="SPECIAL"/>
    <m/>
    <m/>
    <s v="D     - Dare"/>
    <n v="1494"/>
    <n v="0"/>
    <n v="4925453"/>
    <n v="8050450728"/>
    <s v="RIESCA SOCIETA' A RESPONSABILITA' LIMITATA S"/>
    <s v="430 - Imprese produttive"/>
    <s v="561 - RISTORANTI E ATTIVITÀ DI RISTORAZIONE MOBILE"/>
    <s v="086 - ITALIA"/>
    <n v="1118"/>
    <m/>
    <m/>
    <m/>
    <m/>
    <m/>
    <m/>
    <m/>
    <n v="0"/>
    <n v="202505"/>
    <x v="0"/>
    <x v="0"/>
    <x v="0"/>
    <m/>
    <x v="0"/>
    <x v="1"/>
    <s v="999"/>
    <s v="430"/>
    <s v="430999"/>
    <m/>
    <s v="1"/>
    <s v="Classe di rischio 1"/>
  </r>
  <r>
    <n v="338036"/>
    <x v="5"/>
    <x v="5"/>
    <x v="0"/>
    <n v="53850"/>
    <n v="153"/>
    <s v="053850_153"/>
    <s v="Discovery Day"/>
    <s v="Mai valutato"/>
    <m/>
    <n v="202505097964668"/>
    <n v="1533300663089"/>
    <n v="20250509"/>
    <s v="D1 - Versamento di contante "/>
    <m/>
    <m/>
    <s v="A     - Avere"/>
    <n v="36365"/>
    <n v="36365"/>
    <n v="4911375"/>
    <s v="VNCCLN96P58A509F"/>
    <s v="VINCIGUERRA CAROLINA"/>
    <s v="615 - Altre famiglie produttrici"/>
    <s v="472 - COMMERCIO AL DETTAGLIO DI PRODOTTI ALIMENTARI, BEVANDE E TABACCO IN ESERCIZI SPECIALIZZATI"/>
    <s v="086 - ITALIA"/>
    <n v="1055"/>
    <m/>
    <m/>
    <m/>
    <m/>
    <m/>
    <m/>
    <m/>
    <n v="0"/>
    <n v="202505"/>
    <x v="1"/>
    <x v="0"/>
    <x v="0"/>
    <n v="4911375"/>
    <x v="1"/>
    <x v="0"/>
    <s v="999"/>
    <s v="615"/>
    <s v="615999"/>
    <m/>
    <s v="1"/>
    <s v="Classe di rischio 3"/>
  </r>
  <r>
    <n v="338035"/>
    <x v="3"/>
    <x v="3"/>
    <x v="0"/>
    <n v="53850"/>
    <n v="171"/>
    <s v="053850_171"/>
    <s v="Discovery Day"/>
    <s v="Mai valutato"/>
    <m/>
    <s v="Vari (09/05/2025)"/>
    <n v="1713305728950"/>
    <n v="20250509"/>
    <s v="03 - Versamento contante cassa continua "/>
    <m/>
    <m/>
    <s v="A     - Avere"/>
    <n v="400964.69"/>
    <n v="400964.6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38034"/>
    <x v="4"/>
    <x v="4"/>
    <x v="0"/>
    <n v="53850"/>
    <n v="261"/>
    <s v="053850_261"/>
    <s v="Discovery Day"/>
    <s v="Mai valutato"/>
    <m/>
    <s v="202505096850912L"/>
    <n v="2613300002795"/>
    <n v="20250509"/>
    <s v="SPECIAL"/>
    <m/>
    <m/>
    <s v="D     - Dare"/>
    <n v="1127.58"/>
    <n v="0"/>
    <n v="1652596"/>
    <s v="PRRGPP31L10E779L"/>
    <s v="PERRELLA GIUSEPPE"/>
    <s v="775 - Famiglie consumatrici di paesi non UE"/>
    <m/>
    <s v="011 - BRASILE"/>
    <m/>
    <m/>
    <m/>
    <m/>
    <m/>
    <m/>
    <m/>
    <m/>
    <n v="0"/>
    <n v="202505"/>
    <x v="0"/>
    <x v="0"/>
    <x v="0"/>
    <m/>
    <x v="0"/>
    <x v="1"/>
    <s v="999"/>
    <s v="775"/>
    <s v="775999"/>
    <s v="Classe di rischio 7"/>
    <m/>
    <s v="Classe di rischio 7"/>
  </r>
  <r>
    <n v="338033"/>
    <x v="2"/>
    <x v="2"/>
    <x v="0"/>
    <n v="53850"/>
    <n v="132"/>
    <s v="053850_132"/>
    <s v="Discovery Day"/>
    <s v="Mai valutato"/>
    <m/>
    <n v="202505097963723"/>
    <n v="1323300003557"/>
    <n v="20250509"/>
    <s v="AA - Bonifico da e per estero "/>
    <m/>
    <s v="238 - ABU DHABI"/>
    <s v="A     - Avere"/>
    <n v="30500"/>
    <n v="0"/>
    <n v="4995426"/>
    <n v="1316960770"/>
    <s v="THE CORNER SRLS"/>
    <s v="430 - Imprese produttive"/>
    <s v="477 - COMMERCIO AL DETTAGLIO DI ALTRI PRODOTTI IN ESERCIZI SPECIALIZZATI"/>
    <s v="086 - ITALIA"/>
    <n v="823"/>
    <m/>
    <m/>
    <m/>
    <m/>
    <m/>
    <m/>
    <m/>
    <n v="0"/>
    <n v="202505"/>
    <x v="4"/>
    <x v="1"/>
    <x v="0"/>
    <n v="4995426"/>
    <x v="1"/>
    <x v="0"/>
    <s v="477"/>
    <s v="430"/>
    <s v="430477"/>
    <s v="Classe di rischio 3"/>
    <m/>
    <s v="Classe di rischio 3"/>
  </r>
  <r>
    <n v="338032"/>
    <x v="5"/>
    <x v="5"/>
    <x v="0"/>
    <n v="53850"/>
    <n v="134"/>
    <s v="053850_134"/>
    <s v="Discovery Day"/>
    <s v="Mai valutato"/>
    <m/>
    <s v="Vari (09/05/2025)"/>
    <n v="1343300002724"/>
    <n v="20250509"/>
    <s v="VV"/>
    <m/>
    <m/>
    <s v="A     - Avere"/>
    <n v="51579.9"/>
    <n v="4808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5"/>
    <x v="4"/>
    <x v="1"/>
    <x v="0"/>
    <n v="4876967"/>
    <x v="1"/>
    <x v="1"/>
    <s v="999"/>
    <s v="615"/>
    <s v="615999"/>
    <m/>
    <s v="1"/>
    <s v="Classe di rischio 3"/>
  </r>
  <r>
    <n v="338031"/>
    <x v="4"/>
    <x v="4"/>
    <x v="0"/>
    <n v="53850"/>
    <n v="118"/>
    <s v="053850_118"/>
    <s v="Discovery Day"/>
    <s v="Mai valutato"/>
    <m/>
    <n v="202505097964569"/>
    <n v="1183306280094"/>
    <n v="20250509"/>
    <s v="SPECIAL"/>
    <m/>
    <m/>
    <s v="D     - Dare"/>
    <n v="16523.3"/>
    <n v="0"/>
    <n v="114232"/>
    <s v="TCCMRA36H64A225C"/>
    <s v="TACCOGNA MARIA"/>
    <s v="600 - Famiglie consumatrici"/>
    <m/>
    <s v="086 - ITALIA"/>
    <n v="1260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8030"/>
    <x v="4"/>
    <x v="4"/>
    <x v="0"/>
    <n v="53850"/>
    <n v="118"/>
    <s v="053850_118"/>
    <s v="Discovery Day"/>
    <s v="Mai valutato"/>
    <m/>
    <n v="202505097964583"/>
    <n v="1183306278672"/>
    <n v="20250509"/>
    <s v="AF - Disp.giro conti diversi intestati ordinante(stesso intermed.)"/>
    <m/>
    <s v="086 - ITALIA"/>
    <s v="A     - Avere"/>
    <n v="1500000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8029"/>
    <x v="4"/>
    <x v="4"/>
    <x v="0"/>
    <n v="53850"/>
    <n v="102"/>
    <s v="053850_102"/>
    <s v="Discovery Day"/>
    <s v="Mai valutato"/>
    <m/>
    <n v="202505097964459"/>
    <n v="1025507000167"/>
    <n v="20250509"/>
    <s v="10 - Emisione assegni circolari e titoli similari vaglia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38028"/>
    <x v="4"/>
    <x v="4"/>
    <x v="0"/>
    <n v="53850"/>
    <n v="261"/>
    <s v="053850_261"/>
    <s v="Discovery Day"/>
    <s v="Mai valutato"/>
    <m/>
    <s v="202505096850911L"/>
    <n v="2613300001928"/>
    <n v="20250509"/>
    <s v="SPECIAL"/>
    <m/>
    <m/>
    <s v="D     - Dare"/>
    <n v="1422.48"/>
    <n v="0"/>
    <n v="1636180"/>
    <s v="GNFFLC34C10C854B"/>
    <s v="GIANFAGNA FELICE"/>
    <s v="600 - Famiglie consumatrici"/>
    <m/>
    <s v="086 - ITALIA"/>
    <m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8027"/>
    <x v="4"/>
    <x v="4"/>
    <x v="0"/>
    <n v="53850"/>
    <n v="282"/>
    <s v="053850_282"/>
    <s v="Discovery Day"/>
    <s v="Mai valutato"/>
    <m/>
    <s v="202505096850699L"/>
    <n v="2823300001866"/>
    <n v="20250509"/>
    <s v="SPECIAL"/>
    <m/>
    <m/>
    <s v="D     - Dare"/>
    <n v="1363.68"/>
    <n v="0"/>
    <n v="1678272"/>
    <s v="NWTCRS54R18Z114I"/>
    <s v="NEWTON CHRISTOPHER CHARLES"/>
    <s v="600 - Famiglie consumatrici"/>
    <m/>
    <s v="086 - ITALIA"/>
    <n v="1796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8026"/>
    <x v="4"/>
    <x v="4"/>
    <x v="0"/>
    <n v="53850"/>
    <n v="118"/>
    <s v="053850_118"/>
    <s v="Discovery Day"/>
    <s v="Mai valutato"/>
    <m/>
    <n v="202505097964574"/>
    <n v="1183306280513"/>
    <n v="20250509"/>
    <s v="AF - Disp.giro conti diversi intestati ordinante(stesso intermed.)"/>
    <m/>
    <s v="086 - ITALIA"/>
    <s v="D     - Dare"/>
    <n v="763574"/>
    <n v="0"/>
    <n v="516605"/>
    <s v="FRRRCC79B23A662T"/>
    <s v="FERRI ROCCO"/>
    <s v="600 - Famiglie consumatrici"/>
    <m/>
    <s v="086 - ITALIA"/>
    <n v="724"/>
    <m/>
    <m/>
    <m/>
    <m/>
    <m/>
    <m/>
    <m/>
    <n v="0"/>
    <n v="202505"/>
    <x v="1"/>
    <x v="0"/>
    <x v="0"/>
    <n v="516605"/>
    <x v="1"/>
    <x v="0"/>
    <s v="999"/>
    <s v="600"/>
    <s v="600999"/>
    <s v="Classe di rischio 7"/>
    <m/>
    <s v="Classe di rischio 7"/>
  </r>
  <r>
    <n v="338025"/>
    <x v="4"/>
    <x v="4"/>
    <x v="0"/>
    <n v="53850"/>
    <n v="118"/>
    <s v="053850_118"/>
    <s v="Discovery Day"/>
    <s v="Mai valutato"/>
    <m/>
    <n v="202505097964583"/>
    <n v="1183306278672"/>
    <n v="20250509"/>
    <s v="AF - Disp.giro conti diversi intestati ordinante(stesso intermed.)"/>
    <m/>
    <s v="086 - ITALIA"/>
    <s v="A     - Avere"/>
    <n v="1500000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8024"/>
    <x v="4"/>
    <x v="4"/>
    <x v="0"/>
    <n v="53850"/>
    <n v="118"/>
    <s v="053850_118"/>
    <s v="Discovery Day"/>
    <s v="Mai valutato"/>
    <m/>
    <n v="202505097964586"/>
    <n v="1183306278672"/>
    <n v="20250509"/>
    <s v="AF - Disp.giro conti diversi intestati ordinante(stesso intermed.)"/>
    <m/>
    <s v="086 - ITALIA"/>
    <s v="D     - Dare"/>
    <n v="2290722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8023"/>
    <x v="5"/>
    <x v="5"/>
    <x v="0"/>
    <n v="53850"/>
    <n v="129"/>
    <s v="053850_129"/>
    <s v="Discovery Day"/>
    <s v="Mai valutato"/>
    <m/>
    <n v="202505097964607"/>
    <n v="1293300000754"/>
    <n v="20250509"/>
    <s v="D1 - Versamento di contante "/>
    <m/>
    <m/>
    <s v="A     - Avere"/>
    <n v="15160"/>
    <n v="15160"/>
    <n v="4370923"/>
    <n v="2778200721"/>
    <s v="CASA DEL DETERSIVO DI BIANCO MARIA &amp; C. S.A.S."/>
    <s v="492 - Quasi societa' non finanziarie altre - Unita' o societa' con meno di 20 addetti"/>
    <s v="477 - COMMERCIO AL DETTAGLIO DI ALTRI PRODOTTI IN ESERCIZI SPECIALIZZATI"/>
    <s v="086 - ITALIA"/>
    <n v="1355"/>
    <m/>
    <m/>
    <m/>
    <m/>
    <m/>
    <m/>
    <m/>
    <n v="0"/>
    <n v="202505"/>
    <x v="4"/>
    <x v="1"/>
    <x v="0"/>
    <n v="4370923"/>
    <x v="1"/>
    <x v="0"/>
    <s v="477"/>
    <s v="492"/>
    <s v="492477"/>
    <s v="Classe di rischio 5"/>
    <m/>
    <s v="Classe di rischio 5"/>
  </r>
  <r>
    <n v="338022"/>
    <x v="4"/>
    <x v="4"/>
    <x v="0"/>
    <n v="53850"/>
    <n v="169"/>
    <s v="053850_169"/>
    <s v="Discovery Day"/>
    <s v="Mai valutato"/>
    <m/>
    <n v="202505097964733"/>
    <n v="1693302224711"/>
    <n v="20250509"/>
    <s v="SPECIAL"/>
    <m/>
    <m/>
    <s v="D     - Dare"/>
    <n v="19862.79"/>
    <n v="0"/>
    <n v="553145"/>
    <s v="DLLNDR46L26A883Z"/>
    <s v="DELL'ORCO ANDREA"/>
    <s v="600 - Famiglie consumatrici"/>
    <m/>
    <s v="086 - ITALIA"/>
    <n v="1352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8021"/>
    <x v="4"/>
    <x v="4"/>
    <x v="0"/>
    <n v="53850"/>
    <n v="103"/>
    <s v="053850_103"/>
    <s v="Discovery Day"/>
    <s v="Mai valutato"/>
    <m/>
    <n v="202505097962977"/>
    <n v="1033306976380"/>
    <n v="20250509"/>
    <s v="48 - Bonifico in arrivo "/>
    <m/>
    <s v="086 - ITALIA"/>
    <s v="A     - Avere"/>
    <n v="255000"/>
    <n v="0"/>
    <n v="471168"/>
    <s v="PDLBDT62C09Z112H"/>
    <s v="PADULA BENEDETTO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8020"/>
    <x v="4"/>
    <x v="4"/>
    <x v="0"/>
    <n v="53850"/>
    <n v="118"/>
    <s v="053850_118"/>
    <s v="Discovery Day"/>
    <s v="Mai valutato"/>
    <m/>
    <n v="202505097963445"/>
    <n v="1183306279348"/>
    <n v="20250509"/>
    <s v="AF - Disp.giro conti diversi intestati ordinante(stesso intermed.)"/>
    <m/>
    <s v="086 - ITALIA"/>
    <s v="A     - Avere"/>
    <n v="2290722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38019"/>
    <x v="3"/>
    <x v="3"/>
    <x v="0"/>
    <n v="53850"/>
    <n v="114"/>
    <s v="053850_114"/>
    <s v="Discovery Day"/>
    <s v="Mai valutato"/>
    <m/>
    <n v="202505097964557"/>
    <n v="1143306281584"/>
    <n v="20250509"/>
    <s v="G1 - Versamento assegni tratti su altro intermediario "/>
    <m/>
    <m/>
    <s v="A     - Avere"/>
    <n v="93962.4"/>
    <n v="0"/>
    <n v="4827112"/>
    <n v="3318280710"/>
    <s v="SANTACROCE GIOVANNI S.P.A."/>
    <s v="430 - Imprese produttive"/>
    <s v="462 - COMMERCIO ALL'INGROSSO DI MATERIE PRIME AGRICOLE E DI ANIMALI VIVI"/>
    <s v="086 - ITALIA"/>
    <n v="870"/>
    <m/>
    <m/>
    <m/>
    <m/>
    <m/>
    <m/>
    <m/>
    <n v="0"/>
    <n v="202505"/>
    <x v="0"/>
    <x v="0"/>
    <x v="0"/>
    <m/>
    <x v="0"/>
    <x v="0"/>
    <s v="462"/>
    <s v="430"/>
    <s v="430462"/>
    <s v="Classe di rischio 3"/>
    <m/>
    <s v="Classe di rischio 3"/>
  </r>
  <r>
    <n v="338018"/>
    <x v="4"/>
    <x v="4"/>
    <x v="0"/>
    <n v="53850"/>
    <n v="102"/>
    <s v="053850_102"/>
    <s v="Discovery Day"/>
    <s v="Mai valutato"/>
    <m/>
    <n v="202505097964458"/>
    <n v="1025507000167"/>
    <n v="20250509"/>
    <s v="BT - Rimborso su libretti a risparmio "/>
    <m/>
    <m/>
    <s v="D     - Dare"/>
    <n v="245000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38017"/>
    <x v="2"/>
    <x v="2"/>
    <x v="0"/>
    <n v="53850"/>
    <n v="271"/>
    <s v="053850_271"/>
    <s v="Discovery Day"/>
    <s v="Mai valutato"/>
    <m/>
    <n v="202505097963731"/>
    <n v="2713300010112"/>
    <n v="20250509"/>
    <s v="AA - Bonifico da e per estero "/>
    <m/>
    <s v="238 - ABU DHABI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5"/>
    <x v="0"/>
    <x v="0"/>
    <x v="0"/>
    <m/>
    <x v="0"/>
    <x v="0"/>
    <s v="999"/>
    <s v="615"/>
    <s v="615999"/>
    <m/>
    <s v="1"/>
    <s v="Classe di rischio 3"/>
  </r>
  <r>
    <n v="338016"/>
    <x v="3"/>
    <x v="3"/>
    <x v="0"/>
    <n v="53850"/>
    <n v="118"/>
    <s v="053850_118"/>
    <s v="Discovery Day"/>
    <s v="Mai valutato"/>
    <m/>
    <n v="202505097964568"/>
    <n v="1183306275813"/>
    <n v="20250509"/>
    <s v="G7 - Versamento assegno circolare altro intermediario "/>
    <m/>
    <m/>
    <s v="A     - Avere"/>
    <n v="149000"/>
    <n v="0"/>
    <n v="423437"/>
    <s v="CPRGPP57P26A225I"/>
    <s v="CAPURSO GIUSEPPE"/>
    <s v="600 - Famiglie consumatrici"/>
    <m/>
    <s v="086 - ITALIA"/>
    <n v="72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8015"/>
    <x v="3"/>
    <x v="3"/>
    <x v="0"/>
    <n v="53850"/>
    <n v="161"/>
    <s v="053850_161"/>
    <s v="Discovery Day"/>
    <s v="Mai valutato"/>
    <m/>
    <s v="Vari (09/05/2025)"/>
    <n v="1613300029653"/>
    <n v="20250509"/>
    <s v="VV"/>
    <m/>
    <m/>
    <s v="A     - Avere"/>
    <n v="76382.789999999994"/>
    <n v="84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x v="1"/>
    <x v="0"/>
    <x v="0"/>
    <n v="4088769"/>
    <x v="1"/>
    <x v="1"/>
    <s v="464"/>
    <s v="430"/>
    <s v="430464"/>
    <s v="Classe di rischio 4"/>
    <m/>
    <s v="Classe di rischio 4"/>
  </r>
  <r>
    <n v="338014"/>
    <x v="4"/>
    <x v="4"/>
    <x v="0"/>
    <n v="53850"/>
    <n v="261"/>
    <s v="053850_261"/>
    <s v="Discovery Day"/>
    <s v="Mai valutato"/>
    <m/>
    <s v="202505096850913L"/>
    <n v="2613300003184"/>
    <n v="20250509"/>
    <s v="SPECIAL"/>
    <m/>
    <m/>
    <s v="D     - Dare"/>
    <n v="3926.03"/>
    <n v="0"/>
    <n v="1653380"/>
    <s v="VRDNGL33T11B830S"/>
    <s v="VERDILE ANGELO"/>
    <s v="600 - Famiglie consumatrici"/>
    <m/>
    <s v="086 - ITALIA"/>
    <n v="1755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8013"/>
    <x v="2"/>
    <x v="2"/>
    <x v="0"/>
    <n v="53850"/>
    <n v="116"/>
    <s v="053850_116"/>
    <s v="Discovery Day"/>
    <s v="Mai valutato"/>
    <m/>
    <n v="202505097963718"/>
    <n v="1163307620851"/>
    <n v="20250509"/>
    <s v="AA - Bonifico da e per estero "/>
    <m/>
    <s v="238 - ABU DHABI"/>
    <s v="A     - Avere"/>
    <n v="13169"/>
    <n v="0"/>
    <n v="4984414"/>
    <s v="MSCNCL60D17A662G"/>
    <s v="MISCEO NICOLA"/>
    <s v="600 - Famiglie consumatrici"/>
    <m/>
    <s v="086 - ITALIA"/>
    <n v="535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8012"/>
    <x v="3"/>
    <x v="3"/>
    <x v="0"/>
    <n v="53850"/>
    <n v="110"/>
    <s v="053850_110"/>
    <s v="Discovery Day"/>
    <s v="Mai valutato"/>
    <m/>
    <n v="202505097964540"/>
    <n v="1103306287662"/>
    <n v="20250509"/>
    <s v="G1 - Versamento assegni tratti su altro intermediario "/>
    <m/>
    <m/>
    <s v="A     - Avere"/>
    <n v="400000"/>
    <n v="0"/>
    <n v="4014921"/>
    <s v="FRLGCH36S08A669I"/>
    <s v="FIORELLA GIOACCHINO"/>
    <s v="600 - Famiglie consumatrici"/>
    <m/>
    <s v="086 - ITALIA"/>
    <n v="1072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38011"/>
    <x v="4"/>
    <x v="4"/>
    <x v="0"/>
    <n v="53850"/>
    <n v="102"/>
    <s v="053850_102"/>
    <s v="Discovery Day"/>
    <s v="Mai valutato"/>
    <m/>
    <n v="202505097962025"/>
    <n v="1503300003188"/>
    <n v="20250509"/>
    <s v="26 - Bonifico in partenza "/>
    <m/>
    <s v="086 - ITALIA"/>
    <s v="D     - Dare"/>
    <n v="13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x v="0"/>
    <x v="0"/>
    <x v="0"/>
    <m/>
    <x v="0"/>
    <x v="0"/>
    <s v="999"/>
    <s v="259"/>
    <s v="259999"/>
    <m/>
    <s v="1"/>
    <s v="Classe di rischio 0"/>
  </r>
  <r>
    <n v="338010"/>
    <x v="4"/>
    <x v="4"/>
    <x v="0"/>
    <n v="53850"/>
    <n v="264"/>
    <s v="053850_264"/>
    <s v="Discovery Day"/>
    <s v="Mai valutato"/>
    <m/>
    <n v="202505097964868"/>
    <n v="2643300001636"/>
    <n v="20250509"/>
    <s v="SPECIAL"/>
    <m/>
    <m/>
    <s v="D     - Dare"/>
    <n v="28420.45"/>
    <n v="0"/>
    <n v="1695450"/>
    <s v="LTRDNC71M56A225C"/>
    <s v="LATERZA DOMENICA"/>
    <s v="600 - Famiglie consumatrici"/>
    <m/>
    <s v="086 - ITALIA"/>
    <n v="1851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8009"/>
    <x v="6"/>
    <x v="6"/>
    <x v="0"/>
    <n v="53850"/>
    <n v="148"/>
    <s v="053850_148"/>
    <s v="Discovery Day"/>
    <s v="Mai valutato"/>
    <m/>
    <n v="202505097962295"/>
    <n v="1483303001176"/>
    <n v="20250509"/>
    <s v="AA - Bonifico da e per estero "/>
    <m/>
    <s v="071 - SVIZZERA"/>
    <s v="D     - Dare"/>
    <n v="25000"/>
    <n v="0"/>
    <n v="2012964"/>
    <s v="LGRMSM55B16A783Q"/>
    <s v="LIGUORI MASSIMINO"/>
    <s v="600 - Famiglie consumatrici"/>
    <m/>
    <s v="086 - ITALIA"/>
    <n v="1636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8008"/>
    <x v="4"/>
    <x v="4"/>
    <x v="0"/>
    <n v="53850"/>
    <n v="118"/>
    <s v="053850_118"/>
    <s v="Discovery Day"/>
    <s v="Mai valutato"/>
    <m/>
    <n v="202505097964586"/>
    <n v="1183306278672"/>
    <n v="20250509"/>
    <s v="AF - Disp.giro conti diversi intestati ordinante(stesso intermed.)"/>
    <m/>
    <s v="086 - ITALIA"/>
    <s v="D     - Dare"/>
    <n v="2290722"/>
    <n v="0"/>
    <n v="422471"/>
    <s v="CNTTRS60S62A225F"/>
    <s v="CONTE TERESA"/>
    <s v="600 - Famiglie consumatrici"/>
    <m/>
    <s v="086 - ITALIA"/>
    <n v="72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8007"/>
    <x v="4"/>
    <x v="4"/>
    <x v="0"/>
    <n v="53850"/>
    <n v="118"/>
    <s v="053850_118"/>
    <s v="Discovery Day"/>
    <s v="Mai valutato"/>
    <m/>
    <n v="202505097964573"/>
    <n v="1183306280513"/>
    <n v="20250509"/>
    <s v="AF - Disp.giro conti diversi intestati ordinante(stesso intermed.)"/>
    <m/>
    <s v="086 - ITALIA"/>
    <s v="D     - Dare"/>
    <n v="1500000"/>
    <n v="0"/>
    <n v="516605"/>
    <s v="FRRRCC79B23A662T"/>
    <s v="FERRI ROCCO"/>
    <s v="600 - Famiglie consumatrici"/>
    <m/>
    <s v="086 - ITALIA"/>
    <n v="724"/>
    <m/>
    <m/>
    <m/>
    <m/>
    <m/>
    <m/>
    <m/>
    <n v="0"/>
    <n v="202505"/>
    <x v="1"/>
    <x v="0"/>
    <x v="0"/>
    <n v="516605"/>
    <x v="1"/>
    <x v="0"/>
    <s v="999"/>
    <s v="600"/>
    <s v="600999"/>
    <s v="Classe di rischio 7"/>
    <m/>
    <s v="Classe di rischio 7"/>
  </r>
  <r>
    <n v="338006"/>
    <x v="5"/>
    <x v="5"/>
    <x v="0"/>
    <n v="53850"/>
    <n v="171"/>
    <s v="053850_171"/>
    <s v="Discovery Day"/>
    <s v="Mai valutato"/>
    <m/>
    <s v="Vari (09/05/2025)"/>
    <n v="1713305728950"/>
    <n v="20250509"/>
    <s v="03 - Versamento contante cassa continua "/>
    <m/>
    <m/>
    <s v="A     - Avere"/>
    <n v="400964.69"/>
    <n v="400964.6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38005"/>
    <x v="3"/>
    <x v="3"/>
    <x v="0"/>
    <n v="53850"/>
    <n v="273"/>
    <s v="053850_273"/>
    <s v="Discovery Day"/>
    <s v="Mai valutato"/>
    <m/>
    <n v="202505097964928"/>
    <n v="1983300001006"/>
    <n v="20250509"/>
    <s v="G7 - Versamento assegno circolare altro intermediario "/>
    <m/>
    <m/>
    <s v="A     - Avere"/>
    <n v="160000"/>
    <n v="0"/>
    <n v="4006820"/>
    <s v="CVRNMF40P46I158D"/>
    <s v="CIAVARELLA ANNA MAFALDA"/>
    <s v="600 - Famiglie consumatrici"/>
    <m/>
    <s v="086 - ITALIA"/>
    <n v="1718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38004"/>
    <x v="5"/>
    <x v="5"/>
    <x v="0"/>
    <n v="53850"/>
    <n v="190"/>
    <s v="053850_190"/>
    <s v="Discovery Day"/>
    <s v="Mai valutato"/>
    <m/>
    <n v="202505097964807"/>
    <n v="1903300007929"/>
    <n v="20250509"/>
    <s v="D1 - Versamento di contante "/>
    <m/>
    <m/>
    <s v="A     - Avere"/>
    <n v="15500"/>
    <n v="15500"/>
    <n v="3034190"/>
    <s v="QRULBT64S59L049H"/>
    <s v="QUERO ELISABETTA"/>
    <s v="615 - Altre famiglie produttrici"/>
    <s v="477 - COMMERCIO AL DETTAGLIO DI ALTRI PRODOTTI IN ESERCIZI SPECIALIZZATI"/>
    <s v="086 - ITALIA"/>
    <n v="1361"/>
    <m/>
    <m/>
    <m/>
    <m/>
    <m/>
    <m/>
    <m/>
    <n v="0"/>
    <n v="202505"/>
    <x v="3"/>
    <x v="1"/>
    <x v="0"/>
    <n v="3034190"/>
    <x v="1"/>
    <x v="0"/>
    <s v="477"/>
    <s v="615"/>
    <s v="615477"/>
    <s v="Classe di rischio 6"/>
    <m/>
    <s v="Classe di rischio 6"/>
  </r>
  <r>
    <n v="338003"/>
    <x v="4"/>
    <x v="4"/>
    <x v="0"/>
    <n v="53850"/>
    <n v="118"/>
    <s v="053850_118"/>
    <s v="Discovery Day"/>
    <s v="Mai valutato"/>
    <m/>
    <n v="202505097964575"/>
    <n v="1183306280513"/>
    <n v="20250509"/>
    <s v="AF - Disp.giro conti diversi intestati ordinante(stesso intermed.)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8002"/>
    <x v="4"/>
    <x v="4"/>
    <x v="0"/>
    <n v="53850"/>
    <n v="102"/>
    <s v="053850_102"/>
    <s v="Discovery Day"/>
    <s v="Mai valutato"/>
    <m/>
    <n v="202505097964465"/>
    <n v="1023306272415"/>
    <n v="20250509"/>
    <s v="SPECIAL"/>
    <m/>
    <m/>
    <s v="D     - Dare"/>
    <n v="34043.42"/>
    <n v="0"/>
    <n v="45192"/>
    <s v="PRZLNS44D29A225Z"/>
    <s v="PARZIALE ALFONSO"/>
    <s v="600 - Famiglie consumatrici"/>
    <m/>
    <s v="086 - ITALIA"/>
    <n v="1606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8001"/>
    <x v="4"/>
    <x v="4"/>
    <x v="0"/>
    <n v="53850"/>
    <n v="118"/>
    <s v="053850_118"/>
    <s v="Discovery Day"/>
    <s v="Mai valutato"/>
    <m/>
    <n v="202505097964586"/>
    <n v="1183306278672"/>
    <n v="20250509"/>
    <s v="AF - Disp.giro conti diversi intestati ordinante(stesso intermed.)"/>
    <m/>
    <s v="086 - ITALIA"/>
    <s v="D     - Dare"/>
    <n v="2290722"/>
    <n v="0"/>
    <n v="496233"/>
    <s v="FRRFNC58D08A225C"/>
    <s v="FERRI FRANCESCO"/>
    <s v="600 - Famiglie consumatrici"/>
    <m/>
    <s v="086 - ITALIA"/>
    <n v="72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8000"/>
    <x v="3"/>
    <x v="3"/>
    <x v="0"/>
    <n v="53850"/>
    <n v="121"/>
    <s v="053850_121"/>
    <s v="Discovery Day"/>
    <s v="Mai valutato"/>
    <m/>
    <s v="Vari (09/05/2025)"/>
    <n v="1213300002600"/>
    <n v="20250509"/>
    <s v="VV"/>
    <m/>
    <m/>
    <s v="A     - Avere"/>
    <n v="841641.07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x v="3"/>
    <x v="1"/>
    <x v="0"/>
    <m/>
    <x v="0"/>
    <x v="1"/>
    <s v="463"/>
    <s v="430"/>
    <s v="430463"/>
    <s v="Classe di rischio 3"/>
    <m/>
    <s v="Classe di rischio 3"/>
  </r>
  <r>
    <n v="337999"/>
    <x v="2"/>
    <x v="2"/>
    <x v="0"/>
    <n v="53850"/>
    <n v="226"/>
    <s v="053850_226"/>
    <s v="Discovery Day"/>
    <s v="Mai valutato"/>
    <m/>
    <n v="202505097963676"/>
    <n v="1163307619285"/>
    <n v="20250509"/>
    <s v="AA - Bonifico da e per estero "/>
    <m/>
    <s v="012 - BULGARIA"/>
    <s v="A     - Avere"/>
    <n v="6500"/>
    <n v="0"/>
    <n v="4709685"/>
    <n v="6911480728"/>
    <s v="BELLUCCI S.A.S DI TUFARELLI MARIA PATRIZIA &amp;"/>
    <s v="482 - Quasi societa' non finanziarie artigiane - Unita' o societa' con meno di 20 addetti"/>
    <s v="292 - FABBRICAZIONE DI CARROZZERIE PER AUTOVEICOLI, RIMORCHI E SEMIRIMORCHI"/>
    <s v="086 - ITALIA"/>
    <n v="1932"/>
    <m/>
    <m/>
    <m/>
    <m/>
    <m/>
    <m/>
    <m/>
    <n v="0"/>
    <n v="202505"/>
    <x v="3"/>
    <x v="1"/>
    <x v="0"/>
    <m/>
    <x v="0"/>
    <x v="0"/>
    <s v="999"/>
    <s v="482"/>
    <s v="482999"/>
    <m/>
    <s v="1"/>
    <s v="Classe di rischio 2"/>
  </r>
  <r>
    <n v="337998"/>
    <x v="5"/>
    <x v="5"/>
    <x v="0"/>
    <n v="53850"/>
    <n v="114"/>
    <s v="053850_114"/>
    <s v="Discovery Day"/>
    <s v="Mai valutato"/>
    <m/>
    <n v="202505097964558"/>
    <n v="1143306280621"/>
    <n v="20250509"/>
    <s v="D1 - Versamento di contante "/>
    <m/>
    <m/>
    <s v="A     - Avere"/>
    <n v="32000"/>
    <n v="32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30"/>
    <s v="430477"/>
    <s v="Classe di rischio 3"/>
    <m/>
    <s v="Classe di rischio 3"/>
  </r>
  <r>
    <n v="337997"/>
    <x v="5"/>
    <x v="5"/>
    <x v="0"/>
    <n v="53850"/>
    <n v="171"/>
    <s v="053850_171"/>
    <s v="Discovery Day"/>
    <s v="Mai valutato"/>
    <m/>
    <s v="Vari (09/05/2025)"/>
    <n v="1713302214147"/>
    <n v="20250509"/>
    <s v="03 - Versamento contante cassa continua "/>
    <m/>
    <m/>
    <s v="A     - Avere"/>
    <n v="166210.1"/>
    <n v="166210.1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37996"/>
    <x v="4"/>
    <x v="4"/>
    <x v="0"/>
    <n v="53850"/>
    <n v="118"/>
    <s v="053850_118"/>
    <s v="Discovery Day"/>
    <s v="Mai valutato"/>
    <m/>
    <n v="202505097962566"/>
    <n v="1183306279348"/>
    <n v="20250509"/>
    <s v="26 - Bonifico in partenza "/>
    <m/>
    <s v="086 - ITALIA"/>
    <s v="D     - Dare"/>
    <n v="3436083"/>
    <n v="0"/>
    <n v="4890853"/>
    <n v="8059850720"/>
    <s v="FRANCO FERRI SOCIETA' A RESPONSABILITA' LIMI"/>
    <s v="430 - Imprese produttive"/>
    <s v="310 - FABBRICAZIONE DI MOBILI"/>
    <s v="086 - ITALIA"/>
    <n v="12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37995"/>
    <x v="4"/>
    <x v="4"/>
    <x v="0"/>
    <n v="53850"/>
    <n v="153"/>
    <s v="053850_153"/>
    <s v="Discovery Day"/>
    <s v="Mai valutato"/>
    <m/>
    <n v="202505097962361"/>
    <n v="1533300662905"/>
    <n v="20250509"/>
    <s v="26 - Bonifico in partenza "/>
    <m/>
    <s v="086 - ITALIA"/>
    <s v="D     - Dare"/>
    <n v="952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5"/>
    <x v="1"/>
    <x v="0"/>
    <x v="0"/>
    <m/>
    <x v="0"/>
    <x v="0"/>
    <s v="236"/>
    <s v="430"/>
    <s v="430236"/>
    <s v="Classe di rischio 3"/>
    <m/>
    <s v="Classe di rischio 3"/>
  </r>
  <r>
    <n v="337994"/>
    <x v="5"/>
    <x v="5"/>
    <x v="0"/>
    <n v="53850"/>
    <n v="174"/>
    <s v="053850_174"/>
    <s v="Discovery Day"/>
    <s v="Mai valutato"/>
    <m/>
    <s v="Vari (09/05/2025)"/>
    <n v="1743302879903"/>
    <n v="20250509"/>
    <s v="VV"/>
    <m/>
    <m/>
    <s v="A     - Avere"/>
    <n v="41737.94"/>
    <n v="3969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5"/>
    <x v="0"/>
    <x v="0"/>
    <x v="0"/>
    <n v="4928259"/>
    <x v="1"/>
    <x v="1"/>
    <s v="463"/>
    <s v="430"/>
    <s v="430463"/>
    <s v="Classe di rischio 3"/>
    <m/>
    <s v="Classe di rischio 3"/>
  </r>
  <r>
    <n v="337993"/>
    <x v="4"/>
    <x v="4"/>
    <x v="0"/>
    <n v="53850"/>
    <n v="118"/>
    <s v="053850_118"/>
    <s v="Discovery Day"/>
    <s v="Mai valutato"/>
    <m/>
    <n v="202505097964583"/>
    <n v="1183306278672"/>
    <n v="20250509"/>
    <s v="AF - Disp.giro conti diversi intestati ordinante(stesso intermed.)"/>
    <m/>
    <s v="086 - ITALIA"/>
    <s v="A     - Avere"/>
    <n v="1500000"/>
    <n v="0"/>
    <n v="516605"/>
    <s v="FRRRCC79B23A662T"/>
    <s v="FERRI ROCCO"/>
    <s v="600 - Famiglie consumatrici"/>
    <m/>
    <s v="086 - ITALIA"/>
    <n v="724"/>
    <m/>
    <m/>
    <m/>
    <m/>
    <m/>
    <m/>
    <m/>
    <n v="0"/>
    <n v="202505"/>
    <x v="1"/>
    <x v="0"/>
    <x v="0"/>
    <n v="516605"/>
    <x v="1"/>
    <x v="0"/>
    <s v="999"/>
    <s v="600"/>
    <s v="600999"/>
    <s v="Classe di rischio 7"/>
    <m/>
    <s v="Classe di rischio 7"/>
  </r>
  <r>
    <n v="337992"/>
    <x v="4"/>
    <x v="4"/>
    <x v="0"/>
    <n v="53850"/>
    <n v="118"/>
    <s v="053850_118"/>
    <s v="Discovery Day"/>
    <s v="Mai valutato"/>
    <m/>
    <n v="202505097964574"/>
    <n v="1183306280513"/>
    <n v="20250509"/>
    <s v="AF - Disp.giro conti diversi intestati ordinante(stesso intermed.)"/>
    <m/>
    <s v="086 - ITALIA"/>
    <s v="D     - Dare"/>
    <n v="763574"/>
    <n v="0"/>
    <n v="516581"/>
    <s v="FRRPLA83A51A662H"/>
    <s v="FERRI PAOLA"/>
    <s v="600 - Famiglie consumatrici"/>
    <m/>
    <s v="086 - ITALIA"/>
    <n v="724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7991"/>
    <x v="6"/>
    <x v="6"/>
    <x v="0"/>
    <n v="53850"/>
    <n v="110"/>
    <s v="053850_110"/>
    <s v="Discovery Day"/>
    <s v="Mai valutato"/>
    <m/>
    <n v="202505097963716"/>
    <n v="1103306288240"/>
    <n v="20250509"/>
    <s v="AA - Bonifico da e per estero "/>
    <m/>
    <s v="129 - INDONESIA"/>
    <s v="A     - Avere"/>
    <n v="242925.7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5"/>
    <x v="0"/>
    <x v="0"/>
    <x v="0"/>
    <m/>
    <x v="0"/>
    <x v="0"/>
    <s v="464"/>
    <s v="430"/>
    <s v="430464"/>
    <s v="Classe di rischio 4"/>
    <m/>
    <s v="Classe di rischio 4"/>
  </r>
  <r>
    <n v="337990"/>
    <x v="4"/>
    <x v="4"/>
    <x v="0"/>
    <n v="53850"/>
    <n v="164"/>
    <s v="053850_164"/>
    <s v="Discovery Day"/>
    <s v="Mai valutato"/>
    <m/>
    <n v="202505097962765"/>
    <n v="1643300370785"/>
    <n v="20250509"/>
    <s v="48 - Bonifico in arrivo "/>
    <m/>
    <s v="086 - ITALIA"/>
    <s v="A     - Avere"/>
    <n v="1138425.55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37989"/>
    <x v="4"/>
    <x v="4"/>
    <x v="0"/>
    <n v="53850"/>
    <n v="264"/>
    <s v="053850_264"/>
    <s v="Discovery Day"/>
    <s v="Mai valutato"/>
    <m/>
    <s v="202505096850922L"/>
    <n v="2643300001096"/>
    <n v="20250509"/>
    <s v="SPECIAL"/>
    <m/>
    <m/>
    <s v="D     - Dare"/>
    <n v="1187.05"/>
    <n v="0"/>
    <n v="1647267"/>
    <s v="CLCFNC29L48A017E"/>
    <s v="COLUCCI FRANCESCA"/>
    <s v="600 - Famiglie consumatrici"/>
    <m/>
    <s v="086 - ITALIA"/>
    <n v="1824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988"/>
    <x v="3"/>
    <x v="3"/>
    <x v="0"/>
    <n v="53850"/>
    <n v="273"/>
    <s v="053850_273"/>
    <s v="Discovery Day"/>
    <s v="Mai valutato"/>
    <m/>
    <n v="202505097964928"/>
    <n v="1983300001006"/>
    <n v="20250509"/>
    <s v="G7 - Versamento assegno circolare altro intermediario "/>
    <m/>
    <m/>
    <s v="A     - Avere"/>
    <n v="160000"/>
    <n v="0"/>
    <n v="4006823"/>
    <s v="SCRNNF41D30I158J"/>
    <s v="SCIARAFFA ANTONIO FRANCESCO"/>
    <s v="600 - Famiglie consumatrici"/>
    <m/>
    <s v="086 - ITALIA"/>
    <n v="1718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37987"/>
    <x v="4"/>
    <x v="4"/>
    <x v="0"/>
    <n v="53850"/>
    <n v="261"/>
    <s v="053850_261"/>
    <s v="Discovery Day"/>
    <s v="Mai valutato"/>
    <m/>
    <s v="202505096850911L"/>
    <n v="2613300001928"/>
    <n v="20250509"/>
    <s v="SPECIAL"/>
    <m/>
    <m/>
    <s v="D     - Dare"/>
    <n v="1422.48"/>
    <n v="0"/>
    <n v="1626895"/>
    <s v="GNFSVT55B04C854U"/>
    <s v="GIANFAGNA SALVATORE"/>
    <s v="600 - Famiglie consumatrici"/>
    <m/>
    <s v="086 - ITALIA"/>
    <m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986"/>
    <x v="4"/>
    <x v="4"/>
    <x v="0"/>
    <n v="53850"/>
    <n v="118"/>
    <s v="053850_118"/>
    <s v="Discovery Day"/>
    <s v="Mai valutato"/>
    <m/>
    <n v="202505097964575"/>
    <n v="1183306280513"/>
    <n v="20250509"/>
    <s v="AF - Disp.giro conti diversi intestati ordinante(stesso intermed.)"/>
    <m/>
    <s v="086 - ITALIA"/>
    <s v="D     - Dare"/>
    <n v="763574"/>
    <n v="0"/>
    <n v="516605"/>
    <s v="FRRRCC79B23A662T"/>
    <s v="FERRI ROCCO"/>
    <s v="600 - Famiglie consumatrici"/>
    <m/>
    <s v="086 - ITALIA"/>
    <n v="724"/>
    <m/>
    <m/>
    <m/>
    <m/>
    <m/>
    <m/>
    <m/>
    <n v="0"/>
    <n v="202505"/>
    <x v="1"/>
    <x v="0"/>
    <x v="0"/>
    <n v="516605"/>
    <x v="1"/>
    <x v="0"/>
    <s v="999"/>
    <s v="600"/>
    <s v="600999"/>
    <s v="Classe di rischio 7"/>
    <m/>
    <s v="Classe di rischio 7"/>
  </r>
  <r>
    <n v="337985"/>
    <x v="4"/>
    <x v="4"/>
    <x v="0"/>
    <n v="53850"/>
    <n v="102"/>
    <s v="053850_102"/>
    <s v="Discovery Day"/>
    <s v="Mai valutato"/>
    <m/>
    <n v="202505097964465"/>
    <n v="1023306272415"/>
    <n v="20250509"/>
    <s v="SPECIAL"/>
    <m/>
    <m/>
    <s v="D     - Dare"/>
    <n v="34043.42"/>
    <n v="0"/>
    <n v="4038101"/>
    <s v="MNNNTN48A63D305P"/>
    <s v="MINONNE ANTONIA"/>
    <s v="600 - Famiglie consumatrici"/>
    <m/>
    <s v="086 - ITALIA"/>
    <n v="1576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984"/>
    <x v="4"/>
    <x v="4"/>
    <x v="0"/>
    <n v="53850"/>
    <n v="261"/>
    <s v="053850_261"/>
    <s v="Discovery Day"/>
    <s v="Mai valutato"/>
    <m/>
    <s v="202505096850912L"/>
    <n v="2613300002795"/>
    <n v="20250509"/>
    <s v="SPECIAL"/>
    <m/>
    <m/>
    <s v="D     - Dare"/>
    <n v="1127.58"/>
    <n v="0"/>
    <n v="1652597"/>
    <s v="RCRGPP40E70E779N"/>
    <s v="ARCARO GIUSEPPA"/>
    <s v="775 - Famiglie consumatrici di paesi non UE"/>
    <m/>
    <s v="011 - BRASILE"/>
    <m/>
    <m/>
    <m/>
    <m/>
    <m/>
    <m/>
    <m/>
    <m/>
    <n v="0"/>
    <n v="202505"/>
    <x v="0"/>
    <x v="0"/>
    <x v="0"/>
    <m/>
    <x v="0"/>
    <x v="1"/>
    <s v="999"/>
    <s v="775"/>
    <s v="775999"/>
    <s v="Classe di rischio 7"/>
    <m/>
    <s v="Classe di rischio 7"/>
  </r>
  <r>
    <n v="337983"/>
    <x v="3"/>
    <x v="3"/>
    <x v="0"/>
    <n v="53850"/>
    <n v="171"/>
    <s v="053850_171"/>
    <s v="Discovery Day"/>
    <s v="Mai valutato"/>
    <m/>
    <s v="Vari (09/05/2025)"/>
    <n v="1713302214147"/>
    <n v="20250509"/>
    <s v="03 - Versamento contante cassa continua "/>
    <m/>
    <m/>
    <s v="A     - Avere"/>
    <n v="166210.1"/>
    <n v="166210.1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37982"/>
    <x v="4"/>
    <x v="4"/>
    <x v="0"/>
    <n v="53850"/>
    <n v="118"/>
    <s v="053850_118"/>
    <s v="Discovery Day"/>
    <s v="Mai valutato"/>
    <m/>
    <n v="202505097964586"/>
    <n v="1183306278672"/>
    <n v="20250509"/>
    <s v="AF - Disp.giro conti diversi intestati ordinante(stesso intermed.)"/>
    <m/>
    <s v="086 - ITALIA"/>
    <s v="D     - Dare"/>
    <n v="2290722"/>
    <n v="0"/>
    <n v="516605"/>
    <s v="FRRRCC79B23A662T"/>
    <s v="FERRI ROCCO"/>
    <s v="600 - Famiglie consumatrici"/>
    <m/>
    <s v="086 - ITALIA"/>
    <n v="724"/>
    <m/>
    <m/>
    <m/>
    <m/>
    <m/>
    <m/>
    <m/>
    <n v="0"/>
    <n v="202505"/>
    <x v="1"/>
    <x v="0"/>
    <x v="0"/>
    <n v="516605"/>
    <x v="1"/>
    <x v="0"/>
    <s v="999"/>
    <s v="600"/>
    <s v="600999"/>
    <s v="Classe di rischio 7"/>
    <m/>
    <s v="Classe di rischio 7"/>
  </r>
  <r>
    <n v="337981"/>
    <x v="4"/>
    <x v="4"/>
    <x v="0"/>
    <n v="53850"/>
    <n v="264"/>
    <s v="053850_264"/>
    <s v="Discovery Day"/>
    <s v="Mai valutato"/>
    <m/>
    <n v="202505097964868"/>
    <n v="2643300001636"/>
    <n v="20250509"/>
    <s v="SPECIAL"/>
    <m/>
    <m/>
    <s v="D     - Dare"/>
    <n v="28420.45"/>
    <n v="0"/>
    <n v="1697151"/>
    <s v="CZZLCN59B24A801E"/>
    <s v="CAZZATO LUCIANO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980"/>
    <x v="2"/>
    <x v="2"/>
    <x v="0"/>
    <n v="53850"/>
    <n v="277"/>
    <s v="053850_277"/>
    <s v="Discovery Day"/>
    <s v="Mai valutato"/>
    <m/>
    <s v="202505086849794L"/>
    <n v="2773300001188"/>
    <n v="20250508"/>
    <s v="AA - Bonifico da e per estero "/>
    <m/>
    <s v="261 - CROAZIA"/>
    <s v="D     - Dare"/>
    <n v="3000"/>
    <n v="0"/>
    <n v="1679538"/>
    <s v="DCRGNN62B03D738S"/>
    <s v="DI CRISCI GIOVANNI BRUNO"/>
    <s v="600 - Famiglie consumatrici"/>
    <m/>
    <s v="086 - ITALIA"/>
    <n v="1791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37979"/>
    <x v="4"/>
    <x v="4"/>
    <x v="39"/>
    <n v="53850"/>
    <n v="103"/>
    <s v="053850_103"/>
    <s v="Discovery Day"/>
    <s v="Mai valutato"/>
    <m/>
    <n v="202505097960978"/>
    <n v="1033306970929"/>
    <n v="20250509"/>
    <s v="BA - Vendita a prodotti titoli e diritti d'opzione"/>
    <m/>
    <m/>
    <s v="A     - Avere"/>
    <n v="378453.25"/>
    <n v="0"/>
    <n v="507387"/>
    <s v="LGLMHL80H12A662S"/>
    <s v="LOGLISCI MICHELE"/>
    <s v="600 - Famiglie consumatrici"/>
    <m/>
    <s v="086 - ITALIA"/>
    <n v="1316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978"/>
    <x v="4"/>
    <x v="4"/>
    <x v="39"/>
    <n v="53850"/>
    <n v="103"/>
    <s v="053850_103"/>
    <s v="Discovery Day"/>
    <s v="Mai valutato"/>
    <m/>
    <n v="202505097960978"/>
    <n v="1033306970929"/>
    <n v="20250509"/>
    <s v="BA - Vendita a prodotti titoli e diritti d'opzione"/>
    <m/>
    <m/>
    <s v="A     - Avere"/>
    <n v="378453.25"/>
    <n v="0"/>
    <n v="44313"/>
    <s v="LGLGPP48S28E155G"/>
    <s v="LOGLISCI GIUSEPPE DOMENICO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977"/>
    <x v="4"/>
    <x v="4"/>
    <x v="39"/>
    <n v="53850"/>
    <n v="103"/>
    <s v="053850_103"/>
    <s v="Discovery Day"/>
    <s v="Mai valutato"/>
    <m/>
    <n v="202505097960978"/>
    <n v="1033306970929"/>
    <n v="20250509"/>
    <s v="BA - Vendita a prodotti titoli e diritti d'opzione"/>
    <m/>
    <m/>
    <s v="A     - Avere"/>
    <n v="378453.25"/>
    <n v="0"/>
    <n v="8893"/>
    <s v="DSNMRC46S64E155B"/>
    <s v="DESIANTE MARIA ARCANGEL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976"/>
    <x v="4"/>
    <x v="4"/>
    <x v="39"/>
    <n v="53850"/>
    <n v="287"/>
    <s v="053850_287"/>
    <s v="Discovery Day"/>
    <s v="Mai valutato"/>
    <m/>
    <s v="202505086816685L"/>
    <n v="2873300000387"/>
    <n v="20250508"/>
    <s v="SPECIAL"/>
    <m/>
    <m/>
    <s v="D     - Dare"/>
    <n v="2569.71"/>
    <n v="0"/>
    <n v="1659547"/>
    <s v="SPDMRA45R59E594H"/>
    <s v="SPADARO MARIA"/>
    <s v="600 - Famiglie consumatrici"/>
    <m/>
    <s v="086 - ITALIA"/>
    <m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975"/>
    <x v="4"/>
    <x v="4"/>
    <x v="39"/>
    <n v="53850"/>
    <n v="284"/>
    <s v="053850_284"/>
    <s v="Discovery Day"/>
    <s v="Mai valutato"/>
    <m/>
    <s v="202505086817598L"/>
    <n v="2843300001336"/>
    <n v="20250508"/>
    <s v="SPECIAL"/>
    <m/>
    <m/>
    <s v="D     - Dare"/>
    <n v="2000.85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5"/>
    <x v="0"/>
    <x v="0"/>
    <x v="0"/>
    <m/>
    <x v="0"/>
    <x v="1"/>
    <s v="999"/>
    <s v="430"/>
    <s v="430999"/>
    <m/>
    <s v="1"/>
    <s v="Classe di rischio 1"/>
  </r>
  <r>
    <n v="337974"/>
    <x v="4"/>
    <x v="4"/>
    <x v="39"/>
    <n v="53850"/>
    <n v="287"/>
    <s v="053850_287"/>
    <s v="Discovery Day"/>
    <s v="Mai valutato"/>
    <m/>
    <s v="202505086816686L"/>
    <n v="2873300000860"/>
    <n v="20250508"/>
    <s v="SPECIAL"/>
    <m/>
    <m/>
    <s v="D     - Dare"/>
    <n v="3797.51"/>
    <n v="0"/>
    <n v="1678949"/>
    <s v="LCNNTN43M29Z326M"/>
    <s v="LUCIANI ANTONIO"/>
    <s v="600 - Famiglie consumatrici"/>
    <m/>
    <s v="086 - ITALIA"/>
    <n v="1804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973"/>
    <x v="5"/>
    <x v="5"/>
    <x v="39"/>
    <n v="53850"/>
    <n v="267"/>
    <s v="053850_267"/>
    <s v="Discovery Day"/>
    <s v="Mai valutato"/>
    <m/>
    <n v="202505087961830"/>
    <n v="2673300002283"/>
    <n v="20250508"/>
    <s v="D1 - Versamento di contante "/>
    <m/>
    <m/>
    <s v="A     - Avere"/>
    <n v="42330"/>
    <n v="42330"/>
    <n v="1653892"/>
    <n v="3605780794"/>
    <s v="PHARMA CORE S.R.L."/>
    <s v="430 - Imprese produttive"/>
    <s v="477 - COMMERCIO AL DETTAGLIO DI ALTRI PRODOTTI IN ESERCIZI SPECIALIZZATI"/>
    <s v="086 - ITALIA"/>
    <n v="1891"/>
    <m/>
    <m/>
    <m/>
    <m/>
    <m/>
    <m/>
    <m/>
    <n v="0"/>
    <n v="202505"/>
    <x v="1"/>
    <x v="0"/>
    <x v="0"/>
    <m/>
    <x v="0"/>
    <x v="0"/>
    <s v="477"/>
    <s v="430"/>
    <s v="430477"/>
    <s v="Classe di rischio 3"/>
    <m/>
    <s v="Classe di rischio 3"/>
  </r>
  <r>
    <n v="337972"/>
    <x v="6"/>
    <x v="6"/>
    <x v="39"/>
    <n v="53850"/>
    <n v="171"/>
    <s v="053850_171"/>
    <s v="Discovery Day"/>
    <s v="Mai valutato"/>
    <m/>
    <n v="202505087960869"/>
    <n v="1713302217244"/>
    <n v="20250508"/>
    <s v="AA - Bonifico da e per estero "/>
    <m/>
    <s v="289 - SERBIA"/>
    <s v="D     - Dare"/>
    <n v="19880"/>
    <n v="0"/>
    <n v="4075827"/>
    <s v="STLBRC67L64A893S"/>
    <s v="STELLACCI BEATRICE"/>
    <s v="600 - Famiglie consumatrici"/>
    <m/>
    <s v="086 - ITALIA"/>
    <n v="815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971"/>
    <x v="4"/>
    <x v="4"/>
    <x v="39"/>
    <n v="53850"/>
    <n v="282"/>
    <s v="053850_282"/>
    <s v="Discovery Day"/>
    <s v="Mai valutato"/>
    <m/>
    <n v="202505087961431"/>
    <n v="2823300000688"/>
    <n v="20250508"/>
    <s v="13 - Addebito per estinzione assegno"/>
    <m/>
    <m/>
    <s v="D     - Dare"/>
    <n v="100000"/>
    <n v="0"/>
    <n v="1624874"/>
    <s v="PRRCLL53A11B985C"/>
    <s v="PORRECA CAMILLO"/>
    <s v="615 - Altre famiglie produttrici"/>
    <s v="477 - COMMERCIO AL DETTAGLIO DI ALTRI PRODOTTI IN ESERCIZI SPECIALIZZATI"/>
    <s v="086 - ITALIA"/>
    <n v="1829"/>
    <m/>
    <m/>
    <m/>
    <m/>
    <m/>
    <m/>
    <m/>
    <n v="0"/>
    <n v="202505"/>
    <x v="0"/>
    <x v="0"/>
    <x v="0"/>
    <m/>
    <x v="0"/>
    <x v="0"/>
    <s v="477"/>
    <s v="615"/>
    <s v="615477"/>
    <s v="Classe di rischio 6"/>
    <m/>
    <s v="Classe di rischio 6"/>
  </r>
  <r>
    <n v="337970"/>
    <x v="4"/>
    <x v="4"/>
    <x v="39"/>
    <n v="53850"/>
    <n v="181"/>
    <s v="053850_181"/>
    <s v="Discovery Day"/>
    <s v="Mai valutato"/>
    <m/>
    <s v="202505086818645L"/>
    <n v="1813301028722"/>
    <n v="20250508"/>
    <s v="SPECIAL"/>
    <m/>
    <m/>
    <s v="D     - Dare"/>
    <n v="3844.78"/>
    <n v="0"/>
    <n v="4542975"/>
    <s v="NGRSRG52L31A893T"/>
    <s v="UNGARO SERGIO"/>
    <s v="600 - Famiglie consumatrici"/>
    <m/>
    <s v="086 - ITALIA"/>
    <n v="859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969"/>
    <x v="4"/>
    <x v="4"/>
    <x v="39"/>
    <n v="53850"/>
    <n v="268"/>
    <s v="053850_268"/>
    <s v="Discovery Day"/>
    <s v="Mai valutato"/>
    <m/>
    <s v="202505086817006L"/>
    <n v="2683300005043"/>
    <n v="20250508"/>
    <s v="SPECIAL"/>
    <m/>
    <m/>
    <s v="D     - Dare"/>
    <n v="2115.94"/>
    <n v="0"/>
    <n v="1687990"/>
    <n v="3703970792"/>
    <s v="IPER PER TE SRL"/>
    <s v="430 - Imprese produttive"/>
    <s v="471 - COMMERCIO AL DETTAGLIO IN ESERCIZI NON SPECIALIZZATI"/>
    <s v="086 - ITALIA"/>
    <n v="1891"/>
    <m/>
    <m/>
    <m/>
    <m/>
    <m/>
    <m/>
    <m/>
    <n v="0"/>
    <n v="202505"/>
    <x v="2"/>
    <x v="1"/>
    <x v="0"/>
    <n v="1687990"/>
    <x v="1"/>
    <x v="1"/>
    <s v="999"/>
    <s v="430"/>
    <s v="430999"/>
    <m/>
    <s v="1"/>
    <s v="Classe di rischio 1"/>
  </r>
  <r>
    <n v="337968"/>
    <x v="3"/>
    <x v="3"/>
    <x v="39"/>
    <n v="53850"/>
    <n v="111"/>
    <s v="053850_111"/>
    <s v="Discovery Day"/>
    <s v="Mai valutato"/>
    <m/>
    <n v="202505087961554"/>
    <n v="1113302814205"/>
    <n v="20250508"/>
    <s v="G7 - Versamento assegno circolare altro intermediario "/>
    <m/>
    <m/>
    <s v="A     - Avere"/>
    <n v="97000"/>
    <n v="0"/>
    <n v="4449666"/>
    <s v="RNDCML77L70L418F"/>
    <s v="RONDINONE CARMELA"/>
    <s v="615 - Altre famiglie produttrici"/>
    <s v="476 - COMMERCIO AL DETTAGLIO DI ARTICOLI CULTURALI E RICREATIVI IN ESERCIZI SPECIALIZZATI"/>
    <s v="086 - ITALIA"/>
    <n v="593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37967"/>
    <x v="3"/>
    <x v="3"/>
    <x v="39"/>
    <n v="53850"/>
    <n v="181"/>
    <s v="053850_181"/>
    <s v="Discovery Day"/>
    <s v="Mai valutato"/>
    <m/>
    <n v="202505087961753"/>
    <n v="1813301035227"/>
    <n v="20250508"/>
    <s v="G7 - Versamento assegno circolare altro intermediario "/>
    <m/>
    <m/>
    <s v="A     - Avere"/>
    <n v="110500"/>
    <n v="0"/>
    <n v="4591614"/>
    <s v="VSGMNN69C68L109S"/>
    <s v="VISAGGI MARIANNA"/>
    <s v="600 - Famiglie consumatrici"/>
    <m/>
    <s v="086 - ITALIA"/>
    <n v="859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966"/>
    <x v="3"/>
    <x v="3"/>
    <x v="39"/>
    <n v="53850"/>
    <n v="105"/>
    <s v="053850_105"/>
    <s v="Discovery Day"/>
    <s v="Mai valutato"/>
    <m/>
    <n v="202505087961521"/>
    <n v="1053306291585"/>
    <n v="20250508"/>
    <s v="G8 - Versamento assegno circolare stesso intermediario"/>
    <m/>
    <m/>
    <s v="A     - Avere"/>
    <n v="145000"/>
    <n v="0"/>
    <n v="107495"/>
    <s v="LMTVTR58H46E038K"/>
    <s v="LIMITONE VITTORIA"/>
    <s v="600 - Famiglie consumatrici"/>
    <m/>
    <s v="086 - ITALIA"/>
    <n v="1471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7965"/>
    <x v="4"/>
    <x v="4"/>
    <x v="39"/>
    <n v="53850"/>
    <n v="102"/>
    <s v="053850_102"/>
    <s v="Discovery Day"/>
    <s v="Mai valutato"/>
    <m/>
    <n v="202505087959177"/>
    <n v="1023308719178"/>
    <n v="20250508"/>
    <s v="26 - Bonifico in partenza "/>
    <m/>
    <s v="086 - ITALIA"/>
    <s v="D     - Dare"/>
    <n v="10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x v="2"/>
    <x v="1"/>
    <x v="0"/>
    <m/>
    <x v="0"/>
    <x v="0"/>
    <s v="462"/>
    <s v="430"/>
    <s v="430462"/>
    <s v="Classe di rischio 3"/>
    <m/>
    <s v="Classe di rischio 3"/>
  </r>
  <r>
    <n v="337964"/>
    <x v="4"/>
    <x v="4"/>
    <x v="39"/>
    <n v="53850"/>
    <n v="116"/>
    <s v="053850_116"/>
    <s v="Discovery Day"/>
    <s v="Mai valutato"/>
    <m/>
    <n v="202505087961576"/>
    <n v="1163304921400"/>
    <n v="20250508"/>
    <s v="SPECIAL"/>
    <m/>
    <m/>
    <s v="D     - Dare"/>
    <n v="41708.03"/>
    <n v="0"/>
    <n v="492140"/>
    <s v="PRCNCL32E15A662I"/>
    <s v="PORCELLI NICOLA"/>
    <s v="600 - Famiglie consumatrici"/>
    <m/>
    <s v="086 - ITALIA"/>
    <n v="808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963"/>
    <x v="4"/>
    <x v="4"/>
    <x v="39"/>
    <n v="53850"/>
    <n v="103"/>
    <s v="053850_103"/>
    <s v="Discovery Day"/>
    <s v="Mai valutato"/>
    <m/>
    <n v="202505087960139"/>
    <n v="1033301094930"/>
    <n v="20250508"/>
    <s v="48 - Bonifico in arrivo "/>
    <m/>
    <s v="086 - ITALIA"/>
    <s v="A     - Avere"/>
    <n v="75955.149999999994"/>
    <n v="0"/>
    <n v="109493"/>
    <s v="PTMNGL63A42E155Z"/>
    <s v="PATIMO DE CHIRICO ANGELA"/>
    <s v="615 - Altre famiglie produttrici"/>
    <s v="477 - COMMERCIO AL DETTAGLIO DI ALTRI PRODOTTI IN ESERCIZI SPECIALIZZATI"/>
    <s v="086 - ITALIA"/>
    <m/>
    <m/>
    <m/>
    <m/>
    <m/>
    <m/>
    <m/>
    <m/>
    <n v="0"/>
    <n v="202505"/>
    <x v="1"/>
    <x v="0"/>
    <x v="0"/>
    <n v="109493"/>
    <x v="1"/>
    <x v="0"/>
    <s v="477"/>
    <s v="615"/>
    <s v="615477"/>
    <s v="Classe di rischio 6"/>
    <m/>
    <s v="Classe di rischio 6"/>
  </r>
  <r>
    <n v="337962"/>
    <x v="2"/>
    <x v="2"/>
    <x v="39"/>
    <n v="53850"/>
    <n v="118"/>
    <s v="053850_118"/>
    <s v="Discovery Day"/>
    <s v="Mai valutato"/>
    <m/>
    <s v="202505086818128L"/>
    <n v="1183306279722"/>
    <n v="20250508"/>
    <s v="AA - Bonifico da e per estero "/>
    <m/>
    <s v="012 - BULGARIA"/>
    <s v="D     - Dare"/>
    <n v="1515"/>
    <n v="0"/>
    <n v="4925538"/>
    <s v="SCHMCN95T47A662S"/>
    <s v="SCHIAVARIELLO MARIA CONCETT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961"/>
    <x v="4"/>
    <x v="4"/>
    <x v="39"/>
    <n v="53850"/>
    <n v="102"/>
    <s v="053850_102"/>
    <s v="Discovery Day"/>
    <s v="Mai valutato"/>
    <m/>
    <n v="202505087959108"/>
    <n v="1503300003188"/>
    <n v="20250508"/>
    <s v="26 - Bonifico in partenza "/>
    <m/>
    <s v="086 - ITALIA"/>
    <s v="D     - Dare"/>
    <n v="24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x v="0"/>
    <x v="0"/>
    <x v="0"/>
    <m/>
    <x v="0"/>
    <x v="0"/>
    <s v="999"/>
    <s v="259"/>
    <s v="259999"/>
    <m/>
    <s v="1"/>
    <s v="Classe di rischio 0"/>
  </r>
  <r>
    <n v="337960"/>
    <x v="4"/>
    <x v="4"/>
    <x v="39"/>
    <n v="53850"/>
    <n v="109"/>
    <s v="053850_109"/>
    <s v="Discovery Day"/>
    <s v="Mai valutato"/>
    <m/>
    <s v="202505086819617L"/>
    <n v="1093306674566"/>
    <n v="20250508"/>
    <s v="SPECIAL"/>
    <m/>
    <m/>
    <s v="D     - Dare"/>
    <n v="1517.41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x v="2"/>
    <x v="1"/>
    <x v="0"/>
    <m/>
    <x v="0"/>
    <x v="1"/>
    <s v="999"/>
    <s v="430"/>
    <s v="430999"/>
    <m/>
    <s v="1"/>
    <s v="Classe di rischio 1"/>
  </r>
  <r>
    <n v="337959"/>
    <x v="5"/>
    <x v="5"/>
    <x v="39"/>
    <n v="53850"/>
    <n v="268"/>
    <s v="053850_268"/>
    <s v="Discovery Day"/>
    <s v="Mai valutato"/>
    <m/>
    <n v="202505087961409"/>
    <n v="2683300010030"/>
    <n v="20250508"/>
    <s v="03 - Versamento contante cassa continua "/>
    <m/>
    <m/>
    <s v="A     - Avere"/>
    <n v="30240"/>
    <n v="3024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x v="1"/>
    <x v="0"/>
    <x v="0"/>
    <n v="4966939"/>
    <x v="1"/>
    <x v="0"/>
    <s v="999"/>
    <s v="615"/>
    <s v="615999"/>
    <m/>
    <s v="1"/>
    <s v="Classe di rischio 3"/>
  </r>
  <r>
    <n v="337958"/>
    <x v="5"/>
    <x v="5"/>
    <x v="39"/>
    <n v="53850"/>
    <n v="102"/>
    <s v="053850_102"/>
    <s v="Discovery Day"/>
    <s v="Mai valutato"/>
    <m/>
    <s v="Vari (08/05/2025)"/>
    <n v="1023308722503"/>
    <n v="20250508"/>
    <s v="03 - Versamento contante cassa continua "/>
    <m/>
    <m/>
    <s v="A     - Avere"/>
    <n v="34000"/>
    <n v="34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37957"/>
    <x v="2"/>
    <x v="2"/>
    <x v="39"/>
    <n v="53850"/>
    <n v="267"/>
    <s v="053850_267"/>
    <s v="Discovery Day"/>
    <s v="Mai valutato"/>
    <m/>
    <s v="202505086816304L"/>
    <n v="2673300001756"/>
    <n v="20250508"/>
    <s v="AA - Bonifico da e per estero "/>
    <m/>
    <s v="238 - ABU DHABI"/>
    <s v="A     - Avere"/>
    <n v="1775"/>
    <n v="0"/>
    <n v="1646323"/>
    <s v="VTRGPP85L17C710Y"/>
    <s v="VETRO' GIUSEPPE"/>
    <s v="615 - Altre famiglie produttrici"/>
    <s v="014 - ALLEVAMENTO DI ANIMALI"/>
    <s v="086 - ITALIA"/>
    <n v="1878"/>
    <m/>
    <m/>
    <m/>
    <m/>
    <m/>
    <m/>
    <m/>
    <n v="0"/>
    <n v="202505"/>
    <x v="4"/>
    <x v="1"/>
    <x v="0"/>
    <m/>
    <x v="0"/>
    <x v="0"/>
    <s v="999"/>
    <s v="615"/>
    <s v="615999"/>
    <m/>
    <s v="1"/>
    <s v="Classe di rischio 3"/>
  </r>
  <r>
    <n v="337956"/>
    <x v="4"/>
    <x v="4"/>
    <x v="39"/>
    <n v="53850"/>
    <n v="109"/>
    <s v="053850_109"/>
    <s v="Discovery Day"/>
    <s v="Mai valutato"/>
    <m/>
    <s v="202505086819882L"/>
    <n v="1093300221090"/>
    <n v="20250508"/>
    <s v="SPECIAL"/>
    <m/>
    <m/>
    <s v="D     - Dare"/>
    <n v="1225.33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5"/>
    <x v="1"/>
    <x v="0"/>
    <x v="0"/>
    <m/>
    <x v="0"/>
    <x v="1"/>
    <s v="999"/>
    <s v="430"/>
    <s v="430999"/>
    <m/>
    <s v="1"/>
    <s v="Classe di rischio 1"/>
  </r>
  <r>
    <n v="337955"/>
    <x v="4"/>
    <x v="4"/>
    <x v="39"/>
    <n v="53850"/>
    <n v="102"/>
    <s v="053850_102"/>
    <s v="Discovery Day"/>
    <s v="Mai valutato"/>
    <m/>
    <s v="202505086816291L"/>
    <n v="1023308722071"/>
    <n v="20250508"/>
    <s v="SPECIAL"/>
    <m/>
    <m/>
    <s v="D     - Dare"/>
    <n v="1384.66"/>
    <n v="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5"/>
    <x v="2"/>
    <x v="1"/>
    <x v="0"/>
    <m/>
    <x v="0"/>
    <x v="1"/>
    <s v="477"/>
    <s v="430"/>
    <s v="430477"/>
    <s v="Classe di rischio 3"/>
    <m/>
    <s v="Classe di rischio 3"/>
  </r>
  <r>
    <n v="337954"/>
    <x v="4"/>
    <x v="4"/>
    <x v="39"/>
    <n v="53850"/>
    <n v="196"/>
    <s v="053850_196"/>
    <s v="Discovery Day"/>
    <s v="Mai valutato"/>
    <m/>
    <s v="202505086817183L"/>
    <n v="1963302354339"/>
    <n v="20250508"/>
    <s v="SPECIAL"/>
    <m/>
    <m/>
    <s v="D     - Dare"/>
    <n v="1112.33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5"/>
    <x v="2"/>
    <x v="1"/>
    <x v="0"/>
    <m/>
    <x v="0"/>
    <x v="1"/>
    <s v="999"/>
    <s v="480"/>
    <s v="480999"/>
    <m/>
    <s v="1"/>
    <s v="Classe di rischio 2"/>
  </r>
  <r>
    <n v="337953"/>
    <x v="2"/>
    <x v="2"/>
    <x v="39"/>
    <n v="53850"/>
    <n v="261"/>
    <s v="053850_261"/>
    <s v="Discovery Day"/>
    <s v="Mai valutato"/>
    <m/>
    <s v="202505086815320L"/>
    <n v="2613300001265"/>
    <n v="20250508"/>
    <s v="AA - Bonifico da e per estero "/>
    <m/>
    <s v="091 - PRINCIPATO DI MONACO"/>
    <s v="A     - Avere"/>
    <n v="17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7952"/>
    <x v="4"/>
    <x v="4"/>
    <x v="39"/>
    <n v="53850"/>
    <n v="181"/>
    <s v="053850_181"/>
    <s v="Discovery Day"/>
    <s v="Mai valutato"/>
    <m/>
    <s v="202505086818645L"/>
    <n v="1813301028722"/>
    <n v="20250508"/>
    <s v="SPECIAL"/>
    <m/>
    <m/>
    <s v="D     - Dare"/>
    <n v="3844.78"/>
    <n v="0"/>
    <n v="4542977"/>
    <s v="BRLMLE58D65L109Q"/>
    <s v="BARILE EMILIA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951"/>
    <x v="4"/>
    <x v="4"/>
    <x v="39"/>
    <n v="53850"/>
    <n v="102"/>
    <s v="053850_102"/>
    <s v="Discovery Day"/>
    <s v="Mai valutato"/>
    <m/>
    <n v="202505087959178"/>
    <n v="1023308719178"/>
    <n v="20250508"/>
    <s v="26 - Bonifico in partenza "/>
    <m/>
    <s v="086 - ITALIA"/>
    <s v="D     - Dare"/>
    <n v="18876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5"/>
    <x v="2"/>
    <x v="1"/>
    <x v="0"/>
    <m/>
    <x v="0"/>
    <x v="0"/>
    <s v="462"/>
    <s v="430"/>
    <s v="430462"/>
    <s v="Classe di rischio 3"/>
    <m/>
    <s v="Classe di rischio 3"/>
  </r>
  <r>
    <n v="337950"/>
    <x v="5"/>
    <x v="5"/>
    <x v="39"/>
    <n v="53850"/>
    <n v="268"/>
    <s v="053850_268"/>
    <s v="Discovery Day"/>
    <s v="Mai valutato"/>
    <m/>
    <s v="Vari (08/05/2025)"/>
    <n v="2683300006671"/>
    <n v="20250508"/>
    <s v="03 - Versamento contante cassa continua "/>
    <m/>
    <m/>
    <s v="A     - Avere"/>
    <n v="30850"/>
    <n v="3085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5"/>
    <x v="0"/>
    <x v="0"/>
    <x v="0"/>
    <n v="1704716"/>
    <x v="1"/>
    <x v="0"/>
    <s v="477"/>
    <s v="480"/>
    <s v="480477"/>
    <s v="Classe di rischio 5"/>
    <m/>
    <s v="Classe di rischio 5"/>
  </r>
  <r>
    <n v="337949"/>
    <x v="3"/>
    <x v="3"/>
    <x v="39"/>
    <n v="53850"/>
    <n v="169"/>
    <s v="053850_169"/>
    <s v="Discovery Day"/>
    <s v="Mai valutato"/>
    <m/>
    <n v="202505087961711"/>
    <n v="1693302224752"/>
    <n v="20250508"/>
    <s v="G1 - Versamento assegni tratti su altro intermediario "/>
    <m/>
    <m/>
    <s v="A     - Avere"/>
    <n v="110000"/>
    <n v="0"/>
    <n v="4137454"/>
    <s v="PSQNGL49M67A883D"/>
    <s v="PASQUALE ANGELA"/>
    <s v="600 - Famiglie consumatrici"/>
    <m/>
    <s v="086 - ITALIA"/>
    <n v="1261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948"/>
    <x v="4"/>
    <x v="4"/>
    <x v="39"/>
    <n v="53850"/>
    <n v="109"/>
    <s v="053850_109"/>
    <s v="Discovery Day"/>
    <s v="Mai valutato"/>
    <m/>
    <s v="202505086819616L"/>
    <n v="1093306674566"/>
    <n v="20250508"/>
    <s v="SPECIAL"/>
    <m/>
    <m/>
    <s v="D     - Dare"/>
    <n v="1080.93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5"/>
    <x v="2"/>
    <x v="1"/>
    <x v="0"/>
    <m/>
    <x v="0"/>
    <x v="1"/>
    <s v="999"/>
    <s v="430"/>
    <s v="430999"/>
    <m/>
    <s v="1"/>
    <s v="Classe di rischio 1"/>
  </r>
  <r>
    <n v="337947"/>
    <x v="2"/>
    <x v="2"/>
    <x v="39"/>
    <n v="53850"/>
    <n v="192"/>
    <s v="053850_192"/>
    <s v="Discovery Day"/>
    <s v="Mai valutato"/>
    <m/>
    <n v="202505087960417"/>
    <n v="1923300185011"/>
    <n v="20250508"/>
    <s v="AA - Bonifico da e per estero "/>
    <m/>
    <s v="012 - BULGARIA"/>
    <s v="A     - Avere"/>
    <n v="5948"/>
    <n v="0"/>
    <n v="3710704"/>
    <s v="FSNMHL77R19H096V"/>
    <s v="FASANELLI MICHELE"/>
    <s v="615 - Altre famiglie produttrici"/>
    <s v="494 - TRASPORTO DI MERCI SU STRADA E SERVIZI DI TRASLOCO"/>
    <s v="086 - ITALIA"/>
    <n v="1907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37946"/>
    <x v="4"/>
    <x v="4"/>
    <x v="39"/>
    <n v="53850"/>
    <n v="109"/>
    <s v="053850_109"/>
    <s v="Discovery Day"/>
    <s v="Mai valutato"/>
    <m/>
    <s v="202505086819523L"/>
    <n v="1093306672791"/>
    <n v="20250508"/>
    <s v="SPECIAL"/>
    <m/>
    <m/>
    <s v="D     - Dare"/>
    <n v="1042.1600000000001"/>
    <n v="0"/>
    <n v="4711527"/>
    <n v="6286800724"/>
    <s v="MERCANTILE SOCIETA' A RESPONSABILITA'LIMITAT"/>
    <s v="430 - Imprese produttive"/>
    <s v="561 - RISTORANTI E ATTIVITÀ DI RISTORAZIONE MOBILE"/>
    <s v="086 - ITALIA"/>
    <n v="502"/>
    <m/>
    <m/>
    <m/>
    <m/>
    <m/>
    <m/>
    <m/>
    <n v="0"/>
    <n v="202505"/>
    <x v="2"/>
    <x v="1"/>
    <x v="0"/>
    <m/>
    <x v="0"/>
    <x v="1"/>
    <s v="999"/>
    <s v="430"/>
    <s v="430999"/>
    <m/>
    <s v="1"/>
    <s v="Classe di rischio 1"/>
  </r>
  <r>
    <n v="337945"/>
    <x v="4"/>
    <x v="4"/>
    <x v="39"/>
    <n v="53850"/>
    <n v="261"/>
    <s v="053850_261"/>
    <s v="Discovery Day"/>
    <s v="Mai valutato"/>
    <m/>
    <n v="202505087961821"/>
    <n v="2613300000312"/>
    <n v="20250508"/>
    <s v="48 - Bonifico in arrivo "/>
    <m/>
    <s v="086 - ITALIA"/>
    <s v="A     - Avere"/>
    <n v="200900.69"/>
    <n v="0"/>
    <n v="1605075"/>
    <s v="CLVDNC48T23D811K"/>
    <s v="COLAVECCHIO DOMENICANTONIO"/>
    <s v="600 - Famiglie consumatrici"/>
    <m/>
    <s v="086 - ITALIA"/>
    <n v="1776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37944"/>
    <x v="4"/>
    <x v="4"/>
    <x v="39"/>
    <n v="53850"/>
    <n v="102"/>
    <s v="053850_102"/>
    <s v="Discovery Day"/>
    <s v="Mai valutato"/>
    <m/>
    <s v="202505086819362L"/>
    <n v="1023308717200"/>
    <n v="20250508"/>
    <s v="SPECIAL"/>
    <m/>
    <m/>
    <s v="D     - Dare"/>
    <n v="1112.98"/>
    <n v="0"/>
    <n v="4140619"/>
    <n v="5799380729"/>
    <s v="MARVITA ALIMENTARI S.R.L."/>
    <s v="430 - Imprese produttive"/>
    <s v="479 - COMMERCIO AL DETTAGLIO AL DI FUORI DI NEGOZI, BANCHI E MERCATI"/>
    <s v="086 - ITALIA"/>
    <n v="1203"/>
    <m/>
    <m/>
    <m/>
    <m/>
    <m/>
    <m/>
    <m/>
    <n v="0"/>
    <n v="202505"/>
    <x v="4"/>
    <x v="1"/>
    <x v="0"/>
    <n v="4140619"/>
    <x v="1"/>
    <x v="1"/>
    <s v="999"/>
    <s v="430"/>
    <s v="430999"/>
    <m/>
    <s v="1"/>
    <s v="Classe di rischio 1"/>
  </r>
  <r>
    <n v="337943"/>
    <x v="4"/>
    <x v="4"/>
    <x v="39"/>
    <n v="53850"/>
    <n v="103"/>
    <s v="053850_103"/>
    <s v="Discovery Day"/>
    <s v="Mai valutato"/>
    <m/>
    <n v="202505087960462"/>
    <n v="1033306985959"/>
    <n v="20250508"/>
    <s v="48 - Bonifico in arrivo "/>
    <m/>
    <s v="086 - ITALIA"/>
    <s v="A     - Avere"/>
    <n v="245000"/>
    <n v="0"/>
    <n v="3740317"/>
    <s v="SNNRKE69B56A952N"/>
    <s v="SINN ERIK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942"/>
    <x v="2"/>
    <x v="2"/>
    <x v="39"/>
    <n v="53850"/>
    <n v="118"/>
    <s v="053850_118"/>
    <s v="Discovery Day"/>
    <s v="Mai valutato"/>
    <m/>
    <s v="202505086818128L"/>
    <n v="1183306279722"/>
    <n v="20250508"/>
    <s v="AA - Bonifico da e per estero "/>
    <m/>
    <s v="012 - BULGARIA"/>
    <s v="D     - Dare"/>
    <n v="1515"/>
    <n v="0"/>
    <n v="4925537"/>
    <s v="SCHFNC98H13A662I"/>
    <s v="SCHIAVARIELLO FRANCESCO ANTONIO"/>
    <s v="600 - Famiglie consumatrici"/>
    <m/>
    <s v="086 - ITALIA"/>
    <n v="632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941"/>
    <x v="2"/>
    <x v="2"/>
    <x v="39"/>
    <n v="53850"/>
    <n v="171"/>
    <s v="053850_171"/>
    <s v="Discovery Day"/>
    <s v="Mai valutato"/>
    <m/>
    <n v="202505087960444"/>
    <n v="1713302217392"/>
    <n v="20250508"/>
    <s v="AA - Bonifico da e per estero "/>
    <m/>
    <s v="012 - BULGARIA"/>
    <s v="A     - Avere"/>
    <n v="7000"/>
    <n v="0"/>
    <n v="4926340"/>
    <s v="GRFGPP83R23A893N"/>
    <s v="GAROFALO GIUSEPPE"/>
    <s v="615 - Altre famiglie produttrici"/>
    <s v="563 - BAR E ALTRI ESERCIZI SIMILI SENZA CUCINA"/>
    <s v="086 - ITALIA"/>
    <n v="732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37940"/>
    <x v="4"/>
    <x v="4"/>
    <x v="39"/>
    <n v="53850"/>
    <n v="120"/>
    <s v="053850_120"/>
    <s v="Discovery Day"/>
    <s v="Mai valutato"/>
    <m/>
    <s v="202505086819310L"/>
    <n v="1203300002401"/>
    <n v="20250508"/>
    <s v="SPECIAL"/>
    <m/>
    <m/>
    <s v="D     - Dare"/>
    <n v="1425.34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x v="1"/>
    <x v="0"/>
    <x v="0"/>
    <n v="613876"/>
    <x v="1"/>
    <x v="1"/>
    <s v="999"/>
    <s v="500"/>
    <s v="500999"/>
    <m/>
    <s v="1"/>
    <s v="Classe di rischio 3"/>
  </r>
  <r>
    <n v="337939"/>
    <x v="6"/>
    <x v="6"/>
    <x v="39"/>
    <n v="53850"/>
    <n v="171"/>
    <s v="053850_171"/>
    <s v="Discovery Day"/>
    <s v="Mai valutato"/>
    <m/>
    <n v="202505087960767"/>
    <n v="1713302215963"/>
    <n v="20250508"/>
    <s v="AA - Bonifico da e per estero "/>
    <m/>
    <s v="071 - SVIZZERA"/>
    <s v="A     - Avere"/>
    <n v="252000"/>
    <n v="0"/>
    <n v="610969"/>
    <s v="MSTNNA46D58G291T"/>
    <s v="MASTRANDREA ANNA"/>
    <s v="600 - Famiglie consumatrici"/>
    <m/>
    <s v="086 - ITALIA"/>
    <n v="662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37938"/>
    <x v="4"/>
    <x v="4"/>
    <x v="39"/>
    <n v="53850"/>
    <n v="259"/>
    <s v="053850_259"/>
    <s v="Discovery Day"/>
    <s v="Mai valutato"/>
    <m/>
    <n v="202505087960713"/>
    <n v="2593300002769"/>
    <n v="20250508"/>
    <s v="AF - Disp.giro conti diversi intestati ordinante(stesso intermed.)"/>
    <m/>
    <s v="086 - ITALIA"/>
    <s v="A     - Avere"/>
    <n v="550000"/>
    <n v="0"/>
    <n v="4731246"/>
    <s v="FDNFNC63H50F280T"/>
    <s v="FIDANZIO FRANCESCA"/>
    <s v="600 - Famiglie consumatrici"/>
    <m/>
    <s v="086 - ITALIA"/>
    <n v="1609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37937"/>
    <x v="5"/>
    <x v="5"/>
    <x v="39"/>
    <n v="53850"/>
    <n v="284"/>
    <s v="053850_284"/>
    <s v="Discovery Day"/>
    <s v="Mai valutato"/>
    <m/>
    <s v="Vari (08/05/2025)"/>
    <n v="2843300001336"/>
    <n v="20250508"/>
    <s v="VV"/>
    <m/>
    <m/>
    <s v="A     - Avere"/>
    <n v="65409.05"/>
    <n v="5800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5"/>
    <x v="0"/>
    <x v="0"/>
    <x v="0"/>
    <m/>
    <x v="0"/>
    <x v="1"/>
    <s v="999"/>
    <s v="430"/>
    <s v="430999"/>
    <m/>
    <s v="1"/>
    <s v="Classe di rischio 1"/>
  </r>
  <r>
    <n v="337936"/>
    <x v="5"/>
    <x v="5"/>
    <x v="39"/>
    <n v="53850"/>
    <n v="287"/>
    <s v="053850_287"/>
    <s v="Discovery Day"/>
    <s v="Mai valutato"/>
    <m/>
    <s v="Vari (08/05/2025)"/>
    <n v="2873300001853"/>
    <n v="20250508"/>
    <s v="VV"/>
    <m/>
    <m/>
    <s v="A     - Avere"/>
    <n v="74046.81"/>
    <n v="4994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x v="0"/>
    <x v="0"/>
    <x v="0"/>
    <n v="3722213"/>
    <x v="1"/>
    <x v="1"/>
    <s v="463"/>
    <s v="430"/>
    <s v="430463"/>
    <s v="Classe di rischio 3"/>
    <m/>
    <s v="Classe di rischio 3"/>
  </r>
  <r>
    <n v="337935"/>
    <x v="5"/>
    <x v="5"/>
    <x v="39"/>
    <n v="53850"/>
    <n v="116"/>
    <s v="053850_116"/>
    <s v="Discovery Day"/>
    <s v="Mai valutato"/>
    <m/>
    <n v="202505087961370"/>
    <n v="2343300010453"/>
    <n v="20250508"/>
    <s v="03 - Versamento contante cassa continua "/>
    <m/>
    <m/>
    <s v="A     - Avere"/>
    <n v="66230"/>
    <n v="6623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37934"/>
    <x v="3"/>
    <x v="3"/>
    <x v="39"/>
    <n v="53850"/>
    <n v="103"/>
    <s v="053850_103"/>
    <s v="Discovery Day"/>
    <s v="Mai valutato"/>
    <m/>
    <n v="202505087961475"/>
    <n v="1033306978389"/>
    <n v="20250508"/>
    <s v="G1 - Versamento assegni tratti su altro intermediario "/>
    <m/>
    <m/>
    <s v="A     - Avere"/>
    <n v="400000"/>
    <n v="0"/>
    <n v="4912146"/>
    <n v="8078930727"/>
    <s v="ESTIA SOCIETA' A RESPONSABILITA' LIMITATA"/>
    <s v="430 - Imprese produttive"/>
    <s v="412 - COSTRUZIONE DI EDIFICI RESIDENZIALI E NON RESIDENZIALI"/>
    <s v="086 - ITALIA"/>
    <n v="739"/>
    <m/>
    <m/>
    <m/>
    <m/>
    <m/>
    <m/>
    <m/>
    <n v="0"/>
    <n v="202505"/>
    <x v="2"/>
    <x v="1"/>
    <x v="0"/>
    <m/>
    <x v="0"/>
    <x v="0"/>
    <s v="412"/>
    <s v="430"/>
    <s v="430412"/>
    <s v="Classe di rischio 3"/>
    <m/>
    <s v="Classe di rischio 3"/>
  </r>
  <r>
    <n v="337933"/>
    <x v="6"/>
    <x v="6"/>
    <x v="39"/>
    <n v="53850"/>
    <n v="175"/>
    <s v="053850_175"/>
    <s v="Discovery Day"/>
    <s v="Mai valutato"/>
    <m/>
    <n v="202505087960870"/>
    <n v="1753302203813"/>
    <n v="20250508"/>
    <s v="AA - Bonifico da e per estero "/>
    <m/>
    <s v="103 - HONG KONG"/>
    <s v="D     - Dare"/>
    <n v="91731.43"/>
    <n v="0"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37932"/>
    <x v="4"/>
    <x v="4"/>
    <x v="39"/>
    <n v="53850"/>
    <n v="171"/>
    <s v="053850_171"/>
    <s v="Discovery Day"/>
    <s v="Mai valutato"/>
    <m/>
    <s v="202505086817430L"/>
    <n v="1713302216097"/>
    <n v="20250508"/>
    <s v="SPECIAL"/>
    <m/>
    <m/>
    <s v="D     - Dare"/>
    <n v="1087.93"/>
    <n v="0"/>
    <n v="4780929"/>
    <n v="7472640726"/>
    <s v="L'INCANTO S.R.L."/>
    <s v="430 - Imprese produttive"/>
    <s v="561 - RISTORANTI E ATTIVITÀ DI RISTORAZIONE MOBILE"/>
    <s v="086 - ITALIA"/>
    <n v="1118"/>
    <m/>
    <m/>
    <m/>
    <m/>
    <m/>
    <m/>
    <m/>
    <n v="0"/>
    <n v="202505"/>
    <x v="2"/>
    <x v="1"/>
    <x v="0"/>
    <m/>
    <x v="0"/>
    <x v="1"/>
    <s v="999"/>
    <s v="430"/>
    <s v="430999"/>
    <m/>
    <s v="1"/>
    <s v="Classe di rischio 1"/>
  </r>
  <r>
    <n v="337931"/>
    <x v="3"/>
    <x v="3"/>
    <x v="39"/>
    <n v="53850"/>
    <n v="108"/>
    <s v="053850_108"/>
    <s v="Discovery Day"/>
    <s v="Mai valutato"/>
    <m/>
    <s v="Vari (08/05/2025)"/>
    <n v="1083306290559"/>
    <n v="20250508"/>
    <s v="VV"/>
    <m/>
    <m/>
    <s v="A     - Avere"/>
    <n v="106569.77"/>
    <n v="2000"/>
    <n v="4902977"/>
    <n v="8081970728"/>
    <s v="MICCOLIS S.R.L."/>
    <s v="430 - Imprese produttive"/>
    <s v="015 - COLTIVAZIONI AGRICOLE ASSOCIATE ALL'ALLEVAMENTO DI ANIMALI: ATTIVITÀ MISTA"/>
    <s v="086 - ITALIA"/>
    <n v="1058"/>
    <m/>
    <m/>
    <m/>
    <m/>
    <m/>
    <m/>
    <m/>
    <n v="0"/>
    <n v="202505"/>
    <x v="2"/>
    <x v="1"/>
    <x v="0"/>
    <m/>
    <x v="0"/>
    <x v="1"/>
    <s v="999"/>
    <s v="430"/>
    <s v="430999"/>
    <m/>
    <s v="1"/>
    <s v="Classe di rischio 1"/>
  </r>
  <r>
    <n v="337930"/>
    <x v="4"/>
    <x v="4"/>
    <x v="39"/>
    <n v="53850"/>
    <n v="216"/>
    <s v="053850_216"/>
    <s v="Discovery Day"/>
    <s v="Mai valutato"/>
    <m/>
    <s v="202505086817045L"/>
    <n v="2163300012270"/>
    <n v="20250508"/>
    <s v="SPECIAL"/>
    <m/>
    <m/>
    <s v="D     - Dare"/>
    <n v="2430.1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5"/>
    <x v="0"/>
    <x v="0"/>
    <x v="0"/>
    <m/>
    <x v="0"/>
    <x v="1"/>
    <s v="999"/>
    <s v="430"/>
    <s v="430999"/>
    <m/>
    <s v="1"/>
    <s v="Classe di rischio 1"/>
  </r>
  <r>
    <n v="337929"/>
    <x v="4"/>
    <x v="4"/>
    <x v="39"/>
    <n v="53850"/>
    <n v="120"/>
    <s v="053850_120"/>
    <s v="Discovery Day"/>
    <s v="Mai valutato"/>
    <m/>
    <s v="202505086819309L"/>
    <n v="1203300002401"/>
    <n v="20250508"/>
    <s v="SPECIAL"/>
    <m/>
    <m/>
    <s v="D     - Dare"/>
    <n v="1024.83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x v="1"/>
    <x v="0"/>
    <x v="0"/>
    <n v="613876"/>
    <x v="1"/>
    <x v="1"/>
    <s v="999"/>
    <s v="500"/>
    <s v="500999"/>
    <m/>
    <s v="1"/>
    <s v="Classe di rischio 3"/>
  </r>
  <r>
    <n v="337928"/>
    <x v="4"/>
    <x v="4"/>
    <x v="39"/>
    <n v="53850"/>
    <n v="137"/>
    <s v="053850_137"/>
    <s v="Discovery Day"/>
    <s v="Mai valutato"/>
    <m/>
    <s v="202505086819237L"/>
    <n v="1373300005221"/>
    <n v="20250508"/>
    <s v="SPECIAL"/>
    <m/>
    <m/>
    <s v="D     - Dare"/>
    <n v="1064.56"/>
    <n v="0"/>
    <n v="4896820"/>
    <n v="1790220709"/>
    <s v="ACCADEMIA BRITANNICA SERVICES S.R.L."/>
    <s v="430 - Imprese produttive"/>
    <s v="791 - ATTIVITÀ DELLE AGENZIE DI VIAGGIO E DEI TOUR OPERATOR"/>
    <s v="086 - ITALIA"/>
    <n v="1856"/>
    <m/>
    <m/>
    <m/>
    <m/>
    <m/>
    <m/>
    <m/>
    <n v="0"/>
    <n v="202505"/>
    <x v="1"/>
    <x v="0"/>
    <x v="0"/>
    <n v="4896820"/>
    <x v="1"/>
    <x v="1"/>
    <s v="999"/>
    <s v="430"/>
    <s v="430999"/>
    <m/>
    <s v="1"/>
    <s v="Classe di rischio 1"/>
  </r>
  <r>
    <n v="337927"/>
    <x v="6"/>
    <x v="6"/>
    <x v="39"/>
    <n v="53850"/>
    <n v="180"/>
    <s v="053850_180"/>
    <s v="Discovery Day"/>
    <s v="Mai valutato"/>
    <m/>
    <n v="202505087960875"/>
    <n v="1803300005080"/>
    <n v="20250508"/>
    <s v="AA - Bonifico da e per estero "/>
    <m/>
    <s v="017 - COLOMBIA"/>
    <s v="A     - Avere"/>
    <n v="44050"/>
    <n v="0"/>
    <n v="3052182"/>
    <n v="845500735"/>
    <s v="RIMA IMPIANTI S.R.L."/>
    <s v="430 - Imprese produttive"/>
    <s v="256 - TRATTAMENTO E RIVESTIMENTO DEI METALLI, LAVORI DI MECCANICA GENERALE"/>
    <s v="086 - ITALIA"/>
    <n v="1627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37926"/>
    <x v="4"/>
    <x v="4"/>
    <x v="39"/>
    <n v="53850"/>
    <n v="114"/>
    <s v="053850_114"/>
    <s v="Discovery Day"/>
    <s v="Mai valutato"/>
    <m/>
    <s v="202505086812136L"/>
    <n v="1143306282464"/>
    <n v="20250508"/>
    <s v="SPECIAL"/>
    <m/>
    <m/>
    <s v="D     - Dare"/>
    <n v="2094.9"/>
    <n v="0"/>
    <n v="516687"/>
    <s v="SGNNCL34H21A854A"/>
    <s v="SIGNORE NICOLA"/>
    <s v="600 - Famiglie consumatrici"/>
    <m/>
    <s v="086 - ITALIA"/>
    <n v="1115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925"/>
    <x v="4"/>
    <x v="4"/>
    <x v="39"/>
    <n v="53850"/>
    <n v="287"/>
    <s v="053850_287"/>
    <s v="Discovery Day"/>
    <s v="Mai valutato"/>
    <m/>
    <s v="202505086816685L"/>
    <n v="2873300000387"/>
    <n v="20250508"/>
    <s v="SPECIAL"/>
    <m/>
    <m/>
    <s v="D     - Dare"/>
    <n v="2569.71"/>
    <n v="0"/>
    <n v="1659546"/>
    <s v="FRRLRD20M14C114B"/>
    <s v="FERRANTE ALFREDO"/>
    <s v="600 - Famiglie consumatrici"/>
    <m/>
    <s v="086 - ITALIA"/>
    <m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924"/>
    <x v="4"/>
    <x v="4"/>
    <x v="39"/>
    <n v="53850"/>
    <n v="268"/>
    <s v="053850_268"/>
    <s v="Discovery Day"/>
    <s v="Mai valutato"/>
    <m/>
    <s v="202505086816892L"/>
    <n v="2683300003973"/>
    <n v="20250508"/>
    <s v="SPECIAL"/>
    <m/>
    <m/>
    <s v="D     - Dare"/>
    <n v="4396.18"/>
    <n v="0"/>
    <n v="1645933"/>
    <s v="PRMVCN46H29F537O"/>
    <s v="PRIMAVERA VINCENZO"/>
    <s v="600 - Famiglie consumatrici"/>
    <m/>
    <s v="086 - ITALIA"/>
    <n v="1830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923"/>
    <x v="4"/>
    <x v="4"/>
    <x v="39"/>
    <n v="53850"/>
    <n v="167"/>
    <s v="053850_167"/>
    <s v="Discovery Day"/>
    <s v="Mai valutato"/>
    <m/>
    <s v="202505086817481L"/>
    <n v="1673301674288"/>
    <n v="20250508"/>
    <s v="SPECIAL"/>
    <m/>
    <m/>
    <s v="D     - Dare"/>
    <n v="1340.28"/>
    <n v="0"/>
    <n v="562079"/>
    <n v="4629890726"/>
    <s v="GRAN MARKET SUD SOCIETA' A RESPONSABILITA' L"/>
    <s v="430 - Imprese produttive"/>
    <s v="479 - COMMERCIO AL DETTAGLIO AL DI FUORI DI NEGOZI, BANCHI E MERCATI"/>
    <s v="086 - ITALIA"/>
    <n v="1175"/>
    <m/>
    <m/>
    <m/>
    <m/>
    <m/>
    <m/>
    <m/>
    <n v="0"/>
    <n v="202505"/>
    <x v="0"/>
    <x v="0"/>
    <x v="0"/>
    <n v="562079"/>
    <x v="1"/>
    <x v="1"/>
    <s v="999"/>
    <s v="430"/>
    <s v="430999"/>
    <m/>
    <s v="1"/>
    <s v="Classe di rischio 1"/>
  </r>
  <r>
    <n v="337922"/>
    <x v="4"/>
    <x v="4"/>
    <x v="39"/>
    <n v="53850"/>
    <n v="125"/>
    <s v="053850_125"/>
    <s v="Discovery Day"/>
    <s v="Mai valutato"/>
    <m/>
    <s v="202505086819400L"/>
    <n v="1253300002492"/>
    <n v="20250508"/>
    <s v="SPECIAL"/>
    <m/>
    <m/>
    <s v="D     - Dare"/>
    <n v="2145.0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5"/>
    <x v="0"/>
    <x v="0"/>
    <x v="0"/>
    <m/>
    <x v="0"/>
    <x v="1"/>
    <s v="999"/>
    <s v="430"/>
    <s v="430999"/>
    <m/>
    <s v="1"/>
    <s v="Classe di rischio 1"/>
  </r>
  <r>
    <n v="337921"/>
    <x v="4"/>
    <x v="4"/>
    <x v="39"/>
    <n v="53850"/>
    <n v="103"/>
    <s v="053850_103"/>
    <s v="Discovery Day"/>
    <s v="Mai valutato"/>
    <m/>
    <s v="202505086819189L"/>
    <n v="1033306979232"/>
    <n v="20250508"/>
    <s v="SPECIAL"/>
    <m/>
    <m/>
    <s v="D     - Dare"/>
    <n v="1249.29"/>
    <n v="0"/>
    <n v="4947000"/>
    <n v="8226640723"/>
    <s v="OPPIP SOCIETA' A RESPONSABILITA' LIMITATA SE"/>
    <s v="430 - Imprese produttive"/>
    <s v="552 - ALLOGGI PER VACANZE E ALTRE STRUTTURE PER BREVI SOGGIORNI"/>
    <s v="086 - ITALIA"/>
    <n v="1912"/>
    <m/>
    <m/>
    <m/>
    <m/>
    <m/>
    <m/>
    <m/>
    <n v="0"/>
    <n v="202505"/>
    <x v="2"/>
    <x v="1"/>
    <x v="0"/>
    <m/>
    <x v="0"/>
    <x v="1"/>
    <s v="999"/>
    <s v="430"/>
    <s v="430999"/>
    <m/>
    <s v="1"/>
    <s v="Classe di rischio 1"/>
  </r>
  <r>
    <n v="337920"/>
    <x v="4"/>
    <x v="4"/>
    <x v="39"/>
    <n v="53850"/>
    <n v="204"/>
    <s v="053850_204"/>
    <s v="Discovery Day"/>
    <s v="Mai valutato"/>
    <m/>
    <s v="202505086817134L"/>
    <n v="2043300012553"/>
    <n v="20250508"/>
    <s v="SPECIAL"/>
    <m/>
    <m/>
    <s v="D     - Dare"/>
    <n v="1182.6600000000001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5"/>
    <x v="0"/>
    <x v="0"/>
    <x v="0"/>
    <n v="4902092"/>
    <x v="1"/>
    <x v="1"/>
    <s v="999"/>
    <s v="430"/>
    <s v="430999"/>
    <m/>
    <s v="1"/>
    <s v="Classe di rischio 1"/>
  </r>
  <r>
    <n v="337919"/>
    <x v="4"/>
    <x v="4"/>
    <x v="39"/>
    <n v="53850"/>
    <n v="137"/>
    <s v="053850_137"/>
    <s v="Discovery Day"/>
    <s v="Mai valutato"/>
    <m/>
    <n v="202505087961208"/>
    <n v="1373304102457"/>
    <n v="20250508"/>
    <s v="13 - Addebito per estinzione assegno"/>
    <m/>
    <m/>
    <s v="D     - Dare"/>
    <n v="400000"/>
    <n v="0"/>
    <n v="1003291"/>
    <s v="FRRGPP44R58L230X"/>
    <s v="FERRAZZANO GIUSEPPINA"/>
    <s v="600 - Famiglie consumatrici"/>
    <m/>
    <s v="086 - ITALIA"/>
    <n v="1867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7918"/>
    <x v="5"/>
    <x v="5"/>
    <x v="39"/>
    <n v="53850"/>
    <n v="108"/>
    <s v="053850_108"/>
    <s v="Discovery Day"/>
    <s v="Mai valutato"/>
    <m/>
    <n v="202505087961528"/>
    <n v="1083306291105"/>
    <n v="20250508"/>
    <s v="D1 - Versamento di contante "/>
    <m/>
    <m/>
    <s v="A     - Avere"/>
    <n v="49488.35"/>
    <n v="49488.3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0"/>
    <s v="999"/>
    <s v="430"/>
    <s v="430999"/>
    <m/>
    <s v="1"/>
    <s v="Classe di rischio 1"/>
  </r>
  <r>
    <n v="337917"/>
    <x v="2"/>
    <x v="2"/>
    <x v="39"/>
    <n v="53850"/>
    <n v="187"/>
    <s v="053850_187"/>
    <s v="Discovery Day"/>
    <s v="Mai valutato"/>
    <m/>
    <s v="202505086820514L"/>
    <n v="1873300102696"/>
    <n v="20250508"/>
    <s v="AA - Bonifico da e per estero "/>
    <m/>
    <s v="012 - BULGARIA"/>
    <s v="A     - Avere"/>
    <n v="4682.99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5"/>
    <x v="1"/>
    <x v="0"/>
    <x v="0"/>
    <m/>
    <x v="0"/>
    <x v="0"/>
    <s v="463"/>
    <s v="430"/>
    <s v="430463"/>
    <s v="Classe di rischio 3"/>
    <m/>
    <s v="Classe di rischio 3"/>
  </r>
  <r>
    <n v="337916"/>
    <x v="4"/>
    <x v="4"/>
    <x v="39"/>
    <n v="53850"/>
    <n v="109"/>
    <s v="053850_109"/>
    <s v="Discovery Day"/>
    <s v="Mai valutato"/>
    <m/>
    <s v="202505086819628L"/>
    <n v="1093306677028"/>
    <n v="20250508"/>
    <s v="SPECIAL"/>
    <m/>
    <m/>
    <s v="D     - Dare"/>
    <n v="2370.46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5"/>
    <x v="2"/>
    <x v="1"/>
    <x v="0"/>
    <m/>
    <x v="0"/>
    <x v="1"/>
    <s v="999"/>
    <s v="430"/>
    <s v="430999"/>
    <m/>
    <s v="1"/>
    <s v="Classe di rischio 1"/>
  </r>
  <r>
    <n v="337915"/>
    <x v="5"/>
    <x v="5"/>
    <x v="39"/>
    <n v="53850"/>
    <n v="114"/>
    <s v="053850_114"/>
    <s v="Discovery Day"/>
    <s v="Mai valutato"/>
    <m/>
    <n v="202505087961565"/>
    <n v="1143306280621"/>
    <n v="20250508"/>
    <s v="D1 - Versamento di contante "/>
    <m/>
    <m/>
    <s v="A     - Avere"/>
    <n v="53750"/>
    <n v="5375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30"/>
    <s v="430477"/>
    <s v="Classe di rischio 3"/>
    <m/>
    <s v="Classe di rischio 3"/>
  </r>
  <r>
    <n v="337914"/>
    <x v="4"/>
    <x v="4"/>
    <x v="39"/>
    <n v="53850"/>
    <n v="161"/>
    <s v="053850_161"/>
    <s v="Discovery Day"/>
    <s v="Mai valutato"/>
    <m/>
    <n v="202505087959087"/>
    <n v="1613300029653"/>
    <n v="20250508"/>
    <s v="26 - Bonifico in partenza "/>
    <m/>
    <s v="086 - ITALIA"/>
    <s v="D     - Dare"/>
    <n v="700000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x v="1"/>
    <x v="0"/>
    <x v="0"/>
    <n v="4088769"/>
    <x v="1"/>
    <x v="0"/>
    <s v="464"/>
    <s v="430"/>
    <s v="430464"/>
    <s v="Classe di rischio 4"/>
    <m/>
    <s v="Classe di rischio 4"/>
  </r>
  <r>
    <n v="337913"/>
    <x v="4"/>
    <x v="4"/>
    <x v="39"/>
    <n v="53850"/>
    <n v="109"/>
    <s v="053850_109"/>
    <s v="Discovery Day"/>
    <s v="Mai valutato"/>
    <m/>
    <s v="202505086819611L"/>
    <n v="1093306674452"/>
    <n v="20250508"/>
    <s v="SPECIAL"/>
    <m/>
    <m/>
    <s v="D     - Dare"/>
    <n v="1860.59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5"/>
    <x v="1"/>
    <x v="0"/>
    <x v="0"/>
    <m/>
    <x v="0"/>
    <x v="1"/>
    <s v="999"/>
    <s v="430"/>
    <s v="430999"/>
    <m/>
    <s v="1"/>
    <s v="Classe di rischio 1"/>
  </r>
  <r>
    <n v="337912"/>
    <x v="4"/>
    <x v="4"/>
    <x v="39"/>
    <n v="53850"/>
    <n v="120"/>
    <s v="053850_120"/>
    <s v="Discovery Day"/>
    <s v="Mai valutato"/>
    <m/>
    <n v="202505087959505"/>
    <n v="1203300002401"/>
    <n v="20250508"/>
    <s v="26 - Bonifico in partenza "/>
    <m/>
    <s v="086 - ITALIA"/>
    <s v="D     - Dare"/>
    <n v="660907.43000000005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x v="1"/>
    <x v="0"/>
    <x v="0"/>
    <n v="613876"/>
    <x v="1"/>
    <x v="0"/>
    <s v="999"/>
    <s v="500"/>
    <s v="500999"/>
    <m/>
    <s v="1"/>
    <s v="Classe di rischio 3"/>
  </r>
  <r>
    <n v="337911"/>
    <x v="5"/>
    <x v="5"/>
    <x v="39"/>
    <n v="53850"/>
    <n v="269"/>
    <s v="053850_269"/>
    <s v="Discovery Day"/>
    <s v="Mai valutato"/>
    <m/>
    <s v="Vari (08/05/2025)"/>
    <n v="2693300001614"/>
    <n v="20250508"/>
    <s v="D1 - Versamento di contante "/>
    <m/>
    <m/>
    <s v="A     - Avere"/>
    <n v="45590"/>
    <n v="4559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5"/>
    <x v="1"/>
    <x v="0"/>
    <x v="0"/>
    <n v="1695085"/>
    <x v="1"/>
    <x v="0"/>
    <s v="999"/>
    <s v="615"/>
    <s v="615999"/>
    <m/>
    <s v="1"/>
    <s v="Classe di rischio 3"/>
  </r>
  <r>
    <n v="337910"/>
    <x v="2"/>
    <x v="2"/>
    <x v="39"/>
    <n v="53850"/>
    <n v="118"/>
    <s v="053850_118"/>
    <s v="Discovery Day"/>
    <s v="Mai valutato"/>
    <m/>
    <s v="202505086818128L"/>
    <n v="1183306279722"/>
    <n v="20250508"/>
    <s v="AA - Bonifico da e per estero "/>
    <m/>
    <s v="012 - BULGARIA"/>
    <s v="D     - Dare"/>
    <n v="1515"/>
    <n v="0"/>
    <n v="4144657"/>
    <s v="NTLNTN65A46B619F"/>
    <s v="NATALE ANTONIA"/>
    <s v="600 - Famiglie consumatrici"/>
    <m/>
    <s v="086 - ITALIA"/>
    <n v="632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909"/>
    <x v="4"/>
    <x v="4"/>
    <x v="39"/>
    <n v="53850"/>
    <n v="267"/>
    <s v="053850_267"/>
    <s v="Discovery Day"/>
    <s v="Mai valutato"/>
    <m/>
    <s v="202505086816978L"/>
    <n v="2673300000258"/>
    <n v="20250508"/>
    <s v="SPECIAL"/>
    <m/>
    <m/>
    <s v="D     - Dare"/>
    <n v="1433.15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5"/>
    <x v="1"/>
    <x v="0"/>
    <x v="0"/>
    <n v="1616725"/>
    <x v="1"/>
    <x v="1"/>
    <s v="999"/>
    <s v="430"/>
    <s v="430999"/>
    <m/>
    <s v="1"/>
    <s v="Classe di rischio 1"/>
  </r>
  <r>
    <n v="337908"/>
    <x v="2"/>
    <x v="2"/>
    <x v="39"/>
    <n v="53850"/>
    <n v="104"/>
    <s v="053850_104"/>
    <s v="Discovery Day"/>
    <s v="Mai valutato"/>
    <m/>
    <s v="202505066789558L"/>
    <n v="1043309506207"/>
    <n v="20250506"/>
    <s v="AA - Bonifico da e per estero "/>
    <m/>
    <s v="012 - BULGARIA"/>
    <s v="D     - Dare"/>
    <n v="1583"/>
    <n v="0"/>
    <n v="420391"/>
    <s v="CSMCLD59H17C983P"/>
    <s v="CUSMAI CATALDO"/>
    <s v="615 - Altre famiglie produttrici"/>
    <s v="259 - FABBRICAZIONE DI ALTRI PRODOTTI IN METALLO"/>
    <s v="086 - ITALIA"/>
    <n v="1902"/>
    <m/>
    <m/>
    <m/>
    <m/>
    <m/>
    <m/>
    <m/>
    <n v="0"/>
    <n v="202505"/>
    <x v="0"/>
    <x v="0"/>
    <x v="0"/>
    <m/>
    <x v="0"/>
    <x v="0"/>
    <s v="999"/>
    <s v="615"/>
    <s v="615999"/>
    <m/>
    <s v="1"/>
    <s v="Classe di rischio 3"/>
  </r>
  <r>
    <n v="337907"/>
    <x v="4"/>
    <x v="4"/>
    <x v="40"/>
    <n v="53850"/>
    <n v="182"/>
    <s v="053850_182"/>
    <s v="Discovery Day"/>
    <s v="Mai valutato"/>
    <m/>
    <n v="202505077958798"/>
    <n v="1823300167781"/>
    <n v="20250507"/>
    <s v="SPECIAL"/>
    <m/>
    <m/>
    <s v="D     - Dare"/>
    <n v="9856.8799999999992"/>
    <n v="0"/>
    <n v="3028782"/>
    <s v="DSNRNN56M63C514O"/>
    <s v="DESANTIS ROSANNA"/>
    <s v="600 - Famiglie consumatrici"/>
    <m/>
    <s v="086 - ITALIA"/>
    <n v="616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906"/>
    <x v="5"/>
    <x v="5"/>
    <x v="40"/>
    <n v="53850"/>
    <n v="189"/>
    <s v="053850_189"/>
    <s v="Discovery Day"/>
    <s v="Mai valutato"/>
    <m/>
    <s v="Vari (07/05/2025)"/>
    <n v="1893300023546"/>
    <n v="20250507"/>
    <s v="VV"/>
    <m/>
    <m/>
    <s v="A     - Avere"/>
    <n v="67910"/>
    <n v="6631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5"/>
    <x v="1"/>
    <x v="0"/>
    <x v="0"/>
    <n v="3064562"/>
    <x v="1"/>
    <x v="1"/>
    <s v="999"/>
    <s v="615"/>
    <s v="615999"/>
    <m/>
    <s v="1"/>
    <s v="Classe di rischio 3"/>
  </r>
  <r>
    <n v="337905"/>
    <x v="4"/>
    <x v="4"/>
    <x v="40"/>
    <n v="53850"/>
    <n v="185"/>
    <s v="053850_185"/>
    <s v="Discovery Day"/>
    <s v="Mai valutato"/>
    <m/>
    <n v="202505077957174"/>
    <n v="1853300028940"/>
    <n v="20250507"/>
    <s v="48 - Bonifico in arrivo "/>
    <m/>
    <s v="086 - ITALIA"/>
    <s v="A     - Avere"/>
    <n v="250362.33"/>
    <n v="0"/>
    <n v="3060168"/>
    <s v="FTACSR58P46L049O"/>
    <s v="FAITA CESIRA"/>
    <s v="600 - Famiglie consumatrici"/>
    <m/>
    <s v="086 - ITALIA"/>
    <m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904"/>
    <x v="4"/>
    <x v="4"/>
    <x v="40"/>
    <n v="53850"/>
    <n v="117"/>
    <s v="053850_117"/>
    <s v="Discovery Day"/>
    <s v="Mai valutato"/>
    <m/>
    <s v="202505076755144L"/>
    <n v="1173300538726"/>
    <n v="20250507"/>
    <s v="SPECIAL"/>
    <m/>
    <m/>
    <s v="D     - Dare"/>
    <n v="1688.02"/>
    <n v="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5"/>
    <x v="1"/>
    <x v="0"/>
    <x v="0"/>
    <n v="4784989"/>
    <x v="1"/>
    <x v="1"/>
    <s v="999"/>
    <s v="430"/>
    <s v="430999"/>
    <m/>
    <s v="1"/>
    <s v="Classe di rischio 1"/>
  </r>
  <r>
    <n v="337903"/>
    <x v="3"/>
    <x v="3"/>
    <x v="40"/>
    <n v="53850"/>
    <n v="104"/>
    <s v="053850_104"/>
    <s v="Discovery Day"/>
    <s v="Mai valutato"/>
    <m/>
    <s v="Vari (07/05/2025)"/>
    <n v="1043309505756"/>
    <n v="20250507"/>
    <s v="VV"/>
    <m/>
    <m/>
    <s v="A     - Avere"/>
    <n v="234603.63"/>
    <n v="10000"/>
    <n v="4287383"/>
    <n v="6390440722"/>
    <s v="CORDINI SOCIETA' A RESPONSABILITA' LIMITATA"/>
    <s v="430 - Imprese produttive"/>
    <s v="283 - FABBRICAZIONE DI MACCHINE PER L'AGRICOLTURA E LA SILVICOLTURA"/>
    <s v="086 - ITALIA"/>
    <n v="1696"/>
    <m/>
    <m/>
    <m/>
    <m/>
    <m/>
    <m/>
    <m/>
    <n v="0"/>
    <n v="202505"/>
    <x v="0"/>
    <x v="0"/>
    <x v="0"/>
    <n v="4287383"/>
    <x v="1"/>
    <x v="1"/>
    <s v="999"/>
    <s v="430"/>
    <s v="430999"/>
    <m/>
    <s v="1"/>
    <s v="Classe di rischio 1"/>
  </r>
  <r>
    <n v="337902"/>
    <x v="4"/>
    <x v="4"/>
    <x v="40"/>
    <n v="53850"/>
    <n v="131"/>
    <s v="053850_131"/>
    <s v="Discovery Day"/>
    <s v="Mai valutato"/>
    <m/>
    <n v="202505077958655"/>
    <n v="1313300003339"/>
    <n v="20250507"/>
    <s v="SPECIAL"/>
    <m/>
    <m/>
    <s v="D     - Dare"/>
    <n v="16546.03"/>
    <n v="0"/>
    <n v="4053353"/>
    <s v="LCCSVN34R65H186Q"/>
    <s v="LICCIONE SAVINA"/>
    <s v="600 - Famiglie consumatrici"/>
    <m/>
    <s v="086 - ITALIA"/>
    <n v="1345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901"/>
    <x v="5"/>
    <x v="5"/>
    <x v="40"/>
    <n v="53850"/>
    <n v="171"/>
    <s v="053850_171"/>
    <s v="Discovery Day"/>
    <s v="Mai valutato"/>
    <m/>
    <s v="Vari (07/05/2025)"/>
    <n v="1713302214147"/>
    <n v="20250507"/>
    <s v="03 - Versamento contante cassa continua "/>
    <m/>
    <m/>
    <s v="A     - Avere"/>
    <n v="178955"/>
    <n v="17895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37900"/>
    <x v="3"/>
    <x v="3"/>
    <x v="40"/>
    <n v="53850"/>
    <n v="171"/>
    <s v="053850_171"/>
    <s v="Discovery Day"/>
    <s v="Mai valutato"/>
    <m/>
    <s v="Vari (07/05/2025)"/>
    <n v="1713302214147"/>
    <n v="20250507"/>
    <s v="03 - Versamento contante cassa continua "/>
    <m/>
    <m/>
    <s v="A     - Avere"/>
    <n v="178955"/>
    <n v="17895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37899"/>
    <x v="2"/>
    <x v="2"/>
    <x v="40"/>
    <n v="53850"/>
    <n v="102"/>
    <s v="053850_102"/>
    <s v="Discovery Day"/>
    <s v="Mai valutato"/>
    <m/>
    <s v="202505076751292L"/>
    <n v="2583300001294"/>
    <n v="20250507"/>
    <s v="AA - Bonifico da e per estero "/>
    <m/>
    <s v="261 - CROAZIA"/>
    <s v="A     - Avere"/>
    <n v="3465"/>
    <n v="0"/>
    <n v="4923983"/>
    <n v="8254330726"/>
    <s v="FDESIGN ITALIA SOCIETA' A RESPONSABILITA' LIMITATA"/>
    <s v="430 - Imprese produttive"/>
    <s v="310 - FABBRICAZIONE DI MOBILI"/>
    <s v="086 - ITALIA"/>
    <n v="1949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37898"/>
    <x v="4"/>
    <x v="4"/>
    <x v="40"/>
    <n v="53850"/>
    <n v="125"/>
    <s v="053850_125"/>
    <s v="Discovery Day"/>
    <s v="Mai valutato"/>
    <m/>
    <n v="202505077958640"/>
    <n v="1253300002202"/>
    <n v="20250507"/>
    <s v="SPECIAL"/>
    <m/>
    <m/>
    <s v="D     - Dare"/>
    <n v="105733.24"/>
    <n v="0"/>
    <n v="4885518"/>
    <s v="MSTFLC42R17B354Q"/>
    <s v="MASTANTUONI FELICE"/>
    <s v="600 - Famiglie consumatrici"/>
    <m/>
    <s v="086 - ITALIA"/>
    <n v="1346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897"/>
    <x v="4"/>
    <x v="4"/>
    <x v="40"/>
    <n v="53850"/>
    <n v="267"/>
    <s v="053850_267"/>
    <s v="Discovery Day"/>
    <s v="Mai valutato"/>
    <m/>
    <n v="202505077958504"/>
    <n v="2673300001343"/>
    <n v="20250507"/>
    <s v="SPECIAL"/>
    <m/>
    <m/>
    <s v="D     - Dare"/>
    <n v="11874.46"/>
    <n v="0"/>
    <n v="1643523"/>
    <s v="RRZDNC59A10A386Y"/>
    <s v="ARRUZZA DOMENICO"/>
    <s v="600 - Famiglie consumatrici"/>
    <m/>
    <s v="086 - ITALIA"/>
    <n v="1832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896"/>
    <x v="3"/>
    <x v="3"/>
    <x v="40"/>
    <n v="53850"/>
    <n v="171"/>
    <s v="053850_171"/>
    <s v="Discovery Day"/>
    <s v="Mai valutato"/>
    <m/>
    <s v="Vari (07/05/2025)"/>
    <n v="1713305728950"/>
    <n v="20250507"/>
    <s v="03 - Versamento contante cassa continua "/>
    <m/>
    <m/>
    <s v="A     - Avere"/>
    <n v="493451.85"/>
    <n v="493451.8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37895"/>
    <x v="7"/>
    <x v="7"/>
    <x v="40"/>
    <n v="53850"/>
    <n v="99"/>
    <s v="053850_99"/>
    <s v="Discovery Day"/>
    <s v="Mai valutato"/>
    <m/>
    <n v="202505077958505"/>
    <m/>
    <n v="20250507"/>
    <s v="SPECIAL"/>
    <m/>
    <m/>
    <s v="D     - Dare"/>
    <n v="11874.46"/>
    <n v="0"/>
    <n v="1643523"/>
    <s v="RRZDNC59A10A386Y"/>
    <s v="ARRUZZA DOMENICO"/>
    <s v="600 - Famiglie consumatrici"/>
    <m/>
    <s v="086 - ITALIA"/>
    <n v="1832"/>
    <m/>
    <m/>
    <m/>
    <m/>
    <m/>
    <m/>
    <m/>
    <n v="0"/>
    <n v="202505"/>
    <x v="2"/>
    <x v="1"/>
    <x v="1"/>
    <m/>
    <x v="0"/>
    <x v="1"/>
    <s v="999"/>
    <s v="600"/>
    <s v="600999"/>
    <s v="Classe di rischio 7"/>
    <m/>
    <s v="Classe di rischio 7"/>
  </r>
  <r>
    <n v="337894"/>
    <x v="4"/>
    <x v="4"/>
    <x v="40"/>
    <n v="53850"/>
    <n v="114"/>
    <s v="053850_114"/>
    <s v="Discovery Day"/>
    <s v="Mai valutato"/>
    <m/>
    <n v="202505077958605"/>
    <n v="1143306281918"/>
    <n v="20250507"/>
    <s v="SPECIAL"/>
    <m/>
    <m/>
    <s v="D     - Dare"/>
    <n v="26635.58"/>
    <n v="0"/>
    <n v="554252"/>
    <s v="SNTNNT37B64D643T"/>
    <s v="SANTORO ANTONIETTA"/>
    <s v="600 - Famiglie consumatrici"/>
    <m/>
    <s v="086 - ITALIA"/>
    <n v="642"/>
    <m/>
    <m/>
    <m/>
    <m/>
    <m/>
    <m/>
    <m/>
    <n v="0"/>
    <n v="202505"/>
    <x v="1"/>
    <x v="0"/>
    <x v="0"/>
    <m/>
    <x v="0"/>
    <x v="1"/>
    <s v="999"/>
    <s v="600"/>
    <s v="600999"/>
    <s v="Classe di rischio 7"/>
    <m/>
    <s v="Classe di rischio 7"/>
  </r>
  <r>
    <n v="337893"/>
    <x v="4"/>
    <x v="4"/>
    <x v="40"/>
    <n v="53850"/>
    <n v="182"/>
    <s v="053850_182"/>
    <s v="Discovery Day"/>
    <s v="Mai valutato"/>
    <m/>
    <n v="202505077958333"/>
    <n v="1823300072312"/>
    <n v="20250507"/>
    <s v="13 - Addebito per estinzione assegno"/>
    <m/>
    <m/>
    <s v="D     - Dare"/>
    <n v="99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37892"/>
    <x v="4"/>
    <x v="4"/>
    <x v="40"/>
    <n v="53850"/>
    <n v="104"/>
    <s v="053850_104"/>
    <s v="Discovery Day"/>
    <s v="Mai valutato"/>
    <m/>
    <n v="202505077956107"/>
    <n v="1043304173550"/>
    <n v="20250507"/>
    <s v="26 - Bonifico in partenza "/>
    <m/>
    <s v="086 - ITALIA"/>
    <s v="D     - Dare"/>
    <n v="452125.92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5"/>
    <x v="0"/>
    <x v="0"/>
    <x v="0"/>
    <n v="417355"/>
    <x v="1"/>
    <x v="0"/>
    <s v="464"/>
    <s v="430"/>
    <s v="430464"/>
    <s v="Classe di rischio 4"/>
    <m/>
    <s v="Classe di rischio 4"/>
  </r>
  <r>
    <n v="337891"/>
    <x v="4"/>
    <x v="4"/>
    <x v="40"/>
    <n v="53850"/>
    <n v="267"/>
    <s v="053850_267"/>
    <s v="Discovery Day"/>
    <s v="Mai valutato"/>
    <m/>
    <s v="202505076756492L"/>
    <n v="2673300010262"/>
    <n v="20250507"/>
    <s v="SPECIAL"/>
    <m/>
    <m/>
    <s v="D     - Dare"/>
    <n v="1100.17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5"/>
    <x v="1"/>
    <x v="0"/>
    <x v="0"/>
    <n v="1616725"/>
    <x v="1"/>
    <x v="1"/>
    <s v="999"/>
    <s v="430"/>
    <s v="430999"/>
    <m/>
    <s v="1"/>
    <s v="Classe di rischio 1"/>
  </r>
  <r>
    <n v="337890"/>
    <x v="3"/>
    <x v="3"/>
    <x v="40"/>
    <n v="53850"/>
    <n v="116"/>
    <s v="053850_116"/>
    <s v="Discovery Day"/>
    <s v="Mai valutato"/>
    <m/>
    <n v="202505077958620"/>
    <n v="1163307623465"/>
    <n v="20250507"/>
    <s v="G1 - Versamento assegni tratti su altro intermediario "/>
    <m/>
    <m/>
    <s v="A     - Avere"/>
    <n v="120000"/>
    <n v="0"/>
    <n v="3738297"/>
    <n v="8684570727"/>
    <s v="NOVAGORA' S.R.L."/>
    <s v="430 - Imprese produttive"/>
    <s v="412 - COSTRUZIONE DI EDIFICI RESIDENZIALI E NON RESIDENZIALI"/>
    <s v="086 - ITALIA"/>
    <n v="739"/>
    <m/>
    <m/>
    <m/>
    <m/>
    <m/>
    <m/>
    <m/>
    <n v="0"/>
    <n v="202505"/>
    <x v="2"/>
    <x v="1"/>
    <x v="0"/>
    <m/>
    <x v="0"/>
    <x v="0"/>
    <s v="412"/>
    <s v="430"/>
    <s v="430412"/>
    <s v="Classe di rischio 3"/>
    <m/>
    <s v="Classe di rischio 3"/>
  </r>
  <r>
    <n v="337889"/>
    <x v="3"/>
    <x v="3"/>
    <x v="40"/>
    <n v="53850"/>
    <n v="161"/>
    <s v="053850_161"/>
    <s v="Discovery Day"/>
    <s v="Mai valutato"/>
    <m/>
    <s v="Vari (07/05/2025)"/>
    <n v="1613300029653"/>
    <n v="20250507"/>
    <s v="VV"/>
    <m/>
    <m/>
    <s v="A     - Avere"/>
    <n v="118009.65"/>
    <n v="55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5"/>
    <x v="1"/>
    <x v="0"/>
    <x v="0"/>
    <n v="4088769"/>
    <x v="1"/>
    <x v="1"/>
    <s v="464"/>
    <s v="430"/>
    <s v="430464"/>
    <s v="Classe di rischio 4"/>
    <m/>
    <s v="Classe di rischio 4"/>
  </r>
  <r>
    <n v="337888"/>
    <x v="3"/>
    <x v="3"/>
    <x v="40"/>
    <n v="53850"/>
    <n v="282"/>
    <s v="053850_282"/>
    <s v="Discovery Day"/>
    <s v="Mai valutato"/>
    <m/>
    <n v="202505077958968"/>
    <n v="2823300002892"/>
    <n v="20250507"/>
    <s v="G1 - Versamento assegni tratti su altro intermediario "/>
    <m/>
    <m/>
    <s v="A     - Avere"/>
    <n v="101552.46"/>
    <n v="0"/>
    <n v="1706728"/>
    <n v="2018990693"/>
    <s v="CERINO SRL"/>
    <s v="430 - Imprese produttive"/>
    <s v="467 - COMMERCIO ALL'INGROSSO SPECIALIZZATO DI ALTRI PRODOTTI"/>
    <s v="086 - ITALIA"/>
    <n v="1877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37887"/>
    <x v="4"/>
    <x v="4"/>
    <x v="40"/>
    <n v="53850"/>
    <n v="187"/>
    <s v="053850_187"/>
    <s v="Discovery Day"/>
    <s v="Mai valutato"/>
    <m/>
    <s v="202505076754722L"/>
    <n v="1873300126632"/>
    <n v="20250507"/>
    <s v="SPECIAL"/>
    <m/>
    <m/>
    <s v="D     - Dare"/>
    <n v="4618.8100000000004"/>
    <n v="0"/>
    <n v="4057538"/>
    <s v="DMRLRA24D44E036U"/>
    <s v="DI MIRA LAURA"/>
    <s v="600 - Famiglie consumatrici"/>
    <m/>
    <s v="086 - ITALIA"/>
    <n v="1162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886"/>
    <x v="4"/>
    <x v="4"/>
    <x v="40"/>
    <n v="53850"/>
    <n v="129"/>
    <s v="053850_129"/>
    <s v="Discovery Day"/>
    <s v="Mai valutato"/>
    <m/>
    <n v="202505077958161"/>
    <n v="1293300002160"/>
    <n v="20250507"/>
    <s v="13 - Addebito per estinzione assegno"/>
    <m/>
    <m/>
    <s v="D     - Dare"/>
    <n v="720000"/>
    <n v="0"/>
    <n v="4162937"/>
    <n v="4879190728"/>
    <s v="DI PINTO &amp; DALESSANDRO S.P.A."/>
    <s v="430 - Imprese produttive"/>
    <s v="292 - FABBRICAZIONE DI CARROZZERIE PER AUTOVEICOLI, RIMORCHI E SEMIRIMORCHI"/>
    <s v="086 - ITALIA"/>
    <n v="1058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37885"/>
    <x v="5"/>
    <x v="5"/>
    <x v="40"/>
    <n v="53850"/>
    <n v="108"/>
    <s v="053850_108"/>
    <s v="Discovery Day"/>
    <s v="Mai valutato"/>
    <m/>
    <s v="Vari (07/05/2025)"/>
    <n v="1083306291105"/>
    <n v="20250507"/>
    <s v="VV"/>
    <m/>
    <m/>
    <s v="A     - Avere"/>
    <n v="181643.69"/>
    <n v="85265.9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37884"/>
    <x v="4"/>
    <x v="4"/>
    <x v="40"/>
    <n v="53850"/>
    <n v="102"/>
    <s v="053850_102"/>
    <s v="Discovery Day"/>
    <s v="Mai valutato"/>
    <m/>
    <n v="202505077957322"/>
    <n v="1023308726073"/>
    <n v="20250507"/>
    <s v="48 - Bonifico in arrivo "/>
    <m/>
    <s v="086 - ITALIA"/>
    <s v="A     - Avere"/>
    <n v="803359.51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5"/>
    <x v="2"/>
    <x v="1"/>
    <x v="0"/>
    <m/>
    <x v="0"/>
    <x v="0"/>
    <s v="412"/>
    <s v="430"/>
    <s v="430412"/>
    <s v="Classe di rischio 3"/>
    <m/>
    <s v="Classe di rischio 3"/>
  </r>
  <r>
    <n v="337883"/>
    <x v="4"/>
    <x v="4"/>
    <x v="40"/>
    <n v="53850"/>
    <n v="185"/>
    <s v="053850_185"/>
    <s v="Discovery Day"/>
    <s v="Mai valutato"/>
    <m/>
    <n v="202505077957174"/>
    <n v="1853300028940"/>
    <n v="20250507"/>
    <s v="48 - Bonifico in arrivo "/>
    <m/>
    <s v="086 - ITALIA"/>
    <s v="A     - Avere"/>
    <n v="250362.33"/>
    <n v="0"/>
    <n v="3060089"/>
    <s v="GLAMRA54T19G942G"/>
    <s v="GALA MARIO"/>
    <s v="600 - Famiglie consumatrici"/>
    <m/>
    <s v="086 - ITALIA"/>
    <n v="610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882"/>
    <x v="5"/>
    <x v="5"/>
    <x v="40"/>
    <n v="53850"/>
    <n v="116"/>
    <s v="053850_116"/>
    <s v="Discovery Day"/>
    <s v="Mai valutato"/>
    <m/>
    <n v="202505077958418"/>
    <n v="2343300010453"/>
    <n v="20250507"/>
    <s v="03 - Versamento contante cassa continua "/>
    <m/>
    <m/>
    <s v="A     - Avere"/>
    <n v="82623"/>
    <n v="82623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37881"/>
    <x v="3"/>
    <x v="3"/>
    <x v="40"/>
    <n v="53850"/>
    <n v="121"/>
    <s v="053850_121"/>
    <s v="Discovery Day"/>
    <s v="Mai valutato"/>
    <m/>
    <n v="202505077958635"/>
    <n v="1213300002971"/>
    <n v="20250507"/>
    <s v="G1 - Versamento assegni tratti su altro intermediario "/>
    <m/>
    <m/>
    <s v="A     - Avere"/>
    <n v="200000"/>
    <n v="0"/>
    <n v="4859756"/>
    <n v="7229510727"/>
    <s v="ORGANIZZAZIONE DI PRODUTTORI PUGLIAVIVA - SO"/>
    <s v="430 - Imprese produttive"/>
    <s v="016 - ATTIVITÀ DI SUPPORTO ALL'AGRICOLTURA E ATTIVITÀ SUCCESSIVE ALLA RACCOLTA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37880"/>
    <x v="4"/>
    <x v="4"/>
    <x v="40"/>
    <n v="53850"/>
    <n v="169"/>
    <s v="053850_169"/>
    <s v="Discovery Day"/>
    <s v="Mai valutato"/>
    <m/>
    <n v="202505077958736"/>
    <n v="1693302223212"/>
    <n v="20250507"/>
    <s v="SPECIAL"/>
    <m/>
    <m/>
    <s v="D     - Dare"/>
    <n v="15253.79"/>
    <n v="0"/>
    <n v="548505"/>
    <s v="DLLFNC50D13A883H"/>
    <s v="DELL'OLIO FRANCESCO"/>
    <s v="600 - Famiglie consumatrici"/>
    <m/>
    <s v="086 - ITALIA"/>
    <n v="905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879"/>
    <x v="4"/>
    <x v="4"/>
    <x v="40"/>
    <n v="53850"/>
    <n v="109"/>
    <s v="053850_109"/>
    <s v="Discovery Day"/>
    <s v="Mai valutato"/>
    <m/>
    <s v="202505076748586L"/>
    <n v="1093304818240"/>
    <n v="20250507"/>
    <s v="SPECIAL"/>
    <m/>
    <m/>
    <s v="D     - Dare"/>
    <n v="1224.77"/>
    <n v="0"/>
    <n v="481824"/>
    <s v="GNCMTT58A05F284K"/>
    <s v="GIANCASPRO MATTEO"/>
    <s v="600 - Famiglie consumatrici"/>
    <m/>
    <s v="086 - ITALIA"/>
    <n v="507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878"/>
    <x v="3"/>
    <x v="3"/>
    <x v="40"/>
    <n v="53850"/>
    <n v="216"/>
    <s v="053850_216"/>
    <s v="Discovery Day"/>
    <s v="Mai valutato"/>
    <m/>
    <n v="202505077958868"/>
    <n v="2163300011466"/>
    <n v="20250507"/>
    <s v="G8 - Versamento assegno circolare stesso intermediario"/>
    <m/>
    <m/>
    <s v="A     - Avere"/>
    <n v="145000"/>
    <n v="0"/>
    <n v="4512115"/>
    <n v="916690670"/>
    <s v="SOCIETA' FORNI INDUSTRIALI MACCHINE AUTOMATIZZATE S.R.L. IN LIQUIDAZION"/>
    <s v="430 - Imprese produttive"/>
    <s v="284 - FABBRICAZIONE DI MACCHINE PER LA FORMATURA DEI METALLI E DI ALTRE MACCHINE UTENSILI"/>
    <s v="086 - ITALIA"/>
    <n v="1595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37877"/>
    <x v="7"/>
    <x v="7"/>
    <x v="40"/>
    <n v="53850"/>
    <n v="99"/>
    <s v="053850_99"/>
    <s v="Discovery Day"/>
    <s v="Mai valutato"/>
    <m/>
    <s v="202505076748107L"/>
    <m/>
    <n v="20250507"/>
    <s v="SPECIAL"/>
    <m/>
    <m/>
    <s v="D     - Dare"/>
    <n v="1224.77"/>
    <n v="0"/>
    <n v="481824"/>
    <s v="GNCMTT58A05F284K"/>
    <s v="GIANCASPRO MATTEO"/>
    <s v="600 - Famiglie consumatrici"/>
    <m/>
    <s v="086 - ITALIA"/>
    <n v="507"/>
    <m/>
    <m/>
    <m/>
    <m/>
    <m/>
    <m/>
    <m/>
    <n v="0"/>
    <n v="202505"/>
    <x v="2"/>
    <x v="1"/>
    <x v="1"/>
    <m/>
    <x v="0"/>
    <x v="1"/>
    <s v="999"/>
    <s v="600"/>
    <s v="600999"/>
    <s v="Classe di rischio 7"/>
    <m/>
    <s v="Classe di rischio 7"/>
  </r>
  <r>
    <n v="337876"/>
    <x v="4"/>
    <x v="4"/>
    <x v="40"/>
    <n v="53850"/>
    <n v="259"/>
    <s v="053850_259"/>
    <s v="Discovery Day"/>
    <s v="Mai valutato"/>
    <m/>
    <n v="202505077957549"/>
    <n v="2593300001020"/>
    <n v="20250507"/>
    <s v="48 - Bonifico in arrivo "/>
    <m/>
    <s v="086 - ITALIA"/>
    <s v="A     - Avere"/>
    <n v="7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5"/>
    <x v="4"/>
    <x v="1"/>
    <x v="0"/>
    <m/>
    <x v="0"/>
    <x v="0"/>
    <s v="620"/>
    <s v="430"/>
    <s v="430620"/>
    <s v="Classe di rischio 3"/>
    <m/>
    <s v="Classe di rischio 3"/>
  </r>
  <r>
    <n v="337875"/>
    <x v="5"/>
    <x v="5"/>
    <x v="40"/>
    <n v="53850"/>
    <n v="148"/>
    <s v="053850_148"/>
    <s v="Discovery Day"/>
    <s v="Mai valutato"/>
    <m/>
    <n v="202505077958691"/>
    <n v="1483300010620"/>
    <n v="20250507"/>
    <s v="D1 - Versamento di contante "/>
    <m/>
    <m/>
    <s v="A     - Avere"/>
    <n v="23170"/>
    <n v="2317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5"/>
    <x v="1"/>
    <x v="0"/>
    <x v="0"/>
    <n v="4247284"/>
    <x v="1"/>
    <x v="0"/>
    <s v="477"/>
    <s v="615"/>
    <s v="615477"/>
    <s v="Classe di rischio 6"/>
    <m/>
    <s v="Classe di rischio 6"/>
  </r>
  <r>
    <n v="337874"/>
    <x v="4"/>
    <x v="4"/>
    <x v="40"/>
    <n v="53850"/>
    <n v="169"/>
    <s v="053850_169"/>
    <s v="Discovery Day"/>
    <s v="Mai valutato"/>
    <m/>
    <n v="202505077958736"/>
    <n v="1693302223212"/>
    <n v="20250507"/>
    <s v="SPECIAL"/>
    <m/>
    <m/>
    <s v="D     - Dare"/>
    <n v="15253.79"/>
    <n v="0"/>
    <n v="548508"/>
    <s v="BMBMRA51H48A883Q"/>
    <s v="BOMBINI MARIA"/>
    <s v="600 - Famiglie consumatrici"/>
    <m/>
    <s v="086 - ITALIA"/>
    <n v="1261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873"/>
    <x v="3"/>
    <x v="3"/>
    <x v="40"/>
    <n v="53850"/>
    <n v="108"/>
    <s v="053850_108"/>
    <s v="Discovery Day"/>
    <s v="Mai valutato"/>
    <m/>
    <s v="Vari (07/05/2025)"/>
    <n v="1083306291105"/>
    <n v="20250507"/>
    <s v="VV"/>
    <m/>
    <m/>
    <s v="A     - Avere"/>
    <n v="181643.69"/>
    <n v="85265.9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37872"/>
    <x v="4"/>
    <x v="4"/>
    <x v="40"/>
    <n v="53850"/>
    <n v="126"/>
    <s v="053850_126"/>
    <s v="Discovery Day"/>
    <s v="Mai valutato"/>
    <m/>
    <s v="202505076748209L"/>
    <n v="1263300003423"/>
    <n v="20250507"/>
    <s v="SPECIAL"/>
    <m/>
    <m/>
    <s v="D     - Dare"/>
    <n v="3048.32"/>
    <n v="0"/>
    <n v="4670196"/>
    <s v="DNNMRS69A45B619C"/>
    <s v="DI NUNNO MARIA ROSARIA"/>
    <s v="600 - Famiglie consumatrici"/>
    <m/>
    <s v="086 - ITALIA"/>
    <n v="1423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871"/>
    <x v="4"/>
    <x v="4"/>
    <x v="40"/>
    <n v="53850"/>
    <n v="102"/>
    <s v="053850_102"/>
    <s v="Discovery Day"/>
    <s v="Mai valutato"/>
    <m/>
    <n v="202505077958520"/>
    <n v="1503300003188"/>
    <n v="20250507"/>
    <s v="AF - Disp.giro conti diversi intestati ordinante(stesso intermed.)"/>
    <m/>
    <s v="086 - ITALIA"/>
    <s v="A     - Avere"/>
    <n v="2082871.68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x v="0"/>
    <x v="0"/>
    <x v="0"/>
    <m/>
    <x v="0"/>
    <x v="0"/>
    <s v="999"/>
    <s v="259"/>
    <s v="259999"/>
    <m/>
    <s v="1"/>
    <s v="Classe di rischio 0"/>
  </r>
  <r>
    <n v="337870"/>
    <x v="3"/>
    <x v="3"/>
    <x v="40"/>
    <n v="53850"/>
    <n v="170"/>
    <s v="053850_170"/>
    <s v="Discovery Day"/>
    <s v="Mai valutato"/>
    <m/>
    <n v="202505077958749"/>
    <n v="1703306290965"/>
    <n v="20250507"/>
    <s v="G7 - Versamento assegno circolare altro intermediario "/>
    <m/>
    <m/>
    <s v="A     - Avere"/>
    <n v="224400"/>
    <n v="0"/>
    <n v="3734846"/>
    <n v="8512530729"/>
    <s v="AC COSTRUZIONI SRL"/>
    <s v="430 - Imprese produttive"/>
    <s v="412 - COSTRUZIONE DI EDIFICI RESIDENZIALI E NON RESIDENZIALI"/>
    <s v="086 - ITALIA"/>
    <n v="1920"/>
    <m/>
    <m/>
    <m/>
    <m/>
    <m/>
    <m/>
    <m/>
    <n v="0"/>
    <n v="202505"/>
    <x v="2"/>
    <x v="1"/>
    <x v="0"/>
    <m/>
    <x v="0"/>
    <x v="0"/>
    <s v="412"/>
    <s v="430"/>
    <s v="430412"/>
    <s v="Classe di rischio 3"/>
    <m/>
    <s v="Classe di rischio 3"/>
  </r>
  <r>
    <n v="337869"/>
    <x v="3"/>
    <x v="3"/>
    <x v="40"/>
    <n v="53850"/>
    <n v="145"/>
    <s v="053850_145"/>
    <s v="Discovery Day"/>
    <s v="Mai valutato"/>
    <m/>
    <s v="Vari (07/05/2025)"/>
    <n v="1453300003229"/>
    <n v="20250507"/>
    <s v="VV"/>
    <m/>
    <m/>
    <s v="A     - Avere"/>
    <n v="135000"/>
    <n v="0"/>
    <n v="4933594"/>
    <n v="7990761210"/>
    <s v="I.F.B. SOCIETA' A RESPONSABILITA' LIMITATA"/>
    <s v="430 - Imprese produttive"/>
    <s v="662 - ATTIVITÀ AUSILIARIE DELLE ASSICURAZIONI E DEI FONDI PENSIONE"/>
    <s v="086 - ITALIA"/>
    <n v="1222"/>
    <m/>
    <m/>
    <m/>
    <m/>
    <m/>
    <m/>
    <m/>
    <n v="0"/>
    <n v="202505"/>
    <x v="4"/>
    <x v="1"/>
    <x v="0"/>
    <m/>
    <x v="0"/>
    <x v="1"/>
    <s v="999"/>
    <s v="430"/>
    <s v="430999"/>
    <m/>
    <s v="1"/>
    <s v="Classe di rischio 1"/>
  </r>
  <r>
    <n v="337868"/>
    <x v="2"/>
    <x v="2"/>
    <x v="40"/>
    <n v="53850"/>
    <n v="136"/>
    <s v="053850_136"/>
    <s v="Discovery Day"/>
    <s v="Mai valutato"/>
    <m/>
    <n v="202505077957636"/>
    <n v="1361147800126"/>
    <n v="20250507"/>
    <s v="AA - Bonifico da e per estero "/>
    <m/>
    <s v="238 - ABU DHABI"/>
    <s v="D     - Dare"/>
    <n v="716657.07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37867"/>
    <x v="5"/>
    <x v="5"/>
    <x v="40"/>
    <n v="53850"/>
    <n v="171"/>
    <s v="053850_171"/>
    <s v="Discovery Day"/>
    <s v="Mai valutato"/>
    <m/>
    <s v="Vari (07/05/2025)"/>
    <n v="1713305728950"/>
    <n v="20250507"/>
    <s v="03 - Versamento contante cassa continua "/>
    <m/>
    <m/>
    <s v="A     - Avere"/>
    <n v="493451.85"/>
    <n v="493451.8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37866"/>
    <x v="5"/>
    <x v="5"/>
    <x v="40"/>
    <n v="53850"/>
    <n v="118"/>
    <s v="053850_118"/>
    <s v="Discovery Day"/>
    <s v="Mai valutato"/>
    <m/>
    <n v="202505077958043"/>
    <n v="1023308722503"/>
    <n v="20250507"/>
    <s v="03 - Versamento contante cassa continua "/>
    <m/>
    <m/>
    <s v="A     - Avere"/>
    <n v="15050"/>
    <n v="150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37865"/>
    <x v="6"/>
    <x v="6"/>
    <x v="40"/>
    <n v="53850"/>
    <n v="226"/>
    <s v="053850_226"/>
    <s v="Discovery Day"/>
    <s v="Mai valutato"/>
    <m/>
    <n v="202505077957180"/>
    <n v="1453300003928"/>
    <n v="20250507"/>
    <s v="AA - Bonifico da e per estero "/>
    <m/>
    <s v="071 - SVIZZERA"/>
    <s v="A     - Avere"/>
    <n v="22000"/>
    <n v="0"/>
    <n v="3726295"/>
    <n v="10503411216"/>
    <s v="MHARE S.R.L."/>
    <s v="430 - Imprese produttive"/>
    <s v="721 - RICERCA E SVILUPPO SPERIMENTALE NEL CAMPO DELLE SCIENZE NATURALI E DELL'INGEGNERIA"/>
    <s v="086 - ITALIA"/>
    <n v="1932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37864"/>
    <x v="5"/>
    <x v="5"/>
    <x v="40"/>
    <n v="53850"/>
    <n v="287"/>
    <s v="053850_287"/>
    <s v="Discovery Day"/>
    <s v="Mai valutato"/>
    <m/>
    <s v="Vari (07/05/2025)"/>
    <n v="2873300001853"/>
    <n v="20250507"/>
    <s v="VV"/>
    <m/>
    <m/>
    <s v="A     - Avere"/>
    <n v="59803.34"/>
    <n v="3961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5"/>
    <x v="0"/>
    <x v="0"/>
    <x v="0"/>
    <n v="3722213"/>
    <x v="1"/>
    <x v="1"/>
    <s v="463"/>
    <s v="430"/>
    <s v="430463"/>
    <s v="Classe di rischio 3"/>
    <m/>
    <s v="Classe di rischio 3"/>
  </r>
  <r>
    <n v="337863"/>
    <x v="4"/>
    <x v="4"/>
    <x v="40"/>
    <n v="53850"/>
    <n v="131"/>
    <s v="053850_131"/>
    <s v="Discovery Day"/>
    <s v="Mai valutato"/>
    <m/>
    <n v="202505077958655"/>
    <n v="1313300003339"/>
    <n v="20250507"/>
    <s v="SPECIAL"/>
    <m/>
    <m/>
    <s v="D     - Dare"/>
    <n v="16546.03"/>
    <n v="0"/>
    <n v="4054276"/>
    <s v="TMSVCN34B05H831A"/>
    <s v="TOMASULO VINCENZO"/>
    <s v="600 - Famiglie consumatrici"/>
    <m/>
    <s v="086 - ITALIA"/>
    <n v="1345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862"/>
    <x v="4"/>
    <x v="4"/>
    <x v="40"/>
    <n v="53850"/>
    <n v="174"/>
    <s v="053850_174"/>
    <s v="Discovery Day"/>
    <s v="Mai valutato"/>
    <m/>
    <s v="202505076754869L"/>
    <n v="1743302878738"/>
    <n v="20250507"/>
    <s v="SPECIAL"/>
    <m/>
    <m/>
    <s v="D     - Dare"/>
    <n v="1548.53"/>
    <n v="0"/>
    <n v="4502107"/>
    <s v="MRSMRA70P48F376O"/>
    <s v="MARASCIULO MARIA"/>
    <s v="600 - Famiglie consumatrici"/>
    <m/>
    <s v="086 - ITALIA"/>
    <n v="1106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861"/>
    <x v="4"/>
    <x v="4"/>
    <x v="40"/>
    <n v="53850"/>
    <n v="182"/>
    <s v="053850_182"/>
    <s v="Discovery Day"/>
    <s v="Mai valutato"/>
    <m/>
    <n v="202505077958798"/>
    <n v="1823300167781"/>
    <n v="20250507"/>
    <s v="SPECIAL"/>
    <m/>
    <m/>
    <s v="D     - Dare"/>
    <n v="9856.8799999999992"/>
    <n v="0"/>
    <n v="3030646"/>
    <s v="CLLGNN53E18L049L"/>
    <s v="COLELLA GIOVANNI"/>
    <s v="600 - Famiglie consumatrici"/>
    <m/>
    <s v="086 - ITALIA"/>
    <n v="616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860"/>
    <x v="4"/>
    <x v="4"/>
    <x v="40"/>
    <n v="53850"/>
    <n v="102"/>
    <s v="053850_102"/>
    <s v="Discovery Day"/>
    <s v="Mai valutato"/>
    <m/>
    <n v="202505077957172"/>
    <n v="1023308728148"/>
    <n v="20250507"/>
    <s v="48 - Bonifico in arrivo "/>
    <m/>
    <s v="086 - ITALIA"/>
    <s v="A     - Avere"/>
    <n v="333911.57"/>
    <n v="0"/>
    <n v="153952"/>
    <s v="CRLCLS38A01A225I"/>
    <s v="CARLUCCI CARLO SALVATORE"/>
    <s v="600 - Famiglie consumatrici"/>
    <m/>
    <s v="086 - ITALIA"/>
    <n v="1335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37859"/>
    <x v="4"/>
    <x v="4"/>
    <x v="41"/>
    <n v="53850"/>
    <n v="268"/>
    <s v="053850_268"/>
    <s v="Discovery Day"/>
    <s v="Mai valutato"/>
    <m/>
    <n v="202505067953815"/>
    <n v="2683300005621"/>
    <n v="20250506"/>
    <s v="48 - Bonifico in arrivo "/>
    <m/>
    <s v="086 - ITALIA"/>
    <s v="A     - Avere"/>
    <n v="249820.54"/>
    <n v="0"/>
    <n v="1695313"/>
    <s v="SPNNTN56M24F207G"/>
    <s v="SPINA ANTONIO"/>
    <s v="600 - Famiglie consumatrici"/>
    <m/>
    <s v="086 - ITALIA"/>
    <n v="1887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858"/>
    <x v="2"/>
    <x v="2"/>
    <x v="41"/>
    <n v="53850"/>
    <n v="148"/>
    <s v="053850_148"/>
    <s v="Discovery Day"/>
    <s v="Mai valutato"/>
    <m/>
    <n v="202505067953863"/>
    <n v="1483300003872"/>
    <n v="20250506"/>
    <s v="AA - Bonifico da e per estero "/>
    <m/>
    <s v="261 - CROAZIA"/>
    <s v="A     - Avere"/>
    <n v="28963.49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37857"/>
    <x v="5"/>
    <x v="5"/>
    <x v="41"/>
    <n v="53850"/>
    <n v="161"/>
    <s v="053850_161"/>
    <s v="Discovery Day"/>
    <s v="Mai valutato"/>
    <m/>
    <s v="Vari (06/05/2025)"/>
    <n v="1613300031333"/>
    <n v="20250506"/>
    <s v="VV"/>
    <m/>
    <m/>
    <s v="A     - Avere"/>
    <n v="45502.15"/>
    <n v="4153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5"/>
    <x v="1"/>
    <x v="0"/>
    <x v="0"/>
    <n v="511904"/>
    <x v="1"/>
    <x v="1"/>
    <s v="999"/>
    <s v="615"/>
    <s v="615999"/>
    <m/>
    <s v="1"/>
    <s v="Classe di rischio 3"/>
  </r>
  <r>
    <n v="337856"/>
    <x v="5"/>
    <x v="5"/>
    <x v="41"/>
    <n v="53850"/>
    <n v="156"/>
    <s v="053850_156"/>
    <s v="Discovery Day"/>
    <s v="Mai valutato"/>
    <m/>
    <n v="202505067955502"/>
    <n v="1923300181861"/>
    <n v="20250506"/>
    <s v="D1 - Versamento di contante "/>
    <m/>
    <m/>
    <s v="A     - Avere"/>
    <n v="16500"/>
    <n v="16500"/>
    <n v="4114433"/>
    <s v="DSNPTR73A29L049Q"/>
    <s v="DI SANTO PIETRO"/>
    <s v="600 - Famiglie consumatrici"/>
    <m/>
    <s v="086 - ITALIA"/>
    <n v="1962"/>
    <m/>
    <m/>
    <m/>
    <m/>
    <m/>
    <m/>
    <m/>
    <n v="0"/>
    <n v="202505"/>
    <x v="1"/>
    <x v="0"/>
    <x v="0"/>
    <n v="4114433"/>
    <x v="1"/>
    <x v="0"/>
    <s v="999"/>
    <s v="600"/>
    <s v="600999"/>
    <s v="Classe di rischio 7"/>
    <m/>
    <s v="Classe di rischio 7"/>
  </r>
  <r>
    <n v="337855"/>
    <x v="5"/>
    <x v="5"/>
    <x v="41"/>
    <n v="53850"/>
    <n v="167"/>
    <s v="053850_167"/>
    <s v="Discovery Day"/>
    <s v="Mai valutato"/>
    <m/>
    <n v="202505067955540"/>
    <n v="1673301672576"/>
    <n v="20250506"/>
    <s v="D1 - Versamento di contante "/>
    <m/>
    <m/>
    <s v="A     - Avere"/>
    <n v="17000"/>
    <n v="17000"/>
    <n v="4639937"/>
    <n v="7129090721"/>
    <s v="FARMACIA ANCONA DEL DR.ANCONA ROCCO &amp; C.SOCIETA' IN NOMECOLLETTIVO"/>
    <s v="492 - Quasi societa' non finanziarie altre - Unita' o societa' con meno di 20 addetti"/>
    <s v="477 - COMMERCIO AL DETTAGLIO DI ALTRI PRODOTTI IN ESERCIZI SPECIALIZZATI"/>
    <s v="086 - ITALIA"/>
    <n v="1175"/>
    <m/>
    <m/>
    <m/>
    <m/>
    <m/>
    <m/>
    <m/>
    <n v="0"/>
    <n v="202505"/>
    <x v="1"/>
    <x v="0"/>
    <x v="0"/>
    <m/>
    <x v="0"/>
    <x v="0"/>
    <s v="477"/>
    <s v="492"/>
    <s v="492477"/>
    <s v="Classe di rischio 5"/>
    <m/>
    <s v="Classe di rischio 5"/>
  </r>
  <r>
    <n v="337854"/>
    <x v="11"/>
    <x v="11"/>
    <x v="41"/>
    <n v="53850"/>
    <n v="156"/>
    <s v="053850_156"/>
    <s v="Discovery Day"/>
    <s v="Mai valutato"/>
    <m/>
    <n v="202505067955503"/>
    <n v="1825500227410"/>
    <n v="20250506"/>
    <s v="BT - Rimborso su libretti a risparmio "/>
    <m/>
    <m/>
    <s v="D     - Dare"/>
    <n v="16500"/>
    <n v="16500"/>
    <n v="3001369"/>
    <s v="SLRNNT44B59I954J"/>
    <s v="SALERNO ANTONIETTA"/>
    <s v="600 - Famiglie consumatrici"/>
    <m/>
    <s v="086 - ITALIA"/>
    <n v="481"/>
    <m/>
    <m/>
    <m/>
    <m/>
    <m/>
    <m/>
    <m/>
    <n v="0"/>
    <n v="202505"/>
    <x v="0"/>
    <x v="0"/>
    <x v="1"/>
    <m/>
    <x v="0"/>
    <x v="0"/>
    <s v="999"/>
    <s v="600"/>
    <s v="600999"/>
    <s v="Classe di rischio 7"/>
    <m/>
    <s v="Classe di rischio 7"/>
  </r>
  <r>
    <n v="337853"/>
    <x v="5"/>
    <x v="5"/>
    <x v="41"/>
    <n v="53850"/>
    <n v="156"/>
    <s v="053850_156"/>
    <s v="Discovery Day"/>
    <s v="Mai valutato"/>
    <m/>
    <n v="202505067955502"/>
    <n v="1923300181861"/>
    <n v="20250506"/>
    <s v="D1 - Versamento di contante "/>
    <m/>
    <m/>
    <s v="A     - Avere"/>
    <n v="16500"/>
    <n v="16500"/>
    <n v="3001369"/>
    <s v="SLRNNT44B59I954J"/>
    <s v="SALERNO ANTONIETTA"/>
    <s v="600 - Famiglie consumatrici"/>
    <m/>
    <s v="086 - ITALIA"/>
    <n v="481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37852"/>
    <x v="4"/>
    <x v="4"/>
    <x v="41"/>
    <n v="53850"/>
    <n v="271"/>
    <s v="053850_271"/>
    <s v="Discovery Day"/>
    <s v="Mai valutato"/>
    <m/>
    <n v="202505067955749"/>
    <n v="2713300010802"/>
    <n v="20250506"/>
    <s v="26 - Bonifico in partenza "/>
    <m/>
    <s v="086 - ITALIA"/>
    <s v="D     - Dare"/>
    <n v="83067.360000000001"/>
    <n v="0"/>
    <n v="1629309"/>
    <s v="VRNMDN60R62E243D"/>
    <s v="VERNA MARIA DINA"/>
    <s v="615 - Altre famiglie produttrici"/>
    <s v="477 - COMMERCIO AL DETTAGLIO DI ALTRI PRODOTTI IN ESERCIZI SPECIALIZZATI"/>
    <s v="086 - ITALIA"/>
    <n v="1387"/>
    <m/>
    <m/>
    <m/>
    <m/>
    <m/>
    <m/>
    <m/>
    <n v="0"/>
    <n v="202505"/>
    <x v="1"/>
    <x v="0"/>
    <x v="0"/>
    <n v="1629309"/>
    <x v="1"/>
    <x v="0"/>
    <s v="477"/>
    <s v="615"/>
    <s v="615477"/>
    <s v="Classe di rischio 6"/>
    <m/>
    <s v="Classe di rischio 6"/>
  </r>
  <r>
    <n v="337851"/>
    <x v="3"/>
    <x v="3"/>
    <x v="41"/>
    <n v="53850"/>
    <n v="121"/>
    <s v="053850_121"/>
    <s v="Discovery Day"/>
    <s v="Mai valutato"/>
    <m/>
    <n v="202505067955388"/>
    <n v="1213300003598"/>
    <n v="20250506"/>
    <s v="G7 - Versamento assegno circolare altro intermediario "/>
    <m/>
    <m/>
    <s v="A     - Avere"/>
    <n v="400000"/>
    <n v="0"/>
    <n v="4822605"/>
    <s v="MSSPLA85C17A662K"/>
    <s v="MOSSA IDRA PAOLO"/>
    <s v="600 - Famiglie consumatrici"/>
    <m/>
    <s v="086 - ITALIA"/>
    <n v="1054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37850"/>
    <x v="4"/>
    <x v="4"/>
    <x v="41"/>
    <n v="53850"/>
    <n v="271"/>
    <s v="053850_271"/>
    <s v="Discovery Day"/>
    <s v="Mai valutato"/>
    <m/>
    <n v="202505067955751"/>
    <n v="2713300002002"/>
    <n v="20250506"/>
    <s v="SPECIAL"/>
    <m/>
    <m/>
    <s v="D     - Dare"/>
    <n v="5662.14"/>
    <n v="0"/>
    <n v="1630114"/>
    <s v="DPLMLC50M44I394R"/>
    <s v="DI PAOLO MARIA LUCIA"/>
    <s v="600 - Famiglie consumatrici"/>
    <m/>
    <s v="086 - ITALIA"/>
    <n v="1791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849"/>
    <x v="4"/>
    <x v="4"/>
    <x v="41"/>
    <n v="53850"/>
    <n v="109"/>
    <s v="053850_109"/>
    <s v="Discovery Day"/>
    <s v="Mai valutato"/>
    <m/>
    <n v="202505067954693"/>
    <n v="1093306673999"/>
    <n v="20250506"/>
    <s v="25 - Pagamento di documenti su Italia "/>
    <m/>
    <m/>
    <s v="D     - Dare"/>
    <n v="969486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37848"/>
    <x v="4"/>
    <x v="4"/>
    <x v="41"/>
    <n v="53850"/>
    <n v="271"/>
    <s v="053850_271"/>
    <s v="Discovery Day"/>
    <s v="Mai valutato"/>
    <m/>
    <n v="202505067955751"/>
    <n v="2713300002002"/>
    <n v="20250506"/>
    <s v="SPECIAL"/>
    <m/>
    <m/>
    <s v="D     - Dare"/>
    <n v="5662.14"/>
    <n v="0"/>
    <n v="1697336"/>
    <s v="SLVNNI46S16I394U"/>
    <s v="SILVERIO NINO"/>
    <s v="600 - Famiglie consumatrici"/>
    <m/>
    <s v="086 - ITALIA"/>
    <n v="1781"/>
    <m/>
    <m/>
    <m/>
    <m/>
    <m/>
    <m/>
    <m/>
    <n v="0"/>
    <n v="202505"/>
    <x v="1"/>
    <x v="0"/>
    <x v="0"/>
    <m/>
    <x v="0"/>
    <x v="1"/>
    <s v="999"/>
    <s v="600"/>
    <s v="600999"/>
    <s v="Classe di rischio 7"/>
    <m/>
    <s v="Classe di rischio 7"/>
  </r>
  <r>
    <n v="337847"/>
    <x v="3"/>
    <x v="3"/>
    <x v="41"/>
    <n v="53850"/>
    <n v="171"/>
    <s v="053850_171"/>
    <s v="Discovery Day"/>
    <s v="Mai valutato"/>
    <m/>
    <s v="Vari (06/05/2025)"/>
    <n v="1713305728950"/>
    <n v="20250506"/>
    <s v="03 - Versamento contante cassa continua "/>
    <m/>
    <m/>
    <s v="A     - Avere"/>
    <n v="108941.55"/>
    <n v="108941.5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37846"/>
    <x v="4"/>
    <x v="4"/>
    <x v="41"/>
    <n v="53850"/>
    <n v="102"/>
    <s v="053850_102"/>
    <s v="Discovery Day"/>
    <s v="Mai valutato"/>
    <m/>
    <n v="202505067955218"/>
    <n v="1023300113820"/>
    <n v="20250506"/>
    <s v="26 - Bonifico in partenza "/>
    <m/>
    <s v="086 - ITALIA"/>
    <s v="D     - Dare"/>
    <n v="1650000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37845"/>
    <x v="5"/>
    <x v="5"/>
    <x v="41"/>
    <n v="53850"/>
    <n v="118"/>
    <s v="053850_118"/>
    <s v="Discovery Day"/>
    <s v="Mai valutato"/>
    <m/>
    <s v="Vari (06/05/2025)"/>
    <n v="1183306276748"/>
    <n v="20250506"/>
    <s v="VV"/>
    <m/>
    <m/>
    <s v="A     - Avere"/>
    <n v="33993.800000000003"/>
    <n v="32220"/>
    <n v="490902"/>
    <s v="CRLGNN64B02A225F"/>
    <s v="CARLUCCI GIOVANNI"/>
    <s v="615 - Altre famiglie produttrici"/>
    <s v="472 - COMMERCIO AL DETTAGLIO DI PRODOTTI ALIMENTARI, BEVANDE E TABACCO IN ESERCIZI SPECIALIZZATI"/>
    <s v="086 - ITALIA"/>
    <n v="979"/>
    <m/>
    <m/>
    <m/>
    <m/>
    <m/>
    <m/>
    <m/>
    <n v="0"/>
    <n v="202505"/>
    <x v="1"/>
    <x v="0"/>
    <x v="0"/>
    <n v="490902"/>
    <x v="1"/>
    <x v="1"/>
    <s v="999"/>
    <s v="615"/>
    <s v="615999"/>
    <m/>
    <s v="1"/>
    <s v="Classe di rischio 3"/>
  </r>
  <r>
    <n v="337844"/>
    <x v="4"/>
    <x v="4"/>
    <x v="41"/>
    <n v="53850"/>
    <n v="271"/>
    <s v="053850_271"/>
    <s v="Discovery Day"/>
    <s v="Mai valutato"/>
    <m/>
    <n v="202505067955752"/>
    <n v="2713300003798"/>
    <n v="20250506"/>
    <s v="SPECIAL"/>
    <m/>
    <m/>
    <s v="D     - Dare"/>
    <n v="13499.9"/>
    <n v="0"/>
    <n v="1695775"/>
    <s v="MLPGLL35P18F205H"/>
    <s v="MALAPELLE GUGLIELMO"/>
    <s v="600 - Famiglie consumatrici"/>
    <m/>
    <s v="086 - ITALIA"/>
    <n v="1781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843"/>
    <x v="4"/>
    <x v="4"/>
    <x v="41"/>
    <n v="53850"/>
    <n v="271"/>
    <s v="053850_271"/>
    <s v="Discovery Day"/>
    <s v="Mai valutato"/>
    <m/>
    <n v="202505067955752"/>
    <n v="2713300003798"/>
    <n v="20250506"/>
    <s v="SPECIAL"/>
    <m/>
    <m/>
    <s v="D     - Dare"/>
    <n v="13499.9"/>
    <n v="0"/>
    <n v="1705998"/>
    <s v="CRMGCR34T49G233J"/>
    <s v="CARMINATI GIAN CARLA ALESSANDRINA"/>
    <s v="600 - Famiglie consumatrici"/>
    <m/>
    <s v="086 - ITALIA"/>
    <n v="1781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842"/>
    <x v="4"/>
    <x v="4"/>
    <x v="41"/>
    <n v="53850"/>
    <n v="204"/>
    <s v="053850_204"/>
    <s v="Discovery Day"/>
    <s v="Mai valutato"/>
    <m/>
    <s v="202505066706227L"/>
    <n v="2043300012553"/>
    <n v="20250506"/>
    <s v="SPECIAL"/>
    <m/>
    <m/>
    <s v="D     - Dare"/>
    <n v="1562.63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5"/>
    <x v="0"/>
    <x v="0"/>
    <x v="0"/>
    <n v="4902092"/>
    <x v="1"/>
    <x v="1"/>
    <s v="999"/>
    <s v="430"/>
    <s v="430999"/>
    <m/>
    <s v="1"/>
    <s v="Classe di rischio 1"/>
  </r>
  <r>
    <n v="337841"/>
    <x v="11"/>
    <x v="11"/>
    <x v="41"/>
    <n v="53850"/>
    <n v="156"/>
    <s v="053850_156"/>
    <s v="Discovery Day"/>
    <s v="Mai valutato"/>
    <m/>
    <n v="202505067955503"/>
    <n v="1825500227410"/>
    <n v="20250506"/>
    <s v="BT - Rimborso su libretti a risparmio "/>
    <m/>
    <m/>
    <s v="D     - Dare"/>
    <n v="16500"/>
    <n v="16500"/>
    <n v="3001368"/>
    <s v="DSNFNC37D24I954R"/>
    <s v="DISANTO FRANCESCO"/>
    <s v="600 - Famiglie consumatrici"/>
    <m/>
    <s v="086 - ITALIA"/>
    <n v="880"/>
    <m/>
    <m/>
    <m/>
    <m/>
    <m/>
    <m/>
    <m/>
    <n v="0"/>
    <n v="202505"/>
    <x v="4"/>
    <x v="1"/>
    <x v="1"/>
    <n v="3001368"/>
    <x v="1"/>
    <x v="0"/>
    <s v="999"/>
    <s v="600"/>
    <s v="600999"/>
    <s v="Classe di rischio 7"/>
    <m/>
    <s v="Classe di rischio 7"/>
  </r>
  <r>
    <n v="337840"/>
    <x v="3"/>
    <x v="3"/>
    <x v="41"/>
    <n v="53850"/>
    <n v="116"/>
    <s v="053850_116"/>
    <s v="Discovery Day"/>
    <s v="Mai valutato"/>
    <m/>
    <n v="202505067955087"/>
    <n v="2343300010453"/>
    <n v="20250506"/>
    <s v="03 - Versamento contante cassa continua "/>
    <m/>
    <m/>
    <s v="A     - Avere"/>
    <n v="204011.11"/>
    <n v="204011.1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37839"/>
    <x v="5"/>
    <x v="5"/>
    <x v="41"/>
    <n v="53850"/>
    <n v="266"/>
    <s v="053850_266"/>
    <s v="Discovery Day"/>
    <s v="Mai valutato"/>
    <m/>
    <n v="202505067955709"/>
    <n v="2663300001822"/>
    <n v="20250506"/>
    <s v="D1 - Versamento di contante "/>
    <m/>
    <m/>
    <s v="A     - Avere"/>
    <n v="39000"/>
    <n v="39000"/>
    <n v="1626200"/>
    <s v="BVVPRZ65R53G722T"/>
    <s v="BEVEVINO PATRIZIA"/>
    <s v="615 - Altre famiglie produttrici"/>
    <s v="472 - COMMERCIO AL DETTAGLIO DI PRODOTTI ALIMENTARI, BEVANDE E TABACCO IN ESERCIZI SPECIALIZZATI"/>
    <s v="086 - ITALIA"/>
    <n v="1785"/>
    <m/>
    <m/>
    <m/>
    <m/>
    <m/>
    <m/>
    <m/>
    <n v="0"/>
    <n v="202505"/>
    <x v="4"/>
    <x v="1"/>
    <x v="0"/>
    <n v="1626200"/>
    <x v="1"/>
    <x v="0"/>
    <s v="999"/>
    <s v="615"/>
    <s v="615999"/>
    <m/>
    <s v="1"/>
    <s v="Classe di rischio 3"/>
  </r>
  <r>
    <n v="337838"/>
    <x v="5"/>
    <x v="5"/>
    <x v="41"/>
    <n v="53850"/>
    <n v="114"/>
    <s v="053850_114"/>
    <s v="Discovery Day"/>
    <s v="Mai valutato"/>
    <m/>
    <n v="202505067955324"/>
    <n v="1143306280621"/>
    <n v="20250506"/>
    <s v="D1 - Versamento di contante "/>
    <m/>
    <m/>
    <s v="A     - Avere"/>
    <n v="29480"/>
    <n v="2948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92"/>
    <s v="492477"/>
    <s v="Classe di rischio 5"/>
    <m/>
    <s v="Classe di rischio 5"/>
  </r>
  <r>
    <n v="337837"/>
    <x v="4"/>
    <x v="4"/>
    <x v="41"/>
    <n v="53850"/>
    <n v="271"/>
    <s v="053850_271"/>
    <s v="Discovery Day"/>
    <s v="Mai valutato"/>
    <m/>
    <s v="202505066706266L"/>
    <n v="2713300002801"/>
    <n v="20250506"/>
    <s v="SPECIAL"/>
    <m/>
    <m/>
    <s v="D     - Dare"/>
    <n v="1070.5899999999999"/>
    <n v="0"/>
    <n v="1680953"/>
    <s v="RMGLSS23L22F196U"/>
    <s v="REMIGIO ULISSE"/>
    <s v="600 - Famiglie consumatrici"/>
    <m/>
    <s v="086 - ITALIA"/>
    <n v="1787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836"/>
    <x v="8"/>
    <x v="8"/>
    <x v="41"/>
    <n v="53850"/>
    <n v="271"/>
    <s v="053850_271"/>
    <s v="Discovery Day"/>
    <s v="Mai valutato"/>
    <m/>
    <n v="202505067954355"/>
    <n v="2713300003615"/>
    <n v="20250506"/>
    <s v="AA - Bonifico da e per estero "/>
    <m/>
    <s v="069 - STATI UNITI"/>
    <s v="A     - Avere"/>
    <n v="17462.060000000001"/>
    <n v="0"/>
    <n v="1698784"/>
    <s v="LPRMCN37P59A893F"/>
    <s v="LEPORE MARIA CONCETTA"/>
    <s v="600 - Famiglie consumatrici"/>
    <m/>
    <s v="086 - ITALIA"/>
    <n v="1869"/>
    <m/>
    <m/>
    <m/>
    <m/>
    <m/>
    <m/>
    <m/>
    <n v="0"/>
    <n v="202505"/>
    <x v="4"/>
    <x v="1"/>
    <x v="0"/>
    <m/>
    <x v="0"/>
    <x v="0"/>
    <s v="999"/>
    <s v="600"/>
    <s v="600999"/>
    <s v="Classe di rischio 7"/>
    <m/>
    <s v="Classe di rischio 7"/>
  </r>
  <r>
    <n v="337835"/>
    <x v="4"/>
    <x v="4"/>
    <x v="41"/>
    <n v="53850"/>
    <n v="271"/>
    <s v="053850_271"/>
    <s v="Discovery Day"/>
    <s v="Mai valutato"/>
    <m/>
    <s v="202505066706262L"/>
    <n v="2713300001484"/>
    <n v="20250506"/>
    <s v="SPECIAL"/>
    <m/>
    <m/>
    <s v="D     - Dare"/>
    <n v="1209.73"/>
    <n v="0"/>
    <n v="1651006"/>
    <s v="PCCVSK76S42Z614R"/>
    <s v="PICCARI VALESKA"/>
    <s v="775 - Famiglie consumatrici di paesi non UE"/>
    <m/>
    <s v="081 - VENEZUELA"/>
    <n v="1787"/>
    <m/>
    <m/>
    <m/>
    <m/>
    <m/>
    <m/>
    <m/>
    <n v="0"/>
    <n v="202505"/>
    <x v="1"/>
    <x v="0"/>
    <x v="0"/>
    <m/>
    <x v="0"/>
    <x v="1"/>
    <s v="999"/>
    <s v="775"/>
    <s v="775999"/>
    <s v="Classe di rischio 7"/>
    <m/>
    <s v="Classe di rischio 7"/>
  </r>
  <r>
    <n v="337834"/>
    <x v="4"/>
    <x v="4"/>
    <x v="41"/>
    <n v="53850"/>
    <n v="102"/>
    <s v="053850_102"/>
    <s v="Discovery Day"/>
    <s v="Mai valutato"/>
    <m/>
    <n v="202505067953521"/>
    <n v="1023308719178"/>
    <n v="20250506"/>
    <s v="48 - Bonifico in arrivo "/>
    <m/>
    <s v="086 - ITALIA"/>
    <s v="A     - Avere"/>
    <n v="4999692"/>
    <n v="0"/>
    <n v="474476"/>
    <n v="3470340724"/>
    <s v="CEREALSUD SOCIETA' A RESPONSABILITA' LIMITATA"/>
    <s v="430 - Imprese produttive"/>
    <s v="462 - COMMERCIO ALL'INGROSSO DI MATERIE PRIME AGRICOLE E DI ANIMALI VIVI"/>
    <s v="086 - ITALIA"/>
    <n v="1203"/>
    <m/>
    <m/>
    <m/>
    <m/>
    <m/>
    <m/>
    <m/>
    <n v="0"/>
    <n v="202505"/>
    <x v="2"/>
    <x v="1"/>
    <x v="0"/>
    <m/>
    <x v="0"/>
    <x v="0"/>
    <s v="462"/>
    <s v="430"/>
    <s v="430462"/>
    <s v="Classe di rischio 3"/>
    <m/>
    <s v="Classe di rischio 3"/>
  </r>
  <r>
    <n v="337833"/>
    <x v="5"/>
    <x v="5"/>
    <x v="41"/>
    <n v="53850"/>
    <n v="181"/>
    <s v="053850_181"/>
    <s v="Discovery Day"/>
    <s v="Mai valutato"/>
    <m/>
    <n v="202505067955605"/>
    <n v="1813301028560"/>
    <n v="20250506"/>
    <s v="D1 - Versamento di contante "/>
    <m/>
    <m/>
    <s v="A     - Avere"/>
    <n v="60000"/>
    <n v="6000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5"/>
    <x v="1"/>
    <x v="0"/>
    <x v="0"/>
    <n v="454268"/>
    <x v="1"/>
    <x v="0"/>
    <s v="477"/>
    <s v="615"/>
    <s v="615477"/>
    <s v="Classe di rischio 6"/>
    <m/>
    <s v="Classe di rischio 6"/>
  </r>
  <r>
    <n v="337832"/>
    <x v="3"/>
    <x v="3"/>
    <x v="41"/>
    <n v="53850"/>
    <n v="181"/>
    <s v="053850_181"/>
    <s v="Discovery Day"/>
    <s v="Mai valutato"/>
    <m/>
    <n v="202505067955605"/>
    <n v="1813301028560"/>
    <n v="20250506"/>
    <s v="D1 - Versamento di contante "/>
    <m/>
    <m/>
    <s v="A     - Avere"/>
    <n v="60000"/>
    <n v="6000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5"/>
    <x v="1"/>
    <x v="0"/>
    <x v="0"/>
    <n v="454268"/>
    <x v="1"/>
    <x v="0"/>
    <s v="477"/>
    <s v="615"/>
    <s v="615477"/>
    <s v="Classe di rischio 6"/>
    <m/>
    <s v="Classe di rischio 6"/>
  </r>
  <r>
    <n v="337831"/>
    <x v="5"/>
    <x v="5"/>
    <x v="41"/>
    <n v="53850"/>
    <n v="116"/>
    <s v="053850_116"/>
    <s v="Discovery Day"/>
    <s v="Mai valutato"/>
    <m/>
    <n v="202505067955087"/>
    <n v="2343300010453"/>
    <n v="20250506"/>
    <s v="03 - Versamento contante cassa continua "/>
    <m/>
    <m/>
    <s v="A     - Avere"/>
    <n v="204011.11"/>
    <n v="204011.11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37830"/>
    <x v="5"/>
    <x v="5"/>
    <x v="41"/>
    <n v="53850"/>
    <n v="102"/>
    <s v="053850_102"/>
    <s v="Discovery Day"/>
    <s v="Mai valutato"/>
    <m/>
    <n v="202505067954602"/>
    <n v="1023308722503"/>
    <n v="20250506"/>
    <s v="03 - Versamento contante cassa continua "/>
    <m/>
    <m/>
    <s v="A     - Avere"/>
    <n v="25000"/>
    <n v="250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37829"/>
    <x v="5"/>
    <x v="5"/>
    <x v="41"/>
    <n v="53850"/>
    <n v="175"/>
    <s v="053850_175"/>
    <s v="Discovery Day"/>
    <s v="Mai valutato"/>
    <m/>
    <s v="Vari (06/05/2025)"/>
    <n v="1753302203965"/>
    <n v="20250506"/>
    <s v="03 - Versamento contante cassa continua "/>
    <m/>
    <m/>
    <s v="A     - Avere"/>
    <n v="30770"/>
    <n v="30770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5"/>
    <x v="3"/>
    <x v="1"/>
    <x v="0"/>
    <n v="4932268"/>
    <x v="1"/>
    <x v="0"/>
    <s v="920"/>
    <s v="430"/>
    <s v="430920"/>
    <s v="Classe di rischio 4"/>
    <m/>
    <s v="Classe di rischio 4"/>
  </r>
  <r>
    <n v="337828"/>
    <x v="2"/>
    <x v="2"/>
    <x v="41"/>
    <n v="53850"/>
    <n v="153"/>
    <s v="053850_153"/>
    <s v="Discovery Day"/>
    <s v="Mai valutato"/>
    <m/>
    <s v="202505066712154L"/>
    <n v="1533300662357"/>
    <n v="20250506"/>
    <s v="AA - Bonifico da e per estero "/>
    <m/>
    <s v="116 - KENYA"/>
    <s v="D     - Dare"/>
    <n v="1965"/>
    <n v="0"/>
    <n v="4735568"/>
    <n v="92086070643"/>
    <s v="TOTALIFE"/>
    <s v="501 - Istituzioni ed enti con finalita' di assistenza, beneficenza, istruzione, culturali, sindacali, politiche, sportive, ricreative e simili"/>
    <s v="949 - ATTIVITÀ DI ALTRE ORGANIZZAZIONI ASSOCIATIVE "/>
    <s v="086 - ITALIA"/>
    <n v="1055"/>
    <m/>
    <m/>
    <m/>
    <m/>
    <m/>
    <m/>
    <m/>
    <n v="0"/>
    <n v="202505"/>
    <x v="0"/>
    <x v="0"/>
    <x v="0"/>
    <m/>
    <x v="0"/>
    <x v="0"/>
    <s v="999"/>
    <s v="501"/>
    <s v="501999"/>
    <m/>
    <s v="1"/>
    <s v="Classe di rischio 3"/>
  </r>
  <r>
    <n v="337827"/>
    <x v="4"/>
    <x v="4"/>
    <x v="41"/>
    <n v="53850"/>
    <n v="271"/>
    <s v="053850_271"/>
    <s v="Discovery Day"/>
    <s v="Mai valutato"/>
    <m/>
    <s v="202505066706265L"/>
    <n v="2713300001866"/>
    <n v="20250506"/>
    <s v="SPECIAL"/>
    <m/>
    <m/>
    <s v="D     - Dare"/>
    <n v="4129.6000000000004"/>
    <n v="0"/>
    <n v="1665085"/>
    <s v="MMMNCL28M29H439P"/>
    <s v="MEMME NICOLA"/>
    <s v="600 - Famiglie consumatrici"/>
    <m/>
    <s v="086 - ITALIA"/>
    <m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826"/>
    <x v="4"/>
    <x v="4"/>
    <x v="41"/>
    <n v="53850"/>
    <n v="188"/>
    <s v="053850_188"/>
    <s v="Discovery Day"/>
    <s v="Mai valutato"/>
    <m/>
    <n v="202505067952501"/>
    <n v="1883300028081"/>
    <n v="20250506"/>
    <s v="39 - Disposizione per emolumenti"/>
    <m/>
    <m/>
    <s v="D     - Dare"/>
    <n v="679018.89"/>
    <n v="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5"/>
    <x v="0"/>
    <x v="0"/>
    <x v="0"/>
    <n v="3001543"/>
    <x v="1"/>
    <x v="0"/>
    <s v="999"/>
    <s v="430"/>
    <s v="430999"/>
    <m/>
    <s v="1"/>
    <s v="Classe di rischio 1"/>
  </r>
  <r>
    <n v="337825"/>
    <x v="5"/>
    <x v="5"/>
    <x v="41"/>
    <n v="53850"/>
    <n v="171"/>
    <s v="053850_171"/>
    <s v="Discovery Day"/>
    <s v="Mai valutato"/>
    <m/>
    <s v="Vari (06/05/2025)"/>
    <n v="1713305728950"/>
    <n v="20250506"/>
    <s v="03 - Versamento contante cassa continua "/>
    <m/>
    <m/>
    <s v="A     - Avere"/>
    <n v="108941.55"/>
    <n v="108941.5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37824"/>
    <x v="4"/>
    <x v="4"/>
    <x v="41"/>
    <n v="53850"/>
    <n v="120"/>
    <s v="053850_120"/>
    <s v="Discovery Day"/>
    <s v="Mai valutato"/>
    <m/>
    <n v="202505067952923"/>
    <n v="1203300002762"/>
    <n v="20250506"/>
    <s v="AF - Disp.giro conti diversi intestati ordinante(stesso intermed.)"/>
    <m/>
    <s v="086 - ITALIA"/>
    <s v="D     - Dare"/>
    <n v="1500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x v="1"/>
    <x v="0"/>
    <x v="0"/>
    <n v="613876"/>
    <x v="1"/>
    <x v="0"/>
    <s v="999"/>
    <s v="500"/>
    <s v="500999"/>
    <m/>
    <s v="1"/>
    <s v="Classe di rischio 3"/>
  </r>
  <r>
    <n v="337823"/>
    <x v="5"/>
    <x v="5"/>
    <x v="41"/>
    <n v="53850"/>
    <n v="156"/>
    <s v="053850_156"/>
    <s v="Discovery Day"/>
    <s v="Mai valutato"/>
    <m/>
    <n v="202505067955502"/>
    <n v="1923300181861"/>
    <n v="20250506"/>
    <s v="D1 - Versamento di contante "/>
    <m/>
    <m/>
    <s v="A     - Avere"/>
    <n v="16500"/>
    <n v="16500"/>
    <n v="3001368"/>
    <s v="DSNFNC37D24I954R"/>
    <s v="DISANTO FRANCESCO"/>
    <s v="600 - Famiglie consumatrici"/>
    <m/>
    <s v="086 - ITALIA"/>
    <n v="880"/>
    <m/>
    <m/>
    <m/>
    <m/>
    <m/>
    <m/>
    <m/>
    <n v="0"/>
    <n v="202505"/>
    <x v="4"/>
    <x v="1"/>
    <x v="0"/>
    <n v="3001368"/>
    <x v="1"/>
    <x v="0"/>
    <s v="999"/>
    <s v="600"/>
    <s v="600999"/>
    <s v="Classe di rischio 7"/>
    <m/>
    <s v="Classe di rischio 7"/>
  </r>
  <r>
    <n v="337822"/>
    <x v="5"/>
    <x v="5"/>
    <x v="41"/>
    <n v="53850"/>
    <n v="106"/>
    <s v="053850_106"/>
    <s v="Discovery Day"/>
    <s v="Mai valutato"/>
    <m/>
    <n v="202505067955290"/>
    <n v="1063302770535"/>
    <n v="20250506"/>
    <s v="D1 - Versamento di contante "/>
    <m/>
    <m/>
    <s v="A     - Avere"/>
    <n v="33450"/>
    <n v="33450"/>
    <n v="4839029"/>
    <s v="LCRMHL95A26F205R"/>
    <s v="LOCURATOLO MICHELANGELO"/>
    <s v="600 - Famiglie consumatrici"/>
    <m/>
    <s v="086 - ITALIA"/>
    <n v="1666"/>
    <m/>
    <m/>
    <m/>
    <m/>
    <m/>
    <m/>
    <m/>
    <n v="0"/>
    <n v="202505"/>
    <x v="0"/>
    <x v="0"/>
    <x v="0"/>
    <m/>
    <x v="0"/>
    <x v="0"/>
    <s v="999"/>
    <s v="600"/>
    <s v="600999"/>
    <s v="Classe di rischio 7"/>
    <m/>
    <s v="Classe di rischio 7"/>
  </r>
  <r>
    <n v="337821"/>
    <x v="4"/>
    <x v="4"/>
    <x v="41"/>
    <n v="53850"/>
    <n v="271"/>
    <s v="053850_271"/>
    <s v="Discovery Day"/>
    <s v="Mai valutato"/>
    <m/>
    <s v="202505066706264L"/>
    <n v="2713300001848"/>
    <n v="20250506"/>
    <s v="SPECIAL"/>
    <m/>
    <m/>
    <s v="D     - Dare"/>
    <n v="1828.42"/>
    <n v="0"/>
    <n v="1665043"/>
    <s v="DRNCRL31D15Z114Z"/>
    <s v="DEARING CHARLES DANIEL"/>
    <s v="600 - Famiglie consumatrici"/>
    <m/>
    <s v="086 - ITALIA"/>
    <n v="1781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820"/>
    <x v="4"/>
    <x v="4"/>
    <x v="41"/>
    <n v="53850"/>
    <n v="271"/>
    <s v="053850_271"/>
    <s v="Discovery Day"/>
    <s v="Mai valutato"/>
    <m/>
    <s v="202505066706265L"/>
    <n v="2713300001866"/>
    <n v="20250506"/>
    <s v="SPECIAL"/>
    <m/>
    <m/>
    <s v="D     - Dare"/>
    <n v="4129.6000000000004"/>
    <n v="0"/>
    <n v="1665086"/>
    <s v="FNTGTA25P52I394M"/>
    <s v="FANTINI AGATA"/>
    <s v="600 - Famiglie consumatrici"/>
    <m/>
    <s v="086 - ITALIA"/>
    <m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819"/>
    <x v="6"/>
    <x v="6"/>
    <x v="41"/>
    <n v="53850"/>
    <n v="170"/>
    <s v="053850_170"/>
    <s v="Discovery Day"/>
    <s v="Mai valutato"/>
    <m/>
    <n v="202505067954325"/>
    <n v="1703306288195"/>
    <n v="20250506"/>
    <s v="AA - Bonifico da e per estero "/>
    <m/>
    <s v="076 - TURCHIA"/>
    <s v="D     - Dare"/>
    <n v="21563.52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37818"/>
    <x v="6"/>
    <x v="6"/>
    <x v="41"/>
    <n v="53850"/>
    <n v="170"/>
    <s v="053850_170"/>
    <s v="Discovery Day"/>
    <s v="Mai valutato"/>
    <m/>
    <n v="202505067954326"/>
    <n v="1703306288195"/>
    <n v="20250506"/>
    <s v="AA - Bonifico da e per estero "/>
    <m/>
    <s v="076 - TURCHIA"/>
    <s v="D     - Dare"/>
    <n v="652786.66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37817"/>
    <x v="4"/>
    <x v="4"/>
    <x v="41"/>
    <n v="53850"/>
    <n v="105"/>
    <s v="053850_105"/>
    <s v="Discovery Day"/>
    <s v="Mai valutato"/>
    <m/>
    <n v="202505067955271"/>
    <n v="1053300336450"/>
    <n v="20250506"/>
    <s v="54 - Incassi diversi"/>
    <m/>
    <m/>
    <s v="A     - Avere"/>
    <n v="200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7816"/>
    <x v="5"/>
    <x v="5"/>
    <x v="41"/>
    <n v="53850"/>
    <n v="128"/>
    <s v="053850_128"/>
    <s v="Discovery Day"/>
    <s v="Mai valutato"/>
    <m/>
    <n v="202505067954786"/>
    <n v="1283300003941"/>
    <n v="20250506"/>
    <s v="03 - Versamento contante cassa continua "/>
    <m/>
    <m/>
    <s v="A     - Avere"/>
    <n v="31000"/>
    <n v="310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5"/>
    <x v="1"/>
    <x v="0"/>
    <x v="0"/>
    <n v="4916499"/>
    <x v="1"/>
    <x v="0"/>
    <s v="999"/>
    <s v="615"/>
    <s v="615999"/>
    <m/>
    <s v="1"/>
    <s v="Classe di rischio 3"/>
  </r>
  <r>
    <n v="337815"/>
    <x v="2"/>
    <x v="2"/>
    <x v="41"/>
    <n v="53850"/>
    <n v="153"/>
    <s v="053850_153"/>
    <s v="Discovery Day"/>
    <s v="Mai valutato"/>
    <m/>
    <s v="202505066712153L"/>
    <n v="1533300662357"/>
    <n v="20250506"/>
    <s v="AA - Bonifico da e per estero "/>
    <m/>
    <s v="116 - KENYA"/>
    <s v="D     - Dare"/>
    <n v="1379"/>
    <n v="0"/>
    <n v="4735568"/>
    <n v="92086070643"/>
    <s v="TOTALIFE"/>
    <s v="501 - Istituzioni ed enti con finalita' di assistenza, beneficenza, istruzione, culturali, sindacali, politiche, sportive, ricreative e simili"/>
    <s v="949 - ATTIVITÀ DI ALTRE ORGANIZZAZIONI ASSOCIATIVE "/>
    <s v="086 - ITALIA"/>
    <n v="1055"/>
    <m/>
    <m/>
    <m/>
    <m/>
    <m/>
    <m/>
    <m/>
    <n v="0"/>
    <n v="202505"/>
    <x v="0"/>
    <x v="0"/>
    <x v="0"/>
    <m/>
    <x v="0"/>
    <x v="0"/>
    <s v="999"/>
    <s v="501"/>
    <s v="501999"/>
    <m/>
    <s v="1"/>
    <s v="Classe di rischio 3"/>
  </r>
  <r>
    <n v="337814"/>
    <x v="2"/>
    <x v="2"/>
    <x v="41"/>
    <n v="53850"/>
    <n v="102"/>
    <s v="053850_102"/>
    <s v="Discovery Day"/>
    <s v="Mai valutato"/>
    <m/>
    <s v="202505066712166L"/>
    <n v="1023308724471"/>
    <n v="20250506"/>
    <s v="AA - Bonifico da e per estero "/>
    <m/>
    <s v="238 - ABU DHABI"/>
    <s v="A     - Avere"/>
    <n v="3000"/>
    <n v="0"/>
    <n v="4926972"/>
    <n v="8178330729"/>
    <s v="MPALQUADRATO SOCIETA' A RESPONSABILITA' LIMITATA"/>
    <s v="430 - Imprese produttive"/>
    <s v="477 - COMMERCIO AL DETTAGLIO DI ALTRI PRODOTTI IN ESERCIZI SPECIALIZZATI"/>
    <s v="086 - ITALIA"/>
    <n v="1443"/>
    <m/>
    <m/>
    <m/>
    <m/>
    <m/>
    <m/>
    <m/>
    <n v="0"/>
    <n v="202505"/>
    <x v="2"/>
    <x v="1"/>
    <x v="0"/>
    <m/>
    <x v="0"/>
    <x v="0"/>
    <s v="477"/>
    <s v="430"/>
    <s v="430477"/>
    <s v="Classe di rischio 3"/>
    <m/>
    <s v="Classe di rischio 3"/>
  </r>
  <r>
    <n v="337813"/>
    <x v="4"/>
    <x v="4"/>
    <x v="41"/>
    <n v="53850"/>
    <n v="120"/>
    <s v="053850_120"/>
    <s v="Discovery Day"/>
    <s v="Mai valutato"/>
    <m/>
    <n v="202505067953522"/>
    <n v="1203300002401"/>
    <n v="20250506"/>
    <s v="48 - Bonifico in arrivo "/>
    <m/>
    <s v="086 - ITALIA"/>
    <s v="A     - Avere"/>
    <n v="11747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x v="1"/>
    <x v="0"/>
    <x v="0"/>
    <n v="613876"/>
    <x v="1"/>
    <x v="0"/>
    <s v="999"/>
    <s v="500"/>
    <s v="500999"/>
    <m/>
    <s v="1"/>
    <s v="Classe di rischio 3"/>
  </r>
  <r>
    <n v="337812"/>
    <x v="4"/>
    <x v="4"/>
    <x v="41"/>
    <n v="53850"/>
    <n v="175"/>
    <s v="053850_175"/>
    <s v="Discovery Day"/>
    <s v="Mai valutato"/>
    <m/>
    <n v="202505057955582"/>
    <n v="1753302202252"/>
    <n v="20250505"/>
    <s v="26 - Bonifico in partenza "/>
    <m/>
    <s v="086 - ITALIA"/>
    <s v="D     - Dare"/>
    <n v="1000000"/>
    <n v="0"/>
    <n v="611756"/>
    <s v="PTNRNT84E28H501P"/>
    <s v="POTENZA RENATO"/>
    <s v="615 - Altre famiglie produttrici"/>
    <s v="015 - COLTIVAZIONI AGRICOLE ASSOCIATE ALL'ALLEVAMENTO DI ANIMALI: ATTIVITÀ MISTA"/>
    <s v="086 - ITALIA"/>
    <n v="1110"/>
    <m/>
    <m/>
    <m/>
    <m/>
    <m/>
    <m/>
    <m/>
    <n v="0"/>
    <n v="202505"/>
    <x v="1"/>
    <x v="0"/>
    <x v="0"/>
    <m/>
    <x v="0"/>
    <x v="0"/>
    <s v="999"/>
    <s v="615"/>
    <s v="615999"/>
    <m/>
    <s v="1"/>
    <s v="Classe di rischio 3"/>
  </r>
  <r>
    <n v="337811"/>
    <x v="5"/>
    <x v="5"/>
    <x v="42"/>
    <n v="53850"/>
    <n v="267"/>
    <s v="053850_267"/>
    <s v="Discovery Day"/>
    <s v="Mai valutato"/>
    <m/>
    <s v="Vari (05/05/2025)"/>
    <n v="2673300003600"/>
    <n v="20250505"/>
    <s v="VV"/>
    <m/>
    <m/>
    <s v="A     - Avere"/>
    <n v="99229"/>
    <n v="98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x v="1"/>
    <x v="0"/>
    <x v="0"/>
    <n v="1705101"/>
    <x v="1"/>
    <x v="1"/>
    <s v="999"/>
    <s v="492"/>
    <s v="492999"/>
    <m/>
    <s v="1"/>
    <s v="Classe di rischio 2"/>
  </r>
  <r>
    <n v="337810"/>
    <x v="5"/>
    <x v="5"/>
    <x v="42"/>
    <n v="53850"/>
    <n v="102"/>
    <s v="053850_102"/>
    <s v="Discovery Day"/>
    <s v="Mai valutato"/>
    <m/>
    <n v="202505057950918"/>
    <n v="1023308722503"/>
    <n v="20250505"/>
    <s v="03 - Versamento contante cassa continua "/>
    <m/>
    <m/>
    <s v="A     - Avere"/>
    <n v="24980"/>
    <n v="249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37809"/>
    <x v="4"/>
    <x v="4"/>
    <x v="42"/>
    <n v="53850"/>
    <n v="161"/>
    <s v="053850_161"/>
    <s v="Discovery Day"/>
    <s v="Mai valutato"/>
    <m/>
    <s v="202505056639697L"/>
    <n v="1283300004011"/>
    <n v="20250505"/>
    <s v="SPECIAL"/>
    <m/>
    <m/>
    <s v="D     - Dare"/>
    <n v="1006.5"/>
    <n v="0"/>
    <n v="4925367"/>
    <s v="GRGRST60R20A662R"/>
    <s v="GORGA ERNESTO"/>
    <s v="600 - Famiglie consumatrici"/>
    <m/>
    <s v="086 - ITALIA"/>
    <n v="1662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808"/>
    <x v="2"/>
    <x v="2"/>
    <x v="42"/>
    <n v="53850"/>
    <n v="170"/>
    <s v="053850_170"/>
    <s v="Discovery Day"/>
    <s v="Mai valutato"/>
    <m/>
    <s v="202505056640737L"/>
    <n v="1703306287258"/>
    <n v="20250505"/>
    <s v="AA - Bonifico da e per estero "/>
    <m/>
    <s v="057 - TANZANIA (REPUBBLICA DI)"/>
    <s v="D     - Dare"/>
    <n v="4193.34"/>
    <n v="0"/>
    <n v="4209961"/>
    <s v="CTGNLF73M22A285C"/>
    <s v="COTUGNO NICOLA FABIO"/>
    <s v="600 - Famiglie consumatrici"/>
    <m/>
    <s v="086 - ITALIA"/>
    <n v="195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807"/>
    <x v="4"/>
    <x v="4"/>
    <x v="42"/>
    <n v="53850"/>
    <n v="114"/>
    <s v="053850_114"/>
    <s v="Discovery Day"/>
    <s v="Mai valutato"/>
    <m/>
    <n v="202505057951074"/>
    <n v="1143306280636"/>
    <n v="20250505"/>
    <s v="31 - Effetti ritirati "/>
    <m/>
    <m/>
    <s v="D     - Dare"/>
    <n v="168826.42"/>
    <n v="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92"/>
    <s v="492477"/>
    <s v="Classe di rischio 5"/>
    <m/>
    <s v="Classe di rischio 5"/>
  </r>
  <r>
    <n v="337806"/>
    <x v="5"/>
    <x v="5"/>
    <x v="42"/>
    <n v="53850"/>
    <n v="196"/>
    <s v="053850_196"/>
    <s v="Discovery Day"/>
    <s v="Mai valutato"/>
    <m/>
    <n v="202505057951610"/>
    <n v="1963302353452"/>
    <n v="20250505"/>
    <s v="03 - Versamento contante cassa continua "/>
    <m/>
    <m/>
    <s v="A     - Avere"/>
    <n v="32000"/>
    <n v="32000"/>
    <n v="4084962"/>
    <s v="CLNMRA67T58C514L"/>
    <s v="COLONNA MARIA"/>
    <s v="614 - Artigiani"/>
    <s v="563 - BAR E ALTRI ESERCIZI SIMILI SENZA CUCINA"/>
    <s v="086 - ITALIA"/>
    <n v="1945"/>
    <m/>
    <m/>
    <m/>
    <m/>
    <m/>
    <m/>
    <m/>
    <n v="0"/>
    <n v="202505"/>
    <x v="1"/>
    <x v="0"/>
    <x v="0"/>
    <n v="4084962"/>
    <x v="1"/>
    <x v="0"/>
    <s v="999"/>
    <s v="614"/>
    <s v="614999"/>
    <m/>
    <s v="1"/>
    <s v="Classe di rischio 3"/>
  </r>
  <r>
    <n v="337805"/>
    <x v="5"/>
    <x v="5"/>
    <x v="42"/>
    <n v="53850"/>
    <n v="199"/>
    <s v="053850_199"/>
    <s v="Discovery Day"/>
    <s v="Mai valutato"/>
    <m/>
    <n v="202505057952298"/>
    <n v="1993300002890"/>
    <n v="20250505"/>
    <s v="D1 - Versamento di contante "/>
    <m/>
    <m/>
    <s v="A     - Avere"/>
    <n v="38155"/>
    <n v="38155"/>
    <n v="4917498"/>
    <n v="2566490740"/>
    <s v="MANUKA S.R.L."/>
    <s v="430 - Imprese produttive"/>
    <s v="477 - COMMERCIO AL DETTAGLIO DI ALTRI PRODOTTI IN ESERCIZI SPECIALIZZATI"/>
    <s v="086 - ITALIA"/>
    <n v="881"/>
    <m/>
    <m/>
    <m/>
    <m/>
    <m/>
    <m/>
    <m/>
    <n v="0"/>
    <n v="202505"/>
    <x v="2"/>
    <x v="1"/>
    <x v="0"/>
    <m/>
    <x v="0"/>
    <x v="0"/>
    <s v="477"/>
    <s v="430"/>
    <s v="430477"/>
    <s v="Classe di rischio 3"/>
    <m/>
    <s v="Classe di rischio 3"/>
  </r>
  <r>
    <n v="337804"/>
    <x v="3"/>
    <x v="3"/>
    <x v="42"/>
    <n v="53850"/>
    <n v="182"/>
    <s v="053850_182"/>
    <s v="Discovery Day"/>
    <s v="Mai valutato"/>
    <m/>
    <s v="Vari (05/05/2025)"/>
    <n v="1823300169301"/>
    <n v="20250505"/>
    <s v="03 - Versamento contante cassa continua "/>
    <m/>
    <m/>
    <s v="A     - Avere"/>
    <n v="54345"/>
    <n v="5434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x v="1"/>
    <x v="0"/>
    <x v="0"/>
    <n v="4284957"/>
    <x v="1"/>
    <x v="0"/>
    <s v="920"/>
    <s v="615"/>
    <s v="615920"/>
    <s v="Classe di rischio 6"/>
    <m/>
    <s v="Classe di rischio 6"/>
  </r>
  <r>
    <n v="337803"/>
    <x v="4"/>
    <x v="4"/>
    <x v="42"/>
    <n v="53850"/>
    <n v="109"/>
    <s v="053850_109"/>
    <s v="Discovery Day"/>
    <s v="Mai valutato"/>
    <m/>
    <n v="202505057950486"/>
    <n v="1093306673999"/>
    <n v="20250505"/>
    <s v="48 - Bonifico in arrivo "/>
    <m/>
    <s v="086 - ITALIA"/>
    <s v="A     - Avere"/>
    <n v="1182772.92"/>
    <n v="0"/>
    <n v="4843798"/>
    <n v="267480721"/>
    <s v="CESTARO ROSSI &amp; C. - S.P.A."/>
    <s v="430 - Imprese produttive"/>
    <s v="251 - FABBRICAZIONE DI ELEMENTI DA COSTRUZIONE IN METALLO"/>
    <s v="086 - ITALIA"/>
    <n v="1903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37802"/>
    <x v="5"/>
    <x v="5"/>
    <x v="42"/>
    <n v="53850"/>
    <n v="171"/>
    <s v="053850_171"/>
    <s v="Discovery Day"/>
    <s v="Mai valutato"/>
    <m/>
    <s v="Vari (05/05/2025)"/>
    <n v="1713302214147"/>
    <n v="20250505"/>
    <s v="03 - Versamento contante cassa continua "/>
    <m/>
    <m/>
    <s v="A     - Avere"/>
    <n v="141511.4"/>
    <n v="141511.4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37801"/>
    <x v="4"/>
    <x v="4"/>
    <x v="42"/>
    <n v="53850"/>
    <n v="110"/>
    <s v="053850_110"/>
    <s v="Discovery Day"/>
    <s v="Mai valutato"/>
    <m/>
    <n v="202505057951941"/>
    <n v="1103304311370"/>
    <n v="20250505"/>
    <s v="54 - Incassi diversi"/>
    <m/>
    <m/>
    <s v="A     - Avere"/>
    <n v="168000"/>
    <n v="0"/>
    <n v="431136"/>
    <s v="RTGGPP45H24A669U"/>
    <s v="RUTIGLIANO GIUSEPPE"/>
    <s v="600 - Famiglie consumatrici"/>
    <m/>
    <s v="086 - ITALIA"/>
    <n v="458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800"/>
    <x v="5"/>
    <x v="5"/>
    <x v="42"/>
    <n v="53850"/>
    <n v="120"/>
    <s v="053850_120"/>
    <s v="Discovery Day"/>
    <s v="Mai valutato"/>
    <m/>
    <n v="202505057951152"/>
    <n v="1203300002401"/>
    <n v="20250505"/>
    <s v="03 - Versamento contante cassa continua "/>
    <m/>
    <m/>
    <s v="A     - Avere"/>
    <n v="34610"/>
    <n v="3461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5"/>
    <x v="1"/>
    <x v="0"/>
    <x v="0"/>
    <n v="613876"/>
    <x v="1"/>
    <x v="0"/>
    <s v="999"/>
    <s v="500"/>
    <s v="500999"/>
    <m/>
    <s v="1"/>
    <s v="Classe di rischio 3"/>
  </r>
  <r>
    <n v="337799"/>
    <x v="5"/>
    <x v="5"/>
    <x v="42"/>
    <n v="53850"/>
    <n v="108"/>
    <s v="053850_108"/>
    <s v="Discovery Day"/>
    <s v="Mai valutato"/>
    <m/>
    <s v="Vari (05/05/2025)"/>
    <n v="1083306291105"/>
    <n v="20250505"/>
    <s v="VV"/>
    <m/>
    <m/>
    <s v="A     - Avere"/>
    <n v="186459.07"/>
    <n v="171340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37798"/>
    <x v="3"/>
    <x v="3"/>
    <x v="42"/>
    <n v="53850"/>
    <n v="121"/>
    <s v="053850_121"/>
    <s v="Discovery Day"/>
    <s v="Mai valutato"/>
    <m/>
    <s v="Vari (05/05/2025)"/>
    <n v="1213300002600"/>
    <n v="20250505"/>
    <s v="VV"/>
    <m/>
    <m/>
    <s v="A     - Avere"/>
    <n v="999774.94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x v="3"/>
    <x v="1"/>
    <x v="0"/>
    <m/>
    <x v="0"/>
    <x v="1"/>
    <s v="463"/>
    <s v="430"/>
    <s v="430463"/>
    <s v="Classe di rischio 3"/>
    <m/>
    <s v="Classe di rischio 3"/>
  </r>
  <r>
    <n v="337797"/>
    <x v="3"/>
    <x v="3"/>
    <x v="42"/>
    <n v="53850"/>
    <n v="114"/>
    <s v="053850_114"/>
    <s v="Discovery Day"/>
    <s v="Mai valutato"/>
    <m/>
    <s v="Vari (05/05/2025)"/>
    <n v="1143306280621"/>
    <n v="20250505"/>
    <s v="D1 - Versamento di contante "/>
    <m/>
    <m/>
    <s v="A     - Avere"/>
    <n v="70460"/>
    <n v="7046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92"/>
    <s v="492477"/>
    <s v="Classe di rischio 5"/>
    <m/>
    <s v="Classe di rischio 5"/>
  </r>
  <r>
    <n v="337796"/>
    <x v="4"/>
    <x v="4"/>
    <x v="42"/>
    <n v="53850"/>
    <n v="136"/>
    <s v="053850_136"/>
    <s v="Discovery Day"/>
    <s v="Mai valutato"/>
    <m/>
    <n v="202505057950628"/>
    <n v="1363300003325"/>
    <n v="20250505"/>
    <s v="D7 - Addebito o incasso per contratti derivati"/>
    <m/>
    <m/>
    <s v="D     - Da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37795"/>
    <x v="5"/>
    <x v="5"/>
    <x v="42"/>
    <n v="53850"/>
    <n v="268"/>
    <s v="053850_268"/>
    <s v="Discovery Day"/>
    <s v="Mai valutato"/>
    <m/>
    <s v="Vari (05/05/2025)"/>
    <n v="2683300010030"/>
    <n v="20250505"/>
    <s v="03 - Versamento contante cassa continua "/>
    <m/>
    <m/>
    <s v="A     - Avere"/>
    <n v="48965"/>
    <n v="4896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x v="1"/>
    <x v="0"/>
    <x v="0"/>
    <n v="4966939"/>
    <x v="1"/>
    <x v="0"/>
    <s v="999"/>
    <s v="615"/>
    <s v="615999"/>
    <m/>
    <s v="1"/>
    <s v="Classe di rischio 3"/>
  </r>
  <r>
    <n v="337794"/>
    <x v="4"/>
    <x v="4"/>
    <x v="42"/>
    <n v="53850"/>
    <n v="136"/>
    <s v="053850_136"/>
    <s v="Discovery Day"/>
    <s v="Mai valutato"/>
    <m/>
    <n v="202505057950627"/>
    <n v="1361147800126"/>
    <n v="20250505"/>
    <s v="D6 - Accred.o incasso per contratti derivati"/>
    <m/>
    <m/>
    <s v="A     - Avere"/>
    <n v="715933.74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37793"/>
    <x v="5"/>
    <x v="5"/>
    <x v="42"/>
    <n v="53850"/>
    <n v="171"/>
    <s v="053850_171"/>
    <s v="Discovery Day"/>
    <s v="Mai valutato"/>
    <m/>
    <s v="Vari (05/05/2025)"/>
    <n v="1713305728950"/>
    <n v="20250505"/>
    <s v="03 - Versamento contante cassa continua "/>
    <m/>
    <m/>
    <s v="A     - Avere"/>
    <n v="326087.23"/>
    <n v="326087.2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37792"/>
    <x v="5"/>
    <x v="5"/>
    <x v="42"/>
    <n v="53850"/>
    <n v="181"/>
    <s v="053850_181"/>
    <s v="Discovery Day"/>
    <s v="Mai valutato"/>
    <m/>
    <n v="202505057952240"/>
    <n v="1813301029924"/>
    <n v="20250505"/>
    <s v="D1 - Versamento di contante "/>
    <m/>
    <m/>
    <s v="A     - Avere"/>
    <n v="30960"/>
    <n v="30960"/>
    <n v="4948468"/>
    <s v="BRGCRL94M31L109B"/>
    <s v="BORAGINE CARLO"/>
    <s v="615 - Altre famiglie produttrici"/>
    <s v="472 - COMMERCIO AL DETTAGLIO DI PRODOTTI ALIMENTARI, BEVANDE E TABACCO IN ESERCIZI SPECIALIZZATI"/>
    <s v="086 - ITALIA"/>
    <n v="1943"/>
    <m/>
    <m/>
    <m/>
    <m/>
    <m/>
    <m/>
    <m/>
    <n v="0"/>
    <n v="202505"/>
    <x v="4"/>
    <x v="1"/>
    <x v="0"/>
    <n v="4948468"/>
    <x v="1"/>
    <x v="0"/>
    <s v="999"/>
    <s v="615"/>
    <s v="615999"/>
    <m/>
    <s v="1"/>
    <s v="Classe di rischio 3"/>
  </r>
  <r>
    <n v="337791"/>
    <x v="6"/>
    <x v="6"/>
    <x v="42"/>
    <n v="53850"/>
    <n v="110"/>
    <s v="053850_110"/>
    <s v="Discovery Day"/>
    <s v="Mai valutato"/>
    <m/>
    <n v="202505057950608"/>
    <n v="1103306288240"/>
    <n v="20250505"/>
    <s v="AA - Bonifico da e per estero "/>
    <m/>
    <s v="129 - INDONESIA"/>
    <s v="A     - Avere"/>
    <n v="62646.03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5"/>
    <x v="0"/>
    <x v="0"/>
    <x v="0"/>
    <m/>
    <x v="0"/>
    <x v="0"/>
    <s v="464"/>
    <s v="430"/>
    <s v="430464"/>
    <s v="Classe di rischio 4"/>
    <m/>
    <s v="Classe di rischio 4"/>
  </r>
  <r>
    <n v="337790"/>
    <x v="5"/>
    <x v="5"/>
    <x v="42"/>
    <n v="53850"/>
    <n v="193"/>
    <s v="053850_193"/>
    <s v="Discovery Day"/>
    <s v="Mai valutato"/>
    <m/>
    <s v="Vari (05/05/2025)"/>
    <n v="1943300004921"/>
    <n v="20250505"/>
    <s v="D1 - Versamento di contante "/>
    <m/>
    <m/>
    <s v="A     - Avere"/>
    <n v="36960"/>
    <n v="36960"/>
    <n v="3004583"/>
    <s v="CLNNCL62M26E986J"/>
    <s v="CALIANNO NICOLA"/>
    <s v="615 - Altre famiglie produttrici"/>
    <s v="472 - COMMERCIO AL DETTAGLIO DI PRODOTTI ALIMENTARI, BEVANDE E TABACCO IN ESERCIZI SPECIALIZZATI"/>
    <s v="086 - ITALIA"/>
    <n v="1450"/>
    <m/>
    <m/>
    <m/>
    <m/>
    <m/>
    <m/>
    <m/>
    <n v="0"/>
    <n v="202505"/>
    <x v="1"/>
    <x v="0"/>
    <x v="0"/>
    <n v="3004583"/>
    <x v="1"/>
    <x v="0"/>
    <s v="999"/>
    <s v="615"/>
    <s v="615999"/>
    <m/>
    <s v="1"/>
    <s v="Classe di rischio 3"/>
  </r>
  <r>
    <n v="337789"/>
    <x v="5"/>
    <x v="5"/>
    <x v="42"/>
    <n v="53850"/>
    <n v="167"/>
    <s v="053850_167"/>
    <s v="Discovery Day"/>
    <s v="Mai valutato"/>
    <m/>
    <s v="Vari (05/05/2025)"/>
    <n v="1673300000982"/>
    <n v="20250505"/>
    <s v="03 - Versamento contante cassa continua "/>
    <m/>
    <m/>
    <s v="A     - Avere"/>
    <n v="32350"/>
    <n v="32350"/>
    <n v="4274951"/>
    <s v="BLDLSN86P12A225E"/>
    <s v="BALDUCCI ALESSANDRO"/>
    <s v="600 - Famiglie consumatrici"/>
    <m/>
    <s v="086 - ITALIA"/>
    <n v="451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788"/>
    <x v="4"/>
    <x v="4"/>
    <x v="42"/>
    <n v="53850"/>
    <n v="161"/>
    <s v="053850_161"/>
    <s v="Discovery Day"/>
    <s v="Mai valutato"/>
    <m/>
    <s v="202505056639697L"/>
    <n v="1283300004011"/>
    <n v="20250505"/>
    <s v="SPECIAL"/>
    <m/>
    <m/>
    <s v="D     - Dare"/>
    <n v="1006.5"/>
    <n v="0"/>
    <n v="4925377"/>
    <s v="PSTCCT63A50Z401Q"/>
    <s v="PASTORE CONCETTA"/>
    <s v="600 - Famiglie consumatrici"/>
    <m/>
    <s v="086 - ITALIA"/>
    <n v="1662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787"/>
    <x v="5"/>
    <x v="5"/>
    <x v="42"/>
    <n v="53850"/>
    <n v="170"/>
    <s v="053850_170"/>
    <s v="Discovery Day"/>
    <s v="Mai valutato"/>
    <m/>
    <s v="Vari (05/05/2025)"/>
    <n v="1703300000428"/>
    <n v="20250505"/>
    <s v="03 - Versamento contante cassa continua "/>
    <m/>
    <m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5"/>
    <x v="1"/>
    <x v="0"/>
    <x v="0"/>
    <n v="4833134"/>
    <x v="1"/>
    <x v="0"/>
    <s v="999"/>
    <s v="430"/>
    <s v="430999"/>
    <m/>
    <s v="1"/>
    <s v="Classe di rischio 1"/>
  </r>
  <r>
    <n v="337786"/>
    <x v="3"/>
    <x v="3"/>
    <x v="42"/>
    <n v="53850"/>
    <n v="108"/>
    <s v="053850_108"/>
    <s v="Discovery Day"/>
    <s v="Mai valutato"/>
    <m/>
    <s v="Vari (05/05/2025)"/>
    <n v="1083306291105"/>
    <n v="20250505"/>
    <s v="VV"/>
    <m/>
    <m/>
    <s v="A     - Avere"/>
    <n v="186459.07"/>
    <n v="171340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5"/>
    <x v="1"/>
    <x v="0"/>
    <x v="0"/>
    <n v="4227057"/>
    <x v="1"/>
    <x v="1"/>
    <s v="999"/>
    <s v="430"/>
    <s v="430999"/>
    <m/>
    <s v="1"/>
    <s v="Classe di rischio 1"/>
  </r>
  <r>
    <n v="337785"/>
    <x v="5"/>
    <x v="5"/>
    <x v="42"/>
    <n v="53850"/>
    <n v="102"/>
    <s v="053850_102"/>
    <s v="Discovery Day"/>
    <s v="Mai valutato"/>
    <m/>
    <s v="Vari (05/05/2025)"/>
    <n v="1023308720537"/>
    <n v="20250505"/>
    <s v="D1 - Versamento di contante "/>
    <m/>
    <m/>
    <s v="A     - Avere"/>
    <n v="40590"/>
    <n v="4059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5"/>
    <x v="1"/>
    <x v="0"/>
    <x v="0"/>
    <n v="4653840"/>
    <x v="1"/>
    <x v="0"/>
    <s v="999"/>
    <s v="430"/>
    <s v="430999"/>
    <m/>
    <s v="1"/>
    <s v="Classe di rischio 1"/>
  </r>
  <r>
    <n v="337784"/>
    <x v="4"/>
    <x v="4"/>
    <x v="42"/>
    <n v="53850"/>
    <n v="268"/>
    <s v="053850_268"/>
    <s v="Discovery Day"/>
    <s v="Mai valutato"/>
    <m/>
    <n v="202505057951715"/>
    <n v="2683300000078"/>
    <n v="20250505"/>
    <s v="50 - Pagamenti diversi"/>
    <m/>
    <m/>
    <s v="D     - Dare"/>
    <n v="523869.41"/>
    <n v="0"/>
    <n v="1604221"/>
    <n v="2061460792"/>
    <s v="AUTO ZETA S.R.L."/>
    <s v="430 - Imprese produttive"/>
    <s v="451 - COMMERCIO DI AUTOVEICOLI"/>
    <s v="086 - ITALIA"/>
    <n v="1627"/>
    <m/>
    <m/>
    <m/>
    <m/>
    <m/>
    <m/>
    <m/>
    <n v="0"/>
    <n v="202505"/>
    <x v="2"/>
    <x v="1"/>
    <x v="0"/>
    <n v="1604221"/>
    <x v="1"/>
    <x v="0"/>
    <s v="451"/>
    <s v="430"/>
    <s v="430451"/>
    <s v="Classe di rischio 3"/>
    <m/>
    <s v="Classe di rischio 3"/>
  </r>
  <r>
    <n v="337783"/>
    <x v="2"/>
    <x v="2"/>
    <x v="42"/>
    <n v="53850"/>
    <n v="129"/>
    <s v="053850_129"/>
    <s v="Discovery Day"/>
    <s v="Mai valutato"/>
    <m/>
    <n v="202505057950167"/>
    <n v="1293300002811"/>
    <n v="20250505"/>
    <s v="AA - Bonifico da e per estero "/>
    <m/>
    <s v="261 - CROAZIA"/>
    <s v="A     - Avere"/>
    <n v="13836.71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37782"/>
    <x v="5"/>
    <x v="5"/>
    <x v="42"/>
    <n v="53850"/>
    <n v="102"/>
    <s v="053850_102"/>
    <s v="Discovery Day"/>
    <s v="Mai valutato"/>
    <m/>
    <s v="Vari (05/05/2025)"/>
    <n v="1023308722071"/>
    <n v="20250505"/>
    <s v="03 - Versamento contante cassa continua "/>
    <m/>
    <m/>
    <s v="A     - Avere"/>
    <n v="42625"/>
    <n v="42625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5"/>
    <x v="2"/>
    <x v="1"/>
    <x v="0"/>
    <m/>
    <x v="0"/>
    <x v="0"/>
    <s v="477"/>
    <s v="430"/>
    <s v="430477"/>
    <s v="Classe di rischio 3"/>
    <m/>
    <s v="Classe di rischio 3"/>
  </r>
  <r>
    <n v="337781"/>
    <x v="4"/>
    <x v="4"/>
    <x v="42"/>
    <n v="53850"/>
    <n v="269"/>
    <s v="053850_269"/>
    <s v="Discovery Day"/>
    <s v="Mai valutato"/>
    <m/>
    <s v="202505056637364L"/>
    <n v="2693300000909"/>
    <n v="20250505"/>
    <s v="SPECIAL"/>
    <m/>
    <m/>
    <s v="D     - Dare"/>
    <n v="1027.8"/>
    <n v="0"/>
    <n v="1662042"/>
    <s v="CCCDNC70L11D209K"/>
    <s v="CICCHINI DOMENICO"/>
    <s v="600 - Famiglie consumatrici"/>
    <m/>
    <s v="086 - ITALIA"/>
    <n v="1879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780"/>
    <x v="2"/>
    <x v="2"/>
    <x v="42"/>
    <n v="53850"/>
    <n v="154"/>
    <s v="053850_154"/>
    <s v="Discovery Day"/>
    <s v="Mai valutato"/>
    <m/>
    <n v="202505057950614"/>
    <n v="1543300004605"/>
    <n v="20250505"/>
    <s v="AA - Bonifico da e per estero "/>
    <m/>
    <s v="078 - SUDAFRICANA (REPUBBLICA)"/>
    <s v="A     - Avere"/>
    <n v="8112"/>
    <n v="0"/>
    <n v="4973543"/>
    <s v="RMNRCC81E18Z347K"/>
    <s v="ROMANO ROCCO"/>
    <s v="615 - Altre famiglie produttrici"/>
    <s v="661 - ATTIVITÀ AUSILIARIE DEI SERVIZI FINANZIARI (ESCLUSE LE ASSICURAZIONI E I FONDI PENSIONE)"/>
    <s v="086 - ITALIA"/>
    <n v="741"/>
    <m/>
    <m/>
    <m/>
    <m/>
    <m/>
    <m/>
    <m/>
    <n v="0"/>
    <n v="202505"/>
    <x v="4"/>
    <x v="1"/>
    <x v="0"/>
    <m/>
    <x v="0"/>
    <x v="0"/>
    <s v="999"/>
    <s v="615"/>
    <s v="615999"/>
    <m/>
    <s v="1"/>
    <s v="Classe di rischio 3"/>
  </r>
  <r>
    <n v="337779"/>
    <x v="5"/>
    <x v="5"/>
    <x v="42"/>
    <n v="53850"/>
    <n v="167"/>
    <s v="053850_167"/>
    <s v="Discovery Day"/>
    <s v="Mai valutato"/>
    <m/>
    <s v="Vari (05/05/2025)"/>
    <n v="1673300000982"/>
    <n v="20250505"/>
    <s v="03 - Versamento contante cassa continua "/>
    <m/>
    <m/>
    <s v="A     - Avere"/>
    <n v="32350"/>
    <n v="32350"/>
    <n v="4780189"/>
    <s v="DSNNGL87D65A048E"/>
    <s v="DESIANTE ANGELA"/>
    <s v="600 - Famiglie consumatrici"/>
    <m/>
    <s v="086 - ITALIA"/>
    <n v="451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778"/>
    <x v="3"/>
    <x v="3"/>
    <x v="42"/>
    <n v="53850"/>
    <n v="171"/>
    <s v="053850_171"/>
    <s v="Discovery Day"/>
    <s v="Mai valutato"/>
    <m/>
    <s v="Vari (05/05/2025)"/>
    <n v="1713305728950"/>
    <n v="20250505"/>
    <s v="03 - Versamento contante cassa continua "/>
    <m/>
    <m/>
    <s v="A     - Avere"/>
    <n v="326087.23"/>
    <n v="326087.2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572895"/>
    <x v="1"/>
    <x v="0"/>
    <s v="999"/>
    <s v="430"/>
    <s v="430999"/>
    <m/>
    <s v="1"/>
    <s v="Classe di rischio 1"/>
  </r>
  <r>
    <n v="337777"/>
    <x v="4"/>
    <x v="4"/>
    <x v="42"/>
    <n v="53850"/>
    <n v="110"/>
    <s v="053850_110"/>
    <s v="Discovery Day"/>
    <s v="Mai valutato"/>
    <m/>
    <n v="202505057951941"/>
    <n v="1103304311370"/>
    <n v="20250505"/>
    <s v="54 - Incassi diversi"/>
    <m/>
    <m/>
    <s v="A     - Avere"/>
    <n v="168000"/>
    <n v="0"/>
    <n v="431134"/>
    <s v="DBNSLL51R56A669P"/>
    <s v="DIBENEDETTO STELLA"/>
    <s v="600 - Famiglie consumatrici"/>
    <m/>
    <s v="086 - ITALIA"/>
    <n v="458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776"/>
    <x v="2"/>
    <x v="2"/>
    <x v="42"/>
    <n v="53850"/>
    <n v="170"/>
    <s v="053850_170"/>
    <s v="Discovery Day"/>
    <s v="Mai valutato"/>
    <m/>
    <s v="202505056635192L"/>
    <n v="1703306289399"/>
    <n v="20250505"/>
    <s v="AA - Bonifico da e per estero "/>
    <m/>
    <s v="091 - PRINCIPATO DI MONACO"/>
    <s v="A     - Avere"/>
    <n v="2900"/>
    <n v="0"/>
    <n v="4926611"/>
    <s v="QRCSVT78A08A285Q"/>
    <s v="QUERCIA SALVATORE"/>
    <s v="615 - Altre famiglie produttrici"/>
    <s v="433 - COMPLETAMENTO E FINITURA DI EDIFICI"/>
    <s v="086 - ITALIA"/>
    <n v="1330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37775"/>
    <x v="4"/>
    <x v="4"/>
    <x v="42"/>
    <n v="53850"/>
    <n v="136"/>
    <s v="053850_136"/>
    <s v="Discovery Day"/>
    <s v="Mai valutato"/>
    <m/>
    <n v="202505057950629"/>
    <n v="1363300003325"/>
    <n v="20250505"/>
    <s v="BI - Erogazione finanziamento import"/>
    <m/>
    <m/>
    <s v="A     - Avere"/>
    <n v="6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37774"/>
    <x v="3"/>
    <x v="3"/>
    <x v="42"/>
    <n v="53850"/>
    <n v="121"/>
    <s v="053850_121"/>
    <s v="Discovery Day"/>
    <s v="Mai valutato"/>
    <m/>
    <n v="202505057951992"/>
    <n v="1213300003599"/>
    <n v="20250505"/>
    <s v="G7 - Versamento assegno circolare altro intermediario "/>
    <m/>
    <m/>
    <s v="A     - Avere"/>
    <n v="400000"/>
    <n v="0"/>
    <n v="4874257"/>
    <s v="MSSMLE91R30A662Y"/>
    <s v="MOSSA EMILIO"/>
    <s v="600 - Famiglie consumatrici"/>
    <m/>
    <s v="086 - ITALIA"/>
    <n v="105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773"/>
    <x v="3"/>
    <x v="3"/>
    <x v="42"/>
    <n v="53850"/>
    <n v="267"/>
    <s v="053850_267"/>
    <s v="Discovery Day"/>
    <s v="Mai valutato"/>
    <m/>
    <s v="Vari (05/05/2025)"/>
    <n v="2673300003600"/>
    <n v="20250505"/>
    <s v="VV"/>
    <m/>
    <m/>
    <s v="A     - Avere"/>
    <n v="99229"/>
    <n v="98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5"/>
    <x v="1"/>
    <x v="0"/>
    <x v="0"/>
    <n v="1705101"/>
    <x v="1"/>
    <x v="1"/>
    <s v="999"/>
    <s v="492"/>
    <s v="492999"/>
    <m/>
    <s v="1"/>
    <s v="Classe di rischio 2"/>
  </r>
  <r>
    <n v="337772"/>
    <x v="5"/>
    <x v="5"/>
    <x v="42"/>
    <n v="53850"/>
    <n v="114"/>
    <s v="053850_114"/>
    <s v="Discovery Day"/>
    <s v="Mai valutato"/>
    <m/>
    <s v="Vari (05/05/2025)"/>
    <n v="1143306280621"/>
    <n v="20250505"/>
    <s v="D1 - Versamento di contante "/>
    <m/>
    <m/>
    <s v="A     - Avere"/>
    <n v="70460"/>
    <n v="7046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92"/>
    <s v="492477"/>
    <s v="Classe di rischio 5"/>
    <m/>
    <s v="Classe di rischio 5"/>
  </r>
  <r>
    <n v="337771"/>
    <x v="3"/>
    <x v="3"/>
    <x v="42"/>
    <n v="53850"/>
    <n v="128"/>
    <s v="053850_128"/>
    <s v="Discovery Day"/>
    <s v="Mai valutato"/>
    <m/>
    <s v="Vari (05/05/2025)"/>
    <n v="1283300001665"/>
    <n v="20250505"/>
    <s v="VV"/>
    <m/>
    <m/>
    <s v="A     - Avere"/>
    <n v="129402.07"/>
    <n v="197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x v="1"/>
    <x v="0"/>
    <x v="0"/>
    <m/>
    <x v="0"/>
    <x v="1"/>
    <s v="999"/>
    <s v="430"/>
    <s v="430999"/>
    <m/>
    <s v="1"/>
    <s v="Classe di rischio 1"/>
  </r>
  <r>
    <n v="337770"/>
    <x v="3"/>
    <x v="3"/>
    <x v="42"/>
    <n v="53850"/>
    <n v="102"/>
    <s v="053850_102"/>
    <s v="Discovery Day"/>
    <s v="Mai valutato"/>
    <m/>
    <n v="202505057951819"/>
    <n v="1023308719048"/>
    <n v="20250505"/>
    <s v="G1 - Versamento assegni tratti su altro intermediario "/>
    <m/>
    <m/>
    <s v="A     - Avere"/>
    <n v="172000"/>
    <n v="0"/>
    <n v="467015"/>
    <s v="TLNMRS61M70I330O"/>
    <s v="TALENTO MARIA ROSA"/>
    <s v="615 - Altre famiglie produttrici"/>
    <s v="011 - COLTIVAZIONE DI COLTURE AGRICOLE NON PERMANENTI"/>
    <s v="086 - ITALIA"/>
    <n v="1949"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37769"/>
    <x v="3"/>
    <x v="3"/>
    <x v="42"/>
    <n v="53850"/>
    <n v="171"/>
    <s v="053850_171"/>
    <s v="Discovery Day"/>
    <s v="Mai valutato"/>
    <m/>
    <s v="Vari (05/05/2025)"/>
    <n v="1713302214147"/>
    <n v="20250505"/>
    <s v="03 - Versamento contante cassa continua "/>
    <m/>
    <m/>
    <s v="A     - Avere"/>
    <n v="141511.4"/>
    <n v="141511.4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5"/>
    <x v="2"/>
    <x v="1"/>
    <x v="0"/>
    <n v="4199319"/>
    <x v="1"/>
    <x v="0"/>
    <s v="999"/>
    <s v="430"/>
    <s v="430999"/>
    <m/>
    <s v="1"/>
    <s v="Classe di rischio 1"/>
  </r>
  <r>
    <n v="337768"/>
    <x v="4"/>
    <x v="4"/>
    <x v="42"/>
    <n v="53850"/>
    <n v="102"/>
    <s v="053850_102"/>
    <s v="Discovery Day"/>
    <s v="Mai valutato"/>
    <m/>
    <n v="202505057950258"/>
    <n v="1503300003188"/>
    <n v="20250505"/>
    <s v="48 - Bonifico in arrivo "/>
    <m/>
    <s v="086 - ITALIA"/>
    <s v="A     - Avere"/>
    <n v="143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5"/>
    <x v="0"/>
    <x v="0"/>
    <x v="0"/>
    <m/>
    <x v="0"/>
    <x v="0"/>
    <s v="999"/>
    <s v="259"/>
    <s v="259999"/>
    <m/>
    <s v="1"/>
    <s v="Classe di rischio 0"/>
  </r>
  <r>
    <n v="337767"/>
    <x v="3"/>
    <x v="3"/>
    <x v="42"/>
    <n v="53850"/>
    <n v="102"/>
    <s v="053850_102"/>
    <s v="Discovery Day"/>
    <s v="Mai valutato"/>
    <m/>
    <s v="Vari (05/05/2025)"/>
    <n v="1023300660520"/>
    <n v="20250505"/>
    <s v="VV"/>
    <m/>
    <m/>
    <s v="A     - Avere"/>
    <n v="174738.75"/>
    <n v="3004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5"/>
    <x v="4"/>
    <x v="1"/>
    <x v="0"/>
    <n v="66052"/>
    <x v="1"/>
    <x v="1"/>
    <s v="999"/>
    <s v="430"/>
    <s v="430999"/>
    <m/>
    <s v="1"/>
    <s v="Classe di rischio 1"/>
  </r>
  <r>
    <n v="337766"/>
    <x v="2"/>
    <x v="2"/>
    <x v="42"/>
    <n v="53850"/>
    <n v="103"/>
    <s v="053850_103"/>
    <s v="Discovery Day"/>
    <s v="Mai valutato"/>
    <m/>
    <s v="202505056634797L"/>
    <n v="1033304289290"/>
    <n v="20250505"/>
    <s v="AA - Bonifico da e per estero "/>
    <m/>
    <s v="012 - BULGARIA"/>
    <s v="D     - Dare"/>
    <n v="3000"/>
    <n v="0"/>
    <n v="428929"/>
    <n v="3895840720"/>
    <s v="CAM2 SOCIETA' A RESPONSABILITA' LIMITATA"/>
    <s v="450 - Associazioni fra imprese non finanziarie"/>
    <s v="494 - TRASPORTO DI MERCI SU STRADA E SERVIZI DI TRASLOCO"/>
    <s v="086 - ITALIA"/>
    <n v="1274"/>
    <m/>
    <m/>
    <m/>
    <m/>
    <m/>
    <m/>
    <m/>
    <n v="0"/>
    <n v="202505"/>
    <x v="2"/>
    <x v="1"/>
    <x v="0"/>
    <m/>
    <x v="0"/>
    <x v="0"/>
    <s v="999"/>
    <s v="450"/>
    <s v="450999"/>
    <m/>
    <s v="1"/>
    <s v="Classe di rischio 1"/>
  </r>
  <r>
    <n v="337765"/>
    <x v="6"/>
    <x v="6"/>
    <x v="42"/>
    <n v="53850"/>
    <n v="105"/>
    <s v="053850_105"/>
    <s v="Discovery Day"/>
    <s v="Mai valutato"/>
    <m/>
    <n v="202505057950606"/>
    <n v="1053306295089"/>
    <n v="20250505"/>
    <s v="AA - Bonifico da e per estero "/>
    <m/>
    <s v="016 - CINA"/>
    <s v="D     - Dare"/>
    <n v="42057.45"/>
    <n v="0"/>
    <n v="3716148"/>
    <n v="6264740728"/>
    <s v="ZEROTF S.R.L."/>
    <s v="430 - Imprese produttive"/>
    <s v="467 - COMMERCIO ALL'INGROSSO SPECIALIZZATO DI ALTRI PRODOTTI"/>
    <s v="086 - ITALIA"/>
    <n v="462"/>
    <m/>
    <m/>
    <m/>
    <m/>
    <m/>
    <m/>
    <m/>
    <n v="0"/>
    <n v="202505"/>
    <x v="4"/>
    <x v="1"/>
    <x v="0"/>
    <m/>
    <x v="0"/>
    <x v="0"/>
    <s v="999"/>
    <s v="430"/>
    <s v="430999"/>
    <m/>
    <s v="1"/>
    <s v="Classe di rischio 1"/>
  </r>
  <r>
    <n v="337764"/>
    <x v="5"/>
    <x v="5"/>
    <x v="42"/>
    <n v="53850"/>
    <n v="182"/>
    <s v="053850_182"/>
    <s v="Discovery Day"/>
    <s v="Mai valutato"/>
    <m/>
    <s v="Vari (05/05/2025)"/>
    <n v="1823300169301"/>
    <n v="20250505"/>
    <s v="03 - Versamento contante cassa continua "/>
    <m/>
    <m/>
    <s v="A     - Avere"/>
    <n v="54345"/>
    <n v="5434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5"/>
    <x v="1"/>
    <x v="0"/>
    <x v="0"/>
    <n v="4284957"/>
    <x v="1"/>
    <x v="0"/>
    <s v="920"/>
    <s v="615"/>
    <s v="615920"/>
    <s v="Classe di rischio 6"/>
    <m/>
    <s v="Classe di rischio 6"/>
  </r>
  <r>
    <n v="337763"/>
    <x v="2"/>
    <x v="2"/>
    <x v="42"/>
    <n v="53850"/>
    <n v="114"/>
    <s v="053850_114"/>
    <s v="Discovery Day"/>
    <s v="Mai valutato"/>
    <m/>
    <s v="202505026619980L"/>
    <n v="1143306281139"/>
    <n v="20250502"/>
    <s v="AA - Bonifico da e per estero "/>
    <m/>
    <s v="012 - BULGARIA"/>
    <s v="D     - Dare"/>
    <n v="1000"/>
    <n v="0"/>
    <n v="4269365"/>
    <s v="DLCGPP59H14F052I"/>
    <s v="DI LECCE GIUSEPPE"/>
    <s v="600 - Famiglie consumatrici"/>
    <m/>
    <s v="086 - ITALIA"/>
    <n v="642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7762"/>
    <x v="4"/>
    <x v="4"/>
    <x v="1"/>
    <n v="53850"/>
    <n v="103"/>
    <s v="053850_103"/>
    <s v="Discovery Day"/>
    <s v="Mai valutato"/>
    <m/>
    <n v="202505057942705"/>
    <n v="1033306974105"/>
    <n v="20250505"/>
    <s v="BA - Vendita a prodotti titoli e diritti d'opzione"/>
    <m/>
    <m/>
    <s v="A     - Avere"/>
    <n v="396362.6"/>
    <n v="0"/>
    <n v="158903"/>
    <s v="MRMGPP37T01E155X"/>
    <s v="MORAMARCO GIUSEPPE"/>
    <s v="600 - Famiglie consumatrici"/>
    <m/>
    <s v="086 - ITALIA"/>
    <n v="1657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761"/>
    <x v="4"/>
    <x v="4"/>
    <x v="1"/>
    <n v="53850"/>
    <n v="103"/>
    <s v="053850_103"/>
    <s v="Discovery Day"/>
    <s v="Mai valutato"/>
    <m/>
    <n v="202505057942705"/>
    <n v="1033306974105"/>
    <n v="20250505"/>
    <s v="BA - Vendita a prodotti titoli e diritti d'opzione"/>
    <m/>
    <m/>
    <s v="A     - Avere"/>
    <n v="396362.6"/>
    <n v="0"/>
    <n v="461958"/>
    <s v="MRMFNC67T15E155W"/>
    <s v="MORAMARCO FRANCESCO"/>
    <s v="600 - Famiglie consumatrici"/>
    <m/>
    <s v="086 - ITALIA"/>
    <n v="1912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760"/>
    <x v="4"/>
    <x v="4"/>
    <x v="1"/>
    <n v="53850"/>
    <n v="164"/>
    <s v="053850_164"/>
    <s v="Discovery Day"/>
    <s v="Mai valutato"/>
    <m/>
    <n v="202505027944626"/>
    <n v="1643300369759"/>
    <n v="20250502"/>
    <s v="SPECIAL"/>
    <m/>
    <m/>
    <s v="D     - Dare"/>
    <n v="7955.45"/>
    <n v="0"/>
    <n v="4356533"/>
    <s v="CMPLRS54M56H480H"/>
    <s v="CAMPANOZZI LIBERA ASSUNTA"/>
    <s v="600 - Famiglie consumatrici"/>
    <m/>
    <s v="086 - ITALIA"/>
    <n v="787"/>
    <m/>
    <m/>
    <m/>
    <m/>
    <m/>
    <m/>
    <m/>
    <n v="0"/>
    <n v="202505"/>
    <x v="1"/>
    <x v="0"/>
    <x v="0"/>
    <m/>
    <x v="0"/>
    <x v="1"/>
    <s v="999"/>
    <s v="600"/>
    <s v="600999"/>
    <s v="Classe di rischio 7"/>
    <m/>
    <s v="Classe di rischio 7"/>
  </r>
  <r>
    <n v="337759"/>
    <x v="10"/>
    <x v="10"/>
    <x v="1"/>
    <n v="53850"/>
    <n v="103"/>
    <s v="053850_103"/>
    <s v="Discovery Day"/>
    <s v="Mai valutato"/>
    <m/>
    <n v="202505027944390"/>
    <m/>
    <n v="20250502"/>
    <s v="58 - Esecuzione di reversali"/>
    <m/>
    <m/>
    <s v="A     - Avere"/>
    <n v="45791.5"/>
    <n v="45791.5"/>
    <n v="416796"/>
    <s v="CSTNTN57B10E155R"/>
    <s v="COSTANZA ANTONIO"/>
    <s v="600 - Famiglie consumatrici"/>
    <m/>
    <s v="086 - ITALIA"/>
    <m/>
    <m/>
    <m/>
    <m/>
    <m/>
    <m/>
    <m/>
    <m/>
    <n v="0"/>
    <n v="202505"/>
    <x v="5"/>
    <x v="2"/>
    <x v="1"/>
    <m/>
    <x v="0"/>
    <x v="0"/>
    <s v="999"/>
    <s v="600"/>
    <s v="600999"/>
    <s v="Classe di rischio 7"/>
    <m/>
    <s v="Classe di rischio 7"/>
  </r>
  <r>
    <n v="337758"/>
    <x v="6"/>
    <x v="6"/>
    <x v="1"/>
    <n v="53850"/>
    <n v="170"/>
    <s v="053850_170"/>
    <s v="Discovery Day"/>
    <s v="Mai valutato"/>
    <m/>
    <n v="202505027942239"/>
    <n v="1703306288978"/>
    <n v="20250502"/>
    <s v="AA - Bonifico da e per estero "/>
    <m/>
    <s v="071 - SVIZZERA"/>
    <s v="A     - Avere"/>
    <n v="15205.86"/>
    <n v="0"/>
    <n v="4886461"/>
    <s v="PTRRFL77P26A285L"/>
    <s v="PETRUZZELLI RAFFAELE"/>
    <s v="600 - Famiglie consumatrici"/>
    <m/>
    <s v="086 - ITALIA"/>
    <n v="1667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757"/>
    <x v="4"/>
    <x v="4"/>
    <x v="1"/>
    <n v="53850"/>
    <n v="175"/>
    <s v="053850_175"/>
    <s v="Discovery Day"/>
    <s v="Mai valutato"/>
    <m/>
    <n v="202505027943813"/>
    <n v="1753305636160"/>
    <n v="20250502"/>
    <s v="29 - Accrediti o incasso RI.BA. "/>
    <m/>
    <m/>
    <s v="A     - Avere"/>
    <n v="2696970.87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5"/>
    <x v="1"/>
    <x v="0"/>
    <x v="0"/>
    <m/>
    <x v="0"/>
    <x v="0"/>
    <s v="464"/>
    <s v="430"/>
    <s v="430464"/>
    <s v="Classe di rischio 4"/>
    <m/>
    <s v="Classe di rischio 4"/>
  </r>
  <r>
    <n v="337756"/>
    <x v="5"/>
    <x v="5"/>
    <x v="1"/>
    <n v="53850"/>
    <n v="114"/>
    <s v="053850_114"/>
    <s v="Discovery Day"/>
    <s v="Mai valutato"/>
    <m/>
    <n v="202505027944485"/>
    <n v="1143306280621"/>
    <n v="20250502"/>
    <s v="D1 - Versamento di contante "/>
    <m/>
    <m/>
    <s v="A     - Avere"/>
    <n v="34600"/>
    <n v="34600"/>
    <n v="4658875"/>
    <n v="3230890711"/>
    <s v="FARMACIA SANTA RITA DEI DOTTORI TERESA EGUSTAVO VASSALLI S.N.C."/>
    <s v="492 - Quasi societa' non finanziarie altre - Unita' o societa' con meno di 20 addetti"/>
    <s v="477 - COMMERCIO AL DETTAGLIO DI ALTRI PRODOTTI IN ESERCIZI SPECIALIZZATI"/>
    <s v="086 - ITALIA"/>
    <n v="870"/>
    <m/>
    <m/>
    <m/>
    <m/>
    <m/>
    <m/>
    <m/>
    <n v="0"/>
    <n v="202505"/>
    <x v="1"/>
    <x v="0"/>
    <x v="0"/>
    <n v="4658875"/>
    <x v="1"/>
    <x v="0"/>
    <s v="477"/>
    <s v="492"/>
    <s v="492477"/>
    <s v="Classe di rischio 5"/>
    <m/>
    <s v="Classe di rischio 5"/>
  </r>
  <r>
    <n v="337755"/>
    <x v="4"/>
    <x v="4"/>
    <x v="1"/>
    <n v="53850"/>
    <n v="148"/>
    <s v="053850_148"/>
    <s v="Discovery Day"/>
    <s v="Mai valutato"/>
    <m/>
    <n v="202505027944592"/>
    <n v="1483300003460"/>
    <n v="20250502"/>
    <s v="10 - Emisione assegni circolari e titoli similari vaglia"/>
    <m/>
    <m/>
    <s v="D     - Dare"/>
    <n v="500000"/>
    <n v="0"/>
    <n v="4743708"/>
    <s v="FRRGNI91M19A783K"/>
    <s v="FERRARA IGINO"/>
    <s v="600 - Famiglie consumatrici"/>
    <m/>
    <s v="086 - ITALIA"/>
    <n v="1636"/>
    <m/>
    <m/>
    <m/>
    <m/>
    <m/>
    <m/>
    <m/>
    <n v="0"/>
    <n v="202505"/>
    <x v="1"/>
    <x v="0"/>
    <x v="0"/>
    <m/>
    <x v="0"/>
    <x v="0"/>
    <s v="999"/>
    <s v="600"/>
    <s v="600999"/>
    <s v="Classe di rischio 7"/>
    <m/>
    <s v="Classe di rischio 7"/>
  </r>
  <r>
    <n v="337754"/>
    <x v="4"/>
    <x v="4"/>
    <x v="1"/>
    <n v="53850"/>
    <n v="164"/>
    <s v="053850_164"/>
    <s v="Discovery Day"/>
    <s v="Mai valutato"/>
    <m/>
    <n v="202505027944626"/>
    <n v="1643300369759"/>
    <n v="20250502"/>
    <s v="SPECIAL"/>
    <m/>
    <m/>
    <s v="D     - Dare"/>
    <n v="7955.45"/>
    <n v="0"/>
    <n v="4356531"/>
    <s v="MLIGPP46E01A339X"/>
    <s v="MILO GIUSEPPE"/>
    <s v="600 - Famiglie consumatrici"/>
    <m/>
    <s v="086 - ITALIA"/>
    <n v="787"/>
    <m/>
    <m/>
    <m/>
    <m/>
    <m/>
    <m/>
    <m/>
    <n v="0"/>
    <n v="202505"/>
    <x v="1"/>
    <x v="0"/>
    <x v="0"/>
    <m/>
    <x v="0"/>
    <x v="1"/>
    <s v="999"/>
    <s v="600"/>
    <s v="600999"/>
    <s v="Classe di rischio 7"/>
    <m/>
    <s v="Classe di rischio 7"/>
  </r>
  <r>
    <n v="337753"/>
    <x v="2"/>
    <x v="2"/>
    <x v="1"/>
    <n v="53850"/>
    <n v="129"/>
    <s v="053850_129"/>
    <s v="Discovery Day"/>
    <s v="Mai valutato"/>
    <m/>
    <n v="202505027942484"/>
    <n v="1293300002811"/>
    <n v="20250502"/>
    <s v="AA - Bonifico da e per estero "/>
    <m/>
    <s v="261 - CROAZIA"/>
    <s v="A     - Avere"/>
    <n v="20412.22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x v="0"/>
    <x v="0"/>
    <x v="0"/>
    <m/>
    <x v="0"/>
    <x v="0"/>
    <s v="999"/>
    <s v="430"/>
    <s v="430999"/>
    <m/>
    <s v="1"/>
    <s v="Classe di rischio 1"/>
  </r>
  <r>
    <n v="337752"/>
    <x v="4"/>
    <x v="4"/>
    <x v="1"/>
    <n v="53850"/>
    <n v="284"/>
    <s v="053850_284"/>
    <s v="Discovery Day"/>
    <s v="Mai valutato"/>
    <m/>
    <n v="202505027944882"/>
    <n v="2843300000478"/>
    <n v="20250502"/>
    <s v="SPECIAL"/>
    <m/>
    <m/>
    <s v="D     - Dare"/>
    <n v="5641.99"/>
    <n v="0"/>
    <n v="1656709"/>
    <s v="DNTRTT52H55B238G"/>
    <s v="DONATUCCI ROSETTA MARIA"/>
    <s v="600 - Famiglie consumatrici"/>
    <m/>
    <s v="086 - ITALIA"/>
    <n v="1860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751"/>
    <x v="4"/>
    <x v="4"/>
    <x v="1"/>
    <n v="53850"/>
    <n v="170"/>
    <s v="053850_170"/>
    <s v="Discovery Day"/>
    <s v="Mai valutato"/>
    <m/>
    <n v="202505027943714"/>
    <n v="1703306288195"/>
    <n v="20250502"/>
    <s v="29 - Accrediti o incasso RI.BA. "/>
    <m/>
    <m/>
    <s v="A     - Avere"/>
    <n v="2554771.59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37750"/>
    <x v="3"/>
    <x v="3"/>
    <x v="1"/>
    <n v="53850"/>
    <n v="102"/>
    <s v="053850_102"/>
    <s v="Discovery Day"/>
    <s v="Mai valutato"/>
    <m/>
    <s v="Vari (02/05/2025)"/>
    <n v="1023308722503"/>
    <n v="20250502"/>
    <s v="03 - Versamento contante cassa continua "/>
    <m/>
    <m/>
    <s v="A     - Avere"/>
    <n v="70770"/>
    <n v="707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37749"/>
    <x v="4"/>
    <x v="4"/>
    <x v="1"/>
    <n v="53850"/>
    <n v="171"/>
    <s v="053850_171"/>
    <s v="Discovery Day"/>
    <s v="Mai valutato"/>
    <m/>
    <n v="202505027943751"/>
    <n v="1713302213842"/>
    <n v="20250502"/>
    <s v="13 - Addebito per estinzione assegno"/>
    <m/>
    <m/>
    <s v="D     - Dare"/>
    <n v="1368468.75"/>
    <n v="0"/>
    <n v="4148505"/>
    <n v="5848860721"/>
    <s v="FORMAT DISTRIBUZIONE SOCIETA' A RESPONSABILITA' LIMITATA"/>
    <s v="430 - Imprese produttive"/>
    <s v="469 - COMMERCIO ALL'INGROSSO NON SPECIALIZZATO"/>
    <s v="086 - ITALIA"/>
    <n v="1903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37748"/>
    <x v="3"/>
    <x v="3"/>
    <x v="1"/>
    <n v="53850"/>
    <n v="195"/>
    <s v="053850_195"/>
    <s v="Discovery Day"/>
    <s v="Mai valutato"/>
    <m/>
    <n v="202505027944756"/>
    <n v="1953300029029"/>
    <n v="20250502"/>
    <s v="G1 - Versamento assegni tratti su altro intermediario "/>
    <m/>
    <m/>
    <s v="A     - Avere"/>
    <n v="105000"/>
    <n v="0"/>
    <n v="3033332"/>
    <s v="DTTCMN51A22G252M"/>
    <s v="DETTOLI CARMINE"/>
    <s v="600 - Famiglie consumatrici"/>
    <m/>
    <s v="086 - ITALIA"/>
    <n v="1914"/>
    <m/>
    <m/>
    <m/>
    <m/>
    <m/>
    <m/>
    <m/>
    <n v="0"/>
    <n v="202505"/>
    <x v="2"/>
    <x v="1"/>
    <x v="0"/>
    <m/>
    <x v="0"/>
    <x v="0"/>
    <s v="999"/>
    <s v="600"/>
    <s v="600999"/>
    <s v="Classe di rischio 7"/>
    <m/>
    <s v="Classe di rischio 7"/>
  </r>
  <r>
    <n v="337747"/>
    <x v="6"/>
    <x v="6"/>
    <x v="1"/>
    <n v="53850"/>
    <n v="192"/>
    <s v="053850_192"/>
    <s v="Discovery Day"/>
    <s v="Mai valutato"/>
    <m/>
    <n v="202505027942328"/>
    <n v="1923300182371"/>
    <n v="20250502"/>
    <s v="AA - Bonifico da e per estero "/>
    <m/>
    <s v="071 - SVIZZERA"/>
    <s v="A     - Avere"/>
    <n v="320000"/>
    <n v="0"/>
    <n v="4813278"/>
    <n v="3017410733"/>
    <s v="TECNOHOME INSIDE SRL"/>
    <s v="430 - Imprese produttive"/>
    <s v="467 - COMMERCIO ALL'INGROSSO SPECIALIZZATO DI ALTRI PRODOTTI"/>
    <s v="086 - ITALIA"/>
    <n v="1066"/>
    <m/>
    <m/>
    <m/>
    <m/>
    <m/>
    <m/>
    <m/>
    <n v="0"/>
    <n v="202505"/>
    <x v="2"/>
    <x v="1"/>
    <x v="0"/>
    <m/>
    <x v="0"/>
    <x v="0"/>
    <s v="999"/>
    <s v="430"/>
    <s v="430999"/>
    <m/>
    <s v="1"/>
    <s v="Classe di rischio 1"/>
  </r>
  <r>
    <n v="337746"/>
    <x v="5"/>
    <x v="5"/>
    <x v="1"/>
    <n v="53850"/>
    <n v="126"/>
    <s v="053850_126"/>
    <s v="Discovery Day"/>
    <s v="Mai valutato"/>
    <m/>
    <s v="Vari (02/05/2025)"/>
    <n v="1263300003878"/>
    <n v="20250502"/>
    <s v="VV"/>
    <m/>
    <m/>
    <s v="A     - Avere"/>
    <n v="40300"/>
    <n v="39000"/>
    <n v="4960592"/>
    <s v="DSNRRT93L20B619C"/>
    <s v="DE SANDI ROBERTO"/>
    <s v="600 - Famiglie consumatrici"/>
    <m/>
    <s v="086 - ITALIA"/>
    <n v="1423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745"/>
    <x v="3"/>
    <x v="3"/>
    <x v="1"/>
    <n v="53850"/>
    <n v="116"/>
    <s v="053850_116"/>
    <s v="Discovery Day"/>
    <s v="Mai valutato"/>
    <m/>
    <s v="Vari (02/05/2025)"/>
    <n v="1163305431040"/>
    <n v="20250502"/>
    <s v="G1 - Versamento assegni tratti su altro intermediario "/>
    <m/>
    <m/>
    <s v="A     - Avere"/>
    <n v="108504.23"/>
    <n v="0"/>
    <n v="543104"/>
    <n v="4393640729"/>
    <s v="TURBO SERVICE S.R.L."/>
    <s v="430 - Imprese produttive"/>
    <s v="466 - COMMERCIO ALL'INGROSSO DI ALTRI MACCHINARI, ATTREZZATURE E FORNITURE"/>
    <s v="086 - ITALIA"/>
    <n v="1696"/>
    <m/>
    <m/>
    <m/>
    <m/>
    <m/>
    <m/>
    <m/>
    <n v="0"/>
    <n v="202505"/>
    <x v="3"/>
    <x v="1"/>
    <x v="0"/>
    <m/>
    <x v="0"/>
    <x v="0"/>
    <s v="999"/>
    <s v="430"/>
    <s v="430999"/>
    <m/>
    <s v="1"/>
    <s v="Classe di rischio 1"/>
  </r>
  <r>
    <n v="337744"/>
    <x v="5"/>
    <x v="5"/>
    <x v="1"/>
    <n v="53850"/>
    <n v="126"/>
    <s v="053850_126"/>
    <s v="Discovery Day"/>
    <s v="Mai valutato"/>
    <m/>
    <s v="Vari (02/05/2025)"/>
    <n v="1263300003878"/>
    <n v="20250502"/>
    <s v="VV"/>
    <m/>
    <m/>
    <s v="A     - Avere"/>
    <n v="40300"/>
    <n v="39000"/>
    <n v="3743864"/>
    <s v="KCEBXH94M71B619E"/>
    <s v="KECI BRIXHILDA"/>
    <s v="600 - Famiglie consumatrici"/>
    <m/>
    <s v="086 - ITALIA"/>
    <m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743"/>
    <x v="3"/>
    <x v="3"/>
    <x v="1"/>
    <n v="53850"/>
    <n v="102"/>
    <s v="053850_102"/>
    <s v="Discovery Day"/>
    <s v="Mai valutato"/>
    <m/>
    <s v="Vari (02/05/2025)"/>
    <n v="1023300660520"/>
    <n v="20250502"/>
    <s v="VV"/>
    <m/>
    <m/>
    <s v="A     - Avere"/>
    <n v="102114.57"/>
    <n v="8740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5"/>
    <x v="4"/>
    <x v="1"/>
    <x v="0"/>
    <n v="66052"/>
    <x v="1"/>
    <x v="1"/>
    <s v="999"/>
    <s v="430"/>
    <s v="430999"/>
    <m/>
    <s v="1"/>
    <s v="Classe di rischio 1"/>
  </r>
  <r>
    <n v="337742"/>
    <x v="5"/>
    <x v="5"/>
    <x v="1"/>
    <n v="53850"/>
    <n v="174"/>
    <s v="053850_174"/>
    <s v="Discovery Day"/>
    <s v="Mai valutato"/>
    <m/>
    <s v="Vari (02/05/2025)"/>
    <n v="1743302879903"/>
    <n v="20250502"/>
    <s v="VV"/>
    <m/>
    <m/>
    <s v="A     - Avere"/>
    <n v="67855.56"/>
    <n v="52000"/>
    <n v="4928259"/>
    <n v="8287320728"/>
    <s v="MARINGELLI ORTOFRUTTA SOCIETA' A RESPONSABILITA' LIMITATA"/>
    <s v="430 - Imprese produttive"/>
    <s v="463 - COMMERCIO ALL'INGROSSO DI PRODOTTI ALIMENTARI, BEVANDE E PRODOTTI DEL TABACCO"/>
    <s v="086 - ITALIA"/>
    <n v="448"/>
    <m/>
    <m/>
    <m/>
    <m/>
    <m/>
    <m/>
    <m/>
    <n v="0"/>
    <n v="202505"/>
    <x v="0"/>
    <x v="0"/>
    <x v="0"/>
    <n v="4928259"/>
    <x v="1"/>
    <x v="1"/>
    <s v="463"/>
    <s v="430"/>
    <s v="430463"/>
    <s v="Classe di rischio 3"/>
    <m/>
    <s v="Classe di rischio 3"/>
  </r>
  <r>
    <n v="337741"/>
    <x v="6"/>
    <x v="6"/>
    <x v="1"/>
    <n v="53850"/>
    <n v="131"/>
    <s v="053850_131"/>
    <s v="Discovery Day"/>
    <s v="Mai valutato"/>
    <m/>
    <n v="202505027942655"/>
    <n v="1313300001588"/>
    <n v="20250502"/>
    <s v="AA - Bonifico da e per estero "/>
    <m/>
    <s v="263 - UCRAINA"/>
    <s v="A     - Avere"/>
    <n v="57850.2"/>
    <n v="0"/>
    <n v="4121868"/>
    <n v="5913290630"/>
    <s v="C.M.D. COSTRUZIONI MOTORI DIESEL S.P.A."/>
    <s v="430 - Imprese produttive"/>
    <s v="256 - TRATTAMENTO E RIVESTIMENTO DEI METALLI, LAVORI DI MECCANICA GENERALE"/>
    <s v="086 - ITALIA"/>
    <n v="739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37740"/>
    <x v="4"/>
    <x v="4"/>
    <x v="1"/>
    <n v="53850"/>
    <n v="181"/>
    <s v="053850_181"/>
    <s v="Discovery Day"/>
    <s v="Mai valutato"/>
    <m/>
    <n v="202505027944705"/>
    <n v="1813300010027"/>
    <n v="20250502"/>
    <s v="SPECIAL"/>
    <m/>
    <m/>
    <s v="D     - Dare"/>
    <n v="41382.71"/>
    <n v="0"/>
    <n v="49014"/>
    <s v="DGIMHL51H05A662M"/>
    <s v="DI GIOIA MICHELE"/>
    <s v="600 - Famiglie consumatrici"/>
    <m/>
    <s v="086 - ITALIA"/>
    <n v="692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739"/>
    <x v="5"/>
    <x v="5"/>
    <x v="1"/>
    <n v="53850"/>
    <n v="273"/>
    <s v="053850_273"/>
    <s v="Discovery Day"/>
    <s v="Mai valutato"/>
    <m/>
    <s v="Vari (02/05/2025)"/>
    <n v="2733300000498"/>
    <n v="20250502"/>
    <s v="03 - Versamento contante cassa continua "/>
    <m/>
    <m/>
    <s v="A     - Avere"/>
    <n v="62175"/>
    <n v="62175"/>
    <n v="1617415"/>
    <n v="2262360692"/>
    <s v="ALL GAMES S.R.L."/>
    <s v="430 - Imprese produttive"/>
    <s v="920 - ATTIVITÀ RIGUARDANTI LE LOTTERIE, LE SCOMMESSE, LE CASE DA GIOCO"/>
    <s v="086 - ITALIA"/>
    <n v="1765"/>
    <m/>
    <m/>
    <m/>
    <m/>
    <m/>
    <m/>
    <m/>
    <n v="0"/>
    <n v="202505"/>
    <x v="1"/>
    <x v="0"/>
    <x v="0"/>
    <n v="1617415"/>
    <x v="1"/>
    <x v="0"/>
    <s v="920"/>
    <s v="430"/>
    <s v="430920"/>
    <s v="Classe di rischio 4"/>
    <m/>
    <s v="Classe di rischio 4"/>
  </r>
  <r>
    <n v="337738"/>
    <x v="3"/>
    <x v="3"/>
    <x v="1"/>
    <n v="53850"/>
    <n v="121"/>
    <s v="053850_121"/>
    <s v="Discovery Day"/>
    <s v="Mai valutato"/>
    <m/>
    <s v="Vari (02/05/2025)"/>
    <n v="1213300002600"/>
    <n v="20250502"/>
    <s v="VV"/>
    <m/>
    <m/>
    <s v="A     - Avere"/>
    <n v="1165788.5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5"/>
    <x v="3"/>
    <x v="1"/>
    <x v="0"/>
    <m/>
    <x v="0"/>
    <x v="1"/>
    <s v="463"/>
    <s v="430"/>
    <s v="430463"/>
    <s v="Classe di rischio 3"/>
    <m/>
    <s v="Classe di rischio 3"/>
  </r>
  <r>
    <n v="337737"/>
    <x v="2"/>
    <x v="2"/>
    <x v="1"/>
    <n v="53850"/>
    <n v="164"/>
    <s v="053850_164"/>
    <s v="Discovery Day"/>
    <s v="Mai valutato"/>
    <m/>
    <n v="202505027942312"/>
    <n v="1643300370610"/>
    <n v="20250502"/>
    <s v="AA - Bonifico da e per estero "/>
    <m/>
    <s v="091 - PRINCIPATO DI MONACO"/>
    <s v="A     - Avere"/>
    <n v="27633.15"/>
    <n v="0"/>
    <n v="3700118"/>
    <n v="4318090711"/>
    <s v="TENUTA BIANCHI SOCIETA' COOPERATIVA AGRICOLA"/>
    <s v="430 - Imprese produttive"/>
    <s v="103 - LAVORAZIONE E CONSERVAZIONE DI FRUTTA E ORTAGGI"/>
    <s v="086 - ITALIA"/>
    <n v="677"/>
    <m/>
    <m/>
    <m/>
    <m/>
    <m/>
    <m/>
    <m/>
    <n v="0"/>
    <n v="202505"/>
    <x v="1"/>
    <x v="0"/>
    <x v="0"/>
    <m/>
    <x v="0"/>
    <x v="0"/>
    <s v="999"/>
    <s v="430"/>
    <s v="430999"/>
    <m/>
    <s v="1"/>
    <s v="Classe di rischio 1"/>
  </r>
  <r>
    <n v="337736"/>
    <x v="5"/>
    <x v="5"/>
    <x v="1"/>
    <n v="53850"/>
    <n v="268"/>
    <s v="053850_268"/>
    <s v="Discovery Day"/>
    <s v="Mai valutato"/>
    <m/>
    <s v="Vari (02/05/2025)"/>
    <n v="2683300010030"/>
    <n v="20250502"/>
    <s v="03 - Versamento contante cassa continua "/>
    <m/>
    <m/>
    <s v="A     - Avere"/>
    <n v="36730"/>
    <n v="3673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5"/>
    <x v="1"/>
    <x v="0"/>
    <x v="0"/>
    <n v="4966939"/>
    <x v="1"/>
    <x v="0"/>
    <s v="999"/>
    <s v="615"/>
    <s v="615999"/>
    <m/>
    <s v="1"/>
    <s v="Classe di rischio 3"/>
  </r>
  <r>
    <n v="337735"/>
    <x v="4"/>
    <x v="4"/>
    <x v="1"/>
    <n v="53850"/>
    <n v="284"/>
    <s v="053850_284"/>
    <s v="Discovery Day"/>
    <s v="Mai valutato"/>
    <m/>
    <n v="202505027944882"/>
    <n v="2843300000478"/>
    <n v="20250502"/>
    <s v="SPECIAL"/>
    <m/>
    <m/>
    <s v="D     - Dare"/>
    <n v="5641.99"/>
    <n v="0"/>
    <n v="1656708"/>
    <s v="TTSNCL49T06B238T"/>
    <s v="TATASCIORE NICOLA"/>
    <s v="600 - Famiglie consumatrici"/>
    <m/>
    <s v="086 - ITALIA"/>
    <n v="1860"/>
    <m/>
    <m/>
    <m/>
    <m/>
    <m/>
    <m/>
    <m/>
    <n v="0"/>
    <n v="202505"/>
    <x v="0"/>
    <x v="0"/>
    <x v="0"/>
    <m/>
    <x v="0"/>
    <x v="1"/>
    <s v="999"/>
    <s v="600"/>
    <s v="600999"/>
    <s v="Classe di rischio 7"/>
    <m/>
    <s v="Classe di rischio 7"/>
  </r>
  <r>
    <n v="337734"/>
    <x v="5"/>
    <x v="5"/>
    <x v="1"/>
    <n v="53850"/>
    <n v="102"/>
    <s v="053850_102"/>
    <s v="Discovery Day"/>
    <s v="Mai valutato"/>
    <m/>
    <s v="Vari (02/05/2025)"/>
    <n v="1023308722503"/>
    <n v="20250502"/>
    <s v="03 - Versamento contante cassa continua "/>
    <m/>
    <m/>
    <s v="A     - Avere"/>
    <n v="70770"/>
    <n v="707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5"/>
    <x v="1"/>
    <x v="0"/>
    <x v="0"/>
    <n v="413650"/>
    <x v="1"/>
    <x v="0"/>
    <s v="920"/>
    <s v="492"/>
    <s v="492920"/>
    <s v="Classe di rischio 5"/>
    <m/>
    <s v="Classe di rischio 5"/>
  </r>
  <r>
    <n v="337733"/>
    <x v="5"/>
    <x v="5"/>
    <x v="1"/>
    <n v="53850"/>
    <n v="116"/>
    <s v="053850_116"/>
    <s v="Discovery Day"/>
    <s v="Mai valutato"/>
    <m/>
    <n v="202505027944065"/>
    <n v="2343300010453"/>
    <n v="20250502"/>
    <s v="03 - Versamento contante cassa continua "/>
    <m/>
    <m/>
    <s v="A     - Avere"/>
    <n v="70275"/>
    <n v="7027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x v="3"/>
    <x v="1"/>
    <x v="0"/>
    <n v="4247777"/>
    <x v="1"/>
    <x v="0"/>
    <s v="463"/>
    <s v="430"/>
    <s v="430463"/>
    <s v="Classe di rischio 3"/>
    <m/>
    <s v="Classe di rischio 3"/>
  </r>
  <r>
    <n v="337732"/>
    <x v="3"/>
    <x v="3"/>
    <x v="1"/>
    <n v="53850"/>
    <n v="195"/>
    <s v="053850_195"/>
    <s v="Discovery Day"/>
    <s v="Mai valutato"/>
    <m/>
    <n v="202505027944756"/>
    <n v="1953300029029"/>
    <n v="20250502"/>
    <s v="G1 - Versamento assegni tratti su altro intermediario "/>
    <m/>
    <m/>
    <s v="A     - Avere"/>
    <n v="105000"/>
    <n v="0"/>
    <n v="3033333"/>
    <s v="NRCRCC53S51G252Q"/>
    <s v="NARCOTINO ROCCA"/>
    <s v="615 - Altre famiglie produttrici"/>
    <s v="012 - COLTIVAZIONE DI COLTURE PERMANENTI"/>
    <s v="086 - ITALIA"/>
    <m/>
    <m/>
    <m/>
    <m/>
    <m/>
    <m/>
    <m/>
    <m/>
    <n v="0"/>
    <n v="202505"/>
    <x v="2"/>
    <x v="1"/>
    <x v="0"/>
    <m/>
    <x v="0"/>
    <x v="0"/>
    <s v="999"/>
    <s v="615"/>
    <s v="615999"/>
    <m/>
    <s v="1"/>
    <s v="Classe di rischio 3"/>
  </r>
  <r>
    <n v="337731"/>
    <x v="4"/>
    <x v="4"/>
    <x v="1"/>
    <n v="53850"/>
    <n v="181"/>
    <s v="053850_181"/>
    <s v="Discovery Day"/>
    <s v="Mai valutato"/>
    <m/>
    <n v="202505027944705"/>
    <n v="1813300010027"/>
    <n v="20250502"/>
    <s v="SPECIAL"/>
    <m/>
    <m/>
    <s v="D     - Dare"/>
    <n v="41382.71"/>
    <n v="0"/>
    <n v="53154"/>
    <s v="DGINTS54S59H645P"/>
    <s v="DI GIOIA ANASTASIA"/>
    <s v="600 - Famiglie consumatrici"/>
    <m/>
    <s v="086 - ITALIA"/>
    <n v="692"/>
    <m/>
    <m/>
    <m/>
    <m/>
    <m/>
    <m/>
    <m/>
    <n v="0"/>
    <n v="202505"/>
    <x v="2"/>
    <x v="1"/>
    <x v="0"/>
    <m/>
    <x v="0"/>
    <x v="1"/>
    <s v="999"/>
    <s v="600"/>
    <s v="600999"/>
    <s v="Classe di rischio 7"/>
    <m/>
    <s v="Classe di rischio 7"/>
  </r>
  <r>
    <n v="337730"/>
    <x v="3"/>
    <x v="3"/>
    <x v="1"/>
    <n v="53850"/>
    <n v="128"/>
    <s v="053850_128"/>
    <s v="Discovery Day"/>
    <s v="Mai valutato"/>
    <m/>
    <s v="Vari (02/05/2025)"/>
    <n v="1283300001665"/>
    <n v="20250502"/>
    <s v="VV"/>
    <m/>
    <m/>
    <s v="A     - Avere"/>
    <n v="123705.37"/>
    <n v="400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5"/>
    <x v="1"/>
    <x v="0"/>
    <x v="0"/>
    <m/>
    <x v="0"/>
    <x v="1"/>
    <s v="999"/>
    <s v="430"/>
    <s v="430999"/>
    <m/>
    <s v="1"/>
    <s v="Classe di rischio 1"/>
  </r>
  <r>
    <n v="337729"/>
    <x v="2"/>
    <x v="2"/>
    <x v="1"/>
    <n v="53850"/>
    <n v="105"/>
    <s v="053850_105"/>
    <s v="Discovery Day"/>
    <s v="Mai valutato"/>
    <m/>
    <s v="202505026512605L"/>
    <n v="1053306295089"/>
    <n v="20250502"/>
    <s v="AA - Bonifico da e per estero "/>
    <m/>
    <s v="012 - BULGARIA"/>
    <s v="A     - Avere"/>
    <n v="1312.01"/>
    <n v="0"/>
    <n v="3716148"/>
    <n v="6264740728"/>
    <s v="ZEROTF S.R.L."/>
    <s v="430 - Imprese produttive"/>
    <s v="467 - COMMERCIO ALL'INGROSSO SPECIALIZZATO DI ALTRI PRODOTTI"/>
    <s v="086 - ITALIA"/>
    <n v="462"/>
    <m/>
    <m/>
    <m/>
    <m/>
    <m/>
    <m/>
    <m/>
    <n v="0"/>
    <n v="202505"/>
    <x v="4"/>
    <x v="1"/>
    <x v="0"/>
    <m/>
    <x v="0"/>
    <x v="0"/>
    <s v="999"/>
    <s v="430"/>
    <s v="430999"/>
    <m/>
    <s v="1"/>
    <s v="Classe di rischio 1"/>
  </r>
  <r>
    <n v="364838"/>
    <x v="0"/>
    <x v="0"/>
    <x v="43"/>
    <n v="53850"/>
    <n v="141"/>
    <s v="053850_141"/>
    <s v="Discovery Frodi"/>
    <s v="Mai valutato"/>
    <m/>
    <m/>
    <n v="1413300003985"/>
    <n v="20250623"/>
    <s v="48 - Bonifico in arrivo "/>
    <m/>
    <m/>
    <s v="A     - Avere"/>
    <n v="8550000"/>
    <m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x v="4"/>
    <x v="1"/>
    <x v="0"/>
    <m/>
    <x v="0"/>
    <x v="0"/>
    <s v="931"/>
    <s v="430"/>
    <s v="430931"/>
    <s v="Classe di rischio 3"/>
    <m/>
    <s v="Classe di rischio 3"/>
  </r>
  <r>
    <n v="364835"/>
    <x v="0"/>
    <x v="0"/>
    <x v="43"/>
    <n v="53850"/>
    <n v="171"/>
    <s v="053850_171"/>
    <s v="Discovery Frodi"/>
    <s v="Mai valutato"/>
    <m/>
    <m/>
    <n v="1713302213842"/>
    <n v="20250626"/>
    <s v="48 - Bonifico in arrivo "/>
    <m/>
    <m/>
    <s v="A     - Avere"/>
    <n v="2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832"/>
    <x v="0"/>
    <x v="0"/>
    <x v="43"/>
    <n v="53850"/>
    <n v="122"/>
    <s v="053850_122"/>
    <s v="Discovery Frodi"/>
    <s v="Mai valutato"/>
    <m/>
    <m/>
    <n v="1223300001682"/>
    <n v="20250609"/>
    <s v="48 - Bonifico in arrivo "/>
    <m/>
    <m/>
    <s v="A     - Avere"/>
    <n v="17000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4827"/>
    <x v="0"/>
    <x v="0"/>
    <x v="43"/>
    <n v="53850"/>
    <n v="192"/>
    <s v="053850_192"/>
    <s v="Discovery Frodi"/>
    <s v="Mai valutato"/>
    <m/>
    <m/>
    <n v="1923300183163"/>
    <n v="20250624"/>
    <s v="48 - Bonifico in arrivo "/>
    <m/>
    <m/>
    <s v="A     - Avere"/>
    <n v="51800"/>
    <m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6"/>
    <x v="1"/>
    <x v="0"/>
    <x v="0"/>
    <n v="4695944"/>
    <x v="1"/>
    <x v="0"/>
    <s v="999"/>
    <s v="615"/>
    <s v="615999"/>
    <m/>
    <s v="1"/>
    <s v="Classe di rischio 3"/>
  </r>
  <r>
    <n v="364824"/>
    <x v="0"/>
    <x v="0"/>
    <x v="43"/>
    <n v="53850"/>
    <n v="108"/>
    <s v="053850_108"/>
    <s v="Discovery Frodi"/>
    <s v="Mai valutato"/>
    <m/>
    <m/>
    <n v="1083300011180"/>
    <n v="20250618"/>
    <s v="48 - Bonifico in arrivo "/>
    <m/>
    <m/>
    <s v="A     - Avere"/>
    <n v="28598.95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819"/>
    <x v="0"/>
    <x v="0"/>
    <x v="43"/>
    <n v="53850"/>
    <n v="171"/>
    <s v="053850_171"/>
    <s v="Discovery Frodi"/>
    <s v="Mai valutato"/>
    <m/>
    <m/>
    <n v="1713302213842"/>
    <n v="20250625"/>
    <s v="48 - Bonifico in arrivo "/>
    <m/>
    <m/>
    <s v="A     - Avere"/>
    <n v="11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817"/>
    <x v="0"/>
    <x v="0"/>
    <x v="43"/>
    <n v="53850"/>
    <n v="261"/>
    <s v="053850_261"/>
    <s v="Discovery Frodi"/>
    <s v="Mai valutato"/>
    <m/>
    <m/>
    <n v="2613300000185"/>
    <n v="20250603"/>
    <s v="48 - Bonifico in arrivo "/>
    <m/>
    <m/>
    <s v="A     - Avere"/>
    <n v="80000"/>
    <m/>
    <n v="1603119"/>
    <n v="941080707"/>
    <s v="SANNIOLAT S.R.L."/>
    <s v="430 - Imprese produttive"/>
    <s v="105 - INDUSTRIA LATTIERO-CASEARIA"/>
    <s v="086 - ITALIA"/>
    <n v="1856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815"/>
    <x v="0"/>
    <x v="0"/>
    <x v="43"/>
    <n v="53850"/>
    <n v="175"/>
    <s v="053850_175"/>
    <s v="Discovery Frodi"/>
    <s v="Mai valutato"/>
    <m/>
    <m/>
    <n v="1753302203127"/>
    <n v="20250624"/>
    <s v="G1 - Versamento assegni tratti su altro intermediario "/>
    <m/>
    <m/>
    <s v="A     - Avere"/>
    <n v="34128.910000000003"/>
    <m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x v="2"/>
    <x v="1"/>
    <x v="0"/>
    <n v="4160138"/>
    <x v="1"/>
    <x v="0"/>
    <s v="999"/>
    <s v="430"/>
    <s v="430999"/>
    <m/>
    <s v="1"/>
    <s v="Classe di rischio 1"/>
  </r>
  <r>
    <n v="364805"/>
    <x v="0"/>
    <x v="0"/>
    <x v="43"/>
    <n v="53850"/>
    <n v="117"/>
    <s v="053850_117"/>
    <s v="Discovery Frodi"/>
    <s v="Mai valutato"/>
    <m/>
    <m/>
    <n v="1173300537790"/>
    <n v="20250604"/>
    <s v="48 - Bonifico in arrivo "/>
    <m/>
    <m/>
    <s v="A     - Avere"/>
    <n v="96235.67"/>
    <m/>
    <n v="4385006"/>
    <s v="SCRLRD79C23G786A"/>
    <s v="SCARNATO LEONARDO"/>
    <s v="615 - Altre famiglie produttrici"/>
    <s v="012 - COLTIVAZIONE DI COLTURE PERMANENTI"/>
    <s v="086 - ITALIA"/>
    <n v="936"/>
    <m/>
    <m/>
    <m/>
    <m/>
    <m/>
    <m/>
    <m/>
    <n v="0"/>
    <n v="202506"/>
    <x v="5"/>
    <x v="2"/>
    <x v="0"/>
    <m/>
    <x v="0"/>
    <x v="0"/>
    <s v="999"/>
    <s v="615"/>
    <s v="615999"/>
    <m/>
    <s v="1"/>
    <s v="Classe di rischio 3"/>
  </r>
  <r>
    <n v="364804"/>
    <x v="0"/>
    <x v="0"/>
    <x v="43"/>
    <n v="53850"/>
    <n v="149"/>
    <s v="053850_149"/>
    <s v="Discovery Frodi"/>
    <s v="Mai valutato"/>
    <m/>
    <m/>
    <n v="1493300664676"/>
    <n v="20250603"/>
    <s v="48 - Bonifico in arrivo "/>
    <m/>
    <m/>
    <s v="A     - Avere"/>
    <n v="218517.72"/>
    <m/>
    <n v="4987076"/>
    <n v="10094711214"/>
    <s v="NEVER STOP SRL"/>
    <s v="430 - Imprese produttive"/>
    <s v="461 - INTERMEDIARI DEL COMMERCIO"/>
    <s v="086 - ITALIA"/>
    <n v="1910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800"/>
    <x v="0"/>
    <x v="0"/>
    <x v="43"/>
    <n v="53850"/>
    <n v="153"/>
    <s v="053850_153"/>
    <s v="Discovery Frodi"/>
    <s v="Mai valutato"/>
    <m/>
    <m/>
    <n v="1533300663959"/>
    <n v="20250630"/>
    <s v="48 - Bonifico in arrivo "/>
    <m/>
    <m/>
    <s v="A     - Avere"/>
    <n v="31900.22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x v="5"/>
    <x v="2"/>
    <x v="0"/>
    <m/>
    <x v="0"/>
    <x v="0"/>
    <s v="462"/>
    <s v="430"/>
    <s v="430462"/>
    <s v="Classe di rischio 3"/>
    <m/>
    <s v="Classe di rischio 3"/>
  </r>
  <r>
    <n v="364794"/>
    <x v="0"/>
    <x v="0"/>
    <x v="43"/>
    <n v="53850"/>
    <n v="105"/>
    <s v="053850_105"/>
    <s v="Discovery Frodi"/>
    <s v="Mai valutato"/>
    <m/>
    <m/>
    <n v="1053306287103"/>
    <n v="20250606"/>
    <s v="48 - Bonifico in arrivo "/>
    <m/>
    <m/>
    <s v="A     - Avere"/>
    <n v="43484.41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792"/>
    <x v="0"/>
    <x v="0"/>
    <x v="43"/>
    <n v="53850"/>
    <n v="141"/>
    <s v="053850_141"/>
    <s v="Discovery Frodi"/>
    <s v="Mai valutato"/>
    <m/>
    <m/>
    <n v="1413300003985"/>
    <n v="20250623"/>
    <s v="48 - Bonifico in arrivo "/>
    <m/>
    <m/>
    <s v="A     - Avere"/>
    <n v="2756426.06"/>
    <m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x v="4"/>
    <x v="1"/>
    <x v="0"/>
    <m/>
    <x v="0"/>
    <x v="0"/>
    <s v="931"/>
    <s v="430"/>
    <s v="430931"/>
    <s v="Classe di rischio 3"/>
    <m/>
    <s v="Classe di rischio 3"/>
  </r>
  <r>
    <n v="364787"/>
    <x v="0"/>
    <x v="0"/>
    <x v="43"/>
    <n v="53850"/>
    <n v="226"/>
    <s v="053850_226"/>
    <s v="Discovery Frodi"/>
    <s v="Mai valutato"/>
    <m/>
    <m/>
    <n v="2263300011983"/>
    <n v="20250612"/>
    <s v="48 - Bonifico in arrivo "/>
    <m/>
    <m/>
    <s v="A     - Avere"/>
    <n v="14500000"/>
    <m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x v="2"/>
    <x v="1"/>
    <x v="0"/>
    <m/>
    <x v="0"/>
    <x v="0"/>
    <s v="999"/>
    <s v="290"/>
    <s v="290999"/>
    <m/>
    <s v="1"/>
    <s v="Classe di rischio 0"/>
  </r>
  <r>
    <n v="364785"/>
    <x v="0"/>
    <x v="0"/>
    <x v="43"/>
    <n v="53850"/>
    <n v="122"/>
    <s v="053850_122"/>
    <s v="Discovery Frodi"/>
    <s v="Mai valutato"/>
    <m/>
    <m/>
    <n v="1223300001682"/>
    <n v="20250619"/>
    <s v="48 - Bonifico in arrivo "/>
    <m/>
    <m/>
    <s v="A     - Avere"/>
    <n v="888195.8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4784"/>
    <x v="0"/>
    <x v="0"/>
    <x v="43"/>
    <n v="53850"/>
    <n v="268"/>
    <s v="053850_268"/>
    <s v="Discovery Frodi"/>
    <s v="Mai valutato"/>
    <m/>
    <m/>
    <n v="2683300010038"/>
    <n v="20250612"/>
    <s v="48 - Bonifico in arrivo "/>
    <m/>
    <m/>
    <s v="A     - Avere"/>
    <n v="121904.64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776"/>
    <x v="0"/>
    <x v="0"/>
    <x v="43"/>
    <n v="53850"/>
    <n v="120"/>
    <s v="053850_120"/>
    <s v="Discovery Frodi"/>
    <s v="Mai valutato"/>
    <m/>
    <m/>
    <n v="1203300002401"/>
    <n v="20250613"/>
    <s v="48 - Bonifico in arrivo "/>
    <m/>
    <m/>
    <s v="A     - Avere"/>
    <n v="9247000"/>
    <m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x v="4"/>
    <x v="1"/>
    <x v="0"/>
    <n v="613876"/>
    <x v="1"/>
    <x v="0"/>
    <s v="999"/>
    <s v="500"/>
    <s v="500999"/>
    <m/>
    <s v="1"/>
    <s v="Classe di rischio 3"/>
  </r>
  <r>
    <n v="364774"/>
    <x v="0"/>
    <x v="0"/>
    <x v="43"/>
    <n v="53850"/>
    <n v="136"/>
    <s v="053850_136"/>
    <s v="Discovery Frodi"/>
    <s v="Mai valutato"/>
    <m/>
    <m/>
    <n v="1363300003325"/>
    <n v="20250606"/>
    <s v="48 - Bonifico in arrivo "/>
    <m/>
    <m/>
    <s v="A     - Avere"/>
    <n v="51043.47"/>
    <m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64771"/>
    <x v="0"/>
    <x v="0"/>
    <x v="43"/>
    <n v="53850"/>
    <n v="287"/>
    <s v="053850_287"/>
    <s v="Discovery Frodi"/>
    <s v="Mai valutato"/>
    <m/>
    <m/>
    <n v="2873300001853"/>
    <n v="20250603"/>
    <s v="G1 - Versamento assegni tratti su altro intermediario "/>
    <m/>
    <m/>
    <s v="A     - Avere"/>
    <n v="49901.69"/>
    <m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x v="2"/>
    <x v="1"/>
    <x v="0"/>
    <n v="3722213"/>
    <x v="1"/>
    <x v="0"/>
    <s v="463"/>
    <s v="430"/>
    <s v="430463"/>
    <s v="Classe di rischio 3"/>
    <m/>
    <s v="Classe di rischio 3"/>
  </r>
  <r>
    <n v="364760"/>
    <x v="0"/>
    <x v="0"/>
    <x v="43"/>
    <n v="53850"/>
    <n v="147"/>
    <s v="053850_147"/>
    <s v="Discovery Frodi"/>
    <s v="Mai valutato"/>
    <m/>
    <m/>
    <n v="1473300002782"/>
    <n v="20250603"/>
    <s v="48 - Bonifico in arrivo "/>
    <m/>
    <m/>
    <s v="A     - Avere"/>
    <n v="70228.639999999999"/>
    <m/>
    <n v="4921138"/>
    <n v="92008910637"/>
    <s v="TRIBUNALE DI NOLA"/>
    <s v="102 - Amministrazione Statale e Organi Costituzionali"/>
    <m/>
    <s v="086 - ITALIA"/>
    <n v="1356"/>
    <m/>
    <m/>
    <m/>
    <m/>
    <m/>
    <m/>
    <m/>
    <n v="0"/>
    <n v="202506"/>
    <x v="2"/>
    <x v="1"/>
    <x v="0"/>
    <m/>
    <x v="0"/>
    <x v="0"/>
    <s v="999"/>
    <s v="102"/>
    <s v="102999"/>
    <s v="Classe di rischio 0"/>
    <m/>
    <s v="Classe di rischio 0"/>
  </r>
  <r>
    <n v="364756"/>
    <x v="0"/>
    <x v="0"/>
    <x v="43"/>
    <n v="53850"/>
    <n v="267"/>
    <s v="053850_267"/>
    <s v="Discovery Frodi"/>
    <s v="Mai valutato"/>
    <m/>
    <m/>
    <n v="2673300010274"/>
    <n v="20250606"/>
    <s v="48 - Bonifico in arrivo "/>
    <m/>
    <m/>
    <s v="A     - Avere"/>
    <n v="63153.94"/>
    <m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753"/>
    <x v="0"/>
    <x v="0"/>
    <x v="43"/>
    <n v="53850"/>
    <n v="153"/>
    <s v="053850_153"/>
    <s v="Discovery Frodi"/>
    <s v="Mai valutato"/>
    <m/>
    <m/>
    <n v="1533300662905"/>
    <n v="20250606"/>
    <s v="48 - Bonifico in arrivo "/>
    <m/>
    <m/>
    <s v="A     - Avere"/>
    <n v="263439.96000000002"/>
    <m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x v="1"/>
    <x v="0"/>
    <x v="0"/>
    <m/>
    <x v="0"/>
    <x v="0"/>
    <s v="236"/>
    <s v="430"/>
    <s v="430236"/>
    <s v="Classe di rischio 3"/>
    <m/>
    <s v="Classe di rischio 3"/>
  </r>
  <r>
    <n v="364743"/>
    <x v="0"/>
    <x v="0"/>
    <x v="43"/>
    <n v="53850"/>
    <n v="171"/>
    <s v="053850_171"/>
    <s v="Discovery Frodi"/>
    <s v="Mai valutato"/>
    <m/>
    <m/>
    <n v="1713302213842"/>
    <n v="20250625"/>
    <s v="48 - Bonifico in arrivo "/>
    <m/>
    <m/>
    <s v="A     - Avere"/>
    <n v="5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737"/>
    <x v="0"/>
    <x v="0"/>
    <x v="43"/>
    <n v="53850"/>
    <n v="108"/>
    <s v="053850_108"/>
    <s v="Discovery Frodi"/>
    <s v="Mai valutato"/>
    <m/>
    <m/>
    <n v="1083300011180"/>
    <n v="20250611"/>
    <s v="48 - Bonifico in arrivo "/>
    <m/>
    <m/>
    <s v="A     - Avere"/>
    <n v="88032.51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736"/>
    <x v="0"/>
    <x v="0"/>
    <x v="43"/>
    <n v="53850"/>
    <n v="120"/>
    <s v="053850_120"/>
    <s v="Discovery Frodi"/>
    <s v="Mai valutato"/>
    <m/>
    <m/>
    <n v="1203300002401"/>
    <n v="20250612"/>
    <s v="48 - Bonifico in arrivo "/>
    <m/>
    <m/>
    <s v="A     - Avere"/>
    <n v="500000"/>
    <m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x v="4"/>
    <x v="1"/>
    <x v="0"/>
    <n v="613876"/>
    <x v="1"/>
    <x v="0"/>
    <s v="999"/>
    <s v="500"/>
    <s v="500999"/>
    <m/>
    <s v="1"/>
    <s v="Classe di rischio 3"/>
  </r>
  <r>
    <n v="364732"/>
    <x v="0"/>
    <x v="0"/>
    <x v="43"/>
    <n v="53850"/>
    <n v="287"/>
    <s v="053850_287"/>
    <s v="Discovery Frodi"/>
    <s v="Mai valutato"/>
    <m/>
    <m/>
    <n v="2873300001853"/>
    <n v="20250606"/>
    <s v="G1 - Versamento assegni tratti su altro intermediario "/>
    <m/>
    <m/>
    <s v="A     - Avere"/>
    <n v="29055.98"/>
    <m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x v="2"/>
    <x v="1"/>
    <x v="0"/>
    <n v="3722213"/>
    <x v="1"/>
    <x v="0"/>
    <s v="463"/>
    <s v="430"/>
    <s v="430463"/>
    <s v="Classe di rischio 3"/>
    <m/>
    <s v="Classe di rischio 3"/>
  </r>
  <r>
    <n v="364727"/>
    <x v="0"/>
    <x v="0"/>
    <x v="43"/>
    <n v="53850"/>
    <n v="226"/>
    <s v="053850_226"/>
    <s v="Discovery Frodi"/>
    <s v="Mai valutato"/>
    <m/>
    <m/>
    <n v="2263300010989"/>
    <n v="20250625"/>
    <s v="48 - Bonifico in arrivo "/>
    <m/>
    <m/>
    <s v="A     - Avere"/>
    <n v="59879.89"/>
    <m/>
    <n v="4804128"/>
    <n v="6363770725"/>
    <s v="NUGNES 1920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x v="5"/>
    <x v="2"/>
    <x v="0"/>
    <m/>
    <x v="0"/>
    <x v="0"/>
    <s v="477"/>
    <s v="430"/>
    <s v="430477"/>
    <s v="Classe di rischio 3"/>
    <m/>
    <s v="Classe di rischio 3"/>
  </r>
  <r>
    <n v="364726"/>
    <x v="0"/>
    <x v="0"/>
    <x v="43"/>
    <n v="53850"/>
    <n v="153"/>
    <s v="053850_153"/>
    <s v="Discovery Frodi"/>
    <s v="Mai valutato"/>
    <m/>
    <m/>
    <n v="1533300662905"/>
    <n v="20250604"/>
    <s v="48 - Bonifico in arrivo "/>
    <m/>
    <m/>
    <s v="A     - Avere"/>
    <n v="29114.86"/>
    <m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x v="1"/>
    <x v="0"/>
    <x v="0"/>
    <m/>
    <x v="0"/>
    <x v="0"/>
    <s v="236"/>
    <s v="430"/>
    <s v="430236"/>
    <s v="Classe di rischio 3"/>
    <m/>
    <s v="Classe di rischio 3"/>
  </r>
  <r>
    <n v="364725"/>
    <x v="0"/>
    <x v="0"/>
    <x v="43"/>
    <n v="53850"/>
    <n v="104"/>
    <s v="053850_104"/>
    <s v="Discovery Frodi"/>
    <s v="Mai valutato"/>
    <m/>
    <m/>
    <n v="1043309505524"/>
    <n v="20250616"/>
    <s v="48 - Bonifico in arrivo "/>
    <m/>
    <m/>
    <s v="A     - Avere"/>
    <n v="54125"/>
    <m/>
    <n v="4255116"/>
    <n v="6238700725"/>
    <s v="EBANISTERIA CAPUTO SOCIETA' A RESPONSABILITA"/>
    <s v="430 - Imprese produttive"/>
    <s v="162 - FABBRICAZIONE DI PRODOTTI IN LEGNO, SUGHERO, PAGLIA E MATERIALI DA INTRECCIO"/>
    <s v="086 - ITALIA"/>
    <n v="727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703"/>
    <x v="0"/>
    <x v="0"/>
    <x v="43"/>
    <n v="53850"/>
    <n v="153"/>
    <s v="053850_153"/>
    <s v="Discovery Frodi"/>
    <s v="Mai valutato"/>
    <m/>
    <m/>
    <n v="1533300662905"/>
    <n v="20250606"/>
    <s v="G1 - Versamento assegni tratti su altro intermediario "/>
    <m/>
    <m/>
    <s v="A     - Avere"/>
    <n v="78275.320000000007"/>
    <m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x v="1"/>
    <x v="0"/>
    <x v="0"/>
    <m/>
    <x v="0"/>
    <x v="0"/>
    <s v="236"/>
    <s v="430"/>
    <s v="430236"/>
    <s v="Classe di rischio 3"/>
    <m/>
    <s v="Classe di rischio 3"/>
  </r>
  <r>
    <n v="364690"/>
    <x v="0"/>
    <x v="0"/>
    <x v="43"/>
    <n v="53850"/>
    <n v="122"/>
    <s v="053850_122"/>
    <s v="Discovery Frodi"/>
    <s v="Mai valutato"/>
    <m/>
    <m/>
    <n v="1223300001682"/>
    <n v="20250619"/>
    <s v="48 - Bonifico in arrivo "/>
    <m/>
    <m/>
    <s v="A     - Avere"/>
    <n v="59506.05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4679"/>
    <x v="0"/>
    <x v="0"/>
    <x v="43"/>
    <n v="53850"/>
    <n v="103"/>
    <s v="053850_103"/>
    <s v="Discovery Frodi"/>
    <s v="Mai valutato"/>
    <m/>
    <m/>
    <n v="1033306967935"/>
    <n v="20250603"/>
    <s v="G1 - Versamento assegni tratti su altro intermediario "/>
    <m/>
    <m/>
    <s v="A     - Avere"/>
    <n v="33195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6"/>
    <x v="4"/>
    <x v="1"/>
    <x v="0"/>
    <n v="155052"/>
    <x v="1"/>
    <x v="0"/>
    <s v="999"/>
    <s v="430"/>
    <s v="430999"/>
    <m/>
    <s v="1"/>
    <s v="Classe di rischio 1"/>
  </r>
  <r>
    <n v="364654"/>
    <x v="0"/>
    <x v="0"/>
    <x v="43"/>
    <n v="53850"/>
    <n v="122"/>
    <s v="053850_122"/>
    <s v="Discovery Frodi"/>
    <s v="Mai valutato"/>
    <m/>
    <m/>
    <n v="1223300002128"/>
    <n v="20250625"/>
    <s v="48 - Bonifico in arrivo "/>
    <m/>
    <m/>
    <s v="A     - Avere"/>
    <n v="146206.0199999999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4610"/>
    <x v="0"/>
    <x v="0"/>
    <x v="43"/>
    <n v="53850"/>
    <n v="108"/>
    <s v="053850_108"/>
    <s v="Discovery Frodi"/>
    <s v="Mai valutato"/>
    <m/>
    <m/>
    <n v="1083300011180"/>
    <n v="20250611"/>
    <s v="48 - Bonifico in arrivo "/>
    <m/>
    <m/>
    <s v="A     - Avere"/>
    <n v="58675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602"/>
    <x v="0"/>
    <x v="0"/>
    <x v="43"/>
    <n v="53850"/>
    <n v="154"/>
    <s v="053850_154"/>
    <s v="Discovery Frodi"/>
    <s v="Mai valutato"/>
    <m/>
    <m/>
    <n v="1543300004860"/>
    <n v="20250610"/>
    <s v="48 - Bonifico in arrivo "/>
    <m/>
    <m/>
    <s v="A     - Avere"/>
    <n v="48252.13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583"/>
    <x v="0"/>
    <x v="0"/>
    <x v="43"/>
    <n v="53850"/>
    <n v="154"/>
    <s v="053850_154"/>
    <s v="Discovery Frodi"/>
    <s v="Mai valutato"/>
    <m/>
    <m/>
    <n v="1543300004860"/>
    <n v="20250618"/>
    <s v="48 - Bonifico in arrivo "/>
    <m/>
    <m/>
    <s v="A     - Avere"/>
    <n v="50465.8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573"/>
    <x v="0"/>
    <x v="0"/>
    <x v="43"/>
    <n v="53850"/>
    <n v="128"/>
    <s v="053850_128"/>
    <s v="Discovery Frodi"/>
    <s v="Mai valutato"/>
    <m/>
    <m/>
    <n v="1283300001665"/>
    <n v="20250620"/>
    <s v="G1 - Versamento assegni tratti su altro intermediario "/>
    <m/>
    <m/>
    <s v="A     - Avere"/>
    <n v="58113.66"/>
    <m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565"/>
    <x v="0"/>
    <x v="0"/>
    <x v="43"/>
    <n v="53850"/>
    <n v="226"/>
    <s v="053850_226"/>
    <s v="Discovery Frodi"/>
    <s v="Mai valutato"/>
    <m/>
    <m/>
    <n v="2263300010989"/>
    <n v="20250623"/>
    <s v="48 - Bonifico in arrivo "/>
    <m/>
    <m/>
    <s v="A     - Avere"/>
    <n v="29985.13"/>
    <m/>
    <n v="4804128"/>
    <n v="6363770725"/>
    <s v="NUGNES 1920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x v="5"/>
    <x v="2"/>
    <x v="0"/>
    <m/>
    <x v="0"/>
    <x v="0"/>
    <s v="477"/>
    <s v="430"/>
    <s v="430477"/>
    <s v="Classe di rischio 3"/>
    <m/>
    <s v="Classe di rischio 3"/>
  </r>
  <r>
    <n v="364562"/>
    <x v="0"/>
    <x v="0"/>
    <x v="43"/>
    <n v="53850"/>
    <n v="154"/>
    <s v="053850_154"/>
    <s v="Discovery Frodi"/>
    <s v="Mai valutato"/>
    <m/>
    <m/>
    <n v="1543300004860"/>
    <n v="20250617"/>
    <s v="48 - Bonifico in arrivo "/>
    <m/>
    <m/>
    <s v="A     - Avere"/>
    <n v="50177.05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554"/>
    <x v="0"/>
    <x v="0"/>
    <x v="43"/>
    <n v="53850"/>
    <n v="108"/>
    <s v="053850_108"/>
    <s v="Discovery Frodi"/>
    <s v="Mai valutato"/>
    <m/>
    <m/>
    <n v="1083300011180"/>
    <n v="20250613"/>
    <s v="48 - Bonifico in arrivo "/>
    <m/>
    <m/>
    <s v="A     - Avere"/>
    <n v="25505.91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543"/>
    <x v="0"/>
    <x v="0"/>
    <x v="43"/>
    <n v="53850"/>
    <n v="120"/>
    <s v="053850_120"/>
    <s v="Discovery Frodi"/>
    <s v="Mai valutato"/>
    <m/>
    <m/>
    <n v="1203300002958"/>
    <n v="20250627"/>
    <s v="48 - Bonifico in arrivo "/>
    <m/>
    <m/>
    <s v="A     - Avere"/>
    <n v="35000"/>
    <m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540"/>
    <x v="0"/>
    <x v="0"/>
    <x v="43"/>
    <n v="53850"/>
    <n v="116"/>
    <s v="053850_116"/>
    <s v="Discovery Frodi"/>
    <s v="Mai valutato"/>
    <m/>
    <m/>
    <n v="1163307620827"/>
    <n v="20250613"/>
    <s v="48 - Bonifico in arrivo "/>
    <m/>
    <m/>
    <s v="A     - Avere"/>
    <n v="57500"/>
    <m/>
    <n v="4871871"/>
    <n v="2516140726"/>
    <s v="FREZZA LEGNAMI S.P.A."/>
    <s v="430 - Imprese produttive"/>
    <s v="467 - COMMERCIO ALL'INGROSSO SPECIALIZZATO DI ALTRI PRODOTTI"/>
    <s v="086 - ITALIA"/>
    <n v="1903"/>
    <m/>
    <m/>
    <m/>
    <m/>
    <m/>
    <m/>
    <m/>
    <n v="0"/>
    <n v="202506"/>
    <x v="3"/>
    <x v="1"/>
    <x v="0"/>
    <m/>
    <x v="0"/>
    <x v="0"/>
    <s v="999"/>
    <s v="430"/>
    <s v="430999"/>
    <m/>
    <s v="1"/>
    <s v="Classe di rischio 1"/>
  </r>
  <r>
    <n v="364495"/>
    <x v="0"/>
    <x v="0"/>
    <x v="43"/>
    <n v="53850"/>
    <n v="105"/>
    <s v="053850_105"/>
    <s v="Discovery Frodi"/>
    <s v="Mai valutato"/>
    <m/>
    <m/>
    <n v="1053306287103"/>
    <n v="20250605"/>
    <s v="48 - Bonifico in arrivo "/>
    <m/>
    <m/>
    <s v="A     - Avere"/>
    <n v="102234.79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487"/>
    <x v="0"/>
    <x v="0"/>
    <x v="43"/>
    <n v="53850"/>
    <n v="267"/>
    <s v="053850_267"/>
    <s v="Discovery Frodi"/>
    <s v="Mai valutato"/>
    <m/>
    <m/>
    <n v="2673300010274"/>
    <n v="20250617"/>
    <s v="48 - Bonifico in arrivo "/>
    <m/>
    <m/>
    <s v="A     - Avere"/>
    <n v="40780.67"/>
    <m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483"/>
    <x v="0"/>
    <x v="0"/>
    <x v="43"/>
    <n v="53850"/>
    <n v="122"/>
    <s v="053850_122"/>
    <s v="Discovery Frodi"/>
    <s v="Mai valutato"/>
    <m/>
    <m/>
    <n v="1223300002128"/>
    <n v="20250619"/>
    <s v="48 - Bonifico in arrivo "/>
    <m/>
    <m/>
    <s v="A     - Avere"/>
    <n v="35147.59999999999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4466"/>
    <x v="0"/>
    <x v="0"/>
    <x v="43"/>
    <n v="53850"/>
    <n v="103"/>
    <s v="053850_103"/>
    <s v="Discovery Frodi"/>
    <s v="Mai valutato"/>
    <m/>
    <m/>
    <n v="1033306985171"/>
    <n v="20250605"/>
    <s v="48 - Bonifico in arrivo "/>
    <m/>
    <m/>
    <s v="A     - Avere"/>
    <n v="26000"/>
    <m/>
    <n v="3713883"/>
    <n v="7344540724"/>
    <s v="LACE ITALIA SOCIETA' A RESPONSABILITA' LIMITATA"/>
    <s v="430 - Imprese produttive"/>
    <s v="139 - ALTRE INDUSTRIE TESSILI"/>
    <s v="086 - ITALIA"/>
    <n v="1916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457"/>
    <x v="0"/>
    <x v="0"/>
    <x v="43"/>
    <n v="53850"/>
    <n v="104"/>
    <s v="053850_104"/>
    <s v="Discovery Frodi"/>
    <s v="Mai valutato"/>
    <m/>
    <m/>
    <n v="1043309505524"/>
    <n v="20250626"/>
    <s v="48 - Bonifico in arrivo "/>
    <m/>
    <m/>
    <s v="A     - Avere"/>
    <n v="32210.07"/>
    <m/>
    <n v="4255116"/>
    <n v="6238700725"/>
    <s v="EBANISTERIA CAPUTO SOCIETA' A RESPONSABILITA"/>
    <s v="430 - Imprese produttive"/>
    <s v="162 - FABBRICAZIONE DI PRODOTTI IN LEGNO, SUGHERO, PAGLIA E MATERIALI DA INTRECCIO"/>
    <s v="086 - ITALIA"/>
    <n v="727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452"/>
    <x v="0"/>
    <x v="0"/>
    <x v="43"/>
    <n v="53850"/>
    <n v="122"/>
    <s v="053850_122"/>
    <s v="Discovery Frodi"/>
    <s v="Mai valutato"/>
    <m/>
    <m/>
    <n v="1223300002128"/>
    <n v="20250619"/>
    <s v="48 - Bonifico in arrivo "/>
    <m/>
    <m/>
    <s v="A     - Avere"/>
    <n v="3915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4441"/>
    <x v="0"/>
    <x v="0"/>
    <x v="43"/>
    <n v="53850"/>
    <n v="154"/>
    <s v="053850_154"/>
    <s v="Discovery Frodi"/>
    <s v="Mai valutato"/>
    <m/>
    <m/>
    <n v="1543300004860"/>
    <n v="20250623"/>
    <s v="48 - Bonifico in arrivo "/>
    <m/>
    <m/>
    <s v="A     - Avere"/>
    <n v="39445.730000000003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437"/>
    <x v="0"/>
    <x v="0"/>
    <x v="43"/>
    <n v="53850"/>
    <n v="171"/>
    <s v="053850_171"/>
    <s v="Discovery Frodi"/>
    <s v="Mai valutato"/>
    <m/>
    <m/>
    <n v="1713302213842"/>
    <n v="20250626"/>
    <s v="48 - Bonifico in arrivo "/>
    <m/>
    <m/>
    <s v="A     - Avere"/>
    <n v="33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421"/>
    <x v="0"/>
    <x v="0"/>
    <x v="43"/>
    <n v="53850"/>
    <n v="128"/>
    <s v="053850_128"/>
    <s v="Discovery Frodi"/>
    <s v="Mai valutato"/>
    <m/>
    <m/>
    <n v="1283300003276"/>
    <n v="20250612"/>
    <s v="48 - Bonifico in arrivo "/>
    <m/>
    <m/>
    <s v="A     - Avere"/>
    <n v="81740"/>
    <m/>
    <n v="4804234"/>
    <n v="7652810727"/>
    <s v="EMMEFFEDI CAR S.R.L."/>
    <s v="430 - Imprese produttive"/>
    <s v="282 - FABBRICAZIONE DI ALTRE MACCHINE DI IMPIEGO GENERALE"/>
    <s v="086 - ITALIA"/>
    <n v="462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400"/>
    <x v="0"/>
    <x v="0"/>
    <x v="43"/>
    <n v="53850"/>
    <n v="105"/>
    <s v="053850_105"/>
    <s v="Discovery Frodi"/>
    <s v="Mai valutato"/>
    <m/>
    <m/>
    <n v="1053306287103"/>
    <n v="20250617"/>
    <s v="48 - Bonifico in arrivo "/>
    <m/>
    <m/>
    <s v="A     - Avere"/>
    <n v="2704796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376"/>
    <x v="0"/>
    <x v="0"/>
    <x v="43"/>
    <n v="53850"/>
    <n v="117"/>
    <s v="053850_117"/>
    <s v="Discovery Frodi"/>
    <s v="Mai valutato"/>
    <m/>
    <m/>
    <n v="1173300537790"/>
    <n v="20250606"/>
    <s v="48 - Bonifico in arrivo "/>
    <m/>
    <m/>
    <s v="A     - Avere"/>
    <n v="320562.28999999998"/>
    <m/>
    <n v="4385006"/>
    <s v="SCRLRD79C23G786A"/>
    <s v="SCARNATO LEONARDO"/>
    <s v="615 - Altre famiglie produttrici"/>
    <s v="012 - COLTIVAZIONE DI COLTURE PERMANENTI"/>
    <s v="086 - ITALIA"/>
    <n v="936"/>
    <m/>
    <m/>
    <m/>
    <m/>
    <m/>
    <m/>
    <m/>
    <n v="0"/>
    <n v="202506"/>
    <x v="5"/>
    <x v="2"/>
    <x v="0"/>
    <m/>
    <x v="0"/>
    <x v="0"/>
    <s v="999"/>
    <s v="615"/>
    <s v="615999"/>
    <m/>
    <s v="1"/>
    <s v="Classe di rischio 3"/>
  </r>
  <r>
    <n v="364375"/>
    <x v="0"/>
    <x v="0"/>
    <x v="43"/>
    <n v="53850"/>
    <n v="137"/>
    <s v="053850_137"/>
    <s v="Discovery Frodi"/>
    <s v="Mai valutato"/>
    <m/>
    <m/>
    <n v="1373304102177"/>
    <n v="20250625"/>
    <s v="48 - Bonifico in arrivo "/>
    <m/>
    <m/>
    <s v="A     - Avere"/>
    <n v="63000"/>
    <m/>
    <n v="4172627"/>
    <n v="820790707"/>
    <s v="GENKO S.R.L."/>
    <s v="430 - Imprese produttive"/>
    <s v="464 - COMMERCIO ALL'INGROSSO DI BENI DI CONSUMO FINALE"/>
    <s v="086 - ITALIA"/>
    <n v="1856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64371"/>
    <x v="0"/>
    <x v="0"/>
    <x v="43"/>
    <n v="53850"/>
    <n v="108"/>
    <s v="053850_108"/>
    <s v="Discovery Frodi"/>
    <s v="Mai valutato"/>
    <m/>
    <m/>
    <n v="1083300011180"/>
    <n v="20250619"/>
    <s v="48 - Bonifico in arrivo "/>
    <m/>
    <m/>
    <s v="A     - Avere"/>
    <n v="57523.8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341"/>
    <x v="0"/>
    <x v="0"/>
    <x v="43"/>
    <n v="53850"/>
    <n v="171"/>
    <s v="053850_171"/>
    <s v="Discovery Frodi"/>
    <s v="Mai valutato"/>
    <m/>
    <m/>
    <n v="1713302217591"/>
    <n v="20250603"/>
    <s v="48 - Bonifico in arrivo "/>
    <m/>
    <m/>
    <s v="A     - Avere"/>
    <n v="664021.56999999995"/>
    <m/>
    <n v="4805735"/>
    <n v="5001120723"/>
    <s v="AGRIDE'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6"/>
    <x v="2"/>
    <x v="1"/>
    <x v="0"/>
    <m/>
    <x v="0"/>
    <x v="0"/>
    <s v="463"/>
    <s v="430"/>
    <s v="430463"/>
    <s v="Classe di rischio 3"/>
    <m/>
    <s v="Classe di rischio 3"/>
  </r>
  <r>
    <n v="364324"/>
    <x v="0"/>
    <x v="0"/>
    <x v="43"/>
    <n v="53850"/>
    <n v="122"/>
    <s v="053850_122"/>
    <s v="Discovery Frodi"/>
    <s v="Mai valutato"/>
    <m/>
    <m/>
    <n v="1223300001682"/>
    <n v="20250625"/>
    <s v="48 - Bonifico in arrivo "/>
    <m/>
    <m/>
    <s v="A     - Avere"/>
    <n v="3560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4322"/>
    <x v="0"/>
    <x v="0"/>
    <x v="43"/>
    <n v="53850"/>
    <n v="154"/>
    <s v="053850_154"/>
    <s v="Discovery Frodi"/>
    <s v="Mai valutato"/>
    <m/>
    <m/>
    <n v="1543300004860"/>
    <n v="20250604"/>
    <s v="48 - Bonifico in arrivo "/>
    <m/>
    <m/>
    <s v="A     - Avere"/>
    <n v="42500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305"/>
    <x v="0"/>
    <x v="0"/>
    <x v="43"/>
    <n v="53850"/>
    <n v="191"/>
    <s v="053850_191"/>
    <s v="Discovery Frodi"/>
    <s v="Mai valutato"/>
    <m/>
    <m/>
    <n v="1913300068122"/>
    <n v="20250611"/>
    <s v="48 - Bonifico in arrivo "/>
    <m/>
    <m/>
    <s v="A     - Avere"/>
    <n v="15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293"/>
    <x v="0"/>
    <x v="0"/>
    <x v="43"/>
    <n v="53850"/>
    <n v="153"/>
    <s v="053850_153"/>
    <s v="Discovery Frodi"/>
    <s v="Mai valutato"/>
    <m/>
    <m/>
    <n v="1533300663959"/>
    <n v="20250623"/>
    <s v="48 - Bonifico in arrivo "/>
    <m/>
    <m/>
    <s v="A     - Avere"/>
    <n v="28930.13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x v="5"/>
    <x v="2"/>
    <x v="0"/>
    <m/>
    <x v="0"/>
    <x v="0"/>
    <s v="462"/>
    <s v="430"/>
    <s v="430462"/>
    <s v="Classe di rischio 3"/>
    <m/>
    <s v="Classe di rischio 3"/>
  </r>
  <r>
    <n v="364289"/>
    <x v="0"/>
    <x v="0"/>
    <x v="43"/>
    <n v="53850"/>
    <n v="153"/>
    <s v="053850_153"/>
    <s v="Discovery Frodi"/>
    <s v="Mai valutato"/>
    <m/>
    <m/>
    <n v="1533300663959"/>
    <n v="20250609"/>
    <s v="48 - Bonifico in arrivo "/>
    <m/>
    <m/>
    <s v="A     - Avere"/>
    <n v="44161.48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x v="5"/>
    <x v="2"/>
    <x v="0"/>
    <m/>
    <x v="0"/>
    <x v="0"/>
    <s v="462"/>
    <s v="430"/>
    <s v="430462"/>
    <s v="Classe di rischio 3"/>
    <m/>
    <s v="Classe di rischio 3"/>
  </r>
  <r>
    <n v="364270"/>
    <x v="0"/>
    <x v="0"/>
    <x v="43"/>
    <n v="53850"/>
    <n v="122"/>
    <s v="053850_122"/>
    <s v="Discovery Frodi"/>
    <s v="Mai valutato"/>
    <m/>
    <m/>
    <n v="1223300002128"/>
    <n v="20250619"/>
    <s v="48 - Bonifico in arrivo "/>
    <m/>
    <m/>
    <s v="A     - Avere"/>
    <n v="56323.34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4257"/>
    <x v="0"/>
    <x v="0"/>
    <x v="43"/>
    <n v="53850"/>
    <n v="108"/>
    <s v="053850_108"/>
    <s v="Discovery Frodi"/>
    <s v="Mai valutato"/>
    <m/>
    <m/>
    <n v="1083300011180"/>
    <n v="20250611"/>
    <s v="G2 - Versamento assegni tratti sullo stesso intermediario "/>
    <m/>
    <m/>
    <s v="A     - Avere"/>
    <n v="38964.839999999997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250"/>
    <x v="0"/>
    <x v="0"/>
    <x v="43"/>
    <n v="53850"/>
    <n v="287"/>
    <s v="053850_287"/>
    <s v="Discovery Frodi"/>
    <s v="Mai valutato"/>
    <m/>
    <m/>
    <n v="2873300001853"/>
    <n v="20250609"/>
    <s v="G1 - Versamento assegni tratti su altro intermediario "/>
    <m/>
    <m/>
    <s v="A     - Avere"/>
    <n v="101179.49"/>
    <m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x v="2"/>
    <x v="1"/>
    <x v="0"/>
    <n v="3722213"/>
    <x v="1"/>
    <x v="0"/>
    <s v="463"/>
    <s v="430"/>
    <s v="430463"/>
    <s v="Classe di rischio 3"/>
    <m/>
    <s v="Classe di rischio 3"/>
  </r>
  <r>
    <n v="364245"/>
    <x v="0"/>
    <x v="0"/>
    <x v="43"/>
    <n v="53850"/>
    <n v="103"/>
    <s v="053850_103"/>
    <s v="Discovery Frodi"/>
    <s v="Mai valutato"/>
    <m/>
    <m/>
    <n v="1033306967935"/>
    <n v="20250617"/>
    <s v="48 - Bonifico in arrivo "/>
    <m/>
    <m/>
    <s v="A     - Avere"/>
    <n v="50043.34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6"/>
    <x v="4"/>
    <x v="1"/>
    <x v="0"/>
    <n v="155052"/>
    <x v="1"/>
    <x v="0"/>
    <s v="999"/>
    <s v="430"/>
    <s v="430999"/>
    <m/>
    <s v="1"/>
    <s v="Classe di rischio 1"/>
  </r>
  <r>
    <n v="364242"/>
    <x v="0"/>
    <x v="0"/>
    <x v="43"/>
    <n v="53850"/>
    <n v="174"/>
    <s v="053850_174"/>
    <s v="Discovery Frodi"/>
    <s v="Mai valutato"/>
    <m/>
    <m/>
    <n v="1743302881016"/>
    <n v="20250609"/>
    <s v="48 - Bonifico in arrivo "/>
    <m/>
    <m/>
    <s v="A     - Avere"/>
    <n v="35093.78"/>
    <m/>
    <n v="3710716"/>
    <n v="1695450740"/>
    <s v="MICHELE COLUCCI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5"/>
    <x v="2"/>
    <x v="0"/>
    <m/>
    <x v="0"/>
    <x v="0"/>
    <s v="463"/>
    <s v="430"/>
    <s v="430463"/>
    <s v="Classe di rischio 3"/>
    <m/>
    <s v="Classe di rischio 3"/>
  </r>
  <r>
    <n v="364236"/>
    <x v="0"/>
    <x v="0"/>
    <x v="43"/>
    <n v="53850"/>
    <n v="267"/>
    <s v="053850_267"/>
    <s v="Discovery Frodi"/>
    <s v="Mai valutato"/>
    <m/>
    <m/>
    <n v="2673300010274"/>
    <n v="20250617"/>
    <s v="G1 - Versamento assegni tratti su altro intermediario "/>
    <m/>
    <m/>
    <s v="A     - Avere"/>
    <n v="26168.12"/>
    <m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219"/>
    <x v="0"/>
    <x v="0"/>
    <x v="43"/>
    <n v="53850"/>
    <n v="261"/>
    <s v="053850_261"/>
    <s v="Discovery Frodi"/>
    <s v="Mai valutato"/>
    <m/>
    <m/>
    <n v="2613300000185"/>
    <n v="20250616"/>
    <s v="48 - Bonifico in arrivo "/>
    <m/>
    <m/>
    <s v="A     - Avere"/>
    <n v="84000"/>
    <m/>
    <n v="1603119"/>
    <n v="941080707"/>
    <s v="SANNIOLAT S.R.L."/>
    <s v="430 - Imprese produttive"/>
    <s v="105 - INDUSTRIA LATTIERO-CASEARIA"/>
    <s v="086 - ITALIA"/>
    <n v="1856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148"/>
    <x v="0"/>
    <x v="0"/>
    <x v="43"/>
    <n v="53850"/>
    <n v="268"/>
    <s v="053850_268"/>
    <s v="Discovery Frodi"/>
    <s v="Mai valutato"/>
    <m/>
    <m/>
    <n v="2683300010038"/>
    <n v="20250612"/>
    <s v="48 - Bonifico in arrivo "/>
    <m/>
    <m/>
    <s v="A     - Avere"/>
    <n v="40354.29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106"/>
    <x v="0"/>
    <x v="0"/>
    <x v="43"/>
    <n v="53850"/>
    <n v="148"/>
    <s v="053850_148"/>
    <s v="Discovery Frodi"/>
    <s v="Mai valutato"/>
    <m/>
    <m/>
    <n v="1483300005974"/>
    <n v="20250626"/>
    <s v="48 - Bonifico in arrivo "/>
    <m/>
    <m/>
    <s v="A     - Avere"/>
    <n v="45000"/>
    <m/>
    <n v="3735908"/>
    <n v="3016980348"/>
    <s v="ANDROMEDA SRL"/>
    <s v="430 - Imprese produttive"/>
    <s v="461 - INTERMEDIARI DEL COMMERCIO"/>
    <s v="086 - ITALIA"/>
    <n v="1340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095"/>
    <x v="0"/>
    <x v="0"/>
    <x v="43"/>
    <n v="53850"/>
    <n v="122"/>
    <s v="053850_122"/>
    <s v="Discovery Frodi"/>
    <s v="Mai valutato"/>
    <m/>
    <m/>
    <n v="1223300001682"/>
    <n v="20250612"/>
    <s v="48 - Bonifico in arrivo "/>
    <m/>
    <m/>
    <s v="A     - Avere"/>
    <n v="53652.62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4021"/>
    <x v="0"/>
    <x v="0"/>
    <x v="43"/>
    <n v="53850"/>
    <n v="108"/>
    <s v="053850_108"/>
    <s v="Discovery Frodi"/>
    <s v="Mai valutato"/>
    <m/>
    <m/>
    <n v="1083300011180"/>
    <n v="20250611"/>
    <s v="G1 - Versamento assegni tratti su altro intermediario "/>
    <m/>
    <m/>
    <s v="A     - Avere"/>
    <n v="76543.009999999995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4003"/>
    <x v="0"/>
    <x v="0"/>
    <x v="43"/>
    <n v="53850"/>
    <n v="116"/>
    <s v="053850_116"/>
    <s v="Discovery Frodi"/>
    <s v="Mai valutato"/>
    <m/>
    <m/>
    <n v="1423300307118"/>
    <n v="20250616"/>
    <s v="48 - Bonifico in arrivo "/>
    <m/>
    <m/>
    <s v="A     - Avere"/>
    <n v="45000"/>
    <m/>
    <n v="4022762"/>
    <n v="3407060726"/>
    <s v="ASCO S.R.L."/>
    <s v="430 - Imprese produttive"/>
    <s v="522 - ATTIVITÀ DI SUPPORTO AI TRASPORTI"/>
    <s v="086 - ITALIA"/>
    <n v="1919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4001"/>
    <x v="0"/>
    <x v="0"/>
    <x v="43"/>
    <n v="53850"/>
    <n v="141"/>
    <s v="053850_141"/>
    <s v="Discovery Frodi"/>
    <s v="Mai valutato"/>
    <m/>
    <m/>
    <n v="1413300004311"/>
    <n v="20250616"/>
    <s v="48 - Bonifico in arrivo "/>
    <m/>
    <m/>
    <s v="A     - Avere"/>
    <n v="300000"/>
    <m/>
    <n v="3737110"/>
    <n v="5366430758"/>
    <s v="AP MONTAGGI S.R.L."/>
    <s v="430 - Imprese produttive"/>
    <s v="433 - COMPLETAMENTO E FINITURA DI EDIFICI"/>
    <s v="086 - ITALIA"/>
    <n v="1627"/>
    <m/>
    <m/>
    <m/>
    <m/>
    <m/>
    <m/>
    <m/>
    <n v="0"/>
    <n v="202506"/>
    <x v="5"/>
    <x v="2"/>
    <x v="0"/>
    <m/>
    <x v="0"/>
    <x v="0"/>
    <s v="433"/>
    <s v="430"/>
    <s v="430433"/>
    <s v="Classe di rischio 3"/>
    <m/>
    <s v="Classe di rischio 3"/>
  </r>
  <r>
    <n v="363966"/>
    <x v="0"/>
    <x v="0"/>
    <x v="43"/>
    <n v="53850"/>
    <n v="128"/>
    <s v="053850_128"/>
    <s v="Discovery Frodi"/>
    <s v="Mai valutato"/>
    <m/>
    <m/>
    <n v="1283300001665"/>
    <n v="20250618"/>
    <s v="G1 - Versamento assegni tratti su altro intermediario "/>
    <m/>
    <m/>
    <s v="A     - Avere"/>
    <n v="30887.66"/>
    <m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3963"/>
    <x v="0"/>
    <x v="0"/>
    <x v="43"/>
    <n v="53850"/>
    <n v="108"/>
    <s v="053850_108"/>
    <s v="Discovery Frodi"/>
    <s v="Mai valutato"/>
    <m/>
    <m/>
    <n v="1083300011180"/>
    <n v="20250617"/>
    <s v="G1 - Versamento assegni tratti su altro intermediario "/>
    <m/>
    <m/>
    <s v="A     - Avere"/>
    <n v="25061.85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3961"/>
    <x v="0"/>
    <x v="0"/>
    <x v="43"/>
    <n v="53850"/>
    <n v="125"/>
    <s v="053850_125"/>
    <s v="Discovery Frodi"/>
    <s v="Mai valutato"/>
    <m/>
    <m/>
    <n v="1253309512895"/>
    <n v="20250604"/>
    <s v="48 - Bonifico in arrivo "/>
    <m/>
    <m/>
    <s v="A     - Avere"/>
    <n v="321513.57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3936"/>
    <x v="0"/>
    <x v="0"/>
    <x v="43"/>
    <n v="53850"/>
    <n v="175"/>
    <s v="053850_175"/>
    <s v="Discovery Frodi"/>
    <s v="Mai valutato"/>
    <m/>
    <m/>
    <n v="1753302203813"/>
    <n v="20250618"/>
    <s v="48 - Bonifico in arrivo "/>
    <m/>
    <m/>
    <s v="A     - Avere"/>
    <n v="170000"/>
    <m/>
    <n v="4907691"/>
    <n v="1146400773"/>
    <s v="PRODUZIONE RELAX SPA"/>
    <s v="430 - Imprese produttive"/>
    <s v="310 - FABBRICAZIONE DI MOBILI"/>
    <s v="086 - ITALIA"/>
    <n v="192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3919"/>
    <x v="0"/>
    <x v="0"/>
    <x v="43"/>
    <n v="53850"/>
    <n v="154"/>
    <s v="053850_154"/>
    <s v="Discovery Frodi"/>
    <s v="Mai valutato"/>
    <m/>
    <m/>
    <n v="1543300004860"/>
    <n v="20250605"/>
    <s v="48 - Bonifico in arrivo "/>
    <m/>
    <m/>
    <s v="A     - Avere"/>
    <n v="39874.68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3915"/>
    <x v="0"/>
    <x v="0"/>
    <x v="43"/>
    <n v="53850"/>
    <n v="125"/>
    <s v="053850_125"/>
    <s v="Discovery Frodi"/>
    <s v="Mai valutato"/>
    <m/>
    <m/>
    <n v="1253309512895"/>
    <n v="20250604"/>
    <s v="48 - Bonifico in arrivo "/>
    <m/>
    <m/>
    <s v="A     - Avere"/>
    <n v="37771.17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3895"/>
    <x v="0"/>
    <x v="0"/>
    <x v="43"/>
    <n v="53850"/>
    <n v="149"/>
    <s v="053850_149"/>
    <s v="Discovery Frodi"/>
    <s v="Mai valutato"/>
    <m/>
    <m/>
    <n v="1493300663906"/>
    <n v="20250620"/>
    <s v="G1 - Versamento assegni tratti su altro intermediario "/>
    <m/>
    <m/>
    <s v="A     - Avere"/>
    <n v="25700"/>
    <m/>
    <n v="4178286"/>
    <s v="CHRRRT60L27F839U"/>
    <s v="CHIARI ROBERTO"/>
    <s v="615 - Altre famiglie produttrici"/>
    <s v="691 - ATTIVITÀ DEGLI STUDI LEGALI"/>
    <s v="086 - ITALIA"/>
    <n v="1910"/>
    <m/>
    <m/>
    <m/>
    <m/>
    <m/>
    <m/>
    <m/>
    <n v="0"/>
    <n v="202506"/>
    <x v="1"/>
    <x v="0"/>
    <x v="0"/>
    <n v="4178286"/>
    <x v="1"/>
    <x v="0"/>
    <s v="999"/>
    <s v="615"/>
    <s v="615999"/>
    <m/>
    <s v="1"/>
    <s v="Classe di rischio 3"/>
  </r>
  <r>
    <n v="363855"/>
    <x v="0"/>
    <x v="0"/>
    <x v="43"/>
    <n v="53850"/>
    <n v="128"/>
    <s v="053850_128"/>
    <s v="Discovery Frodi"/>
    <s v="Mai valutato"/>
    <m/>
    <m/>
    <n v="1283300001665"/>
    <n v="20250623"/>
    <s v="G1 - Versamento assegni tratti su altro intermediario "/>
    <m/>
    <m/>
    <s v="A     - Avere"/>
    <n v="200231.09"/>
    <m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3752"/>
    <x v="0"/>
    <x v="0"/>
    <x v="43"/>
    <n v="53850"/>
    <n v="191"/>
    <s v="053850_191"/>
    <s v="Discovery Frodi"/>
    <s v="Mai valutato"/>
    <m/>
    <m/>
    <n v="1913300068122"/>
    <n v="20250613"/>
    <s v="48 - Bonifico in arrivo "/>
    <m/>
    <m/>
    <s v="A     - Avere"/>
    <n v="38548.99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3740"/>
    <x v="0"/>
    <x v="0"/>
    <x v="43"/>
    <n v="53850"/>
    <n v="226"/>
    <s v="053850_226"/>
    <s v="Discovery Frodi"/>
    <s v="Mai valutato"/>
    <m/>
    <m/>
    <n v="2263300011983"/>
    <n v="20250620"/>
    <s v="48 - Bonifico in arrivo "/>
    <m/>
    <m/>
    <s v="A     - Avere"/>
    <n v="10000000"/>
    <m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x v="2"/>
    <x v="1"/>
    <x v="0"/>
    <m/>
    <x v="0"/>
    <x v="0"/>
    <s v="999"/>
    <s v="290"/>
    <s v="290999"/>
    <m/>
    <s v="1"/>
    <s v="Classe di rischio 0"/>
  </r>
  <r>
    <n v="363536"/>
    <x v="0"/>
    <x v="0"/>
    <x v="43"/>
    <n v="53850"/>
    <n v="153"/>
    <s v="053850_153"/>
    <s v="Discovery Frodi"/>
    <s v="Mai valutato"/>
    <m/>
    <m/>
    <n v="1533300663959"/>
    <n v="20250623"/>
    <s v="48 - Bonifico in arrivo "/>
    <m/>
    <m/>
    <s v="A     - Avere"/>
    <n v="46433.2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x v="5"/>
    <x v="2"/>
    <x v="0"/>
    <m/>
    <x v="0"/>
    <x v="0"/>
    <s v="462"/>
    <s v="430"/>
    <s v="430462"/>
    <s v="Classe di rischio 3"/>
    <m/>
    <s v="Classe di rischio 3"/>
  </r>
  <r>
    <n v="363502"/>
    <x v="0"/>
    <x v="0"/>
    <x v="43"/>
    <n v="53850"/>
    <n v="104"/>
    <s v="053850_104"/>
    <s v="Discovery Frodi"/>
    <s v="Mai valutato"/>
    <m/>
    <m/>
    <n v="1043309505524"/>
    <n v="20250603"/>
    <s v="48 - Bonifico in arrivo "/>
    <m/>
    <m/>
    <s v="A     - Avere"/>
    <n v="75640"/>
    <m/>
    <n v="4255116"/>
    <n v="6238700725"/>
    <s v="EBANISTERIA CAPUTO SOCIETA' A RESPONSABILITA"/>
    <s v="430 - Imprese produttive"/>
    <s v="162 - FABBRICAZIONE DI PRODOTTI IN LEGNO, SUGHERO, PAGLIA E MATERIALI DA INTRECCIO"/>
    <s v="086 - ITALIA"/>
    <n v="727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3416"/>
    <x v="0"/>
    <x v="0"/>
    <x v="43"/>
    <n v="53850"/>
    <n v="105"/>
    <s v="053850_105"/>
    <s v="Discovery Frodi"/>
    <s v="Mai valutato"/>
    <m/>
    <m/>
    <n v="1053306287103"/>
    <n v="20250624"/>
    <s v="48 - Bonifico in arrivo "/>
    <m/>
    <m/>
    <s v="A     - Avere"/>
    <n v="244405.79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3401"/>
    <x v="0"/>
    <x v="0"/>
    <x v="43"/>
    <n v="53850"/>
    <n v="153"/>
    <s v="053850_153"/>
    <s v="Discovery Frodi"/>
    <s v="Mai valutato"/>
    <m/>
    <m/>
    <n v="1533300663959"/>
    <n v="20250616"/>
    <s v="48 - Bonifico in arrivo "/>
    <m/>
    <m/>
    <s v="A     - Avere"/>
    <n v="34980.22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x v="5"/>
    <x v="2"/>
    <x v="0"/>
    <m/>
    <x v="0"/>
    <x v="0"/>
    <s v="462"/>
    <s v="430"/>
    <s v="430462"/>
    <s v="Classe di rischio 3"/>
    <m/>
    <s v="Classe di rischio 3"/>
  </r>
  <r>
    <n v="363399"/>
    <x v="0"/>
    <x v="0"/>
    <x v="43"/>
    <n v="53850"/>
    <n v="121"/>
    <s v="053850_121"/>
    <s v="Discovery Frodi"/>
    <s v="Mai valutato"/>
    <m/>
    <m/>
    <n v="1213300002968"/>
    <n v="20250605"/>
    <s v="48 - Bonifico in arrivo "/>
    <m/>
    <m/>
    <s v="A     - Avere"/>
    <n v="41267.199999999997"/>
    <m/>
    <n v="4669940"/>
    <n v="7216060728"/>
    <s v="TERRA VIVA - SOCIETA' COOPERATIVA AGRICOLA"/>
    <s v="430 - Imprese produttive"/>
    <s v="016 - ATTIVITÀ DI SUPPORTO ALL'AGRICOLTURA E ATTIVITÀ SUCCESSIVE ALLA RACCOLTA"/>
    <s v="086 - ITALIA"/>
    <m/>
    <m/>
    <m/>
    <m/>
    <m/>
    <m/>
    <m/>
    <m/>
    <n v="0"/>
    <n v="202506"/>
    <x v="3"/>
    <x v="1"/>
    <x v="0"/>
    <m/>
    <x v="0"/>
    <x v="0"/>
    <s v="999"/>
    <s v="430"/>
    <s v="430999"/>
    <m/>
    <s v="1"/>
    <s v="Classe di rischio 1"/>
  </r>
  <r>
    <n v="363379"/>
    <x v="0"/>
    <x v="0"/>
    <x v="43"/>
    <n v="53850"/>
    <n v="175"/>
    <s v="053850_175"/>
    <s v="Discovery Frodi"/>
    <s v="Mai valutato"/>
    <m/>
    <m/>
    <n v="1753302203127"/>
    <n v="20250623"/>
    <s v="G1 - Versamento assegni tratti su altro intermediario "/>
    <m/>
    <m/>
    <s v="A     - Avere"/>
    <n v="38981.11"/>
    <m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x v="2"/>
    <x v="1"/>
    <x v="0"/>
    <n v="4160138"/>
    <x v="1"/>
    <x v="0"/>
    <s v="999"/>
    <s v="430"/>
    <s v="430999"/>
    <m/>
    <s v="1"/>
    <s v="Classe di rischio 1"/>
  </r>
  <r>
    <n v="363361"/>
    <x v="0"/>
    <x v="0"/>
    <x v="43"/>
    <n v="53850"/>
    <n v="171"/>
    <s v="053850_171"/>
    <s v="Discovery Frodi"/>
    <s v="Mai valutato"/>
    <m/>
    <m/>
    <n v="1713302213842"/>
    <n v="20250626"/>
    <s v="48 - Bonifico in arrivo "/>
    <m/>
    <m/>
    <s v="A     - Avere"/>
    <n v="33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3286"/>
    <x v="0"/>
    <x v="0"/>
    <x v="43"/>
    <n v="53850"/>
    <n v="105"/>
    <s v="053850_105"/>
    <s v="Discovery Frodi"/>
    <s v="Mai valutato"/>
    <m/>
    <m/>
    <n v="1053306287103"/>
    <n v="20250609"/>
    <s v="48 - Bonifico in arrivo "/>
    <m/>
    <m/>
    <s v="A     - Avere"/>
    <n v="3816880.07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3145"/>
    <x v="0"/>
    <x v="0"/>
    <x v="43"/>
    <n v="53850"/>
    <n v="128"/>
    <s v="053850_128"/>
    <s v="Discovery Frodi"/>
    <s v="Mai valutato"/>
    <m/>
    <m/>
    <n v="1283300001665"/>
    <n v="20250619"/>
    <s v="G1 - Versamento assegni tratti su altro intermediario "/>
    <m/>
    <m/>
    <s v="A     - Avere"/>
    <n v="33474.15"/>
    <m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3119"/>
    <x v="0"/>
    <x v="0"/>
    <x v="43"/>
    <n v="53850"/>
    <n v="122"/>
    <s v="053850_122"/>
    <s v="Discovery Frodi"/>
    <s v="Mai valutato"/>
    <m/>
    <m/>
    <n v="1223300001682"/>
    <n v="20250623"/>
    <s v="48 - Bonifico in arrivo "/>
    <m/>
    <m/>
    <s v="A     - Avere"/>
    <n v="81801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3110"/>
    <x v="0"/>
    <x v="0"/>
    <x v="43"/>
    <n v="53850"/>
    <n v="122"/>
    <s v="053850_122"/>
    <s v="Discovery Frodi"/>
    <s v="Mai valutato"/>
    <m/>
    <m/>
    <n v="1223300002128"/>
    <n v="20250623"/>
    <s v="48 - Bonifico in arrivo "/>
    <m/>
    <m/>
    <s v="A     - Avere"/>
    <n v="39223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3012"/>
    <x v="0"/>
    <x v="0"/>
    <x v="43"/>
    <n v="53850"/>
    <n v="128"/>
    <s v="053850_128"/>
    <s v="Discovery Frodi"/>
    <s v="Mai valutato"/>
    <m/>
    <m/>
    <n v="1283300003276"/>
    <n v="20250609"/>
    <s v="48 - Bonifico in arrivo "/>
    <m/>
    <m/>
    <s v="A     - Avere"/>
    <n v="32391"/>
    <m/>
    <n v="4804234"/>
    <n v="7652810727"/>
    <s v="EMMEFFEDI CAR S.R.L."/>
    <s v="430 - Imprese produttive"/>
    <s v="282 - FABBRICAZIONE DI ALTRE MACCHINE DI IMPIEGO GENERALE"/>
    <s v="086 - ITALIA"/>
    <n v="462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3006"/>
    <x v="0"/>
    <x v="0"/>
    <x v="43"/>
    <n v="53850"/>
    <n v="153"/>
    <s v="053850_153"/>
    <s v="Discovery Frodi"/>
    <s v="Mai valutato"/>
    <m/>
    <m/>
    <n v="1533300663959"/>
    <n v="20250603"/>
    <s v="48 - Bonifico in arrivo "/>
    <m/>
    <m/>
    <s v="A     - Avere"/>
    <n v="36740.75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x v="5"/>
    <x v="2"/>
    <x v="0"/>
    <m/>
    <x v="0"/>
    <x v="0"/>
    <s v="462"/>
    <s v="430"/>
    <s v="430462"/>
    <s v="Classe di rischio 3"/>
    <m/>
    <s v="Classe di rischio 3"/>
  </r>
  <r>
    <n v="362914"/>
    <x v="0"/>
    <x v="0"/>
    <x v="43"/>
    <n v="53850"/>
    <n v="267"/>
    <s v="053850_267"/>
    <s v="Discovery Frodi"/>
    <s v="Mai valutato"/>
    <m/>
    <m/>
    <n v="2673300010274"/>
    <n v="20250603"/>
    <s v="48 - Bonifico in arrivo "/>
    <m/>
    <m/>
    <s v="A     - Avere"/>
    <n v="37781.19"/>
    <m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2845"/>
    <x v="0"/>
    <x v="0"/>
    <x v="43"/>
    <n v="53850"/>
    <n v="149"/>
    <s v="053850_149"/>
    <s v="Discovery Frodi"/>
    <s v="Mai valutato"/>
    <m/>
    <m/>
    <n v="1493300663906"/>
    <n v="20250620"/>
    <s v="48 - Bonifico in arrivo "/>
    <m/>
    <m/>
    <s v="A     - Avere"/>
    <n v="120000"/>
    <m/>
    <n v="4178286"/>
    <s v="CHRRRT60L27F839U"/>
    <s v="CHIARI ROBERTO"/>
    <s v="615 - Altre famiglie produttrici"/>
    <s v="691 - ATTIVITÀ DEGLI STUDI LEGALI"/>
    <s v="086 - ITALIA"/>
    <n v="1910"/>
    <m/>
    <m/>
    <m/>
    <m/>
    <m/>
    <m/>
    <m/>
    <n v="0"/>
    <n v="202506"/>
    <x v="1"/>
    <x v="0"/>
    <x v="0"/>
    <n v="4178286"/>
    <x v="1"/>
    <x v="0"/>
    <s v="999"/>
    <s v="615"/>
    <s v="615999"/>
    <m/>
    <s v="1"/>
    <s v="Classe di rischio 3"/>
  </r>
  <r>
    <n v="362615"/>
    <x v="0"/>
    <x v="0"/>
    <x v="43"/>
    <n v="53850"/>
    <n v="153"/>
    <s v="053850_153"/>
    <s v="Discovery Frodi"/>
    <s v="Mai valutato"/>
    <m/>
    <m/>
    <n v="1533300662905"/>
    <n v="20250609"/>
    <s v="G1 - Versamento assegni tratti su altro intermediario "/>
    <m/>
    <m/>
    <s v="A     - Avere"/>
    <n v="27000"/>
    <m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x v="1"/>
    <x v="0"/>
    <x v="0"/>
    <m/>
    <x v="0"/>
    <x v="0"/>
    <s v="236"/>
    <s v="430"/>
    <s v="430236"/>
    <s v="Classe di rischio 3"/>
    <m/>
    <s v="Classe di rischio 3"/>
  </r>
  <r>
    <n v="362539"/>
    <x v="0"/>
    <x v="0"/>
    <x v="43"/>
    <n v="53850"/>
    <n v="175"/>
    <s v="053850_175"/>
    <s v="Discovery Frodi"/>
    <s v="Mai valutato"/>
    <m/>
    <m/>
    <n v="1753302203127"/>
    <n v="20250620"/>
    <s v="G1 - Versamento assegni tratti su altro intermediario "/>
    <m/>
    <m/>
    <s v="A     - Avere"/>
    <n v="42395.77"/>
    <m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x v="2"/>
    <x v="1"/>
    <x v="0"/>
    <n v="4160138"/>
    <x v="1"/>
    <x v="0"/>
    <s v="999"/>
    <s v="430"/>
    <s v="430999"/>
    <m/>
    <s v="1"/>
    <s v="Classe di rischio 1"/>
  </r>
  <r>
    <n v="362452"/>
    <x v="0"/>
    <x v="0"/>
    <x v="43"/>
    <n v="53850"/>
    <n v="182"/>
    <s v="053850_182"/>
    <s v="Discovery Frodi"/>
    <s v="Mai valutato"/>
    <m/>
    <m/>
    <n v="1823300173303"/>
    <n v="20250611"/>
    <s v="48 - Bonifico in arrivo "/>
    <m/>
    <m/>
    <s v="A     - Avere"/>
    <n v="500000"/>
    <m/>
    <n v="3024732"/>
    <n v="1710570738"/>
    <s v="COMES S.P.A."/>
    <s v="430 - Imprese produttive"/>
    <s v="332 - INSTALLAZIONE DI MACCHINE ED APPARECCHIATURE INDUSTRIALI"/>
    <s v="086 - ITALIA"/>
    <n v="1627"/>
    <m/>
    <m/>
    <m/>
    <m/>
    <m/>
    <m/>
    <m/>
    <n v="0"/>
    <n v="202506"/>
    <x v="5"/>
    <x v="2"/>
    <x v="0"/>
    <m/>
    <x v="0"/>
    <x v="0"/>
    <s v="999"/>
    <s v="430"/>
    <s v="430999"/>
    <m/>
    <s v="1"/>
    <s v="Classe di rischio 1"/>
  </r>
  <r>
    <n v="362321"/>
    <x v="0"/>
    <x v="0"/>
    <x v="43"/>
    <n v="53850"/>
    <n v="267"/>
    <s v="053850_267"/>
    <s v="Discovery Frodi"/>
    <s v="Mai valutato"/>
    <m/>
    <m/>
    <n v="2673300010274"/>
    <n v="20250603"/>
    <s v="48 - Bonifico in arrivo "/>
    <m/>
    <m/>
    <s v="A     - Avere"/>
    <n v="76229.399999999994"/>
    <m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1344"/>
    <x v="1"/>
    <x v="1"/>
    <x v="43"/>
    <n v="53850"/>
    <n v="190"/>
    <s v="053850_190"/>
    <s v="Discovery Comportamenti"/>
    <s v="Mai valutato"/>
    <m/>
    <m/>
    <m/>
    <m/>
    <m/>
    <m/>
    <m/>
    <m/>
    <s v=""/>
    <m/>
    <n v="4884959"/>
    <n v="6732580722"/>
    <s v="MACK &amp; SCHUHLE ITALIA S.P.A."/>
    <s v="430 - Imprese produttive"/>
    <s v="11021 - Produzione di vini da tavola e v.q.p.r.d."/>
    <m/>
    <n v="1926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61337"/>
    <x v="1"/>
    <x v="1"/>
    <x v="43"/>
    <n v="53850"/>
    <n v="121"/>
    <s v="053850_121"/>
    <s v="Discovery Comportamenti"/>
    <s v="Mai valutato"/>
    <m/>
    <m/>
    <m/>
    <m/>
    <m/>
    <m/>
    <m/>
    <m/>
    <s v=""/>
    <m/>
    <n v="4596073"/>
    <n v="6902840724"/>
    <s v="AGROMED SRL"/>
    <s v="430 - Imprese produttive"/>
    <s v="0113 - Coltivazione di ortaggi e meloni, radici e tuberi"/>
    <m/>
    <n v="928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61326"/>
    <x v="1"/>
    <x v="1"/>
    <x v="43"/>
    <n v="53850"/>
    <n v="121"/>
    <s v="053850_121"/>
    <s v="Discovery Comportamenti"/>
    <s v="Mai valutato"/>
    <m/>
    <m/>
    <m/>
    <m/>
    <m/>
    <m/>
    <m/>
    <m/>
    <s v=""/>
    <m/>
    <n v="4859756"/>
    <n v="7229510727"/>
    <s v="ORGANIZZAZIONE DI PRODUTTORI PUGLIAVIVA - SO"/>
    <s v="430 - Imprese produttive"/>
    <s v="0161 - Attività di supporto alla produzione vegetale"/>
    <m/>
    <n v="1058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61314"/>
    <x v="1"/>
    <x v="1"/>
    <x v="43"/>
    <n v="53850"/>
    <n v="102"/>
    <s v="053850_102"/>
    <s v="Discovery Comportamenti"/>
    <s v="Mai valutato"/>
    <m/>
    <m/>
    <m/>
    <m/>
    <m/>
    <m/>
    <m/>
    <m/>
    <s v=""/>
    <m/>
    <n v="4269640"/>
    <n v="4797080969"/>
    <s v="FACTORIT S.P.A."/>
    <s v="259 - Societa' di factoring"/>
    <s v="64992 - Attività di factoring"/>
    <m/>
    <n v="1926"/>
    <m/>
    <m/>
    <m/>
    <m/>
    <m/>
    <m/>
    <m/>
    <n v="0"/>
    <m/>
    <x v="5"/>
    <x v="2"/>
    <x v="0"/>
    <m/>
    <x v="0"/>
    <x v="0"/>
    <s v="999"/>
    <s v="259"/>
    <s v="259999"/>
    <m/>
    <s v="1"/>
    <s v="Classe di rischio 0"/>
  </r>
  <r>
    <n v="361312"/>
    <x v="1"/>
    <x v="1"/>
    <x v="43"/>
    <n v="53850"/>
    <n v="141"/>
    <s v="053850_141"/>
    <s v="Discovery Comportamenti"/>
    <s v="Mai valutato"/>
    <m/>
    <m/>
    <m/>
    <m/>
    <m/>
    <m/>
    <m/>
    <m/>
    <s v=""/>
    <m/>
    <n v="4835947"/>
    <n v="3351210756"/>
    <s v="LINKS - MANAGEMENT AND TECHNOLOGY - S.P.A. I"/>
    <s v="430 - Imprese produttive"/>
    <s v="6202 - Consulenza nel settore delle tecnologie dell'informatica"/>
    <m/>
    <n v="1627"/>
    <m/>
    <m/>
    <m/>
    <m/>
    <m/>
    <m/>
    <m/>
    <n v="0"/>
    <m/>
    <x v="5"/>
    <x v="2"/>
    <x v="0"/>
    <m/>
    <x v="0"/>
    <x v="0"/>
    <s v="620"/>
    <s v="430"/>
    <s v="430620"/>
    <s v="Classe di rischio 3"/>
    <m/>
    <s v="Classe di rischio 3"/>
  </r>
  <r>
    <n v="361304"/>
    <x v="1"/>
    <x v="1"/>
    <x v="43"/>
    <n v="53850"/>
    <n v="109"/>
    <s v="053850_109"/>
    <s v="Discovery Comportamenti"/>
    <s v="Mai valutato"/>
    <m/>
    <m/>
    <m/>
    <m/>
    <m/>
    <m/>
    <m/>
    <m/>
    <s v=""/>
    <m/>
    <n v="4976336"/>
    <n v="8637680722"/>
    <s v="OXOCO S.R.L."/>
    <s v="430 - Imprese produttive"/>
    <s v="711220 - Servizi di progettazione di ingegneria integrata"/>
    <m/>
    <n v="783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61280"/>
    <x v="1"/>
    <x v="1"/>
    <x v="43"/>
    <n v="53850"/>
    <n v="121"/>
    <s v="053850_121"/>
    <s v="Discovery Comportamenti"/>
    <s v="Mai valutato"/>
    <m/>
    <m/>
    <m/>
    <m/>
    <m/>
    <m/>
    <m/>
    <m/>
    <s v=""/>
    <m/>
    <n v="4859756"/>
    <n v="7229510727"/>
    <s v="ORGANIZZAZIONE DI PRODUTTORI PUGLIAVIVA - SO"/>
    <s v="430 - Imprese produttive"/>
    <s v="0161 - Attività di supporto alla produzione vegetale"/>
    <m/>
    <n v="1058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61223"/>
    <x v="1"/>
    <x v="1"/>
    <x v="43"/>
    <n v="53850"/>
    <n v="121"/>
    <s v="053850_121"/>
    <s v="Discovery Comportamenti"/>
    <s v="Mai valutato"/>
    <m/>
    <m/>
    <m/>
    <m/>
    <m/>
    <m/>
    <m/>
    <m/>
    <s v=""/>
    <m/>
    <n v="4669940"/>
    <n v="7216060728"/>
    <s v="TERRA VIVA - SOCIETA' COOPERATIVA AGRICOLA"/>
    <s v="430 - Imprese produttive"/>
    <s v="016100 - Attività di supporto alla produzione vegetale"/>
    <m/>
    <m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61219"/>
    <x v="1"/>
    <x v="1"/>
    <x v="43"/>
    <n v="53850"/>
    <n v="141"/>
    <s v="053850_141"/>
    <s v="Discovery Comportamenti"/>
    <s v="Mai valutato"/>
    <m/>
    <m/>
    <m/>
    <m/>
    <m/>
    <m/>
    <m/>
    <m/>
    <s v=""/>
    <m/>
    <n v="4968719"/>
    <n v="5154150758"/>
    <s v="DFX S.R.L."/>
    <s v="430 - Imprese produttive"/>
    <s v="244200 - Produzione di alluminio e semilavorati"/>
    <m/>
    <n v="1627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61215"/>
    <x v="1"/>
    <x v="1"/>
    <x v="43"/>
    <n v="53850"/>
    <n v="196"/>
    <s v="053850_196"/>
    <s v="Discovery Comportamenti"/>
    <s v="Mai valutato"/>
    <m/>
    <m/>
    <m/>
    <m/>
    <m/>
    <m/>
    <m/>
    <m/>
    <s v=""/>
    <m/>
    <n v="3733579"/>
    <n v="8609120723"/>
    <s v="SI.MED. S.R.L."/>
    <s v="430 - Imprese produttive"/>
    <s v="46341 - Commercio all'ingrosso di bevande alcoliche"/>
    <m/>
    <n v="1911"/>
    <m/>
    <m/>
    <m/>
    <m/>
    <m/>
    <m/>
    <m/>
    <n v="0"/>
    <m/>
    <x v="5"/>
    <x v="2"/>
    <x v="0"/>
    <m/>
    <x v="0"/>
    <x v="0"/>
    <s v="463"/>
    <s v="430"/>
    <s v="430463"/>
    <s v="Classe di rischio 3"/>
    <m/>
    <s v="Classe di rischio 3"/>
  </r>
  <r>
    <n v="361194"/>
    <x v="1"/>
    <x v="1"/>
    <x v="43"/>
    <n v="53850"/>
    <n v="187"/>
    <s v="053850_187"/>
    <s v="Discovery Comportamenti"/>
    <s v="Mai valutato"/>
    <m/>
    <m/>
    <m/>
    <m/>
    <m/>
    <m/>
    <m/>
    <m/>
    <s v=""/>
    <m/>
    <n v="3004644"/>
    <n v="80008750731"/>
    <s v="COMUNE DI TARANTO"/>
    <s v="173 - Amministrazioni comunali e unioni di comuni"/>
    <m/>
    <m/>
    <n v="1627"/>
    <m/>
    <m/>
    <m/>
    <m/>
    <m/>
    <m/>
    <m/>
    <n v="0"/>
    <m/>
    <x v="5"/>
    <x v="2"/>
    <x v="0"/>
    <m/>
    <x v="0"/>
    <x v="0"/>
    <s v="999"/>
    <s v="173"/>
    <s v="173999"/>
    <s v="Classe di rischio 0"/>
    <m/>
    <s v="Classe di rischio 0"/>
  </r>
  <r>
    <n v="361154"/>
    <x v="1"/>
    <x v="1"/>
    <x v="43"/>
    <n v="53850"/>
    <n v="187"/>
    <s v="053850_187"/>
    <s v="Discovery Comportamenti"/>
    <s v="Mai valutato"/>
    <m/>
    <m/>
    <m/>
    <m/>
    <m/>
    <m/>
    <m/>
    <m/>
    <s v=""/>
    <m/>
    <n v="3004644"/>
    <n v="80008750731"/>
    <s v="COMUNE DI TARANTO"/>
    <s v="173 - Amministrazioni comunali e unioni di comuni"/>
    <m/>
    <m/>
    <n v="1627"/>
    <m/>
    <m/>
    <m/>
    <m/>
    <m/>
    <m/>
    <m/>
    <n v="0"/>
    <m/>
    <x v="5"/>
    <x v="2"/>
    <x v="0"/>
    <m/>
    <x v="0"/>
    <x v="0"/>
    <s v="999"/>
    <s v="173"/>
    <s v="173999"/>
    <s v="Classe di rischio 0"/>
    <m/>
    <s v="Classe di rischio 0"/>
  </r>
  <r>
    <n v="361135"/>
    <x v="1"/>
    <x v="1"/>
    <x v="43"/>
    <n v="53850"/>
    <n v="121"/>
    <s v="053850_121"/>
    <s v="Discovery Comportamenti"/>
    <s v="Mai valutato"/>
    <m/>
    <m/>
    <m/>
    <m/>
    <m/>
    <m/>
    <m/>
    <m/>
    <s v=""/>
    <m/>
    <n v="4859756"/>
    <n v="7229510727"/>
    <s v="ORGANIZZAZIONE DI PRODUTTORI PUGLIAVIVA - SO"/>
    <s v="430 - Imprese produttive"/>
    <s v="0161 - Attività di supporto alla produzione vegetale"/>
    <m/>
    <n v="1058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61123"/>
    <x v="1"/>
    <x v="1"/>
    <x v="43"/>
    <n v="53850"/>
    <n v="121"/>
    <s v="053850_121"/>
    <s v="Discovery Comportamenti"/>
    <s v="Mai valutato"/>
    <m/>
    <m/>
    <m/>
    <m/>
    <m/>
    <m/>
    <m/>
    <m/>
    <s v=""/>
    <m/>
    <n v="4669940"/>
    <n v="7216060728"/>
    <s v="TERRA VIVA - SOCIETA' COOPERATIVA AGRICOLA"/>
    <s v="430 - Imprese produttive"/>
    <s v="016100 - Attività di supporto alla produzione vegetale"/>
    <m/>
    <m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61121"/>
    <x v="1"/>
    <x v="1"/>
    <x v="43"/>
    <n v="53850"/>
    <n v="199"/>
    <s v="053850_199"/>
    <s v="Discovery Comportamenti"/>
    <s v="Mai valutato"/>
    <m/>
    <m/>
    <m/>
    <m/>
    <m/>
    <m/>
    <m/>
    <m/>
    <s v=""/>
    <m/>
    <n v="4862196"/>
    <n v="1430150746"/>
    <s v="CANTINE DUE PALME - SOCIETA' COOPERATIVAAGRI"/>
    <s v="430 - Imprese produttive"/>
    <s v="0121 - Coltivazione di uva"/>
    <m/>
    <n v="1627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61106"/>
    <x v="1"/>
    <x v="1"/>
    <x v="43"/>
    <n v="53850"/>
    <n v="145"/>
    <s v="053850_145"/>
    <s v="Discovery Comportamenti"/>
    <s v="Mai valutato"/>
    <m/>
    <m/>
    <m/>
    <m/>
    <m/>
    <m/>
    <m/>
    <m/>
    <s v=""/>
    <m/>
    <n v="4909036"/>
    <n v="8716121218"/>
    <s v="FUSIONMET S.R.L."/>
    <s v="430 - Imprese produttive"/>
    <s v="46721 - Commercio all'ingrosso di minerali metalliferi, di metalli ferrosi e prodotti semilavorati"/>
    <m/>
    <n v="982"/>
    <m/>
    <m/>
    <m/>
    <m/>
    <m/>
    <m/>
    <m/>
    <n v="0"/>
    <m/>
    <x v="5"/>
    <x v="2"/>
    <x v="0"/>
    <m/>
    <x v="0"/>
    <x v="0"/>
    <s v="999"/>
    <s v="430"/>
    <s v="430999"/>
    <m/>
    <s v="1"/>
    <s v="Classe di rischio 1"/>
  </r>
  <r>
    <n v="360667"/>
    <x v="3"/>
    <x v="3"/>
    <x v="44"/>
    <n v="53850"/>
    <n v="102"/>
    <s v="053850_102"/>
    <s v="Discovery Day"/>
    <s v="Mai valutato"/>
    <m/>
    <n v="202506308141600"/>
    <n v="1023306272895"/>
    <n v="20250630"/>
    <s v="G7 - Versamento assegno circolare altro intermediario "/>
    <m/>
    <m/>
    <s v="A     - Avere"/>
    <n v="433000"/>
    <n v="0"/>
    <n v="52472"/>
    <s v="MRMNLM56A63A225F"/>
    <s v="MORAMARCO ANGELA MARIA"/>
    <s v="600 - Famiglie consumatrici"/>
    <m/>
    <s v="086 - ITALIA"/>
    <n v="1431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66"/>
    <x v="2"/>
    <x v="2"/>
    <x v="44"/>
    <n v="53850"/>
    <n v="116"/>
    <s v="053850_116"/>
    <s v="Discovery Day"/>
    <s v="Mai valutato"/>
    <m/>
    <s v="202506308836996L"/>
    <n v="1423300308824"/>
    <n v="20250630"/>
    <s v="AA - Bonifico da e per estero "/>
    <m/>
    <s v="095 - LIBANO"/>
    <s v="A     - Avere"/>
    <n v="2500"/>
    <n v="0"/>
    <n v="526336"/>
    <s v="NDRFLV63D42A662R"/>
    <s v="INDRIO FLAVI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65"/>
    <x v="4"/>
    <x v="4"/>
    <x v="44"/>
    <n v="53850"/>
    <n v="102"/>
    <s v="053850_102"/>
    <s v="Discovery Day"/>
    <s v="Mai valutato"/>
    <m/>
    <n v="202506308141571"/>
    <n v="1023308722935"/>
    <n v="20250630"/>
    <s v="26 - Bonifico in partenza "/>
    <m/>
    <s v="086 - ITALIA"/>
    <s v="D     - Dare"/>
    <n v="200050"/>
    <n v="0"/>
    <n v="512037"/>
    <s v="LGGNLN71C63A225H"/>
    <s v="LEGGIADRO ANGELA ANNUNZIATA"/>
    <s v="600 - Famiglie consumatrici"/>
    <m/>
    <s v="086 - ITALIA"/>
    <n v="133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64"/>
    <x v="5"/>
    <x v="5"/>
    <x v="44"/>
    <n v="53850"/>
    <n v="141"/>
    <s v="053850_141"/>
    <s v="Discovery Day"/>
    <s v="Mai valutato"/>
    <m/>
    <s v="Vari (30/06/2025)"/>
    <n v="1413300004393"/>
    <n v="20250630"/>
    <s v="VV"/>
    <m/>
    <m/>
    <s v="A     - Avere"/>
    <n v="244056.98"/>
    <n v="3537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s v="086 - ITALIA"/>
    <n v="862"/>
    <m/>
    <m/>
    <m/>
    <m/>
    <m/>
    <m/>
    <m/>
    <n v="0"/>
    <n v="202506"/>
    <x v="2"/>
    <x v="1"/>
    <x v="0"/>
    <n v="3743595"/>
    <x v="1"/>
    <x v="1"/>
    <s v="999"/>
    <s v="501"/>
    <s v="501999"/>
    <m/>
    <s v="1"/>
    <s v="Classe di rischio 3"/>
  </r>
  <r>
    <n v="360663"/>
    <x v="5"/>
    <x v="5"/>
    <x v="44"/>
    <n v="53850"/>
    <n v="102"/>
    <s v="053850_102"/>
    <s v="Discovery Day"/>
    <s v="Mai valutato"/>
    <m/>
    <s v="Vari (30/06/2025)"/>
    <n v="1023300660520"/>
    <n v="20250630"/>
    <s v="VV"/>
    <m/>
    <m/>
    <s v="A     - Avere"/>
    <n v="110530"/>
    <n v="4028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6"/>
    <x v="4"/>
    <x v="1"/>
    <x v="0"/>
    <n v="66052"/>
    <x v="1"/>
    <x v="1"/>
    <s v="999"/>
    <s v="430"/>
    <s v="430999"/>
    <m/>
    <s v="1"/>
    <s v="Classe di rischio 1"/>
  </r>
  <r>
    <n v="360662"/>
    <x v="5"/>
    <x v="5"/>
    <x v="44"/>
    <n v="53850"/>
    <n v="114"/>
    <s v="053850_114"/>
    <s v="Discovery Day"/>
    <s v="Mai valutato"/>
    <m/>
    <s v="Vari (30/06/2025)"/>
    <n v="1143306280621"/>
    <n v="20250630"/>
    <s v="D1 - Versamento di contante "/>
    <m/>
    <m/>
    <s v="A     - Avere"/>
    <n v="56000"/>
    <n v="56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x v="1"/>
    <x v="0"/>
    <x v="0"/>
    <n v="4658875"/>
    <x v="1"/>
    <x v="0"/>
    <s v="477"/>
    <s v="430"/>
    <s v="430477"/>
    <s v="Classe di rischio 3"/>
    <m/>
    <s v="Classe di rischio 3"/>
  </r>
  <r>
    <n v="360661"/>
    <x v="2"/>
    <x v="2"/>
    <x v="44"/>
    <n v="53850"/>
    <n v="282"/>
    <s v="053850_282"/>
    <s v="Discovery Day"/>
    <s v="Mai valutato"/>
    <m/>
    <s v="202506308831918L"/>
    <n v="2823300001773"/>
    <n v="20250630"/>
    <s v="AA - Bonifico da e per estero "/>
    <m/>
    <s v="238 - ABU DHABI"/>
    <s v="A     - Avere"/>
    <n v="3000"/>
    <n v="0"/>
    <n v="1669726"/>
    <s v="CPRDNL87M08E435Y"/>
    <s v="CAPORALE DANILO"/>
    <s v="600 - Famiglie consumatrici"/>
    <m/>
    <s v="086 - ITALIA"/>
    <n v="1802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60"/>
    <x v="3"/>
    <x v="3"/>
    <x v="44"/>
    <n v="53850"/>
    <n v="226"/>
    <s v="053850_226"/>
    <s v="Discovery Day"/>
    <s v="Mai valutato"/>
    <m/>
    <n v="202506308142355"/>
    <n v="2263300012169"/>
    <n v="20250630"/>
    <s v="G1 - Versamento assegni tratti su altro intermediario "/>
    <m/>
    <m/>
    <s v="A     - Avere"/>
    <n v="500000"/>
    <n v="0"/>
    <n v="3746226"/>
    <s v="DVNMCL48P63A285F"/>
    <s v="DE VINCENZO IMMACOLAT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59"/>
    <x v="5"/>
    <x v="5"/>
    <x v="44"/>
    <n v="53850"/>
    <n v="264"/>
    <s v="053850_264"/>
    <s v="Discovery Day"/>
    <s v="Mai valutato"/>
    <m/>
    <s v="Vari (30/06/2025)"/>
    <n v="2643300002171"/>
    <n v="20250630"/>
    <s v="03 - Versamento contante cassa continua "/>
    <m/>
    <m/>
    <s v="A     - Avere"/>
    <n v="31800"/>
    <n v="3180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s v="086 - ITALIA"/>
    <n v="936"/>
    <m/>
    <m/>
    <m/>
    <m/>
    <m/>
    <m/>
    <m/>
    <n v="0"/>
    <n v="202506"/>
    <x v="2"/>
    <x v="1"/>
    <x v="0"/>
    <n v="1705273"/>
    <x v="1"/>
    <x v="0"/>
    <s v="477"/>
    <s v="492"/>
    <s v="492477"/>
    <s v="Classe di rischio 5"/>
    <m/>
    <s v="Classe di rischio 5"/>
  </r>
  <r>
    <n v="360658"/>
    <x v="3"/>
    <x v="3"/>
    <x v="44"/>
    <n v="53850"/>
    <n v="268"/>
    <s v="053850_268"/>
    <s v="Discovery Day"/>
    <s v="Mai valutato"/>
    <m/>
    <n v="202506308142448"/>
    <n v="2683300006704"/>
    <n v="20250630"/>
    <s v="G1 - Versamento assegni tratti su altro intermediario "/>
    <m/>
    <m/>
    <s v="A     - Avere"/>
    <n v="101313.23"/>
    <n v="0"/>
    <n v="1705138"/>
    <n v="3015600798"/>
    <s v="M.SERVICE SRL"/>
    <s v="430 - Imprese produttive"/>
    <s v="431 - DEMOLIZIONE E PREPARAZIONE DEL CANTIERE EDILE"/>
    <s v="086 - ITALIA"/>
    <n v="1891"/>
    <m/>
    <m/>
    <m/>
    <m/>
    <m/>
    <m/>
    <m/>
    <n v="0"/>
    <n v="202506"/>
    <x v="2"/>
    <x v="1"/>
    <x v="0"/>
    <m/>
    <x v="0"/>
    <x v="0"/>
    <s v="431"/>
    <s v="430"/>
    <s v="430431"/>
    <s v="Classe di rischio 3"/>
    <m/>
    <s v="Classe di rischio 3"/>
  </r>
  <r>
    <n v="360657"/>
    <x v="3"/>
    <x v="3"/>
    <x v="44"/>
    <n v="53850"/>
    <n v="226"/>
    <s v="053850_226"/>
    <s v="Discovery Day"/>
    <s v="Mai valutato"/>
    <m/>
    <n v="202506308142355"/>
    <n v="2263300012169"/>
    <n v="20250630"/>
    <s v="G1 - Versamento assegni tratti su altro intermediario "/>
    <m/>
    <m/>
    <s v="A     - Avere"/>
    <n v="500000"/>
    <n v="0"/>
    <n v="3746217"/>
    <s v="DLIGLI48L25L328A"/>
    <s v="DI LEO GIULIO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56"/>
    <x v="3"/>
    <x v="3"/>
    <x v="44"/>
    <n v="53850"/>
    <n v="103"/>
    <s v="053850_103"/>
    <s v="Discovery Day"/>
    <s v="Mai valutato"/>
    <m/>
    <n v="202506308141649"/>
    <n v="1033300511030"/>
    <n v="20250630"/>
    <s v="G1 - Versamento assegni tratti su altro intermediario "/>
    <m/>
    <m/>
    <s v="A     - Avere"/>
    <n v="130000"/>
    <n v="0"/>
    <n v="51103"/>
    <s v="LPDPQL40P10E155Q"/>
    <s v="LOPEDOTA PASQUALE"/>
    <s v="600 - Famiglie consumatrici"/>
    <m/>
    <s v="086 - ITALIA"/>
    <n v="40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55"/>
    <x v="3"/>
    <x v="3"/>
    <x v="44"/>
    <n v="53850"/>
    <n v="109"/>
    <s v="053850_109"/>
    <s v="Discovery Day"/>
    <s v="Mai valutato"/>
    <m/>
    <n v="202506308141756"/>
    <n v="1093300002993"/>
    <n v="20250630"/>
    <s v="G1 - Versamento assegni tratti su altro intermediario "/>
    <m/>
    <m/>
    <s v="A     - Avere"/>
    <n v="119300"/>
    <n v="0"/>
    <n v="4035986"/>
    <s v="RCNTRS56R66A662T"/>
    <s v="RACANELLI TERESA"/>
    <s v="600 - Famiglie consumatrici"/>
    <m/>
    <s v="086 - ITALIA"/>
    <n v="929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54"/>
    <x v="3"/>
    <x v="3"/>
    <x v="44"/>
    <n v="53850"/>
    <n v="128"/>
    <s v="053850_128"/>
    <s v="Discovery Day"/>
    <s v="Mai valutato"/>
    <m/>
    <s v="Vari (30/06/2025)"/>
    <n v="1093306672844"/>
    <n v="20250630"/>
    <s v="VV"/>
    <m/>
    <m/>
    <s v="A     - Avere"/>
    <n v="101400"/>
    <n v="140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6"/>
    <x v="4"/>
    <x v="1"/>
    <x v="0"/>
    <n v="440311"/>
    <x v="1"/>
    <x v="1"/>
    <s v="451"/>
    <s v="430"/>
    <s v="430451"/>
    <s v="Classe di rischio 3"/>
    <m/>
    <s v="Classe di rischio 3"/>
  </r>
  <r>
    <n v="360653"/>
    <x v="5"/>
    <x v="5"/>
    <x v="44"/>
    <n v="53850"/>
    <n v="175"/>
    <s v="053850_175"/>
    <s v="Discovery Day"/>
    <s v="Mai valutato"/>
    <m/>
    <s v="Vari (30/06/2025)"/>
    <n v="1753302203965"/>
    <n v="20250630"/>
    <s v="03 - Versamento contante cassa continua "/>
    <m/>
    <m/>
    <s v="A     - Avere"/>
    <n v="42555"/>
    <n v="42555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6"/>
    <x v="4"/>
    <x v="1"/>
    <x v="0"/>
    <n v="4932268"/>
    <x v="1"/>
    <x v="0"/>
    <s v="920"/>
    <s v="430"/>
    <s v="430920"/>
    <s v="Classe di rischio 4"/>
    <m/>
    <s v="Classe di rischio 4"/>
  </r>
  <r>
    <n v="360652"/>
    <x v="4"/>
    <x v="4"/>
    <x v="44"/>
    <n v="53850"/>
    <n v="188"/>
    <s v="053850_188"/>
    <s v="Discovery Day"/>
    <s v="Mai valutato"/>
    <m/>
    <n v="202506308137789"/>
    <n v="1883300059102"/>
    <n v="20250630"/>
    <s v="48 - Bonifico in arrivo "/>
    <m/>
    <s v="086 - ITALIA"/>
    <s v="A     - Avere"/>
    <n v="580000"/>
    <n v="0"/>
    <n v="3002279"/>
    <s v="DMILCU63H55L049I"/>
    <s v="DI MAIO LUCIA"/>
    <s v="600 - Famiglie consumatrici"/>
    <m/>
    <s v="086 - ITALIA"/>
    <n v="1112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51"/>
    <x v="2"/>
    <x v="2"/>
    <x v="44"/>
    <n v="53850"/>
    <n v="170"/>
    <s v="053850_170"/>
    <s v="Discovery Day"/>
    <s v="Mai valutato"/>
    <m/>
    <n v="202506308138265"/>
    <n v="1701200589881"/>
    <n v="20250630"/>
    <s v="AA - Bonifico da e per estero "/>
    <m/>
    <s v="261 - CROAZIA"/>
    <s v="D     - Dare"/>
    <n v="10441.91"/>
    <n v="0"/>
    <n v="589881"/>
    <n v="2615270721"/>
    <s v="BELLAVEDUTA SRL INDUSTRIA DEL MARMO E DEL GR"/>
    <s v="430 - Imprese produttive"/>
    <s v="237 - TAGLIO, MODELLATURA E FINITURA DI PIETRE"/>
    <s v="086 - ITALIA"/>
    <n v="1920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650"/>
    <x v="4"/>
    <x v="4"/>
    <x v="44"/>
    <n v="53850"/>
    <n v="120"/>
    <s v="053850_120"/>
    <s v="Discovery Day"/>
    <s v="Mai valutato"/>
    <m/>
    <n v="202506308136439"/>
    <n v="1203300002958"/>
    <n v="20250630"/>
    <s v="AA - Bonifico da e per estero "/>
    <m/>
    <s v="031 - REGNO UNITO"/>
    <s v="D     - Dare"/>
    <n v="1132211.78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649"/>
    <x v="3"/>
    <x v="3"/>
    <x v="44"/>
    <n v="53850"/>
    <n v="161"/>
    <s v="053850_161"/>
    <s v="Discovery Day"/>
    <s v="Mai valutato"/>
    <m/>
    <n v="202506308142034"/>
    <n v="1613300032598"/>
    <n v="20250630"/>
    <s v="G1 - Versamento assegni tratti su altro intermediario "/>
    <m/>
    <m/>
    <s v="A     - Avere"/>
    <n v="107146.85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x v="4"/>
    <x v="1"/>
    <x v="0"/>
    <m/>
    <x v="0"/>
    <x v="0"/>
    <s v="999"/>
    <s v="430"/>
    <s v="430999"/>
    <m/>
    <s v="1"/>
    <s v="Classe di rischio 1"/>
  </r>
  <r>
    <n v="360648"/>
    <x v="5"/>
    <x v="5"/>
    <x v="44"/>
    <n v="53850"/>
    <n v="189"/>
    <s v="053850_189"/>
    <s v="Discovery Day"/>
    <s v="Mai valutato"/>
    <m/>
    <n v="202506308142272"/>
    <n v="1893300023546"/>
    <n v="20250630"/>
    <s v="D1 - Versamento di contante "/>
    <m/>
    <m/>
    <s v="A     - Avere"/>
    <n v="45030"/>
    <n v="4503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6"/>
    <x v="1"/>
    <x v="0"/>
    <x v="0"/>
    <n v="3064562"/>
    <x v="1"/>
    <x v="0"/>
    <s v="999"/>
    <s v="615"/>
    <s v="615999"/>
    <m/>
    <s v="1"/>
    <s v="Classe di rischio 3"/>
  </r>
  <r>
    <n v="360647"/>
    <x v="3"/>
    <x v="3"/>
    <x v="44"/>
    <n v="53850"/>
    <n v="102"/>
    <s v="053850_102"/>
    <s v="Discovery Day"/>
    <s v="Mai valutato"/>
    <m/>
    <s v="Vari (30/06/2025)"/>
    <n v="1023308717655"/>
    <n v="20250630"/>
    <s v="VV"/>
    <m/>
    <m/>
    <s v="A     - Avere"/>
    <n v="189404.49"/>
    <n v="0"/>
    <n v="4226959"/>
    <n v="6150080726"/>
    <s v="INDUSTRIA MOLITORIA F.LLI MARTIMUCCI S.R.L."/>
    <s v="430 - Imprese produttive"/>
    <s v="106 - LAVORAZIONE DELLE GRANAGLIE, PRODUZIONE DI AMIDI E DI PRODOTTI AMIDACEI"/>
    <s v="086 - ITALIA"/>
    <n v="739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60646"/>
    <x v="4"/>
    <x v="4"/>
    <x v="44"/>
    <n v="53850"/>
    <n v="273"/>
    <s v="053850_273"/>
    <s v="Discovery Day"/>
    <s v="Mai valutato"/>
    <m/>
    <n v="202506308141311"/>
    <n v="2733300000919"/>
    <n v="20250630"/>
    <s v="31 - Effetti ritirati "/>
    <m/>
    <m/>
    <s v="D     - Dare"/>
    <n v="300267.63"/>
    <n v="0"/>
    <n v="1625053"/>
    <n v="2427910696"/>
    <s v="MARINELLI UMBERTO SRL"/>
    <s v="430 - Imprese produttive"/>
    <s v="412 - COSTRUZIONE DI EDIFICI RESIDENZIALI E NON RESIDENZIALI"/>
    <s v="086 - ITALIA"/>
    <n v="1856"/>
    <m/>
    <m/>
    <m/>
    <m/>
    <m/>
    <m/>
    <m/>
    <n v="0"/>
    <n v="202506"/>
    <x v="2"/>
    <x v="1"/>
    <x v="0"/>
    <m/>
    <x v="0"/>
    <x v="0"/>
    <s v="412"/>
    <s v="430"/>
    <s v="430412"/>
    <s v="Classe di rischio 3"/>
    <m/>
    <s v="Classe di rischio 3"/>
  </r>
  <r>
    <n v="360645"/>
    <x v="4"/>
    <x v="4"/>
    <x v="44"/>
    <n v="53850"/>
    <n v="148"/>
    <s v="053850_148"/>
    <s v="Discovery Day"/>
    <s v="Mai valutato"/>
    <m/>
    <n v="202506308141975"/>
    <n v="1483300003701"/>
    <n v="20250630"/>
    <s v="26 - Bonifico in partenza "/>
    <m/>
    <s v="086 - ITALIA"/>
    <s v="D     - Da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44"/>
    <x v="4"/>
    <x v="4"/>
    <x v="44"/>
    <n v="53850"/>
    <n v="153"/>
    <s v="053850_153"/>
    <s v="Discovery Day"/>
    <s v="Mai valutato"/>
    <m/>
    <n v="202506308136210"/>
    <n v="1533300662905"/>
    <n v="20250630"/>
    <s v="26 - Bonifico in partenza "/>
    <m/>
    <s v="086 - ITALIA"/>
    <s v="D     - Dare"/>
    <n v="1550000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x v="1"/>
    <x v="0"/>
    <x v="0"/>
    <m/>
    <x v="0"/>
    <x v="0"/>
    <s v="236"/>
    <s v="430"/>
    <s v="430236"/>
    <s v="Classe di rischio 3"/>
    <m/>
    <s v="Classe di rischio 3"/>
  </r>
  <r>
    <n v="360643"/>
    <x v="3"/>
    <x v="3"/>
    <x v="44"/>
    <n v="53850"/>
    <n v="121"/>
    <s v="053850_121"/>
    <s v="Discovery Day"/>
    <s v="Mai valutato"/>
    <m/>
    <n v="202506308141858"/>
    <n v="1213300002971"/>
    <n v="20250630"/>
    <s v="G1 - Versamento assegni tratti su altro intermediario "/>
    <m/>
    <m/>
    <s v="A     - Avere"/>
    <n v="246000"/>
    <n v="0"/>
    <n v="4859756"/>
    <n v="7229510727"/>
    <s v="ORGANIZZAZIONE DI PRODUTTORI PUGLIAVIVA - SO"/>
    <s v="430 - Imprese produttive"/>
    <s v="016 - ATTIVITÀ DI SUPPORTO ALL'AGRICOLTURA E ATTIVITÀ SUCCESSIVE ALLA RACCOLTA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642"/>
    <x v="3"/>
    <x v="3"/>
    <x v="44"/>
    <n v="53850"/>
    <n v="129"/>
    <s v="053850_129"/>
    <s v="Discovery Day"/>
    <s v="Mai valutato"/>
    <m/>
    <s v="Vari (30/06/2025)"/>
    <n v="2343300010453"/>
    <n v="20250630"/>
    <s v="VV"/>
    <m/>
    <m/>
    <s v="A     - Avere"/>
    <n v="224735.1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1"/>
    <s v="463"/>
    <s v="430"/>
    <s v="430463"/>
    <s v="Classe di rischio 3"/>
    <m/>
    <s v="Classe di rischio 3"/>
  </r>
  <r>
    <n v="360641"/>
    <x v="2"/>
    <x v="2"/>
    <x v="44"/>
    <n v="53850"/>
    <n v="261"/>
    <s v="053850_261"/>
    <s v="Discovery Day"/>
    <s v="Mai valutato"/>
    <m/>
    <n v="202506308136404"/>
    <n v="2613300010205"/>
    <n v="20250630"/>
    <s v="AA - Bonifico da e per estero "/>
    <m/>
    <s v="012 - BULGARIA"/>
    <s v="D     - Dare"/>
    <n v="20000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6"/>
    <x v="1"/>
    <x v="0"/>
    <x v="0"/>
    <n v="4991786"/>
    <x v="1"/>
    <x v="0"/>
    <s v="999"/>
    <s v="430"/>
    <s v="430999"/>
    <m/>
    <s v="1"/>
    <s v="Classe di rischio 1"/>
  </r>
  <r>
    <n v="360640"/>
    <x v="4"/>
    <x v="4"/>
    <x v="44"/>
    <n v="53850"/>
    <n v="116"/>
    <s v="053850_116"/>
    <s v="Discovery Day"/>
    <s v="Mai valutato"/>
    <m/>
    <n v="202506308137825"/>
    <n v="2343300010453"/>
    <n v="20250630"/>
    <s v="48 - Bonifico in arrivo "/>
    <m/>
    <s v="086 - ITALIA"/>
    <s v="A     - Avere"/>
    <n v="1220000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639"/>
    <x v="5"/>
    <x v="5"/>
    <x v="44"/>
    <n v="53850"/>
    <n v="182"/>
    <s v="053850_182"/>
    <s v="Discovery Day"/>
    <s v="Mai valutato"/>
    <m/>
    <s v="Vari (30/06/2025)"/>
    <n v="1823300169301"/>
    <n v="20250630"/>
    <s v="03 - Versamento contante cassa continua "/>
    <m/>
    <m/>
    <s v="A     - Avere"/>
    <n v="34680"/>
    <n v="34680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x v="4"/>
    <x v="1"/>
    <x v="0"/>
    <n v="4284957"/>
    <x v="1"/>
    <x v="0"/>
    <s v="920"/>
    <s v="615"/>
    <s v="615920"/>
    <s v="Classe di rischio 6"/>
    <m/>
    <s v="Classe di rischio 6"/>
  </r>
  <r>
    <n v="360638"/>
    <x v="3"/>
    <x v="3"/>
    <x v="44"/>
    <n v="53850"/>
    <n v="267"/>
    <s v="053850_267"/>
    <s v="Discovery Day"/>
    <s v="Mai valutato"/>
    <m/>
    <s v="Vari (30/06/2025)"/>
    <n v="2673300010274"/>
    <n v="20250630"/>
    <s v="G1 - Versamento assegni tratti su altro intermediario "/>
    <m/>
    <m/>
    <s v="A     - Avere"/>
    <n v="109129.54"/>
    <n v="0"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637"/>
    <x v="4"/>
    <x v="4"/>
    <x v="44"/>
    <n v="53850"/>
    <n v="161"/>
    <s v="053850_161"/>
    <s v="Discovery Day"/>
    <s v="Mai valutato"/>
    <m/>
    <n v="202506308140067"/>
    <n v="1613300032598"/>
    <n v="20250630"/>
    <s v="25 - Pagamento di documenti su Italia "/>
    <m/>
    <m/>
    <s v="D     - Dare"/>
    <n v="527423.84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x v="4"/>
    <x v="1"/>
    <x v="0"/>
    <m/>
    <x v="0"/>
    <x v="0"/>
    <s v="999"/>
    <s v="430"/>
    <s v="430999"/>
    <m/>
    <s v="1"/>
    <s v="Classe di rischio 1"/>
  </r>
  <r>
    <n v="360636"/>
    <x v="4"/>
    <x v="4"/>
    <x v="44"/>
    <n v="53850"/>
    <n v="141"/>
    <s v="053850_141"/>
    <s v="Discovery Day"/>
    <s v="Mai valutato"/>
    <m/>
    <n v="202506308135943"/>
    <n v="1413300003985"/>
    <n v="20250630"/>
    <s v="26 - Bonifico in partenza "/>
    <m/>
    <s v="086 - ITALIA"/>
    <s v="D     - Dare"/>
    <n v="108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x v="4"/>
    <x v="1"/>
    <x v="0"/>
    <m/>
    <x v="0"/>
    <x v="0"/>
    <s v="931"/>
    <s v="430"/>
    <s v="430931"/>
    <s v="Classe di rischio 3"/>
    <m/>
    <s v="Classe di rischio 3"/>
  </r>
  <r>
    <n v="360635"/>
    <x v="3"/>
    <x v="3"/>
    <x v="44"/>
    <n v="53850"/>
    <n v="161"/>
    <s v="053850_161"/>
    <s v="Discovery Day"/>
    <s v="Mai valutato"/>
    <m/>
    <s v="Vari (30/06/2025)"/>
    <n v="1613300029653"/>
    <n v="20250630"/>
    <s v="VV"/>
    <m/>
    <m/>
    <s v="A     - Avere"/>
    <n v="259946.2"/>
    <n v="70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x v="1"/>
    <x v="0"/>
    <x v="0"/>
    <n v="4088769"/>
    <x v="1"/>
    <x v="1"/>
    <s v="464"/>
    <s v="430"/>
    <s v="430464"/>
    <s v="Classe di rischio 4"/>
    <m/>
    <s v="Classe di rischio 4"/>
  </r>
  <r>
    <n v="360634"/>
    <x v="5"/>
    <x v="5"/>
    <x v="44"/>
    <n v="53850"/>
    <n v="273"/>
    <s v="053850_273"/>
    <s v="Discovery Day"/>
    <s v="Mai valutato"/>
    <m/>
    <s v="Vari (30/06/2025)"/>
    <n v="2733300000498"/>
    <n v="20250630"/>
    <s v="03 - Versamento contante cassa continua "/>
    <m/>
    <m/>
    <s v="A     - Avere"/>
    <n v="28030"/>
    <n v="28030"/>
    <n v="1617415"/>
    <n v="2262360692"/>
    <s v="ALL GAMES S.R.L."/>
    <s v="430 - Imprese produttive"/>
    <s v="920 - ATTIVITÀ RIGUARDANTI LE LOTTERIE, LE SCOMMESSE, LE CASE DA GIOCO"/>
    <s v="086 - ITALIA"/>
    <n v="1765"/>
    <m/>
    <m/>
    <m/>
    <m/>
    <m/>
    <m/>
    <m/>
    <n v="0"/>
    <n v="202506"/>
    <x v="4"/>
    <x v="1"/>
    <x v="0"/>
    <n v="1617415"/>
    <x v="1"/>
    <x v="0"/>
    <s v="920"/>
    <s v="430"/>
    <s v="430920"/>
    <s v="Classe di rischio 4"/>
    <m/>
    <s v="Classe di rischio 4"/>
  </r>
  <r>
    <n v="360633"/>
    <x v="3"/>
    <x v="3"/>
    <x v="44"/>
    <n v="53850"/>
    <n v="192"/>
    <s v="053850_192"/>
    <s v="Discovery Day"/>
    <s v="Mai valutato"/>
    <m/>
    <s v="Vari (30/06/2025)"/>
    <n v="1923300180351"/>
    <n v="20250630"/>
    <s v="VV"/>
    <m/>
    <m/>
    <s v="A     - Avere"/>
    <n v="280497.34000000003"/>
    <n v="0"/>
    <n v="4365602"/>
    <n v="2514190731"/>
    <s v="TRE P. ABBIGLIAMENTO S.R.L."/>
    <s v="430 - Imprese produttive"/>
    <s v="141 - CONFEZIONE DI ARTICOLI DI ABBIGLIAMENTO (ESCLUSO ABBIGLIAMENTO IN PELLICCIA)"/>
    <s v="086 - ITALIA"/>
    <n v="1066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60632"/>
    <x v="3"/>
    <x v="3"/>
    <x v="44"/>
    <n v="53850"/>
    <n v="108"/>
    <s v="053850_108"/>
    <s v="Discovery Day"/>
    <s v="Mai valutato"/>
    <m/>
    <n v="202506308141731"/>
    <n v="1083306289591"/>
    <n v="20250630"/>
    <s v="G1 - Versamento assegni tratti su altro intermediario "/>
    <m/>
    <m/>
    <s v="A     - Avere"/>
    <n v="138780.82999999999"/>
    <n v="0"/>
    <n v="4709106"/>
    <n v="7342200727"/>
    <s v="ICON S.R.L."/>
    <s v="430 - Imprese produttive"/>
    <s v="141 - CONFEZIONE DI ARTICOLI DI ABBIGLIAMENTO (ESCLUSO ABBIGLIAMENTO IN PELLICCIA)"/>
    <s v="086 - ITALIA"/>
    <n v="111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631"/>
    <x v="3"/>
    <x v="3"/>
    <x v="44"/>
    <n v="53850"/>
    <n v="141"/>
    <s v="053850_141"/>
    <s v="Discovery Day"/>
    <s v="Mai valutato"/>
    <m/>
    <s v="Vari (30/06/2025)"/>
    <n v="1413300004393"/>
    <n v="20250630"/>
    <s v="VV"/>
    <m/>
    <m/>
    <s v="A     - Avere"/>
    <n v="244056.98"/>
    <n v="35370"/>
    <n v="3743595"/>
    <n v="5408440757"/>
    <s v="STUDIO ASSOCIATO NOTAI ALFREDO CILLO-MARIA E"/>
    <s v="501 - Istituzioni ed enti con finalita' di assistenza, beneficenza, istruzione, culturali, sindacali, politiche, sportive, ricreative e simili"/>
    <s v="691 - ATTIVITÀ DEGLI STUDI LEGALI"/>
    <s v="086 - ITALIA"/>
    <n v="862"/>
    <m/>
    <m/>
    <m/>
    <m/>
    <m/>
    <m/>
    <m/>
    <n v="0"/>
    <n v="202506"/>
    <x v="2"/>
    <x v="1"/>
    <x v="0"/>
    <n v="3743595"/>
    <x v="1"/>
    <x v="1"/>
    <s v="999"/>
    <s v="501"/>
    <s v="501999"/>
    <m/>
    <s v="1"/>
    <s v="Classe di rischio 3"/>
  </r>
  <r>
    <n v="360630"/>
    <x v="3"/>
    <x v="3"/>
    <x v="44"/>
    <n v="53850"/>
    <n v="170"/>
    <s v="053850_170"/>
    <s v="Discovery Day"/>
    <s v="Mai valutato"/>
    <m/>
    <s v="Vari (30/06/2025)"/>
    <n v="1703306288421"/>
    <n v="20250630"/>
    <s v="VV"/>
    <m/>
    <m/>
    <s v="A     - Avere"/>
    <n v="209016.74"/>
    <n v="0"/>
    <n v="4803929"/>
    <n v="4829870726"/>
    <s v="I NOBILI S.R.L."/>
    <s v="430 - Imprese produttive"/>
    <s v="251 - FABBRICAZIONE DI ELEMENTI DA COSTRUZIONE IN METALLO"/>
    <s v="086 - ITALIA"/>
    <n v="1696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60629"/>
    <x v="6"/>
    <x v="6"/>
    <x v="44"/>
    <n v="53850"/>
    <n v="121"/>
    <s v="053850_121"/>
    <s v="Discovery Day"/>
    <s v="Mai valutato"/>
    <m/>
    <n v="202506308138260"/>
    <n v="1213300002600"/>
    <n v="20250630"/>
    <s v="AA - Bonifico da e per estero "/>
    <m/>
    <s v="291 - KOSOVO"/>
    <s v="A     - Avere"/>
    <n v="17425.33000000000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4"/>
    <x v="1"/>
    <x v="0"/>
    <m/>
    <x v="0"/>
    <x v="0"/>
    <s v="463"/>
    <s v="430"/>
    <s v="430463"/>
    <s v="Classe di rischio 3"/>
    <m/>
    <s v="Classe di rischio 3"/>
  </r>
  <r>
    <n v="360628"/>
    <x v="3"/>
    <x v="3"/>
    <x v="44"/>
    <n v="53850"/>
    <n v="153"/>
    <s v="053850_153"/>
    <s v="Discovery Day"/>
    <s v="Mai valutato"/>
    <m/>
    <n v="202506308141995"/>
    <n v="1533300662905"/>
    <n v="20250630"/>
    <s v="G1 - Versamento assegni tratti su altro intermediario "/>
    <m/>
    <m/>
    <s v="A     - Avere"/>
    <n v="114534.2"/>
    <n v="0"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x v="1"/>
    <x v="0"/>
    <x v="0"/>
    <m/>
    <x v="0"/>
    <x v="0"/>
    <s v="236"/>
    <s v="430"/>
    <s v="430236"/>
    <s v="Classe di rischio 3"/>
    <m/>
    <s v="Classe di rischio 3"/>
  </r>
  <r>
    <n v="360627"/>
    <x v="5"/>
    <x v="5"/>
    <x v="44"/>
    <n v="53850"/>
    <n v="188"/>
    <s v="053850_188"/>
    <s v="Discovery Day"/>
    <s v="Mai valutato"/>
    <m/>
    <s v="Vari (30/06/2025)"/>
    <n v="1883300132629"/>
    <n v="20250630"/>
    <s v="VV"/>
    <m/>
    <m/>
    <s v="A     - Avere"/>
    <n v="21310.15"/>
    <n v="20000"/>
    <n v="4857436"/>
    <s v="LNELCU80H50E205W"/>
    <s v="LEONE LUCIA"/>
    <s v="614 - Artigiani"/>
    <s v="477 - COMMERCIO AL DETTAGLIO DI ALTRI PRODOTTI IN ESERCIZI SPECIALIZZATI"/>
    <s v="086 - ITALIA"/>
    <n v="637"/>
    <m/>
    <m/>
    <m/>
    <m/>
    <m/>
    <m/>
    <m/>
    <n v="0"/>
    <n v="202506"/>
    <x v="4"/>
    <x v="1"/>
    <x v="0"/>
    <n v="4857436"/>
    <x v="1"/>
    <x v="1"/>
    <s v="477"/>
    <s v="614"/>
    <s v="614477"/>
    <s v="Classe di rischio 6"/>
    <m/>
    <s v="Classe di rischio 6"/>
  </r>
  <r>
    <n v="360626"/>
    <x v="4"/>
    <x v="4"/>
    <x v="44"/>
    <n v="53850"/>
    <n v="99"/>
    <s v="053850_99"/>
    <s v="Discovery Day"/>
    <s v="Mai valutato"/>
    <m/>
    <n v="202506308138007"/>
    <n v="999361950301"/>
    <n v="20250630"/>
    <s v="48 - Bonifico in arrivo "/>
    <m/>
    <s v="086 - ITALIA"/>
    <s v="A     - Avere"/>
    <n v="4120000"/>
    <n v="0"/>
    <n v="3127396"/>
    <n v="80008870737"/>
    <s v="COMUNE DI PALAGIANO"/>
    <s v="173 - Amministrazioni comunali e unioni di comuni"/>
    <m/>
    <s v="086 - ITALIA"/>
    <n v="1627"/>
    <m/>
    <m/>
    <m/>
    <m/>
    <m/>
    <m/>
    <m/>
    <n v="0"/>
    <n v="202506"/>
    <x v="3"/>
    <x v="1"/>
    <x v="0"/>
    <m/>
    <x v="0"/>
    <x v="0"/>
    <s v="999"/>
    <s v="173"/>
    <s v="173999"/>
    <s v="Classe di rischio 0"/>
    <m/>
    <s v="Classe di rischio 0"/>
  </r>
  <r>
    <n v="360625"/>
    <x v="4"/>
    <x v="4"/>
    <x v="44"/>
    <n v="53850"/>
    <n v="188"/>
    <s v="053850_188"/>
    <s v="Discovery Day"/>
    <s v="Mai valutato"/>
    <m/>
    <n v="202506308137789"/>
    <n v="1883300059102"/>
    <n v="20250630"/>
    <s v="48 - Bonifico in arrivo "/>
    <m/>
    <s v="086 - ITALIA"/>
    <s v="A     - Avere"/>
    <n v="580000"/>
    <n v="0"/>
    <n v="3002280"/>
    <s v="RFFLGU51A01L049U"/>
    <s v="RUFFO LUIGI"/>
    <s v="600 - Famiglie consumatrici"/>
    <m/>
    <s v="086 - ITALIA"/>
    <n v="1112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24"/>
    <x v="4"/>
    <x v="4"/>
    <x v="44"/>
    <n v="53850"/>
    <n v="116"/>
    <s v="053850_116"/>
    <s v="Discovery Day"/>
    <s v="Mai valutato"/>
    <m/>
    <n v="202506308141819"/>
    <n v="2343300010453"/>
    <n v="20250630"/>
    <s v="15 - Rimborso finanziamenti "/>
    <m/>
    <m/>
    <s v="D     - Dare"/>
    <n v="600000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623"/>
    <x v="5"/>
    <x v="5"/>
    <x v="44"/>
    <n v="53850"/>
    <n v="268"/>
    <s v="053850_268"/>
    <s v="Discovery Day"/>
    <s v="Mai valutato"/>
    <m/>
    <n v="202506308141121"/>
    <n v="2683300004602"/>
    <n v="20250630"/>
    <s v="03 - Versamento contante cassa continua "/>
    <m/>
    <m/>
    <s v="A     - Avere"/>
    <n v="30100"/>
    <n v="30100"/>
    <n v="1695713"/>
    <s v="GRCNGL66C06F207O"/>
    <s v="GRECO ANGELO"/>
    <s v="615 - Altre famiglie produttrici"/>
    <s v="478 - COMMERCIO AL DETTAGLIO AMBULANTE"/>
    <s v="086 - ITALIA"/>
    <n v="1870"/>
    <m/>
    <m/>
    <m/>
    <m/>
    <m/>
    <m/>
    <m/>
    <n v="0"/>
    <n v="202506"/>
    <x v="2"/>
    <x v="1"/>
    <x v="0"/>
    <n v="1695713"/>
    <x v="1"/>
    <x v="0"/>
    <s v="999"/>
    <s v="615"/>
    <s v="615999"/>
    <m/>
    <s v="1"/>
    <s v="Classe di rischio 3"/>
  </r>
  <r>
    <n v="360622"/>
    <x v="4"/>
    <x v="4"/>
    <x v="44"/>
    <n v="53850"/>
    <n v="286"/>
    <s v="053850_286"/>
    <s v="Discovery Day"/>
    <s v="Mai valutato"/>
    <m/>
    <n v="202506308141505"/>
    <n v="2863300003269"/>
    <n v="20250630"/>
    <s v="50 - Pagamenti diversi"/>
    <m/>
    <m/>
    <s v="D     - Dare"/>
    <n v="625176.67000000004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60621"/>
    <x v="2"/>
    <x v="2"/>
    <x v="44"/>
    <n v="53850"/>
    <n v="261"/>
    <s v="053850_261"/>
    <s v="Discovery Day"/>
    <s v="Mai valutato"/>
    <m/>
    <s v="202506308826459L"/>
    <n v="2613300010205"/>
    <n v="20250630"/>
    <s v="AA - Bonifico da e per estero "/>
    <m/>
    <s v="012 - BULGARIA"/>
    <s v="D     - Dare"/>
    <n v="2069.75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6"/>
    <x v="1"/>
    <x v="0"/>
    <x v="0"/>
    <n v="4991786"/>
    <x v="1"/>
    <x v="0"/>
    <s v="999"/>
    <s v="430"/>
    <s v="430999"/>
    <m/>
    <s v="1"/>
    <s v="Classe di rischio 1"/>
  </r>
  <r>
    <n v="360620"/>
    <x v="2"/>
    <x v="2"/>
    <x v="44"/>
    <n v="53850"/>
    <n v="270"/>
    <s v="053850_270"/>
    <s v="Discovery Day"/>
    <s v="Mai valutato"/>
    <m/>
    <n v="202506308138274"/>
    <n v="2703300010883"/>
    <n v="20250630"/>
    <s v="AA - Bonifico da e per estero "/>
    <m/>
    <s v="262 - RUSSIA (FEDERAZIONE DI)"/>
    <s v="A     - Avere"/>
    <n v="14490.42"/>
    <n v="0"/>
    <n v="3741718"/>
    <n v="2347470680"/>
    <s v="BEPINK SRLS"/>
    <s v="430 - Imprese produttive"/>
    <s v="479 - COMMERCIO AL DETTAGLIO AL DI FUORI DI NEGOZI, BANCHI E MERCATI"/>
    <s v="086 - ITALIA"/>
    <n v="1560"/>
    <m/>
    <m/>
    <m/>
    <m/>
    <m/>
    <m/>
    <m/>
    <n v="0"/>
    <n v="202506"/>
    <x v="0"/>
    <x v="0"/>
    <x v="0"/>
    <m/>
    <x v="0"/>
    <x v="0"/>
    <s v="999"/>
    <s v="430"/>
    <s v="430999"/>
    <m/>
    <s v="1"/>
    <s v="Classe di rischio 1"/>
  </r>
  <r>
    <n v="360619"/>
    <x v="2"/>
    <x v="2"/>
    <x v="44"/>
    <n v="53850"/>
    <n v="129"/>
    <s v="053850_129"/>
    <s v="Discovery Day"/>
    <s v="Mai valutato"/>
    <m/>
    <n v="202506308136591"/>
    <n v="1293300002811"/>
    <n v="20250630"/>
    <s v="AA - Bonifico da e per estero "/>
    <m/>
    <s v="261 - CROAZIA"/>
    <s v="A     - Avere"/>
    <n v="9234.65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618"/>
    <x v="5"/>
    <x v="5"/>
    <x v="44"/>
    <n v="53850"/>
    <n v="105"/>
    <s v="053850_105"/>
    <s v="Discovery Day"/>
    <s v="Mai valutato"/>
    <m/>
    <s v="Vari (30/06/2025)"/>
    <n v="1053306295097"/>
    <n v="20250630"/>
    <s v="VV"/>
    <m/>
    <m/>
    <s v="A     - Avere"/>
    <n v="69625.11"/>
    <n v="41525"/>
    <n v="3722060"/>
    <n v="6848960727"/>
    <s v="CASEIFICIO SETTE COLLI S.R.L."/>
    <s v="430 - Imprese produttive"/>
    <s v="105 - INDUSTRIA LATTIERO-CASEARIA"/>
    <s v="086 - ITALIA"/>
    <n v="1058"/>
    <m/>
    <m/>
    <m/>
    <m/>
    <m/>
    <m/>
    <m/>
    <n v="0"/>
    <n v="202506"/>
    <x v="2"/>
    <x v="1"/>
    <x v="0"/>
    <n v="3722060"/>
    <x v="1"/>
    <x v="1"/>
    <s v="999"/>
    <s v="430"/>
    <s v="430999"/>
    <m/>
    <s v="1"/>
    <s v="Classe di rischio 1"/>
  </r>
  <r>
    <n v="360617"/>
    <x v="5"/>
    <x v="5"/>
    <x v="44"/>
    <n v="53850"/>
    <n v="282"/>
    <s v="053850_282"/>
    <s v="Discovery Day"/>
    <s v="Mai valutato"/>
    <m/>
    <s v="Vari (30/06/2025)"/>
    <n v="2823300000235"/>
    <n v="20250630"/>
    <s v="VV"/>
    <m/>
    <m/>
    <s v="A     - Avere"/>
    <n v="35587.279999999999"/>
    <n v="32370"/>
    <n v="1604851"/>
    <n v="2104830696"/>
    <s v="CENTRO FRUTTA CARPINETO S.R.L."/>
    <s v="430 - Imprese produttive"/>
    <s v="463 - COMMERCIO ALL'INGROSSO DI PRODOTTI ALIMENTARI, BEVANDE E PRODOTTI DEL TABACCO"/>
    <s v="086 - ITALIA"/>
    <n v="1387"/>
    <m/>
    <m/>
    <m/>
    <m/>
    <m/>
    <m/>
    <m/>
    <n v="0"/>
    <n v="202506"/>
    <x v="2"/>
    <x v="1"/>
    <x v="0"/>
    <n v="1604851"/>
    <x v="1"/>
    <x v="1"/>
    <s v="463"/>
    <s v="430"/>
    <s v="430463"/>
    <s v="Classe di rischio 3"/>
    <m/>
    <s v="Classe di rischio 3"/>
  </r>
  <r>
    <n v="360616"/>
    <x v="3"/>
    <x v="3"/>
    <x v="44"/>
    <n v="53850"/>
    <n v="128"/>
    <s v="053850_128"/>
    <s v="Discovery Day"/>
    <s v="Mai valutato"/>
    <m/>
    <s v="Vari (30/06/2025)"/>
    <n v="1283300001665"/>
    <n v="20250630"/>
    <s v="VV"/>
    <m/>
    <m/>
    <s v="A     - Avere"/>
    <n v="272187.84999999998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60615"/>
    <x v="3"/>
    <x v="3"/>
    <x v="44"/>
    <n v="53850"/>
    <n v="104"/>
    <s v="053850_104"/>
    <s v="Discovery Day"/>
    <s v="Mai valutato"/>
    <m/>
    <s v="Vari (30/06/2025)"/>
    <n v="1043304173550"/>
    <n v="20250630"/>
    <s v="VV"/>
    <m/>
    <m/>
    <s v="A     - Avere"/>
    <n v="192719.84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6"/>
    <x v="2"/>
    <x v="1"/>
    <x v="0"/>
    <n v="417355"/>
    <x v="1"/>
    <x v="1"/>
    <s v="464"/>
    <s v="430"/>
    <s v="430464"/>
    <s v="Classe di rischio 4"/>
    <m/>
    <s v="Classe di rischio 4"/>
  </r>
  <r>
    <n v="360614"/>
    <x v="5"/>
    <x v="5"/>
    <x v="44"/>
    <n v="53850"/>
    <n v="273"/>
    <s v="053850_273"/>
    <s v="Discovery Day"/>
    <s v="Mai valutato"/>
    <m/>
    <n v="202506308141372"/>
    <n v="2733300011096"/>
    <n v="20250630"/>
    <s v="03 - Versamento contante cassa continua "/>
    <m/>
    <m/>
    <s v="A     - Avere"/>
    <n v="38050"/>
    <n v="38050"/>
    <n v="4952222"/>
    <n v="2570330692"/>
    <s v="DE ROSA SOCIETA' A RESPONSABILITA' LIMITATA SEMPLIFICATA"/>
    <s v="430 - Imprese produttive"/>
    <s v="472 - COMMERCIO AL DETTAGLIO DI PRODOTTI ALIMENTARI, BEVANDE E TABACCO IN ESERCIZI SPECIALIZZATI"/>
    <s v="086 - ITALIA"/>
    <n v="1805"/>
    <m/>
    <m/>
    <m/>
    <m/>
    <m/>
    <m/>
    <m/>
    <n v="0"/>
    <n v="202506"/>
    <x v="2"/>
    <x v="1"/>
    <x v="0"/>
    <n v="4952222"/>
    <x v="1"/>
    <x v="0"/>
    <s v="999"/>
    <s v="430"/>
    <s v="430999"/>
    <m/>
    <s v="1"/>
    <s v="Classe di rischio 1"/>
  </r>
  <r>
    <n v="360613"/>
    <x v="3"/>
    <x v="3"/>
    <x v="44"/>
    <n v="53850"/>
    <n v="108"/>
    <s v="053850_108"/>
    <s v="Discovery Day"/>
    <s v="Mai valutato"/>
    <m/>
    <s v="Vari (30/06/2025)"/>
    <n v="1083300011180"/>
    <n v="20250630"/>
    <s v="VV"/>
    <m/>
    <m/>
    <s v="A     - Avere"/>
    <n v="152195.67000000001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60612"/>
    <x v="5"/>
    <x v="5"/>
    <x v="44"/>
    <n v="53850"/>
    <n v="268"/>
    <s v="053850_268"/>
    <s v="Discovery Day"/>
    <s v="Mai valutato"/>
    <m/>
    <s v="Vari (30/06/2025)"/>
    <n v="2683300010030"/>
    <n v="20250630"/>
    <s v="03 - Versamento contante cassa continua "/>
    <m/>
    <m/>
    <s v="A     - Avere"/>
    <n v="39450"/>
    <n v="3945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x v="1"/>
    <x v="0"/>
    <x v="0"/>
    <n v="4966939"/>
    <x v="1"/>
    <x v="0"/>
    <s v="999"/>
    <s v="615"/>
    <s v="615999"/>
    <m/>
    <s v="1"/>
    <s v="Classe di rischio 3"/>
  </r>
  <r>
    <n v="360611"/>
    <x v="2"/>
    <x v="2"/>
    <x v="44"/>
    <n v="53850"/>
    <n v="282"/>
    <s v="053850_282"/>
    <s v="Discovery Day"/>
    <s v="Mai valutato"/>
    <m/>
    <s v="202506308831919L"/>
    <n v="2823300001773"/>
    <n v="20250630"/>
    <s v="AA - Bonifico da e per estero "/>
    <m/>
    <s v="238 - ABU DHABI"/>
    <s v="A     - Avere"/>
    <n v="3000"/>
    <n v="0"/>
    <n v="1669726"/>
    <s v="CPRDNL87M08E435Y"/>
    <s v="CAPORALE DANILO"/>
    <s v="600 - Famiglie consumatrici"/>
    <m/>
    <s v="086 - ITALIA"/>
    <n v="1802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10"/>
    <x v="3"/>
    <x v="3"/>
    <x v="44"/>
    <n v="53850"/>
    <n v="102"/>
    <s v="053850_102"/>
    <s v="Discovery Day"/>
    <s v="Mai valutato"/>
    <m/>
    <s v="Vari (30/06/2025)"/>
    <n v="1023300660520"/>
    <n v="20250630"/>
    <s v="VV"/>
    <m/>
    <m/>
    <s v="A     - Avere"/>
    <n v="110530"/>
    <n v="4028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6"/>
    <x v="4"/>
    <x v="1"/>
    <x v="0"/>
    <n v="66052"/>
    <x v="1"/>
    <x v="1"/>
    <s v="999"/>
    <s v="430"/>
    <s v="430999"/>
    <m/>
    <s v="1"/>
    <s v="Classe di rischio 1"/>
  </r>
  <r>
    <n v="360609"/>
    <x v="4"/>
    <x v="4"/>
    <x v="44"/>
    <n v="53850"/>
    <n v="102"/>
    <s v="053850_102"/>
    <s v="Discovery Day"/>
    <s v="Mai valutato"/>
    <m/>
    <n v="202506308141571"/>
    <n v="1023308722935"/>
    <n v="20250630"/>
    <s v="26 - Bonifico in partenza "/>
    <m/>
    <s v="086 - ITALIA"/>
    <s v="D     - Dare"/>
    <n v="200050"/>
    <n v="0"/>
    <n v="612137"/>
    <s v="LGGRMR61M57A225X"/>
    <s v="LEGGIADRO ROSA MARIA"/>
    <s v="600 - Famiglie consumatrici"/>
    <m/>
    <s v="086 - ITALIA"/>
    <n v="1431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08"/>
    <x v="4"/>
    <x v="4"/>
    <x v="44"/>
    <n v="53850"/>
    <n v="122"/>
    <s v="053850_122"/>
    <s v="Discovery Day"/>
    <s v="Mai valutato"/>
    <m/>
    <n v="202506308138092"/>
    <n v="1223300001682"/>
    <n v="20250630"/>
    <s v="48 - Bonifico in arrivo "/>
    <m/>
    <s v="086 - ITALIA"/>
    <s v="A     - Avere"/>
    <n v="1223637.9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0607"/>
    <x v="3"/>
    <x v="3"/>
    <x v="44"/>
    <n v="53850"/>
    <n v="226"/>
    <s v="053850_226"/>
    <s v="Discovery Day"/>
    <s v="Mai valutato"/>
    <m/>
    <n v="202506308142356"/>
    <n v="2263300012166"/>
    <n v="20250630"/>
    <s v="G1 - Versamento assegni tratti su altro intermediario "/>
    <m/>
    <m/>
    <s v="A     - Avere"/>
    <n v="300000"/>
    <n v="0"/>
    <n v="3746195"/>
    <n v="8613210726"/>
    <s v="AB DI LEO S.R.L."/>
    <s v="430 - Imprese produttive"/>
    <s v="467 - COMMERCIO ALL'INGROSSO SPECIALIZZATO DI ALTRI PRODOTTI"/>
    <s v="086 - ITALIA"/>
    <n v="1530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606"/>
    <x v="5"/>
    <x v="5"/>
    <x v="44"/>
    <n v="53850"/>
    <n v="198"/>
    <s v="053850_198"/>
    <s v="Discovery Day"/>
    <s v="Mai valutato"/>
    <m/>
    <s v="Vari (30/06/2025)"/>
    <n v="1983300002455"/>
    <n v="20250630"/>
    <s v="03 - Versamento contante cassa continua "/>
    <m/>
    <m/>
    <s v="A     - Avere"/>
    <n v="32050"/>
    <n v="32050"/>
    <n v="4830377"/>
    <s v="LFNFNC81C24I158U"/>
    <s v="LUFINO FRANCESCO"/>
    <s v="615 - Altre famiglie produttrici"/>
    <s v="472 - COMMERCIO AL DETTAGLIO DI PRODOTTI ALIMENTARI, BEVANDE E TABACCO IN ESERCIZI SPECIALIZZATI"/>
    <s v="086 - ITALIA"/>
    <n v="1923"/>
    <m/>
    <m/>
    <m/>
    <m/>
    <m/>
    <m/>
    <m/>
    <n v="0"/>
    <n v="202506"/>
    <x v="1"/>
    <x v="0"/>
    <x v="0"/>
    <n v="4830377"/>
    <x v="1"/>
    <x v="0"/>
    <s v="999"/>
    <s v="615"/>
    <s v="615999"/>
    <m/>
    <s v="1"/>
    <s v="Classe di rischio 3"/>
  </r>
  <r>
    <n v="360605"/>
    <x v="2"/>
    <x v="2"/>
    <x v="44"/>
    <n v="53850"/>
    <n v="170"/>
    <s v="053850_170"/>
    <s v="Discovery Day"/>
    <s v="Mai valutato"/>
    <m/>
    <n v="202506308138263"/>
    <n v="1701200589881"/>
    <n v="20250630"/>
    <s v="AA - Bonifico da e per estero "/>
    <m/>
    <s v="261 - CROAZIA"/>
    <s v="D     - Dare"/>
    <n v="27167"/>
    <n v="0"/>
    <n v="589881"/>
    <n v="2615270721"/>
    <s v="BELLAVEDUTA SRL INDUSTRIA DEL MARMO E DEL GR"/>
    <s v="430 - Imprese produttive"/>
    <s v="237 - TAGLIO, MODELLATURA E FINITURA DI PIETRE"/>
    <s v="086 - ITALIA"/>
    <n v="1920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604"/>
    <x v="3"/>
    <x v="3"/>
    <x v="44"/>
    <n v="53850"/>
    <n v="102"/>
    <s v="053850_102"/>
    <s v="Discovery Day"/>
    <s v="Mai valutato"/>
    <m/>
    <n v="202506308141600"/>
    <n v="1023306272895"/>
    <n v="20250630"/>
    <s v="G7 - Versamento assegno circolare altro intermediario "/>
    <m/>
    <m/>
    <s v="A     - Avere"/>
    <n v="433000"/>
    <n v="0"/>
    <n v="135922"/>
    <s v="CSAPQL52M02A225K"/>
    <s v="CASO PASQUALE"/>
    <s v="600 - Famiglie consumatrici"/>
    <m/>
    <s v="086 - ITALIA"/>
    <n v="133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603"/>
    <x v="4"/>
    <x v="4"/>
    <x v="44"/>
    <n v="53850"/>
    <n v="116"/>
    <s v="053850_116"/>
    <s v="Discovery Day"/>
    <s v="Mai valutato"/>
    <m/>
    <n v="202506308141818"/>
    <n v="2343300010453"/>
    <n v="20250630"/>
    <s v="15 - Rimborso finanziamenti "/>
    <m/>
    <m/>
    <s v="D     - Dare"/>
    <n v="300000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602"/>
    <x v="5"/>
    <x v="5"/>
    <x v="44"/>
    <n v="53850"/>
    <n v="269"/>
    <s v="053850_269"/>
    <s v="Discovery Day"/>
    <s v="Mai valutato"/>
    <m/>
    <n v="202506308142455"/>
    <n v="2693300001614"/>
    <n v="20250630"/>
    <s v="D1 - Versamento di contante "/>
    <m/>
    <m/>
    <s v="A     - Avere"/>
    <n v="32780"/>
    <n v="3278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6"/>
    <x v="4"/>
    <x v="1"/>
    <x v="0"/>
    <n v="1695085"/>
    <x v="1"/>
    <x v="0"/>
    <s v="999"/>
    <s v="615"/>
    <s v="615999"/>
    <m/>
    <s v="1"/>
    <s v="Classe di rischio 3"/>
  </r>
  <r>
    <n v="360601"/>
    <x v="4"/>
    <x v="4"/>
    <x v="44"/>
    <n v="53850"/>
    <n v="121"/>
    <s v="053850_121"/>
    <s v="Discovery Day"/>
    <s v="Mai valutato"/>
    <m/>
    <n v="202506308137640"/>
    <n v="1213300002600"/>
    <n v="20250630"/>
    <s v="48 - Bonifico in arrivo "/>
    <m/>
    <s v="086 - ITALIA"/>
    <s v="A     - Avere"/>
    <n v="1250596.58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4"/>
    <x v="1"/>
    <x v="0"/>
    <m/>
    <x v="0"/>
    <x v="0"/>
    <s v="463"/>
    <s v="430"/>
    <s v="430463"/>
    <s v="Classe di rischio 3"/>
    <m/>
    <s v="Classe di rischio 3"/>
  </r>
  <r>
    <n v="360600"/>
    <x v="4"/>
    <x v="4"/>
    <x v="44"/>
    <n v="53850"/>
    <n v="116"/>
    <s v="053850_116"/>
    <s v="Discovery Day"/>
    <s v="Mai valutato"/>
    <m/>
    <n v="202506308140882"/>
    <n v="2343300010453"/>
    <n v="20250630"/>
    <s v="15 - Rimborso finanziamenti "/>
    <m/>
    <m/>
    <s v="D     - Dare"/>
    <n v="313743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599"/>
    <x v="3"/>
    <x v="3"/>
    <x v="44"/>
    <n v="53850"/>
    <n v="287"/>
    <s v="053850_287"/>
    <s v="Discovery Day"/>
    <s v="Mai valutato"/>
    <m/>
    <s v="Vari (30/06/2025)"/>
    <n v="2873300001853"/>
    <n v="20250630"/>
    <s v="G1 - Versamento assegni tratti su altro intermediario "/>
    <m/>
    <m/>
    <s v="A     - Avere"/>
    <n v="100855.32"/>
    <n v="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x v="2"/>
    <x v="1"/>
    <x v="0"/>
    <n v="3722213"/>
    <x v="1"/>
    <x v="0"/>
    <s v="463"/>
    <s v="430"/>
    <s v="430463"/>
    <s v="Classe di rischio 3"/>
    <m/>
    <s v="Classe di rischio 3"/>
  </r>
  <r>
    <n v="360598"/>
    <x v="3"/>
    <x v="3"/>
    <x v="44"/>
    <n v="53850"/>
    <n v="175"/>
    <s v="053850_175"/>
    <s v="Discovery Day"/>
    <s v="Mai valutato"/>
    <m/>
    <s v="Vari (30/06/2025)"/>
    <n v="1753302203127"/>
    <n v="20250630"/>
    <s v="VV"/>
    <m/>
    <m/>
    <s v="A     - Avere"/>
    <n v="191299.57"/>
    <n v="28600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x v="2"/>
    <x v="1"/>
    <x v="0"/>
    <n v="4160138"/>
    <x v="1"/>
    <x v="1"/>
    <s v="999"/>
    <s v="430"/>
    <s v="430999"/>
    <m/>
    <s v="1"/>
    <s v="Classe di rischio 1"/>
  </r>
  <r>
    <n v="360597"/>
    <x v="4"/>
    <x v="4"/>
    <x v="44"/>
    <n v="53850"/>
    <n v="120"/>
    <s v="053850_120"/>
    <s v="Discovery Day"/>
    <s v="Mai valutato"/>
    <m/>
    <n v="202506308138091"/>
    <n v="1203300002401"/>
    <n v="20250630"/>
    <s v="48 - Bonifico in arrivo "/>
    <m/>
    <s v="086 - ITALIA"/>
    <s v="A     - Avere"/>
    <n v="2500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x v="4"/>
    <x v="1"/>
    <x v="0"/>
    <n v="613876"/>
    <x v="1"/>
    <x v="0"/>
    <s v="999"/>
    <s v="500"/>
    <s v="500999"/>
    <m/>
    <s v="1"/>
    <s v="Classe di rischio 3"/>
  </r>
  <r>
    <n v="360596"/>
    <x v="5"/>
    <x v="5"/>
    <x v="44"/>
    <n v="53850"/>
    <n v="164"/>
    <s v="053850_164"/>
    <s v="Discovery Day"/>
    <s v="Mai valutato"/>
    <m/>
    <n v="202506308142044"/>
    <n v="1643300370909"/>
    <n v="20250630"/>
    <s v="D1 - Versamento di contante "/>
    <m/>
    <m/>
    <s v="A     - Avere"/>
    <n v="38250"/>
    <n v="38250"/>
    <n v="816125"/>
    <s v="TDSFNC88R45H926X"/>
    <s v="TEDESCO FRANCESCA"/>
    <s v="600 - Famiglie consumatrici"/>
    <m/>
    <s v="086 - ITALIA"/>
    <n v="79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95"/>
    <x v="2"/>
    <x v="2"/>
    <x v="44"/>
    <n v="53850"/>
    <n v="149"/>
    <s v="053850_149"/>
    <s v="Discovery Day"/>
    <s v="Mai valutato"/>
    <m/>
    <s v="202506308829276L"/>
    <n v="1493300663564"/>
    <n v="20250630"/>
    <s v="AA - Bonifico da e per estero "/>
    <m/>
    <s v="012 - BULGARIA"/>
    <s v="A     - Avere"/>
    <n v="1920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594"/>
    <x v="5"/>
    <x v="5"/>
    <x v="44"/>
    <n v="53850"/>
    <n v="128"/>
    <s v="053850_128"/>
    <s v="Discovery Day"/>
    <s v="Mai valutato"/>
    <m/>
    <n v="202506288138642"/>
    <n v="1283300003941"/>
    <n v="20250628"/>
    <s v="03 - Versamento contante cassa continua "/>
    <m/>
    <m/>
    <s v="A     - Avere"/>
    <n v="30480"/>
    <n v="3048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x v="4"/>
    <x v="1"/>
    <x v="0"/>
    <n v="4916499"/>
    <x v="1"/>
    <x v="0"/>
    <s v="999"/>
    <s v="615"/>
    <s v="615999"/>
    <m/>
    <s v="1"/>
    <s v="Classe di rischio 3"/>
  </r>
  <r>
    <n v="360593"/>
    <x v="5"/>
    <x v="5"/>
    <x v="44"/>
    <n v="53850"/>
    <n v="102"/>
    <s v="053850_102"/>
    <s v="Discovery Day"/>
    <s v="Mai valutato"/>
    <m/>
    <s v="Vari (28/06/2025)"/>
    <n v="1023308722503"/>
    <n v="20250628"/>
    <s v="03 - Versamento contante cassa continua "/>
    <m/>
    <m/>
    <s v="A     - Avere"/>
    <n v="26040"/>
    <n v="2604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60592"/>
    <x v="7"/>
    <x v="7"/>
    <x v="44"/>
    <n v="53850"/>
    <n v="99"/>
    <s v="053850_99"/>
    <s v="Discovery Day"/>
    <s v="Mai valutato"/>
    <m/>
    <n v="202506278141544"/>
    <m/>
    <n v="20250627"/>
    <s v="SPECIAL"/>
    <m/>
    <m/>
    <s v="D     - Dare"/>
    <n v="12891.47"/>
    <n v="0"/>
    <n v="1673037"/>
    <s v="SCRGPP65R16C298V"/>
    <s v="SCIARTILLI GIUSEPPE"/>
    <s v="600 - Famiglie consumatrici"/>
    <m/>
    <s v="086 - ITALIA"/>
    <n v="1295"/>
    <m/>
    <m/>
    <m/>
    <m/>
    <m/>
    <m/>
    <m/>
    <n v="0"/>
    <n v="202506"/>
    <x v="0"/>
    <x v="0"/>
    <x v="1"/>
    <m/>
    <x v="0"/>
    <x v="1"/>
    <s v="999"/>
    <s v="600"/>
    <s v="600999"/>
    <s v="Classe di rischio 7"/>
    <m/>
    <s v="Classe di rischio 7"/>
  </r>
  <r>
    <n v="360591"/>
    <x v="7"/>
    <x v="7"/>
    <x v="44"/>
    <n v="53850"/>
    <n v="99"/>
    <s v="053850_99"/>
    <s v="Discovery Day"/>
    <s v="Mai valutato"/>
    <m/>
    <n v="202506278141544"/>
    <m/>
    <n v="20250627"/>
    <s v="SPECIAL"/>
    <m/>
    <m/>
    <s v="D     - Dare"/>
    <n v="12891.47"/>
    <n v="0"/>
    <n v="1673038"/>
    <s v="VRGNNA68R48C298I"/>
    <s v="VIRGILIO ANNA"/>
    <s v="600 - Famiglie consumatrici"/>
    <m/>
    <s v="086 - ITALIA"/>
    <n v="1295"/>
    <m/>
    <m/>
    <m/>
    <m/>
    <m/>
    <m/>
    <m/>
    <n v="0"/>
    <n v="202506"/>
    <x v="0"/>
    <x v="0"/>
    <x v="1"/>
    <m/>
    <x v="0"/>
    <x v="1"/>
    <s v="999"/>
    <s v="600"/>
    <s v="600999"/>
    <s v="Classe di rischio 7"/>
    <m/>
    <s v="Classe di rischio 7"/>
  </r>
  <r>
    <n v="360590"/>
    <x v="4"/>
    <x v="4"/>
    <x v="45"/>
    <n v="53850"/>
    <n v="188"/>
    <s v="053850_188"/>
    <s v="Discovery Day"/>
    <s v="Mai valutato"/>
    <m/>
    <n v="202506308130328"/>
    <n v="1883309518885"/>
    <n v="20250630"/>
    <s v="BE - Sottoscrizione titoli e/o fondi comuni "/>
    <m/>
    <m/>
    <s v="D     - Dare"/>
    <n v="170000"/>
    <n v="0"/>
    <n v="3062147"/>
    <s v="FLLNNL64L68L049B"/>
    <s v="FULLONE ANTONELLA"/>
    <s v="615 - Altre famiglie produttrici"/>
    <s v="477 - COMMERCIO AL DETTAGLIO DI ALTRI PRODOTTI IN ESERCIZI SPECIALIZZATI"/>
    <s v="086 - ITALIA"/>
    <n v="637"/>
    <m/>
    <m/>
    <m/>
    <m/>
    <m/>
    <m/>
    <m/>
    <n v="0"/>
    <n v="202506"/>
    <x v="4"/>
    <x v="1"/>
    <x v="0"/>
    <n v="3062147"/>
    <x v="1"/>
    <x v="0"/>
    <s v="477"/>
    <s v="615"/>
    <s v="615477"/>
    <s v="Classe di rischio 6"/>
    <m/>
    <s v="Classe di rischio 6"/>
  </r>
  <r>
    <n v="360589"/>
    <x v="6"/>
    <x v="6"/>
    <x v="45"/>
    <n v="53850"/>
    <n v="252"/>
    <s v="053850_252"/>
    <s v="Discovery Day"/>
    <s v="Mai valutato"/>
    <m/>
    <n v="202506278130095"/>
    <n v="2523300011629"/>
    <n v="20250627"/>
    <s v="AA - Bonifico da e per estero "/>
    <m/>
    <s v="071 - SVIZZERA"/>
    <s v="A     - Avere"/>
    <n v="50000"/>
    <n v="0"/>
    <n v="3720847"/>
    <n v="2732060740"/>
    <s v="MASSERIA MAVIGLIA SOCIETA' AGRICOLA S.R.L."/>
    <s v="430 - Imprese produttive"/>
    <s v="012 - COLTIVAZIONE DI COLTURE PERMANENTI"/>
    <s v="086 - ITALIA"/>
    <n v="1094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60588"/>
    <x v="5"/>
    <x v="5"/>
    <x v="45"/>
    <n v="53850"/>
    <n v="109"/>
    <s v="053850_109"/>
    <s v="Discovery Day"/>
    <s v="Mai valutato"/>
    <m/>
    <s v="Vari (27/06/2025)"/>
    <n v="1093306675356"/>
    <n v="20250627"/>
    <s v="D1 - Versamento di contante "/>
    <m/>
    <m/>
    <s v="A     - Avere"/>
    <n v="49500"/>
    <n v="495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6"/>
    <x v="1"/>
    <x v="0"/>
    <x v="0"/>
    <n v="4976123"/>
    <x v="1"/>
    <x v="0"/>
    <s v="477"/>
    <s v="430"/>
    <s v="430477"/>
    <s v="Classe di rischio 3"/>
    <m/>
    <s v="Classe di rischio 3"/>
  </r>
  <r>
    <n v="360587"/>
    <x v="4"/>
    <x v="4"/>
    <x v="45"/>
    <n v="53850"/>
    <n v="286"/>
    <s v="053850_286"/>
    <s v="Discovery Day"/>
    <s v="Mai valutato"/>
    <m/>
    <n v="202506278131044"/>
    <n v="2863300010173"/>
    <n v="20250627"/>
    <s v="50 - Pagamenti diversi"/>
    <m/>
    <m/>
    <s v="D     - Dare"/>
    <n v="200000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60586"/>
    <x v="4"/>
    <x v="4"/>
    <x v="45"/>
    <n v="53850"/>
    <n v="273"/>
    <s v="053850_273"/>
    <s v="Discovery Day"/>
    <s v="Mai valutato"/>
    <m/>
    <n v="202506278131102"/>
    <n v="2733300002304"/>
    <n v="20250627"/>
    <s v="SPECIAL"/>
    <m/>
    <m/>
    <s v="D     - Dare"/>
    <n v="12891.47"/>
    <n v="0"/>
    <n v="1673037"/>
    <s v="SCRGPP65R16C298V"/>
    <s v="SCIARTILLI GIUSEPPE"/>
    <s v="600 - Famiglie consumatrici"/>
    <m/>
    <s v="086 - ITALIA"/>
    <n v="1295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585"/>
    <x v="2"/>
    <x v="2"/>
    <x v="45"/>
    <n v="53850"/>
    <n v="137"/>
    <s v="053850_137"/>
    <s v="Discovery Day"/>
    <s v="Mai valutato"/>
    <m/>
    <n v="202506278128569"/>
    <n v="1373300005994"/>
    <n v="20250627"/>
    <s v="AA - Bonifico da e per estero "/>
    <m/>
    <s v="261 - CROAZIA"/>
    <s v="D     - Dare"/>
    <n v="47690.76"/>
    <n v="0"/>
    <n v="3734872"/>
    <n v="1896670708"/>
    <s v="MOLISE SUINI SRL"/>
    <s v="430 - Imprese produttive"/>
    <s v="014 - ALLEVAMENTO DI ANIMALI"/>
    <s v="086 - ITALIA"/>
    <n v="1867"/>
    <m/>
    <m/>
    <m/>
    <m/>
    <m/>
    <m/>
    <m/>
    <n v="0"/>
    <n v="202506"/>
    <x v="2"/>
    <x v="1"/>
    <x v="0"/>
    <n v="3734872"/>
    <x v="1"/>
    <x v="0"/>
    <s v="999"/>
    <s v="430"/>
    <s v="430999"/>
    <m/>
    <s v="1"/>
    <s v="Classe di rischio 1"/>
  </r>
  <r>
    <n v="360584"/>
    <x v="4"/>
    <x v="4"/>
    <x v="45"/>
    <n v="53850"/>
    <n v="284"/>
    <s v="053850_284"/>
    <s v="Discovery Day"/>
    <s v="Mai valutato"/>
    <m/>
    <s v="202506278779818L"/>
    <n v="2843300010620"/>
    <n v="20250627"/>
    <s v="SPECIAL"/>
    <m/>
    <m/>
    <s v="D     - Dare"/>
    <n v="1078.5"/>
    <n v="0"/>
    <n v="3741186"/>
    <s v="DLNPLA71C58C632Z"/>
    <s v="DE LEONARDIS DI RUSCIO PAOLA"/>
    <s v="600 - Famiglie consumatrici"/>
    <m/>
    <s v="086 - ITALIA"/>
    <m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583"/>
    <x v="4"/>
    <x v="4"/>
    <x v="45"/>
    <n v="53850"/>
    <n v="109"/>
    <s v="053850_109"/>
    <s v="Discovery Day"/>
    <s v="Mai valutato"/>
    <m/>
    <n v="202506278129390"/>
    <n v="1093306674001"/>
    <n v="20250627"/>
    <s v="48 - Bonifico in arrivo "/>
    <m/>
    <s v="086 - ITALIA"/>
    <s v="A     - Avere"/>
    <n v="70675.75"/>
    <n v="0"/>
    <n v="4125303"/>
    <s v="RCCNLN60L16A662C"/>
    <s v="RUCCIA NICOLA ANTONIO"/>
    <s v="615 - Altre famiglie produttrici"/>
    <s v="477 - COMMERCIO AL DETTAGLIO DI ALTRI PRODOTTI IN ESERCIZI SPECIALIZZATI"/>
    <s v="086 - ITALIA"/>
    <n v="783"/>
    <m/>
    <m/>
    <m/>
    <m/>
    <m/>
    <m/>
    <m/>
    <n v="0"/>
    <n v="202506"/>
    <x v="1"/>
    <x v="0"/>
    <x v="0"/>
    <m/>
    <x v="0"/>
    <x v="0"/>
    <s v="477"/>
    <s v="615"/>
    <s v="615477"/>
    <s v="Classe di rischio 6"/>
    <m/>
    <s v="Classe di rischio 6"/>
  </r>
  <r>
    <n v="360582"/>
    <x v="4"/>
    <x v="4"/>
    <x v="45"/>
    <n v="53850"/>
    <n v="136"/>
    <s v="053850_136"/>
    <s v="Discovery Day"/>
    <s v="Mai valutato"/>
    <m/>
    <n v="202506278130294"/>
    <n v="1363300003325"/>
    <n v="20250627"/>
    <s v="BL - Rimborso finanziamento import"/>
    <m/>
    <m/>
    <s v="D     - Dare"/>
    <n v="10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60581"/>
    <x v="4"/>
    <x v="4"/>
    <x v="45"/>
    <n v="53850"/>
    <n v="103"/>
    <s v="053850_103"/>
    <s v="Discovery Day"/>
    <s v="Mai valutato"/>
    <m/>
    <n v="202506278131141"/>
    <n v="1035500406320"/>
    <n v="20250627"/>
    <s v="BT - Rimborso su libretti a risparmio "/>
    <m/>
    <m/>
    <s v="D     - Dare"/>
    <n v="190550"/>
    <n v="0"/>
    <n v="50918"/>
    <s v="LCRDNC40A63E155G"/>
    <s v="LUCARELLI DOMENIC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80"/>
    <x v="4"/>
    <x v="4"/>
    <x v="45"/>
    <n v="53850"/>
    <n v="181"/>
    <s v="053850_181"/>
    <s v="Discovery Day"/>
    <s v="Mai valutato"/>
    <m/>
    <n v="202506278129383"/>
    <n v="1813301028560"/>
    <n v="20250627"/>
    <s v="48 - Bonifico in arrivo "/>
    <m/>
    <s v="086 - ITALIA"/>
    <s v="A     - Avere"/>
    <n v="94515"/>
    <n v="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6"/>
    <x v="1"/>
    <x v="0"/>
    <x v="0"/>
    <n v="454268"/>
    <x v="1"/>
    <x v="0"/>
    <s v="477"/>
    <s v="615"/>
    <s v="615477"/>
    <s v="Classe di rischio 6"/>
    <m/>
    <s v="Classe di rischio 6"/>
  </r>
  <r>
    <n v="360579"/>
    <x v="3"/>
    <x v="3"/>
    <x v="45"/>
    <n v="53850"/>
    <n v="103"/>
    <s v="053850_103"/>
    <s v="Discovery Day"/>
    <s v="Mai valutato"/>
    <m/>
    <n v="202506278131152"/>
    <n v="1033306979706"/>
    <n v="20250627"/>
    <s v="G1 - Versamento assegni tratti su altro intermediario "/>
    <m/>
    <m/>
    <s v="A     - Avere"/>
    <n v="139960"/>
    <n v="0"/>
    <n v="4963589"/>
    <n v="8530200727"/>
    <s v="P.L.P. COSTRUZIONI S.R.L."/>
    <s v="430 - Imprese produttive"/>
    <s v="412 - COSTRUZIONE DI EDIFICI RESIDENZIALI E NON RESIDENZIALI"/>
    <s v="086 - ITALIA"/>
    <n v="1175"/>
    <m/>
    <m/>
    <m/>
    <m/>
    <m/>
    <m/>
    <m/>
    <n v="0"/>
    <n v="202506"/>
    <x v="2"/>
    <x v="1"/>
    <x v="0"/>
    <m/>
    <x v="0"/>
    <x v="0"/>
    <s v="412"/>
    <s v="430"/>
    <s v="430412"/>
    <s v="Classe di rischio 3"/>
    <m/>
    <s v="Classe di rischio 3"/>
  </r>
  <r>
    <n v="360578"/>
    <x v="3"/>
    <x v="3"/>
    <x v="45"/>
    <n v="53850"/>
    <n v="198"/>
    <s v="053850_198"/>
    <s v="Discovery Day"/>
    <s v="Mai valutato"/>
    <m/>
    <n v="202506278131535"/>
    <n v="1983300003802"/>
    <n v="20250627"/>
    <s v="G7 - Versamento assegno circolare altro intermediario "/>
    <m/>
    <m/>
    <s v="A     - Avere"/>
    <n v="225000"/>
    <n v="0"/>
    <n v="3732842"/>
    <s v="MNGMRP02C69H926F"/>
    <s v="MANGIACAVALLO MARIAPI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77"/>
    <x v="3"/>
    <x v="3"/>
    <x v="45"/>
    <n v="53850"/>
    <n v="282"/>
    <s v="053850_282"/>
    <s v="Discovery Day"/>
    <s v="Mai valutato"/>
    <m/>
    <n v="202506278131668"/>
    <n v="2823300002892"/>
    <n v="20250627"/>
    <s v="G1 - Versamento assegni tratti su altro intermediario "/>
    <m/>
    <m/>
    <s v="A     - Avere"/>
    <n v="135118.66"/>
    <n v="0"/>
    <n v="1706728"/>
    <n v="2018990693"/>
    <s v="CERINO SRL"/>
    <s v="430 - Imprese produttive"/>
    <s v="467 - COMMERCIO ALL'INGROSSO SPECIALIZZATO DI ALTRI PRODOTTI"/>
    <s v="086 - ITALIA"/>
    <n v="1877"/>
    <m/>
    <m/>
    <m/>
    <m/>
    <m/>
    <m/>
    <m/>
    <n v="0"/>
    <n v="202506"/>
    <x v="4"/>
    <x v="1"/>
    <x v="0"/>
    <m/>
    <x v="0"/>
    <x v="0"/>
    <s v="999"/>
    <s v="430"/>
    <s v="430999"/>
    <m/>
    <s v="1"/>
    <s v="Classe di rischio 1"/>
  </r>
  <r>
    <n v="360576"/>
    <x v="4"/>
    <x v="4"/>
    <x v="45"/>
    <n v="53850"/>
    <n v="102"/>
    <s v="053850_102"/>
    <s v="Discovery Day"/>
    <s v="Mai valutato"/>
    <m/>
    <n v="202506278128202"/>
    <n v="1023308719178"/>
    <n v="20250627"/>
    <s v="26 - Bonifico in partenza "/>
    <m/>
    <s v="086 - ITALIA"/>
    <s v="D     - Dare"/>
    <n v="700000"/>
    <n v="0"/>
    <n v="474476"/>
    <n v="3470340724"/>
    <s v="CEREALSUD SOCIETA' A RESPONSABILITA' LIMITAT"/>
    <s v="430 - Imprese produttive"/>
    <s v="462 - COMMERCIO ALL'INGROSSO DI MATERIE PRIME AGRICOLE E DI ANIMALI VIVI"/>
    <s v="086 - ITALIA"/>
    <n v="1203"/>
    <m/>
    <m/>
    <m/>
    <m/>
    <m/>
    <m/>
    <m/>
    <n v="0"/>
    <n v="202506"/>
    <x v="2"/>
    <x v="1"/>
    <x v="0"/>
    <m/>
    <x v="0"/>
    <x v="0"/>
    <s v="462"/>
    <s v="430"/>
    <s v="430462"/>
    <s v="Classe di rischio 3"/>
    <m/>
    <s v="Classe di rischio 3"/>
  </r>
  <r>
    <n v="360575"/>
    <x v="4"/>
    <x v="4"/>
    <x v="45"/>
    <n v="53850"/>
    <n v="102"/>
    <s v="053850_102"/>
    <s v="Discovery Day"/>
    <s v="Mai valutato"/>
    <m/>
    <n v="202506278128139"/>
    <n v="1023308727124"/>
    <n v="20250627"/>
    <s v="26 - Bonifico in partenza "/>
    <m/>
    <s v="086 - ITALIA"/>
    <s v="D     - Dare"/>
    <n v="1000000"/>
    <n v="0"/>
    <n v="4988668"/>
    <n v="8329460722"/>
    <s v="PARCO DEI MILLE SOCIETA' A RESPONSABILITA' L"/>
    <s v="430 - Imprese produttive"/>
    <s v="412 - COSTRUZIONE DI EDIFICI RESIDENZIALI E NON RESIDENZIALI"/>
    <s v="086 - ITALIA"/>
    <n v="739"/>
    <m/>
    <m/>
    <m/>
    <m/>
    <m/>
    <m/>
    <m/>
    <n v="0"/>
    <n v="202506"/>
    <x v="2"/>
    <x v="1"/>
    <x v="0"/>
    <m/>
    <x v="0"/>
    <x v="0"/>
    <s v="412"/>
    <s v="430"/>
    <s v="430412"/>
    <s v="Classe di rischio 3"/>
    <m/>
    <s v="Classe di rischio 3"/>
  </r>
  <r>
    <n v="360574"/>
    <x v="4"/>
    <x v="4"/>
    <x v="45"/>
    <n v="53850"/>
    <n v="111"/>
    <s v="053850_111"/>
    <s v="Discovery Day"/>
    <s v="Mai valutato"/>
    <m/>
    <n v="202506278129866"/>
    <n v="1113304365120"/>
    <n v="20250627"/>
    <s v="27 - Emolumenti "/>
    <m/>
    <m/>
    <s v="A     - Avere"/>
    <n v="156622.06"/>
    <n v="0"/>
    <n v="436512"/>
    <s v="PRTFNC62L23E326P"/>
    <s v="PARATO FRANCESCO"/>
    <s v="600 - Famiglie consumatrici"/>
    <m/>
    <s v="086 - ITALIA"/>
    <n v="59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73"/>
    <x v="5"/>
    <x v="5"/>
    <x v="45"/>
    <n v="53850"/>
    <n v="154"/>
    <s v="053850_154"/>
    <s v="Discovery Day"/>
    <s v="Mai valutato"/>
    <m/>
    <n v="202506278131361"/>
    <n v="1543300004970"/>
    <n v="20250627"/>
    <s v="D1 - Versamento di contante "/>
    <m/>
    <m/>
    <s v="A     - Avere"/>
    <n v="50000"/>
    <n v="50000"/>
    <n v="3730276"/>
    <n v="5273520659"/>
    <s v="CENTRO ISOLA VERDE S.R.L."/>
    <s v="430 - Imprese produttive"/>
    <s v="932 - ATTIVITÀ RICREATIVE E DI DIVERTIMENTO"/>
    <s v="086 - ITALIA"/>
    <n v="741"/>
    <m/>
    <m/>
    <m/>
    <m/>
    <m/>
    <m/>
    <m/>
    <n v="0"/>
    <n v="202506"/>
    <x v="2"/>
    <x v="1"/>
    <x v="0"/>
    <n v="3730276"/>
    <x v="1"/>
    <x v="0"/>
    <s v="932"/>
    <s v="430"/>
    <s v="430932"/>
    <s v="Classe di rischio 3"/>
    <m/>
    <s v="Classe di rischio 3"/>
  </r>
  <r>
    <n v="360572"/>
    <x v="4"/>
    <x v="4"/>
    <x v="45"/>
    <n v="53850"/>
    <n v="286"/>
    <s v="053850_286"/>
    <s v="Discovery Day"/>
    <s v="Mai valutato"/>
    <m/>
    <n v="202506278131044"/>
    <n v="2863300010173"/>
    <n v="20250627"/>
    <s v="50 - Pagamenti diversi"/>
    <m/>
    <m/>
    <s v="D     - Dare"/>
    <n v="200000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60571"/>
    <x v="5"/>
    <x v="5"/>
    <x v="45"/>
    <n v="53850"/>
    <n v="120"/>
    <s v="053850_120"/>
    <s v="Discovery Day"/>
    <s v="Mai valutato"/>
    <m/>
    <s v="Vari (27/06/2025)"/>
    <n v="1203300001670"/>
    <n v="20250627"/>
    <s v="VV"/>
    <m/>
    <m/>
    <s v="A     - Avere"/>
    <n v="39725"/>
    <n v="37325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s v="086 - ITALIA"/>
    <n v="1640"/>
    <m/>
    <m/>
    <m/>
    <m/>
    <m/>
    <m/>
    <m/>
    <n v="0"/>
    <n v="202506"/>
    <x v="4"/>
    <x v="1"/>
    <x v="0"/>
    <n v="4510434"/>
    <x v="1"/>
    <x v="1"/>
    <s v="999"/>
    <s v="492"/>
    <s v="492999"/>
    <m/>
    <s v="1"/>
    <s v="Classe di rischio 2"/>
  </r>
  <r>
    <n v="360570"/>
    <x v="4"/>
    <x v="4"/>
    <x v="45"/>
    <n v="53850"/>
    <n v="114"/>
    <s v="053850_114"/>
    <s v="Discovery Day"/>
    <s v="Mai valutato"/>
    <m/>
    <n v="202506278130020"/>
    <n v="1143306282323"/>
    <n v="20250627"/>
    <s v="48 - Bonifico in arrivo "/>
    <m/>
    <s v="086 - ITALIA"/>
    <s v="A     - Avere"/>
    <n v="240203.57"/>
    <n v="0"/>
    <n v="4932408"/>
    <s v="RBRMPN81E68D643Y"/>
    <s v="ROBERTO MARIAPINA"/>
    <s v="600 - Famiglie consumatrici"/>
    <m/>
    <s v="086 - ITALIA"/>
    <n v="804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569"/>
    <x v="2"/>
    <x v="2"/>
    <x v="45"/>
    <n v="53850"/>
    <n v="129"/>
    <s v="053850_129"/>
    <s v="Discovery Day"/>
    <s v="Mai valutato"/>
    <m/>
    <n v="202506278129838"/>
    <n v="1293300002811"/>
    <n v="20250627"/>
    <s v="AA - Bonifico da e per estero "/>
    <m/>
    <s v="261 - CROAZIA"/>
    <s v="A     - Avere"/>
    <n v="5066.41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568"/>
    <x v="5"/>
    <x v="5"/>
    <x v="45"/>
    <n v="53850"/>
    <n v="148"/>
    <s v="053850_148"/>
    <s v="Discovery Day"/>
    <s v="Mai valutato"/>
    <m/>
    <n v="202506278131338"/>
    <n v="1483300010620"/>
    <n v="20250627"/>
    <s v="D1 - Versamento di contante "/>
    <m/>
    <m/>
    <s v="A     - Avere"/>
    <n v="23460"/>
    <n v="2346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6"/>
    <x v="1"/>
    <x v="0"/>
    <x v="0"/>
    <n v="4247284"/>
    <x v="1"/>
    <x v="0"/>
    <s v="477"/>
    <s v="615"/>
    <s v="615477"/>
    <s v="Classe di rischio 6"/>
    <m/>
    <s v="Classe di rischio 6"/>
  </r>
  <r>
    <n v="360567"/>
    <x v="5"/>
    <x v="5"/>
    <x v="45"/>
    <n v="53850"/>
    <n v="131"/>
    <s v="053850_131"/>
    <s v="Discovery Day"/>
    <s v="Mai valutato"/>
    <m/>
    <n v="202506278131294"/>
    <n v="1313300002205"/>
    <n v="20250627"/>
    <s v="D1 - Versamento di contante "/>
    <m/>
    <m/>
    <s v="A     - Avere"/>
    <n v="25000"/>
    <n v="25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6"/>
    <x v="4"/>
    <x v="1"/>
    <x v="0"/>
    <n v="4055163"/>
    <x v="1"/>
    <x v="0"/>
    <s v="477"/>
    <s v="615"/>
    <s v="615477"/>
    <s v="Classe di rischio 6"/>
    <m/>
    <s v="Classe di rischio 6"/>
  </r>
  <r>
    <n v="360566"/>
    <x v="4"/>
    <x v="4"/>
    <x v="45"/>
    <n v="53850"/>
    <n v="273"/>
    <s v="053850_273"/>
    <s v="Discovery Day"/>
    <s v="Mai valutato"/>
    <m/>
    <n v="202506278128860"/>
    <n v="2733300004156"/>
    <n v="20250627"/>
    <s v="48 - Bonifico in arrivo "/>
    <m/>
    <s v="086 - ITALIA"/>
    <s v="A     - Avere"/>
    <n v="1700000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565"/>
    <x v="4"/>
    <x v="4"/>
    <x v="45"/>
    <n v="53850"/>
    <n v="99"/>
    <s v="053850_99"/>
    <s v="Discovery Day"/>
    <s v="Mai valutato"/>
    <m/>
    <n v="202506278131098"/>
    <n v="999361870311"/>
    <n v="20250627"/>
    <s v="48 - Bonifico in arrivo "/>
    <m/>
    <s v="086 - ITALIA"/>
    <s v="A     - Avere"/>
    <n v="3341017.63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x v="1"/>
    <x v="0"/>
    <x v="0"/>
    <m/>
    <x v="0"/>
    <x v="0"/>
    <s v="999"/>
    <s v="173"/>
    <s v="173999"/>
    <s v="Classe di rischio 0"/>
    <m/>
    <s v="Classe di rischio 0"/>
  </r>
  <r>
    <n v="360564"/>
    <x v="3"/>
    <x v="3"/>
    <x v="45"/>
    <n v="53850"/>
    <n v="161"/>
    <s v="053850_161"/>
    <s v="Discovery Day"/>
    <s v="Mai valutato"/>
    <m/>
    <s v="Vari (27/06/2025)"/>
    <n v="1613300032598"/>
    <n v="20250627"/>
    <s v="VV"/>
    <m/>
    <m/>
    <s v="A     - Avere"/>
    <n v="147045.51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x v="4"/>
    <x v="1"/>
    <x v="0"/>
    <m/>
    <x v="0"/>
    <x v="1"/>
    <s v="999"/>
    <s v="430"/>
    <s v="430999"/>
    <m/>
    <s v="1"/>
    <s v="Classe di rischio 1"/>
  </r>
  <r>
    <n v="360563"/>
    <x v="4"/>
    <x v="4"/>
    <x v="45"/>
    <n v="53850"/>
    <n v="273"/>
    <s v="053850_273"/>
    <s v="Discovery Day"/>
    <s v="Mai valutato"/>
    <m/>
    <n v="202506278131102"/>
    <n v="2733300002304"/>
    <n v="20250627"/>
    <s v="SPECIAL"/>
    <m/>
    <m/>
    <s v="D     - Dare"/>
    <n v="12891.47"/>
    <n v="0"/>
    <n v="1673038"/>
    <s v="VRGNNA68R48C298I"/>
    <s v="VIRGILIO ANNA"/>
    <s v="600 - Famiglie consumatrici"/>
    <m/>
    <s v="086 - ITALIA"/>
    <n v="1295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562"/>
    <x v="3"/>
    <x v="3"/>
    <x v="45"/>
    <n v="53850"/>
    <n v="103"/>
    <s v="053850_103"/>
    <s v="Discovery Day"/>
    <s v="Mai valutato"/>
    <m/>
    <n v="202506278131142"/>
    <n v="1033306986188"/>
    <n v="20250627"/>
    <s v="D1 - Versamento di contante "/>
    <m/>
    <m/>
    <s v="A     - Avere"/>
    <n v="194500"/>
    <n v="0"/>
    <n v="4318742"/>
    <s v="NVDMRA74R47A225I"/>
    <s v="NAVEDORO MARIA"/>
    <s v="600 - Famiglie consumatrici"/>
    <m/>
    <s v="086 - ITALIA"/>
    <n v="165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61"/>
    <x v="2"/>
    <x v="2"/>
    <x v="45"/>
    <n v="53850"/>
    <n v="131"/>
    <s v="053850_131"/>
    <s v="Discovery Day"/>
    <s v="Mai valutato"/>
    <m/>
    <n v="202506278130293"/>
    <n v="1313300003506"/>
    <n v="20250627"/>
    <s v="AA - Bonifico da e per estero "/>
    <m/>
    <s v="146 - COSTA D'AVORIO"/>
    <s v="D     - Dare"/>
    <n v="5000"/>
    <n v="0"/>
    <n v="4052665"/>
    <s v="PTRMHL66P25H831I"/>
    <s v="PETRINO MICHELINO"/>
    <s v="615 - Altre famiglie produttrici"/>
    <s v="011 - COLTIVAZIONE DI COLTURE AGRICOLE NON PERMANENTI"/>
    <s v="086 - ITALIA"/>
    <n v="827"/>
    <m/>
    <m/>
    <m/>
    <m/>
    <m/>
    <m/>
    <m/>
    <n v="0"/>
    <n v="202506"/>
    <x v="4"/>
    <x v="1"/>
    <x v="0"/>
    <m/>
    <x v="0"/>
    <x v="0"/>
    <s v="999"/>
    <s v="615"/>
    <s v="615999"/>
    <m/>
    <s v="1"/>
    <s v="Classe di rischio 3"/>
  </r>
  <r>
    <n v="360560"/>
    <x v="4"/>
    <x v="4"/>
    <x v="45"/>
    <n v="53850"/>
    <n v="188"/>
    <s v="053850_188"/>
    <s v="Discovery Day"/>
    <s v="Mai valutato"/>
    <m/>
    <n v="202506278128421"/>
    <n v="1883300028081"/>
    <n v="20250627"/>
    <s v="26 - Bonifico in partenza "/>
    <m/>
    <s v="086 - ITALIA"/>
    <s v="D     - Dare"/>
    <n v="1100000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6"/>
    <x v="2"/>
    <x v="1"/>
    <x v="0"/>
    <n v="3001543"/>
    <x v="1"/>
    <x v="0"/>
    <s v="999"/>
    <s v="430"/>
    <s v="430999"/>
    <m/>
    <s v="1"/>
    <s v="Classe di rischio 1"/>
  </r>
  <r>
    <n v="360559"/>
    <x v="3"/>
    <x v="3"/>
    <x v="45"/>
    <n v="53850"/>
    <n v="121"/>
    <s v="053850_121"/>
    <s v="Discovery Day"/>
    <s v="Mai valutato"/>
    <m/>
    <s v="Vari (27/06/2025)"/>
    <n v="1213300002600"/>
    <n v="20250627"/>
    <s v="VV"/>
    <m/>
    <m/>
    <s v="A     - Avere"/>
    <n v="695126.13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4"/>
    <x v="1"/>
    <x v="0"/>
    <m/>
    <x v="0"/>
    <x v="1"/>
    <s v="463"/>
    <s v="430"/>
    <s v="430463"/>
    <s v="Classe di rischio 3"/>
    <m/>
    <s v="Classe di rischio 3"/>
  </r>
  <r>
    <n v="360558"/>
    <x v="3"/>
    <x v="3"/>
    <x v="45"/>
    <n v="53850"/>
    <n v="103"/>
    <s v="053850_103"/>
    <s v="Discovery Day"/>
    <s v="Mai valutato"/>
    <m/>
    <n v="202506278131142"/>
    <n v="1033306986188"/>
    <n v="20250627"/>
    <s v="D1 - Versamento di contante "/>
    <m/>
    <m/>
    <s v="A     - Avere"/>
    <n v="194500"/>
    <n v="0"/>
    <n v="446772"/>
    <s v="CSSGNN75C14A225B"/>
    <s v="CASSANO GIOVANNI"/>
    <s v="600 - Famiglie consumatrici"/>
    <m/>
    <s v="086 - ITALIA"/>
    <n v="165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57"/>
    <x v="4"/>
    <x v="4"/>
    <x v="45"/>
    <n v="53850"/>
    <n v="103"/>
    <s v="053850_103"/>
    <s v="Discovery Day"/>
    <s v="Mai valutato"/>
    <m/>
    <n v="202506278131141"/>
    <n v="1035500406320"/>
    <n v="20250627"/>
    <s v="BT - Rimborso su libretti a risparmio "/>
    <m/>
    <m/>
    <s v="D     - Dare"/>
    <n v="190550"/>
    <n v="0"/>
    <n v="446772"/>
    <s v="CSSGNN75C14A225B"/>
    <s v="CASSANO GIOVANNI"/>
    <s v="600 - Famiglie consumatrici"/>
    <m/>
    <s v="086 - ITALIA"/>
    <n v="165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56"/>
    <x v="4"/>
    <x v="4"/>
    <x v="45"/>
    <n v="53850"/>
    <n v="284"/>
    <s v="053850_284"/>
    <s v="Discovery Day"/>
    <s v="Mai valutato"/>
    <m/>
    <s v="202506278779818L"/>
    <n v="2843300010620"/>
    <n v="20250627"/>
    <s v="SPECIAL"/>
    <m/>
    <m/>
    <s v="D     - Dare"/>
    <n v="1078.5"/>
    <n v="0"/>
    <n v="3720346"/>
    <s v="DLNNCC65C30B238L"/>
    <s v="DE LEONARDIS DI RUSCIO ENRICO CAMILLO"/>
    <s v="600 - Famiglie consumatrici"/>
    <m/>
    <s v="086 - ITALIA"/>
    <m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555"/>
    <x v="5"/>
    <x v="5"/>
    <x v="45"/>
    <n v="53850"/>
    <n v="114"/>
    <s v="053850_114"/>
    <s v="Discovery Day"/>
    <s v="Mai valutato"/>
    <m/>
    <n v="202506278131230"/>
    <n v="1143306280621"/>
    <n v="20250627"/>
    <s v="D1 - Versamento di contante "/>
    <m/>
    <m/>
    <s v="A     - Avere"/>
    <n v="47220"/>
    <n v="4722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x v="1"/>
    <x v="0"/>
    <x v="0"/>
    <n v="4658875"/>
    <x v="1"/>
    <x v="0"/>
    <s v="477"/>
    <s v="430"/>
    <s v="430477"/>
    <s v="Classe di rischio 3"/>
    <m/>
    <s v="Classe di rischio 3"/>
  </r>
  <r>
    <n v="360554"/>
    <x v="4"/>
    <x v="4"/>
    <x v="45"/>
    <n v="53850"/>
    <n v="273"/>
    <s v="053850_273"/>
    <s v="Discovery Day"/>
    <s v="Mai valutato"/>
    <m/>
    <n v="202506278128249"/>
    <n v="2733300004156"/>
    <n v="20250627"/>
    <s v="39 - Disposizione per emolumenti"/>
    <m/>
    <m/>
    <s v="D     - Dare"/>
    <n v="1310102.8999999999"/>
    <n v="0"/>
    <n v="1695938"/>
    <n v="2232960159"/>
    <s v="DENSO MANUFACTURING ITALIA S.P.A."/>
    <s v="430 - Imprese produttive"/>
    <s v="293 - FABBRICAZIONE DI PARTI ED ACCESSORI PER AUTOVEICOLI E LORO MOTORI"/>
    <s v="086 - ITALIA"/>
    <n v="185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553"/>
    <x v="4"/>
    <x v="4"/>
    <x v="45"/>
    <n v="53850"/>
    <n v="226"/>
    <s v="053850_226"/>
    <s v="Discovery Day"/>
    <s v="Mai valutato"/>
    <m/>
    <n v="202506278127950"/>
    <n v="2263300011983"/>
    <n v="20250627"/>
    <s v="26 - Bonifico in partenza "/>
    <m/>
    <s v="086 - ITALIA"/>
    <s v="D     - Dare"/>
    <n v="1785173.33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x v="2"/>
    <x v="1"/>
    <x v="0"/>
    <m/>
    <x v="0"/>
    <x v="0"/>
    <s v="999"/>
    <s v="290"/>
    <s v="290999"/>
    <m/>
    <s v="1"/>
    <s v="Classe di rischio 0"/>
  </r>
  <r>
    <n v="360552"/>
    <x v="3"/>
    <x v="3"/>
    <x v="45"/>
    <n v="53850"/>
    <n v="148"/>
    <s v="053850_148"/>
    <s v="Discovery Day"/>
    <s v="Mai valutato"/>
    <m/>
    <n v="202506278131340"/>
    <n v="1483300005166"/>
    <n v="20250627"/>
    <s v="G8 - Versamento assegno circolare stesso intermediario"/>
    <m/>
    <m/>
    <s v="A     - Avere"/>
    <n v="100000"/>
    <n v="0"/>
    <n v="4956823"/>
    <n v="1776340620"/>
    <s v="EXPERT - TONER S.R.L."/>
    <s v="430 - Imprese produttive"/>
    <s v="464 - COMMERCIO ALL'INGROSSO DI BENI DI CONSUMO FINALE"/>
    <s v="086 - ITALIA"/>
    <n v="1340"/>
    <m/>
    <m/>
    <m/>
    <m/>
    <m/>
    <m/>
    <m/>
    <n v="0"/>
    <n v="202506"/>
    <x v="1"/>
    <x v="0"/>
    <x v="0"/>
    <m/>
    <x v="0"/>
    <x v="0"/>
    <s v="464"/>
    <s v="430"/>
    <s v="430464"/>
    <s v="Classe di rischio 4"/>
    <m/>
    <s v="Classe di rischio 4"/>
  </r>
  <r>
    <n v="360551"/>
    <x v="3"/>
    <x v="3"/>
    <x v="45"/>
    <n v="53850"/>
    <n v="176"/>
    <s v="053850_176"/>
    <s v="Discovery Day"/>
    <s v="Mai valutato"/>
    <m/>
    <s v="Vari (27/06/2025)"/>
    <n v="1763300019867"/>
    <n v="20250627"/>
    <s v="VV"/>
    <m/>
    <m/>
    <s v="A     - Avere"/>
    <n v="110000"/>
    <n v="0"/>
    <n v="4924115"/>
    <s v="VVNMRD99T43G786T"/>
    <s v="VIVIANO MARIAIDA"/>
    <s v="615 - Altre famiglie produttrici"/>
    <s v="011 - COLTIVAZIONE DI COLTURE AGRICOLE NON PERMANENTI"/>
    <s v="086 - ITALIA"/>
    <n v="672"/>
    <m/>
    <m/>
    <m/>
    <m/>
    <m/>
    <m/>
    <m/>
    <n v="0"/>
    <n v="202506"/>
    <x v="2"/>
    <x v="1"/>
    <x v="0"/>
    <m/>
    <x v="0"/>
    <x v="1"/>
    <s v="999"/>
    <s v="615"/>
    <s v="615999"/>
    <m/>
    <s v="1"/>
    <s v="Classe di rischio 3"/>
  </r>
  <r>
    <n v="360550"/>
    <x v="6"/>
    <x v="6"/>
    <x v="45"/>
    <n v="53850"/>
    <n v="190"/>
    <s v="053850_190"/>
    <s v="Discovery Day"/>
    <s v="Mai valutato"/>
    <m/>
    <n v="202506278130296"/>
    <n v="1903300017388"/>
    <n v="20250627"/>
    <s v="AA - Bonifico da e per estero "/>
    <m/>
    <s v="071 - SVIZZERA"/>
    <s v="A     - Avere"/>
    <n v="75315.89"/>
    <n v="0"/>
    <n v="4884959"/>
    <n v="6732580722"/>
    <s v="MACK &amp; SCHUHLE ITALIA S.P.A."/>
    <s v="430 - Imprese produttive"/>
    <s v="110 - INDUSTRIA DELLE BEVANDE"/>
    <s v="086 - ITALIA"/>
    <n v="192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549"/>
    <x v="4"/>
    <x v="4"/>
    <x v="45"/>
    <n v="53850"/>
    <n v="187"/>
    <s v="053850_187"/>
    <s v="Discovery Day"/>
    <s v="Mai valutato"/>
    <m/>
    <n v="202506278128732"/>
    <n v="999361870311"/>
    <n v="20250627"/>
    <s v="26 - Bonifico in partenza "/>
    <m/>
    <s v="086 - ITALIA"/>
    <s v="D     - Dare"/>
    <n v="1140733.72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x v="1"/>
    <x v="0"/>
    <x v="0"/>
    <m/>
    <x v="0"/>
    <x v="0"/>
    <s v="999"/>
    <s v="173"/>
    <s v="173999"/>
    <s v="Classe di rischio 0"/>
    <m/>
    <s v="Classe di rischio 0"/>
  </r>
  <r>
    <n v="360548"/>
    <x v="4"/>
    <x v="4"/>
    <x v="45"/>
    <n v="53850"/>
    <n v="187"/>
    <s v="053850_187"/>
    <s v="Discovery Day"/>
    <s v="Mai valutato"/>
    <m/>
    <n v="202506268131070"/>
    <n v="999361870311"/>
    <n v="20250626"/>
    <s v="50 - Pagamenti diversi"/>
    <m/>
    <m/>
    <s v="D     - Dare"/>
    <n v="1313815.3700000001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x v="1"/>
    <x v="0"/>
    <x v="0"/>
    <m/>
    <x v="0"/>
    <x v="0"/>
    <s v="999"/>
    <s v="173"/>
    <s v="173999"/>
    <s v="Classe di rischio 0"/>
    <m/>
    <s v="Classe di rischio 0"/>
  </r>
  <r>
    <n v="360547"/>
    <x v="5"/>
    <x v="5"/>
    <x v="46"/>
    <n v="53850"/>
    <n v="171"/>
    <s v="053850_171"/>
    <s v="Discovery Day"/>
    <s v="Mai valutato"/>
    <m/>
    <s v="Vari (26/06/2025)"/>
    <n v="1713305728950"/>
    <n v="20250626"/>
    <s v="03 - Versamento contante cassa continua "/>
    <m/>
    <m/>
    <s v="A     - Avere"/>
    <n v="433206.55"/>
    <n v="433206.5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546"/>
    <x v="4"/>
    <x v="4"/>
    <x v="46"/>
    <n v="53850"/>
    <n v="120"/>
    <s v="053850_120"/>
    <s v="Discovery Day"/>
    <s v="Mai valutato"/>
    <m/>
    <n v="202506268125611"/>
    <n v="1203300002401"/>
    <n v="20250626"/>
    <s v="39 - Disposizione per emolumenti"/>
    <m/>
    <m/>
    <s v="D     - Dare"/>
    <n v="3680984.47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x v="4"/>
    <x v="1"/>
    <x v="0"/>
    <n v="613876"/>
    <x v="1"/>
    <x v="0"/>
    <s v="999"/>
    <s v="500"/>
    <s v="500999"/>
    <m/>
    <s v="1"/>
    <s v="Classe di rischio 3"/>
  </r>
  <r>
    <n v="360545"/>
    <x v="2"/>
    <x v="2"/>
    <x v="46"/>
    <n v="53850"/>
    <n v="266"/>
    <s v="053850_266"/>
    <s v="Discovery Day"/>
    <s v="Mai valutato"/>
    <m/>
    <s v="202506268705257L"/>
    <n v="2663300010537"/>
    <n v="20250626"/>
    <s v="AA - Bonifico da e per estero "/>
    <m/>
    <s v="012 - BULGARIA"/>
    <s v="A     - Avere"/>
    <n v="2300"/>
    <n v="0"/>
    <n v="1637486"/>
    <s v="TTEMCN62T42G722M"/>
    <s v="TETI MARIA CONCETTA"/>
    <s v="600 - Famiglie consumatrici"/>
    <m/>
    <s v="086 - ITALIA"/>
    <n v="178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44"/>
    <x v="4"/>
    <x v="4"/>
    <x v="46"/>
    <n v="53850"/>
    <n v="192"/>
    <s v="053850_192"/>
    <s v="Discovery Day"/>
    <s v="Mai valutato"/>
    <m/>
    <n v="202506268125218"/>
    <n v="1923300182666"/>
    <n v="20250626"/>
    <s v="26 - Bonifico in partenza "/>
    <m/>
    <s v="086 - ITALIA"/>
    <s v="D     - Dare"/>
    <n v="643365.12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60543"/>
    <x v="5"/>
    <x v="5"/>
    <x v="46"/>
    <n v="53850"/>
    <n v="102"/>
    <s v="053850_102"/>
    <s v="Discovery Day"/>
    <s v="Mai valutato"/>
    <m/>
    <n v="202506268127020"/>
    <n v="1023308722503"/>
    <n v="20250626"/>
    <s v="03 - Versamento contante cassa continua "/>
    <m/>
    <m/>
    <s v="A     - Avere"/>
    <n v="31200"/>
    <n v="312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60542"/>
    <x v="4"/>
    <x v="4"/>
    <x v="46"/>
    <n v="53850"/>
    <n v="187"/>
    <s v="053850_187"/>
    <s v="Discovery Day"/>
    <s v="Mai valutato"/>
    <m/>
    <n v="202506268125518"/>
    <n v="999361870311"/>
    <n v="20250626"/>
    <s v="26 - Bonifico in partenza "/>
    <m/>
    <s v="086 - ITALIA"/>
    <s v="D     - Dare"/>
    <n v="1501364.89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x v="1"/>
    <x v="0"/>
    <x v="0"/>
    <m/>
    <x v="0"/>
    <x v="0"/>
    <s v="999"/>
    <s v="173"/>
    <s v="173999"/>
    <s v="Classe di rischio 0"/>
    <m/>
    <s v="Classe di rischio 0"/>
  </r>
  <r>
    <n v="360541"/>
    <x v="4"/>
    <x v="4"/>
    <x v="46"/>
    <n v="53850"/>
    <n v="187"/>
    <s v="053850_187"/>
    <s v="Discovery Day"/>
    <s v="Mai valutato"/>
    <m/>
    <n v="202506268125523"/>
    <n v="999361870311"/>
    <n v="20250626"/>
    <s v="26 - Bonifico in partenza "/>
    <m/>
    <s v="086 - ITALIA"/>
    <s v="D     - Dare"/>
    <n v="1025096.37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x v="1"/>
    <x v="0"/>
    <x v="0"/>
    <m/>
    <x v="0"/>
    <x v="0"/>
    <s v="999"/>
    <s v="173"/>
    <s v="173999"/>
    <s v="Classe di rischio 0"/>
    <m/>
    <s v="Classe di rischio 0"/>
  </r>
  <r>
    <n v="360540"/>
    <x v="4"/>
    <x v="4"/>
    <x v="46"/>
    <n v="53850"/>
    <n v="102"/>
    <s v="053850_102"/>
    <s v="Discovery Day"/>
    <s v="Mai valutato"/>
    <m/>
    <n v="202506268127412"/>
    <n v="1503300003329"/>
    <n v="20250626"/>
    <s v="26 - Bonifico in partenza "/>
    <m/>
    <s v="086 - ITALIA"/>
    <s v="D     - Dare"/>
    <n v="670460.84"/>
    <n v="0"/>
    <n v="4981011"/>
    <n v="9320630966"/>
    <s v="OPEN FIBER S.P.A."/>
    <s v="430 - Imprese produttive"/>
    <s v="611 - TELECOMUNICAZIONI FISSE"/>
    <s v="086 - ITALIA"/>
    <n v="1203"/>
    <m/>
    <m/>
    <m/>
    <m/>
    <m/>
    <m/>
    <m/>
    <n v="0"/>
    <n v="202506"/>
    <x v="2"/>
    <x v="1"/>
    <x v="0"/>
    <m/>
    <x v="0"/>
    <x v="0"/>
    <s v="611"/>
    <s v="430"/>
    <s v="430611"/>
    <s v="Classe di rischio 3"/>
    <m/>
    <s v="Classe di rischio 3"/>
  </r>
  <r>
    <n v="360539"/>
    <x v="3"/>
    <x v="3"/>
    <x v="46"/>
    <n v="53850"/>
    <n v="171"/>
    <s v="053850_171"/>
    <s v="Discovery Day"/>
    <s v="Mai valutato"/>
    <m/>
    <s v="Vari (26/06/2025)"/>
    <n v="1713305728950"/>
    <n v="20250626"/>
    <s v="03 - Versamento contante cassa continua "/>
    <m/>
    <m/>
    <s v="A     - Avere"/>
    <n v="433206.55"/>
    <n v="433206.5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538"/>
    <x v="5"/>
    <x v="5"/>
    <x v="46"/>
    <n v="53850"/>
    <n v="108"/>
    <s v="053850_108"/>
    <s v="Discovery Day"/>
    <s v="Mai valutato"/>
    <m/>
    <s v="Vari (26/06/2025)"/>
    <n v="1083305200700"/>
    <n v="20250626"/>
    <s v="VV"/>
    <m/>
    <m/>
    <s v="A     - Avere"/>
    <n v="44243.31"/>
    <n v="3409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6"/>
    <x v="2"/>
    <x v="1"/>
    <x v="0"/>
    <m/>
    <x v="0"/>
    <x v="1"/>
    <s v="464"/>
    <s v="430"/>
    <s v="430464"/>
    <s v="Classe di rischio 4"/>
    <m/>
    <s v="Classe di rischio 4"/>
  </r>
  <r>
    <n v="360537"/>
    <x v="2"/>
    <x v="2"/>
    <x v="46"/>
    <n v="53850"/>
    <n v="171"/>
    <s v="053850_171"/>
    <s v="Discovery Day"/>
    <s v="Mai valutato"/>
    <m/>
    <s v="202506268705488L"/>
    <n v="1713302217392"/>
    <n v="20250626"/>
    <s v="AA - Bonifico da e per estero "/>
    <m/>
    <s v="012 - BULGARIA"/>
    <s v="A     - Avere"/>
    <n v="1300"/>
    <n v="0"/>
    <n v="4926340"/>
    <s v="GRFGPP83R23A893N"/>
    <s v="GAROFALO GIUSEPPE"/>
    <s v="615 - Altre famiglie produttrici"/>
    <s v="563 - BAR E ALTRI ESERCIZI SIMILI SENZA CUCINA"/>
    <s v="086 - ITALIA"/>
    <n v="732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60536"/>
    <x v="2"/>
    <x v="2"/>
    <x v="46"/>
    <n v="53850"/>
    <n v="261"/>
    <s v="053850_261"/>
    <s v="Discovery Day"/>
    <s v="Mai valutato"/>
    <m/>
    <n v="202506268125555"/>
    <n v="2613300010205"/>
    <n v="20250626"/>
    <s v="AA - Bonifico da e per estero "/>
    <m/>
    <s v="012 - BULGARIA"/>
    <s v="D     - Dare"/>
    <n v="25000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6"/>
    <x v="1"/>
    <x v="0"/>
    <x v="0"/>
    <n v="4991786"/>
    <x v="1"/>
    <x v="0"/>
    <s v="999"/>
    <s v="430"/>
    <s v="430999"/>
    <m/>
    <s v="1"/>
    <s v="Classe di rischio 1"/>
  </r>
  <r>
    <n v="360535"/>
    <x v="2"/>
    <x v="2"/>
    <x v="46"/>
    <n v="53850"/>
    <n v="266"/>
    <s v="053850_266"/>
    <s v="Discovery Day"/>
    <s v="Mai valutato"/>
    <m/>
    <s v="202506268705259L"/>
    <n v="2663300000131"/>
    <n v="20250626"/>
    <s v="AA - Bonifico da e per estero "/>
    <m/>
    <s v="012 - BULGARIA"/>
    <s v="A     - Avere"/>
    <n v="2300"/>
    <n v="0"/>
    <n v="1614579"/>
    <s v="TTEGPP68S12G722H"/>
    <s v="TETI GIUSEPPE"/>
    <s v="600 - Famiglie consumatrici"/>
    <m/>
    <s v="086 - ITALIA"/>
    <n v="178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34"/>
    <x v="4"/>
    <x v="4"/>
    <x v="46"/>
    <n v="53850"/>
    <n v="187"/>
    <s v="053850_187"/>
    <s v="Discovery Day"/>
    <s v="Mai valutato"/>
    <m/>
    <n v="202506268125068"/>
    <n v="999361870311"/>
    <n v="20250626"/>
    <s v="39 - Disposizione per emolumenti"/>
    <m/>
    <m/>
    <s v="D     - Dare"/>
    <n v="1274537.48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x v="1"/>
    <x v="0"/>
    <x v="0"/>
    <m/>
    <x v="0"/>
    <x v="0"/>
    <s v="999"/>
    <s v="173"/>
    <s v="173999"/>
    <s v="Classe di rischio 0"/>
    <m/>
    <s v="Classe di rischio 0"/>
  </r>
  <r>
    <n v="360533"/>
    <x v="3"/>
    <x v="3"/>
    <x v="46"/>
    <n v="53850"/>
    <n v="103"/>
    <s v="053850_103"/>
    <s v="Discovery Day"/>
    <s v="Mai valutato"/>
    <m/>
    <n v="202506268127451"/>
    <n v="1033306985372"/>
    <n v="20250626"/>
    <s v="G7 - Versamento assegno circolare altro intermediario "/>
    <m/>
    <m/>
    <s v="A     - Avere"/>
    <n v="175000"/>
    <n v="0"/>
    <n v="78893"/>
    <s v="LCTPRN51M42E155P"/>
    <s v="LUCATORTO PROSCIA PIERINA"/>
    <s v="600 - Famiglie consumatrici"/>
    <m/>
    <s v="086 - ITALIA"/>
    <n v="80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32"/>
    <x v="5"/>
    <x v="5"/>
    <x v="46"/>
    <n v="53850"/>
    <n v="204"/>
    <s v="053850_204"/>
    <s v="Discovery Day"/>
    <s v="Mai valutato"/>
    <m/>
    <s v="Vari (26/06/2025)"/>
    <n v="2043300011647"/>
    <n v="20250626"/>
    <s v="D1 - Versamento di contante "/>
    <m/>
    <m/>
    <s v="A     - Avere"/>
    <n v="29650"/>
    <n v="29650"/>
    <n v="4635489"/>
    <n v="2317850697"/>
    <s v="FARMACIA SPARVIERI S.N.C."/>
    <s v="492 - Quasi societa' non finanziarie altre - Unita' o societa' con meno di 20 addetti"/>
    <s v="477 - COMMERCIO AL DETTAGLIO DI ALTRI PRODOTTI IN ESERCIZI SPECIALIZZATI"/>
    <s v="086 - ITALIA"/>
    <n v="1810"/>
    <m/>
    <m/>
    <m/>
    <m/>
    <m/>
    <m/>
    <m/>
    <n v="0"/>
    <n v="202506"/>
    <x v="2"/>
    <x v="1"/>
    <x v="0"/>
    <m/>
    <x v="0"/>
    <x v="0"/>
    <s v="477"/>
    <s v="492"/>
    <s v="492477"/>
    <s v="Classe di rischio 5"/>
    <m/>
    <s v="Classe di rischio 5"/>
  </r>
  <r>
    <n v="360531"/>
    <x v="3"/>
    <x v="3"/>
    <x v="46"/>
    <n v="53850"/>
    <n v="268"/>
    <s v="053850_268"/>
    <s v="Discovery Day"/>
    <s v="Mai valutato"/>
    <m/>
    <n v="202506268127808"/>
    <n v="2683300006613"/>
    <n v="20250626"/>
    <s v="G7 - Versamento assegno circolare altro intermediario "/>
    <m/>
    <m/>
    <s v="A     - Avere"/>
    <n v="191000"/>
    <n v="0"/>
    <n v="1704019"/>
    <s v="CRVGND74P44F537G"/>
    <s v="CERAVOLO GIOCONDA"/>
    <s v="615 - Altre famiglie produttrici"/>
    <s v="691 - ATTIVITÀ DEGLI STUDI LEGALI"/>
    <s v="086 - ITALIA"/>
    <n v="1852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60530"/>
    <x v="5"/>
    <x v="5"/>
    <x v="46"/>
    <n v="53850"/>
    <n v="103"/>
    <s v="053850_103"/>
    <s v="Discovery Day"/>
    <s v="Mai valutato"/>
    <m/>
    <n v="202506268127432"/>
    <n v="1033306980389"/>
    <n v="20250626"/>
    <s v="D1 - Versamento di contante "/>
    <m/>
    <m/>
    <s v="A     - Avere"/>
    <n v="35100"/>
    <n v="35100"/>
    <n v="58747"/>
    <s v="MRLGPP45E20E155H"/>
    <s v="MIROLLA GIUSEPPE"/>
    <s v="600 - Famiglie consumatrici"/>
    <m/>
    <s v="086 - ITALIA"/>
    <n v="959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29"/>
    <x v="4"/>
    <x v="4"/>
    <x v="46"/>
    <n v="53850"/>
    <n v="271"/>
    <s v="053850_271"/>
    <s v="Discovery Day"/>
    <s v="Mai valutato"/>
    <m/>
    <s v="202506268706297L"/>
    <n v="2713300010109"/>
    <n v="20250626"/>
    <s v="SPECIAL"/>
    <m/>
    <m/>
    <s v="D     - Dare"/>
    <n v="2371.4499999999998"/>
    <n v="0"/>
    <n v="1628583"/>
    <s v="NGLVTR47R29G141J"/>
    <s v="ANGELOZZI VITTORIO"/>
    <s v="600 - Famiglie consumatrici"/>
    <m/>
    <s v="086 - ITALIA"/>
    <n v="1850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528"/>
    <x v="4"/>
    <x v="4"/>
    <x v="46"/>
    <n v="53850"/>
    <n v="102"/>
    <s v="053850_102"/>
    <s v="Discovery Day"/>
    <s v="Mai valutato"/>
    <m/>
    <n v="202506268126658"/>
    <n v="1023308725044"/>
    <n v="20250626"/>
    <s v="48 - Bonifico in arrivo "/>
    <m/>
    <s v="086 - ITALIA"/>
    <s v="A     - Avere"/>
    <n v="283590.28000000003"/>
    <n v="0"/>
    <n v="4921"/>
    <s v="LRSMGR65H44A662X"/>
    <s v="LORUSSO MARIA GRAZIA"/>
    <s v="600 - Famiglie consumatrici"/>
    <m/>
    <s v="086 - ITALIA"/>
    <n v="133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27"/>
    <x v="3"/>
    <x v="3"/>
    <x v="46"/>
    <n v="53850"/>
    <n v="116"/>
    <s v="053850_116"/>
    <s v="Discovery Day"/>
    <s v="Mai valutato"/>
    <m/>
    <s v="Vari (26/06/2025)"/>
    <n v="2343300010453"/>
    <n v="20250626"/>
    <s v="03 - Versamento contante cassa continua "/>
    <m/>
    <m/>
    <s v="A     - Avere"/>
    <n v="203564"/>
    <n v="203564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526"/>
    <x v="2"/>
    <x v="2"/>
    <x v="46"/>
    <n v="53850"/>
    <n v="266"/>
    <s v="053850_266"/>
    <s v="Discovery Day"/>
    <s v="Mai valutato"/>
    <m/>
    <s v="202506268705258L"/>
    <n v="2663300001473"/>
    <n v="20250626"/>
    <s v="AA - Bonifico da e per estero "/>
    <m/>
    <s v="012 - BULGARIA"/>
    <s v="A     - Avere"/>
    <n v="2300"/>
    <n v="0"/>
    <n v="1613112"/>
    <s v="TTERCC73L29G722N"/>
    <s v="TETI ROCCO"/>
    <s v="600 - Famiglie consumatrici"/>
    <m/>
    <s v="086 - ITALIA"/>
    <n v="1811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25"/>
    <x v="3"/>
    <x v="3"/>
    <x v="46"/>
    <n v="53850"/>
    <n v="171"/>
    <s v="053850_171"/>
    <s v="Discovery Day"/>
    <s v="Mai valutato"/>
    <m/>
    <s v="Vari (26/06/2025)"/>
    <n v="1713302214147"/>
    <n v="20250626"/>
    <s v="VV"/>
    <m/>
    <m/>
    <s v="A     - Avere"/>
    <n v="190385"/>
    <n v="19038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1"/>
    <s v="999"/>
    <s v="430"/>
    <s v="430999"/>
    <m/>
    <s v="1"/>
    <s v="Classe di rischio 1"/>
  </r>
  <r>
    <n v="360524"/>
    <x v="2"/>
    <x v="2"/>
    <x v="46"/>
    <n v="53850"/>
    <n v="266"/>
    <s v="053850_266"/>
    <s v="Discovery Day"/>
    <s v="Mai valutato"/>
    <m/>
    <s v="202506268705258L"/>
    <n v="2663300001473"/>
    <n v="20250626"/>
    <s v="AA - Bonifico da e per estero "/>
    <m/>
    <s v="012 - BULGARIA"/>
    <s v="A     - Avere"/>
    <n v="2300"/>
    <n v="0"/>
    <n v="1627249"/>
    <s v="VLLRRT79B57F537Z"/>
    <s v="VALLONE ROBERTA"/>
    <s v="600 - Famiglie consumatrici"/>
    <m/>
    <s v="086 - ITALIA"/>
    <n v="1811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23"/>
    <x v="4"/>
    <x v="4"/>
    <x v="46"/>
    <n v="53850"/>
    <n v="182"/>
    <s v="053850_182"/>
    <s v="Discovery Day"/>
    <s v="Mai valutato"/>
    <m/>
    <n v="202506268125215"/>
    <n v="1823300058518"/>
    <n v="20250626"/>
    <s v="26 - Bonifico in partenza "/>
    <m/>
    <s v="086 - ITALIA"/>
    <s v="D     - Dare"/>
    <n v="1106190.6499999999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x v="2"/>
    <x v="1"/>
    <x v="0"/>
    <m/>
    <x v="0"/>
    <x v="0"/>
    <s v="999"/>
    <s v="450"/>
    <s v="450999"/>
    <m/>
    <s v="1"/>
    <s v="Classe di rischio 1"/>
  </r>
  <r>
    <n v="360522"/>
    <x v="3"/>
    <x v="3"/>
    <x v="46"/>
    <n v="53850"/>
    <n v="103"/>
    <s v="053850_103"/>
    <s v="Discovery Day"/>
    <s v="Mai valutato"/>
    <m/>
    <n v="202506268127443"/>
    <n v="1033300511030"/>
    <n v="20250626"/>
    <s v="G1 - Versamento assegni tratti su altro intermediario "/>
    <m/>
    <m/>
    <s v="A     - Avere"/>
    <n v="130000"/>
    <n v="0"/>
    <n v="51103"/>
    <s v="LPDPQL40P10E155Q"/>
    <s v="LOPEDOTA PASQUALE"/>
    <s v="600 - Famiglie consumatrici"/>
    <m/>
    <s v="086 - ITALIA"/>
    <n v="40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21"/>
    <x v="4"/>
    <x v="4"/>
    <x v="46"/>
    <n v="53850"/>
    <n v="182"/>
    <s v="053850_182"/>
    <s v="Discovery Day"/>
    <s v="Mai valutato"/>
    <m/>
    <n v="202506268125212"/>
    <n v="1823300058518"/>
    <n v="20250626"/>
    <s v="26 - Bonifico in partenza "/>
    <m/>
    <s v="086 - ITALIA"/>
    <s v="D     - Dare"/>
    <n v="1110644.2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x v="2"/>
    <x v="1"/>
    <x v="0"/>
    <m/>
    <x v="0"/>
    <x v="0"/>
    <s v="999"/>
    <s v="450"/>
    <s v="450999"/>
    <m/>
    <s v="1"/>
    <s v="Classe di rischio 1"/>
  </r>
  <r>
    <n v="360520"/>
    <x v="4"/>
    <x v="4"/>
    <x v="46"/>
    <n v="53850"/>
    <n v="271"/>
    <s v="053850_271"/>
    <s v="Discovery Day"/>
    <s v="Mai valutato"/>
    <m/>
    <s v="202506268706297L"/>
    <n v="2713300010109"/>
    <n v="20250626"/>
    <s v="SPECIAL"/>
    <m/>
    <m/>
    <s v="D     - Dare"/>
    <n v="2371.4499999999998"/>
    <n v="0"/>
    <n v="1667399"/>
    <s v="DGVMHL54D64G141I"/>
    <s v="DI GIOVANNI MICHELINA"/>
    <s v="600 - Famiglie consumatrici"/>
    <m/>
    <s v="086 - ITALIA"/>
    <m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519"/>
    <x v="4"/>
    <x v="4"/>
    <x v="46"/>
    <n v="53850"/>
    <n v="125"/>
    <s v="053850_125"/>
    <s v="Discovery Day"/>
    <s v="Mai valutato"/>
    <m/>
    <n v="202506268125272"/>
    <n v="1253300010268"/>
    <n v="20250626"/>
    <s v="26 - Bonifico in partenza "/>
    <m/>
    <s v="086 - ITALIA"/>
    <s v="D     - Dare"/>
    <n v="900000"/>
    <n v="0"/>
    <n v="4568007"/>
    <n v="6398720968"/>
    <s v="UFM - UNIONE FARMACEUTICA MITO S.R.L."/>
    <s v="430 - Imprese produttive"/>
    <s v="464 - COMMERCIO ALL'INGROSSO DI BENI DI CONSUMO FINALE"/>
    <s v="086 - ITALIA"/>
    <n v="982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60518"/>
    <x v="2"/>
    <x v="2"/>
    <x v="46"/>
    <n v="53850"/>
    <n v="129"/>
    <s v="053850_129"/>
    <s v="Discovery Day"/>
    <s v="Mai valutato"/>
    <m/>
    <s v="202506268706065L"/>
    <n v="1293300002811"/>
    <n v="20250626"/>
    <s v="AA - Bonifico da e per estero "/>
    <m/>
    <s v="261 - CROAZIA"/>
    <s v="A     - Avere"/>
    <n v="4554.57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517"/>
    <x v="4"/>
    <x v="4"/>
    <x v="46"/>
    <n v="53850"/>
    <n v="106"/>
    <s v="053850_106"/>
    <s v="Discovery Day"/>
    <s v="Mai valutato"/>
    <m/>
    <n v="202506268125030"/>
    <n v="1063304957810"/>
    <n v="20250626"/>
    <s v="26 - Bonifico in partenza "/>
    <m/>
    <s v="086 - ITALIA"/>
    <s v="D     - Dare"/>
    <n v="300000"/>
    <n v="0"/>
    <n v="495781"/>
    <s v="SLRFNC64L20F220T"/>
    <s v="SALERNO FRANCESCO"/>
    <s v="600 - Famiglie consumatrici"/>
    <m/>
    <s v="086 - ITALIA"/>
    <n v="1464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16"/>
    <x v="5"/>
    <x v="5"/>
    <x v="46"/>
    <n v="53850"/>
    <n v="171"/>
    <s v="053850_171"/>
    <s v="Discovery Day"/>
    <s v="Mai valutato"/>
    <m/>
    <s v="Vari (26/06/2025)"/>
    <n v="1713302214147"/>
    <n v="20250626"/>
    <s v="VV"/>
    <m/>
    <m/>
    <s v="A     - Avere"/>
    <n v="190385"/>
    <n v="19038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1"/>
    <s v="999"/>
    <s v="430"/>
    <s v="430999"/>
    <m/>
    <s v="1"/>
    <s v="Classe di rischio 1"/>
  </r>
  <r>
    <n v="360515"/>
    <x v="4"/>
    <x v="4"/>
    <x v="46"/>
    <n v="53850"/>
    <n v="141"/>
    <s v="053850_141"/>
    <s v="Discovery Day"/>
    <s v="Mai valutato"/>
    <m/>
    <n v="202506268126999"/>
    <n v="1413300003985"/>
    <n v="20250626"/>
    <s v="50 - Pagamenti diversi"/>
    <m/>
    <m/>
    <s v="D     - Dare"/>
    <n v="3075625.82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x v="4"/>
    <x v="1"/>
    <x v="0"/>
    <m/>
    <x v="0"/>
    <x v="0"/>
    <s v="931"/>
    <s v="430"/>
    <s v="430931"/>
    <s v="Classe di rischio 3"/>
    <m/>
    <s v="Classe di rischio 3"/>
  </r>
  <r>
    <n v="360514"/>
    <x v="4"/>
    <x v="4"/>
    <x v="46"/>
    <n v="53850"/>
    <n v="264"/>
    <s v="053850_264"/>
    <s v="Discovery Day"/>
    <s v="Mai valutato"/>
    <m/>
    <n v="202506268125822"/>
    <n v="2643300002152"/>
    <n v="20250626"/>
    <s v="48 - Bonifico in arrivo "/>
    <m/>
    <s v="086 - ITALIA"/>
    <s v="A     - Avere"/>
    <n v="73660.61"/>
    <n v="0"/>
    <n v="1700966"/>
    <s v="CRRDNC57L01A662B"/>
    <s v="CERROTTI DOMENICO"/>
    <s v="615 - Altre famiglie produttrici"/>
    <s v="477 - COMMERCIO AL DETTAGLIO DI ALTRI PRODOTTI IN ESERCIZI SPECIALIZZATI"/>
    <s v="086 - ITALIA"/>
    <n v="1851"/>
    <m/>
    <m/>
    <m/>
    <m/>
    <m/>
    <m/>
    <m/>
    <n v="0"/>
    <n v="202506"/>
    <x v="1"/>
    <x v="0"/>
    <x v="0"/>
    <n v="1700966"/>
    <x v="1"/>
    <x v="0"/>
    <s v="477"/>
    <s v="615"/>
    <s v="615477"/>
    <s v="Classe di rischio 6"/>
    <m/>
    <s v="Classe di rischio 6"/>
  </r>
  <r>
    <n v="360513"/>
    <x v="4"/>
    <x v="4"/>
    <x v="46"/>
    <n v="53850"/>
    <n v="105"/>
    <s v="053850_105"/>
    <s v="Discovery Day"/>
    <s v="Mai valutato"/>
    <m/>
    <s v="202506268702896L"/>
    <n v="1053306291443"/>
    <n v="20250626"/>
    <s v="SPECIAL"/>
    <m/>
    <m/>
    <s v="D     - Dare"/>
    <n v="1890.42"/>
    <n v="0"/>
    <n v="473244"/>
    <s v="CSTMRA40D66E038R"/>
    <s v="CASTELLANETA MARIA"/>
    <s v="600 - Famiglie consumatrici"/>
    <m/>
    <s v="086 - ITALIA"/>
    <m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512"/>
    <x v="2"/>
    <x v="2"/>
    <x v="46"/>
    <n v="53850"/>
    <n v="193"/>
    <s v="053850_193"/>
    <s v="Discovery Day"/>
    <s v="Mai valutato"/>
    <m/>
    <n v="202506268126823"/>
    <n v="1943300006197"/>
    <n v="20250626"/>
    <s v="AA - Bonifico da e per estero "/>
    <m/>
    <s v="262 - RUSSIA (FEDERAZIONE DI)"/>
    <s v="A     - Avere"/>
    <n v="7985"/>
    <n v="0"/>
    <n v="4859366"/>
    <n v="2744530730"/>
    <s v="LE FERRE S.R.L."/>
    <s v="430 - Imprese produttive"/>
    <s v="463 - COMMERCIO ALL'INGROSSO DI PRODOTTI ALIMENTARI, BEVANDE E PRODOTTI DEL TABACCO"/>
    <s v="086 - ITALIA"/>
    <n v="1361"/>
    <m/>
    <m/>
    <m/>
    <m/>
    <m/>
    <m/>
    <m/>
    <n v="0"/>
    <n v="202506"/>
    <x v="2"/>
    <x v="1"/>
    <x v="0"/>
    <m/>
    <x v="0"/>
    <x v="0"/>
    <s v="463"/>
    <s v="430"/>
    <s v="430463"/>
    <s v="Classe di rischio 3"/>
    <m/>
    <s v="Classe di rischio 3"/>
  </r>
  <r>
    <n v="360511"/>
    <x v="4"/>
    <x v="4"/>
    <x v="46"/>
    <n v="53850"/>
    <n v="102"/>
    <s v="053850_102"/>
    <s v="Discovery Day"/>
    <s v="Mai valutato"/>
    <m/>
    <n v="202506268127426"/>
    <n v="1023306275300"/>
    <n v="20250626"/>
    <s v="SPECIAL"/>
    <m/>
    <m/>
    <s v="D     - Dare"/>
    <n v="6580.25"/>
    <n v="0"/>
    <n v="564336"/>
    <s v="SQCNLN32A11A225Q"/>
    <s v="SQUICCIARINI ANGELANTONIO"/>
    <s v="600 - Famiglie consumatrici"/>
    <m/>
    <s v="086 - ITALIA"/>
    <n v="638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510"/>
    <x v="3"/>
    <x v="3"/>
    <x v="46"/>
    <n v="53850"/>
    <n v="108"/>
    <s v="053850_108"/>
    <s v="Discovery Day"/>
    <s v="Mai valutato"/>
    <m/>
    <s v="Vari (26/06/2025)"/>
    <n v="1083300011180"/>
    <n v="20250626"/>
    <s v="VV"/>
    <m/>
    <m/>
    <s v="A     - Avere"/>
    <n v="164479.12"/>
    <n v="105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60509"/>
    <x v="4"/>
    <x v="4"/>
    <x v="46"/>
    <n v="53850"/>
    <n v="182"/>
    <s v="053850_182"/>
    <s v="Discovery Day"/>
    <s v="Mai valutato"/>
    <m/>
    <n v="202506268125213"/>
    <n v="1823300058518"/>
    <n v="20250626"/>
    <s v="26 - Bonifico in partenza "/>
    <m/>
    <s v="086 - ITALIA"/>
    <s v="D     - Dare"/>
    <n v="1053360.8400000001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x v="2"/>
    <x v="1"/>
    <x v="0"/>
    <m/>
    <x v="0"/>
    <x v="0"/>
    <s v="999"/>
    <s v="450"/>
    <s v="450999"/>
    <m/>
    <s v="1"/>
    <s v="Classe di rischio 1"/>
  </r>
  <r>
    <n v="360508"/>
    <x v="5"/>
    <x v="5"/>
    <x v="46"/>
    <n v="53850"/>
    <n v="120"/>
    <s v="053850_120"/>
    <s v="Discovery Day"/>
    <s v="Mai valutato"/>
    <m/>
    <n v="202506268127093"/>
    <n v="1203300002401"/>
    <n v="20250626"/>
    <s v="03 - Versamento contante cassa continua "/>
    <m/>
    <m/>
    <s v="A     - Avere"/>
    <n v="32440"/>
    <n v="3244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x v="4"/>
    <x v="1"/>
    <x v="0"/>
    <n v="613876"/>
    <x v="1"/>
    <x v="0"/>
    <s v="999"/>
    <s v="500"/>
    <s v="500999"/>
    <m/>
    <s v="1"/>
    <s v="Classe di rischio 3"/>
  </r>
  <r>
    <n v="360507"/>
    <x v="4"/>
    <x v="4"/>
    <x v="46"/>
    <n v="53850"/>
    <n v="286"/>
    <s v="053850_286"/>
    <s v="Discovery Day"/>
    <s v="Mai valutato"/>
    <m/>
    <n v="202506268125791"/>
    <n v="2863300003269"/>
    <n v="20250626"/>
    <s v="48 - Bonifico in arrivo "/>
    <m/>
    <s v="086 - ITALIA"/>
    <s v="A     - Avere"/>
    <n v="116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60506"/>
    <x v="5"/>
    <x v="5"/>
    <x v="46"/>
    <n v="53850"/>
    <n v="116"/>
    <s v="053850_116"/>
    <s v="Discovery Day"/>
    <s v="Mai valutato"/>
    <m/>
    <s v="Vari (26/06/2025)"/>
    <n v="2343300010453"/>
    <n v="20250626"/>
    <s v="03 - Versamento contante cassa continua "/>
    <m/>
    <m/>
    <s v="A     - Avere"/>
    <n v="203564"/>
    <n v="203564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505"/>
    <x v="4"/>
    <x v="4"/>
    <x v="46"/>
    <n v="53850"/>
    <n v="103"/>
    <s v="053850_103"/>
    <s v="Discovery Day"/>
    <s v="Mai valutato"/>
    <m/>
    <n v="202506268127438"/>
    <n v="1033306986134"/>
    <n v="20250626"/>
    <s v="26 - Bonifico in partenza "/>
    <m/>
    <s v="086 - ITALIA"/>
    <s v="D     - Dare"/>
    <n v="100000"/>
    <n v="0"/>
    <n v="4100632"/>
    <s v="MNFNNA72H68Z614G"/>
    <s v="MANFREDI ANNA"/>
    <s v="615 - Altre famiglie produttrici"/>
    <s v="477 - COMMERCIO AL DETTAGLIO DI ALTRI PRODOTTI IN ESERCIZI SPECIALIZZATI"/>
    <s v="086 - ITALIA"/>
    <n v="995"/>
    <m/>
    <m/>
    <m/>
    <m/>
    <m/>
    <m/>
    <m/>
    <n v="0"/>
    <n v="202506"/>
    <x v="4"/>
    <x v="1"/>
    <x v="0"/>
    <m/>
    <x v="0"/>
    <x v="0"/>
    <s v="477"/>
    <s v="615"/>
    <s v="615477"/>
    <s v="Classe di rischio 6"/>
    <m/>
    <s v="Classe di rischio 6"/>
  </r>
  <r>
    <n v="360504"/>
    <x v="2"/>
    <x v="2"/>
    <x v="46"/>
    <n v="53850"/>
    <n v="119"/>
    <s v="053850_119"/>
    <s v="Discovery Day"/>
    <s v="Mai valutato"/>
    <m/>
    <s v="202506248700398L"/>
    <n v="1193305851980"/>
    <n v="20250624"/>
    <s v="AA - Bonifico da e per estero "/>
    <m/>
    <s v="012 - BULGARIA"/>
    <s v="D     - Dare"/>
    <n v="1137"/>
    <n v="0"/>
    <n v="585198"/>
    <s v="VLPNNA59C69A662H"/>
    <s v="VOLPE ANNA"/>
    <s v="600 - Famiglie consumatrici"/>
    <m/>
    <s v="086 - ITALIA"/>
    <n v="669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03"/>
    <x v="4"/>
    <x v="4"/>
    <x v="47"/>
    <n v="53850"/>
    <n v="108"/>
    <s v="053850_108"/>
    <s v="Discovery Day"/>
    <s v="Mai valutato"/>
    <m/>
    <n v="202506268124008"/>
    <n v="1085500039514"/>
    <n v="20250626"/>
    <s v="BT - Rimborso su libretti a risparmio "/>
    <m/>
    <m/>
    <s v="D     - Dare"/>
    <n v="198093.34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02"/>
    <x v="4"/>
    <x v="4"/>
    <x v="47"/>
    <n v="53850"/>
    <n v="108"/>
    <s v="053850_108"/>
    <s v="Discovery Day"/>
    <s v="Mai valutato"/>
    <m/>
    <n v="202506268124008"/>
    <n v="1085500039514"/>
    <n v="20250626"/>
    <s v="BT - Rimborso su libretti a risparmio "/>
    <m/>
    <m/>
    <s v="D     - Dare"/>
    <n v="198093.34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501"/>
    <x v="4"/>
    <x v="4"/>
    <x v="47"/>
    <n v="53850"/>
    <n v="188"/>
    <s v="053850_188"/>
    <s v="Discovery Day"/>
    <s v="Mai valutato"/>
    <m/>
    <s v="202506258689953L"/>
    <n v="1883300141277"/>
    <n v="20250625"/>
    <s v="SPECIAL"/>
    <m/>
    <m/>
    <s v="D     - Dare"/>
    <n v="1078.94"/>
    <n v="1078.94"/>
    <n v="3185802"/>
    <s v="SPCDNL74P02E205N"/>
    <s v="SPECCHIA DANIELE"/>
    <s v="600 - Famiglie consumatrici"/>
    <m/>
    <s v="086 - ITALIA"/>
    <n v="424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500"/>
    <x v="4"/>
    <x v="4"/>
    <x v="47"/>
    <n v="53850"/>
    <n v="273"/>
    <s v="053850_273"/>
    <s v="Discovery Day"/>
    <s v="Mai valutato"/>
    <m/>
    <n v="202506258124970"/>
    <n v="2733300012091"/>
    <n v="20250625"/>
    <s v="SPECIAL"/>
    <m/>
    <m/>
    <s v="D     - Dare"/>
    <n v="42116.26"/>
    <n v="0"/>
    <n v="3725376"/>
    <s v="ZNNRTI58P45E372D"/>
    <s v="ZINNI RITA"/>
    <s v="600 - Famiglie consumatrici"/>
    <m/>
    <s v="086 - ITALIA"/>
    <m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499"/>
    <x v="2"/>
    <x v="2"/>
    <x v="47"/>
    <n v="53850"/>
    <n v="131"/>
    <s v="053850_131"/>
    <s v="Discovery Day"/>
    <s v="Mai valutato"/>
    <m/>
    <n v="202506258123930"/>
    <n v="1313300001588"/>
    <n v="20250625"/>
    <s v="AA - Bonifico da e per estero "/>
    <m/>
    <s v="238 - ABU DHABI"/>
    <s v="A     - Avere"/>
    <n v="8900"/>
    <n v="0"/>
    <n v="4121868"/>
    <n v="5913290630"/>
    <s v="C.M.D. COSTRUZIONI MOTORI DIESEL S.P.A."/>
    <s v="430 - Imprese produttive"/>
    <s v="256 - TRATTAMENTO E RIVESTIMENTO DEI METALLI, LAVORI DI MECCANICA GENERALE"/>
    <s v="086 - ITALIA"/>
    <n v="739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60498"/>
    <x v="3"/>
    <x v="3"/>
    <x v="47"/>
    <n v="53850"/>
    <n v="174"/>
    <s v="053850_174"/>
    <s v="Discovery Day"/>
    <s v="Mai valutato"/>
    <m/>
    <n v="202506258124771"/>
    <n v="1963302352389"/>
    <n v="20250625"/>
    <s v="G7 - Versamento assegno circolare altro intermediario "/>
    <m/>
    <m/>
    <s v="A     - Avere"/>
    <n v="200470"/>
    <n v="0"/>
    <n v="4568128"/>
    <n v="3162580710"/>
    <s v="LA VERONESE SRL"/>
    <s v="430 - Imprese produttive"/>
    <s v="682 - AFFITTO E GESTIONE DI IMMOBILI DI PROPRIETÀ O IN LEASING "/>
    <s v="086 - ITALIA"/>
    <n v="1453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497"/>
    <x v="2"/>
    <x v="2"/>
    <x v="47"/>
    <n v="53850"/>
    <n v="118"/>
    <s v="053850_118"/>
    <s v="Discovery Day"/>
    <s v="Mai valutato"/>
    <m/>
    <n v="202506258123751"/>
    <n v="1183306277717"/>
    <n v="20250625"/>
    <s v="AA - Bonifico da e per estero "/>
    <m/>
    <s v="012 - BULGARIA"/>
    <s v="A     - Avere"/>
    <n v="11882"/>
    <n v="0"/>
    <n v="4237439"/>
    <n v="5982410721"/>
    <s v="LINEA PELLE S.R.L."/>
    <s v="430 - Imprese produttive"/>
    <s v="462 - COMMERCIO ALL'INGROSSO DI MATERIE PRIME AGRICOLE E DI ANIMALI VIVI"/>
    <s v="086 - ITALIA"/>
    <n v="1203"/>
    <m/>
    <m/>
    <m/>
    <m/>
    <m/>
    <m/>
    <m/>
    <n v="0"/>
    <n v="202506"/>
    <x v="2"/>
    <x v="1"/>
    <x v="0"/>
    <m/>
    <x v="0"/>
    <x v="0"/>
    <s v="462"/>
    <s v="430"/>
    <s v="430462"/>
    <s v="Classe di rischio 3"/>
    <m/>
    <s v="Classe di rischio 3"/>
  </r>
  <r>
    <n v="360496"/>
    <x v="6"/>
    <x v="6"/>
    <x v="47"/>
    <n v="53850"/>
    <n v="170"/>
    <s v="053850_170"/>
    <s v="Discovery Day"/>
    <s v="Mai valutato"/>
    <m/>
    <n v="202506258123939"/>
    <n v="1703306288195"/>
    <n v="20250625"/>
    <s v="AA - Bonifico da e per estero "/>
    <m/>
    <s v="076 - TURCHIA"/>
    <s v="D     - Dare"/>
    <n v="82150.289999999994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495"/>
    <x v="4"/>
    <x v="4"/>
    <x v="47"/>
    <n v="53850"/>
    <n v="273"/>
    <s v="053850_273"/>
    <s v="Discovery Day"/>
    <s v="Mai valutato"/>
    <m/>
    <n v="202506258124970"/>
    <n v="2733300012091"/>
    <n v="20250625"/>
    <s v="SPECIAL"/>
    <m/>
    <m/>
    <s v="D     - Dare"/>
    <n v="42116.26"/>
    <n v="0"/>
    <n v="3725377"/>
    <s v="ZNNGPP53C59E372U"/>
    <s v="ZINNI GIUSEPPINA"/>
    <s v="600 - Famiglie consumatrici"/>
    <m/>
    <s v="086 - ITALIA"/>
    <m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494"/>
    <x v="4"/>
    <x v="4"/>
    <x v="47"/>
    <n v="53850"/>
    <n v="188"/>
    <s v="053850_188"/>
    <s v="Discovery Day"/>
    <s v="Mai valutato"/>
    <m/>
    <n v="202506258123558"/>
    <n v="1883300028081"/>
    <n v="20250625"/>
    <s v="48 - Bonifico in arrivo "/>
    <m/>
    <s v="086 - ITALIA"/>
    <s v="A     - Avere"/>
    <n v="2088698.36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6"/>
    <x v="2"/>
    <x v="1"/>
    <x v="0"/>
    <n v="3001543"/>
    <x v="1"/>
    <x v="0"/>
    <s v="999"/>
    <s v="430"/>
    <s v="430999"/>
    <m/>
    <s v="1"/>
    <s v="Classe di rischio 1"/>
  </r>
  <r>
    <n v="360493"/>
    <x v="2"/>
    <x v="2"/>
    <x v="47"/>
    <n v="53850"/>
    <n v="171"/>
    <s v="053850_171"/>
    <s v="Discovery Day"/>
    <s v="Mai valutato"/>
    <m/>
    <s v="202506258686214L"/>
    <n v="1713302217392"/>
    <n v="20250625"/>
    <s v="AA - Bonifico da e per estero "/>
    <m/>
    <s v="012 - BULGARIA"/>
    <s v="A     - Avere"/>
    <n v="2300"/>
    <n v="0"/>
    <n v="4926340"/>
    <s v="GRFGPP83R23A893N"/>
    <s v="GAROFALO GIUSEPPE"/>
    <s v="615 - Altre famiglie produttrici"/>
    <s v="563 - BAR E ALTRI ESERCIZI SIMILI SENZA CUCINA"/>
    <s v="086 - ITALIA"/>
    <n v="732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60492"/>
    <x v="4"/>
    <x v="4"/>
    <x v="47"/>
    <n v="53850"/>
    <n v="148"/>
    <s v="053850_148"/>
    <s v="Discovery Day"/>
    <s v="Mai valutato"/>
    <m/>
    <n v="202506258123636"/>
    <n v="1483300003701"/>
    <n v="20250625"/>
    <s v="48 - Bonifico in arrivo "/>
    <m/>
    <s v="086 - ITALIA"/>
    <s v="A     - Avere"/>
    <n v="1000000"/>
    <n v="0"/>
    <n v="2001293"/>
    <s v="BBTSVT57P28D386J"/>
    <s v="ABBATIELLO SALVATORE"/>
    <s v="600 - Famiglie consumatrici"/>
    <m/>
    <s v="086 - ITALIA"/>
    <n v="163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91"/>
    <x v="4"/>
    <x v="4"/>
    <x v="47"/>
    <n v="53850"/>
    <n v="286"/>
    <s v="053850_286"/>
    <s v="Discovery Day"/>
    <s v="Mai valutato"/>
    <m/>
    <n v="202506258124486"/>
    <n v="2863300003269"/>
    <n v="20250625"/>
    <s v="13 - Addebito per estinzione assegno"/>
    <m/>
    <m/>
    <s v="D     - Dare"/>
    <n v="3100000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60490"/>
    <x v="4"/>
    <x v="4"/>
    <x v="47"/>
    <n v="53850"/>
    <n v="273"/>
    <s v="053850_273"/>
    <s v="Discovery Day"/>
    <s v="Mai valutato"/>
    <m/>
    <n v="202506258124967"/>
    <n v="2733300004001"/>
    <n v="20250625"/>
    <s v="SPECIAL"/>
    <m/>
    <m/>
    <s v="D     - Dare"/>
    <n v="12697.28"/>
    <n v="0"/>
    <n v="1671175"/>
    <s v="TTVLTN40C41L459P"/>
    <s v="OTTAVIANO ELENTINA"/>
    <s v="600 - Famiglie consumatrici"/>
    <m/>
    <s v="086 - ITALIA"/>
    <m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489"/>
    <x v="4"/>
    <x v="4"/>
    <x v="47"/>
    <n v="53850"/>
    <n v="273"/>
    <s v="053850_273"/>
    <s v="Discovery Day"/>
    <s v="Mai valutato"/>
    <m/>
    <n v="202506258124970"/>
    <n v="2733300012091"/>
    <n v="20250625"/>
    <s v="SPECIAL"/>
    <m/>
    <m/>
    <s v="D     - Dare"/>
    <n v="42116.26"/>
    <n v="0"/>
    <n v="3725379"/>
    <s v="ZNNMGR49R59E372T"/>
    <s v="ZINNI MARIA GRAZIA"/>
    <s v="600 - Famiglie consumatrici"/>
    <m/>
    <s v="086 - ITALIA"/>
    <m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488"/>
    <x v="4"/>
    <x v="4"/>
    <x v="47"/>
    <n v="53850"/>
    <n v="261"/>
    <s v="053850_261"/>
    <s v="Discovery Day"/>
    <s v="Mai valutato"/>
    <m/>
    <s v="202506258689728L"/>
    <n v="2613300000293"/>
    <n v="20250625"/>
    <s v="SPECIAL"/>
    <m/>
    <m/>
    <s v="A     - Avere"/>
    <n v="2315.1999999999998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x v="4"/>
    <x v="1"/>
    <x v="0"/>
    <m/>
    <x v="0"/>
    <x v="1"/>
    <s v="999"/>
    <s v="430"/>
    <s v="430999"/>
    <m/>
    <s v="1"/>
    <s v="Classe di rischio 1"/>
  </r>
  <r>
    <n v="360487"/>
    <x v="5"/>
    <x v="5"/>
    <x v="47"/>
    <n v="53850"/>
    <n v="196"/>
    <s v="053850_196"/>
    <s v="Discovery Day"/>
    <s v="Mai valutato"/>
    <m/>
    <n v="202506258124396"/>
    <n v="1963302353452"/>
    <n v="20250625"/>
    <s v="03 - Versamento contante cassa continua "/>
    <m/>
    <m/>
    <s v="A     - Avere"/>
    <n v="32000"/>
    <n v="32000"/>
    <n v="4084962"/>
    <s v="CLNMRA67T58C514L"/>
    <s v="COLONNA MARIA"/>
    <s v="614 - Artigiani"/>
    <s v="563 - BAR E ALTRI ESERCIZI SIMILI SENZA CUCINA"/>
    <s v="086 - ITALIA"/>
    <n v="1945"/>
    <m/>
    <m/>
    <m/>
    <m/>
    <m/>
    <m/>
    <m/>
    <n v="0"/>
    <n v="202506"/>
    <x v="1"/>
    <x v="0"/>
    <x v="0"/>
    <n v="4084962"/>
    <x v="1"/>
    <x v="0"/>
    <s v="999"/>
    <s v="614"/>
    <s v="614999"/>
    <m/>
    <s v="1"/>
    <s v="Classe di rischio 3"/>
  </r>
  <r>
    <n v="360486"/>
    <x v="4"/>
    <x v="4"/>
    <x v="47"/>
    <n v="53850"/>
    <n v="273"/>
    <s v="053850_273"/>
    <s v="Discovery Day"/>
    <s v="Mai valutato"/>
    <m/>
    <n v="202506258124967"/>
    <n v="2733300004001"/>
    <n v="20250625"/>
    <s v="SPECIAL"/>
    <m/>
    <m/>
    <s v="D     - Dare"/>
    <n v="12697.28"/>
    <n v="0"/>
    <n v="1625597"/>
    <s v="GSPLNZ71H19E372Q"/>
    <s v="GASPARI LORENZO"/>
    <s v="600 - Famiglie consumatrici"/>
    <m/>
    <s v="086 - ITALIA"/>
    <n v="1838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485"/>
    <x v="4"/>
    <x v="4"/>
    <x v="47"/>
    <n v="53850"/>
    <n v="273"/>
    <s v="053850_273"/>
    <s v="Discovery Day"/>
    <s v="Mai valutato"/>
    <m/>
    <n v="202506258124967"/>
    <n v="2733300004001"/>
    <n v="20250625"/>
    <s v="SPECIAL"/>
    <m/>
    <m/>
    <s v="D     - Dare"/>
    <n v="12697.28"/>
    <n v="0"/>
    <n v="1674203"/>
    <s v="GSPNRT66M48E372F"/>
    <s v="GASPARI ANNA RITA"/>
    <s v="600 - Famiglie consumatrici"/>
    <m/>
    <s v="086 - ITALIA"/>
    <m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484"/>
    <x v="11"/>
    <x v="11"/>
    <x v="47"/>
    <n v="53850"/>
    <n v="188"/>
    <s v="053850_188"/>
    <s v="Discovery Day"/>
    <s v="Mai valutato"/>
    <m/>
    <s v="202506258689953L"/>
    <n v="1883300141277"/>
    <n v="20250625"/>
    <s v="SPECIAL"/>
    <m/>
    <m/>
    <s v="D     - Dare"/>
    <n v="1078.94"/>
    <n v="1078.94"/>
    <n v="3185802"/>
    <s v="SPCDNL74P02E205N"/>
    <s v="SPECCHIA DANIELE"/>
    <s v="600 - Famiglie consumatrici"/>
    <m/>
    <s v="086 - ITALIA"/>
    <n v="424"/>
    <m/>
    <m/>
    <m/>
    <m/>
    <m/>
    <m/>
    <m/>
    <n v="0"/>
    <n v="202506"/>
    <x v="2"/>
    <x v="1"/>
    <x v="1"/>
    <m/>
    <x v="0"/>
    <x v="1"/>
    <s v="999"/>
    <s v="600"/>
    <s v="600999"/>
    <s v="Classe di rischio 7"/>
    <m/>
    <s v="Classe di rischio 7"/>
  </r>
  <r>
    <n v="360483"/>
    <x v="7"/>
    <x v="7"/>
    <x v="47"/>
    <n v="53850"/>
    <n v="99"/>
    <s v="053850_99"/>
    <s v="Discovery Day"/>
    <s v="Mai valutato"/>
    <m/>
    <s v="202506258683963L"/>
    <m/>
    <n v="20250625"/>
    <s v="SPECIAL"/>
    <m/>
    <m/>
    <s v="D     - Dare"/>
    <n v="4500.3599999999997"/>
    <n v="0"/>
    <n v="4938377"/>
    <s v="LDDGNZ01M23A225K"/>
    <s v="LADDAGA IGNAZIO"/>
    <s v="600 - Famiglie consumatrici"/>
    <m/>
    <s v="086 - ITALIA"/>
    <n v="1099"/>
    <m/>
    <m/>
    <m/>
    <m/>
    <m/>
    <m/>
    <m/>
    <n v="0"/>
    <n v="202506"/>
    <x v="2"/>
    <x v="1"/>
    <x v="1"/>
    <m/>
    <x v="0"/>
    <x v="1"/>
    <s v="999"/>
    <s v="600"/>
    <s v="600999"/>
    <s v="Classe di rischio 7"/>
    <m/>
    <s v="Classe di rischio 7"/>
  </r>
  <r>
    <n v="360482"/>
    <x v="4"/>
    <x v="4"/>
    <x v="47"/>
    <n v="53850"/>
    <n v="261"/>
    <s v="053850_261"/>
    <s v="Discovery Day"/>
    <s v="Mai valutato"/>
    <m/>
    <s v="202506258689729L"/>
    <n v="2613300000293"/>
    <n v="20250625"/>
    <s v="SPECIAL"/>
    <m/>
    <m/>
    <s v="A     - Avere"/>
    <n v="2938.17"/>
    <n v="0"/>
    <n v="1604757"/>
    <n v="81180945"/>
    <s v="DI IORIO SOCIETA' PER AZIONI"/>
    <s v="430 - Imprese produttive"/>
    <s v="110 - INDUSTRIA DELLE BEVANDE"/>
    <s v="086 - ITALIA"/>
    <n v="1856"/>
    <m/>
    <m/>
    <m/>
    <m/>
    <m/>
    <m/>
    <m/>
    <n v="0"/>
    <n v="202506"/>
    <x v="4"/>
    <x v="1"/>
    <x v="0"/>
    <m/>
    <x v="0"/>
    <x v="1"/>
    <s v="999"/>
    <s v="430"/>
    <s v="430999"/>
    <m/>
    <s v="1"/>
    <s v="Classe di rischio 1"/>
  </r>
  <r>
    <n v="360481"/>
    <x v="4"/>
    <x v="4"/>
    <x v="47"/>
    <n v="53850"/>
    <n v="273"/>
    <s v="053850_273"/>
    <s v="Discovery Day"/>
    <s v="Mai valutato"/>
    <m/>
    <n v="202506258124970"/>
    <n v="2733300012091"/>
    <n v="20250625"/>
    <s v="SPECIAL"/>
    <m/>
    <m/>
    <s v="D     - Dare"/>
    <n v="42116.26"/>
    <n v="0"/>
    <n v="3725375"/>
    <s v="ZNNLNE47L49E372D"/>
    <s v="ZINNI ELENA"/>
    <s v="600 - Famiglie consumatrici"/>
    <m/>
    <s v="086 - ITALIA"/>
    <m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480"/>
    <x v="3"/>
    <x v="3"/>
    <x v="47"/>
    <n v="53850"/>
    <n v="121"/>
    <s v="053850_121"/>
    <s v="Discovery Day"/>
    <s v="Mai valutato"/>
    <m/>
    <s v="Vari (25/06/2025)"/>
    <n v="1213300002600"/>
    <n v="20250625"/>
    <s v="VV"/>
    <m/>
    <m/>
    <s v="A     - Avere"/>
    <n v="473652.88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4"/>
    <x v="1"/>
    <x v="0"/>
    <m/>
    <x v="0"/>
    <x v="1"/>
    <s v="463"/>
    <s v="430"/>
    <s v="430463"/>
    <s v="Classe di rischio 3"/>
    <m/>
    <s v="Classe di rischio 3"/>
  </r>
  <r>
    <n v="360479"/>
    <x v="4"/>
    <x v="4"/>
    <x v="47"/>
    <n v="53850"/>
    <n v="286"/>
    <s v="053850_286"/>
    <s v="Discovery Day"/>
    <s v="Mai valutato"/>
    <m/>
    <n v="202506258123522"/>
    <n v="2863300010173"/>
    <n v="20250625"/>
    <s v="48 - Bonifico in arrivo "/>
    <m/>
    <s v="086 - ITALIA"/>
    <s v="A     - Avere"/>
    <n v="406362.91"/>
    <n v="0"/>
    <n v="4991163"/>
    <s v="DCCVCN32D23M022U"/>
    <s v="DI CICCO VINCENZO"/>
    <s v="600 - Famiglie consumatrici"/>
    <m/>
    <s v="086 - ITALIA"/>
    <n v="1848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60478"/>
    <x v="5"/>
    <x v="5"/>
    <x v="47"/>
    <n v="53850"/>
    <n v="189"/>
    <s v="053850_189"/>
    <s v="Discovery Day"/>
    <s v="Mai valutato"/>
    <m/>
    <s v="Vari (25/06/2025)"/>
    <n v="1893300018226"/>
    <n v="20250625"/>
    <s v="VV"/>
    <m/>
    <m/>
    <s v="A     - Avere"/>
    <n v="53347.4"/>
    <n v="37755"/>
    <n v="4982797"/>
    <n v="3335110734"/>
    <s v="TARAS MARE S.R.L."/>
    <s v="430 - Imprese produttive"/>
    <s v="463 - COMMERCIO ALL'INGROSSO DI PRODOTTI ALIMENTARI, BEVANDE E PRODOTTI DEL TABACCO"/>
    <s v="086 - ITALIA"/>
    <n v="1381"/>
    <m/>
    <m/>
    <m/>
    <m/>
    <m/>
    <m/>
    <m/>
    <n v="0"/>
    <n v="202506"/>
    <x v="2"/>
    <x v="1"/>
    <x v="0"/>
    <m/>
    <x v="0"/>
    <x v="1"/>
    <s v="463"/>
    <s v="430"/>
    <s v="430463"/>
    <s v="Classe di rischio 3"/>
    <m/>
    <s v="Classe di rischio 3"/>
  </r>
  <r>
    <n v="360477"/>
    <x v="5"/>
    <x v="5"/>
    <x v="47"/>
    <n v="53850"/>
    <n v="102"/>
    <s v="053850_102"/>
    <s v="Discovery Day"/>
    <s v="Mai valutato"/>
    <m/>
    <n v="202506258124143"/>
    <n v="1023308722503"/>
    <n v="20250625"/>
    <s v="03 - Versamento contante cassa continua "/>
    <m/>
    <m/>
    <s v="A     - Avere"/>
    <n v="18990"/>
    <n v="1899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60476"/>
    <x v="4"/>
    <x v="4"/>
    <x v="47"/>
    <n v="53850"/>
    <n v="148"/>
    <s v="053850_148"/>
    <s v="Discovery Day"/>
    <s v="Mai valutato"/>
    <m/>
    <n v="202506258123250"/>
    <n v="1483300006143"/>
    <n v="20250625"/>
    <s v="27 - Emolumenti "/>
    <m/>
    <m/>
    <s v="A     - Avere"/>
    <n v="245703.4"/>
    <n v="0"/>
    <n v="3744528"/>
    <s v="CRFMRA69S59I233K"/>
    <s v="CARFORA MARIA"/>
    <s v="600 - Famiglie consumatrici"/>
    <m/>
    <s v="086 - ITALIA"/>
    <n v="1064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75"/>
    <x v="4"/>
    <x v="4"/>
    <x v="47"/>
    <n v="53850"/>
    <n v="182"/>
    <s v="053850_182"/>
    <s v="Discovery Day"/>
    <s v="Mai valutato"/>
    <m/>
    <n v="202506258123565"/>
    <n v="1823300072312"/>
    <n v="20250625"/>
    <s v="48 - Bonifico in arrivo "/>
    <m/>
    <s v="086 - ITALIA"/>
    <s v="A     - Avere"/>
    <n v="1121842.5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474"/>
    <x v="5"/>
    <x v="5"/>
    <x v="47"/>
    <n v="53850"/>
    <n v="259"/>
    <s v="053850_259"/>
    <s v="Discovery Day"/>
    <s v="Mai valutato"/>
    <m/>
    <s v="Vari (25/06/2025)"/>
    <n v="2593300000914"/>
    <n v="20250625"/>
    <s v="03 - Versamento contante cassa continua "/>
    <m/>
    <m/>
    <s v="A     - Avere"/>
    <n v="38000"/>
    <n v="38000"/>
    <n v="4960187"/>
    <n v="8510340725"/>
    <s v="FARMACIA SANT'ANDREA S.R.L."/>
    <s v="430 - Imprese produttive"/>
    <s v="477 - COMMERCIO AL DETTAGLIO DI ALTRI PRODOTTI IN ESERCIZI SPECIALIZZATI"/>
    <s v="086 - ITALIA"/>
    <n v="1578"/>
    <m/>
    <m/>
    <m/>
    <m/>
    <m/>
    <m/>
    <m/>
    <n v="0"/>
    <n v="202506"/>
    <x v="1"/>
    <x v="0"/>
    <x v="0"/>
    <n v="4960187"/>
    <x v="1"/>
    <x v="0"/>
    <s v="477"/>
    <s v="430"/>
    <s v="430477"/>
    <s v="Classe di rischio 3"/>
    <m/>
    <s v="Classe di rischio 3"/>
  </r>
  <r>
    <n v="360473"/>
    <x v="3"/>
    <x v="3"/>
    <x v="47"/>
    <n v="53850"/>
    <n v="185"/>
    <s v="053850_185"/>
    <s v="Discovery Day"/>
    <s v="Mai valutato"/>
    <m/>
    <n v="202506258124809"/>
    <n v="1853300028022"/>
    <n v="20250625"/>
    <s v="G1 - Versamento assegni tratti su altro intermediario "/>
    <m/>
    <m/>
    <s v="A     - Avere"/>
    <n v="141199.25"/>
    <n v="0"/>
    <n v="4526244"/>
    <n v="2742120732"/>
    <s v="FRANZOSO S.R.L."/>
    <s v="430 - Imprese produttive"/>
    <s v="432 - INSTALLAZIONE DI IMPIANTI ELETTRICI, IDRAULICI ED ALTRI LAVORI DI COSTRUZIONE E INSTALLAZIONE"/>
    <s v="086 - ITALIA"/>
    <n v="773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472"/>
    <x v="4"/>
    <x v="4"/>
    <x v="47"/>
    <n v="53850"/>
    <n v="274"/>
    <s v="053850_274"/>
    <s v="Discovery Day"/>
    <s v="Mai valutato"/>
    <m/>
    <n v="202506258124976"/>
    <n v="2743300001958"/>
    <n v="20250625"/>
    <s v="10 - Emisione assegni circolari e titoli similari vaglia"/>
    <m/>
    <m/>
    <s v="D     - Dare"/>
    <n v="233000"/>
    <n v="0"/>
    <n v="1624261"/>
    <s v="PTTNDR89S12C632O"/>
    <s v="PIATTELLI ANDREA"/>
    <s v="600 - Famiglie consumatrici"/>
    <m/>
    <s v="086 - ITALIA"/>
    <n v="1859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471"/>
    <x v="4"/>
    <x v="4"/>
    <x v="47"/>
    <n v="53850"/>
    <n v="103"/>
    <s v="053850_103"/>
    <s v="Discovery Day"/>
    <s v="Mai valutato"/>
    <m/>
    <s v="202506258683964L"/>
    <n v="1033306978965"/>
    <n v="20250625"/>
    <s v="SPECIAL"/>
    <m/>
    <m/>
    <s v="D     - Dare"/>
    <n v="4500.3599999999997"/>
    <n v="0"/>
    <n v="4938377"/>
    <s v="LDDGNZ01M23A225K"/>
    <s v="LADDAGA IGNAZIO"/>
    <s v="600 - Famiglie consumatrici"/>
    <m/>
    <s v="086 - ITALIA"/>
    <n v="1099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470"/>
    <x v="4"/>
    <x v="4"/>
    <x v="47"/>
    <n v="53850"/>
    <n v="286"/>
    <s v="053850_286"/>
    <s v="Discovery Day"/>
    <s v="Mai valutato"/>
    <m/>
    <n v="202506258123522"/>
    <n v="2863300010173"/>
    <n v="20250625"/>
    <s v="48 - Bonifico in arrivo "/>
    <m/>
    <s v="086 - ITALIA"/>
    <s v="A     - Avere"/>
    <n v="406362.91"/>
    <n v="0"/>
    <n v="4991167"/>
    <s v="GVNGNN38H63C632J"/>
    <s v="GIOVINE GIOVANNA"/>
    <s v="600 - Famiglie consumatrici"/>
    <m/>
    <s v="086 - ITALIA"/>
    <n v="1848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60469"/>
    <x v="6"/>
    <x v="6"/>
    <x v="47"/>
    <n v="53850"/>
    <n v="102"/>
    <s v="053850_102"/>
    <s v="Discovery Day"/>
    <s v="Mai valutato"/>
    <m/>
    <n v="202506258123920"/>
    <n v="1023304893170"/>
    <n v="20250625"/>
    <s v="AA - Bonifico da e per estero "/>
    <m/>
    <s v="016 - CINA"/>
    <s v="D     - Dare"/>
    <n v="47560.56"/>
    <n v="0"/>
    <n v="489317"/>
    <n v="4213260724"/>
    <s v="EUROFLEX S.R.L."/>
    <s v="430 - Imprese produttive"/>
    <s v="464 - COMMERCIO ALL'INGROSSO DI BENI DI CONSUMO FINALE"/>
    <s v="086 - ITALIA"/>
    <n v="1203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60468"/>
    <x v="5"/>
    <x v="5"/>
    <x v="47"/>
    <n v="53850"/>
    <n v="128"/>
    <s v="053850_128"/>
    <s v="Discovery Day"/>
    <s v="Mai valutato"/>
    <m/>
    <n v="202506258124234"/>
    <n v="1283300003941"/>
    <n v="20250625"/>
    <s v="03 - Versamento contante cassa continua "/>
    <m/>
    <m/>
    <s v="A     - Avere"/>
    <n v="32000"/>
    <n v="320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x v="4"/>
    <x v="1"/>
    <x v="0"/>
    <n v="4916499"/>
    <x v="1"/>
    <x v="0"/>
    <s v="999"/>
    <s v="615"/>
    <s v="615999"/>
    <m/>
    <s v="1"/>
    <s v="Classe di rischio 3"/>
  </r>
  <r>
    <n v="360467"/>
    <x v="5"/>
    <x v="5"/>
    <x v="47"/>
    <n v="53850"/>
    <n v="189"/>
    <s v="053850_189"/>
    <s v="Discovery Day"/>
    <s v="Mai valutato"/>
    <m/>
    <n v="202506258124815"/>
    <n v="1893300023546"/>
    <n v="20250625"/>
    <s v="D1 - Versamento di contante "/>
    <m/>
    <m/>
    <s v="A     - Avere"/>
    <n v="52150"/>
    <n v="5215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6"/>
    <x v="1"/>
    <x v="0"/>
    <x v="0"/>
    <n v="3064562"/>
    <x v="1"/>
    <x v="0"/>
    <s v="999"/>
    <s v="615"/>
    <s v="615999"/>
    <m/>
    <s v="1"/>
    <s v="Classe di rischio 3"/>
  </r>
  <r>
    <n v="360466"/>
    <x v="3"/>
    <x v="3"/>
    <x v="47"/>
    <n v="53850"/>
    <n v="106"/>
    <s v="053850_106"/>
    <s v="Discovery Day"/>
    <s v="Mai valutato"/>
    <m/>
    <s v="Vari (25/06/2025)"/>
    <n v="1063302769017"/>
    <n v="20250625"/>
    <s v="VV"/>
    <m/>
    <m/>
    <s v="A     - Avere"/>
    <n v="121500"/>
    <n v="0"/>
    <n v="4178244"/>
    <n v="5966130725"/>
    <s v="S.A.P. COSTRUZIONI SRL"/>
    <s v="430 - Imprese produttive"/>
    <s v="412 - COSTRUZIONE DI EDIFICI RESIDENZIALI E NON RESIDENZIALI"/>
    <s v="086 - ITALIA"/>
    <n v="727"/>
    <m/>
    <m/>
    <m/>
    <m/>
    <m/>
    <m/>
    <m/>
    <n v="0"/>
    <n v="202506"/>
    <x v="2"/>
    <x v="1"/>
    <x v="0"/>
    <m/>
    <x v="0"/>
    <x v="1"/>
    <s v="412"/>
    <s v="430"/>
    <s v="430412"/>
    <s v="Classe di rischio 3"/>
    <m/>
    <s v="Classe di rischio 3"/>
  </r>
  <r>
    <n v="360465"/>
    <x v="6"/>
    <x v="6"/>
    <x v="47"/>
    <n v="53850"/>
    <n v="105"/>
    <s v="053850_105"/>
    <s v="Discovery Day"/>
    <s v="Mai valutato"/>
    <m/>
    <n v="202506258123921"/>
    <n v="1053306295089"/>
    <n v="20250625"/>
    <s v="AA - Bonifico da e per estero "/>
    <m/>
    <s v="016 - CINA"/>
    <s v="D     - Dare"/>
    <n v="35699.160000000003"/>
    <n v="0"/>
    <n v="3716148"/>
    <n v="6264740728"/>
    <s v="ZEROTF S.R.L."/>
    <s v="430 - Imprese produttive"/>
    <s v="467 - COMMERCIO ALL'INGROSSO SPECIALIZZATO DI ALTRI PRODOTTI"/>
    <s v="086 - ITALIA"/>
    <n v="462"/>
    <m/>
    <m/>
    <m/>
    <m/>
    <m/>
    <m/>
    <m/>
    <n v="0"/>
    <n v="202506"/>
    <x v="4"/>
    <x v="1"/>
    <x v="0"/>
    <m/>
    <x v="0"/>
    <x v="0"/>
    <s v="999"/>
    <s v="430"/>
    <s v="430999"/>
    <m/>
    <s v="1"/>
    <s v="Classe di rischio 1"/>
  </r>
  <r>
    <n v="360464"/>
    <x v="2"/>
    <x v="2"/>
    <x v="47"/>
    <n v="53850"/>
    <n v="111"/>
    <s v="053850_111"/>
    <s v="Discovery Day"/>
    <s v="Mai valutato"/>
    <m/>
    <n v="202506248122915"/>
    <n v="1113305626850"/>
    <n v="20250624"/>
    <s v="AA - Bonifico da e per estero "/>
    <m/>
    <s v="261 - CROAZIA"/>
    <s v="D     - Dare"/>
    <n v="500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63"/>
    <x v="4"/>
    <x v="4"/>
    <x v="48"/>
    <n v="53850"/>
    <n v="149"/>
    <s v="053850_149"/>
    <s v="Discovery Day"/>
    <s v="Mai valutato"/>
    <m/>
    <n v="202506258121147"/>
    <n v="1490050026458"/>
    <n v="20250625"/>
    <s v="C4 - Trasferim.titoli a altro istituto(portatore) 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60462"/>
    <x v="5"/>
    <x v="5"/>
    <x v="48"/>
    <n v="53850"/>
    <n v="171"/>
    <s v="053850_171"/>
    <s v="Discovery Day"/>
    <s v="Mai valutato"/>
    <m/>
    <s v="Vari (24/06/2025)"/>
    <n v="1713302214147"/>
    <n v="20250624"/>
    <s v="03 - Versamento contante cassa continua "/>
    <m/>
    <m/>
    <s v="A     - Avere"/>
    <n v="108945.1"/>
    <n v="108945.1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60461"/>
    <x v="4"/>
    <x v="4"/>
    <x v="48"/>
    <n v="53850"/>
    <n v="109"/>
    <s v="053850_109"/>
    <s v="Discovery Day"/>
    <s v="Mai valutato"/>
    <m/>
    <s v="202506248613458L"/>
    <n v="1093306671600"/>
    <n v="20250624"/>
    <s v="SPECIAL"/>
    <m/>
    <m/>
    <s v="D     - Dare"/>
    <n v="4104.33"/>
    <n v="0"/>
    <n v="4234577"/>
    <s v="MNTMSM63H23A662V"/>
    <s v="MONTAGNA MASSIMO"/>
    <s v="600 - Famiglie consumatrici"/>
    <m/>
    <s v="086 - ITALIA"/>
    <n v="929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460"/>
    <x v="5"/>
    <x v="5"/>
    <x v="48"/>
    <n v="53850"/>
    <n v="109"/>
    <s v="053850_109"/>
    <s v="Discovery Day"/>
    <s v="Mai valutato"/>
    <m/>
    <s v="Vari (24/06/2025)"/>
    <n v="1093306675356"/>
    <n v="20250624"/>
    <s v="D1 - Versamento di contante "/>
    <m/>
    <m/>
    <s v="A     - Avere"/>
    <n v="36700"/>
    <n v="367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6"/>
    <x v="1"/>
    <x v="0"/>
    <x v="0"/>
    <n v="4976123"/>
    <x v="1"/>
    <x v="0"/>
    <s v="477"/>
    <s v="430"/>
    <s v="430477"/>
    <s v="Classe di rischio 3"/>
    <m/>
    <s v="Classe di rischio 3"/>
  </r>
  <r>
    <n v="360459"/>
    <x v="3"/>
    <x v="3"/>
    <x v="48"/>
    <n v="53850"/>
    <n v="149"/>
    <s v="053850_149"/>
    <s v="Discovery Day"/>
    <s v="Mai valutato"/>
    <m/>
    <n v="202506248121924"/>
    <n v="1493300660015"/>
    <n v="20250624"/>
    <s v="G7 - Versamento assegno circolare altro intermediario "/>
    <m/>
    <m/>
    <s v="A     - Avere"/>
    <n v="137500"/>
    <n v="0"/>
    <n v="4174943"/>
    <s v="GNTLGU40M13F839P"/>
    <s v="GENTILE LUIGI"/>
    <s v="615 - Altre famiglie produttrici"/>
    <s v="477 - COMMERCIO AL DETTAGLIO DI ALTRI PRODOTTI IN ESERCIZI SPECIALIZZATI"/>
    <s v="086 - ITALIA"/>
    <n v="1910"/>
    <m/>
    <m/>
    <m/>
    <m/>
    <m/>
    <m/>
    <m/>
    <n v="0"/>
    <n v="202506"/>
    <x v="2"/>
    <x v="1"/>
    <x v="0"/>
    <m/>
    <x v="0"/>
    <x v="0"/>
    <s v="477"/>
    <s v="615"/>
    <s v="615477"/>
    <s v="Classe di rischio 6"/>
    <m/>
    <s v="Classe di rischio 6"/>
  </r>
  <r>
    <n v="360458"/>
    <x v="4"/>
    <x v="4"/>
    <x v="48"/>
    <n v="53850"/>
    <n v="110"/>
    <s v="053850_110"/>
    <s v="Discovery Day"/>
    <s v="Mai valutato"/>
    <m/>
    <n v="202506248120533"/>
    <n v="1103306283873"/>
    <n v="20250624"/>
    <s v="48 - Bonifico in arrivo "/>
    <m/>
    <s v="086 - ITALIA"/>
    <s v="A     - Avere"/>
    <n v="251954.41"/>
    <n v="0"/>
    <n v="593634"/>
    <s v="PLLFNC61R19A669D"/>
    <s v="PALLADINO FRANCESCO"/>
    <s v="600 - Famiglie consumatrici"/>
    <m/>
    <s v="086 - ITALIA"/>
    <n v="1902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57"/>
    <x v="3"/>
    <x v="3"/>
    <x v="48"/>
    <n v="53850"/>
    <n v="171"/>
    <s v="053850_171"/>
    <s v="Discovery Day"/>
    <s v="Mai valutato"/>
    <m/>
    <s v="Vari (24/06/2025)"/>
    <n v="1713302214147"/>
    <n v="20250624"/>
    <s v="03 - Versamento contante cassa continua "/>
    <m/>
    <m/>
    <s v="A     - Avere"/>
    <n v="108945.1"/>
    <n v="108945.1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60456"/>
    <x v="6"/>
    <x v="6"/>
    <x v="48"/>
    <n v="53850"/>
    <n v="268"/>
    <s v="053850_268"/>
    <s v="Discovery Day"/>
    <s v="Mai valutato"/>
    <m/>
    <n v="202506248120482"/>
    <n v="2683300003688"/>
    <n v="20250624"/>
    <s v="AA - Bonifico da e per estero "/>
    <m/>
    <s v="071 - SVIZZERA"/>
    <s v="A     - Avere"/>
    <n v="15000"/>
    <n v="0"/>
    <n v="1626577"/>
    <s v="CSNMNN55A67A043M"/>
    <s v="COSENTINI MARIANNA"/>
    <s v="600 - Famiglie consumatrici"/>
    <m/>
    <s v="086 - ITALIA"/>
    <n v="1832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55"/>
    <x v="4"/>
    <x v="4"/>
    <x v="48"/>
    <n v="53850"/>
    <n v="282"/>
    <s v="053850_282"/>
    <s v="Discovery Day"/>
    <s v="Mai valutato"/>
    <m/>
    <n v="202506248122205"/>
    <n v="2823300001940"/>
    <n v="20250624"/>
    <s v="10 - Emisione assegni circolari e titoli similari vaglia"/>
    <m/>
    <m/>
    <s v="D     - Dare"/>
    <n v="375000"/>
    <n v="0"/>
    <n v="1678407"/>
    <s v="SPNPPS69H21C632V"/>
    <s v="SPINELLI PAOLO PASQUALE ANGELO"/>
    <s v="600 - Famiglie consumatrici"/>
    <m/>
    <s v="086 - ITALIA"/>
    <n v="175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54"/>
    <x v="6"/>
    <x v="6"/>
    <x v="48"/>
    <n v="53850"/>
    <n v="268"/>
    <s v="053850_268"/>
    <s v="Discovery Day"/>
    <s v="Mai valutato"/>
    <m/>
    <n v="202506248120482"/>
    <n v="2683300003688"/>
    <n v="20250624"/>
    <s v="AA - Bonifico da e per estero "/>
    <m/>
    <s v="071 - SVIZZERA"/>
    <s v="A     - Avere"/>
    <n v="15000"/>
    <n v="0"/>
    <n v="1640741"/>
    <s v="BRLNTN82P21F537V"/>
    <s v="BARILARO ANTONIO"/>
    <s v="600 - Famiglie consumatrici"/>
    <m/>
    <s v="086 - ITALIA"/>
    <n v="1870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53"/>
    <x v="3"/>
    <x v="3"/>
    <x v="48"/>
    <n v="53850"/>
    <n v="106"/>
    <s v="053850_106"/>
    <s v="Discovery Day"/>
    <s v="Mai valutato"/>
    <m/>
    <n v="202506248121789"/>
    <n v="1063302770377"/>
    <n v="20250624"/>
    <s v="G1 - Versamento assegni tratti su altro intermediario "/>
    <m/>
    <m/>
    <s v="A     - Avere"/>
    <n v="200000"/>
    <n v="0"/>
    <n v="4815714"/>
    <s v="TCCLNE92E56B619Q"/>
    <s v="TUCCI LENA"/>
    <s v="600 - Famiglie consumatrici"/>
    <m/>
    <s v="086 - ITALIA"/>
    <n v="1464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52"/>
    <x v="7"/>
    <x v="7"/>
    <x v="48"/>
    <n v="53850"/>
    <n v="154"/>
    <s v="053850_154"/>
    <s v="Discovery Day"/>
    <s v="Mai valutato"/>
    <m/>
    <n v="202506248121946"/>
    <m/>
    <n v="20250624"/>
    <s v="F1 - Incasso assegno circolare altro intermediario"/>
    <m/>
    <m/>
    <s v="D     - Dare"/>
    <n v="124095.27"/>
    <n v="0"/>
    <n v="4837667"/>
    <s v="TRAFRZ65A01G023D"/>
    <s v="AUTUORI FABRIZIO"/>
    <s v="600 - Famiglie consumatrici"/>
    <m/>
    <s v="086 - ITALIA"/>
    <m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60451"/>
    <x v="5"/>
    <x v="5"/>
    <x v="48"/>
    <n v="53850"/>
    <n v="170"/>
    <s v="053850_170"/>
    <s v="Discovery Day"/>
    <s v="Mai valutato"/>
    <m/>
    <n v="202506248121991"/>
    <n v="1703306287999"/>
    <n v="20250624"/>
    <s v="D1 - Versamento di contante "/>
    <m/>
    <m/>
    <s v="A     - Avere"/>
    <n v="42300"/>
    <n v="42300"/>
    <n v="4737963"/>
    <s v="PSTGSI92E65A285I"/>
    <s v="PISTILLO GIUSI"/>
    <s v="600 - Famiglie consumatrici"/>
    <m/>
    <s v="086 - ITALIA"/>
    <n v="1954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50"/>
    <x v="5"/>
    <x v="5"/>
    <x v="48"/>
    <n v="53850"/>
    <n v="175"/>
    <s v="053850_175"/>
    <s v="Discovery Day"/>
    <s v="Mai valutato"/>
    <m/>
    <s v="Vari (24/06/2025)"/>
    <n v="1753302203965"/>
    <n v="20250624"/>
    <s v="03 - Versamento contante cassa continua "/>
    <m/>
    <m/>
    <s v="A     - Avere"/>
    <n v="29715"/>
    <n v="29715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6"/>
    <x v="4"/>
    <x v="1"/>
    <x v="0"/>
    <n v="4932268"/>
    <x v="1"/>
    <x v="0"/>
    <s v="920"/>
    <s v="430"/>
    <s v="430920"/>
    <s v="Classe di rischio 4"/>
    <m/>
    <s v="Classe di rischio 4"/>
  </r>
  <r>
    <n v="360449"/>
    <x v="3"/>
    <x v="3"/>
    <x v="48"/>
    <n v="53850"/>
    <n v="117"/>
    <s v="053850_117"/>
    <s v="Discovery Day"/>
    <s v="Mai valutato"/>
    <m/>
    <n v="202506248121855"/>
    <n v="1173300536399"/>
    <n v="20250624"/>
    <s v="G1 - Versamento assegni tratti su altro intermediario "/>
    <m/>
    <m/>
    <s v="A     - Avere"/>
    <n v="105448.61"/>
    <n v="0"/>
    <n v="765950"/>
    <s v="BRTNTN78A15L049S"/>
    <s v="BERTILACCIO ANTONIO"/>
    <s v="615 - Altre famiglie produttrici"/>
    <s v="011 - COLTIVAZIONE DI COLTURE AGRICOLE NON PERMANENTI"/>
    <s v="086 - ITALIA"/>
    <n v="1772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60448"/>
    <x v="3"/>
    <x v="3"/>
    <x v="48"/>
    <n v="53850"/>
    <n v="106"/>
    <s v="053850_106"/>
    <s v="Discovery Day"/>
    <s v="Mai valutato"/>
    <m/>
    <n v="202506248121789"/>
    <n v="1063302770377"/>
    <n v="20250624"/>
    <s v="G1 - Versamento assegni tratti su altro intermediario "/>
    <m/>
    <m/>
    <s v="A     - Avere"/>
    <n v="200000"/>
    <n v="0"/>
    <n v="397027"/>
    <s v="LBBLNE37E70F220G"/>
    <s v="LABBATE LENA"/>
    <s v="600 - Famiglie consumatrici"/>
    <m/>
    <s v="086 - ITALIA"/>
    <n v="1464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47"/>
    <x v="4"/>
    <x v="4"/>
    <x v="48"/>
    <n v="53850"/>
    <n v="114"/>
    <s v="053850_114"/>
    <s v="Discovery Day"/>
    <s v="Mai valutato"/>
    <m/>
    <s v="202506248613374L"/>
    <n v="1143306285236"/>
    <n v="20250624"/>
    <s v="SPECIAL"/>
    <m/>
    <m/>
    <s v="D     - Dare"/>
    <n v="2061.9499999999998"/>
    <n v="0"/>
    <n v="3742678"/>
    <n v="3261830719"/>
    <s v="FALLIMENTO M.G.BRACCIA DI BRACCIA RAFFAELLA"/>
    <s v="501 - Istituzioni ed enti con finalita' di assistenza, beneficenza, istruzione, culturali, sindacali, politiche, sportive, ricreative e simili"/>
    <s v="473 - COMMERCIO AL DETTAGLIO DI CARBURANTE PER AUTOTRAZIONE IN ESERCIZI SPECIALIZZATI"/>
    <s v="086 - ITALIA"/>
    <m/>
    <m/>
    <m/>
    <m/>
    <m/>
    <m/>
    <m/>
    <m/>
    <n v="0"/>
    <n v="202506"/>
    <x v="0"/>
    <x v="0"/>
    <x v="0"/>
    <m/>
    <x v="0"/>
    <x v="1"/>
    <s v="999"/>
    <s v="501"/>
    <s v="501999"/>
    <m/>
    <s v="1"/>
    <s v="Classe di rischio 3"/>
  </r>
  <r>
    <n v="360446"/>
    <x v="5"/>
    <x v="5"/>
    <x v="48"/>
    <n v="53850"/>
    <n v="181"/>
    <s v="053850_181"/>
    <s v="Discovery Day"/>
    <s v="Mai valutato"/>
    <m/>
    <n v="202506248122040"/>
    <n v="1813301029924"/>
    <n v="20250624"/>
    <s v="D1 - Versamento di contante "/>
    <m/>
    <m/>
    <s v="A     - Avere"/>
    <n v="34545"/>
    <n v="34545"/>
    <n v="4948468"/>
    <s v="BRGCRL94M31L109B"/>
    <s v="BORAGINE CARLO"/>
    <s v="615 - Altre famiglie produttrici"/>
    <s v="472 - COMMERCIO AL DETTAGLIO DI PRODOTTI ALIMENTARI, BEVANDE E TABACCO IN ESERCIZI SPECIALIZZATI"/>
    <s v="086 - ITALIA"/>
    <n v="1943"/>
    <m/>
    <m/>
    <m/>
    <m/>
    <m/>
    <m/>
    <m/>
    <n v="0"/>
    <n v="202506"/>
    <x v="4"/>
    <x v="1"/>
    <x v="0"/>
    <n v="4948468"/>
    <x v="1"/>
    <x v="0"/>
    <s v="999"/>
    <s v="615"/>
    <s v="615999"/>
    <m/>
    <s v="1"/>
    <s v="Classe di rischio 3"/>
  </r>
  <r>
    <n v="360445"/>
    <x v="5"/>
    <x v="5"/>
    <x v="48"/>
    <n v="53850"/>
    <n v="108"/>
    <s v="053850_108"/>
    <s v="Discovery Day"/>
    <s v="Mai valutato"/>
    <m/>
    <n v="202506248121797"/>
    <n v="1083306291105"/>
    <n v="20250624"/>
    <s v="D1 - Versamento di contante "/>
    <m/>
    <m/>
    <s v="A     - Avere"/>
    <n v="98953.9"/>
    <n v="98953.9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0"/>
    <s v="999"/>
    <s v="430"/>
    <s v="430999"/>
    <m/>
    <s v="1"/>
    <s v="Classe di rischio 1"/>
  </r>
  <r>
    <n v="360444"/>
    <x v="5"/>
    <x v="5"/>
    <x v="48"/>
    <n v="53850"/>
    <n v="135"/>
    <s v="053850_135"/>
    <s v="Discovery Day"/>
    <s v="Mai valutato"/>
    <m/>
    <s v="Vari (24/06/2025)"/>
    <n v="1923300036309"/>
    <n v="20250624"/>
    <s v="D1 - Versamento di contante "/>
    <m/>
    <m/>
    <s v="A     - Avere"/>
    <n v="35053.050000000003"/>
    <n v="35053.050000000003"/>
    <n v="3732862"/>
    <n v="239870686"/>
    <s v="CESAR SPA"/>
    <s v="430 - Imprese produttive"/>
    <s v="477 - COMMERCIO AL DETTAGLIO DI ALTRI PRODOTTI IN ESERCIZI SPECIALIZZATI"/>
    <s v="086 - ITALIA"/>
    <m/>
    <m/>
    <m/>
    <m/>
    <m/>
    <m/>
    <m/>
    <m/>
    <n v="0"/>
    <n v="202506"/>
    <x v="3"/>
    <x v="1"/>
    <x v="0"/>
    <n v="3732862"/>
    <x v="1"/>
    <x v="0"/>
    <s v="477"/>
    <s v="430"/>
    <s v="430477"/>
    <s v="Classe di rischio 3"/>
    <m/>
    <s v="Classe di rischio 3"/>
  </r>
  <r>
    <n v="360443"/>
    <x v="5"/>
    <x v="5"/>
    <x v="48"/>
    <n v="53850"/>
    <n v="171"/>
    <s v="053850_171"/>
    <s v="Discovery Day"/>
    <s v="Mai valutato"/>
    <m/>
    <s v="Vari (24/06/2025)"/>
    <n v="1713305728950"/>
    <n v="20250624"/>
    <s v="03 - Versamento contante cassa continua "/>
    <m/>
    <m/>
    <s v="A     - Avere"/>
    <n v="240409.60000000001"/>
    <n v="240409.6000000000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442"/>
    <x v="4"/>
    <x v="4"/>
    <x v="48"/>
    <n v="53850"/>
    <n v="102"/>
    <s v="053850_102"/>
    <s v="Discovery Day"/>
    <s v="Mai valutato"/>
    <m/>
    <n v="202506248120407"/>
    <n v="1023308719030"/>
    <n v="20250624"/>
    <s v="48 - Bonifico in arrivo "/>
    <m/>
    <s v="086 - ITALIA"/>
    <s v="A     - Avere"/>
    <n v="3752113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x v="1"/>
    <x v="0"/>
    <x v="0"/>
    <m/>
    <x v="0"/>
    <x v="0"/>
    <s v="412"/>
    <s v="430"/>
    <s v="430412"/>
    <s v="Classe di rischio 3"/>
    <m/>
    <s v="Classe di rischio 3"/>
  </r>
  <r>
    <n v="360441"/>
    <x v="4"/>
    <x v="4"/>
    <x v="48"/>
    <n v="53850"/>
    <n v="147"/>
    <s v="053850_147"/>
    <s v="Discovery Day"/>
    <s v="Mai valutato"/>
    <m/>
    <n v="202506248121918"/>
    <n v="1473300000701"/>
    <n v="20250624"/>
    <s v="26 - Bonifico in partenza "/>
    <m/>
    <s v="086 - ITALIA"/>
    <s v="D     - Dare"/>
    <n v="500000"/>
    <n v="0"/>
    <n v="4329128"/>
    <s v="SNTMNN64E54B963F"/>
    <s v="SANTORO MARIA ANNA"/>
    <s v="600 - Famiglie consumatrici"/>
    <m/>
    <s v="086 - ITALIA"/>
    <n v="1428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40"/>
    <x v="4"/>
    <x v="4"/>
    <x v="48"/>
    <n v="53850"/>
    <n v="109"/>
    <s v="053850_109"/>
    <s v="Discovery Day"/>
    <s v="Mai valutato"/>
    <m/>
    <s v="202506248613458L"/>
    <n v="1093306671600"/>
    <n v="20250624"/>
    <s v="SPECIAL"/>
    <m/>
    <m/>
    <s v="D     - Dare"/>
    <n v="4104.33"/>
    <n v="0"/>
    <n v="4482499"/>
    <s v="DDNLBA26M54E815R"/>
    <s v="DE DONNO ALBA"/>
    <s v="600 - Famiglie consumatrici"/>
    <m/>
    <s v="086 - ITALIA"/>
    <n v="1430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439"/>
    <x v="4"/>
    <x v="4"/>
    <x v="48"/>
    <n v="53850"/>
    <n v="147"/>
    <s v="053850_147"/>
    <s v="Discovery Day"/>
    <s v="Mai valutato"/>
    <m/>
    <n v="202506248121918"/>
    <n v="1473300000701"/>
    <n v="20250624"/>
    <s v="26 - Bonifico in partenza "/>
    <m/>
    <s v="086 - ITALIA"/>
    <s v="D     - Dare"/>
    <n v="500000"/>
    <n v="0"/>
    <n v="4329168"/>
    <s v="MRTFNC66H27B963M"/>
    <s v="MARTUCCI FRANCESCO"/>
    <s v="600 - Famiglie consumatrici"/>
    <m/>
    <s v="086 - ITALIA"/>
    <n v="1428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38"/>
    <x v="4"/>
    <x v="4"/>
    <x v="48"/>
    <n v="53850"/>
    <n v="286"/>
    <s v="053850_286"/>
    <s v="Discovery Day"/>
    <s v="Mai valutato"/>
    <m/>
    <n v="202506248120648"/>
    <n v="2863300013709"/>
    <n v="20250624"/>
    <s v="48 - Bonifico in arrivo "/>
    <m/>
    <s v="086 - ITALIA"/>
    <s v="A     - Avere"/>
    <n v="1664495.23"/>
    <n v="0"/>
    <n v="3740066"/>
    <n v="2140150687"/>
    <s v="ESA SERVICE 24H SRL"/>
    <s v="430 - Imprese produttive"/>
    <s v="432 - INSTALLAZIONE DI IMPIANTI ELETTRICI, IDRAULICI ED ALTRI LAVORI DI COSTRUZIONE E INSTALLAZIONE"/>
    <s v="086 - ITALIA"/>
    <n v="1877"/>
    <m/>
    <m/>
    <m/>
    <m/>
    <m/>
    <m/>
    <m/>
    <n v="0"/>
    <n v="202506"/>
    <x v="4"/>
    <x v="1"/>
    <x v="0"/>
    <m/>
    <x v="0"/>
    <x v="0"/>
    <s v="999"/>
    <s v="430"/>
    <s v="430999"/>
    <m/>
    <s v="1"/>
    <s v="Classe di rischio 1"/>
  </r>
  <r>
    <n v="360437"/>
    <x v="4"/>
    <x v="4"/>
    <x v="48"/>
    <n v="53850"/>
    <n v="105"/>
    <s v="053850_105"/>
    <s v="Discovery Day"/>
    <s v="Mai valutato"/>
    <m/>
    <n v="202506248119433"/>
    <n v="1053306287103"/>
    <n v="20250624"/>
    <s v="26 - Bonifico in partenza "/>
    <m/>
    <s v="086 - ITALIA"/>
    <s v="D     - Dare"/>
    <n v="1700000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436"/>
    <x v="4"/>
    <x v="4"/>
    <x v="48"/>
    <n v="53850"/>
    <n v="286"/>
    <s v="053850_286"/>
    <s v="Discovery Day"/>
    <s v="Mai valutato"/>
    <m/>
    <n v="202506248119903"/>
    <n v="2863300013638"/>
    <n v="20250624"/>
    <s v="26 - Bonifico in partenza "/>
    <m/>
    <s v="086 - ITALIA"/>
    <s v="D     - Dare"/>
    <n v="6460000"/>
    <n v="0"/>
    <n v="3730606"/>
    <n v="17550651008"/>
    <s v="HOLDING ENERGIA SRL"/>
    <s v="285 - Holding operative finanziarie"/>
    <s v="642 - ATTIVITÀ DELLE SOCIETÀ DI PARTECIPAZIONE (HOLDING)"/>
    <s v="086 - ITALIA"/>
    <n v="1877"/>
    <m/>
    <m/>
    <m/>
    <m/>
    <m/>
    <m/>
    <m/>
    <n v="0"/>
    <n v="202506"/>
    <x v="4"/>
    <x v="1"/>
    <x v="0"/>
    <m/>
    <x v="0"/>
    <x v="0"/>
    <s v="999"/>
    <s v="285"/>
    <s v="285999"/>
    <m/>
    <s v="1"/>
    <s v="Classe di rischio 0"/>
  </r>
  <r>
    <n v="360435"/>
    <x v="2"/>
    <x v="2"/>
    <x v="48"/>
    <n v="53850"/>
    <n v="169"/>
    <s v="053850_169"/>
    <s v="Discovery Day"/>
    <s v="Mai valutato"/>
    <m/>
    <n v="202506248121006"/>
    <n v="1693302225120"/>
    <n v="20250624"/>
    <s v="AA - Bonifico da e per estero "/>
    <m/>
    <s v="238 - ABU DHABI"/>
    <s v="A     - Avere"/>
    <n v="7855"/>
    <n v="0"/>
    <n v="4535489"/>
    <s v="DMRNTN63C15L328N"/>
    <s v="DI MARTINO ANTONIO"/>
    <s v="615 - Altre famiglie produttrici"/>
    <s v="467 - COMMERCIO ALL'INGROSSO SPECIALIZZATO DI ALTRI PRODOTTI"/>
    <s v="086 - ITALIA"/>
    <n v="905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60434"/>
    <x v="5"/>
    <x v="5"/>
    <x v="48"/>
    <n v="53850"/>
    <n v="102"/>
    <s v="053850_102"/>
    <s v="Discovery Day"/>
    <s v="Mai valutato"/>
    <m/>
    <s v="Vari (24/06/2025)"/>
    <n v="1023308722503"/>
    <n v="20250624"/>
    <s v="03 - Versamento contante cassa continua "/>
    <m/>
    <m/>
    <s v="A     - Avere"/>
    <n v="34700"/>
    <n v="347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60433"/>
    <x v="3"/>
    <x v="3"/>
    <x v="48"/>
    <n v="53850"/>
    <n v="282"/>
    <s v="053850_282"/>
    <s v="Discovery Day"/>
    <s v="Mai valutato"/>
    <m/>
    <s v="Vari (24/06/2025)"/>
    <n v="2823300001940"/>
    <n v="20250624"/>
    <s v="VV"/>
    <m/>
    <m/>
    <s v="A     - Avere"/>
    <n v="222000"/>
    <n v="0"/>
    <n v="1678407"/>
    <s v="SPNPPS69H21C632V"/>
    <s v="SPINELLI PAOLO PASQUALE ANGELO"/>
    <s v="600 - Famiglie consumatrici"/>
    <m/>
    <s v="086 - ITALIA"/>
    <n v="1756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432"/>
    <x v="4"/>
    <x v="4"/>
    <x v="48"/>
    <n v="53850"/>
    <n v="116"/>
    <s v="053850_116"/>
    <s v="Discovery Day"/>
    <s v="Mai valutato"/>
    <m/>
    <s v="202506248613384L"/>
    <n v="1163300004979"/>
    <n v="20250624"/>
    <s v="SPECIAL"/>
    <m/>
    <m/>
    <s v="D     - Dare"/>
    <n v="3558.69"/>
    <n v="0"/>
    <n v="4464119"/>
    <s v="CPRLCU41B68A662V"/>
    <s v="CAPRIATI LUCIA"/>
    <s v="600 - Famiglie consumatrici"/>
    <m/>
    <s v="086 - ITALIA"/>
    <n v="808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431"/>
    <x v="6"/>
    <x v="6"/>
    <x v="48"/>
    <n v="53850"/>
    <n v="110"/>
    <s v="053850_110"/>
    <s v="Discovery Day"/>
    <s v="Mai valutato"/>
    <m/>
    <n v="202506248120998"/>
    <n v="1103306288240"/>
    <n v="20250624"/>
    <s v="AA - Bonifico da e per estero "/>
    <m/>
    <s v="129 - INDONESIA"/>
    <s v="A     - Avere"/>
    <n v="35142.01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60430"/>
    <x v="4"/>
    <x v="4"/>
    <x v="48"/>
    <n v="53850"/>
    <n v="271"/>
    <s v="053850_271"/>
    <s v="Discovery Day"/>
    <s v="Mai valutato"/>
    <m/>
    <n v="202506248122178"/>
    <n v="2713300000594"/>
    <n v="20250624"/>
    <s v="26 - Bonifico in partenza "/>
    <m/>
    <s v="086 - ITALIA"/>
    <s v="D     - Dare"/>
    <n v="247500"/>
    <n v="0"/>
    <n v="1614121"/>
    <s v="DZITRP65D29G141X"/>
    <s v="DI ZIO ETTORE PAOLO"/>
    <s v="600 - Famiglie consumatrici"/>
    <m/>
    <s v="086 - ITALIA"/>
    <n v="1800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429"/>
    <x v="5"/>
    <x v="5"/>
    <x v="48"/>
    <n v="53850"/>
    <n v="268"/>
    <s v="053850_268"/>
    <s v="Discovery Day"/>
    <s v="Mai valutato"/>
    <m/>
    <n v="202506248122154"/>
    <n v="2683300006671"/>
    <n v="20250624"/>
    <s v="D1 - Versamento di contante "/>
    <m/>
    <m/>
    <s v="A     - Avere"/>
    <n v="44100"/>
    <n v="44100"/>
    <n v="1704716"/>
    <n v="3109600795"/>
    <s v="FARMACIA BUCCARELLI DI BUCCARELLI VINCENZO &amp;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6"/>
    <x v="0"/>
    <x v="0"/>
    <x v="0"/>
    <m/>
    <x v="0"/>
    <x v="0"/>
    <s v="477"/>
    <s v="480"/>
    <s v="480477"/>
    <s v="Classe di rischio 5"/>
    <m/>
    <s v="Classe di rischio 5"/>
  </r>
  <r>
    <n v="360428"/>
    <x v="4"/>
    <x v="4"/>
    <x v="48"/>
    <n v="53850"/>
    <n v="198"/>
    <s v="053850_198"/>
    <s v="Discovery Day"/>
    <s v="Mai valutato"/>
    <m/>
    <n v="202506248122105"/>
    <n v="1983300003447"/>
    <n v="20250624"/>
    <s v="SPECIAL"/>
    <m/>
    <m/>
    <s v="D     - Dare"/>
    <n v="10636.81"/>
    <n v="0"/>
    <n v="4988718"/>
    <s v="SIUDNC31S01I158J"/>
    <s v="IUSO DOMENICO"/>
    <s v="600 - Famiglie consumatrici"/>
    <m/>
    <s v="086 - ITALIA"/>
    <n v="1718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427"/>
    <x v="4"/>
    <x v="4"/>
    <x v="48"/>
    <n v="53850"/>
    <n v="116"/>
    <s v="053850_116"/>
    <s v="Discovery Day"/>
    <s v="Mai valutato"/>
    <m/>
    <s v="202506248613384L"/>
    <n v="1163300004979"/>
    <n v="20250624"/>
    <s v="SPECIAL"/>
    <m/>
    <m/>
    <s v="D     - Dare"/>
    <n v="3558.69"/>
    <n v="0"/>
    <n v="4221113"/>
    <s v="RBNVLR76L46E882X"/>
    <s v="URBANO VALERIA"/>
    <s v="600 - Famiglie consumatrici"/>
    <m/>
    <s v="086 - ITALIA"/>
    <n v="900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426"/>
    <x v="3"/>
    <x v="3"/>
    <x v="48"/>
    <n v="53850"/>
    <n v="171"/>
    <s v="053850_171"/>
    <s v="Discovery Day"/>
    <s v="Mai valutato"/>
    <m/>
    <s v="Vari (24/06/2025)"/>
    <n v="1713305728950"/>
    <n v="20250624"/>
    <s v="03 - Versamento contante cassa continua "/>
    <m/>
    <m/>
    <s v="A     - Avere"/>
    <n v="240409.60000000001"/>
    <n v="240409.6000000000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425"/>
    <x v="3"/>
    <x v="3"/>
    <x v="48"/>
    <n v="53850"/>
    <n v="102"/>
    <s v="053850_102"/>
    <s v="Discovery Day"/>
    <s v="Mai valutato"/>
    <m/>
    <n v="202506248121732"/>
    <n v="1023308724027"/>
    <n v="20250624"/>
    <s v="G1 - Versamento assegni tratti su altro intermediario "/>
    <m/>
    <m/>
    <s v="A     - Avere"/>
    <n v="104422.21"/>
    <n v="0"/>
    <n v="4907143"/>
    <n v="8153900728"/>
    <s v="EDILIZIA VITALE SOCIETA' A RESPONSABILITA' L"/>
    <s v="430 - Imprese produttive"/>
    <s v="412 - COSTRUZIONE DI EDIFICI RESIDENZIALI E NON RESIDENZIALI"/>
    <s v="086 - ITALIA"/>
    <n v="1203"/>
    <m/>
    <m/>
    <m/>
    <m/>
    <m/>
    <m/>
    <m/>
    <n v="0"/>
    <n v="202506"/>
    <x v="2"/>
    <x v="1"/>
    <x v="0"/>
    <m/>
    <x v="0"/>
    <x v="0"/>
    <s v="412"/>
    <s v="430"/>
    <s v="430412"/>
    <s v="Classe di rischio 3"/>
    <m/>
    <s v="Classe di rischio 3"/>
  </r>
  <r>
    <n v="360424"/>
    <x v="4"/>
    <x v="4"/>
    <x v="49"/>
    <n v="53850"/>
    <n v="268"/>
    <s v="053850_268"/>
    <s v="Discovery Day"/>
    <s v="Mai valutato"/>
    <m/>
    <n v="202506238119181"/>
    <n v="2683300002901"/>
    <n v="20250623"/>
    <s v="54 - Incassi diversi"/>
    <m/>
    <m/>
    <s v="A     - Avere"/>
    <n v="180000"/>
    <n v="0"/>
    <n v="1639443"/>
    <s v="STNLBT35A71I350S"/>
    <s v="STINA' ELISABETTA"/>
    <s v="600 - Famiglie consumatrici"/>
    <m/>
    <s v="086 - ITALIA"/>
    <n v="175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23"/>
    <x v="4"/>
    <x v="4"/>
    <x v="49"/>
    <n v="53850"/>
    <n v="270"/>
    <s v="053850_270"/>
    <s v="Discovery Day"/>
    <s v="Mai valutato"/>
    <m/>
    <n v="202506238119209"/>
    <n v="2703300010948"/>
    <n v="20250623"/>
    <s v="26 - Bonifico in partenza 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422"/>
    <x v="5"/>
    <x v="5"/>
    <x v="49"/>
    <n v="53850"/>
    <n v="108"/>
    <s v="053850_108"/>
    <s v="Discovery Day"/>
    <s v="Mai valutato"/>
    <m/>
    <s v="Vari (23/06/2025)"/>
    <n v="1083305200700"/>
    <n v="20250623"/>
    <s v="VV"/>
    <m/>
    <m/>
    <s v="A     - Avere"/>
    <n v="44005.96"/>
    <n v="2969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6"/>
    <x v="2"/>
    <x v="1"/>
    <x v="0"/>
    <m/>
    <x v="0"/>
    <x v="1"/>
    <s v="464"/>
    <s v="430"/>
    <s v="430464"/>
    <s v="Classe di rischio 4"/>
    <m/>
    <s v="Classe di rischio 4"/>
  </r>
  <r>
    <n v="360421"/>
    <x v="3"/>
    <x v="3"/>
    <x v="49"/>
    <n v="53850"/>
    <n v="149"/>
    <s v="053850_149"/>
    <s v="Discovery Day"/>
    <s v="Mai valutato"/>
    <m/>
    <n v="202506238118950"/>
    <n v="1493300660770"/>
    <n v="20250623"/>
    <s v="G7 - Versamento assegno circolare altro intermediario "/>
    <m/>
    <m/>
    <s v="A     - Avere"/>
    <n v="120000"/>
    <n v="0"/>
    <n v="4317444"/>
    <s v="PLMCHR81B49F839F"/>
    <s v="PALMIERI CHIARA"/>
    <s v="600 - Famiglie consumatrici"/>
    <m/>
    <s v="086 - ITALIA"/>
    <n v="104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20"/>
    <x v="3"/>
    <x v="3"/>
    <x v="49"/>
    <n v="53850"/>
    <n v="116"/>
    <s v="053850_116"/>
    <s v="Discovery Day"/>
    <s v="Mai valutato"/>
    <m/>
    <s v="Vari (23/06/2025)"/>
    <n v="1163307623465"/>
    <n v="20250623"/>
    <s v="VV"/>
    <m/>
    <m/>
    <s v="A     - Avere"/>
    <n v="90000"/>
    <n v="0"/>
    <n v="3738297"/>
    <n v="8684570727"/>
    <s v="NOVAGORA' S.R.L."/>
    <s v="430 - Imprese produttive"/>
    <s v="412 - COSTRUZIONE DI EDIFICI RESIDENZIALI E NON RESIDENZIALI"/>
    <s v="086 - ITALIA"/>
    <n v="739"/>
    <m/>
    <m/>
    <m/>
    <m/>
    <m/>
    <m/>
    <m/>
    <n v="0"/>
    <n v="202506"/>
    <x v="2"/>
    <x v="1"/>
    <x v="0"/>
    <m/>
    <x v="0"/>
    <x v="1"/>
    <s v="412"/>
    <s v="430"/>
    <s v="430412"/>
    <s v="Classe di rischio 3"/>
    <m/>
    <s v="Classe di rischio 3"/>
  </r>
  <r>
    <n v="360419"/>
    <x v="4"/>
    <x v="4"/>
    <x v="49"/>
    <n v="53850"/>
    <n v="282"/>
    <s v="053850_282"/>
    <s v="Discovery Day"/>
    <s v="Mai valutato"/>
    <m/>
    <n v="202506238118634"/>
    <n v="2823300002829"/>
    <n v="20250623"/>
    <s v="13 - Addebito per estinzione assegno"/>
    <m/>
    <m/>
    <s v="D     - Dare"/>
    <n v="169000"/>
    <n v="0"/>
    <n v="1625385"/>
    <s v="SRFRGB65D56B985J"/>
    <s v="SERAFINI RITA GABRIELLA"/>
    <s v="615 - Altre famiglie produttrici"/>
    <s v="477 - COMMERCIO AL DETTAGLIO DI ALTRI PRODOTTI IN ESERCIZI SPECIALIZZATI"/>
    <s v="086 - ITALIA"/>
    <n v="1387"/>
    <m/>
    <m/>
    <m/>
    <m/>
    <m/>
    <m/>
    <m/>
    <n v="0"/>
    <n v="202506"/>
    <x v="4"/>
    <x v="1"/>
    <x v="0"/>
    <n v="1625385"/>
    <x v="1"/>
    <x v="0"/>
    <s v="477"/>
    <s v="615"/>
    <s v="615477"/>
    <s v="Classe di rischio 6"/>
    <m/>
    <s v="Classe di rischio 6"/>
  </r>
  <r>
    <n v="360418"/>
    <x v="2"/>
    <x v="2"/>
    <x v="49"/>
    <n v="53850"/>
    <n v="274"/>
    <s v="053850_274"/>
    <s v="Discovery Day"/>
    <s v="Mai valutato"/>
    <m/>
    <s v="202506238558595L"/>
    <n v="2743300000272"/>
    <n v="20250623"/>
    <s v="AA - Bonifico da e per estero "/>
    <m/>
    <s v="012 - BULGARIA"/>
    <s v="A     - Avere"/>
    <n v="2739.39"/>
    <n v="0"/>
    <n v="1622875"/>
    <n v="1689300695"/>
    <s v="MANIFATTURE MONACO DOMENICO S.R.L."/>
    <s v="430 - Imprese produttive"/>
    <s v="222 - FABBRICAZIONE DI ARTICOLI IN MATERIE PLASTICHE"/>
    <s v="086 - ITALIA"/>
    <n v="1413"/>
    <m/>
    <m/>
    <m/>
    <m/>
    <m/>
    <m/>
    <m/>
    <n v="0"/>
    <n v="202506"/>
    <x v="0"/>
    <x v="0"/>
    <x v="0"/>
    <m/>
    <x v="0"/>
    <x v="0"/>
    <s v="999"/>
    <s v="430"/>
    <s v="430999"/>
    <m/>
    <s v="1"/>
    <s v="Classe di rischio 1"/>
  </r>
  <r>
    <n v="360417"/>
    <x v="6"/>
    <x v="6"/>
    <x v="49"/>
    <n v="53850"/>
    <n v="102"/>
    <s v="053850_102"/>
    <s v="Discovery Day"/>
    <s v="Mai valutato"/>
    <m/>
    <n v="202506238117713"/>
    <n v="1023306274827"/>
    <n v="20250623"/>
    <s v="AA - Bonifico da e per estero "/>
    <m/>
    <s v="182 - ISRAELE"/>
    <s v="A     - Avere"/>
    <n v="15415"/>
    <n v="0"/>
    <n v="4532331"/>
    <n v="6874220723"/>
    <s v="DIVITALIA S.R.L. SOCIETA' UNIPERSONALE"/>
    <s v="430 - Imprese produttive"/>
    <s v="310 - FABBRICAZIONE DI MOBILI"/>
    <s v="086 - ITALIA"/>
    <n v="911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416"/>
    <x v="4"/>
    <x v="4"/>
    <x v="49"/>
    <n v="53850"/>
    <n v="102"/>
    <s v="053850_102"/>
    <s v="Discovery Day"/>
    <s v="Mai valutato"/>
    <m/>
    <n v="202506238116309"/>
    <n v="1023304132020"/>
    <n v="20250623"/>
    <s v="26 - Bonifico in partenza "/>
    <m/>
    <s v="086 - ITALIA"/>
    <s v="D     - Dare"/>
    <n v="603405.71"/>
    <n v="0"/>
    <n v="413202"/>
    <n v="454840778"/>
    <s v="EDIL.CO SRL"/>
    <s v="430 - Imprese produttive"/>
    <s v="412 - COSTRUZIONE DI EDIFICI RESIDENZIALI E NON RESIDENZIALI"/>
    <s v="086 - ITALIA"/>
    <n v="1203"/>
    <m/>
    <m/>
    <m/>
    <m/>
    <m/>
    <m/>
    <m/>
    <n v="0"/>
    <n v="202506"/>
    <x v="4"/>
    <x v="1"/>
    <x v="0"/>
    <m/>
    <x v="0"/>
    <x v="0"/>
    <s v="412"/>
    <s v="430"/>
    <s v="430412"/>
    <s v="Classe di rischio 3"/>
    <m/>
    <s v="Classe di rischio 3"/>
  </r>
  <r>
    <n v="360415"/>
    <x v="4"/>
    <x v="4"/>
    <x v="49"/>
    <n v="53850"/>
    <n v="141"/>
    <s v="053850_141"/>
    <s v="Discovery Day"/>
    <s v="Mai valutato"/>
    <m/>
    <n v="202506238117465"/>
    <n v="1413300003985"/>
    <n v="20250623"/>
    <s v="48 - Bonifico in arrivo "/>
    <m/>
    <s v="086 - ITALIA"/>
    <s v="A     - Avere"/>
    <n v="2756426.06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x v="4"/>
    <x v="1"/>
    <x v="0"/>
    <m/>
    <x v="0"/>
    <x v="0"/>
    <s v="931"/>
    <s v="430"/>
    <s v="430931"/>
    <s v="Classe di rischio 3"/>
    <m/>
    <s v="Classe di rischio 3"/>
  </r>
  <r>
    <n v="360414"/>
    <x v="4"/>
    <x v="4"/>
    <x v="49"/>
    <n v="53850"/>
    <n v="181"/>
    <s v="053850_181"/>
    <s v="Discovery Day"/>
    <s v="Mai valutato"/>
    <m/>
    <s v="202506238556055L"/>
    <n v="1813301029046"/>
    <n v="20250623"/>
    <s v="SPECIAL"/>
    <m/>
    <m/>
    <s v="D     - Dare"/>
    <n v="1647.47"/>
    <n v="0"/>
    <n v="4057879"/>
    <s v="DLSNGL68R54D643N"/>
    <s v="D'ALESSANDRO ANGELA"/>
    <s v="600 - Famiglie consumatrici"/>
    <m/>
    <s v="086 - ITALIA"/>
    <n v="1624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413"/>
    <x v="3"/>
    <x v="3"/>
    <x v="49"/>
    <n v="53850"/>
    <n v="182"/>
    <s v="053850_182"/>
    <s v="Discovery Day"/>
    <s v="Mai valutato"/>
    <m/>
    <s v="Vari (23/06/2025)"/>
    <n v="1823300169301"/>
    <n v="20250623"/>
    <s v="03 - Versamento contante cassa continua "/>
    <m/>
    <m/>
    <s v="A     - Avere"/>
    <n v="44685"/>
    <n v="4468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x v="4"/>
    <x v="1"/>
    <x v="0"/>
    <n v="4284957"/>
    <x v="1"/>
    <x v="0"/>
    <s v="920"/>
    <s v="615"/>
    <s v="615920"/>
    <s v="Classe di rischio 6"/>
    <m/>
    <s v="Classe di rischio 6"/>
  </r>
  <r>
    <n v="360412"/>
    <x v="4"/>
    <x v="4"/>
    <x v="49"/>
    <n v="53850"/>
    <n v="126"/>
    <s v="053850_126"/>
    <s v="Discovery Day"/>
    <s v="Mai valutato"/>
    <m/>
    <s v="202506238544969L"/>
    <n v="1263300002179"/>
    <n v="20250623"/>
    <s v="SPECIAL"/>
    <m/>
    <m/>
    <s v="D     - Dare"/>
    <n v="1746.48"/>
    <n v="0"/>
    <n v="4555076"/>
    <s v="ZCCCMD49D15B619A"/>
    <s v="ZACCARO COSIMO DAMIANO"/>
    <s v="600 - Famiglie consumatrici"/>
    <m/>
    <s v="086 - ITALIA"/>
    <n v="1423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411"/>
    <x v="4"/>
    <x v="4"/>
    <x v="49"/>
    <n v="53850"/>
    <n v="168"/>
    <s v="053850_168"/>
    <s v="Discovery Day"/>
    <s v="Mai valutato"/>
    <m/>
    <n v="202506238119002"/>
    <n v="1683306276854"/>
    <n v="20250623"/>
    <s v="SPECIAL"/>
    <m/>
    <m/>
    <s v="D     - Dare"/>
    <n v="21701.17"/>
    <n v="0"/>
    <n v="589733"/>
    <s v="CLMVMR63B53Z133Z"/>
    <s v="COLAMONACO VITA MARIA"/>
    <s v="600 - Famiglie consumatrici"/>
    <m/>
    <s v="086 - ITALIA"/>
    <n v="1316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410"/>
    <x v="4"/>
    <x v="4"/>
    <x v="49"/>
    <n v="53850"/>
    <n v="270"/>
    <s v="053850_270"/>
    <s v="Discovery Day"/>
    <s v="Mai valutato"/>
    <m/>
    <n v="202506238119209"/>
    <n v="2703300010948"/>
    <n v="20250623"/>
    <s v="26 - Bonifico in partenza 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409"/>
    <x v="2"/>
    <x v="2"/>
    <x v="49"/>
    <n v="53850"/>
    <n v="192"/>
    <s v="053850_192"/>
    <s v="Discovery Day"/>
    <s v="Mai valutato"/>
    <m/>
    <n v="202506238117145"/>
    <n v="1923300181730"/>
    <n v="20250623"/>
    <s v="AA - Bonifico da e per estero "/>
    <m/>
    <s v="091 - PRINCIPATO DI MONACO"/>
    <s v="A     - Avere"/>
    <n v="10930"/>
    <n v="0"/>
    <n v="4728790"/>
    <n v="7892320966"/>
    <s v="VAT ITALIA S.R.L."/>
    <s v="430 - Imprese produttive"/>
    <s v="702 - ATTIVITÀ DI CONSULENZA GESTIONALE"/>
    <s v="086 - ITALIA"/>
    <n v="190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408"/>
    <x v="4"/>
    <x v="4"/>
    <x v="49"/>
    <n v="53850"/>
    <n v="270"/>
    <s v="053850_270"/>
    <s v="Discovery Day"/>
    <s v="Mai valutato"/>
    <m/>
    <n v="202506238119208"/>
    <n v="2703300010948"/>
    <n v="20250623"/>
    <s v="26 - Bonifico in partenza "/>
    <m/>
    <s v="086 - ITALIA"/>
    <s v="D     - Dare"/>
    <n v="202500"/>
    <n v="0"/>
    <n v="3742155"/>
    <s v="RVTCLD02H49G141D"/>
    <s v="ROVITO FORQUET FAMIGLIETTI CLAUDIA"/>
    <s v="600 - Famiglie consumatrici"/>
    <m/>
    <s v="086 - ITALIA"/>
    <n v="1875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407"/>
    <x v="2"/>
    <x v="2"/>
    <x v="49"/>
    <n v="53850"/>
    <n v="149"/>
    <s v="053850_149"/>
    <s v="Discovery Day"/>
    <s v="Mai valutato"/>
    <m/>
    <n v="202506238117440"/>
    <n v="1493300663564"/>
    <n v="20250623"/>
    <s v="AA - Bonifico da e per estero "/>
    <m/>
    <s v="012 - BULGARIA"/>
    <s v="A     - Avere"/>
    <n v="16286.5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406"/>
    <x v="2"/>
    <x v="2"/>
    <x v="49"/>
    <n v="53850"/>
    <n v="175"/>
    <s v="053850_175"/>
    <s v="Discovery Day"/>
    <s v="Mai valutato"/>
    <m/>
    <s v="202506238559257L"/>
    <n v="1753302204249"/>
    <n v="20250623"/>
    <s v="AA - Bonifico da e per estero "/>
    <m/>
    <s v="012 - BULGARIA"/>
    <s v="A     - Avere"/>
    <n v="1000"/>
    <n v="0"/>
    <n v="4971678"/>
    <s v="VZZLNB73R01F052E"/>
    <s v="VIZZIELLO LUCIANO BRUNO"/>
    <s v="614 - Artigiani"/>
    <s v="331 - RIPARAZIONE E MANUTENZIONE DI PRODOTTI IN METALLO, MACCHINE ED APPARECCHIATURE"/>
    <s v="086 - ITALIA"/>
    <n v="1093"/>
    <m/>
    <m/>
    <m/>
    <m/>
    <m/>
    <m/>
    <m/>
    <n v="0"/>
    <n v="202506"/>
    <x v="2"/>
    <x v="1"/>
    <x v="0"/>
    <m/>
    <x v="0"/>
    <x v="0"/>
    <s v="999"/>
    <s v="614"/>
    <s v="614999"/>
    <m/>
    <s v="1"/>
    <s v="Classe di rischio 3"/>
  </r>
  <r>
    <n v="360405"/>
    <x v="5"/>
    <x v="5"/>
    <x v="49"/>
    <n v="53850"/>
    <n v="267"/>
    <s v="053850_267"/>
    <s v="Discovery Day"/>
    <s v="Mai valutato"/>
    <m/>
    <s v="Vari (23/06/2025)"/>
    <n v="2673300003600"/>
    <n v="20250623"/>
    <s v="VV"/>
    <m/>
    <m/>
    <s v="A     - Avere"/>
    <n v="121088"/>
    <n v="12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x v="4"/>
    <x v="1"/>
    <x v="0"/>
    <n v="1705101"/>
    <x v="1"/>
    <x v="1"/>
    <s v="999"/>
    <s v="492"/>
    <s v="492999"/>
    <m/>
    <s v="1"/>
    <s v="Classe di rischio 2"/>
  </r>
  <r>
    <n v="360404"/>
    <x v="4"/>
    <x v="4"/>
    <x v="49"/>
    <n v="53850"/>
    <n v="132"/>
    <s v="053850_132"/>
    <s v="Discovery Day"/>
    <s v="Mai valutato"/>
    <m/>
    <n v="202506238118206"/>
    <n v="1323300001591"/>
    <n v="20250623"/>
    <s v="50 - Pagamenti diversi"/>
    <m/>
    <m/>
    <s v="D     - Dare"/>
    <n v="160000"/>
    <n v="0"/>
    <n v="4325549"/>
    <s v="TFRFMN75H52A942M"/>
    <s v="TUFARO FILOMENA"/>
    <s v="600 - Famiglie consumatrici"/>
    <m/>
    <s v="086 - ITALIA"/>
    <n v="1959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403"/>
    <x v="4"/>
    <x v="4"/>
    <x v="49"/>
    <n v="53850"/>
    <n v="266"/>
    <s v="053850_266"/>
    <s v="Discovery Day"/>
    <s v="Mai valutato"/>
    <m/>
    <n v="202506238118644"/>
    <n v="2663300000906"/>
    <n v="20250623"/>
    <s v="SPECIAL"/>
    <m/>
    <m/>
    <s v="D     - Dare"/>
    <n v="9464.8799999999992"/>
    <n v="0"/>
    <n v="1704324"/>
    <s v="BRBGTN40P28B169H"/>
    <s v="BARBIERI GAETANO"/>
    <s v="600 - Famiglie consumatrici"/>
    <m/>
    <s v="086 - ITALIA"/>
    <m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402"/>
    <x v="5"/>
    <x v="5"/>
    <x v="49"/>
    <n v="53850"/>
    <n v="171"/>
    <s v="053850_171"/>
    <s v="Discovery Day"/>
    <s v="Mai valutato"/>
    <m/>
    <s v="Vari (23/06/2025)"/>
    <n v="1713302214147"/>
    <n v="20250623"/>
    <s v="03 - Versamento contante cassa continua "/>
    <m/>
    <m/>
    <s v="A     - Avere"/>
    <n v="87621.26"/>
    <n v="87621.26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60401"/>
    <x v="4"/>
    <x v="4"/>
    <x v="49"/>
    <n v="53850"/>
    <n v="270"/>
    <s v="053850_270"/>
    <s v="Discovery Day"/>
    <s v="Mai valutato"/>
    <m/>
    <n v="202506238119209"/>
    <n v="2703300010948"/>
    <n v="20250623"/>
    <s v="26 - Bonifico in partenza 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400"/>
    <x v="5"/>
    <x v="5"/>
    <x v="49"/>
    <n v="53850"/>
    <n v="109"/>
    <s v="053850_109"/>
    <s v="Discovery Day"/>
    <s v="Mai valutato"/>
    <m/>
    <n v="202506238118786"/>
    <n v="1093306675356"/>
    <n v="20250623"/>
    <s v="D1 - Versamento di contante "/>
    <m/>
    <m/>
    <s v="A     - Avere"/>
    <n v="31500"/>
    <n v="315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6"/>
    <x v="1"/>
    <x v="0"/>
    <x v="0"/>
    <n v="4976123"/>
    <x v="1"/>
    <x v="0"/>
    <s v="477"/>
    <s v="430"/>
    <s v="430477"/>
    <s v="Classe di rischio 3"/>
    <m/>
    <s v="Classe di rischio 3"/>
  </r>
  <r>
    <n v="360399"/>
    <x v="5"/>
    <x v="5"/>
    <x v="49"/>
    <n v="53850"/>
    <n v="114"/>
    <s v="053850_114"/>
    <s v="Discovery Day"/>
    <s v="Mai valutato"/>
    <m/>
    <s v="Vari (23/06/2025)"/>
    <n v="1143306280621"/>
    <n v="20250623"/>
    <s v="D1 - Versamento di contante "/>
    <m/>
    <m/>
    <s v="A     - Avere"/>
    <n v="93700"/>
    <n v="937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x v="1"/>
    <x v="0"/>
    <x v="0"/>
    <n v="4658875"/>
    <x v="1"/>
    <x v="0"/>
    <s v="477"/>
    <s v="430"/>
    <s v="430477"/>
    <s v="Classe di rischio 3"/>
    <m/>
    <s v="Classe di rischio 3"/>
  </r>
  <r>
    <n v="360398"/>
    <x v="5"/>
    <x v="5"/>
    <x v="49"/>
    <n v="53850"/>
    <n v="259"/>
    <s v="053850_259"/>
    <s v="Discovery Day"/>
    <s v="Mai valutato"/>
    <m/>
    <s v="Vari (23/06/2025)"/>
    <n v="2593300000146"/>
    <n v="20250623"/>
    <s v="VV"/>
    <m/>
    <m/>
    <s v="A     - Avere"/>
    <n v="37559.17"/>
    <n v="33450"/>
    <n v="4574357"/>
    <n v="5690380729"/>
    <s v="FRUTTATTIVA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4"/>
    <x v="1"/>
    <x v="0"/>
    <n v="4574357"/>
    <x v="1"/>
    <x v="1"/>
    <s v="463"/>
    <s v="430"/>
    <s v="430463"/>
    <s v="Classe di rischio 3"/>
    <m/>
    <s v="Classe di rischio 3"/>
  </r>
  <r>
    <n v="360397"/>
    <x v="3"/>
    <x v="3"/>
    <x v="49"/>
    <n v="53850"/>
    <n v="128"/>
    <s v="053850_128"/>
    <s v="Discovery Day"/>
    <s v="Mai valutato"/>
    <m/>
    <s v="Vari (23/06/2025)"/>
    <n v="1283300001665"/>
    <n v="20250623"/>
    <s v="VV"/>
    <m/>
    <m/>
    <s v="A     - Avere"/>
    <n v="209603.69"/>
    <n v="420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60396"/>
    <x v="4"/>
    <x v="4"/>
    <x v="49"/>
    <n v="53850"/>
    <n v="114"/>
    <s v="053850_114"/>
    <s v="Discovery Day"/>
    <s v="Mai valutato"/>
    <m/>
    <n v="202506238118650"/>
    <n v="1143306282060"/>
    <n v="20250623"/>
    <s v="SPECIAL"/>
    <m/>
    <m/>
    <s v="D     - Dare"/>
    <n v="7531.77"/>
    <n v="0"/>
    <n v="4917552"/>
    <s v="GHZMRA75C64D643G"/>
    <s v="GHEZZA MARA"/>
    <s v="615 - Altre famiglie produttrici"/>
    <s v="691 - ATTIVITÀ DEGLI STUDI LEGALI"/>
    <s v="086 - ITALIA"/>
    <n v="869"/>
    <m/>
    <m/>
    <m/>
    <m/>
    <m/>
    <m/>
    <m/>
    <n v="0"/>
    <n v="202506"/>
    <x v="0"/>
    <x v="0"/>
    <x v="0"/>
    <m/>
    <x v="0"/>
    <x v="1"/>
    <s v="999"/>
    <s v="615"/>
    <s v="615999"/>
    <m/>
    <s v="1"/>
    <s v="Classe di rischio 3"/>
  </r>
  <r>
    <n v="360395"/>
    <x v="2"/>
    <x v="2"/>
    <x v="49"/>
    <n v="53850"/>
    <n v="111"/>
    <s v="053850_111"/>
    <s v="Discovery Day"/>
    <s v="Mai valutato"/>
    <m/>
    <s v="202506238546057L"/>
    <n v="1113302815423"/>
    <n v="20250623"/>
    <s v="AA - Bonifico da e per estero "/>
    <m/>
    <s v="261 - CROAZIA"/>
    <s v="D     - Dare"/>
    <n v="2150"/>
    <n v="0"/>
    <n v="4943888"/>
    <s v="BRJNCL95S01F052R"/>
    <s v="BRAJKO NICOLA"/>
    <s v="600 - Famiglie consumatrici"/>
    <m/>
    <s v="086 - ITALIA"/>
    <n v="59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394"/>
    <x v="3"/>
    <x v="3"/>
    <x v="49"/>
    <n v="53850"/>
    <n v="129"/>
    <s v="053850_129"/>
    <s v="Discovery Day"/>
    <s v="Mai valutato"/>
    <m/>
    <s v="Vari (23/06/2025)"/>
    <n v="1293300001331"/>
    <n v="20250623"/>
    <s v="VV"/>
    <m/>
    <m/>
    <s v="A     - Avere"/>
    <n v="143056.84"/>
    <n v="17050"/>
    <n v="456478"/>
    <n v="1161370729"/>
    <s v="CASEIFICIO PALAZZO S.P.A."/>
    <s v="430 - Imprese produttive"/>
    <s v="105 - INDUSTRIA LATTIERO-CASEARIA"/>
    <s v="086 - ITALIA"/>
    <n v="1058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60393"/>
    <x v="5"/>
    <x v="5"/>
    <x v="49"/>
    <n v="53850"/>
    <n v="170"/>
    <s v="053850_170"/>
    <s v="Discovery Day"/>
    <s v="Mai valutato"/>
    <m/>
    <s v="Vari (23/06/2025)"/>
    <n v="1703300000428"/>
    <n v="20250623"/>
    <s v="03 - Versamento contante cassa continua "/>
    <m/>
    <m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6"/>
    <x v="1"/>
    <x v="0"/>
    <x v="0"/>
    <n v="4833134"/>
    <x v="1"/>
    <x v="0"/>
    <s v="999"/>
    <s v="430"/>
    <s v="430999"/>
    <m/>
    <s v="1"/>
    <s v="Classe di rischio 1"/>
  </r>
  <r>
    <n v="360392"/>
    <x v="5"/>
    <x v="5"/>
    <x v="49"/>
    <n v="53850"/>
    <n v="182"/>
    <s v="053850_182"/>
    <s v="Discovery Day"/>
    <s v="Mai valutato"/>
    <m/>
    <s v="Vari (23/06/2025)"/>
    <n v="1823300169301"/>
    <n v="20250623"/>
    <s v="03 - Versamento contante cassa continua "/>
    <m/>
    <m/>
    <s v="A     - Avere"/>
    <n v="44685"/>
    <n v="4468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x v="4"/>
    <x v="1"/>
    <x v="0"/>
    <n v="4284957"/>
    <x v="1"/>
    <x v="0"/>
    <s v="920"/>
    <s v="615"/>
    <s v="615920"/>
    <s v="Classe di rischio 6"/>
    <m/>
    <s v="Classe di rischio 6"/>
  </r>
  <r>
    <n v="360391"/>
    <x v="4"/>
    <x v="4"/>
    <x v="49"/>
    <n v="53850"/>
    <n v="141"/>
    <s v="053850_141"/>
    <s v="Discovery Day"/>
    <s v="Mai valutato"/>
    <m/>
    <n v="202506238117466"/>
    <n v="1413300003985"/>
    <n v="20250623"/>
    <s v="48 - Bonifico in arrivo "/>
    <m/>
    <s v="086 - ITALIA"/>
    <s v="A     - Avere"/>
    <n v="855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x v="4"/>
    <x v="1"/>
    <x v="0"/>
    <m/>
    <x v="0"/>
    <x v="0"/>
    <s v="931"/>
    <s v="430"/>
    <s v="430931"/>
    <s v="Classe di rischio 3"/>
    <m/>
    <s v="Classe di rischio 3"/>
  </r>
  <r>
    <n v="360390"/>
    <x v="5"/>
    <x v="5"/>
    <x v="49"/>
    <n v="53850"/>
    <n v="171"/>
    <s v="053850_171"/>
    <s v="Discovery Day"/>
    <s v="Mai valutato"/>
    <m/>
    <s v="Vari (23/06/2025)"/>
    <n v="1713305728950"/>
    <n v="20250623"/>
    <s v="03 - Versamento contante cassa continua "/>
    <m/>
    <m/>
    <s v="A     - Avere"/>
    <n v="371309.34"/>
    <n v="371309.3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389"/>
    <x v="3"/>
    <x v="3"/>
    <x v="49"/>
    <n v="53850"/>
    <n v="171"/>
    <s v="053850_171"/>
    <s v="Discovery Day"/>
    <s v="Mai valutato"/>
    <m/>
    <s v="Vari (23/06/2025)"/>
    <n v="1713305728950"/>
    <n v="20250623"/>
    <s v="03 - Versamento contante cassa continua "/>
    <m/>
    <m/>
    <s v="A     - Avere"/>
    <n v="371309.34"/>
    <n v="371309.34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388"/>
    <x v="4"/>
    <x v="4"/>
    <x v="49"/>
    <n v="53850"/>
    <n v="141"/>
    <s v="053850_141"/>
    <s v="Discovery Day"/>
    <s v="Mai valutato"/>
    <m/>
    <n v="202506238116593"/>
    <n v="1413300003985"/>
    <n v="20250623"/>
    <s v="26 - Bonifico in partenza "/>
    <m/>
    <s v="086 - ITALIA"/>
    <s v="D     - Dare"/>
    <n v="1395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x v="4"/>
    <x v="1"/>
    <x v="0"/>
    <m/>
    <x v="0"/>
    <x v="0"/>
    <s v="931"/>
    <s v="430"/>
    <s v="430931"/>
    <s v="Classe di rischio 3"/>
    <m/>
    <s v="Classe di rischio 3"/>
  </r>
  <r>
    <n v="360387"/>
    <x v="5"/>
    <x v="5"/>
    <x v="49"/>
    <n v="53850"/>
    <n v="108"/>
    <s v="053850_108"/>
    <s v="Discovery Day"/>
    <s v="Mai valutato"/>
    <m/>
    <s v="Vari (23/06/2025)"/>
    <n v="1083306291105"/>
    <n v="20250623"/>
    <s v="VV"/>
    <m/>
    <m/>
    <s v="A     - Avere"/>
    <n v="103821.91"/>
    <n v="73196.850000000006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60386"/>
    <x v="5"/>
    <x v="5"/>
    <x v="49"/>
    <n v="53850"/>
    <n v="116"/>
    <s v="053850_116"/>
    <s v="Discovery Day"/>
    <s v="Mai valutato"/>
    <m/>
    <n v="202506238118512"/>
    <n v="2343300010453"/>
    <n v="20250623"/>
    <s v="03 - Versamento contante cassa continua "/>
    <m/>
    <m/>
    <s v="A     - Avere"/>
    <n v="151490.5"/>
    <n v="151490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385"/>
    <x v="4"/>
    <x v="4"/>
    <x v="49"/>
    <n v="53850"/>
    <n v="126"/>
    <s v="053850_126"/>
    <s v="Discovery Day"/>
    <s v="Mai valutato"/>
    <m/>
    <s v="202506238544969L"/>
    <n v="1263300002179"/>
    <n v="20250623"/>
    <s v="SPECIAL"/>
    <m/>
    <m/>
    <s v="D     - Dare"/>
    <n v="1746.48"/>
    <n v="0"/>
    <n v="4555074"/>
    <s v="ZCCNZM82H70B619G"/>
    <s v="ZACCARO NUNZIA MICHELA"/>
    <s v="600 - Famiglie consumatrici"/>
    <m/>
    <s v="086 - ITALIA"/>
    <n v="1423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84"/>
    <x v="3"/>
    <x v="3"/>
    <x v="49"/>
    <n v="53850"/>
    <n v="114"/>
    <s v="053850_114"/>
    <s v="Discovery Day"/>
    <s v="Mai valutato"/>
    <m/>
    <s v="Vari (23/06/2025)"/>
    <n v="1143306280621"/>
    <n v="20250623"/>
    <s v="D1 - Versamento di contante "/>
    <m/>
    <m/>
    <s v="A     - Avere"/>
    <n v="93700"/>
    <n v="937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x v="1"/>
    <x v="0"/>
    <x v="0"/>
    <n v="4658875"/>
    <x v="1"/>
    <x v="0"/>
    <s v="477"/>
    <s v="430"/>
    <s v="430477"/>
    <s v="Classe di rischio 3"/>
    <m/>
    <s v="Classe di rischio 3"/>
  </r>
  <r>
    <n v="360383"/>
    <x v="4"/>
    <x v="4"/>
    <x v="49"/>
    <n v="53850"/>
    <n v="126"/>
    <s v="053850_126"/>
    <s v="Discovery Day"/>
    <s v="Mai valutato"/>
    <m/>
    <s v="202506238544969L"/>
    <n v="1263300002179"/>
    <n v="20250623"/>
    <s v="SPECIAL"/>
    <m/>
    <m/>
    <s v="D     - Dare"/>
    <n v="1746.48"/>
    <n v="0"/>
    <n v="415885"/>
    <s v="TRRMRS54E69B619M"/>
    <s v="TERRIBILE MARIA ROSARIA"/>
    <s v="600 - Famiglie consumatrici"/>
    <m/>
    <s v="086 - ITALIA"/>
    <n v="1423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82"/>
    <x v="2"/>
    <x v="2"/>
    <x v="49"/>
    <n v="53850"/>
    <n v="261"/>
    <s v="053850_261"/>
    <s v="Discovery Day"/>
    <s v="Mai valutato"/>
    <m/>
    <s v="202506238546200L"/>
    <n v="2613300010205"/>
    <n v="20250623"/>
    <s v="AA - Bonifico da e per estero "/>
    <m/>
    <s v="012 - BULGARIA"/>
    <s v="D     - Dare"/>
    <n v="1130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6"/>
    <x v="1"/>
    <x v="0"/>
    <x v="0"/>
    <n v="4991786"/>
    <x v="1"/>
    <x v="0"/>
    <s v="999"/>
    <s v="430"/>
    <s v="430999"/>
    <m/>
    <s v="1"/>
    <s v="Classe di rischio 1"/>
  </r>
  <r>
    <n v="360381"/>
    <x v="5"/>
    <x v="5"/>
    <x v="49"/>
    <n v="53850"/>
    <n v="161"/>
    <s v="053850_161"/>
    <s v="Discovery Day"/>
    <s v="Mai valutato"/>
    <m/>
    <n v="202506238118977"/>
    <n v="1613300031333"/>
    <n v="20250623"/>
    <s v="D1 - Versamento di contante "/>
    <m/>
    <m/>
    <s v="A     - Avere"/>
    <n v="33250"/>
    <n v="3325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6"/>
    <x v="4"/>
    <x v="1"/>
    <x v="0"/>
    <n v="511904"/>
    <x v="1"/>
    <x v="0"/>
    <s v="999"/>
    <s v="615"/>
    <s v="615999"/>
    <m/>
    <s v="1"/>
    <s v="Classe di rischio 3"/>
  </r>
  <r>
    <n v="360380"/>
    <x v="4"/>
    <x v="4"/>
    <x v="49"/>
    <n v="53850"/>
    <n v="266"/>
    <s v="053850_266"/>
    <s v="Discovery Day"/>
    <s v="Mai valutato"/>
    <m/>
    <n v="202506238118644"/>
    <n v="2663300000906"/>
    <n v="20250623"/>
    <s v="SPECIAL"/>
    <m/>
    <m/>
    <s v="D     - Dare"/>
    <n v="9464.8799999999992"/>
    <n v="0"/>
    <n v="1640587"/>
    <s v="VNTTRS52L43B169K"/>
    <s v="VENTRICE TERESA"/>
    <s v="600 - Famiglie consumatrici"/>
    <m/>
    <s v="086 - ITALIA"/>
    <n v="1811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79"/>
    <x v="3"/>
    <x v="3"/>
    <x v="49"/>
    <n v="53850"/>
    <n v="267"/>
    <s v="053850_267"/>
    <s v="Discovery Day"/>
    <s v="Mai valutato"/>
    <m/>
    <s v="Vari (23/06/2025)"/>
    <n v="2673300003600"/>
    <n v="20250623"/>
    <s v="VV"/>
    <m/>
    <m/>
    <s v="A     - Avere"/>
    <n v="121088"/>
    <n v="12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x v="4"/>
    <x v="1"/>
    <x v="0"/>
    <n v="1705101"/>
    <x v="1"/>
    <x v="1"/>
    <s v="999"/>
    <s v="492"/>
    <s v="492999"/>
    <m/>
    <s v="1"/>
    <s v="Classe di rischio 2"/>
  </r>
  <r>
    <n v="360378"/>
    <x v="4"/>
    <x v="4"/>
    <x v="49"/>
    <n v="53850"/>
    <n v="270"/>
    <s v="053850_270"/>
    <s v="Discovery Day"/>
    <s v="Mai valutato"/>
    <m/>
    <n v="202506238119208"/>
    <n v="2703300010948"/>
    <n v="20250623"/>
    <s v="26 - Bonifico in partenza "/>
    <m/>
    <s v="086 - ITALIA"/>
    <s v="D     - Dare"/>
    <n v="202500"/>
    <n v="0"/>
    <n v="1611691"/>
    <s v="FRQLCU62P45F839B"/>
    <s v="FORQUET FAMIGLIETTI LUCIA"/>
    <s v="600 - Famiglie consumatrici"/>
    <m/>
    <s v="086 - ITALIA"/>
    <n v="1803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377"/>
    <x v="3"/>
    <x v="3"/>
    <x v="49"/>
    <n v="53850"/>
    <n v="161"/>
    <s v="053850_161"/>
    <s v="Discovery Day"/>
    <s v="Mai valutato"/>
    <m/>
    <s v="Vari (23/06/2025)"/>
    <n v="1613300029653"/>
    <n v="20250623"/>
    <s v="VV"/>
    <m/>
    <m/>
    <s v="A     - Avere"/>
    <n v="136718.03"/>
    <n v="85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x v="1"/>
    <x v="0"/>
    <x v="0"/>
    <n v="4088769"/>
    <x v="1"/>
    <x v="1"/>
    <s v="464"/>
    <s v="430"/>
    <s v="430464"/>
    <s v="Classe di rischio 4"/>
    <m/>
    <s v="Classe di rischio 4"/>
  </r>
  <r>
    <n v="360376"/>
    <x v="7"/>
    <x v="7"/>
    <x v="49"/>
    <n v="53850"/>
    <n v="99"/>
    <s v="053850_99"/>
    <s v="Discovery Day"/>
    <s v="Mai valutato"/>
    <m/>
    <n v="202506238118645"/>
    <m/>
    <n v="20250623"/>
    <s v="SPECIAL"/>
    <m/>
    <m/>
    <s v="D     - Dare"/>
    <n v="9464.8799999999992"/>
    <n v="0"/>
    <n v="1704324"/>
    <s v="BRBGTN40P28B169H"/>
    <s v="BARBIERI GAETANO"/>
    <s v="600 - Famiglie consumatrici"/>
    <m/>
    <s v="086 - ITALIA"/>
    <m/>
    <m/>
    <m/>
    <m/>
    <m/>
    <m/>
    <m/>
    <m/>
    <n v="0"/>
    <n v="202506"/>
    <x v="2"/>
    <x v="1"/>
    <x v="1"/>
    <m/>
    <x v="0"/>
    <x v="1"/>
    <s v="999"/>
    <s v="600"/>
    <s v="600999"/>
    <s v="Classe di rischio 7"/>
    <m/>
    <s v="Classe di rischio 7"/>
  </r>
  <r>
    <n v="360375"/>
    <x v="4"/>
    <x v="4"/>
    <x v="49"/>
    <n v="53850"/>
    <n v="102"/>
    <s v="053850_102"/>
    <s v="Discovery Day"/>
    <s v="Mai valutato"/>
    <m/>
    <n v="202506238117549"/>
    <n v="1023308726073"/>
    <n v="20250623"/>
    <s v="48 - Bonifico in arrivo "/>
    <m/>
    <s v="086 - ITALIA"/>
    <s v="A     - Avere"/>
    <n v="1322385.9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x v="2"/>
    <x v="1"/>
    <x v="0"/>
    <m/>
    <x v="0"/>
    <x v="0"/>
    <s v="412"/>
    <s v="430"/>
    <s v="430412"/>
    <s v="Classe di rischio 3"/>
    <m/>
    <s v="Classe di rischio 3"/>
  </r>
  <r>
    <n v="360374"/>
    <x v="4"/>
    <x v="4"/>
    <x v="49"/>
    <n v="53850"/>
    <n v="168"/>
    <s v="053850_168"/>
    <s v="Discovery Day"/>
    <s v="Mai valutato"/>
    <m/>
    <n v="202506238119002"/>
    <n v="1683306276854"/>
    <n v="20250623"/>
    <s v="SPECIAL"/>
    <m/>
    <m/>
    <s v="D     - Dare"/>
    <n v="21701.17"/>
    <n v="0"/>
    <n v="597962"/>
    <s v="FRRGTN39L46I330Z"/>
    <s v="FERORELLI GIUSTINA"/>
    <s v="600 - Famiglie consumatrici"/>
    <m/>
    <s v="086 - ITALIA"/>
    <n v="1316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73"/>
    <x v="7"/>
    <x v="7"/>
    <x v="49"/>
    <n v="53850"/>
    <n v="99"/>
    <s v="053850_99"/>
    <s v="Discovery Day"/>
    <s v="Mai valutato"/>
    <m/>
    <n v="202506238118645"/>
    <m/>
    <n v="20250623"/>
    <s v="SPECIAL"/>
    <m/>
    <m/>
    <s v="D     - Dare"/>
    <n v="9464.8799999999992"/>
    <n v="0"/>
    <n v="1640587"/>
    <s v="VNTTRS52L43B169K"/>
    <s v="VENTRICE TERESA"/>
    <s v="600 - Famiglie consumatrici"/>
    <m/>
    <s v="086 - ITALIA"/>
    <n v="1811"/>
    <m/>
    <m/>
    <m/>
    <m/>
    <m/>
    <m/>
    <m/>
    <n v="0"/>
    <n v="202506"/>
    <x v="2"/>
    <x v="1"/>
    <x v="1"/>
    <m/>
    <x v="0"/>
    <x v="1"/>
    <s v="999"/>
    <s v="600"/>
    <s v="600999"/>
    <s v="Classe di rischio 7"/>
    <m/>
    <s v="Classe di rischio 7"/>
  </r>
  <r>
    <n v="360372"/>
    <x v="5"/>
    <x v="5"/>
    <x v="49"/>
    <n v="53850"/>
    <n v="110"/>
    <s v="053850_110"/>
    <s v="Discovery Day"/>
    <s v="Mai valutato"/>
    <m/>
    <s v="Vari (23/06/2025)"/>
    <n v="1103300093700"/>
    <n v="20250623"/>
    <s v="03 - Versamento contante cassa continua "/>
    <m/>
    <m/>
    <s v="A     - Avere"/>
    <n v="48140"/>
    <n v="48140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s v="086 - ITALIA"/>
    <n v="746"/>
    <m/>
    <m/>
    <m/>
    <m/>
    <m/>
    <m/>
    <m/>
    <n v="0"/>
    <n v="202506"/>
    <x v="2"/>
    <x v="1"/>
    <x v="0"/>
    <n v="4871243"/>
    <x v="1"/>
    <x v="0"/>
    <s v="999"/>
    <s v="492"/>
    <s v="492999"/>
    <m/>
    <s v="1"/>
    <s v="Classe di rischio 2"/>
  </r>
  <r>
    <n v="360371"/>
    <x v="4"/>
    <x v="4"/>
    <x v="49"/>
    <n v="53850"/>
    <n v="271"/>
    <s v="053850_271"/>
    <s v="Discovery Day"/>
    <s v="Mai valutato"/>
    <m/>
    <n v="202506238119217"/>
    <n v="2713300002679"/>
    <n v="20250623"/>
    <s v="SPECIAL"/>
    <m/>
    <m/>
    <s v="D     - Dare"/>
    <n v="16652.68"/>
    <n v="0"/>
    <n v="1680750"/>
    <s v="CSTNLN34H62G141M"/>
    <s v="COSTANZO ANGIOLINA"/>
    <s v="600 - Famiglie consumatrici"/>
    <m/>
    <s v="086 - ITALIA"/>
    <n v="1800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370"/>
    <x v="2"/>
    <x v="2"/>
    <x v="49"/>
    <n v="53850"/>
    <n v="168"/>
    <s v="053850_168"/>
    <s v="Discovery Day"/>
    <s v="Mai valutato"/>
    <m/>
    <s v="202506238546327L"/>
    <n v="1683306277308"/>
    <n v="20250623"/>
    <s v="AA - Bonifico da e per estero "/>
    <m/>
    <s v="012 - BULGARIA"/>
    <s v="D     - Dare"/>
    <n v="3950"/>
    <n v="0"/>
    <n v="4950606"/>
    <n v="7856760728"/>
    <s v="TRANSPORT 68 SOCIETA' A RESPONSABILITA' LIMI"/>
    <s v="430 - Imprese produttive"/>
    <s v="494 - TRASPORTO DI MERCI SU STRADA E SERVIZI DI TRASLOCO"/>
    <s v="086 - ITALIA"/>
    <n v="192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369"/>
    <x v="5"/>
    <x v="5"/>
    <x v="49"/>
    <n v="53850"/>
    <n v="268"/>
    <s v="053850_268"/>
    <s v="Discovery Day"/>
    <s v="Mai valutato"/>
    <m/>
    <s v="Vari (23/06/2025)"/>
    <n v="2683300010030"/>
    <n v="20250623"/>
    <s v="03 - Versamento contante cassa continua "/>
    <m/>
    <m/>
    <s v="A     - Avere"/>
    <n v="39740"/>
    <n v="3974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x v="1"/>
    <x v="0"/>
    <x v="0"/>
    <n v="4966939"/>
    <x v="1"/>
    <x v="0"/>
    <s v="999"/>
    <s v="615"/>
    <s v="615999"/>
    <m/>
    <s v="1"/>
    <s v="Classe di rischio 3"/>
  </r>
  <r>
    <n v="360368"/>
    <x v="3"/>
    <x v="3"/>
    <x v="49"/>
    <n v="53850"/>
    <n v="110"/>
    <s v="053850_110"/>
    <s v="Discovery Day"/>
    <s v="Mai valutato"/>
    <m/>
    <s v="Vari (23/06/2025)"/>
    <n v="1103305351090"/>
    <n v="20250623"/>
    <s v="G7 - Versamento assegno circolare altro intermediario "/>
    <m/>
    <m/>
    <s v="A     - Avere"/>
    <n v="387880"/>
    <n v="0"/>
    <n v="535109"/>
    <n v="854500725"/>
    <s v="IMMOBILIARE METALLEGNO S.R.L."/>
    <s v="430 - Imprese produttive"/>
    <s v="431 - DEMOLIZIONE E PREPARAZIONE DEL CANTIERE EDILE"/>
    <s v="086 - ITALIA"/>
    <n v="746"/>
    <m/>
    <m/>
    <m/>
    <m/>
    <m/>
    <m/>
    <m/>
    <n v="0"/>
    <n v="202506"/>
    <x v="2"/>
    <x v="1"/>
    <x v="0"/>
    <m/>
    <x v="0"/>
    <x v="0"/>
    <s v="431"/>
    <s v="430"/>
    <s v="430431"/>
    <s v="Classe di rischio 3"/>
    <m/>
    <s v="Classe di rischio 3"/>
  </r>
  <r>
    <n v="360367"/>
    <x v="2"/>
    <x v="2"/>
    <x v="49"/>
    <n v="53850"/>
    <n v="187"/>
    <s v="053850_187"/>
    <s v="Discovery Day"/>
    <s v="Mai valutato"/>
    <m/>
    <s v="202506238554441L"/>
    <n v="1873300102696"/>
    <n v="20250623"/>
    <s v="AA - Bonifico da e per estero "/>
    <m/>
    <s v="012 - BULGARIA"/>
    <s v="A     - Avere"/>
    <n v="1667.31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6"/>
    <x v="1"/>
    <x v="0"/>
    <x v="0"/>
    <m/>
    <x v="0"/>
    <x v="0"/>
    <s v="463"/>
    <s v="430"/>
    <s v="430463"/>
    <s v="Classe di rischio 3"/>
    <m/>
    <s v="Classe di rischio 3"/>
  </r>
  <r>
    <n v="360366"/>
    <x v="4"/>
    <x v="4"/>
    <x v="49"/>
    <n v="53850"/>
    <n v="109"/>
    <s v="053850_109"/>
    <s v="Discovery Day"/>
    <s v="Mai valutato"/>
    <m/>
    <s v="202506238544743L"/>
    <n v="1093306673858"/>
    <n v="20250623"/>
    <s v="SPECIAL"/>
    <m/>
    <m/>
    <s v="D     - Dare"/>
    <n v="3725.74"/>
    <n v="0"/>
    <n v="470718"/>
    <s v="MNTNTN37C70A669Y"/>
    <s v="MONTENEGRO ANTONIA"/>
    <s v="600 - Famiglie consumatrici"/>
    <m/>
    <s v="086 - ITALIA"/>
    <n v="929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65"/>
    <x v="4"/>
    <x v="4"/>
    <x v="49"/>
    <n v="53850"/>
    <n v="270"/>
    <s v="053850_270"/>
    <s v="Discovery Day"/>
    <s v="Mai valutato"/>
    <m/>
    <n v="202506238119208"/>
    <n v="2703300010948"/>
    <n v="20250623"/>
    <s v="26 - Bonifico in partenza "/>
    <m/>
    <s v="086 - ITALIA"/>
    <s v="D     - Dare"/>
    <n v="202500"/>
    <n v="0"/>
    <n v="3742655"/>
    <s v="RVTLSN89D57G141Q"/>
    <s v="ROVITO ALESSANDRA"/>
    <s v="600 - Famiglie consumatrici"/>
    <m/>
    <s v="086 - ITALIA"/>
    <n v="1875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364"/>
    <x v="3"/>
    <x v="3"/>
    <x v="49"/>
    <n v="53850"/>
    <n v="128"/>
    <s v="053850_128"/>
    <s v="Discovery Day"/>
    <s v="Mai valutato"/>
    <m/>
    <s v="Vari (23/06/2025)"/>
    <n v="1093306672844"/>
    <n v="20250623"/>
    <s v="VV"/>
    <m/>
    <m/>
    <s v="A     - Avere"/>
    <n v="95838.54"/>
    <n v="730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6"/>
    <x v="4"/>
    <x v="1"/>
    <x v="0"/>
    <n v="440311"/>
    <x v="1"/>
    <x v="1"/>
    <s v="451"/>
    <s v="430"/>
    <s v="430451"/>
    <s v="Classe di rischio 3"/>
    <m/>
    <s v="Classe di rischio 3"/>
  </r>
  <r>
    <n v="360363"/>
    <x v="4"/>
    <x v="4"/>
    <x v="49"/>
    <n v="53850"/>
    <n v="109"/>
    <s v="053850_109"/>
    <s v="Discovery Day"/>
    <s v="Mai valutato"/>
    <m/>
    <s v="202506238544743L"/>
    <n v="1093306673858"/>
    <n v="20250623"/>
    <s v="SPECIAL"/>
    <m/>
    <m/>
    <s v="D     - Dare"/>
    <n v="3725.74"/>
    <n v="0"/>
    <n v="4848147"/>
    <s v="LGLPRZ64H42A662D"/>
    <s v="LAGALANTE PATRIZIA"/>
    <s v="600 - Famiglie consumatrici"/>
    <m/>
    <s v="086 - ITALIA"/>
    <n v="929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62"/>
    <x v="3"/>
    <x v="3"/>
    <x v="49"/>
    <n v="53850"/>
    <n v="116"/>
    <s v="053850_116"/>
    <s v="Discovery Day"/>
    <s v="Mai valutato"/>
    <m/>
    <n v="202506238118512"/>
    <n v="2343300010453"/>
    <n v="20250623"/>
    <s v="03 - Versamento contante cassa continua "/>
    <m/>
    <m/>
    <s v="A     - Avere"/>
    <n v="151490.5"/>
    <n v="151490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361"/>
    <x v="5"/>
    <x v="5"/>
    <x v="49"/>
    <n v="53850"/>
    <n v="109"/>
    <s v="053850_109"/>
    <s v="Discovery Day"/>
    <s v="Mai valutato"/>
    <m/>
    <s v="Vari (23/06/2025)"/>
    <n v="1093306667367"/>
    <n v="20250623"/>
    <s v="VV"/>
    <m/>
    <m/>
    <s v="A     - Avere"/>
    <n v="48417"/>
    <n v="44417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x v="1"/>
    <x v="0"/>
    <x v="0"/>
    <n v="4026861"/>
    <x v="1"/>
    <x v="1"/>
    <s v="477"/>
    <s v="430"/>
    <s v="430477"/>
    <s v="Classe di rischio 3"/>
    <m/>
    <s v="Classe di rischio 3"/>
  </r>
  <r>
    <n v="360360"/>
    <x v="3"/>
    <x v="3"/>
    <x v="49"/>
    <n v="53850"/>
    <n v="108"/>
    <s v="053850_108"/>
    <s v="Discovery Day"/>
    <s v="Mai valutato"/>
    <m/>
    <s v="Vari (23/06/2025)"/>
    <n v="1083306291105"/>
    <n v="20250623"/>
    <s v="VV"/>
    <m/>
    <m/>
    <s v="A     - Avere"/>
    <n v="103821.91"/>
    <n v="73196.850000000006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60359"/>
    <x v="7"/>
    <x v="7"/>
    <x v="49"/>
    <n v="53850"/>
    <n v="99"/>
    <s v="053850_99"/>
    <s v="Discovery Day"/>
    <s v="Mai valutato"/>
    <m/>
    <n v="202506238118651"/>
    <m/>
    <n v="20250623"/>
    <s v="SPECIAL"/>
    <m/>
    <m/>
    <s v="D     - Dare"/>
    <n v="7531.77"/>
    <n v="0"/>
    <n v="4917552"/>
    <s v="GHZMRA75C64D643G"/>
    <s v="GHEZZA MARA"/>
    <s v="615 - Altre famiglie produttrici"/>
    <s v="691 - ATTIVITÀ DEGLI STUDI LEGALI"/>
    <s v="086 - ITALIA"/>
    <n v="869"/>
    <m/>
    <m/>
    <m/>
    <m/>
    <m/>
    <m/>
    <m/>
    <n v="0"/>
    <n v="202506"/>
    <x v="0"/>
    <x v="0"/>
    <x v="1"/>
    <m/>
    <x v="0"/>
    <x v="1"/>
    <s v="999"/>
    <s v="615"/>
    <s v="615999"/>
    <m/>
    <s v="1"/>
    <s v="Classe di rischio 3"/>
  </r>
  <r>
    <n v="360358"/>
    <x v="5"/>
    <x v="5"/>
    <x v="49"/>
    <n v="53850"/>
    <n v="128"/>
    <s v="053850_128"/>
    <s v="Discovery Day"/>
    <s v="Mai valutato"/>
    <m/>
    <n v="202506218117947"/>
    <n v="1283300003941"/>
    <n v="20250621"/>
    <s v="03 - Versamento contante cassa continua "/>
    <m/>
    <m/>
    <s v="A     - Avere"/>
    <n v="31600"/>
    <n v="316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x v="4"/>
    <x v="1"/>
    <x v="0"/>
    <n v="4916499"/>
    <x v="1"/>
    <x v="0"/>
    <s v="999"/>
    <s v="615"/>
    <s v="615999"/>
    <m/>
    <s v="1"/>
    <s v="Classe di rischio 3"/>
  </r>
  <r>
    <n v="360357"/>
    <x v="5"/>
    <x v="5"/>
    <x v="49"/>
    <n v="53850"/>
    <n v="102"/>
    <s v="053850_102"/>
    <s v="Discovery Day"/>
    <s v="Mai valutato"/>
    <m/>
    <n v="202506218117937"/>
    <n v="1023308722503"/>
    <n v="20250621"/>
    <s v="03 - Versamento contante cassa continua "/>
    <m/>
    <m/>
    <s v="A     - Avere"/>
    <n v="28860"/>
    <n v="2886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60356"/>
    <x v="5"/>
    <x v="5"/>
    <x v="49"/>
    <n v="53850"/>
    <n v="102"/>
    <s v="053850_102"/>
    <s v="Discovery Day"/>
    <s v="Mai valutato"/>
    <m/>
    <n v="202506218118521"/>
    <n v="2583300000994"/>
    <n v="20250621"/>
    <s v="03 - Versamento contante cassa continua "/>
    <m/>
    <m/>
    <s v="A     - Avere"/>
    <n v="17650"/>
    <n v="17650"/>
    <n v="4870773"/>
    <s v="CRRCRL97M45I330D"/>
    <s v="CARRETTA CARLA"/>
    <s v="600 - Famiglie consumatrici"/>
    <m/>
    <s v="086 - ITALIA"/>
    <n v="145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355"/>
    <x v="4"/>
    <x v="4"/>
    <x v="49"/>
    <n v="53850"/>
    <n v="102"/>
    <s v="053850_102"/>
    <s v="Discovery Day"/>
    <s v="Mai valutato"/>
    <m/>
    <n v="202506208118660"/>
    <n v="1023308723686"/>
    <n v="20250620"/>
    <s v="26 - Bonifico in partenza "/>
    <m/>
    <s v="086 - ITALIA"/>
    <s v="D     - Dare"/>
    <n v="620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6"/>
    <x v="1"/>
    <x v="0"/>
    <x v="0"/>
    <n v="531420"/>
    <x v="1"/>
    <x v="0"/>
    <s v="999"/>
    <s v="615"/>
    <s v="615999"/>
    <m/>
    <s v="1"/>
    <s v="Classe di rischio 3"/>
  </r>
  <r>
    <n v="360354"/>
    <x v="5"/>
    <x v="5"/>
    <x v="49"/>
    <n v="53850"/>
    <n v="117"/>
    <s v="053850_117"/>
    <s v="Discovery Day"/>
    <s v="Mai valutato"/>
    <m/>
    <s v="Vari (18/06/2025)"/>
    <n v="1173300539918"/>
    <n v="20250618"/>
    <s v="03 - Versamento contante cassa continua "/>
    <m/>
    <m/>
    <s v="A     - Avere"/>
    <n v="30920"/>
    <n v="30920"/>
    <n v="4996127"/>
    <n v="1148750779"/>
    <s v="TRE P S.R.L."/>
    <s v="430 - Imprese produttive"/>
    <s v="463 - COMMERCIO ALL'INGROSSO DI PRODOTTI ALIMENTARI, BEVANDE E PRODOTTI DEL TABACCO"/>
    <s v="086 - ITALIA"/>
    <n v="1926"/>
    <m/>
    <m/>
    <m/>
    <m/>
    <m/>
    <m/>
    <m/>
    <n v="0"/>
    <n v="202506"/>
    <x v="2"/>
    <x v="1"/>
    <x v="0"/>
    <n v="4996127"/>
    <x v="1"/>
    <x v="0"/>
    <s v="463"/>
    <s v="430"/>
    <s v="430463"/>
    <s v="Classe di rischio 3"/>
    <m/>
    <s v="Classe di rischio 3"/>
  </r>
  <r>
    <n v="360353"/>
    <x v="5"/>
    <x v="5"/>
    <x v="50"/>
    <n v="53850"/>
    <n v="108"/>
    <s v="053850_108"/>
    <s v="Discovery Day"/>
    <s v="Mai valutato"/>
    <m/>
    <s v="Vari (20/06/2025)"/>
    <n v="1083306291105"/>
    <n v="20250620"/>
    <s v="VV"/>
    <m/>
    <m/>
    <s v="A     - Avere"/>
    <n v="68049.289999999994"/>
    <n v="51456.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60352"/>
    <x v="3"/>
    <x v="3"/>
    <x v="50"/>
    <n v="53850"/>
    <n v="109"/>
    <s v="053850_109"/>
    <s v="Discovery Day"/>
    <s v="Mai valutato"/>
    <m/>
    <n v="202506208088669"/>
    <n v="1093306670882"/>
    <n v="20250620"/>
    <s v="G7 - Versamento assegno circolare altro intermediario "/>
    <m/>
    <m/>
    <s v="A     - Avere"/>
    <n v="205000"/>
    <n v="0"/>
    <n v="58869"/>
    <s v="SRPPFR59R28A662Y"/>
    <s v="SERPENTI PIER FRANCESCO"/>
    <s v="615 - Altre famiglie produttrici"/>
    <s v="711 - ATTIVITÀ DEGLI STUDI DI ARCHITETTURA, INGEGNERIA ED ALTRI STUDI TECNICI"/>
    <s v="086 - ITALIA"/>
    <n v="1107"/>
    <m/>
    <m/>
    <m/>
    <m/>
    <m/>
    <m/>
    <m/>
    <n v="0"/>
    <n v="202506"/>
    <x v="1"/>
    <x v="0"/>
    <x v="0"/>
    <m/>
    <x v="0"/>
    <x v="0"/>
    <s v="999"/>
    <s v="615"/>
    <s v="615999"/>
    <m/>
    <s v="1"/>
    <s v="Classe di rischio 3"/>
  </r>
  <r>
    <n v="360351"/>
    <x v="3"/>
    <x v="3"/>
    <x v="50"/>
    <n v="53850"/>
    <n v="102"/>
    <s v="053850_102"/>
    <s v="Discovery Day"/>
    <s v="Mai valutato"/>
    <m/>
    <n v="202506208088580"/>
    <n v="1023306273640"/>
    <n v="20250620"/>
    <s v="G7 - Versamento assegno circolare altro intermediario "/>
    <m/>
    <m/>
    <s v="A     - Avere"/>
    <n v="200000"/>
    <n v="0"/>
    <n v="414340"/>
    <s v="BRCRML59E30B519J"/>
    <s v="BERCHICCI ROMOLO"/>
    <s v="600 - Famiglie consumatrici"/>
    <m/>
    <s v="086 - ITALIA"/>
    <n v="1431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350"/>
    <x v="4"/>
    <x v="4"/>
    <x v="50"/>
    <n v="53850"/>
    <n v="102"/>
    <s v="053850_102"/>
    <s v="Discovery Day"/>
    <s v="Mai valutato"/>
    <m/>
    <n v="202506208088143"/>
    <n v="1023308723775"/>
    <n v="20250620"/>
    <s v="56 - Ricavo effetti o assegni in euro e/o valuta estera al dopo incasso "/>
    <m/>
    <m/>
    <s v="A     - Avere"/>
    <n v="60562"/>
    <n v="0"/>
    <n v="200822"/>
    <s v="CRSMRA54P59A225Q"/>
    <s v="CRISTALLO MARIA"/>
    <s v="600 - Famiglie consumatrici"/>
    <m/>
    <s v="086 - ITALIA"/>
    <n v="51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349"/>
    <x v="4"/>
    <x v="4"/>
    <x v="50"/>
    <n v="53850"/>
    <n v="170"/>
    <s v="053850_170"/>
    <s v="Discovery Day"/>
    <s v="Mai valutato"/>
    <m/>
    <s v="202506208496514L"/>
    <n v="1703306290293"/>
    <n v="20250620"/>
    <s v="SPECIAL"/>
    <m/>
    <m/>
    <s v="D     - Dare"/>
    <n v="2709.98"/>
    <n v="0"/>
    <n v="4101931"/>
    <s v="PCCMRN79L16A285L"/>
    <s v="PICCININNO MARINO"/>
    <s v="600 - Famiglie consumatrici"/>
    <m/>
    <s v="086 - ITALIA"/>
    <n v="1667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48"/>
    <x v="6"/>
    <x v="6"/>
    <x v="50"/>
    <n v="53850"/>
    <n v="175"/>
    <s v="053850_175"/>
    <s v="Discovery Day"/>
    <s v="Mai valutato"/>
    <m/>
    <n v="202506208087904"/>
    <n v="1753302203813"/>
    <n v="20250620"/>
    <s v="AA - Bonifico da e per estero "/>
    <m/>
    <s v="103 - HONG KONG"/>
    <s v="D     - Dare"/>
    <n v="199951.22"/>
    <n v="0"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347"/>
    <x v="3"/>
    <x v="3"/>
    <x v="50"/>
    <n v="53850"/>
    <n v="102"/>
    <s v="053850_102"/>
    <s v="Discovery Day"/>
    <s v="Mai valutato"/>
    <m/>
    <s v="Vari (20/06/2025)"/>
    <n v="1023300660520"/>
    <n v="20250620"/>
    <s v="VV"/>
    <m/>
    <m/>
    <s v="A     - Avere"/>
    <n v="180797.72"/>
    <n v="323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6"/>
    <x v="4"/>
    <x v="1"/>
    <x v="0"/>
    <n v="66052"/>
    <x v="1"/>
    <x v="1"/>
    <s v="999"/>
    <s v="430"/>
    <s v="430999"/>
    <m/>
    <s v="1"/>
    <s v="Classe di rischio 1"/>
  </r>
  <r>
    <n v="360346"/>
    <x v="4"/>
    <x v="4"/>
    <x v="50"/>
    <n v="53850"/>
    <n v="102"/>
    <s v="053850_102"/>
    <s v="Discovery Day"/>
    <s v="Mai valutato"/>
    <m/>
    <n v="202506208088143"/>
    <n v="1023308723775"/>
    <n v="20250620"/>
    <s v="56 - Ricavo effetti o assegni in euro e/o valuta estera al dopo incasso "/>
    <m/>
    <m/>
    <s v="A     - Avere"/>
    <n v="60562"/>
    <n v="0"/>
    <n v="139602"/>
    <s v="LZZRCC52E11A225R"/>
    <s v="LOIZZO ROCCO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345"/>
    <x v="4"/>
    <x v="4"/>
    <x v="50"/>
    <n v="53850"/>
    <n v="226"/>
    <s v="053850_226"/>
    <s v="Discovery Day"/>
    <s v="Mai valutato"/>
    <m/>
    <n v="202506208087357"/>
    <n v="2263300011983"/>
    <n v="20250620"/>
    <s v="48 - Bonifico in arrivo "/>
    <m/>
    <s v="086 - ITALIA"/>
    <s v="A     - Avere"/>
    <n v="100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x v="2"/>
    <x v="1"/>
    <x v="0"/>
    <m/>
    <x v="0"/>
    <x v="0"/>
    <s v="999"/>
    <s v="290"/>
    <s v="290999"/>
    <m/>
    <s v="1"/>
    <s v="Classe di rischio 0"/>
  </r>
  <r>
    <n v="360344"/>
    <x v="3"/>
    <x v="3"/>
    <x v="50"/>
    <n v="53850"/>
    <n v="114"/>
    <s v="053850_114"/>
    <s v="Discovery Day"/>
    <s v="Mai valutato"/>
    <m/>
    <s v="Vari (20/06/2025)"/>
    <n v="1143306281584"/>
    <n v="20250620"/>
    <s v="VV"/>
    <m/>
    <m/>
    <s v="A     - Avere"/>
    <n v="92565.9"/>
    <n v="16585"/>
    <n v="4827112"/>
    <n v="3318280710"/>
    <s v="SANTACROCE GIOVANNI S.P.A."/>
    <s v="430 - Imprese produttive"/>
    <s v="462 - COMMERCIO ALL'INGROSSO DI MATERIE PRIME AGRICOLE E DI ANIMALI VIVI"/>
    <s v="086 - ITALIA"/>
    <n v="870"/>
    <m/>
    <m/>
    <m/>
    <m/>
    <m/>
    <m/>
    <m/>
    <n v="0"/>
    <n v="202506"/>
    <x v="0"/>
    <x v="0"/>
    <x v="0"/>
    <m/>
    <x v="0"/>
    <x v="1"/>
    <s v="462"/>
    <s v="430"/>
    <s v="430462"/>
    <s v="Classe di rischio 3"/>
    <m/>
    <s v="Classe di rischio 3"/>
  </r>
  <r>
    <n v="360343"/>
    <x v="3"/>
    <x v="3"/>
    <x v="50"/>
    <n v="53850"/>
    <n v="109"/>
    <s v="053850_109"/>
    <s v="Discovery Day"/>
    <s v="Mai valutato"/>
    <m/>
    <n v="202506208088669"/>
    <n v="1093306670882"/>
    <n v="20250620"/>
    <s v="G7 - Versamento assegno circolare altro intermediario "/>
    <m/>
    <m/>
    <s v="A     - Avere"/>
    <n v="205000"/>
    <n v="0"/>
    <n v="50899"/>
    <s v="SRPSFN56C12A662C"/>
    <s v="SERPENTI STEFANO"/>
    <s v="615 - Altre famiglie produttrici"/>
    <s v="411 - SVILUPPO DI PROGETTI IMMOBILIARI"/>
    <s v="086 - ITALIA"/>
    <n v="783"/>
    <m/>
    <m/>
    <m/>
    <m/>
    <m/>
    <m/>
    <m/>
    <n v="0"/>
    <n v="202506"/>
    <x v="1"/>
    <x v="0"/>
    <x v="0"/>
    <m/>
    <x v="0"/>
    <x v="0"/>
    <s v="999"/>
    <s v="615"/>
    <s v="615999"/>
    <m/>
    <s v="1"/>
    <s v="Classe di rischio 3"/>
  </r>
  <r>
    <n v="360342"/>
    <x v="6"/>
    <x v="6"/>
    <x v="50"/>
    <n v="53850"/>
    <n v="192"/>
    <s v="053850_192"/>
    <s v="Discovery Day"/>
    <s v="Mai valutato"/>
    <m/>
    <n v="202506208087735"/>
    <n v="1923300183207"/>
    <n v="20250620"/>
    <s v="AA - Bonifico da e per estero "/>
    <m/>
    <s v="071 - SVIZZERA"/>
    <s v="A     - Avere"/>
    <n v="29000"/>
    <n v="0"/>
    <n v="461447"/>
    <s v="DGSGPP76C20A662C"/>
    <s v="DIGIESI GIUSEPPE"/>
    <s v="615 - Altre famiglie produttrici"/>
    <s v="691 - ATTIVITÀ DEGLI STUDI LEGALI"/>
    <s v="086 - ITALIA"/>
    <n v="481"/>
    <m/>
    <m/>
    <m/>
    <m/>
    <m/>
    <m/>
    <m/>
    <n v="0"/>
    <n v="202506"/>
    <x v="1"/>
    <x v="0"/>
    <x v="0"/>
    <n v="461447"/>
    <x v="1"/>
    <x v="0"/>
    <s v="999"/>
    <s v="615"/>
    <s v="615999"/>
    <m/>
    <s v="1"/>
    <s v="Classe di rischio 3"/>
  </r>
  <r>
    <n v="360341"/>
    <x v="2"/>
    <x v="2"/>
    <x v="50"/>
    <n v="53850"/>
    <n v="104"/>
    <s v="053850_104"/>
    <s v="Discovery Day"/>
    <s v="Mai valutato"/>
    <m/>
    <s v="202506208497555L"/>
    <n v="1043301449295"/>
    <n v="20250620"/>
    <s v="AA - Bonifico da e per estero "/>
    <m/>
    <s v="012 - BULGARIA"/>
    <s v="A     - Avere"/>
    <n v="2399.31"/>
    <n v="0"/>
    <n v="4627975"/>
    <n v="7107300720"/>
    <s v="LEONE S.R.L."/>
    <s v="430 - Imprese produttive"/>
    <s v="452 - MANUTENZIONE E RIPARAZIONE DI AUTOVEICOLI"/>
    <s v="086 - ITALIA"/>
    <n v="7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340"/>
    <x v="5"/>
    <x v="5"/>
    <x v="50"/>
    <n v="53850"/>
    <n v="269"/>
    <s v="053850_269"/>
    <s v="Discovery Day"/>
    <s v="Mai valutato"/>
    <m/>
    <s v="Vari (20/06/2025)"/>
    <n v="2693300001614"/>
    <n v="20250620"/>
    <s v="D1 - Versamento di contante "/>
    <m/>
    <m/>
    <s v="A     - Avere"/>
    <n v="34690"/>
    <n v="3469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6"/>
    <x v="4"/>
    <x v="1"/>
    <x v="0"/>
    <n v="1695085"/>
    <x v="1"/>
    <x v="0"/>
    <s v="999"/>
    <s v="615"/>
    <s v="615999"/>
    <m/>
    <s v="1"/>
    <s v="Classe di rischio 3"/>
  </r>
  <r>
    <n v="360339"/>
    <x v="4"/>
    <x v="4"/>
    <x v="50"/>
    <n v="53850"/>
    <n v="274"/>
    <s v="053850_274"/>
    <s v="Discovery Day"/>
    <s v="Mai valutato"/>
    <m/>
    <n v="202506208089085"/>
    <n v="2743300000482"/>
    <n v="20250620"/>
    <s v="SPECIAL"/>
    <m/>
    <m/>
    <s v="D     - Dare"/>
    <n v="49856.69"/>
    <n v="0"/>
    <n v="1631226"/>
    <s v="VRNMRA38E52G141H"/>
    <s v="VERNA MARIA"/>
    <s v="600 - Famiglie consumatrici"/>
    <m/>
    <s v="086 - ITALIA"/>
    <n v="1825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338"/>
    <x v="4"/>
    <x v="4"/>
    <x v="50"/>
    <n v="53850"/>
    <n v="182"/>
    <s v="053850_182"/>
    <s v="Discovery Day"/>
    <s v="Mai valutato"/>
    <m/>
    <s v="202506208502195L"/>
    <n v="1823300180217"/>
    <n v="20250620"/>
    <s v="SPECIAL"/>
    <m/>
    <m/>
    <s v="D     - Dare"/>
    <n v="3844.51"/>
    <n v="0"/>
    <n v="3183061"/>
    <s v="GLLCSR75D28L049S"/>
    <s v="GALLITELLI CESARE"/>
    <s v="600 - Famiglie consumatrici"/>
    <m/>
    <s v="086 - ITALIA"/>
    <n v="619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37"/>
    <x v="5"/>
    <x v="5"/>
    <x v="50"/>
    <n v="53850"/>
    <n v="102"/>
    <s v="053850_102"/>
    <s v="Discovery Day"/>
    <s v="Mai valutato"/>
    <m/>
    <s v="Vari (20/06/2025)"/>
    <n v="1023308720537"/>
    <n v="20250620"/>
    <s v="03 - Versamento contante cassa continua "/>
    <m/>
    <m/>
    <s v="A     - Avere"/>
    <n v="37760"/>
    <n v="37760"/>
    <n v="4653840"/>
    <n v="7052850729"/>
    <s v="SUPERMERCATI LELLA SOCIETA' A RESPONSABILITA"/>
    <s v="430 - Imprese produttive"/>
    <s v="471 - COMMERCIO AL DETTAGLIO IN ESERCIZI NON SPECIALIZZATI"/>
    <s v="086 - ITALIA"/>
    <n v="979"/>
    <m/>
    <m/>
    <m/>
    <m/>
    <m/>
    <m/>
    <m/>
    <n v="0"/>
    <n v="202506"/>
    <x v="2"/>
    <x v="1"/>
    <x v="0"/>
    <n v="4653840"/>
    <x v="1"/>
    <x v="0"/>
    <s v="999"/>
    <s v="430"/>
    <s v="430999"/>
    <m/>
    <s v="1"/>
    <s v="Classe di rischio 1"/>
  </r>
  <r>
    <n v="360336"/>
    <x v="5"/>
    <x v="5"/>
    <x v="50"/>
    <n v="53850"/>
    <n v="171"/>
    <s v="053850_171"/>
    <s v="Discovery Day"/>
    <s v="Mai valutato"/>
    <m/>
    <s v="Vari (20/06/2025)"/>
    <n v="1713305728950"/>
    <n v="20250620"/>
    <s v="03 - Versamento contante cassa continua "/>
    <m/>
    <m/>
    <s v="A     - Avere"/>
    <n v="151475"/>
    <n v="15147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335"/>
    <x v="4"/>
    <x v="4"/>
    <x v="50"/>
    <n v="53850"/>
    <n v="102"/>
    <s v="053850_102"/>
    <s v="Discovery Day"/>
    <s v="Mai valutato"/>
    <m/>
    <n v="202506208087628"/>
    <n v="1023308726073"/>
    <n v="20250620"/>
    <s v="48 - Bonifico in arrivo "/>
    <m/>
    <s v="086 - ITALIA"/>
    <s v="A     - Avere"/>
    <n v="1071607.46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x v="2"/>
    <x v="1"/>
    <x v="0"/>
    <m/>
    <x v="0"/>
    <x v="0"/>
    <s v="412"/>
    <s v="430"/>
    <s v="430412"/>
    <s v="Classe di rischio 3"/>
    <m/>
    <s v="Classe di rischio 3"/>
  </r>
  <r>
    <n v="360334"/>
    <x v="4"/>
    <x v="4"/>
    <x v="50"/>
    <n v="53850"/>
    <n v="181"/>
    <s v="053850_181"/>
    <s v="Discovery Day"/>
    <s v="Mai valutato"/>
    <m/>
    <s v="202506208502229L"/>
    <n v="1813301030242"/>
    <n v="20250620"/>
    <s v="SPECIAL"/>
    <m/>
    <m/>
    <s v="D     - Dare"/>
    <n v="1072.3"/>
    <n v="0"/>
    <n v="4984948"/>
    <s v="TMPRNN89A50L109Q"/>
    <s v="TEMPESTA ROSANNA"/>
    <s v="600 - Famiglie consumatrici"/>
    <m/>
    <s v="086 - ITALIA"/>
    <n v="859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33"/>
    <x v="6"/>
    <x v="6"/>
    <x v="50"/>
    <n v="53850"/>
    <n v="185"/>
    <s v="053850_185"/>
    <s v="Discovery Day"/>
    <s v="Mai valutato"/>
    <m/>
    <n v="202506208087905"/>
    <n v="1853300029728"/>
    <n v="20250620"/>
    <s v="AA - Bonifico da e per estero "/>
    <m/>
    <s v="076 - TURCHIA"/>
    <s v="D     - Dare"/>
    <n v="19870"/>
    <n v="0"/>
    <n v="4945889"/>
    <n v="3234670739"/>
    <s v="BR.IT. SOCIETA' A RESPONSABILITA' LIMITATA SEMPLIFICATA"/>
    <s v="430 - Imprese produttive"/>
    <s v="464 - COMMERCIO ALL'INGROSSO DI BENI DI CONSUMO FINALE"/>
    <s v="086 - ITALIA"/>
    <n v="1351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60332"/>
    <x v="5"/>
    <x v="5"/>
    <x v="50"/>
    <n v="53850"/>
    <n v="287"/>
    <s v="053850_287"/>
    <s v="Discovery Day"/>
    <s v="Mai valutato"/>
    <m/>
    <s v="Vari (20/06/2025)"/>
    <n v="2873300001853"/>
    <n v="20250620"/>
    <s v="VV"/>
    <m/>
    <m/>
    <s v="A     - Avere"/>
    <n v="62301.53"/>
    <n v="3979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x v="2"/>
    <x v="1"/>
    <x v="0"/>
    <n v="3722213"/>
    <x v="1"/>
    <x v="1"/>
    <s v="463"/>
    <s v="430"/>
    <s v="430463"/>
    <s v="Classe di rischio 3"/>
    <m/>
    <s v="Classe di rischio 3"/>
  </r>
  <r>
    <n v="360331"/>
    <x v="3"/>
    <x v="3"/>
    <x v="50"/>
    <n v="53850"/>
    <n v="102"/>
    <s v="053850_102"/>
    <s v="Discovery Day"/>
    <s v="Mai valutato"/>
    <m/>
    <n v="202506208088603"/>
    <n v="1023308726612"/>
    <n v="20250620"/>
    <s v="G7 - Versamento assegno circolare altro intermediario "/>
    <m/>
    <m/>
    <s v="A     - Avere"/>
    <n v="128240"/>
    <n v="0"/>
    <n v="4939458"/>
    <n v="8052010728"/>
    <s v="MOREA S.R.L."/>
    <s v="430 - Imprese produttive"/>
    <s v="412 - COSTRUZIONE DI EDIFICI RESIDENZIALI E NON RESIDENZIALI"/>
    <s v="086 - ITALIA"/>
    <n v="911"/>
    <m/>
    <m/>
    <m/>
    <m/>
    <m/>
    <m/>
    <m/>
    <n v="0"/>
    <n v="202506"/>
    <x v="2"/>
    <x v="1"/>
    <x v="0"/>
    <m/>
    <x v="0"/>
    <x v="0"/>
    <s v="412"/>
    <s v="430"/>
    <s v="430412"/>
    <s v="Classe di rischio 3"/>
    <m/>
    <s v="Classe di rischio 3"/>
  </r>
  <r>
    <n v="360330"/>
    <x v="7"/>
    <x v="7"/>
    <x v="50"/>
    <n v="53850"/>
    <n v="99"/>
    <s v="053850_99"/>
    <s v="Discovery Day"/>
    <s v="Mai valutato"/>
    <m/>
    <s v="202506208496513L"/>
    <m/>
    <n v="20250620"/>
    <s v="SPECIAL"/>
    <m/>
    <m/>
    <s v="D     - Dare"/>
    <n v="2709.98"/>
    <n v="0"/>
    <n v="4406751"/>
    <s v="SGRRCR83A68A662J"/>
    <s v="SGARRA RICCARDA DANIELA"/>
    <s v="600 - Famiglie consumatrici"/>
    <m/>
    <s v="086 - ITALIA"/>
    <n v="1667"/>
    <m/>
    <m/>
    <m/>
    <m/>
    <m/>
    <m/>
    <m/>
    <n v="0"/>
    <n v="202506"/>
    <x v="2"/>
    <x v="1"/>
    <x v="1"/>
    <m/>
    <x v="0"/>
    <x v="1"/>
    <s v="999"/>
    <s v="600"/>
    <s v="600999"/>
    <s v="Classe di rischio 7"/>
    <m/>
    <s v="Classe di rischio 7"/>
  </r>
  <r>
    <n v="360329"/>
    <x v="3"/>
    <x v="3"/>
    <x v="50"/>
    <n v="53850"/>
    <n v="165"/>
    <s v="053850_165"/>
    <s v="Discovery Day"/>
    <s v="Mai valutato"/>
    <m/>
    <n v="202506208088856"/>
    <n v="1653300628564"/>
    <n v="20250620"/>
    <s v="G1 - Versamento assegni tratti su altro intermediario "/>
    <m/>
    <m/>
    <s v="A     - Avere"/>
    <n v="237000"/>
    <n v="0"/>
    <n v="4798342"/>
    <n v="2195870718"/>
    <s v="MASTROPASQUA INTERNATIONAL - S.P.A."/>
    <s v="430 - Imprese produttive"/>
    <s v="011 - COLTIVAZIONE DI COLTURE AGRICOLE NON PERMANENTI"/>
    <s v="086 - ITALIA"/>
    <n v="870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328"/>
    <x v="3"/>
    <x v="3"/>
    <x v="50"/>
    <n v="53850"/>
    <n v="102"/>
    <s v="053850_102"/>
    <s v="Discovery Day"/>
    <s v="Mai valutato"/>
    <m/>
    <n v="202506208088606"/>
    <n v="1023308726641"/>
    <n v="20250620"/>
    <s v="G1 - Versamento assegni tratti su altro intermediario "/>
    <m/>
    <m/>
    <s v="A     - Avere"/>
    <n v="90000"/>
    <n v="0"/>
    <n v="4917772"/>
    <n v="8218730722"/>
    <s v="COSTRUZIONI SVILUPPO SOCIETA' A RESPONSABILI"/>
    <s v="430 - Imprese produttive"/>
    <s v="412 - COSTRUZIONE DI EDIFICI RESIDENZIALI E NON RESIDENZIALI"/>
    <s v="086 - ITALIA"/>
    <n v="1203"/>
    <m/>
    <m/>
    <m/>
    <m/>
    <m/>
    <m/>
    <m/>
    <n v="0"/>
    <n v="202506"/>
    <x v="2"/>
    <x v="1"/>
    <x v="0"/>
    <m/>
    <x v="0"/>
    <x v="0"/>
    <s v="412"/>
    <s v="430"/>
    <s v="430412"/>
    <s v="Classe di rischio 3"/>
    <m/>
    <s v="Classe di rischio 3"/>
  </r>
  <r>
    <n v="360327"/>
    <x v="4"/>
    <x v="4"/>
    <x v="50"/>
    <n v="53850"/>
    <n v="204"/>
    <s v="053850_204"/>
    <s v="Discovery Day"/>
    <s v="Mai valutato"/>
    <m/>
    <s v="202506208506118L"/>
    <n v="2043300012553"/>
    <n v="20250620"/>
    <s v="SPECIAL"/>
    <m/>
    <m/>
    <s v="D     - Dare"/>
    <n v="1056.96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6"/>
    <x v="2"/>
    <x v="1"/>
    <x v="0"/>
    <n v="4902092"/>
    <x v="1"/>
    <x v="1"/>
    <s v="999"/>
    <s v="430"/>
    <s v="430999"/>
    <m/>
    <s v="1"/>
    <s v="Classe di rischio 1"/>
  </r>
  <r>
    <n v="360326"/>
    <x v="5"/>
    <x v="5"/>
    <x v="50"/>
    <n v="53850"/>
    <n v="128"/>
    <s v="053850_128"/>
    <s v="Discovery Day"/>
    <s v="Mai valutato"/>
    <m/>
    <n v="202506208088753"/>
    <n v="1283300003941"/>
    <n v="20250620"/>
    <s v="D1 - Versamento di contante "/>
    <m/>
    <m/>
    <s v="A     - Avere"/>
    <n v="34000"/>
    <n v="340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x v="4"/>
    <x v="1"/>
    <x v="0"/>
    <n v="4916499"/>
    <x v="1"/>
    <x v="0"/>
    <s v="999"/>
    <s v="615"/>
    <s v="615999"/>
    <m/>
    <s v="1"/>
    <s v="Classe di rischio 3"/>
  </r>
  <r>
    <n v="360325"/>
    <x v="4"/>
    <x v="4"/>
    <x v="50"/>
    <n v="53850"/>
    <n v="120"/>
    <s v="053850_120"/>
    <s v="Discovery Day"/>
    <s v="Mai valutato"/>
    <m/>
    <n v="202506208088733"/>
    <n v="1203300001673"/>
    <n v="20250620"/>
    <s v="SPECIAL"/>
    <m/>
    <m/>
    <s v="D     - Dare"/>
    <n v="21884.77"/>
    <n v="0"/>
    <n v="83568"/>
    <s v="LZZLCU40C41A048A"/>
    <s v="LIUZZI LUCIA"/>
    <s v="600 - Famiglie consumatrici"/>
    <m/>
    <s v="086 - ITALIA"/>
    <n v="1640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24"/>
    <x v="5"/>
    <x v="5"/>
    <x v="50"/>
    <n v="53850"/>
    <n v="264"/>
    <s v="053850_264"/>
    <s v="Discovery Day"/>
    <s v="Mai valutato"/>
    <m/>
    <n v="202506208089022"/>
    <n v="2643300002172"/>
    <n v="20250620"/>
    <s v="D1 - Versamento di contante "/>
    <m/>
    <m/>
    <s v="A     - Avere"/>
    <n v="25000"/>
    <n v="25000"/>
    <n v="1695675"/>
    <s v="CSCGRZ59D56F052C"/>
    <s v="CUSCIANNA GRAZIA"/>
    <s v="615 - Altre famiglie produttrici"/>
    <s v="477 - COMMERCIO AL DETTAGLIO DI ALTRI PRODOTTI IN ESERCIZI SPECIALIZZATI"/>
    <s v="086 - ITALIA"/>
    <n v="1851"/>
    <m/>
    <m/>
    <m/>
    <m/>
    <m/>
    <m/>
    <m/>
    <n v="0"/>
    <n v="202506"/>
    <x v="3"/>
    <x v="1"/>
    <x v="0"/>
    <n v="1695675"/>
    <x v="1"/>
    <x v="0"/>
    <s v="477"/>
    <s v="615"/>
    <s v="615477"/>
    <s v="Classe di rischio 6"/>
    <m/>
    <s v="Classe di rischio 6"/>
  </r>
  <r>
    <n v="360323"/>
    <x v="4"/>
    <x v="4"/>
    <x v="50"/>
    <n v="53850"/>
    <n v="114"/>
    <s v="053850_114"/>
    <s v="Discovery Day"/>
    <s v="Mai valutato"/>
    <m/>
    <n v="202506208088701"/>
    <n v="1143306282252"/>
    <n v="20250620"/>
    <s v="SPECIAL"/>
    <m/>
    <m/>
    <s v="D     - Dare"/>
    <n v="57963.27"/>
    <n v="0"/>
    <n v="4779500"/>
    <n v="80005800711"/>
    <s v="TRIBUNALE DI FOGGIA"/>
    <s v="102 - Amministrazione Statale e Organi Costituzionali"/>
    <m/>
    <s v="086 - ITALIA"/>
    <n v="519"/>
    <m/>
    <m/>
    <m/>
    <m/>
    <m/>
    <m/>
    <m/>
    <n v="0"/>
    <n v="202506"/>
    <x v="4"/>
    <x v="1"/>
    <x v="0"/>
    <m/>
    <x v="0"/>
    <x v="1"/>
    <s v="999"/>
    <s v="102"/>
    <s v="102999"/>
    <s v="Classe di rischio 0"/>
    <m/>
    <s v="Classe di rischio 0"/>
  </r>
  <r>
    <n v="360322"/>
    <x v="2"/>
    <x v="2"/>
    <x v="50"/>
    <n v="53850"/>
    <n v="103"/>
    <s v="053850_103"/>
    <s v="Discovery Day"/>
    <s v="Mai valutato"/>
    <m/>
    <n v="202506208086850"/>
    <n v="1033302886146"/>
    <n v="20250620"/>
    <s v="AA - Bonifico da e per estero "/>
    <m/>
    <s v="012 - BULGARIA"/>
    <s v="D     - Dare"/>
    <n v="11259.38"/>
    <n v="0"/>
    <n v="4503362"/>
    <n v="6800040724"/>
    <s v="AUTOTRASPORTI F.LLI LOMBARDI DI LOMBARDI VIN"/>
    <s v="482 - Quasi societa' non finanziarie artigiane - Unita' o societa' con meno di 20 addetti"/>
    <s v="494 - TRASPORTO DI MERCI SU STRADA E SERVIZI DI TRASLOCO"/>
    <s v="086 - ITALIA"/>
    <n v="1912"/>
    <m/>
    <m/>
    <m/>
    <m/>
    <m/>
    <m/>
    <m/>
    <n v="0"/>
    <n v="202506"/>
    <x v="2"/>
    <x v="1"/>
    <x v="0"/>
    <m/>
    <x v="0"/>
    <x v="0"/>
    <s v="999"/>
    <s v="482"/>
    <s v="482999"/>
    <m/>
    <s v="1"/>
    <s v="Classe di rischio 2"/>
  </r>
  <r>
    <n v="360321"/>
    <x v="4"/>
    <x v="4"/>
    <x v="50"/>
    <n v="53850"/>
    <n v="116"/>
    <s v="053850_116"/>
    <s v="Discovery Day"/>
    <s v="Mai valutato"/>
    <m/>
    <n v="202506208088711"/>
    <n v="1163307623083"/>
    <n v="20250620"/>
    <s v="SPECIAL"/>
    <m/>
    <m/>
    <s v="D     - Dare"/>
    <n v="115315.71"/>
    <n v="0"/>
    <n v="466492"/>
    <s v="CZZNGL46S57A662L"/>
    <s v="COZZOLI POLI ANGELA"/>
    <s v="600 - Famiglie consumatrici"/>
    <m/>
    <s v="086 - ITALIA"/>
    <n v="733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20"/>
    <x v="3"/>
    <x v="3"/>
    <x v="50"/>
    <n v="53850"/>
    <n v="216"/>
    <s v="053850_216"/>
    <s v="Discovery Day"/>
    <s v="Mai valutato"/>
    <m/>
    <s v="Vari (20/06/2025)"/>
    <n v="2163300011328"/>
    <n v="20250620"/>
    <s v="VV"/>
    <m/>
    <m/>
    <s v="A     - Avere"/>
    <n v="41000"/>
    <n v="1000"/>
    <n v="4743836"/>
    <s v="CPNLRT61H08F831B"/>
    <s v="CAPUANI ALBERTO"/>
    <s v="615 - Altre famiglie produttrici"/>
    <s v="477 - COMMERCIO AL DETTAGLIO DI ALTRI PRODOTTI IN ESERCIZI SPECIALIZZATI"/>
    <s v="086 - ITALIA"/>
    <n v="1595"/>
    <m/>
    <m/>
    <m/>
    <m/>
    <m/>
    <m/>
    <m/>
    <n v="0"/>
    <n v="202506"/>
    <x v="1"/>
    <x v="0"/>
    <x v="0"/>
    <m/>
    <x v="0"/>
    <x v="1"/>
    <s v="477"/>
    <s v="615"/>
    <s v="615477"/>
    <s v="Classe di rischio 6"/>
    <m/>
    <s v="Classe di rischio 6"/>
  </r>
  <r>
    <n v="360319"/>
    <x v="5"/>
    <x v="5"/>
    <x v="50"/>
    <n v="53850"/>
    <n v="196"/>
    <s v="053850_196"/>
    <s v="Discovery Day"/>
    <s v="Mai valutato"/>
    <m/>
    <s v="Vari (20/06/2025)"/>
    <n v="1963302354159"/>
    <n v="20250620"/>
    <s v="VV"/>
    <m/>
    <m/>
    <s v="A     - Avere"/>
    <n v="35000"/>
    <n v="33000"/>
    <n v="4915537"/>
    <s v="LNTGPP92S24C514W"/>
    <s v="LIONETTI GIUSEPPE"/>
    <s v="600 - Famiglie consumatrici"/>
    <m/>
    <s v="086 - ITALIA"/>
    <n v="796"/>
    <m/>
    <m/>
    <m/>
    <m/>
    <m/>
    <m/>
    <m/>
    <n v="0"/>
    <n v="202506"/>
    <x v="2"/>
    <x v="1"/>
    <x v="0"/>
    <n v="4915537"/>
    <x v="1"/>
    <x v="1"/>
    <s v="999"/>
    <s v="600"/>
    <s v="600999"/>
    <s v="Classe di rischio 7"/>
    <m/>
    <s v="Classe di rischio 7"/>
  </r>
  <r>
    <n v="360318"/>
    <x v="3"/>
    <x v="3"/>
    <x v="50"/>
    <n v="53850"/>
    <n v="149"/>
    <s v="053850_149"/>
    <s v="Discovery Day"/>
    <s v="Mai valutato"/>
    <m/>
    <n v="202506208088821"/>
    <n v="1493300660861"/>
    <n v="20250620"/>
    <s v="G1 - Versamento assegni tratti su altro intermediario "/>
    <m/>
    <m/>
    <s v="A     - Avere"/>
    <n v="50000"/>
    <n v="0"/>
    <n v="4174943"/>
    <s v="GNTLGU40M13F839P"/>
    <s v="GENTILE LUIGI"/>
    <s v="615 - Altre famiglie produttrici"/>
    <s v="477 - COMMERCIO AL DETTAGLIO DI ALTRI PRODOTTI IN ESERCIZI SPECIALIZZATI"/>
    <s v="086 - ITALIA"/>
    <n v="1910"/>
    <m/>
    <m/>
    <m/>
    <m/>
    <m/>
    <m/>
    <m/>
    <n v="0"/>
    <n v="202506"/>
    <x v="2"/>
    <x v="1"/>
    <x v="0"/>
    <m/>
    <x v="0"/>
    <x v="0"/>
    <s v="477"/>
    <s v="615"/>
    <s v="615477"/>
    <s v="Classe di rischio 6"/>
    <m/>
    <s v="Classe di rischio 6"/>
  </r>
  <r>
    <n v="360317"/>
    <x v="3"/>
    <x v="3"/>
    <x v="50"/>
    <n v="53850"/>
    <n v="171"/>
    <s v="053850_171"/>
    <s v="Discovery Day"/>
    <s v="Mai valutato"/>
    <m/>
    <s v="Vari (20/06/2025)"/>
    <n v="1713305728950"/>
    <n v="20250620"/>
    <s v="03 - Versamento contante cassa continua "/>
    <m/>
    <m/>
    <s v="A     - Avere"/>
    <n v="151475"/>
    <n v="15147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316"/>
    <x v="4"/>
    <x v="4"/>
    <x v="50"/>
    <n v="53850"/>
    <n v="274"/>
    <s v="053850_274"/>
    <s v="Discovery Day"/>
    <s v="Mai valutato"/>
    <m/>
    <n v="202506208089085"/>
    <n v="2743300000482"/>
    <n v="20250620"/>
    <s v="SPECIAL"/>
    <m/>
    <m/>
    <s v="D     - Dare"/>
    <n v="49856.69"/>
    <n v="0"/>
    <n v="1631225"/>
    <s v="PRRGNN37A04F196Q"/>
    <s v="PERRUCCI GIOVANNI"/>
    <s v="600 - Famiglie consumatrici"/>
    <m/>
    <s v="086 - ITALIA"/>
    <n v="1825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315"/>
    <x v="4"/>
    <x v="4"/>
    <x v="50"/>
    <n v="53850"/>
    <n v="102"/>
    <s v="053850_102"/>
    <s v="Discovery Day"/>
    <s v="Mai valutato"/>
    <m/>
    <n v="202506208088079"/>
    <n v="1023308725549"/>
    <n v="20250620"/>
    <s v="50 - Pagamenti diversi"/>
    <m/>
    <m/>
    <s v="D     - Dare"/>
    <n v="528303.46"/>
    <n v="0"/>
    <n v="89612"/>
    <s v="VLPDNT55M17A225K"/>
    <s v="VULPIO DONATO"/>
    <s v="615 - Altre famiglie produttrici"/>
    <s v="711 - ATTIVITÀ DEGLI STUDI DI ARCHITETTURA, INGEGNERIA ED ALTRI STUDI TECNICI"/>
    <s v="086 - ITALIA"/>
    <n v="1306"/>
    <m/>
    <m/>
    <m/>
    <m/>
    <m/>
    <m/>
    <m/>
    <n v="0"/>
    <n v="202506"/>
    <x v="1"/>
    <x v="0"/>
    <x v="0"/>
    <m/>
    <x v="0"/>
    <x v="0"/>
    <s v="999"/>
    <s v="615"/>
    <s v="615999"/>
    <m/>
    <s v="1"/>
    <s v="Classe di rischio 3"/>
  </r>
  <r>
    <n v="360314"/>
    <x v="4"/>
    <x v="4"/>
    <x v="50"/>
    <n v="53850"/>
    <n v="170"/>
    <s v="053850_170"/>
    <s v="Discovery Day"/>
    <s v="Mai valutato"/>
    <m/>
    <s v="202506208496514L"/>
    <n v="1703306290293"/>
    <n v="20250620"/>
    <s v="SPECIAL"/>
    <m/>
    <m/>
    <s v="D     - Dare"/>
    <n v="2709.98"/>
    <n v="0"/>
    <n v="4406751"/>
    <s v="SGRRCR83A68A662J"/>
    <s v="SGARRA RICCARDA DANIELA"/>
    <s v="600 - Famiglie consumatrici"/>
    <m/>
    <s v="086 - ITALIA"/>
    <n v="1667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13"/>
    <x v="5"/>
    <x v="5"/>
    <x v="50"/>
    <n v="53850"/>
    <n v="102"/>
    <s v="053850_102"/>
    <s v="Discovery Day"/>
    <s v="Mai valutato"/>
    <m/>
    <n v="202506208088579"/>
    <n v="1023308724565"/>
    <n v="20250620"/>
    <s v="D1 - Versamento di contante "/>
    <m/>
    <m/>
    <s v="A     - Avere"/>
    <n v="16000"/>
    <n v="16000"/>
    <n v="4922754"/>
    <n v="7863910720"/>
    <s v="SIMONE GIOIELLI DEI F.LLI MANICONE MARCOANTO"/>
    <s v="492 - Quasi societa' non finanziarie altre - Unita' o societa' con meno di 20 addetti"/>
    <s v="477 - COMMERCIO AL DETTAGLIO DI ALTRI PRODOTTI IN ESERCIZI SPECIALIZZATI"/>
    <s v="086 - ITALIA"/>
    <n v="979"/>
    <m/>
    <m/>
    <m/>
    <m/>
    <m/>
    <m/>
    <m/>
    <n v="0"/>
    <n v="202506"/>
    <x v="0"/>
    <x v="0"/>
    <x v="0"/>
    <m/>
    <x v="0"/>
    <x v="0"/>
    <s v="477"/>
    <s v="492"/>
    <s v="492477"/>
    <s v="Classe di rischio 5"/>
    <m/>
    <s v="Classe di rischio 5"/>
  </r>
  <r>
    <n v="360312"/>
    <x v="5"/>
    <x v="5"/>
    <x v="50"/>
    <n v="53850"/>
    <n v="174"/>
    <s v="053850_174"/>
    <s v="Discovery Day"/>
    <s v="Mai valutato"/>
    <m/>
    <s v="Vari (20/06/2025)"/>
    <n v="1743302879903"/>
    <n v="20250620"/>
    <s v="VV"/>
    <m/>
    <m/>
    <s v="A     - Avere"/>
    <n v="37429.83"/>
    <n v="3100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6"/>
    <x v="2"/>
    <x v="1"/>
    <x v="0"/>
    <n v="4928259"/>
    <x v="1"/>
    <x v="1"/>
    <s v="463"/>
    <s v="430"/>
    <s v="430463"/>
    <s v="Classe di rischio 3"/>
    <m/>
    <s v="Classe di rischio 3"/>
  </r>
  <r>
    <n v="360311"/>
    <x v="5"/>
    <x v="5"/>
    <x v="50"/>
    <n v="53850"/>
    <n v="134"/>
    <s v="053850_134"/>
    <s v="Discovery Day"/>
    <s v="Mai valutato"/>
    <m/>
    <s v="Vari (20/06/2025)"/>
    <n v="1343300002724"/>
    <n v="20250620"/>
    <s v="VV"/>
    <m/>
    <m/>
    <s v="A     - Avere"/>
    <n v="35683.06"/>
    <n v="3182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6"/>
    <x v="4"/>
    <x v="1"/>
    <x v="0"/>
    <n v="4876967"/>
    <x v="1"/>
    <x v="1"/>
    <s v="999"/>
    <s v="615"/>
    <s v="615999"/>
    <m/>
    <s v="1"/>
    <s v="Classe di rischio 3"/>
  </r>
  <r>
    <n v="360310"/>
    <x v="3"/>
    <x v="3"/>
    <x v="50"/>
    <n v="53850"/>
    <n v="108"/>
    <s v="053850_108"/>
    <s v="Discovery Day"/>
    <s v="Mai valutato"/>
    <m/>
    <s v="Vari (20/06/2025)"/>
    <n v="1083306290559"/>
    <n v="20250620"/>
    <s v="VV"/>
    <m/>
    <m/>
    <s v="A     - Avere"/>
    <n v="112670.82"/>
    <n v="0"/>
    <n v="4902977"/>
    <n v="8081970728"/>
    <s v="MICCOLIS S.R.L."/>
    <s v="430 - Imprese produttive"/>
    <s v="015 - COLTIVAZIONI AGRICOLE ASSOCIATE ALL'ALLEVAMENTO DI ANIMALI: ATTIVITÀ MISTA"/>
    <s v="086 - ITALIA"/>
    <n v="1058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60309"/>
    <x v="7"/>
    <x v="7"/>
    <x v="50"/>
    <n v="53850"/>
    <n v="99"/>
    <s v="053850_99"/>
    <s v="Discovery Day"/>
    <s v="Mai valutato"/>
    <m/>
    <s v="202506208496513L"/>
    <m/>
    <n v="20250620"/>
    <s v="SPECIAL"/>
    <m/>
    <m/>
    <s v="D     - Dare"/>
    <n v="2709.98"/>
    <n v="0"/>
    <n v="4101931"/>
    <s v="PCCMRN79L16A285L"/>
    <s v="PICCININNO MARINO"/>
    <s v="600 - Famiglie consumatrici"/>
    <m/>
    <s v="086 - ITALIA"/>
    <n v="1667"/>
    <m/>
    <m/>
    <m/>
    <m/>
    <m/>
    <m/>
    <m/>
    <n v="0"/>
    <n v="202506"/>
    <x v="2"/>
    <x v="1"/>
    <x v="1"/>
    <m/>
    <x v="0"/>
    <x v="1"/>
    <s v="999"/>
    <s v="600"/>
    <s v="600999"/>
    <s v="Classe di rischio 7"/>
    <m/>
    <s v="Classe di rischio 7"/>
  </r>
  <r>
    <n v="360308"/>
    <x v="2"/>
    <x v="2"/>
    <x v="50"/>
    <n v="53850"/>
    <n v="104"/>
    <s v="053850_104"/>
    <s v="Discovery Day"/>
    <s v="Mai valutato"/>
    <m/>
    <n v="202506198086477"/>
    <n v="1043309503913"/>
    <n v="20250619"/>
    <s v="AA - Bonifico da e per estero "/>
    <m/>
    <s v="091 - PRINCIPATO DI MONACO"/>
    <s v="D     - Dare"/>
    <n v="9173.81"/>
    <n v="0"/>
    <n v="424944"/>
    <n v="3454860721"/>
    <s v="CO.BE.CA. S.R.L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m/>
    <x v="0"/>
    <x v="0"/>
    <s v="463"/>
    <s v="430"/>
    <s v="430463"/>
    <s v="Classe di rischio 3"/>
    <m/>
    <s v="Classe di rischio 3"/>
  </r>
  <r>
    <n v="360307"/>
    <x v="4"/>
    <x v="4"/>
    <x v="51"/>
    <n v="53850"/>
    <n v="102"/>
    <s v="053850_102"/>
    <s v="Discovery Day"/>
    <s v="Mai valutato"/>
    <m/>
    <n v="202506208085363"/>
    <n v="1025507000167"/>
    <n v="20250620"/>
    <s v="BU - Deposito su libretti a risparmio 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306"/>
    <x v="4"/>
    <x v="4"/>
    <x v="51"/>
    <n v="53850"/>
    <n v="102"/>
    <s v="053850_102"/>
    <s v="Discovery Day"/>
    <s v="Mai valutato"/>
    <m/>
    <n v="202506208085364"/>
    <n v="1025507000167"/>
    <n v="20250620"/>
    <s v="BA - Vendita a prodotti titoli e diritti d'opzione"/>
    <m/>
    <m/>
    <s v="A     - Avere"/>
    <n v="300431"/>
    <n v="0"/>
    <n v="25092"/>
    <s v="CSMGPP49D51A225L"/>
    <s v="COSMO GIUSEPPA ELVIRA ROSALBA"/>
    <s v="600 - Famiglie consumatrici"/>
    <m/>
    <s v="086 - ITALIA"/>
    <n v="1431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305"/>
    <x v="3"/>
    <x v="3"/>
    <x v="51"/>
    <n v="53850"/>
    <n v="171"/>
    <s v="053850_171"/>
    <s v="Discovery Day"/>
    <s v="Mai valutato"/>
    <m/>
    <s v="Vari (19/06/2025)"/>
    <n v="1713305728950"/>
    <n v="20250619"/>
    <s v="03 - Versamento contante cassa continua "/>
    <m/>
    <m/>
    <s v="A     - Avere"/>
    <n v="272782.3"/>
    <n v="272782.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304"/>
    <x v="2"/>
    <x v="2"/>
    <x v="51"/>
    <n v="53850"/>
    <n v="116"/>
    <s v="053850_116"/>
    <s v="Discovery Day"/>
    <s v="Mai valutato"/>
    <m/>
    <n v="202506198085278"/>
    <n v="1163307620827"/>
    <n v="20250619"/>
    <s v="AA - Bonifico da e per estero "/>
    <m/>
    <s v="238 - ABU DHABI"/>
    <s v="D     - Dare"/>
    <n v="25668.65"/>
    <n v="0"/>
    <n v="4871871"/>
    <n v="2516140726"/>
    <s v="FREZZA LEGNAMI S.P.A."/>
    <s v="430 - Imprese produttive"/>
    <s v="467 - COMMERCIO ALL'INGROSSO SPECIALIZZATO DI ALTRI PRODOTTI"/>
    <s v="086 - ITALIA"/>
    <n v="1903"/>
    <m/>
    <m/>
    <m/>
    <m/>
    <m/>
    <m/>
    <m/>
    <n v="0"/>
    <n v="202506"/>
    <x v="3"/>
    <x v="1"/>
    <x v="0"/>
    <m/>
    <x v="0"/>
    <x v="0"/>
    <s v="999"/>
    <s v="430"/>
    <s v="430999"/>
    <m/>
    <s v="1"/>
    <s v="Classe di rischio 1"/>
  </r>
  <r>
    <n v="360303"/>
    <x v="4"/>
    <x v="4"/>
    <x v="51"/>
    <n v="53850"/>
    <n v="145"/>
    <s v="053850_145"/>
    <s v="Discovery Day"/>
    <s v="Mai valutato"/>
    <m/>
    <s v="202506198457437L"/>
    <n v="1453300001145"/>
    <n v="20250619"/>
    <s v="SPECIAL"/>
    <m/>
    <m/>
    <s v="D     - Dare"/>
    <n v="3864.1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302"/>
    <x v="5"/>
    <x v="5"/>
    <x v="51"/>
    <n v="53850"/>
    <n v="171"/>
    <s v="053850_171"/>
    <s v="Discovery Day"/>
    <s v="Mai valutato"/>
    <m/>
    <s v="Vari (19/06/2025)"/>
    <n v="1713305728950"/>
    <n v="20250619"/>
    <s v="03 - Versamento contante cassa continua "/>
    <m/>
    <m/>
    <s v="A     - Avere"/>
    <n v="272782.3"/>
    <n v="272782.3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301"/>
    <x v="2"/>
    <x v="2"/>
    <x v="51"/>
    <n v="53850"/>
    <n v="109"/>
    <s v="053850_109"/>
    <s v="Discovery Day"/>
    <s v="Mai valutato"/>
    <m/>
    <n v="202506198085264"/>
    <n v="1093306675116"/>
    <n v="20250619"/>
    <s v="AA - Bonifico da e per estero "/>
    <m/>
    <s v="238 - ABU DHABI"/>
    <s v="A     - Avere"/>
    <n v="7800"/>
    <n v="0"/>
    <n v="4889439"/>
    <s v="LBRGDU73A02A662U"/>
    <s v="LABRIOLA GUIDO"/>
    <s v="600 - Famiglie consumatrici"/>
    <m/>
    <s v="086 - ITALIA"/>
    <n v="50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300"/>
    <x v="3"/>
    <x v="3"/>
    <x v="51"/>
    <n v="53850"/>
    <n v="105"/>
    <s v="053850_105"/>
    <s v="Discovery Day"/>
    <s v="Mai valutato"/>
    <m/>
    <n v="202506198085919"/>
    <n v="1053306291588"/>
    <n v="20250619"/>
    <s v="G7 - Versamento assegno circolare altro intermediario "/>
    <m/>
    <m/>
    <s v="A     - Avere"/>
    <n v="80000"/>
    <n v="0"/>
    <n v="446742"/>
    <s v="SVNSLL57B52E038N"/>
    <s v="SAVINO ISABELLA MARIA ROSARIA"/>
    <s v="615 - Altre famiglie produttrici"/>
    <s v="477 - COMMERCIO AL DETTAGLIO DI ALTRI PRODOTTI IN ESERCIZI SPECIALIZZATI"/>
    <s v="086 - ITALIA"/>
    <n v="1947"/>
    <m/>
    <m/>
    <m/>
    <m/>
    <m/>
    <m/>
    <m/>
    <n v="0"/>
    <n v="202506"/>
    <x v="2"/>
    <x v="1"/>
    <x v="0"/>
    <m/>
    <x v="0"/>
    <x v="0"/>
    <s v="477"/>
    <s v="615"/>
    <s v="615477"/>
    <s v="Classe di rischio 6"/>
    <m/>
    <s v="Classe di rischio 6"/>
  </r>
  <r>
    <n v="360299"/>
    <x v="5"/>
    <x v="5"/>
    <x v="51"/>
    <n v="53850"/>
    <n v="195"/>
    <s v="053850_195"/>
    <s v="Discovery Day"/>
    <s v="Mai valutato"/>
    <m/>
    <n v="202506198085746"/>
    <n v="1953300026976"/>
    <n v="20250619"/>
    <s v="03 - Versamento contante cassa continua "/>
    <m/>
    <m/>
    <s v="A     - Avere"/>
    <n v="31400"/>
    <n v="31400"/>
    <n v="4081785"/>
    <s v="DGSNGL77E03F027Z"/>
    <s v="D'AGOSTINO ANGELO"/>
    <s v="615 - Altre famiglie produttrici"/>
    <s v="475 - COMMERCIO AL DETTAGLIO DI ALTRI PRODOTTI PER USO DOMESTICO IN ESERCIZI SPECIALIZZATI"/>
    <s v="086 - ITALIA"/>
    <n v="938"/>
    <m/>
    <m/>
    <m/>
    <m/>
    <m/>
    <m/>
    <m/>
    <n v="0"/>
    <n v="202506"/>
    <x v="4"/>
    <x v="1"/>
    <x v="0"/>
    <n v="4081785"/>
    <x v="1"/>
    <x v="0"/>
    <s v="999"/>
    <s v="615"/>
    <s v="615999"/>
    <m/>
    <s v="1"/>
    <s v="Classe di rischio 3"/>
  </r>
  <r>
    <n v="360298"/>
    <x v="7"/>
    <x v="7"/>
    <x v="51"/>
    <n v="53850"/>
    <n v="99"/>
    <s v="053850_99"/>
    <s v="Discovery Day"/>
    <s v="Mai valutato"/>
    <m/>
    <n v="202506198085852"/>
    <m/>
    <n v="20250619"/>
    <s v="SPECIAL"/>
    <m/>
    <m/>
    <s v="D     - Dare"/>
    <n v="30423.34"/>
    <n v="0"/>
    <n v="1627137"/>
    <s v="CVLKTA84D50E435P"/>
    <s v="CAVALIERE KATIA"/>
    <s v="600 - Famiglie consumatrici"/>
    <m/>
    <s v="086 - ITALIA"/>
    <n v="1802"/>
    <m/>
    <m/>
    <m/>
    <m/>
    <m/>
    <m/>
    <m/>
    <n v="0"/>
    <n v="202506"/>
    <x v="0"/>
    <x v="0"/>
    <x v="1"/>
    <m/>
    <x v="0"/>
    <x v="1"/>
    <s v="999"/>
    <s v="600"/>
    <s v="600999"/>
    <s v="Classe di rischio 7"/>
    <m/>
    <s v="Classe di rischio 7"/>
  </r>
  <r>
    <n v="360297"/>
    <x v="5"/>
    <x v="5"/>
    <x v="51"/>
    <n v="53850"/>
    <n v="116"/>
    <s v="053850_116"/>
    <s v="Discovery Day"/>
    <s v="Mai valutato"/>
    <m/>
    <n v="202506198085768"/>
    <n v="2343300010453"/>
    <n v="20250619"/>
    <s v="03 - Versamento contante cassa continua "/>
    <m/>
    <m/>
    <s v="A     - Avere"/>
    <n v="48291.95"/>
    <n v="48291.9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296"/>
    <x v="4"/>
    <x v="4"/>
    <x v="51"/>
    <n v="53850"/>
    <n v="145"/>
    <s v="053850_145"/>
    <s v="Discovery Day"/>
    <s v="Mai valutato"/>
    <m/>
    <s v="202506198457437L"/>
    <n v="1453300001145"/>
    <n v="20250619"/>
    <s v="SPECIAL"/>
    <m/>
    <m/>
    <s v="D     - Dare"/>
    <n v="3864.15"/>
    <n v="0"/>
    <n v="5170"/>
    <s v="MRCFNC36L11F839D"/>
    <s v="MERCADANTE FRANCESCO"/>
    <s v="600 - Famiglie consumatrici"/>
    <m/>
    <s v="086 - ITALIA"/>
    <n v="1222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295"/>
    <x v="4"/>
    <x v="4"/>
    <x v="51"/>
    <n v="53850"/>
    <n v="121"/>
    <s v="053850_121"/>
    <s v="Discovery Day"/>
    <s v="Mai valutato"/>
    <m/>
    <n v="202506198084101"/>
    <n v="1213300002600"/>
    <n v="20250619"/>
    <s v="26 - Bonifico in partenza "/>
    <m/>
    <s v="086 - ITALIA"/>
    <s v="D     - Dare"/>
    <n v="1069910.22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4"/>
    <x v="1"/>
    <x v="0"/>
    <m/>
    <x v="0"/>
    <x v="0"/>
    <s v="463"/>
    <s v="430"/>
    <s v="430463"/>
    <s v="Classe di rischio 3"/>
    <m/>
    <s v="Classe di rischio 3"/>
  </r>
  <r>
    <n v="360294"/>
    <x v="5"/>
    <x v="5"/>
    <x v="51"/>
    <n v="53850"/>
    <n v="268"/>
    <s v="053850_268"/>
    <s v="Discovery Day"/>
    <s v="Mai valutato"/>
    <m/>
    <s v="Vari (19/06/2025)"/>
    <n v="2683300006675"/>
    <n v="20250619"/>
    <s v="D1 - Versamento di contante "/>
    <m/>
    <m/>
    <s v="A     - Avere"/>
    <n v="25000"/>
    <n v="25000"/>
    <n v="1704753"/>
    <s v="PRNSMN74A31F158N"/>
    <s v="PRINZI SIMONE"/>
    <s v="615 - Altre famiglie produttrici"/>
    <s v="477 - COMMERCIO AL DETTAGLIO DI ALTRI PRODOTTI IN ESERCIZI SPECIALIZZATI"/>
    <s v="086 - ITALIA"/>
    <n v="1870"/>
    <m/>
    <m/>
    <m/>
    <m/>
    <m/>
    <m/>
    <m/>
    <n v="0"/>
    <n v="202506"/>
    <x v="2"/>
    <x v="1"/>
    <x v="0"/>
    <n v="1704753"/>
    <x v="1"/>
    <x v="0"/>
    <s v="477"/>
    <s v="615"/>
    <s v="615477"/>
    <s v="Classe di rischio 6"/>
    <m/>
    <s v="Classe di rischio 6"/>
  </r>
  <r>
    <n v="360293"/>
    <x v="3"/>
    <x v="3"/>
    <x v="51"/>
    <n v="53850"/>
    <n v="103"/>
    <s v="053850_103"/>
    <s v="Discovery Day"/>
    <s v="Mai valutato"/>
    <m/>
    <n v="202506198085897"/>
    <n v="1033300184830"/>
    <n v="20250619"/>
    <s v="G7 - Versamento assegno circolare altro intermediario "/>
    <m/>
    <m/>
    <s v="A     - Avere"/>
    <n v="102817.51"/>
    <n v="0"/>
    <n v="18483"/>
    <s v="DNTVCN47T14E155F"/>
    <s v="DENTE VINCENZO"/>
    <s v="600 - Famiglie consumatrici"/>
    <m/>
    <s v="086 - ITALIA"/>
    <n v="80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92"/>
    <x v="4"/>
    <x v="4"/>
    <x v="51"/>
    <n v="53850"/>
    <n v="282"/>
    <s v="053850_282"/>
    <s v="Discovery Day"/>
    <s v="Mai valutato"/>
    <m/>
    <n v="202506198085851"/>
    <n v="2823300002468"/>
    <n v="20250619"/>
    <s v="SPECIAL"/>
    <m/>
    <m/>
    <s v="D     - Dare"/>
    <n v="30423.34"/>
    <n v="0"/>
    <n v="1627137"/>
    <s v="CVLKTA84D50E435P"/>
    <s v="CAVALIERE KATIA"/>
    <s v="600 - Famiglie consumatrici"/>
    <m/>
    <s v="086 - ITALIA"/>
    <n v="1802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291"/>
    <x v="5"/>
    <x v="5"/>
    <x v="51"/>
    <n v="53850"/>
    <n v="175"/>
    <s v="053850_175"/>
    <s v="Discovery Day"/>
    <s v="Mai valutato"/>
    <m/>
    <s v="Vari (19/06/2025)"/>
    <n v="1753302203127"/>
    <n v="20250619"/>
    <s v="VV"/>
    <m/>
    <m/>
    <s v="A     - Avere"/>
    <n v="110629.17"/>
    <n v="100650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x v="2"/>
    <x v="1"/>
    <x v="0"/>
    <n v="4160138"/>
    <x v="1"/>
    <x v="1"/>
    <s v="999"/>
    <s v="430"/>
    <s v="430999"/>
    <m/>
    <s v="1"/>
    <s v="Classe di rischio 1"/>
  </r>
  <r>
    <n v="360290"/>
    <x v="3"/>
    <x v="3"/>
    <x v="51"/>
    <n v="53850"/>
    <n v="175"/>
    <s v="053850_175"/>
    <s v="Discovery Day"/>
    <s v="Mai valutato"/>
    <m/>
    <s v="Vari (19/06/2025)"/>
    <n v="1753302203127"/>
    <n v="20250619"/>
    <s v="VV"/>
    <m/>
    <m/>
    <s v="A     - Avere"/>
    <n v="110629.17"/>
    <n v="100650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x v="2"/>
    <x v="1"/>
    <x v="0"/>
    <n v="4160138"/>
    <x v="1"/>
    <x v="1"/>
    <s v="999"/>
    <s v="430"/>
    <s v="430999"/>
    <m/>
    <s v="1"/>
    <s v="Classe di rischio 1"/>
  </r>
  <r>
    <n v="360289"/>
    <x v="6"/>
    <x v="6"/>
    <x v="51"/>
    <n v="53850"/>
    <n v="110"/>
    <s v="053850_110"/>
    <s v="Discovery Day"/>
    <s v="Mai valutato"/>
    <m/>
    <n v="202506198085268"/>
    <n v="1103306288240"/>
    <n v="20250619"/>
    <s v="AA - Bonifico da e per estero "/>
    <m/>
    <s v="129 - INDONESIA"/>
    <s v="A     - Avere"/>
    <n v="103567.01"/>
    <n v="0"/>
    <n v="4960705"/>
    <n v="8520490726"/>
    <s v="ITALYON S.R.L."/>
    <s v="430 - Imprese produttive"/>
    <s v="464 - COMMERCIO ALL'INGROSSO DI BENI DI CONSUMO FINALE"/>
    <s v="086 - ITALIA"/>
    <n v="1696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60288"/>
    <x v="3"/>
    <x v="3"/>
    <x v="51"/>
    <n v="53850"/>
    <n v="171"/>
    <s v="053850_171"/>
    <s v="Discovery Day"/>
    <s v="Mai valutato"/>
    <m/>
    <s v="Vari (19/06/2025)"/>
    <n v="1713302214147"/>
    <n v="20250619"/>
    <s v="03 - Versamento contante cassa continua "/>
    <m/>
    <m/>
    <s v="A     - Avere"/>
    <n v="145850"/>
    <n v="14585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60287"/>
    <x v="6"/>
    <x v="6"/>
    <x v="51"/>
    <n v="53850"/>
    <n v="137"/>
    <s v="053850_137"/>
    <s v="Discovery Day"/>
    <s v="Mai valutato"/>
    <m/>
    <n v="202506198085272"/>
    <n v="1371204172627"/>
    <n v="20250619"/>
    <s v="AA - Bonifico da e per estero "/>
    <m/>
    <s v="016 - CINA"/>
    <s v="D     - Dare"/>
    <n v="53581.85"/>
    <n v="0"/>
    <n v="4172627"/>
    <n v="820790707"/>
    <s v="GENKO S.R.L."/>
    <s v="430 - Imprese produttive"/>
    <s v="464 - COMMERCIO ALL'INGROSSO DI BENI DI CONSUMO FINALE"/>
    <s v="086 - ITALIA"/>
    <n v="1856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60286"/>
    <x v="4"/>
    <x v="4"/>
    <x v="51"/>
    <n v="53850"/>
    <n v="122"/>
    <s v="053850_122"/>
    <s v="Discovery Day"/>
    <s v="Mai valutato"/>
    <m/>
    <n v="202506198084762"/>
    <n v="1223300001682"/>
    <n v="20250619"/>
    <s v="48 - Bonifico in arrivo "/>
    <m/>
    <s v="086 - ITALIA"/>
    <s v="A     - Avere"/>
    <n v="888195.89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60285"/>
    <x v="5"/>
    <x v="5"/>
    <x v="51"/>
    <n v="53850"/>
    <n v="102"/>
    <s v="053850_102"/>
    <s v="Discovery Day"/>
    <s v="Mai valutato"/>
    <m/>
    <n v="202506198085573"/>
    <n v="1183306279201"/>
    <n v="20250619"/>
    <s v="03 - Versamento contante cassa continua "/>
    <m/>
    <m/>
    <s v="A     - Avere"/>
    <n v="35020"/>
    <n v="35020"/>
    <n v="4875916"/>
    <n v="7972250729"/>
    <s v="MASSERIA CHINUNNO SOCIETA' AGRICOLA A RESPON"/>
    <s v="430 - Imprese produttive"/>
    <s v="015 - COLTIVAZIONI AGRICOLE ASSOCIATE ALL'ALLEVAMENTO DI ANIMALI: ATTIVITÀ MISTA"/>
    <s v="086 - ITALIA"/>
    <n v="979"/>
    <m/>
    <m/>
    <m/>
    <m/>
    <m/>
    <m/>
    <m/>
    <n v="0"/>
    <n v="202506"/>
    <x v="2"/>
    <x v="1"/>
    <x v="0"/>
    <n v="4875916"/>
    <x v="1"/>
    <x v="0"/>
    <s v="999"/>
    <s v="430"/>
    <s v="430999"/>
    <m/>
    <s v="1"/>
    <s v="Classe di rischio 1"/>
  </r>
  <r>
    <n v="360284"/>
    <x v="6"/>
    <x v="6"/>
    <x v="51"/>
    <n v="53850"/>
    <n v="137"/>
    <s v="053850_137"/>
    <s v="Discovery Day"/>
    <s v="Mai valutato"/>
    <m/>
    <n v="202506198085274"/>
    <n v="1371204172627"/>
    <n v="20250619"/>
    <s v="AA - Bonifico da e per estero "/>
    <m/>
    <s v="016 - CINA"/>
    <s v="D     - Dare"/>
    <n v="90567.13"/>
    <n v="0"/>
    <n v="4172627"/>
    <n v="820790707"/>
    <s v="GENKO S.R.L."/>
    <s v="430 - Imprese produttive"/>
    <s v="464 - COMMERCIO ALL'INGROSSO DI BENI DI CONSUMO FINALE"/>
    <s v="086 - ITALIA"/>
    <n v="1856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60283"/>
    <x v="5"/>
    <x v="5"/>
    <x v="51"/>
    <n v="53850"/>
    <n v="188"/>
    <s v="053850_188"/>
    <s v="Discovery Day"/>
    <s v="Mai valutato"/>
    <m/>
    <n v="202506198085720"/>
    <n v="1873300111215"/>
    <n v="20250619"/>
    <s v="03 - Versamento contante cassa continua "/>
    <m/>
    <m/>
    <s v="A     - Avere"/>
    <n v="18150"/>
    <n v="18150"/>
    <n v="4951886"/>
    <s v="CSTNTN94P16L049C"/>
    <s v="CASTELLANO ANTONIO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82"/>
    <x v="5"/>
    <x v="5"/>
    <x v="51"/>
    <n v="53850"/>
    <n v="273"/>
    <s v="053850_273"/>
    <s v="Discovery Day"/>
    <s v="Mai valutato"/>
    <m/>
    <s v="Vari (19/06/2025)"/>
    <n v="2733300001040"/>
    <n v="20250619"/>
    <s v="03 - Versamento contante cassa continua "/>
    <m/>
    <m/>
    <s v="A     - Avere"/>
    <n v="35670"/>
    <n v="35670"/>
    <n v="1615776"/>
    <s v="DBSNLC80T55E435P"/>
    <s v="DI BIASE ANGELICA"/>
    <s v="615 - Altre famiglie produttrici"/>
    <s v="472 - COMMERCIO AL DETTAGLIO DI PRODOTTI ALIMENTARI, BEVANDE E TABACCO IN ESERCIZI SPECIALIZZATI"/>
    <s v="086 - ITALIA"/>
    <n v="1765"/>
    <m/>
    <m/>
    <m/>
    <m/>
    <m/>
    <m/>
    <m/>
    <n v="0"/>
    <n v="202506"/>
    <x v="4"/>
    <x v="1"/>
    <x v="0"/>
    <n v="1615776"/>
    <x v="1"/>
    <x v="0"/>
    <s v="999"/>
    <s v="615"/>
    <s v="615999"/>
    <m/>
    <s v="1"/>
    <s v="Classe di rischio 3"/>
  </r>
  <r>
    <n v="360281"/>
    <x v="4"/>
    <x v="4"/>
    <x v="51"/>
    <n v="53850"/>
    <n v="187"/>
    <s v="053850_187"/>
    <s v="Discovery Day"/>
    <s v="Mai valutato"/>
    <m/>
    <n v="202506198084382"/>
    <n v="1873300106975"/>
    <n v="20250619"/>
    <s v="48 - Bonifico in arrivo "/>
    <m/>
    <s v="086 - ITALIA"/>
    <s v="A     - Avere"/>
    <n v="220000"/>
    <n v="0"/>
    <n v="4487788"/>
    <s v="CTTNDR88H03D643Z"/>
    <s v="CUTTANO ANDREA"/>
    <s v="600 - Famiglie consumatrici"/>
    <m/>
    <s v="086 - ITALIA"/>
    <n v="1162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80"/>
    <x v="2"/>
    <x v="2"/>
    <x v="51"/>
    <n v="53850"/>
    <n v="134"/>
    <s v="053850_134"/>
    <s v="Discovery Day"/>
    <s v="Mai valutato"/>
    <m/>
    <s v="202506198457957L"/>
    <n v="1303300000237"/>
    <n v="20250619"/>
    <s v="AA - Bonifico da e per estero "/>
    <m/>
    <s v="012 - BULGARIA"/>
    <s v="A     - Avere"/>
    <n v="4000"/>
    <n v="0"/>
    <n v="4005541"/>
    <s v="LMTPTR64P07A612G"/>
    <s v="LOMUTO PIETRO"/>
    <s v="600 - Famiglie consumatrici"/>
    <m/>
    <s v="086 - ITALIA"/>
    <n v="1659"/>
    <m/>
    <m/>
    <m/>
    <m/>
    <m/>
    <m/>
    <m/>
    <n v="0"/>
    <n v="202506"/>
    <x v="4"/>
    <x v="1"/>
    <x v="0"/>
    <m/>
    <x v="0"/>
    <x v="0"/>
    <s v="999"/>
    <s v="600"/>
    <s v="600999"/>
    <s v="Classe di rischio 7"/>
    <m/>
    <s v="Classe di rischio 7"/>
  </r>
  <r>
    <n v="360279"/>
    <x v="5"/>
    <x v="5"/>
    <x v="51"/>
    <n v="53850"/>
    <n v="284"/>
    <s v="053850_284"/>
    <s v="Discovery Day"/>
    <s v="Mai valutato"/>
    <m/>
    <s v="Vari (19/06/2025)"/>
    <n v="2843300001336"/>
    <n v="20250619"/>
    <s v="VV"/>
    <m/>
    <m/>
    <s v="A     - Avere"/>
    <n v="78211.259999999995"/>
    <n v="7500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6"/>
    <x v="1"/>
    <x v="0"/>
    <x v="0"/>
    <m/>
    <x v="0"/>
    <x v="1"/>
    <s v="999"/>
    <s v="430"/>
    <s v="430999"/>
    <m/>
    <s v="1"/>
    <s v="Classe di rischio 1"/>
  </r>
  <r>
    <n v="360278"/>
    <x v="5"/>
    <x v="5"/>
    <x v="51"/>
    <n v="53850"/>
    <n v="188"/>
    <s v="053850_188"/>
    <s v="Discovery Day"/>
    <s v="Mai valutato"/>
    <m/>
    <n v="202506198085720"/>
    <n v="1873300111215"/>
    <n v="20250619"/>
    <s v="03 - Versamento contante cassa continua "/>
    <m/>
    <m/>
    <s v="A     - Avere"/>
    <n v="18150"/>
    <n v="18150"/>
    <n v="3733944"/>
    <s v="FNLGPP95E71L049D"/>
    <s v="FANELLI GIUSEPPIN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77"/>
    <x v="4"/>
    <x v="4"/>
    <x v="51"/>
    <n v="53850"/>
    <n v="282"/>
    <s v="053850_282"/>
    <s v="Discovery Day"/>
    <s v="Mai valutato"/>
    <m/>
    <n v="202506198085851"/>
    <n v="2823300002468"/>
    <n v="20250619"/>
    <s v="SPECIAL"/>
    <m/>
    <m/>
    <s v="D     - Dare"/>
    <n v="30423.34"/>
    <n v="0"/>
    <n v="1681594"/>
    <s v="DLRPQL74T13A485B"/>
    <s v="DI LORETO PASQUALE"/>
    <s v="600 - Famiglie consumatrici"/>
    <m/>
    <s v="086 - ITALIA"/>
    <n v="1802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276"/>
    <x v="4"/>
    <x v="4"/>
    <x v="51"/>
    <n v="53850"/>
    <n v="174"/>
    <s v="053850_174"/>
    <s v="Discovery Day"/>
    <s v="Mai valutato"/>
    <m/>
    <n v="202506198086111"/>
    <n v="1743302881057"/>
    <n v="20250619"/>
    <s v="SPECIAL"/>
    <m/>
    <m/>
    <s v="D     - Dare"/>
    <n v="13074.56"/>
    <n v="0"/>
    <n v="610011"/>
    <s v="CMPRNZ67L07F376D"/>
    <s v="CAMPANELLI ORONZO"/>
    <s v="615 - Altre famiglie produttrici"/>
    <s v="477 - COMMERCIO AL DETTAGLIO DI ALTRI PRODOTTI IN ESERCIZI SPECIALIZZATI"/>
    <s v="086 - ITALIA"/>
    <n v="720"/>
    <m/>
    <m/>
    <m/>
    <m/>
    <m/>
    <m/>
    <m/>
    <n v="0"/>
    <n v="202506"/>
    <x v="2"/>
    <x v="1"/>
    <x v="0"/>
    <m/>
    <x v="0"/>
    <x v="1"/>
    <s v="477"/>
    <s v="615"/>
    <s v="615477"/>
    <s v="Classe di rischio 6"/>
    <m/>
    <s v="Classe di rischio 6"/>
  </r>
  <r>
    <n v="360275"/>
    <x v="7"/>
    <x v="7"/>
    <x v="51"/>
    <n v="53850"/>
    <n v="99"/>
    <s v="053850_99"/>
    <s v="Discovery Day"/>
    <s v="Mai valutato"/>
    <m/>
    <n v="202506198085852"/>
    <m/>
    <n v="20250619"/>
    <s v="SPECIAL"/>
    <m/>
    <m/>
    <s v="D     - Dare"/>
    <n v="30423.34"/>
    <n v="0"/>
    <n v="1681594"/>
    <s v="DLRPQL74T13A485B"/>
    <s v="DI LORETO PASQUALE"/>
    <s v="600 - Famiglie consumatrici"/>
    <m/>
    <s v="086 - ITALIA"/>
    <n v="1802"/>
    <m/>
    <m/>
    <m/>
    <m/>
    <m/>
    <m/>
    <m/>
    <n v="0"/>
    <n v="202506"/>
    <x v="0"/>
    <x v="0"/>
    <x v="1"/>
    <m/>
    <x v="0"/>
    <x v="1"/>
    <s v="999"/>
    <s v="600"/>
    <s v="600999"/>
    <s v="Classe di rischio 7"/>
    <m/>
    <s v="Classe di rischio 7"/>
  </r>
  <r>
    <n v="360274"/>
    <x v="5"/>
    <x v="5"/>
    <x v="51"/>
    <n v="53850"/>
    <n v="102"/>
    <s v="053850_102"/>
    <s v="Discovery Day"/>
    <s v="Mai valutato"/>
    <m/>
    <n v="202506198085503"/>
    <n v="1023308722503"/>
    <n v="20250619"/>
    <s v="03 - Versamento contante cassa continua "/>
    <m/>
    <m/>
    <s v="A     - Avere"/>
    <n v="33150"/>
    <n v="331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60273"/>
    <x v="4"/>
    <x v="4"/>
    <x v="51"/>
    <n v="53850"/>
    <n v="102"/>
    <s v="053850_102"/>
    <s v="Discovery Day"/>
    <s v="Mai valutato"/>
    <m/>
    <n v="202506198085865"/>
    <n v="1023308724399"/>
    <n v="20250619"/>
    <s v="54 - Incassi diversi"/>
    <m/>
    <m/>
    <s v="A     - Avere"/>
    <n v="200000"/>
    <n v="0"/>
    <n v="116692"/>
    <s v="GDUSVR49L03A225Y"/>
    <s v="GUIDA SAVERIO"/>
    <s v="600 - Famiglie consumatrici"/>
    <m/>
    <s v="086 - ITALIA"/>
    <n v="1335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60272"/>
    <x v="5"/>
    <x v="5"/>
    <x v="51"/>
    <n v="53850"/>
    <n v="171"/>
    <s v="053850_171"/>
    <s v="Discovery Day"/>
    <s v="Mai valutato"/>
    <m/>
    <s v="Vari (19/06/2025)"/>
    <n v="1713302214147"/>
    <n v="20250619"/>
    <s v="03 - Versamento contante cassa continua "/>
    <m/>
    <m/>
    <s v="A     - Avere"/>
    <n v="145850"/>
    <n v="14585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60271"/>
    <x v="4"/>
    <x v="4"/>
    <x v="52"/>
    <n v="53850"/>
    <n v="120"/>
    <s v="053850_120"/>
    <s v="Discovery Day"/>
    <s v="Mai valutato"/>
    <m/>
    <n v="202506188082748"/>
    <n v="1203300002958"/>
    <n v="20250618"/>
    <s v="50 - Pagamenti diversi"/>
    <m/>
    <m/>
    <s v="D     - Dare"/>
    <n v="789550.6"/>
    <n v="0"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270"/>
    <x v="3"/>
    <x v="3"/>
    <x v="52"/>
    <n v="53850"/>
    <n v="121"/>
    <s v="053850_121"/>
    <s v="Discovery Day"/>
    <s v="Mai valutato"/>
    <m/>
    <n v="202506188083420"/>
    <n v="1213300003619"/>
    <n v="20250618"/>
    <s v="G1 - Versamento assegni tratti su altro intermediario "/>
    <m/>
    <m/>
    <s v="A     - Avere"/>
    <n v="90000"/>
    <n v="0"/>
    <n v="3745843"/>
    <s v="BRCVTI87E20H096F"/>
    <s v="BARCADORO CIAFFALDANO VITO"/>
    <s v="615 - Altre famiglie produttrici"/>
    <s v="012 - COLTIVAZIONE DI COLTURE PERMANENTI"/>
    <s v="086 - ITALIA"/>
    <n v="928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60269"/>
    <x v="11"/>
    <x v="11"/>
    <x v="52"/>
    <n v="53850"/>
    <n v="102"/>
    <s v="053850_102"/>
    <s v="Discovery Day"/>
    <s v="Mai valutato"/>
    <m/>
    <n v="202506188083279"/>
    <n v="1026004012631"/>
    <n v="20250618"/>
    <s v="A7 - Erogazione finanziamenti diversi e prestiti personali"/>
    <m/>
    <m/>
    <s v="D     - Dare"/>
    <n v="125000"/>
    <n v="125000"/>
    <n v="488085"/>
    <s v="PLNNTN71R31A225T"/>
    <s v="PLANTAMURA ANTONIO"/>
    <s v="600 - Famiglie consumatrici"/>
    <m/>
    <s v="086 - ITALIA"/>
    <n v="1431"/>
    <m/>
    <m/>
    <m/>
    <m/>
    <m/>
    <m/>
    <m/>
    <n v="0"/>
    <n v="202506"/>
    <x v="1"/>
    <x v="0"/>
    <x v="1"/>
    <n v="488085"/>
    <x v="1"/>
    <x v="0"/>
    <s v="999"/>
    <s v="600"/>
    <s v="600999"/>
    <s v="Classe di rischio 7"/>
    <m/>
    <s v="Classe di rischio 7"/>
  </r>
  <r>
    <n v="360268"/>
    <x v="4"/>
    <x v="4"/>
    <x v="52"/>
    <n v="53850"/>
    <n v="226"/>
    <s v="053850_226"/>
    <s v="Discovery Day"/>
    <s v="Mai valutato"/>
    <m/>
    <n v="202506188081279"/>
    <n v="2263300011992"/>
    <n v="20250618"/>
    <s v="48 - Bonifico in arrivo "/>
    <m/>
    <s v="086 - ITALIA"/>
    <s v="A     - Avere"/>
    <n v="165166.66"/>
    <n v="0"/>
    <n v="4847196"/>
    <s v="MNNPQL67E25A662Z"/>
    <s v="MININNI JANNUZZI PASQUALE"/>
    <s v="615 - Altre famiglie produttrici"/>
    <s v="477 - COMMERCIO AL DETTAGLIO DI ALTRI PRODOTTI IN ESERCIZI SPECIALIZZATI"/>
    <s v="086 - ITALIA"/>
    <n v="746"/>
    <m/>
    <m/>
    <m/>
    <m/>
    <m/>
    <m/>
    <m/>
    <n v="0"/>
    <n v="202506"/>
    <x v="1"/>
    <x v="0"/>
    <x v="0"/>
    <n v="4847196"/>
    <x v="1"/>
    <x v="0"/>
    <s v="477"/>
    <s v="615"/>
    <s v="615477"/>
    <s v="Classe di rischio 6"/>
    <m/>
    <s v="Classe di rischio 6"/>
  </r>
  <r>
    <n v="360267"/>
    <x v="11"/>
    <x v="11"/>
    <x v="52"/>
    <n v="53850"/>
    <n v="102"/>
    <s v="053850_102"/>
    <s v="Discovery Day"/>
    <s v="Mai valutato"/>
    <m/>
    <n v="202506188083278"/>
    <n v="1026004012630"/>
    <n v="20250618"/>
    <s v="A7 - Erogazione finanziamenti diversi e prestiti personali"/>
    <m/>
    <m/>
    <s v="D     - Dare"/>
    <n v="117000"/>
    <n v="117000"/>
    <n v="488085"/>
    <s v="PLNNTN71R31A225T"/>
    <s v="PLANTAMURA ANTONIO"/>
    <s v="600 - Famiglie consumatrici"/>
    <m/>
    <s v="086 - ITALIA"/>
    <n v="1431"/>
    <m/>
    <m/>
    <m/>
    <m/>
    <m/>
    <m/>
    <m/>
    <n v="0"/>
    <n v="202506"/>
    <x v="1"/>
    <x v="0"/>
    <x v="1"/>
    <n v="488085"/>
    <x v="1"/>
    <x v="0"/>
    <s v="999"/>
    <s v="600"/>
    <s v="600999"/>
    <s v="Classe di rischio 7"/>
    <m/>
    <s v="Classe di rischio 7"/>
  </r>
  <r>
    <n v="360266"/>
    <x v="5"/>
    <x v="5"/>
    <x v="52"/>
    <n v="53850"/>
    <n v="170"/>
    <s v="053850_170"/>
    <s v="Discovery Day"/>
    <s v="Mai valutato"/>
    <m/>
    <s v="Vari (18/06/2025)"/>
    <n v="1703306291169"/>
    <n v="20250618"/>
    <s v="VV"/>
    <m/>
    <m/>
    <s v="A     - Avere"/>
    <n v="37350"/>
    <n v="36350"/>
    <n v="3744312"/>
    <s v="SMNVLR96P63A285Z"/>
    <s v="SIMONE VALERIA"/>
    <s v="600 - Famiglie consumatrici"/>
    <m/>
    <s v="086 - ITALIA"/>
    <m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265"/>
    <x v="4"/>
    <x v="4"/>
    <x v="52"/>
    <n v="53850"/>
    <n v="153"/>
    <s v="053850_153"/>
    <s v="Discovery Day"/>
    <s v="Mai valutato"/>
    <m/>
    <n v="202506188081647"/>
    <n v="1533300663155"/>
    <n v="20250618"/>
    <s v="48 - Bonifico in arrivo "/>
    <m/>
    <s v="086 - ITALIA"/>
    <s v="A     - Avere"/>
    <n v="655478.15"/>
    <n v="0"/>
    <n v="4847459"/>
    <n v="12699191008"/>
    <s v="PE. FIN S.P.A."/>
    <s v="430 - Imprese produttive"/>
    <s v="412 - COSTRUZIONE DI EDIFICI RESIDENZIALI E NON RESIDENZIALI"/>
    <s v="086 - ITALIA"/>
    <n v="1256"/>
    <m/>
    <m/>
    <m/>
    <m/>
    <m/>
    <m/>
    <m/>
    <n v="0"/>
    <n v="202506"/>
    <x v="4"/>
    <x v="1"/>
    <x v="0"/>
    <m/>
    <x v="0"/>
    <x v="0"/>
    <s v="412"/>
    <s v="430"/>
    <s v="430412"/>
    <s v="Classe di rischio 3"/>
    <m/>
    <s v="Classe di rischio 3"/>
  </r>
  <r>
    <n v="360264"/>
    <x v="5"/>
    <x v="5"/>
    <x v="52"/>
    <n v="53850"/>
    <n v="154"/>
    <s v="053850_154"/>
    <s v="Discovery Day"/>
    <s v="Mai valutato"/>
    <m/>
    <s v="Vari (18/06/2025)"/>
    <n v="1543300002125"/>
    <n v="20250618"/>
    <s v="03 - Versamento contante cassa continua "/>
    <m/>
    <m/>
    <s v="A     - Avere"/>
    <n v="16550"/>
    <n v="16550"/>
    <n v="4206100"/>
    <n v="4051440651"/>
    <s v="BOUTIQUE JOLE DI SCHIAVO BONAVENTURA &amp; C. S."/>
    <s v="492 - Quasi societa' non finanziarie altre - Unita' o societa' con meno di 20 addetti"/>
    <s v="477 - COMMERCIO AL DETTAGLIO DI ALTRI PRODOTTI IN ESERCIZI SPECIALIZZATI"/>
    <s v="086 - ITALIA"/>
    <n v="1256"/>
    <m/>
    <m/>
    <m/>
    <m/>
    <m/>
    <m/>
    <m/>
    <n v="0"/>
    <n v="202506"/>
    <x v="4"/>
    <x v="1"/>
    <x v="0"/>
    <n v="4206100"/>
    <x v="1"/>
    <x v="0"/>
    <s v="477"/>
    <s v="492"/>
    <s v="492477"/>
    <s v="Classe di rischio 5"/>
    <m/>
    <s v="Classe di rischio 5"/>
  </r>
  <r>
    <n v="360263"/>
    <x v="5"/>
    <x v="5"/>
    <x v="52"/>
    <n v="53850"/>
    <n v="114"/>
    <s v="053850_114"/>
    <s v="Discovery Day"/>
    <s v="Mai valutato"/>
    <m/>
    <n v="202506188083401"/>
    <n v="1143306280621"/>
    <n v="20250618"/>
    <s v="D1 - Versamento di contante "/>
    <m/>
    <m/>
    <s v="A     - Avere"/>
    <n v="46800"/>
    <n v="468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x v="1"/>
    <x v="0"/>
    <x v="0"/>
    <n v="4658875"/>
    <x v="1"/>
    <x v="0"/>
    <s v="477"/>
    <s v="430"/>
    <s v="430477"/>
    <s v="Classe di rischio 3"/>
    <m/>
    <s v="Classe di rischio 3"/>
  </r>
  <r>
    <n v="360262"/>
    <x v="4"/>
    <x v="4"/>
    <x v="52"/>
    <n v="53850"/>
    <n v="120"/>
    <s v="053850_120"/>
    <s v="Discovery Day"/>
    <s v="Mai valutato"/>
    <m/>
    <n v="202506188082674"/>
    <n v="1203300004162"/>
    <n v="20250618"/>
    <s v="50 - Pagamenti diversi"/>
    <m/>
    <m/>
    <s v="D     - Dare"/>
    <n v="828630.56"/>
    <n v="0"/>
    <n v="3740500"/>
    <n v="337000947"/>
    <s v="E.T.A. SPA"/>
    <s v="430 - Imprese produttive"/>
    <s v="244 - PRODUZIONE DI METALLI DI BASE PREZIOSI E ALTRI METALLI NON FERROSI, TRATTAMENTO DEI COMBUSTIBILI NUCLEAR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261"/>
    <x v="4"/>
    <x v="4"/>
    <x v="52"/>
    <n v="53850"/>
    <n v="109"/>
    <s v="053850_109"/>
    <s v="Discovery Day"/>
    <s v="Mai valutato"/>
    <m/>
    <n v="202506188083380"/>
    <n v="1093304728910"/>
    <n v="20250618"/>
    <s v="10 - Emisione assegni circolari e titoli similari vaglia"/>
    <m/>
    <m/>
    <s v="D     - Dare"/>
    <n v="258000"/>
    <n v="0"/>
    <n v="472891"/>
    <s v="LRCGCH48P15A662A"/>
    <s v="LARICCHIUTA GIOACCHINO"/>
    <s v="600 - Famiglie consumatrici"/>
    <m/>
    <s v="086 - ITALIA"/>
    <n v="778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60"/>
    <x v="4"/>
    <x v="4"/>
    <x v="52"/>
    <n v="53850"/>
    <n v="282"/>
    <s v="053850_282"/>
    <s v="Discovery Day"/>
    <s v="Mai valutato"/>
    <m/>
    <n v="202506188081966"/>
    <n v="2823300002829"/>
    <n v="20250618"/>
    <s v="48 - Bonifico in arrivo "/>
    <m/>
    <s v="086 - ITALIA"/>
    <s v="A     - Avere"/>
    <n v="169337.73"/>
    <n v="0"/>
    <n v="1625385"/>
    <s v="SRFRGB65D56B985J"/>
    <s v="SERAFINI RITA GABRIELLA"/>
    <s v="615 - Altre famiglie produttrici"/>
    <s v="477 - COMMERCIO AL DETTAGLIO DI ALTRI PRODOTTI IN ESERCIZI SPECIALIZZATI"/>
    <s v="086 - ITALIA"/>
    <n v="1387"/>
    <m/>
    <m/>
    <m/>
    <m/>
    <m/>
    <m/>
    <m/>
    <n v="0"/>
    <n v="202506"/>
    <x v="4"/>
    <x v="1"/>
    <x v="0"/>
    <n v="1625385"/>
    <x v="1"/>
    <x v="0"/>
    <s v="477"/>
    <s v="615"/>
    <s v="615477"/>
    <s v="Classe di rischio 6"/>
    <m/>
    <s v="Classe di rischio 6"/>
  </r>
  <r>
    <n v="360259"/>
    <x v="5"/>
    <x v="5"/>
    <x v="52"/>
    <n v="53850"/>
    <n v="170"/>
    <s v="053850_170"/>
    <s v="Discovery Day"/>
    <s v="Mai valutato"/>
    <m/>
    <s v="Vari (18/06/2025)"/>
    <n v="1703306291169"/>
    <n v="20250618"/>
    <s v="VV"/>
    <m/>
    <m/>
    <s v="A     - Avere"/>
    <n v="37350"/>
    <n v="36350"/>
    <n v="4882714"/>
    <s v="CVTMRK94P24A285F"/>
    <s v="CIVITA MIRKO"/>
    <s v="600 - Famiglie consumatrici"/>
    <m/>
    <s v="086 - ITALIA"/>
    <n v="1667"/>
    <m/>
    <m/>
    <m/>
    <m/>
    <m/>
    <m/>
    <m/>
    <n v="0"/>
    <n v="202506"/>
    <x v="2"/>
    <x v="1"/>
    <x v="0"/>
    <n v="4882714"/>
    <x v="1"/>
    <x v="1"/>
    <s v="999"/>
    <s v="600"/>
    <s v="600999"/>
    <s v="Classe di rischio 7"/>
    <m/>
    <s v="Classe di rischio 7"/>
  </r>
  <r>
    <n v="360258"/>
    <x v="2"/>
    <x v="2"/>
    <x v="52"/>
    <n v="53850"/>
    <n v="102"/>
    <s v="053850_102"/>
    <s v="Discovery Day"/>
    <s v="Mai valutato"/>
    <m/>
    <n v="202506188082025"/>
    <n v="2583300001294"/>
    <n v="20250618"/>
    <s v="AA - Bonifico da e per estero "/>
    <m/>
    <s v="095 - LIBANO"/>
    <s v="A     - Avere"/>
    <n v="28511.85"/>
    <n v="0"/>
    <n v="4923983"/>
    <n v="8254330726"/>
    <s v="FDESIGN ITALIA SOCIETA' A RESPONSABILITA' LI"/>
    <s v="430 - Imprese produttive"/>
    <s v="310 - FABBRICAZIONE DI MOBILI"/>
    <s v="086 - ITALIA"/>
    <n v="194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257"/>
    <x v="11"/>
    <x v="11"/>
    <x v="52"/>
    <n v="53850"/>
    <n v="118"/>
    <s v="053850_118"/>
    <s v="Discovery Day"/>
    <s v="Mai valutato"/>
    <m/>
    <n v="202506188083283"/>
    <n v="1186004012639"/>
    <n v="20250618"/>
    <s v="A7 - Erogazione finanziamenti diversi e prestiti personali"/>
    <m/>
    <m/>
    <s v="D     - Dare"/>
    <n v="145000"/>
    <n v="145000"/>
    <n v="201632"/>
    <s v="DLICTN62C03A225L"/>
    <s v="DILEO COSTANTINO"/>
    <s v="600 - Famiglie consumatrici"/>
    <m/>
    <s v="086 - ITALIA"/>
    <n v="724"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60256"/>
    <x v="2"/>
    <x v="2"/>
    <x v="52"/>
    <n v="53850"/>
    <n v="270"/>
    <s v="053850_270"/>
    <s v="Discovery Day"/>
    <s v="Mai valutato"/>
    <m/>
    <s v="202506188421928L"/>
    <n v="2703300010699"/>
    <n v="20250618"/>
    <s v="AA - Bonifico da e per estero "/>
    <m/>
    <s v="012 - BULGARIA"/>
    <s v="D     - Dare"/>
    <n v="4000"/>
    <n v="0"/>
    <n v="3728961"/>
    <s v="LVTNLY65L50Z104O"/>
    <s v="ILIEVA ITSKOVA ANELIYA"/>
    <s v="600 - Famiglie consumatrici"/>
    <m/>
    <s v="086 - ITALIA"/>
    <n v="1809"/>
    <m/>
    <m/>
    <m/>
    <m/>
    <m/>
    <m/>
    <m/>
    <n v="0"/>
    <n v="202506"/>
    <x v="4"/>
    <x v="1"/>
    <x v="0"/>
    <m/>
    <x v="0"/>
    <x v="0"/>
    <s v="999"/>
    <s v="600"/>
    <s v="600999"/>
    <s v="Classe di rischio 7"/>
    <m/>
    <s v="Classe di rischio 7"/>
  </r>
  <r>
    <n v="360255"/>
    <x v="4"/>
    <x v="4"/>
    <x v="52"/>
    <n v="53850"/>
    <n v="109"/>
    <s v="053850_109"/>
    <s v="Discovery Day"/>
    <s v="Mai valutato"/>
    <m/>
    <n v="202506188083383"/>
    <n v="1093306673740"/>
    <n v="20250618"/>
    <s v="25 - Pagamento di documenti su Italia "/>
    <m/>
    <m/>
    <s v="D     - Dare"/>
    <n v="806087.88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x v="2"/>
    <x v="1"/>
    <x v="0"/>
    <m/>
    <x v="0"/>
    <x v="0"/>
    <s v="451"/>
    <s v="430"/>
    <s v="430451"/>
    <s v="Classe di rischio 3"/>
    <m/>
    <s v="Classe di rischio 3"/>
  </r>
  <r>
    <n v="360254"/>
    <x v="2"/>
    <x v="2"/>
    <x v="52"/>
    <n v="53850"/>
    <n v="129"/>
    <s v="053850_129"/>
    <s v="Discovery Day"/>
    <s v="Mai valutato"/>
    <m/>
    <n v="202506188081995"/>
    <n v="1293300002811"/>
    <n v="20250618"/>
    <s v="AA - Bonifico da e per estero "/>
    <m/>
    <s v="261 - CROAZIA"/>
    <s v="A     - Avere"/>
    <n v="39222.199999999997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253"/>
    <x v="5"/>
    <x v="5"/>
    <x v="52"/>
    <n v="53850"/>
    <n v="189"/>
    <s v="053850_189"/>
    <s v="Discovery Day"/>
    <s v="Mai valutato"/>
    <m/>
    <s v="Vari (18/06/2025)"/>
    <n v="1893300023546"/>
    <n v="20250618"/>
    <s v="VV"/>
    <m/>
    <m/>
    <s v="A     - Avere"/>
    <n v="59790"/>
    <n v="5819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6"/>
    <x v="1"/>
    <x v="0"/>
    <x v="0"/>
    <n v="3064562"/>
    <x v="1"/>
    <x v="1"/>
    <s v="999"/>
    <s v="615"/>
    <s v="615999"/>
    <m/>
    <s v="1"/>
    <s v="Classe di rischio 3"/>
  </r>
  <r>
    <n v="360252"/>
    <x v="4"/>
    <x v="4"/>
    <x v="52"/>
    <n v="53850"/>
    <n v="161"/>
    <s v="053850_161"/>
    <s v="Discovery Day"/>
    <s v="Mai valutato"/>
    <m/>
    <n v="202506188083491"/>
    <n v="1613300029995"/>
    <n v="20250618"/>
    <s v="SPECIAL"/>
    <m/>
    <m/>
    <s v="D     - Dare"/>
    <n v="69564.13"/>
    <n v="0"/>
    <n v="513170"/>
    <s v="MRCDNT45M54A225S"/>
    <s v="MERCADANTE DONATA"/>
    <s v="600 - Famiglie consumatrici"/>
    <m/>
    <s v="086 - ITALIA"/>
    <n v="863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251"/>
    <x v="2"/>
    <x v="2"/>
    <x v="52"/>
    <n v="53850"/>
    <n v="271"/>
    <s v="053850_271"/>
    <s v="Discovery Day"/>
    <s v="Mai valutato"/>
    <m/>
    <n v="202506188082049"/>
    <n v="2713300010112"/>
    <n v="20250618"/>
    <s v="AA - Bonifico da e per estero "/>
    <m/>
    <s v="238 - ABU DHABI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6"/>
    <x v="0"/>
    <x v="0"/>
    <x v="0"/>
    <m/>
    <x v="0"/>
    <x v="0"/>
    <s v="999"/>
    <s v="615"/>
    <s v="615999"/>
    <m/>
    <s v="1"/>
    <s v="Classe di rischio 3"/>
  </r>
  <r>
    <n v="360250"/>
    <x v="6"/>
    <x v="6"/>
    <x v="52"/>
    <n v="53850"/>
    <n v="109"/>
    <s v="053850_109"/>
    <s v="Discovery Day"/>
    <s v="Mai valutato"/>
    <m/>
    <n v="202506188082032"/>
    <n v="1093306667367"/>
    <n v="20250618"/>
    <s v="AA - Bonifico da e per estero "/>
    <m/>
    <s v="103 - HONG KONG"/>
    <s v="A     - Avere"/>
    <n v="103298.9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x v="1"/>
    <x v="0"/>
    <x v="0"/>
    <n v="4026861"/>
    <x v="1"/>
    <x v="0"/>
    <s v="477"/>
    <s v="430"/>
    <s v="430477"/>
    <s v="Classe di rischio 3"/>
    <m/>
    <s v="Classe di rischio 3"/>
  </r>
  <r>
    <n v="360249"/>
    <x v="4"/>
    <x v="4"/>
    <x v="52"/>
    <n v="53850"/>
    <n v="161"/>
    <s v="053850_161"/>
    <s v="Discovery Day"/>
    <s v="Mai valutato"/>
    <m/>
    <n v="202506188083491"/>
    <n v="1613300029995"/>
    <n v="20250618"/>
    <s v="SPECIAL"/>
    <m/>
    <m/>
    <s v="D     - Dare"/>
    <n v="69564.13"/>
    <n v="0"/>
    <n v="4131274"/>
    <s v="RMNFNC44H30H096D"/>
    <s v="ROMANO FRANCESCO"/>
    <s v="600 - Famiglie consumatrici"/>
    <m/>
    <s v="086 - ITALIA"/>
    <n v="863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248"/>
    <x v="5"/>
    <x v="5"/>
    <x v="52"/>
    <n v="53850"/>
    <n v="102"/>
    <s v="053850_102"/>
    <s v="Discovery Day"/>
    <s v="Mai valutato"/>
    <m/>
    <s v="Vari (18/06/2025)"/>
    <n v="1023308722503"/>
    <n v="20250618"/>
    <s v="03 - Versamento contante cassa continua "/>
    <m/>
    <m/>
    <s v="A     - Avere"/>
    <n v="21810"/>
    <n v="218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60247"/>
    <x v="6"/>
    <x v="6"/>
    <x v="52"/>
    <n v="53850"/>
    <n v="190"/>
    <s v="053850_190"/>
    <s v="Discovery Day"/>
    <s v="Mai valutato"/>
    <m/>
    <n v="202506188082052"/>
    <n v="1903300017388"/>
    <n v="20250618"/>
    <s v="AA - Bonifico da e per estero "/>
    <m/>
    <s v="071 - SVIZZERA"/>
    <s v="A     - Avere"/>
    <n v="23790"/>
    <n v="0"/>
    <n v="4884959"/>
    <n v="6732580722"/>
    <s v="MACK &amp; SCHUHLE ITALIA S.P.A."/>
    <s v="430 - Imprese produttive"/>
    <s v="110 - INDUSTRIA DELLE BEVANDE"/>
    <s v="086 - ITALIA"/>
    <n v="192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246"/>
    <x v="3"/>
    <x v="3"/>
    <x v="52"/>
    <n v="53850"/>
    <n v="279"/>
    <s v="053850_279"/>
    <s v="Discovery Day"/>
    <s v="Mai valutato"/>
    <m/>
    <n v="202506188083720"/>
    <n v="2793300000491"/>
    <n v="20250618"/>
    <s v="G7 - Versamento assegno circolare altro intermediario "/>
    <m/>
    <m/>
    <s v="A     - Avere"/>
    <n v="138000"/>
    <n v="0"/>
    <n v="1659317"/>
    <s v="CLLFNC70R14L253G"/>
    <s v="COLELLA FRANCESCO ANTONIO"/>
    <s v="615 - Altre famiglie produttrici"/>
    <s v="561 - RISTORANTI E ATTIVITÀ DI RISTORAZIONE MOBILE"/>
    <s v="086 - ITALIA"/>
    <n v="1786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60245"/>
    <x v="5"/>
    <x v="5"/>
    <x v="52"/>
    <n v="53850"/>
    <n v="154"/>
    <s v="053850_154"/>
    <s v="Discovery Day"/>
    <s v="Mai valutato"/>
    <m/>
    <n v="202506188083485"/>
    <n v="1543300000968"/>
    <n v="20250618"/>
    <s v="D1 - Versamento di contante "/>
    <m/>
    <m/>
    <s v="A     - Avere"/>
    <n v="19600"/>
    <n v="19600"/>
    <n v="4277348"/>
    <s v="LNGMRN50M49H703W"/>
    <s v="LONGO MARINA"/>
    <s v="600 - Famiglie consumatrici"/>
    <m/>
    <s v="086 - ITALIA"/>
    <n v="1434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44"/>
    <x v="5"/>
    <x v="5"/>
    <x v="52"/>
    <n v="53850"/>
    <n v="268"/>
    <s v="053850_268"/>
    <s v="Discovery Day"/>
    <s v="Mai valutato"/>
    <m/>
    <n v="202506188083246"/>
    <n v="2683300010030"/>
    <n v="20250618"/>
    <s v="03 - Versamento contante cassa continua "/>
    <m/>
    <m/>
    <s v="A     - Avere"/>
    <n v="30040"/>
    <n v="3004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x v="1"/>
    <x v="0"/>
    <x v="0"/>
    <n v="4966939"/>
    <x v="1"/>
    <x v="0"/>
    <s v="999"/>
    <s v="615"/>
    <s v="615999"/>
    <m/>
    <s v="1"/>
    <s v="Classe di rischio 3"/>
  </r>
  <r>
    <n v="360243"/>
    <x v="5"/>
    <x v="5"/>
    <x v="52"/>
    <n v="53850"/>
    <n v="108"/>
    <s v="053850_108"/>
    <s v="Discovery Day"/>
    <s v="Mai valutato"/>
    <m/>
    <s v="Vari (18/06/2025)"/>
    <n v="1083305200700"/>
    <n v="20250618"/>
    <s v="VV"/>
    <m/>
    <m/>
    <s v="A     - Avere"/>
    <n v="36822.47"/>
    <n v="2747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6"/>
    <x v="2"/>
    <x v="1"/>
    <x v="0"/>
    <m/>
    <x v="0"/>
    <x v="1"/>
    <s v="464"/>
    <s v="430"/>
    <s v="430464"/>
    <s v="Classe di rischio 4"/>
    <m/>
    <s v="Classe di rischio 4"/>
  </r>
  <r>
    <n v="360242"/>
    <x v="11"/>
    <x v="11"/>
    <x v="52"/>
    <n v="53850"/>
    <n v="118"/>
    <s v="053850_118"/>
    <s v="Discovery Day"/>
    <s v="Mai valutato"/>
    <m/>
    <n v="202506188083282"/>
    <n v="1186004012629"/>
    <n v="20250618"/>
    <s v="A7 - Erogazione finanziamenti diversi e prestiti personali"/>
    <m/>
    <m/>
    <s v="D     - Dare"/>
    <n v="145000"/>
    <n v="145000"/>
    <n v="201632"/>
    <s v="DLICTN62C03A225L"/>
    <s v="DILEO COSTANTINO"/>
    <s v="600 - Famiglie consumatrici"/>
    <m/>
    <s v="086 - ITALIA"/>
    <n v="724"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60241"/>
    <x v="6"/>
    <x v="6"/>
    <x v="52"/>
    <n v="53850"/>
    <n v="267"/>
    <s v="053850_267"/>
    <s v="Discovery Day"/>
    <s v="Mai valutato"/>
    <m/>
    <n v="202506188082048"/>
    <n v="2673300010274"/>
    <n v="20250618"/>
    <s v="AA - Bonifico da e per estero "/>
    <m/>
    <s v="076 - TURCHIA"/>
    <s v="D     - Dare"/>
    <n v="36905.599999999999"/>
    <n v="0"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240"/>
    <x v="5"/>
    <x v="5"/>
    <x v="53"/>
    <n v="53850"/>
    <n v="161"/>
    <s v="053850_161"/>
    <s v="Discovery Day"/>
    <s v="Mai valutato"/>
    <m/>
    <s v="Vari (17/06/2025)"/>
    <n v="1613300031333"/>
    <n v="20250617"/>
    <s v="VV"/>
    <m/>
    <m/>
    <s v="A     - Avere"/>
    <n v="40508.400000000001"/>
    <n v="35555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6"/>
    <x v="4"/>
    <x v="1"/>
    <x v="0"/>
    <n v="511904"/>
    <x v="1"/>
    <x v="1"/>
    <s v="999"/>
    <s v="615"/>
    <s v="615999"/>
    <m/>
    <s v="1"/>
    <s v="Classe di rischio 3"/>
  </r>
  <r>
    <n v="360239"/>
    <x v="3"/>
    <x v="3"/>
    <x v="53"/>
    <n v="53850"/>
    <n v="170"/>
    <s v="053850_170"/>
    <s v="Discovery Day"/>
    <s v="Mai valutato"/>
    <m/>
    <n v="202506178080208"/>
    <n v="1703306290627"/>
    <n v="20250617"/>
    <s v="G1 - Versamento assegni tratti su altro intermediario "/>
    <m/>
    <m/>
    <s v="A     - Avere"/>
    <n v="512400"/>
    <n v="0"/>
    <n v="4530011"/>
    <n v="6876700722"/>
    <s v="LEGNO ITALIA S.R.L."/>
    <s v="430 - Imprese produttive"/>
    <s v="467 - COMMERCIO ALL'INGROSSO SPECIALIZZATO DI ALTRI PRODOTTI"/>
    <s v="086 - ITALIA"/>
    <n v="1920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238"/>
    <x v="4"/>
    <x v="4"/>
    <x v="53"/>
    <n v="53850"/>
    <n v="153"/>
    <s v="053850_153"/>
    <s v="Discovery Day"/>
    <s v="Mai valutato"/>
    <m/>
    <s v="202506178352100L"/>
    <n v="1533300661079"/>
    <n v="20250617"/>
    <s v="SPECIAL"/>
    <m/>
    <m/>
    <s v="D     - Dare"/>
    <n v="3578.04"/>
    <n v="0"/>
    <n v="2012658"/>
    <s v="LMNNNA36C43F506B"/>
    <s v="LIMONE ANNA"/>
    <s v="600 - Famiglie consumatrici"/>
    <m/>
    <s v="086 - ITALIA"/>
    <n v="1059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237"/>
    <x v="5"/>
    <x v="5"/>
    <x v="53"/>
    <n v="53850"/>
    <n v="102"/>
    <s v="053850_102"/>
    <s v="Discovery Day"/>
    <s v="Mai valutato"/>
    <m/>
    <s v="Vari (17/06/2025)"/>
    <n v="1023308724142"/>
    <n v="20250617"/>
    <s v="03 - Versamento contante cassa continua "/>
    <m/>
    <m/>
    <s v="A     - Avere"/>
    <n v="61650"/>
    <n v="61650"/>
    <n v="4713700"/>
    <s v="FRRTRS94C51A225I"/>
    <s v="FERRULLI TERESA"/>
    <s v="600 - Famiglie consumatrici"/>
    <m/>
    <s v="086 - ITALIA"/>
    <n v="1576"/>
    <m/>
    <m/>
    <m/>
    <m/>
    <m/>
    <m/>
    <m/>
    <n v="0"/>
    <n v="202506"/>
    <x v="2"/>
    <x v="1"/>
    <x v="0"/>
    <n v="4713700"/>
    <x v="1"/>
    <x v="0"/>
    <s v="999"/>
    <s v="600"/>
    <s v="600999"/>
    <s v="Classe di rischio 7"/>
    <m/>
    <s v="Classe di rischio 7"/>
  </r>
  <r>
    <n v="360236"/>
    <x v="5"/>
    <x v="5"/>
    <x v="53"/>
    <n v="53850"/>
    <n v="126"/>
    <s v="053850_126"/>
    <s v="Discovery Day"/>
    <s v="Mai valutato"/>
    <m/>
    <s v="Vari (17/06/2025)"/>
    <n v="1263300003354"/>
    <n v="20250617"/>
    <s v="VV"/>
    <m/>
    <m/>
    <s v="A     - Avere"/>
    <n v="39980"/>
    <n v="33680"/>
    <n v="4955149"/>
    <s v="LNENTN95B27B619T"/>
    <s v="LEONE ANTONIO"/>
    <s v="615 - Altre famiglie produttrici"/>
    <s v="012 - COLTIVAZIONE DI COLTURE PERMANENTI"/>
    <s v="086 - ITALIA"/>
    <n v="1942"/>
    <m/>
    <m/>
    <m/>
    <m/>
    <m/>
    <m/>
    <m/>
    <n v="0"/>
    <n v="202506"/>
    <x v="2"/>
    <x v="1"/>
    <x v="0"/>
    <m/>
    <x v="0"/>
    <x v="1"/>
    <s v="999"/>
    <s v="615"/>
    <s v="615999"/>
    <m/>
    <s v="1"/>
    <s v="Classe di rischio 3"/>
  </r>
  <r>
    <n v="360235"/>
    <x v="2"/>
    <x v="2"/>
    <x v="53"/>
    <n v="53850"/>
    <n v="148"/>
    <s v="053850_148"/>
    <s v="Discovery Day"/>
    <s v="Mai valutato"/>
    <m/>
    <s v="202506178347291L"/>
    <n v="1483300003580"/>
    <n v="20250617"/>
    <s v="AA - Bonifico da e per estero "/>
    <m/>
    <s v="261 - CROAZIA"/>
    <s v="A     - Avere"/>
    <n v="1500"/>
    <n v="0"/>
    <n v="4771374"/>
    <s v="KRZJSP84S29Z149E"/>
    <s v="KRIZANIC JOSIP"/>
    <s v="600 - Famiglie consumatrici"/>
    <m/>
    <s v="086 - ITALIA"/>
    <n v="1064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34"/>
    <x v="6"/>
    <x v="6"/>
    <x v="53"/>
    <n v="53850"/>
    <n v="121"/>
    <s v="053850_121"/>
    <s v="Discovery Day"/>
    <s v="Mai valutato"/>
    <m/>
    <n v="202506178078774"/>
    <n v="1213300002600"/>
    <n v="20250617"/>
    <s v="AA - Bonifico da e per estero "/>
    <m/>
    <s v="291 - KOSOVO"/>
    <s v="A     - Avere"/>
    <n v="38000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4"/>
    <x v="1"/>
    <x v="0"/>
    <m/>
    <x v="0"/>
    <x v="0"/>
    <s v="463"/>
    <s v="430"/>
    <s v="430463"/>
    <s v="Classe di rischio 3"/>
    <m/>
    <s v="Classe di rischio 3"/>
  </r>
  <r>
    <n v="360233"/>
    <x v="3"/>
    <x v="3"/>
    <x v="53"/>
    <n v="53850"/>
    <n v="170"/>
    <s v="053850_170"/>
    <s v="Discovery Day"/>
    <s v="Mai valutato"/>
    <m/>
    <n v="202506178080209"/>
    <n v="1703306290713"/>
    <n v="20250617"/>
    <s v="G7 - Versamento assegno circolare altro intermediario "/>
    <m/>
    <m/>
    <s v="A     - Avere"/>
    <n v="156000"/>
    <n v="0"/>
    <n v="4206269"/>
    <s v="FNDVCN70T21A285B"/>
    <s v="FIANDANESE VINCENZO"/>
    <s v="600 - Famiglie consumatrici"/>
    <m/>
    <s v="086 - ITALIA"/>
    <n v="147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32"/>
    <x v="2"/>
    <x v="2"/>
    <x v="53"/>
    <n v="53850"/>
    <n v="187"/>
    <s v="053850_187"/>
    <s v="Discovery Day"/>
    <s v="Mai valutato"/>
    <m/>
    <n v="202506178078563"/>
    <n v="1873300102696"/>
    <n v="20250617"/>
    <s v="AA - Bonifico da e per estero "/>
    <m/>
    <s v="012 - BULGARIA"/>
    <s v="A     - Avere"/>
    <n v="5492.42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6"/>
    <x v="1"/>
    <x v="0"/>
    <x v="0"/>
    <m/>
    <x v="0"/>
    <x v="0"/>
    <s v="463"/>
    <s v="430"/>
    <s v="430463"/>
    <s v="Classe di rischio 3"/>
    <m/>
    <s v="Classe di rischio 3"/>
  </r>
  <r>
    <n v="360231"/>
    <x v="2"/>
    <x v="2"/>
    <x v="53"/>
    <n v="53850"/>
    <n v="114"/>
    <s v="053850_114"/>
    <s v="Discovery Day"/>
    <s v="Mai valutato"/>
    <m/>
    <s v="202506178346673L"/>
    <n v="1143300001238"/>
    <n v="20250617"/>
    <s v="AA - Bonifico da e per estero "/>
    <m/>
    <s v="012 - BULGARIA"/>
    <s v="A     - Avere"/>
    <n v="4000"/>
    <n v="0"/>
    <n v="4747564"/>
    <s v="BSSNTN69L21F104K"/>
    <s v="BASSO ANTONIO"/>
    <s v="600 - Famiglie consumatrici"/>
    <m/>
    <s v="086 - ITALIA"/>
    <n v="804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60230"/>
    <x v="5"/>
    <x v="5"/>
    <x v="53"/>
    <n v="53850"/>
    <n v="185"/>
    <s v="053850_185"/>
    <s v="Discovery Day"/>
    <s v="Mai valutato"/>
    <m/>
    <s v="Vari (17/06/2025)"/>
    <n v="1853300027828"/>
    <n v="20250617"/>
    <s v="VV"/>
    <m/>
    <m/>
    <s v="A     - Avere"/>
    <n v="50489.8"/>
    <n v="40374"/>
    <n v="4451007"/>
    <n v="2677780732"/>
    <s v="FORTEGEL S.R.L."/>
    <s v="430 - Imprese produttive"/>
    <s v="463 - COMMERCIO ALL'INGROSSO DI PRODOTTI ALIMENTARI, BEVANDE E PRODOTTI DEL TABACCO"/>
    <s v="086 - ITALIA"/>
    <n v="773"/>
    <m/>
    <m/>
    <m/>
    <m/>
    <m/>
    <m/>
    <m/>
    <n v="0"/>
    <n v="202506"/>
    <x v="2"/>
    <x v="1"/>
    <x v="0"/>
    <m/>
    <x v="0"/>
    <x v="1"/>
    <s v="463"/>
    <s v="430"/>
    <s v="430463"/>
    <s v="Classe di rischio 3"/>
    <m/>
    <s v="Classe di rischio 3"/>
  </r>
  <r>
    <n v="360229"/>
    <x v="6"/>
    <x v="6"/>
    <x v="53"/>
    <n v="53850"/>
    <n v="121"/>
    <s v="053850_121"/>
    <s v="Discovery Day"/>
    <s v="Mai valutato"/>
    <m/>
    <n v="202506178078767"/>
    <n v="1213300002600"/>
    <n v="20250617"/>
    <s v="AA - Bonifico da e per estero "/>
    <m/>
    <s v="291 - KOSOVO"/>
    <s v="A     - Avere"/>
    <n v="17367.63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4"/>
    <x v="1"/>
    <x v="0"/>
    <m/>
    <x v="0"/>
    <x v="0"/>
    <s v="463"/>
    <s v="430"/>
    <s v="430463"/>
    <s v="Classe di rischio 3"/>
    <m/>
    <s v="Classe di rischio 3"/>
  </r>
  <r>
    <n v="360228"/>
    <x v="3"/>
    <x v="3"/>
    <x v="53"/>
    <n v="53850"/>
    <n v="121"/>
    <s v="053850_121"/>
    <s v="Discovery Day"/>
    <s v="Mai valutato"/>
    <m/>
    <n v="202506178080058"/>
    <n v="1213300002971"/>
    <n v="20250617"/>
    <s v="G1 - Versamento assegni tratti su altro intermediario "/>
    <m/>
    <m/>
    <s v="A     - Avere"/>
    <n v="343000"/>
    <n v="0"/>
    <n v="4859756"/>
    <n v="7229510727"/>
    <s v="ORGANIZZAZIONE DI PRODUTTORI PUGLIAVIVA - SO"/>
    <s v="430 - Imprese produttive"/>
    <s v="016 - ATTIVITÀ DI SUPPORTO ALL'AGRICOLTURA E ATTIVITÀ SUCCESSIVE ALLA RACCOLTA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227"/>
    <x v="5"/>
    <x v="5"/>
    <x v="53"/>
    <n v="53850"/>
    <n v="171"/>
    <s v="053850_171"/>
    <s v="Discovery Day"/>
    <s v="Mai valutato"/>
    <m/>
    <s v="Vari (17/06/2025)"/>
    <n v="1713305728950"/>
    <n v="20250617"/>
    <s v="VV"/>
    <m/>
    <m/>
    <s v="A     - Avere"/>
    <n v="260070"/>
    <n v="25457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1"/>
    <s v="999"/>
    <s v="430"/>
    <s v="430999"/>
    <m/>
    <s v="1"/>
    <s v="Classe di rischio 1"/>
  </r>
  <r>
    <n v="360226"/>
    <x v="4"/>
    <x v="4"/>
    <x v="53"/>
    <n v="53850"/>
    <n v="286"/>
    <s v="053850_286"/>
    <s v="Discovery Day"/>
    <s v="Mai valutato"/>
    <m/>
    <n v="202506178080414"/>
    <n v="2863300010203"/>
    <n v="20250617"/>
    <s v="SPECIAL"/>
    <m/>
    <m/>
    <s v="D     - Dare"/>
    <n v="99775.63"/>
    <n v="0"/>
    <n v="1655834"/>
    <s v="FDRLNI36L56H501Q"/>
    <s v="FEDERICI LINA"/>
    <s v="600 - Famiglie consumatrici"/>
    <m/>
    <s v="086 - ITALIA"/>
    <n v="1837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225"/>
    <x v="2"/>
    <x v="2"/>
    <x v="53"/>
    <n v="53850"/>
    <n v="187"/>
    <s v="053850_187"/>
    <s v="Discovery Day"/>
    <s v="Mai valutato"/>
    <m/>
    <s v="202506178347002L"/>
    <n v="1873300102696"/>
    <n v="20250617"/>
    <s v="AA - Bonifico da e per estero "/>
    <m/>
    <s v="012 - BULGARIA"/>
    <s v="A     - Avere"/>
    <n v="3651.1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6"/>
    <x v="1"/>
    <x v="0"/>
    <x v="0"/>
    <m/>
    <x v="0"/>
    <x v="0"/>
    <s v="463"/>
    <s v="430"/>
    <s v="430463"/>
    <s v="Classe di rischio 3"/>
    <m/>
    <s v="Classe di rischio 3"/>
  </r>
  <r>
    <n v="360224"/>
    <x v="5"/>
    <x v="5"/>
    <x v="53"/>
    <n v="53850"/>
    <n v="102"/>
    <s v="053850_102"/>
    <s v="Discovery Day"/>
    <s v="Mai valutato"/>
    <m/>
    <n v="202506178079326"/>
    <n v="1023308722503"/>
    <n v="20250617"/>
    <s v="03 - Versamento contante cassa continua "/>
    <m/>
    <m/>
    <s v="A     - Avere"/>
    <n v="32650"/>
    <n v="326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60223"/>
    <x v="5"/>
    <x v="5"/>
    <x v="53"/>
    <n v="53850"/>
    <n v="171"/>
    <s v="053850_171"/>
    <s v="Discovery Day"/>
    <s v="Mai valutato"/>
    <m/>
    <s v="Vari (17/06/2025)"/>
    <n v="1713302214147"/>
    <n v="20250617"/>
    <s v="VV"/>
    <m/>
    <m/>
    <s v="A     - Avere"/>
    <n v="49935"/>
    <n v="4813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1"/>
    <s v="999"/>
    <s v="430"/>
    <s v="430999"/>
    <m/>
    <s v="1"/>
    <s v="Classe di rischio 1"/>
  </r>
  <r>
    <n v="360222"/>
    <x v="2"/>
    <x v="2"/>
    <x v="53"/>
    <n v="53850"/>
    <n v="147"/>
    <s v="053850_147"/>
    <s v="Discovery Day"/>
    <s v="Mai valutato"/>
    <m/>
    <s v="202506178351482L"/>
    <n v="1473300005217"/>
    <n v="20250617"/>
    <s v="AA - Bonifico da e per estero "/>
    <m/>
    <s v="012 - BULGARIA"/>
    <s v="D     - Dare"/>
    <n v="1770"/>
    <n v="0"/>
    <n v="3724704"/>
    <n v="4306130610"/>
    <s v="SABATINO SRL"/>
    <s v="430 - Imprese produttive"/>
    <s v="494 - TRASPORTO DI MERCI SU STRADA E SERVIZI DI TRASLOCO"/>
    <s v="086 - ITALIA"/>
    <n v="119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221"/>
    <x v="5"/>
    <x v="5"/>
    <x v="53"/>
    <n v="53850"/>
    <n v="120"/>
    <s v="053850_120"/>
    <s v="Discovery Day"/>
    <s v="Mai valutato"/>
    <m/>
    <s v="Vari (17/06/2025)"/>
    <n v="1203300001670"/>
    <n v="20250617"/>
    <s v="VV"/>
    <m/>
    <m/>
    <s v="A     - Avere"/>
    <n v="73360"/>
    <n v="71560"/>
    <n v="4510434"/>
    <n v="6789440721"/>
    <s v="F.LLI MIRABELLA S.N.C. DI MIRABELLA MARIO - FRANCESCO E CLAUDIO"/>
    <s v="492 - Quasi societa' non finanziarie altre - Unita' o societa' con meno di 20 addetti"/>
    <s v="473 - COMMERCIO AL DETTAGLIO DI CARBURANTE PER AUTOTRAZIONE IN ESERCIZI SPECIALIZZATI"/>
    <s v="086 - ITALIA"/>
    <n v="1640"/>
    <m/>
    <m/>
    <m/>
    <m/>
    <m/>
    <m/>
    <m/>
    <n v="0"/>
    <n v="202506"/>
    <x v="4"/>
    <x v="1"/>
    <x v="0"/>
    <n v="4510434"/>
    <x v="1"/>
    <x v="1"/>
    <s v="999"/>
    <s v="492"/>
    <s v="492999"/>
    <m/>
    <s v="1"/>
    <s v="Classe di rischio 2"/>
  </r>
  <r>
    <n v="360220"/>
    <x v="4"/>
    <x v="4"/>
    <x v="53"/>
    <n v="53850"/>
    <n v="161"/>
    <s v="053850_161"/>
    <s v="Discovery Day"/>
    <s v="Mai valutato"/>
    <m/>
    <n v="202506178078566"/>
    <n v="1613300029653"/>
    <n v="20250617"/>
    <s v="48 - Bonifico in arrivo "/>
    <m/>
    <s v="086 - ITALIA"/>
    <s v="A     - Avere"/>
    <n v="390000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x v="1"/>
    <x v="0"/>
    <x v="0"/>
    <n v="4088769"/>
    <x v="1"/>
    <x v="0"/>
    <s v="464"/>
    <s v="430"/>
    <s v="430464"/>
    <s v="Classe di rischio 4"/>
    <m/>
    <s v="Classe di rischio 4"/>
  </r>
  <r>
    <n v="360219"/>
    <x v="2"/>
    <x v="2"/>
    <x v="53"/>
    <n v="53850"/>
    <n v="176"/>
    <s v="053850_176"/>
    <s v="Discovery Day"/>
    <s v="Mai valutato"/>
    <m/>
    <s v="202506178346406L"/>
    <n v="1763300019661"/>
    <n v="20250617"/>
    <s v="AA - Bonifico da e per estero "/>
    <m/>
    <s v="091 - PRINCIPATO DI MONACO"/>
    <s v="A     - Avere"/>
    <n v="4000"/>
    <n v="0"/>
    <n v="4875036"/>
    <n v="1291610770"/>
    <s v="ID SUPERLATIVE DI CARMEN INCARNATO E DOMENICO DONADIO S.N.C."/>
    <s v="492 - Quasi societa' non finanziarie altre - Unita' o societa' con meno di 20 addetti"/>
    <s v="742 - ATTIVITÀ FOTOGRAFICHE"/>
    <s v="086 - ITALIA"/>
    <n v="440"/>
    <m/>
    <m/>
    <m/>
    <m/>
    <m/>
    <m/>
    <m/>
    <n v="0"/>
    <n v="202506"/>
    <x v="2"/>
    <x v="1"/>
    <x v="0"/>
    <m/>
    <x v="0"/>
    <x v="0"/>
    <s v="999"/>
    <s v="492"/>
    <s v="492999"/>
    <m/>
    <s v="1"/>
    <s v="Classe di rischio 2"/>
  </r>
  <r>
    <n v="360218"/>
    <x v="5"/>
    <x v="5"/>
    <x v="53"/>
    <n v="53850"/>
    <n v="267"/>
    <s v="053850_267"/>
    <s v="Discovery Day"/>
    <s v="Mai valutato"/>
    <m/>
    <n v="202506178080352"/>
    <n v="2673300003600"/>
    <n v="20250617"/>
    <s v="D1 - Versamento di contante "/>
    <m/>
    <m/>
    <s v="A     - Avere"/>
    <n v="100000"/>
    <n v="10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x v="4"/>
    <x v="1"/>
    <x v="0"/>
    <n v="1705101"/>
    <x v="1"/>
    <x v="0"/>
    <s v="999"/>
    <s v="492"/>
    <s v="492999"/>
    <m/>
    <s v="1"/>
    <s v="Classe di rischio 2"/>
  </r>
  <r>
    <n v="360217"/>
    <x v="4"/>
    <x v="4"/>
    <x v="53"/>
    <n v="53850"/>
    <n v="182"/>
    <s v="053850_182"/>
    <s v="Discovery Day"/>
    <s v="Mai valutato"/>
    <m/>
    <n v="202506178078572"/>
    <n v="1823300058518"/>
    <n v="20250617"/>
    <s v="48 - Bonifico in arrivo "/>
    <m/>
    <s v="086 - ITALIA"/>
    <s v="A     - Avere"/>
    <n v="4000000"/>
    <n v="0"/>
    <n v="3001876"/>
    <n v="90112650735"/>
    <s v="CASSA EDILE DELLA PROVINCIA JONICA"/>
    <s v="450 - Associazioni fra imprese non finanziarie"/>
    <s v="941 - ATTIVITÀ DI ORGANIZZAZIONI ECONOMICHE, DI DATORI DI LAVORO E PROFESSIONALI"/>
    <s v="086 - ITALIA"/>
    <n v="676"/>
    <m/>
    <m/>
    <m/>
    <m/>
    <m/>
    <m/>
    <m/>
    <n v="0"/>
    <n v="202506"/>
    <x v="2"/>
    <x v="1"/>
    <x v="0"/>
    <m/>
    <x v="0"/>
    <x v="0"/>
    <s v="999"/>
    <s v="450"/>
    <s v="450999"/>
    <m/>
    <s v="1"/>
    <s v="Classe di rischio 1"/>
  </r>
  <r>
    <n v="360216"/>
    <x v="3"/>
    <x v="3"/>
    <x v="53"/>
    <n v="53850"/>
    <n v="267"/>
    <s v="053850_267"/>
    <s v="Discovery Day"/>
    <s v="Mai valutato"/>
    <m/>
    <n v="202506178080352"/>
    <n v="2673300003600"/>
    <n v="20250617"/>
    <s v="D1 - Versamento di contante "/>
    <m/>
    <m/>
    <s v="A     - Avere"/>
    <n v="100000"/>
    <n v="10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x v="4"/>
    <x v="1"/>
    <x v="0"/>
    <n v="1705101"/>
    <x v="1"/>
    <x v="0"/>
    <s v="999"/>
    <s v="492"/>
    <s v="492999"/>
    <m/>
    <s v="1"/>
    <s v="Classe di rischio 2"/>
  </r>
  <r>
    <n v="360215"/>
    <x v="5"/>
    <x v="5"/>
    <x v="53"/>
    <n v="53850"/>
    <n v="116"/>
    <s v="053850_116"/>
    <s v="Discovery Day"/>
    <s v="Mai valutato"/>
    <m/>
    <n v="202506178079797"/>
    <n v="2343300010453"/>
    <n v="20250617"/>
    <s v="03 - Versamento contante cassa continua "/>
    <m/>
    <m/>
    <s v="A     - Avere"/>
    <n v="153050.04999999999"/>
    <n v="153050.04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214"/>
    <x v="3"/>
    <x v="3"/>
    <x v="53"/>
    <n v="53850"/>
    <n v="116"/>
    <s v="053850_116"/>
    <s v="Discovery Day"/>
    <s v="Mai valutato"/>
    <m/>
    <n v="202506178079797"/>
    <n v="2343300010453"/>
    <n v="20250617"/>
    <s v="03 - Versamento contante cassa continua "/>
    <m/>
    <m/>
    <s v="A     - Avere"/>
    <n v="153050.04999999999"/>
    <n v="153050.04999999999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213"/>
    <x v="3"/>
    <x v="3"/>
    <x v="53"/>
    <n v="53850"/>
    <n v="170"/>
    <s v="053850_170"/>
    <s v="Discovery Day"/>
    <s v="Mai valutato"/>
    <m/>
    <n v="202506178080209"/>
    <n v="1703306290713"/>
    <n v="20250617"/>
    <s v="G7 - Versamento assegno circolare altro intermediario "/>
    <m/>
    <m/>
    <s v="A     - Avere"/>
    <n v="156000"/>
    <n v="0"/>
    <n v="4206297"/>
    <s v="SGRRCR46T58A285O"/>
    <s v="SGARRA RICCARDINA"/>
    <s v="600 - Famiglie consumatrici"/>
    <m/>
    <s v="086 - ITALIA"/>
    <n v="147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12"/>
    <x v="5"/>
    <x v="5"/>
    <x v="53"/>
    <n v="53850"/>
    <n v="114"/>
    <s v="053850_114"/>
    <s v="Discovery Day"/>
    <s v="Mai valutato"/>
    <m/>
    <s v="Vari (17/06/2025)"/>
    <n v="1143306285135"/>
    <n v="20250617"/>
    <s v="VV"/>
    <m/>
    <m/>
    <s v="A     - Avere"/>
    <n v="28900"/>
    <n v="1805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6"/>
    <x v="1"/>
    <x v="0"/>
    <x v="0"/>
    <n v="3730898"/>
    <x v="1"/>
    <x v="1"/>
    <s v="477"/>
    <s v="615"/>
    <s v="615477"/>
    <s v="Classe di rischio 6"/>
    <m/>
    <s v="Classe di rischio 6"/>
  </r>
  <r>
    <n v="360211"/>
    <x v="4"/>
    <x v="4"/>
    <x v="53"/>
    <n v="53850"/>
    <n v="145"/>
    <s v="053850_145"/>
    <s v="Discovery Day"/>
    <s v="Mai valutato"/>
    <m/>
    <n v="202506178080127"/>
    <n v="1453300003728"/>
    <n v="20250617"/>
    <s v="SPECIAL"/>
    <m/>
    <m/>
    <s v="D     - Dare"/>
    <n v="67272.490000000005"/>
    <n v="0"/>
    <n v="4019"/>
    <s v="DNGSLV38M62F839O"/>
    <s v="D'ANGELO SILVIA"/>
    <s v="600 - Famiglie consumatrici"/>
    <m/>
    <s v="086 - ITALIA"/>
    <n v="1222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210"/>
    <x v="4"/>
    <x v="4"/>
    <x v="53"/>
    <n v="53850"/>
    <n v="105"/>
    <s v="053850_105"/>
    <s v="Discovery Day"/>
    <s v="Mai valutato"/>
    <m/>
    <n v="202506178078195"/>
    <n v="1053306287103"/>
    <n v="20250617"/>
    <s v="48 - Bonifico in arrivo "/>
    <m/>
    <s v="086 - ITALIA"/>
    <s v="A     - Avere"/>
    <n v="2704796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209"/>
    <x v="3"/>
    <x v="3"/>
    <x v="53"/>
    <n v="53850"/>
    <n v="171"/>
    <s v="053850_171"/>
    <s v="Discovery Day"/>
    <s v="Mai valutato"/>
    <m/>
    <s v="Vari (17/06/2025)"/>
    <n v="1713305728950"/>
    <n v="20250617"/>
    <s v="VV"/>
    <m/>
    <m/>
    <s v="A     - Avere"/>
    <n v="260070"/>
    <n v="25457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1"/>
    <s v="999"/>
    <s v="430"/>
    <s v="430999"/>
    <m/>
    <s v="1"/>
    <s v="Classe di rischio 1"/>
  </r>
  <r>
    <n v="360208"/>
    <x v="3"/>
    <x v="3"/>
    <x v="53"/>
    <n v="53850"/>
    <n v="170"/>
    <s v="053850_170"/>
    <s v="Discovery Day"/>
    <s v="Mai valutato"/>
    <m/>
    <n v="202506178080210"/>
    <n v="1703306287143"/>
    <n v="20250617"/>
    <s v="G7 - Versamento assegno circolare altro intermediario "/>
    <m/>
    <m/>
    <s v="A     - Avere"/>
    <n v="156000"/>
    <n v="0"/>
    <n v="4206269"/>
    <s v="FNDVCN70T21A285B"/>
    <s v="FIANDANESE VINCENZO"/>
    <s v="600 - Famiglie consumatrici"/>
    <m/>
    <s v="086 - ITALIA"/>
    <n v="147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07"/>
    <x v="4"/>
    <x v="4"/>
    <x v="53"/>
    <n v="53850"/>
    <n v="286"/>
    <s v="053850_286"/>
    <s v="Discovery Day"/>
    <s v="Mai valutato"/>
    <m/>
    <n v="202506178080414"/>
    <n v="2863300010203"/>
    <n v="20250617"/>
    <s v="SPECIAL"/>
    <m/>
    <m/>
    <s v="D     - Dare"/>
    <n v="99775.63"/>
    <n v="0"/>
    <n v="4995327"/>
    <s v="BDNSDR62P03C632N"/>
    <s v="BIDINELLI SANDRO"/>
    <s v="600 - Famiglie consumatrici"/>
    <m/>
    <s v="086 - ITALIA"/>
    <m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206"/>
    <x v="3"/>
    <x v="3"/>
    <x v="53"/>
    <n v="53850"/>
    <n v="170"/>
    <s v="053850_170"/>
    <s v="Discovery Day"/>
    <s v="Mai valutato"/>
    <m/>
    <n v="202506178080210"/>
    <n v="1703306287143"/>
    <n v="20250617"/>
    <s v="G7 - Versamento assegno circolare altro intermediario "/>
    <m/>
    <m/>
    <s v="A     - Avere"/>
    <n v="156000"/>
    <n v="0"/>
    <n v="4462405"/>
    <s v="SLDMRA75E68A285C"/>
    <s v="SOLDATO MARA"/>
    <s v="600 - Famiglie consumatrici"/>
    <m/>
    <s v="086 - ITALIA"/>
    <n v="147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05"/>
    <x v="4"/>
    <x v="4"/>
    <x v="53"/>
    <n v="53850"/>
    <n v="286"/>
    <s v="053850_286"/>
    <s v="Discovery Day"/>
    <s v="Mai valutato"/>
    <m/>
    <n v="202506178080414"/>
    <n v="2863300010203"/>
    <n v="20250617"/>
    <s v="SPECIAL"/>
    <m/>
    <m/>
    <s v="D     - Dare"/>
    <n v="99775.63"/>
    <n v="0"/>
    <n v="1688503"/>
    <s v="BDNRRT60B08C632W"/>
    <s v="BIDINELLI ROBERTO"/>
    <s v="600 - Famiglie consumatrici"/>
    <m/>
    <s v="086 - ITALIA"/>
    <n v="1798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60204"/>
    <x v="2"/>
    <x v="2"/>
    <x v="53"/>
    <n v="53850"/>
    <n v="129"/>
    <s v="053850_129"/>
    <s v="Discovery Day"/>
    <s v="Mai valutato"/>
    <m/>
    <s v="202506178348245L"/>
    <n v="1293300002811"/>
    <n v="20250617"/>
    <s v="AA - Bonifico da e per estero "/>
    <m/>
    <s v="261 - CROAZIA"/>
    <s v="A     - Avere"/>
    <n v="1489.94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203"/>
    <x v="4"/>
    <x v="4"/>
    <x v="53"/>
    <n v="53850"/>
    <n v="273"/>
    <s v="053850_273"/>
    <s v="Discovery Day"/>
    <s v="Mai valutato"/>
    <m/>
    <n v="202506178079863"/>
    <n v="2733300000026"/>
    <n v="20250617"/>
    <s v="13 - Addebito per estinzione assegno"/>
    <m/>
    <m/>
    <s v="D     - Dare"/>
    <n v="334000"/>
    <n v="0"/>
    <n v="1601535"/>
    <s v="TRVGNN30R22I936T"/>
    <s v="TRIVERI GIOVANNI"/>
    <s v="600 - Famiglie consumatrici"/>
    <m/>
    <s v="086 - ITALIA"/>
    <n v="129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02"/>
    <x v="5"/>
    <x v="5"/>
    <x v="53"/>
    <n v="53850"/>
    <n v="110"/>
    <s v="053850_110"/>
    <s v="Discovery Day"/>
    <s v="Mai valutato"/>
    <m/>
    <s v="Vari (16/06/2025)"/>
    <n v="1103306290380"/>
    <n v="20250616"/>
    <s v="VV"/>
    <m/>
    <m/>
    <s v="A     - Avere"/>
    <n v="24400"/>
    <n v="19700"/>
    <n v="3738956"/>
    <s v="CHRDBR98A50A669O"/>
    <s v="CHIARIELLO DEBORA"/>
    <s v="600 - Famiglie consumatrici"/>
    <m/>
    <s v="086 - ITALIA"/>
    <m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201"/>
    <x v="3"/>
    <x v="3"/>
    <x v="53"/>
    <n v="53850"/>
    <n v="103"/>
    <s v="053850_103"/>
    <s v="Discovery Day"/>
    <s v="Mai valutato"/>
    <m/>
    <n v="202506168076304"/>
    <n v="1033300511030"/>
    <n v="20250616"/>
    <s v="G1 - Versamento assegni tratti su altro intermediario "/>
    <m/>
    <m/>
    <s v="A     - Avere"/>
    <n v="190000"/>
    <n v="0"/>
    <n v="51103"/>
    <s v="LPDPQL40P10E155Q"/>
    <s v="LOPEDOTA PASQUALE"/>
    <s v="600 - Famiglie consumatrici"/>
    <m/>
    <s v="086 - ITALIA"/>
    <n v="40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200"/>
    <x v="6"/>
    <x v="6"/>
    <x v="53"/>
    <n v="53850"/>
    <n v="102"/>
    <s v="053850_102"/>
    <s v="Discovery Day"/>
    <s v="Mai valutato"/>
    <m/>
    <n v="202506168073975"/>
    <n v="1023308723686"/>
    <n v="20250616"/>
    <s v="AA - Bonifico da e per estero "/>
    <m/>
    <s v="071 - SVIZZERA"/>
    <s v="A     - Avere"/>
    <n v="30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6"/>
    <x v="1"/>
    <x v="0"/>
    <x v="0"/>
    <n v="531420"/>
    <x v="1"/>
    <x v="0"/>
    <s v="999"/>
    <s v="615"/>
    <s v="615999"/>
    <m/>
    <s v="1"/>
    <s v="Classe di rischio 3"/>
  </r>
  <r>
    <n v="360199"/>
    <x v="3"/>
    <x v="3"/>
    <x v="53"/>
    <n v="53850"/>
    <n v="175"/>
    <s v="053850_175"/>
    <s v="Discovery Day"/>
    <s v="Mai valutato"/>
    <m/>
    <s v="Vari (16/06/2025)"/>
    <n v="1753302203127"/>
    <n v="20250616"/>
    <s v="VV"/>
    <m/>
    <m/>
    <s v="A     - Avere"/>
    <n v="102538.68"/>
    <n v="20880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x v="2"/>
    <x v="1"/>
    <x v="0"/>
    <n v="4160138"/>
    <x v="1"/>
    <x v="1"/>
    <s v="999"/>
    <s v="430"/>
    <s v="430999"/>
    <m/>
    <s v="1"/>
    <s v="Classe di rischio 1"/>
  </r>
  <r>
    <n v="360198"/>
    <x v="4"/>
    <x v="4"/>
    <x v="53"/>
    <n v="53850"/>
    <n v="161"/>
    <s v="053850_161"/>
    <s v="Discovery Day"/>
    <s v="Mai valutato"/>
    <m/>
    <n v="202506168072764"/>
    <n v="1613300029653"/>
    <n v="20250616"/>
    <s v="26 - Bonifico in partenza "/>
    <m/>
    <s v="086 - ITALIA"/>
    <s v="D     - Dare"/>
    <n v="450000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x v="1"/>
    <x v="0"/>
    <x v="0"/>
    <n v="4088769"/>
    <x v="1"/>
    <x v="0"/>
    <s v="464"/>
    <s v="430"/>
    <s v="430464"/>
    <s v="Classe di rischio 4"/>
    <m/>
    <s v="Classe di rischio 4"/>
  </r>
  <r>
    <n v="360197"/>
    <x v="3"/>
    <x v="3"/>
    <x v="53"/>
    <n v="53850"/>
    <n v="116"/>
    <s v="053850_116"/>
    <s v="Discovery Day"/>
    <s v="Mai valutato"/>
    <m/>
    <n v="202506168076436"/>
    <n v="1423306288020"/>
    <n v="20250616"/>
    <s v="G7 - Versamento assegno circolare altro intermediario "/>
    <m/>
    <m/>
    <s v="A     - Avere"/>
    <n v="118000"/>
    <n v="0"/>
    <n v="4559385"/>
    <s v="CPRDGL59M58L049C"/>
    <s v="CIPRIANI IDA ANGEL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196"/>
    <x v="5"/>
    <x v="5"/>
    <x v="53"/>
    <n v="53850"/>
    <n v="182"/>
    <s v="053850_182"/>
    <s v="Discovery Day"/>
    <s v="Mai valutato"/>
    <m/>
    <s v="Vari (16/06/2025)"/>
    <n v="1823300169301"/>
    <n v="20250616"/>
    <s v="03 - Versamento contante cassa continua "/>
    <m/>
    <m/>
    <s v="A     - Avere"/>
    <n v="40825"/>
    <n v="4082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x v="4"/>
    <x v="1"/>
    <x v="0"/>
    <n v="4284957"/>
    <x v="1"/>
    <x v="0"/>
    <s v="920"/>
    <s v="615"/>
    <s v="615920"/>
    <s v="Classe di rischio 6"/>
    <m/>
    <s v="Classe di rischio 6"/>
  </r>
  <r>
    <n v="360195"/>
    <x v="5"/>
    <x v="5"/>
    <x v="53"/>
    <n v="53850"/>
    <n v="114"/>
    <s v="053850_114"/>
    <s v="Discovery Day"/>
    <s v="Mai valutato"/>
    <m/>
    <n v="202506168076422"/>
    <n v="1143306280621"/>
    <n v="20250616"/>
    <s v="D1 - Versamento di contante "/>
    <m/>
    <m/>
    <s v="A     - Avere"/>
    <n v="58000"/>
    <n v="580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x v="1"/>
    <x v="0"/>
    <x v="0"/>
    <n v="4658875"/>
    <x v="1"/>
    <x v="0"/>
    <s v="477"/>
    <s v="430"/>
    <s v="430477"/>
    <s v="Classe di rischio 3"/>
    <m/>
    <s v="Classe di rischio 3"/>
  </r>
  <r>
    <n v="360194"/>
    <x v="4"/>
    <x v="4"/>
    <x v="53"/>
    <n v="53850"/>
    <n v="102"/>
    <s v="053850_102"/>
    <s v="Discovery Day"/>
    <s v="Mai valutato"/>
    <m/>
    <n v="202506168075337"/>
    <n v="1023300113820"/>
    <n v="20250616"/>
    <s v="25 - Pagamento di documenti su Italia "/>
    <m/>
    <m/>
    <s v="D     - Dare"/>
    <n v="1173658.6100000001"/>
    <n v="0"/>
    <n v="11382"/>
    <n v="252420724"/>
    <s v="SEMOLIFICIO LOIUDICE S.R.L."/>
    <s v="430 - Imprese produttive"/>
    <s v="479 - COMMERCIO AL DETTAGLIO AL DI FUORI DI NEGOZI, BANCHI E MERCATI"/>
    <s v="086 - ITALIA"/>
    <n v="1203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193"/>
    <x v="4"/>
    <x v="4"/>
    <x v="53"/>
    <n v="53850"/>
    <n v="120"/>
    <s v="053850_120"/>
    <s v="Discovery Day"/>
    <s v="Mai valutato"/>
    <m/>
    <n v="202506168074698"/>
    <n v="1203300002401"/>
    <n v="20250616"/>
    <s v="50 - Pagamenti diversi"/>
    <m/>
    <m/>
    <s v="D     - Dare"/>
    <n v="3108595.6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x v="4"/>
    <x v="1"/>
    <x v="0"/>
    <n v="613876"/>
    <x v="1"/>
    <x v="0"/>
    <s v="999"/>
    <s v="500"/>
    <s v="500999"/>
    <m/>
    <s v="1"/>
    <s v="Classe di rischio 3"/>
  </r>
  <r>
    <n v="360192"/>
    <x v="5"/>
    <x v="5"/>
    <x v="53"/>
    <n v="53850"/>
    <n v="171"/>
    <s v="053850_171"/>
    <s v="Discovery Day"/>
    <s v="Mai valutato"/>
    <m/>
    <s v="Vari (16/06/2025)"/>
    <n v="1713302214147"/>
    <n v="20250616"/>
    <s v="03 - Versamento contante cassa continua "/>
    <m/>
    <m/>
    <s v="A     - Avere"/>
    <n v="97482.13"/>
    <n v="97482.13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60191"/>
    <x v="4"/>
    <x v="4"/>
    <x v="53"/>
    <n v="53850"/>
    <n v="102"/>
    <s v="053850_102"/>
    <s v="Discovery Day"/>
    <s v="Mai valutato"/>
    <m/>
    <n v="202506168073579"/>
    <n v="1023308726073"/>
    <n v="20250616"/>
    <s v="48 - Bonifico in arrivo "/>
    <m/>
    <s v="086 - ITALIA"/>
    <s v="A     - Avere"/>
    <n v="1055576.55"/>
    <n v="0"/>
    <n v="4972446"/>
    <n v="8406920721"/>
    <s v="GE.DI. GROUP S.P.A."/>
    <s v="430 - Imprese produttive"/>
    <s v="412 - COSTRUZIONE DI EDIFICI RESIDENZIALI E NON RESIDENZIALI"/>
    <s v="086 - ITALIA"/>
    <n v="739"/>
    <m/>
    <m/>
    <m/>
    <m/>
    <m/>
    <m/>
    <m/>
    <n v="0"/>
    <n v="202506"/>
    <x v="2"/>
    <x v="1"/>
    <x v="0"/>
    <m/>
    <x v="0"/>
    <x v="0"/>
    <s v="412"/>
    <s v="430"/>
    <s v="430412"/>
    <s v="Classe di rischio 3"/>
    <m/>
    <s v="Classe di rischio 3"/>
  </r>
  <r>
    <n v="360190"/>
    <x v="5"/>
    <x v="5"/>
    <x v="53"/>
    <n v="53850"/>
    <n v="170"/>
    <s v="053850_170"/>
    <s v="Discovery Day"/>
    <s v="Mai valutato"/>
    <m/>
    <s v="Vari (16/06/2025)"/>
    <n v="1703300000428"/>
    <n v="20250616"/>
    <s v="03 - Versamento contante cassa continua "/>
    <m/>
    <m/>
    <s v="A     - Avere"/>
    <n v="50000"/>
    <n v="5000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6"/>
    <x v="1"/>
    <x v="0"/>
    <x v="0"/>
    <n v="4833134"/>
    <x v="1"/>
    <x v="0"/>
    <s v="999"/>
    <s v="430"/>
    <s v="430999"/>
    <m/>
    <s v="1"/>
    <s v="Classe di rischio 1"/>
  </r>
  <r>
    <n v="360189"/>
    <x v="4"/>
    <x v="4"/>
    <x v="53"/>
    <n v="53850"/>
    <n v="192"/>
    <s v="053850_192"/>
    <s v="Discovery Day"/>
    <s v="Mai valutato"/>
    <m/>
    <n v="202506168076721"/>
    <n v="1923300180425"/>
    <n v="20250616"/>
    <s v="SPECIAL"/>
    <m/>
    <m/>
    <s v="D     - Dare"/>
    <n v="43636.14"/>
    <n v="0"/>
    <n v="4374507"/>
    <s v="LNVMHL32E24E986O"/>
    <s v="LANEVE MICHELE"/>
    <s v="615 - Altre famiglie produttrici"/>
    <s v="329 - INDUSTRIE MANIFATTURIERE NCA"/>
    <s v="086 - ITALIA"/>
    <n v="1907"/>
    <m/>
    <m/>
    <m/>
    <m/>
    <m/>
    <m/>
    <m/>
    <n v="0"/>
    <n v="202506"/>
    <x v="4"/>
    <x v="1"/>
    <x v="0"/>
    <m/>
    <x v="0"/>
    <x v="1"/>
    <s v="999"/>
    <s v="615"/>
    <s v="615999"/>
    <m/>
    <s v="1"/>
    <s v="Classe di rischio 3"/>
  </r>
  <r>
    <n v="360188"/>
    <x v="4"/>
    <x v="4"/>
    <x v="53"/>
    <n v="53850"/>
    <n v="102"/>
    <s v="053850_102"/>
    <s v="Discovery Day"/>
    <s v="Mai valutato"/>
    <m/>
    <n v="202506168073535"/>
    <n v="1023308723686"/>
    <n v="20250616"/>
    <s v="48 - Bonifico in arrivo "/>
    <m/>
    <s v="086 - ITALIA"/>
    <s v="A     - Avere"/>
    <n v="620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6"/>
    <x v="1"/>
    <x v="0"/>
    <x v="0"/>
    <n v="531420"/>
    <x v="1"/>
    <x v="0"/>
    <s v="999"/>
    <s v="615"/>
    <s v="615999"/>
    <m/>
    <s v="1"/>
    <s v="Classe di rischio 3"/>
  </r>
  <r>
    <n v="360187"/>
    <x v="5"/>
    <x v="5"/>
    <x v="53"/>
    <n v="53850"/>
    <n v="131"/>
    <s v="053850_131"/>
    <s v="Discovery Day"/>
    <s v="Mai valutato"/>
    <m/>
    <s v="Vari (16/06/2025)"/>
    <n v="1313300002205"/>
    <n v="20250616"/>
    <s v="VV"/>
    <m/>
    <m/>
    <s v="A     - Avere"/>
    <n v="27000"/>
    <n v="27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6"/>
    <x v="4"/>
    <x v="1"/>
    <x v="0"/>
    <n v="4055163"/>
    <x v="1"/>
    <x v="1"/>
    <s v="477"/>
    <s v="615"/>
    <s v="615477"/>
    <s v="Classe di rischio 6"/>
    <m/>
    <s v="Classe di rischio 6"/>
  </r>
  <r>
    <n v="360186"/>
    <x v="5"/>
    <x v="5"/>
    <x v="53"/>
    <n v="53850"/>
    <n v="103"/>
    <s v="053850_103"/>
    <s v="Discovery Day"/>
    <s v="Mai valutato"/>
    <m/>
    <n v="202506168076310"/>
    <n v="1033306986170"/>
    <n v="20250616"/>
    <s v="D1 - Versamento di contante "/>
    <m/>
    <m/>
    <s v="A     - Avere"/>
    <n v="34850"/>
    <n v="34850"/>
    <n v="4258575"/>
    <s v="GSLMRA97A69A225D"/>
    <s v="GESUALDO MARIA"/>
    <s v="600 - Famiglie consumatrici"/>
    <m/>
    <s v="086 - ITALIA"/>
    <n v="451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185"/>
    <x v="3"/>
    <x v="3"/>
    <x v="53"/>
    <n v="53850"/>
    <n v="182"/>
    <s v="053850_182"/>
    <s v="Discovery Day"/>
    <s v="Mai valutato"/>
    <m/>
    <s v="Vari (16/06/2025)"/>
    <n v="1823300169301"/>
    <n v="20250616"/>
    <s v="03 - Versamento contante cassa continua "/>
    <m/>
    <m/>
    <s v="A     - Avere"/>
    <n v="40825"/>
    <n v="4082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x v="4"/>
    <x v="1"/>
    <x v="0"/>
    <n v="4284957"/>
    <x v="1"/>
    <x v="0"/>
    <s v="920"/>
    <s v="615"/>
    <s v="615920"/>
    <s v="Classe di rischio 6"/>
    <m/>
    <s v="Classe di rischio 6"/>
  </r>
  <r>
    <n v="360184"/>
    <x v="5"/>
    <x v="5"/>
    <x v="53"/>
    <n v="53850"/>
    <n v="102"/>
    <s v="053850_102"/>
    <s v="Discovery Day"/>
    <s v="Mai valutato"/>
    <m/>
    <n v="202506168076287"/>
    <n v="1023308722071"/>
    <n v="20250616"/>
    <s v="D1 - Versamento di contante "/>
    <m/>
    <m/>
    <s v="A     - Avere"/>
    <n v="31570"/>
    <n v="31570"/>
    <n v="194802"/>
    <n v="3151820721"/>
    <s v="PROGETTO MODA S.R.L."/>
    <s v="430 - Imprese produttive"/>
    <s v="477 - COMMERCIO AL DETTAGLIO DI ALTRI PRODOTTI IN ESERCIZI SPECIALIZZATI"/>
    <s v="086 - ITALIA"/>
    <n v="1203"/>
    <m/>
    <m/>
    <m/>
    <m/>
    <m/>
    <m/>
    <m/>
    <n v="0"/>
    <n v="202506"/>
    <x v="2"/>
    <x v="1"/>
    <x v="0"/>
    <n v="194802"/>
    <x v="1"/>
    <x v="0"/>
    <s v="477"/>
    <s v="430"/>
    <s v="430477"/>
    <s v="Classe di rischio 3"/>
    <m/>
    <s v="Classe di rischio 3"/>
  </r>
  <r>
    <n v="360183"/>
    <x v="5"/>
    <x v="5"/>
    <x v="53"/>
    <n v="53850"/>
    <n v="108"/>
    <s v="053850_108"/>
    <s v="Discovery Day"/>
    <s v="Mai valutato"/>
    <m/>
    <s v="Vari (16/06/2025)"/>
    <n v="1083305200700"/>
    <n v="20250616"/>
    <s v="VV"/>
    <m/>
    <m/>
    <s v="A     - Avere"/>
    <n v="40842.83"/>
    <n v="29230"/>
    <n v="520070"/>
    <n v="4357120726"/>
    <s v="CENTRO AGROVETE PUGLIA E BASILICATA SRL"/>
    <s v="430 - Imprese produttive"/>
    <s v="464 - COMMERCIO ALL'INGROSSO DI BENI DI CONSUMO FINALE"/>
    <s v="086 - ITALIA"/>
    <n v="1058"/>
    <m/>
    <m/>
    <m/>
    <m/>
    <m/>
    <m/>
    <m/>
    <n v="0"/>
    <n v="202506"/>
    <x v="2"/>
    <x v="1"/>
    <x v="0"/>
    <m/>
    <x v="0"/>
    <x v="1"/>
    <s v="464"/>
    <s v="430"/>
    <s v="430464"/>
    <s v="Classe di rischio 4"/>
    <m/>
    <s v="Classe di rischio 4"/>
  </r>
  <r>
    <n v="360182"/>
    <x v="3"/>
    <x v="3"/>
    <x v="53"/>
    <n v="53850"/>
    <n v="105"/>
    <s v="053850_105"/>
    <s v="Discovery Day"/>
    <s v="Mai valutato"/>
    <m/>
    <n v="202506168076346"/>
    <n v="1053306290053"/>
    <n v="20250616"/>
    <s v="G8 - Versamento assegno circolare stesso intermediario"/>
    <m/>
    <m/>
    <s v="A     - Avere"/>
    <n v="98000"/>
    <n v="0"/>
    <n v="55359"/>
    <n v="296600729"/>
    <s v="PAOLO SCOPPIO E FIGLIO AUTOLINEE S.R.L."/>
    <s v="430 - Imprese produttive"/>
    <s v="493 - ALTRI TRASPORTI TERRESTRI DI PASSEGGERI"/>
    <s v="086 - ITALIA"/>
    <n v="1058"/>
    <m/>
    <m/>
    <m/>
    <m/>
    <m/>
    <m/>
    <m/>
    <n v="0"/>
    <n v="202506"/>
    <x v="4"/>
    <x v="1"/>
    <x v="0"/>
    <m/>
    <x v="0"/>
    <x v="0"/>
    <s v="493"/>
    <s v="430"/>
    <s v="430493"/>
    <s v="Classe di rischio 3"/>
    <m/>
    <s v="Classe di rischio 3"/>
  </r>
  <r>
    <n v="360181"/>
    <x v="3"/>
    <x v="3"/>
    <x v="53"/>
    <n v="53850"/>
    <n v="171"/>
    <s v="053850_171"/>
    <s v="Discovery Day"/>
    <s v="Mai valutato"/>
    <m/>
    <s v="Vari (16/06/2025)"/>
    <n v="1713305728950"/>
    <n v="20250616"/>
    <s v="03 - Versamento contante cassa continua "/>
    <m/>
    <m/>
    <s v="A     - Avere"/>
    <n v="341597.17"/>
    <n v="341597.1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180"/>
    <x v="5"/>
    <x v="5"/>
    <x v="53"/>
    <n v="53850"/>
    <n v="110"/>
    <s v="053850_110"/>
    <s v="Discovery Day"/>
    <s v="Mai valutato"/>
    <m/>
    <s v="Vari (16/06/2025)"/>
    <n v="1103300093700"/>
    <n v="20250616"/>
    <s v="03 - Versamento contante cassa continua "/>
    <m/>
    <m/>
    <s v="A     - Avere"/>
    <n v="48755"/>
    <n v="48755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s v="086 - ITALIA"/>
    <n v="746"/>
    <m/>
    <m/>
    <m/>
    <m/>
    <m/>
    <m/>
    <m/>
    <n v="0"/>
    <n v="202506"/>
    <x v="2"/>
    <x v="1"/>
    <x v="0"/>
    <n v="4871243"/>
    <x v="1"/>
    <x v="0"/>
    <s v="999"/>
    <s v="492"/>
    <s v="492999"/>
    <m/>
    <s v="1"/>
    <s v="Classe di rischio 2"/>
  </r>
  <r>
    <n v="360179"/>
    <x v="4"/>
    <x v="4"/>
    <x v="53"/>
    <n v="53850"/>
    <n v="182"/>
    <s v="053850_182"/>
    <s v="Discovery Day"/>
    <s v="Mai valutato"/>
    <m/>
    <n v="202506168076694"/>
    <n v="1823300174068"/>
    <n v="20250616"/>
    <s v="54 - Incassi diversi"/>
    <m/>
    <m/>
    <s v="A     - Avere"/>
    <n v="180000"/>
    <n v="0"/>
    <n v="4957173"/>
    <s v="NTTFBA68S11L049B"/>
    <s v="NITTI FABIO"/>
    <s v="773 - Famiglie consumatrici dei paesi UE membri dell'area dell'euro"/>
    <m/>
    <s v="094 - GERMANIA"/>
    <n v="616"/>
    <m/>
    <m/>
    <m/>
    <m/>
    <m/>
    <m/>
    <m/>
    <n v="0"/>
    <n v="202506"/>
    <x v="2"/>
    <x v="1"/>
    <x v="0"/>
    <m/>
    <x v="0"/>
    <x v="0"/>
    <s v="999"/>
    <s v="773"/>
    <s v="773999"/>
    <s v="Classe di rischio 7"/>
    <m/>
    <s v="Classe di rischio 7"/>
  </r>
  <r>
    <n v="360178"/>
    <x v="5"/>
    <x v="5"/>
    <x v="53"/>
    <n v="53850"/>
    <n v="103"/>
    <s v="053850_103"/>
    <s v="Discovery Day"/>
    <s v="Mai valutato"/>
    <m/>
    <n v="202506168076310"/>
    <n v="1033306986170"/>
    <n v="20250616"/>
    <s v="D1 - Versamento di contante "/>
    <m/>
    <m/>
    <s v="A     - Avere"/>
    <n v="34850"/>
    <n v="34850"/>
    <n v="4898659"/>
    <s v="CLCNTN97A20A225J"/>
    <s v="CALCULLI ANTONIO"/>
    <s v="600 - Famiglie consumatrici"/>
    <m/>
    <s v="086 - ITALIA"/>
    <n v="1099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177"/>
    <x v="5"/>
    <x v="5"/>
    <x v="53"/>
    <n v="53850"/>
    <n v="108"/>
    <s v="053850_108"/>
    <s v="Discovery Day"/>
    <s v="Mai valutato"/>
    <m/>
    <s v="Vari (16/06/2025)"/>
    <n v="1083306291105"/>
    <n v="20250616"/>
    <s v="VV"/>
    <m/>
    <m/>
    <s v="A     - Avere"/>
    <n v="180060.56"/>
    <n v="94090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60176"/>
    <x v="4"/>
    <x v="4"/>
    <x v="53"/>
    <n v="53850"/>
    <n v="192"/>
    <s v="053850_192"/>
    <s v="Discovery Day"/>
    <s v="Mai valutato"/>
    <m/>
    <n v="202506168076721"/>
    <n v="1923300180425"/>
    <n v="20250616"/>
    <s v="SPECIAL"/>
    <m/>
    <m/>
    <s v="D     - Dare"/>
    <n v="43636.14"/>
    <n v="0"/>
    <n v="4374509"/>
    <s v="MSTNTN45C62E986M"/>
    <s v="MASTROVITO ANTONIA"/>
    <s v="600 - Famiglie consumatrici"/>
    <m/>
    <s v="086 - ITALIA"/>
    <n v="363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175"/>
    <x v="4"/>
    <x v="4"/>
    <x v="53"/>
    <n v="53850"/>
    <n v="120"/>
    <s v="053850_120"/>
    <s v="Discovery Day"/>
    <s v="Mai valutato"/>
    <m/>
    <n v="202506168074882"/>
    <n v="1203300002852"/>
    <n v="20250616"/>
    <s v="50 - Pagamenti diversi"/>
    <m/>
    <m/>
    <s v="D     - Dare"/>
    <n v="748118.96"/>
    <n v="0"/>
    <n v="4078085"/>
    <n v="4806600724"/>
    <s v="MV LINE S.P.A."/>
    <s v="430 - Imprese produttive"/>
    <s v="259 - FABBRICAZIONE DI ALTRI PRODOTTI IN METALLO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174"/>
    <x v="5"/>
    <x v="5"/>
    <x v="53"/>
    <n v="53850"/>
    <n v="268"/>
    <s v="053850_268"/>
    <s v="Discovery Day"/>
    <s v="Mai valutato"/>
    <m/>
    <s v="Vari (16/06/2025)"/>
    <n v="2683300010030"/>
    <n v="20250616"/>
    <s v="03 - Versamento contante cassa continua "/>
    <m/>
    <m/>
    <s v="A     - Avere"/>
    <n v="48295"/>
    <n v="4829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x v="1"/>
    <x v="0"/>
    <x v="0"/>
    <n v="4966939"/>
    <x v="1"/>
    <x v="0"/>
    <s v="999"/>
    <s v="615"/>
    <s v="615999"/>
    <m/>
    <s v="1"/>
    <s v="Classe di rischio 3"/>
  </r>
  <r>
    <n v="360173"/>
    <x v="3"/>
    <x v="3"/>
    <x v="53"/>
    <n v="53850"/>
    <n v="116"/>
    <s v="053850_116"/>
    <s v="Discovery Day"/>
    <s v="Mai valutato"/>
    <m/>
    <n v="202506168076436"/>
    <n v="1423306288020"/>
    <n v="20250616"/>
    <s v="G7 - Versamento assegno circolare altro intermediario "/>
    <m/>
    <m/>
    <s v="A     - Avere"/>
    <n v="118000"/>
    <n v="0"/>
    <n v="4559384"/>
    <s v="DMCNNN60R29A662M"/>
    <s v="D'AMICO ANTONINO"/>
    <s v="600 - Famiglie consumatrici"/>
    <m/>
    <s v="086 - ITALIA"/>
    <n v="65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60172"/>
    <x v="3"/>
    <x v="3"/>
    <x v="53"/>
    <n v="53850"/>
    <n v="108"/>
    <s v="053850_108"/>
    <s v="Discovery Day"/>
    <s v="Mai valutato"/>
    <m/>
    <s v="Vari (16/06/2025)"/>
    <n v="1083306291105"/>
    <n v="20250616"/>
    <s v="VV"/>
    <m/>
    <m/>
    <s v="A     - Avere"/>
    <n v="180060.56"/>
    <n v="94090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60171"/>
    <x v="4"/>
    <x v="4"/>
    <x v="53"/>
    <n v="53850"/>
    <n v="170"/>
    <s v="053850_170"/>
    <s v="Discovery Day"/>
    <s v="Mai valutato"/>
    <m/>
    <n v="202506168072803"/>
    <n v="1703306290830"/>
    <n v="20250616"/>
    <s v="39 - Disposizione per emolumenti"/>
    <m/>
    <m/>
    <s v="D     - Dare"/>
    <n v="778325.33"/>
    <n v="0"/>
    <n v="4934769"/>
    <n v="2791590728"/>
    <s v="LA PULITA &amp; SERVICE S.C.R.L. COOPERATIVA DI"/>
    <s v="430 - Imprese produttive"/>
    <s v="812 - ATTIVITÀ DI PULIZIA E DISINFESTAZIONE"/>
    <s v="086 - ITALIA"/>
    <n v="1919"/>
    <m/>
    <m/>
    <m/>
    <m/>
    <m/>
    <m/>
    <m/>
    <n v="0"/>
    <n v="202506"/>
    <x v="2"/>
    <x v="1"/>
    <x v="0"/>
    <m/>
    <x v="0"/>
    <x v="0"/>
    <s v="812"/>
    <s v="430"/>
    <s v="430812"/>
    <s v="Classe di rischio 3"/>
    <m/>
    <s v="Classe di rischio 3"/>
  </r>
  <r>
    <n v="360170"/>
    <x v="4"/>
    <x v="4"/>
    <x v="53"/>
    <n v="53850"/>
    <n v="102"/>
    <s v="053850_102"/>
    <s v="Discovery Day"/>
    <s v="Mai valutato"/>
    <m/>
    <n v="202506168073611"/>
    <n v="1023308719190"/>
    <n v="20250616"/>
    <s v="48 - Bonifico in arrivo "/>
    <m/>
    <s v="086 - ITALIA"/>
    <s v="A     - Avere"/>
    <n v="1601412.8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x v="2"/>
    <x v="1"/>
    <x v="0"/>
    <m/>
    <x v="0"/>
    <x v="0"/>
    <s v="999"/>
    <s v="248"/>
    <s v="248999"/>
    <m/>
    <s v="1"/>
    <s v="Classe di rischio 0"/>
  </r>
  <r>
    <n v="360169"/>
    <x v="7"/>
    <x v="7"/>
    <x v="53"/>
    <n v="53850"/>
    <n v="143"/>
    <s v="053850_143"/>
    <s v="Discovery Day"/>
    <s v="Mai valutato"/>
    <m/>
    <n v="202506168076535"/>
    <m/>
    <n v="20250616"/>
    <s v="F3 - Cambio assegni tratti su altro intermediario "/>
    <m/>
    <m/>
    <s v="D     - Dare"/>
    <n v="30000"/>
    <n v="0"/>
    <n v="3745532"/>
    <s v="BRDDNC50P22A892B"/>
    <s v="BURDI DOMENICO"/>
    <s v="600 - Famiglie consumatrici"/>
    <m/>
    <s v="086 - ITALIA"/>
    <m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60168"/>
    <x v="5"/>
    <x v="5"/>
    <x v="53"/>
    <n v="53850"/>
    <n v="116"/>
    <s v="053850_116"/>
    <s v="Discovery Day"/>
    <s v="Mai valutato"/>
    <m/>
    <n v="202506168076065"/>
    <n v="2343300010453"/>
    <n v="20250616"/>
    <s v="03 - Versamento contante cassa continua "/>
    <m/>
    <m/>
    <s v="A     - Avere"/>
    <n v="168441.45"/>
    <n v="168441.4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167"/>
    <x v="4"/>
    <x v="4"/>
    <x v="53"/>
    <n v="53850"/>
    <n v="141"/>
    <s v="053850_141"/>
    <s v="Discovery Day"/>
    <s v="Mai valutato"/>
    <m/>
    <n v="202506168075148"/>
    <n v="1413300003749"/>
    <n v="20250616"/>
    <s v="50 - Pagamenti diversi"/>
    <m/>
    <m/>
    <s v="D     - Dare"/>
    <n v="862601.61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x v="1"/>
    <x v="0"/>
    <x v="0"/>
    <m/>
    <x v="0"/>
    <x v="0"/>
    <s v="620"/>
    <s v="430"/>
    <s v="430620"/>
    <s v="Classe di rischio 3"/>
    <m/>
    <s v="Classe di rischio 3"/>
  </r>
  <r>
    <n v="360166"/>
    <x v="5"/>
    <x v="5"/>
    <x v="53"/>
    <n v="53850"/>
    <n v="110"/>
    <s v="053850_110"/>
    <s v="Discovery Day"/>
    <s v="Mai valutato"/>
    <m/>
    <s v="Vari (16/06/2025)"/>
    <n v="1103306290380"/>
    <n v="20250616"/>
    <s v="VV"/>
    <m/>
    <m/>
    <s v="A     - Avere"/>
    <n v="24400"/>
    <n v="19700"/>
    <n v="4808863"/>
    <s v="CSSGCM98B24A669K"/>
    <s v="CASSANO GIACOMO"/>
    <s v="600 - Famiglie consumatrici"/>
    <m/>
    <s v="086 - ITALIA"/>
    <n v="1359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60165"/>
    <x v="4"/>
    <x v="4"/>
    <x v="53"/>
    <n v="53850"/>
    <n v="273"/>
    <s v="053850_273"/>
    <s v="Discovery Day"/>
    <s v="Mai valutato"/>
    <m/>
    <n v="202506168075284"/>
    <n v="2733300010399"/>
    <n v="20250616"/>
    <s v="50 - Pagamenti diversi"/>
    <m/>
    <m/>
    <s v="D     - Dare"/>
    <n v="703898.06"/>
    <n v="0"/>
    <n v="4994923"/>
    <n v="2753720693"/>
    <s v="HIGH PERFORMANCE BUILDINGS S.R.L."/>
    <s v="430 - Imprese produttive"/>
    <s v="412 - COSTRUZIONE DI EDIFICI RESIDENZIALI E NON RESIDENZIALI"/>
    <s v="086 - ITALIA"/>
    <n v="1805"/>
    <m/>
    <m/>
    <m/>
    <m/>
    <m/>
    <m/>
    <m/>
    <n v="0"/>
    <n v="202506"/>
    <x v="0"/>
    <x v="0"/>
    <x v="0"/>
    <m/>
    <x v="0"/>
    <x v="0"/>
    <s v="412"/>
    <s v="430"/>
    <s v="430412"/>
    <s v="Classe di rischio 3"/>
    <m/>
    <s v="Classe di rischio 3"/>
  </r>
  <r>
    <n v="360164"/>
    <x v="2"/>
    <x v="2"/>
    <x v="53"/>
    <n v="53850"/>
    <n v="149"/>
    <s v="053850_149"/>
    <s v="Discovery Day"/>
    <s v="Mai valutato"/>
    <m/>
    <n v="202506168073240"/>
    <n v="1493300663564"/>
    <n v="20250616"/>
    <s v="AA - Bonifico da e per estero "/>
    <m/>
    <s v="012 - BULGARIA"/>
    <s v="A     - Avere"/>
    <n v="11200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163"/>
    <x v="6"/>
    <x v="6"/>
    <x v="53"/>
    <n v="53850"/>
    <n v="170"/>
    <s v="053850_170"/>
    <s v="Discovery Day"/>
    <s v="Mai valutato"/>
    <m/>
    <n v="202506168074355"/>
    <n v="1703306288195"/>
    <n v="20250616"/>
    <s v="AA - Bonifico da e per estero "/>
    <m/>
    <s v="076 - TURCHIA"/>
    <s v="D     - Dare"/>
    <n v="116377.34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162"/>
    <x v="4"/>
    <x v="4"/>
    <x v="53"/>
    <n v="53850"/>
    <n v="182"/>
    <s v="053850_182"/>
    <s v="Discovery Day"/>
    <s v="Mai valutato"/>
    <m/>
    <n v="202506168073882"/>
    <n v="1823300072312"/>
    <n v="20250616"/>
    <s v="48 - Bonifico in arrivo "/>
    <m/>
    <s v="086 - ITALIA"/>
    <s v="A     - Avere"/>
    <n v="1326792.8700000001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161"/>
    <x v="3"/>
    <x v="3"/>
    <x v="53"/>
    <n v="53850"/>
    <n v="287"/>
    <s v="053850_287"/>
    <s v="Discovery Day"/>
    <s v="Mai valutato"/>
    <m/>
    <s v="Vari (16/06/2025)"/>
    <n v="2873300001853"/>
    <n v="20250616"/>
    <s v="VV"/>
    <m/>
    <m/>
    <s v="A     - Avere"/>
    <n v="114258.15"/>
    <n v="1500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x v="2"/>
    <x v="1"/>
    <x v="0"/>
    <n v="3722213"/>
    <x v="1"/>
    <x v="1"/>
    <s v="463"/>
    <s v="430"/>
    <s v="430463"/>
    <s v="Classe di rischio 3"/>
    <m/>
    <s v="Classe di rischio 3"/>
  </r>
  <r>
    <n v="360160"/>
    <x v="3"/>
    <x v="3"/>
    <x v="53"/>
    <n v="53850"/>
    <n v="116"/>
    <s v="053850_116"/>
    <s v="Discovery Day"/>
    <s v="Mai valutato"/>
    <m/>
    <n v="202506168076065"/>
    <n v="2343300010453"/>
    <n v="20250616"/>
    <s v="03 - Versamento contante cassa continua "/>
    <m/>
    <m/>
    <s v="A     - Avere"/>
    <n v="168441.45"/>
    <n v="168441.4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60159"/>
    <x v="7"/>
    <x v="7"/>
    <x v="53"/>
    <n v="53850"/>
    <n v="143"/>
    <s v="053850_143"/>
    <s v="Discovery Day"/>
    <s v="Mai valutato"/>
    <m/>
    <n v="202506168076530"/>
    <m/>
    <n v="20250616"/>
    <s v="F3 - Cambio assegni tratti su altro intermediario "/>
    <m/>
    <m/>
    <s v="D     - Dare"/>
    <n v="16667"/>
    <n v="0"/>
    <n v="4511147"/>
    <s v="BNTMRA67A42A662B"/>
    <s v="BINETTI MARIA"/>
    <s v="600 - Famiglie consumatrici"/>
    <m/>
    <s v="086 - ITALIA"/>
    <n v="860"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60158"/>
    <x v="3"/>
    <x v="3"/>
    <x v="53"/>
    <n v="53850"/>
    <n v="267"/>
    <s v="053850_267"/>
    <s v="Discovery Day"/>
    <s v="Mai valutato"/>
    <m/>
    <s v="Vari (16/06/2025)"/>
    <n v="2673300000259"/>
    <n v="20250616"/>
    <s v="VV"/>
    <m/>
    <m/>
    <s v="A     - Avere"/>
    <n v="105930"/>
    <n v="1900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6"/>
    <x v="4"/>
    <x v="1"/>
    <x v="0"/>
    <n v="1616725"/>
    <x v="1"/>
    <x v="1"/>
    <s v="999"/>
    <s v="430"/>
    <s v="430999"/>
    <m/>
    <s v="1"/>
    <s v="Classe di rischio 1"/>
  </r>
  <r>
    <n v="360157"/>
    <x v="2"/>
    <x v="2"/>
    <x v="53"/>
    <n v="53850"/>
    <n v="164"/>
    <s v="053850_164"/>
    <s v="Discovery Day"/>
    <s v="Mai valutato"/>
    <m/>
    <n v="202506168072667"/>
    <n v="1643300370785"/>
    <n v="20250616"/>
    <s v="AA - Bonifico da e per estero "/>
    <m/>
    <s v="012 - BULGARIA"/>
    <s v="D     - Dare"/>
    <n v="12685.04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60156"/>
    <x v="7"/>
    <x v="7"/>
    <x v="53"/>
    <n v="53850"/>
    <n v="143"/>
    <s v="053850_143"/>
    <s v="Discovery Day"/>
    <s v="Mai valutato"/>
    <m/>
    <n v="202506168076534"/>
    <m/>
    <n v="20250616"/>
    <s v="F1 - Incasso assegno circolare altro intermediario"/>
    <m/>
    <m/>
    <s v="D     - Dare"/>
    <n v="19840"/>
    <n v="0"/>
    <n v="3745532"/>
    <s v="BRDDNC50P22A892B"/>
    <s v="BURDI DOMENICO"/>
    <s v="600 - Famiglie consumatrici"/>
    <m/>
    <s v="086 - ITALIA"/>
    <m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60155"/>
    <x v="4"/>
    <x v="4"/>
    <x v="53"/>
    <n v="53850"/>
    <n v="102"/>
    <s v="053850_102"/>
    <s v="Discovery Day"/>
    <s v="Mai valutato"/>
    <m/>
    <n v="202506168075393"/>
    <n v="1023308719190"/>
    <n v="20250616"/>
    <s v="50 - Pagamenti diversi"/>
    <m/>
    <m/>
    <s v="D     - Dare"/>
    <n v="1639507.11"/>
    <n v="0"/>
    <n v="4233192"/>
    <n v="4107060966"/>
    <s v="NEXI PAYMENTS S.P.A."/>
    <s v="248 - Istituti di moneta elettronica"/>
    <s v="649 - ALTRE ATTIVITÀ DI SERVIZI FINANZIARI (ESCLUSE LE ASSICURAZIONI E I FONDI PENSIONE)"/>
    <s v="086 - ITALIA"/>
    <n v="739"/>
    <m/>
    <m/>
    <m/>
    <m/>
    <m/>
    <m/>
    <m/>
    <n v="0"/>
    <n v="202506"/>
    <x v="2"/>
    <x v="1"/>
    <x v="0"/>
    <m/>
    <x v="0"/>
    <x v="0"/>
    <s v="999"/>
    <s v="248"/>
    <s v="248999"/>
    <m/>
    <s v="1"/>
    <s v="Classe di rischio 0"/>
  </r>
  <r>
    <n v="360154"/>
    <x v="5"/>
    <x v="5"/>
    <x v="53"/>
    <n v="53850"/>
    <n v="171"/>
    <s v="053850_171"/>
    <s v="Discovery Day"/>
    <s v="Mai valutato"/>
    <m/>
    <s v="Vari (16/06/2025)"/>
    <n v="1713305728950"/>
    <n v="20250616"/>
    <s v="03 - Versamento contante cassa continua "/>
    <m/>
    <m/>
    <s v="A     - Avere"/>
    <n v="341597.17"/>
    <n v="341597.1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60153"/>
    <x v="5"/>
    <x v="5"/>
    <x v="53"/>
    <n v="53850"/>
    <n v="102"/>
    <s v="053850_102"/>
    <s v="Discovery Day"/>
    <s v="Mai valutato"/>
    <m/>
    <s v="Vari (14/06/2025)"/>
    <n v="1023308722503"/>
    <n v="20250614"/>
    <s v="03 - Versamento contante cassa continua "/>
    <m/>
    <m/>
    <s v="A     - Avere"/>
    <n v="40580"/>
    <n v="4058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60152"/>
    <x v="2"/>
    <x v="2"/>
    <x v="53"/>
    <n v="53850"/>
    <n v="141"/>
    <s v="053850_141"/>
    <s v="Discovery Day"/>
    <s v="Mai valutato"/>
    <m/>
    <n v="202506138072430"/>
    <n v="1413300004416"/>
    <n v="20250613"/>
    <s v="AA - Bonifico da e per estero "/>
    <m/>
    <s v="091 - PRINCIPATO DI MONACO"/>
    <s v="D     - Dare"/>
    <n v="27973.52"/>
    <n v="0"/>
    <n v="3731116"/>
    <n v="4522200759"/>
    <s v="LEVEL PROJECT S.R.L."/>
    <s v="430 - Imprese produttive"/>
    <s v="433 - COMPLETAMENTO E FINITURA DI EDIFICI"/>
    <s v="086 - ITALIA"/>
    <n v="1627"/>
    <m/>
    <m/>
    <m/>
    <m/>
    <m/>
    <m/>
    <m/>
    <n v="0"/>
    <n v="202506"/>
    <x v="2"/>
    <x v="1"/>
    <x v="0"/>
    <m/>
    <x v="0"/>
    <x v="0"/>
    <s v="433"/>
    <s v="430"/>
    <s v="430433"/>
    <s v="Classe di rischio 3"/>
    <m/>
    <s v="Classe di rischio 3"/>
  </r>
  <r>
    <n v="360151"/>
    <x v="2"/>
    <x v="2"/>
    <x v="54"/>
    <n v="53850"/>
    <n v="168"/>
    <s v="053850_168"/>
    <s v="Discovery Day"/>
    <s v="Mai valutato"/>
    <m/>
    <s v="202506168268029L"/>
    <n v="1683306277308"/>
    <n v="20250616"/>
    <s v="AA - Bonifico da e per estero "/>
    <m/>
    <s v="012 - BULGARIA"/>
    <s v="D     - Dare"/>
    <n v="2150"/>
    <n v="0"/>
    <n v="4950606"/>
    <n v="7856760728"/>
    <s v="TRANSPORT 68 SOCIETA' A RESPONSABILITA' LIMI"/>
    <s v="430 - Imprese produttive"/>
    <s v="494 - TRASPORTO DI MERCI SU STRADA E SERVIZI DI TRASLOCO"/>
    <s v="086 - ITALIA"/>
    <n v="192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60150"/>
    <x v="2"/>
    <x v="2"/>
    <x v="54"/>
    <n v="53850"/>
    <n v="270"/>
    <s v="053850_270"/>
    <s v="Discovery Day"/>
    <s v="Mai valutato"/>
    <m/>
    <s v="202506168271245L"/>
    <n v="2703300010699"/>
    <n v="20250616"/>
    <s v="AA - Bonifico da e per estero "/>
    <m/>
    <s v="012 - BULGARIA"/>
    <s v="D     - Dare"/>
    <n v="4000"/>
    <n v="0"/>
    <n v="3728961"/>
    <s v="LVTNLY65L50Z104O"/>
    <s v="ILIEVA ITSKOVA ANELIYA"/>
    <s v="600 - Famiglie consumatrici"/>
    <m/>
    <s v="086 - ITALIA"/>
    <n v="1809"/>
    <m/>
    <m/>
    <m/>
    <m/>
    <m/>
    <m/>
    <m/>
    <n v="0"/>
    <n v="202506"/>
    <x v="4"/>
    <x v="1"/>
    <x v="0"/>
    <m/>
    <x v="0"/>
    <x v="0"/>
    <s v="999"/>
    <s v="600"/>
    <s v="600999"/>
    <s v="Classe di rischio 7"/>
    <m/>
    <s v="Classe di rischio 7"/>
  </r>
  <r>
    <n v="360149"/>
    <x v="2"/>
    <x v="2"/>
    <x v="54"/>
    <n v="53850"/>
    <n v="119"/>
    <s v="053850_119"/>
    <s v="Discovery Day"/>
    <s v="Mai valutato"/>
    <m/>
    <s v="202506168274852L"/>
    <n v="1193308875001"/>
    <n v="20250616"/>
    <s v="AA - Bonifico da e per estero "/>
    <m/>
    <s v="012 - BULGARIA"/>
    <s v="A     - Avere"/>
    <n v="2800"/>
    <n v="0"/>
    <n v="4926288"/>
    <s v="DLLLRT95P14A662V"/>
    <s v="DELLINO ALBERTO"/>
    <s v="615 - Altre famiglie produttrici"/>
    <s v="331 - RIPARAZIONE E MANUTENZIONE DI PRODOTTI IN METALLO, MACCHINE ED APPARECCHIATURE"/>
    <s v="086 - ITALIA"/>
    <n v="656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60148"/>
    <x v="2"/>
    <x v="2"/>
    <x v="54"/>
    <n v="53850"/>
    <n v="187"/>
    <s v="053850_187"/>
    <s v="Discovery Day"/>
    <s v="Mai valutato"/>
    <m/>
    <s v="202506168274343L"/>
    <n v="1873300102696"/>
    <n v="20250616"/>
    <s v="AA - Bonifico da e per estero "/>
    <m/>
    <s v="012 - BULGARIA"/>
    <s v="A     - Avere"/>
    <n v="1386.68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6"/>
    <x v="1"/>
    <x v="0"/>
    <x v="0"/>
    <m/>
    <x v="0"/>
    <x v="0"/>
    <s v="463"/>
    <s v="430"/>
    <s v="430463"/>
    <s v="Classe di rischio 3"/>
    <m/>
    <s v="Classe di rischio 3"/>
  </r>
  <r>
    <n v="360147"/>
    <x v="2"/>
    <x v="2"/>
    <x v="54"/>
    <n v="53850"/>
    <n v="261"/>
    <s v="053850_261"/>
    <s v="Discovery Day"/>
    <s v="Mai valutato"/>
    <m/>
    <s v="202506168270100L"/>
    <n v="2613300001265"/>
    <n v="20250616"/>
    <s v="AA - Bonifico da e per estero "/>
    <m/>
    <s v="091 - PRINCIPATO DI MONACO"/>
    <s v="A     - Avere"/>
    <n v="35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60146"/>
    <x v="2"/>
    <x v="2"/>
    <x v="54"/>
    <n v="53850"/>
    <n v="167"/>
    <s v="053850_167"/>
    <s v="Discovery Day"/>
    <s v="Mai valutato"/>
    <m/>
    <s v="202506168272167L"/>
    <n v="1673301672632"/>
    <n v="20250616"/>
    <s v="AA - Bonifico da e per estero "/>
    <m/>
    <s v="091 - PRINCIPATO DI MONACO"/>
    <s v="A     - Avere"/>
    <n v="4500"/>
    <n v="0"/>
    <n v="4662729"/>
    <n v="7212610724"/>
    <s v="EUROSUD CATALDI SOCIETA' A RESPONSABILITA' L"/>
    <s v="430 - Imprese produttive"/>
    <s v="439 - ALTRI LAVORI SPECIALIZZATI DI COSTRUZIONE"/>
    <s v="086 - ITALIA"/>
    <n v="1175"/>
    <m/>
    <m/>
    <m/>
    <m/>
    <m/>
    <m/>
    <m/>
    <n v="0"/>
    <n v="202506"/>
    <x v="2"/>
    <x v="1"/>
    <x v="0"/>
    <m/>
    <x v="0"/>
    <x v="0"/>
    <s v="439"/>
    <s v="430"/>
    <s v="430439"/>
    <s v="Classe di rischio 3"/>
    <m/>
    <s v="Classe di rischio 3"/>
  </r>
  <r>
    <n v="348982"/>
    <x v="4"/>
    <x v="4"/>
    <x v="22"/>
    <n v="53850"/>
    <n v="109"/>
    <s v="053850_109"/>
    <s v="Discovery Day"/>
    <s v="Mai valutato"/>
    <m/>
    <n v="202506138067916"/>
    <n v="1093306673740"/>
    <n v="20250613"/>
    <s v="25 - Pagamento di documenti su Italia "/>
    <m/>
    <m/>
    <s v="D     - Dare"/>
    <n v="342784.79"/>
    <n v="0"/>
    <n v="4536482"/>
    <n v="268480720"/>
    <s v="RENAUTO SOCIETA' PER AZIONI"/>
    <s v="430 - Imprese produttive"/>
    <s v="451 - COMMERCIO DI AUTOVEICOLI"/>
    <s v="086 - ITALIA"/>
    <n v="1919"/>
    <m/>
    <m/>
    <m/>
    <m/>
    <m/>
    <m/>
    <m/>
    <n v="0"/>
    <n v="202506"/>
    <x v="2"/>
    <x v="1"/>
    <x v="0"/>
    <m/>
    <x v="0"/>
    <x v="0"/>
    <s v="451"/>
    <s v="430"/>
    <s v="430451"/>
    <s v="Classe di rischio 3"/>
    <m/>
    <s v="Classe di rischio 3"/>
  </r>
  <r>
    <n v="348981"/>
    <x v="4"/>
    <x v="4"/>
    <x v="22"/>
    <n v="53850"/>
    <n v="102"/>
    <s v="053850_102"/>
    <s v="Discovery Day"/>
    <s v="Mai valutato"/>
    <m/>
    <n v="202506138067809"/>
    <n v="1023308725616"/>
    <n v="20250613"/>
    <s v="SPECIAL"/>
    <m/>
    <m/>
    <s v="D     - Dare"/>
    <n v="77170.3"/>
    <n v="0"/>
    <n v="72722"/>
    <s v="CLMRSO39A68A225J"/>
    <s v="CALEMMA ROSA"/>
    <s v="600 - Famiglie consumatrici"/>
    <m/>
    <s v="086 - ITALIA"/>
    <n v="1335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980"/>
    <x v="5"/>
    <x v="5"/>
    <x v="22"/>
    <n v="53850"/>
    <n v="117"/>
    <s v="053850_117"/>
    <s v="Discovery Day"/>
    <s v="Mai valutato"/>
    <m/>
    <s v="Vari (13/06/2025)"/>
    <n v="1173300538726"/>
    <n v="20250613"/>
    <s v="VV"/>
    <m/>
    <m/>
    <s v="A     - Avere"/>
    <n v="48164.92"/>
    <n v="35745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6"/>
    <x v="4"/>
    <x v="1"/>
    <x v="0"/>
    <n v="4784989"/>
    <x v="1"/>
    <x v="1"/>
    <s v="999"/>
    <s v="430"/>
    <s v="430999"/>
    <m/>
    <s v="1"/>
    <s v="Classe di rischio 1"/>
  </r>
  <r>
    <n v="348979"/>
    <x v="5"/>
    <x v="5"/>
    <x v="22"/>
    <n v="53850"/>
    <n v="116"/>
    <s v="053850_116"/>
    <s v="Discovery Day"/>
    <s v="Mai valutato"/>
    <m/>
    <n v="202506138067738"/>
    <n v="2343300010453"/>
    <n v="20250613"/>
    <s v="03 - Versamento contante cassa continua "/>
    <m/>
    <m/>
    <s v="A     - Avere"/>
    <n v="62488"/>
    <n v="6248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978"/>
    <x v="5"/>
    <x v="5"/>
    <x v="22"/>
    <n v="53850"/>
    <n v="264"/>
    <s v="053850_264"/>
    <s v="Discovery Day"/>
    <s v="Mai valutato"/>
    <m/>
    <n v="202506138067751"/>
    <n v="2643300002175"/>
    <n v="20250613"/>
    <s v="03 - Versamento contante cassa continua "/>
    <m/>
    <m/>
    <s v="A     - Avere"/>
    <n v="24000"/>
    <n v="24000"/>
    <n v="1705205"/>
    <s v="MRGPRC53L20C723W"/>
    <s v="MIRAGLIA PAOLO ROCCO CARMINE"/>
    <s v="615 - Altre famiglie produttrici"/>
    <s v="477 - COMMERCIO AL DETTAGLIO DI ALTRI PRODOTTI IN ESERCIZI SPECIALIZZATI"/>
    <s v="086 - ITALIA"/>
    <n v="1851"/>
    <m/>
    <m/>
    <m/>
    <m/>
    <m/>
    <m/>
    <m/>
    <n v="0"/>
    <n v="202506"/>
    <x v="3"/>
    <x v="1"/>
    <x v="0"/>
    <n v="1705205"/>
    <x v="1"/>
    <x v="0"/>
    <s v="477"/>
    <s v="615"/>
    <s v="615477"/>
    <s v="Classe di rischio 6"/>
    <m/>
    <s v="Classe di rischio 6"/>
  </r>
  <r>
    <n v="348977"/>
    <x v="4"/>
    <x v="4"/>
    <x v="22"/>
    <n v="53850"/>
    <n v="149"/>
    <s v="053850_149"/>
    <s v="Discovery Day"/>
    <s v="Mai valutato"/>
    <m/>
    <n v="202506138066117"/>
    <n v="1493300665012"/>
    <n v="20250613"/>
    <s v="48 - Bonifico in arrivo "/>
    <m/>
    <s v="086 - ITALIA"/>
    <s v="A     - Avere"/>
    <n v="1186083.8799999999"/>
    <n v="0"/>
    <n v="3711346"/>
    <n v="9125231218"/>
    <s v="MOLISSO S.R.L."/>
    <s v="430 - Imprese produttive"/>
    <s v="494 - TRASPORTO DI MERCI SU STRADA E SERVIZI DI TRASLOCO"/>
    <s v="086 - ITALIA"/>
    <n v="1910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976"/>
    <x v="4"/>
    <x v="4"/>
    <x v="22"/>
    <n v="53850"/>
    <n v="102"/>
    <s v="053850_102"/>
    <s v="Discovery Day"/>
    <s v="Mai valutato"/>
    <m/>
    <n v="202506138067807"/>
    <n v="1023308723080"/>
    <n v="20250613"/>
    <s v="SPECIAL"/>
    <m/>
    <m/>
    <s v="D     - Dare"/>
    <n v="7502.77"/>
    <n v="0"/>
    <n v="4856954"/>
    <s v="PCRMNL92L71A225G"/>
    <s v="PICERNO MANUELA"/>
    <s v="600 - Famiglie consumatrici"/>
    <m/>
    <s v="086 - ITALIA"/>
    <n v="638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975"/>
    <x v="4"/>
    <x v="4"/>
    <x v="22"/>
    <n v="53850"/>
    <n v="102"/>
    <s v="053850_102"/>
    <s v="Discovery Day"/>
    <s v="Mai valutato"/>
    <m/>
    <n v="202506138066969"/>
    <n v="1023308719287"/>
    <n v="20250613"/>
    <s v="48 - Bonifico in arrivo "/>
    <m/>
    <s v="086 - ITALIA"/>
    <s v="A     - Avere"/>
    <n v="1000000"/>
    <n v="0"/>
    <n v="491975"/>
    <n v="4231470727"/>
    <s v="AGRI VIESTI SRL"/>
    <s v="430 - Imprese produttive"/>
    <s v="462 - COMMERCIO ALL'INGROSSO DI MATERIE PRIME AGRICOLE E DI ANIMALI VIVI"/>
    <s v="086 - ITALIA"/>
    <n v="739"/>
    <m/>
    <m/>
    <m/>
    <m/>
    <m/>
    <m/>
    <m/>
    <n v="0"/>
    <n v="202506"/>
    <x v="2"/>
    <x v="1"/>
    <x v="0"/>
    <m/>
    <x v="0"/>
    <x v="0"/>
    <s v="462"/>
    <s v="430"/>
    <s v="430462"/>
    <s v="Classe di rischio 3"/>
    <m/>
    <s v="Classe di rischio 3"/>
  </r>
  <r>
    <n v="348974"/>
    <x v="5"/>
    <x v="5"/>
    <x v="22"/>
    <n v="53850"/>
    <n v="129"/>
    <s v="053850_129"/>
    <s v="Discovery Day"/>
    <s v="Mai valutato"/>
    <m/>
    <n v="202506138068010"/>
    <n v="1293300000754"/>
    <n v="20250613"/>
    <s v="D1 - Versamento di contante "/>
    <m/>
    <m/>
    <s v="A     - Avere"/>
    <n v="15810"/>
    <n v="15810"/>
    <n v="4370923"/>
    <n v="2778200721"/>
    <s v="CASA DEL DETERSIVO DI BIANCO MARIA &amp; C. S.A.S."/>
    <s v="492 - Quasi societa' non finanziarie altre - Unita' o societa' con meno di 20 addetti"/>
    <s v="477 - COMMERCIO AL DETTAGLIO DI ALTRI PRODOTTI IN ESERCIZI SPECIALIZZATI"/>
    <s v="086 - ITALIA"/>
    <n v="1355"/>
    <m/>
    <m/>
    <m/>
    <m/>
    <m/>
    <m/>
    <m/>
    <n v="0"/>
    <n v="202506"/>
    <x v="4"/>
    <x v="1"/>
    <x v="0"/>
    <n v="4370923"/>
    <x v="1"/>
    <x v="0"/>
    <s v="477"/>
    <s v="492"/>
    <s v="492477"/>
    <s v="Classe di rischio 5"/>
    <m/>
    <s v="Classe di rischio 5"/>
  </r>
  <r>
    <n v="348973"/>
    <x v="5"/>
    <x v="5"/>
    <x v="22"/>
    <n v="53850"/>
    <n v="108"/>
    <s v="053850_108"/>
    <s v="Discovery Day"/>
    <s v="Mai valutato"/>
    <m/>
    <s v="Vari (13/06/2025)"/>
    <n v="1083306291105"/>
    <n v="20250613"/>
    <s v="VV"/>
    <m/>
    <m/>
    <s v="A     - Avere"/>
    <n v="93321.93"/>
    <n v="47998.8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48972"/>
    <x v="2"/>
    <x v="2"/>
    <x v="22"/>
    <n v="53850"/>
    <n v="120"/>
    <s v="053850_120"/>
    <s v="Discovery Day"/>
    <s v="Mai valutato"/>
    <m/>
    <s v="202506138218303L"/>
    <n v="1203300002401"/>
    <n v="20250613"/>
    <s v="AA - Bonifico da e per estero "/>
    <m/>
    <s v="146 - COSTA D'AVORIO"/>
    <s v="A     - Avere"/>
    <n v="3967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x v="4"/>
    <x v="1"/>
    <x v="0"/>
    <n v="613876"/>
    <x v="1"/>
    <x v="0"/>
    <s v="999"/>
    <s v="500"/>
    <s v="500999"/>
    <m/>
    <s v="1"/>
    <s v="Classe di rischio 3"/>
  </r>
  <r>
    <n v="348971"/>
    <x v="4"/>
    <x v="4"/>
    <x v="22"/>
    <n v="53850"/>
    <n v="102"/>
    <s v="053850_102"/>
    <s v="Discovery Day"/>
    <s v="Mai valutato"/>
    <m/>
    <n v="202506138067362"/>
    <n v="1023300722320"/>
    <n v="20250613"/>
    <s v="13 - Addebito per estinzione assegno"/>
    <m/>
    <m/>
    <s v="D     - Dare"/>
    <n v="220000"/>
    <n v="0"/>
    <n v="72232"/>
    <s v="TRCMRA43M58A225A"/>
    <s v="TRICARICO MARIA"/>
    <s v="600 - Famiglie consumatrici"/>
    <m/>
    <s v="086 - ITALIA"/>
    <n v="133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970"/>
    <x v="3"/>
    <x v="3"/>
    <x v="22"/>
    <n v="53850"/>
    <n v="267"/>
    <s v="053850_267"/>
    <s v="Discovery Day"/>
    <s v="Mai valutato"/>
    <m/>
    <n v="202506138068290"/>
    <n v="2673300001267"/>
    <n v="20250613"/>
    <s v="G7 - Versamento assegno circolare altro intermediario "/>
    <m/>
    <m/>
    <s v="A     - Avere"/>
    <n v="141886.81"/>
    <n v="0"/>
    <n v="1643364"/>
    <s v="VLLRRN55B58I744N"/>
    <s v="VALELA' ROSARINA"/>
    <s v="600 - Famiglie consumatrici"/>
    <m/>
    <s v="086 - ITALIA"/>
    <n v="1832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969"/>
    <x v="5"/>
    <x v="5"/>
    <x v="22"/>
    <n v="53850"/>
    <n v="109"/>
    <s v="053850_109"/>
    <s v="Discovery Day"/>
    <s v="Mai valutato"/>
    <m/>
    <n v="202506138067913"/>
    <n v="1093306675356"/>
    <n v="20250613"/>
    <s v="D1 - Versamento di contante "/>
    <m/>
    <m/>
    <s v="A     - Avere"/>
    <n v="35100"/>
    <n v="35100"/>
    <n v="4976123"/>
    <n v="8630940727"/>
    <s v="FARMACIA TREGLIA S.R.L."/>
    <s v="430 - Imprese produttive"/>
    <s v="477 - COMMERCIO AL DETTAGLIO DI ALTRI PRODOTTI IN ESERCIZI SPECIALIZZATI"/>
    <s v="086 - ITALIA"/>
    <n v="502"/>
    <m/>
    <m/>
    <m/>
    <m/>
    <m/>
    <m/>
    <m/>
    <n v="0"/>
    <n v="202506"/>
    <x v="1"/>
    <x v="0"/>
    <x v="0"/>
    <n v="4976123"/>
    <x v="1"/>
    <x v="0"/>
    <s v="477"/>
    <s v="430"/>
    <s v="430477"/>
    <s v="Classe di rischio 3"/>
    <m/>
    <s v="Classe di rischio 3"/>
  </r>
  <r>
    <n v="348968"/>
    <x v="5"/>
    <x v="5"/>
    <x v="22"/>
    <n v="53850"/>
    <n v="190"/>
    <s v="053850_190"/>
    <s v="Discovery Day"/>
    <s v="Mai valutato"/>
    <m/>
    <n v="202506138067685"/>
    <n v="1903300007929"/>
    <n v="20250613"/>
    <s v="03 - Versamento contante cassa continua "/>
    <m/>
    <m/>
    <s v="A     - Avere"/>
    <n v="16800"/>
    <n v="16800"/>
    <n v="3034190"/>
    <s v="QRULBT64S59L049H"/>
    <s v="QUERO ELISABETTA"/>
    <s v="615 - Altre famiglie produttrici"/>
    <s v="477 - COMMERCIO AL DETTAGLIO DI ALTRI PRODOTTI IN ESERCIZI SPECIALIZZATI"/>
    <s v="086 - ITALIA"/>
    <n v="1361"/>
    <m/>
    <m/>
    <m/>
    <m/>
    <m/>
    <m/>
    <m/>
    <n v="0"/>
    <n v="202506"/>
    <x v="3"/>
    <x v="1"/>
    <x v="0"/>
    <n v="3034190"/>
    <x v="1"/>
    <x v="0"/>
    <s v="477"/>
    <s v="615"/>
    <s v="615477"/>
    <s v="Classe di rischio 6"/>
    <m/>
    <s v="Classe di rischio 6"/>
  </r>
  <r>
    <n v="348967"/>
    <x v="3"/>
    <x v="3"/>
    <x v="22"/>
    <n v="53850"/>
    <n v="170"/>
    <s v="053850_170"/>
    <s v="Discovery Day"/>
    <s v="Mai valutato"/>
    <m/>
    <n v="202506138068129"/>
    <n v="1703306287412"/>
    <n v="20250613"/>
    <s v="G7 - Versamento assegno circolare altro intermediario "/>
    <m/>
    <m/>
    <s v="A     - Avere"/>
    <n v="188729.33"/>
    <n v="0"/>
    <n v="4206289"/>
    <s v="FNDMRZ80T15A285V"/>
    <s v="FIANDANESE MAURIZIO"/>
    <s v="600 - Famiglie consumatrici"/>
    <m/>
    <s v="086 - ITALIA"/>
    <n v="147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966"/>
    <x v="4"/>
    <x v="4"/>
    <x v="22"/>
    <n v="53850"/>
    <n v="170"/>
    <s v="053850_170"/>
    <s v="Discovery Day"/>
    <s v="Mai valutato"/>
    <m/>
    <n v="202506138067021"/>
    <n v="1703306289070"/>
    <n v="20250613"/>
    <s v="48 - Bonifico in arrivo "/>
    <m/>
    <s v="086 - ITALIA"/>
    <s v="A     - Avere"/>
    <n v="246593.07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48965"/>
    <x v="5"/>
    <x v="5"/>
    <x v="22"/>
    <n v="53850"/>
    <n v="175"/>
    <s v="053850_175"/>
    <s v="Discovery Day"/>
    <s v="Mai valutato"/>
    <m/>
    <s v="Vari (13/06/2025)"/>
    <n v="1753302203965"/>
    <n v="20250613"/>
    <s v="D1 - Versamento di contante "/>
    <m/>
    <m/>
    <s v="A     - Avere"/>
    <n v="27295"/>
    <n v="27295"/>
    <n v="4932268"/>
    <n v="1360580771"/>
    <s v="MATERA PLAY 3 S.R.L."/>
    <s v="430 - Imprese produttive"/>
    <s v="920 - ATTIVITÀ RIGUARDANTI LE LOTTERIE, LE SCOMMESSE, LE CASE DA GIOCO"/>
    <s v="086 - ITALIA"/>
    <n v="1110"/>
    <m/>
    <m/>
    <m/>
    <m/>
    <m/>
    <m/>
    <m/>
    <n v="0"/>
    <n v="202506"/>
    <x v="4"/>
    <x v="1"/>
    <x v="0"/>
    <n v="4932268"/>
    <x v="1"/>
    <x v="0"/>
    <s v="920"/>
    <s v="430"/>
    <s v="430920"/>
    <s v="Classe di rischio 4"/>
    <m/>
    <s v="Classe di rischio 4"/>
  </r>
  <r>
    <n v="348964"/>
    <x v="4"/>
    <x v="4"/>
    <x v="22"/>
    <n v="53850"/>
    <n v="141"/>
    <s v="053850_141"/>
    <s v="Discovery Day"/>
    <s v="Mai valutato"/>
    <m/>
    <n v="202506138065787"/>
    <n v="1413300003855"/>
    <n v="20250613"/>
    <s v="26 - Bonifico in partenza "/>
    <m/>
    <s v="086 - ITALIA"/>
    <s v="D     - Da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48963"/>
    <x v="5"/>
    <x v="5"/>
    <x v="22"/>
    <n v="53850"/>
    <n v="171"/>
    <s v="053850_171"/>
    <s v="Discovery Day"/>
    <s v="Mai valutato"/>
    <m/>
    <s v="Vari (13/06/2025)"/>
    <n v="1713302214147"/>
    <n v="20250613"/>
    <s v="03 - Versamento contante cassa continua "/>
    <m/>
    <m/>
    <s v="A     - Avere"/>
    <n v="43830"/>
    <n v="4383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48962"/>
    <x v="5"/>
    <x v="5"/>
    <x v="22"/>
    <n v="53850"/>
    <n v="173"/>
    <s v="053850_173"/>
    <s v="Discovery Day"/>
    <s v="Mai valutato"/>
    <m/>
    <n v="202506138068139"/>
    <n v="1733302706246"/>
    <n v="20250613"/>
    <s v="D1 - Versamento di contante "/>
    <m/>
    <m/>
    <s v="A     - Avere"/>
    <n v="15200"/>
    <n v="15200"/>
    <n v="4972146"/>
    <s v="PLRGNN94P22E223K"/>
    <s v="PULIERO GIOVANNI"/>
    <s v="600 - Famiglie consumatrici"/>
    <m/>
    <s v="086 - ITALIA"/>
    <n v="564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48961"/>
    <x v="7"/>
    <x v="7"/>
    <x v="22"/>
    <n v="53850"/>
    <n v="99"/>
    <s v="053850_99"/>
    <s v="Discovery Day"/>
    <s v="Mai valutato"/>
    <m/>
    <n v="202506138067808"/>
    <m/>
    <n v="20250613"/>
    <s v="SPECIAL"/>
    <m/>
    <m/>
    <s v="D     - Dare"/>
    <n v="7502.77"/>
    <n v="0"/>
    <n v="4856954"/>
    <s v="PCRMNL92L71A225G"/>
    <s v="PICERNO MANUELA"/>
    <s v="600 - Famiglie consumatrici"/>
    <m/>
    <s v="086 - ITALIA"/>
    <n v="638"/>
    <m/>
    <m/>
    <m/>
    <m/>
    <m/>
    <m/>
    <m/>
    <n v="0"/>
    <n v="202506"/>
    <x v="2"/>
    <x v="1"/>
    <x v="1"/>
    <m/>
    <x v="0"/>
    <x v="1"/>
    <s v="999"/>
    <s v="600"/>
    <s v="600999"/>
    <s v="Classe di rischio 7"/>
    <m/>
    <s v="Classe di rischio 7"/>
  </r>
  <r>
    <n v="348960"/>
    <x v="4"/>
    <x v="4"/>
    <x v="22"/>
    <n v="53850"/>
    <n v="273"/>
    <s v="053850_273"/>
    <s v="Discovery Day"/>
    <s v="Mai valutato"/>
    <m/>
    <n v="202506138068322"/>
    <n v="2733300002819"/>
    <n v="20250613"/>
    <s v="SPECIAL"/>
    <m/>
    <m/>
    <s v="D     - Dare"/>
    <n v="11675.26"/>
    <n v="0"/>
    <n v="1681969"/>
    <s v="BZZRMR44C53F839W"/>
    <s v="BOZZELLI ROSAMARIA"/>
    <s v="600 - Famiglie consumatrici"/>
    <m/>
    <s v="086 - ITALIA"/>
    <n v="1752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48959"/>
    <x v="3"/>
    <x v="3"/>
    <x v="22"/>
    <n v="53850"/>
    <n v="267"/>
    <s v="053850_267"/>
    <s v="Discovery Day"/>
    <s v="Mai valutato"/>
    <m/>
    <n v="202506138068290"/>
    <n v="2673300001267"/>
    <n v="20250613"/>
    <s v="G7 - Versamento assegno circolare altro intermediario "/>
    <m/>
    <m/>
    <s v="A     - Avere"/>
    <n v="141886.81"/>
    <n v="0"/>
    <n v="1643258"/>
    <s v="VLLBRN48T02I744R"/>
    <s v="VALELA' BRUNO"/>
    <s v="600 - Famiglie consumatrici"/>
    <m/>
    <s v="086 - ITALIA"/>
    <n v="1832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958"/>
    <x v="5"/>
    <x v="5"/>
    <x v="22"/>
    <n v="53850"/>
    <n v="174"/>
    <s v="053850_174"/>
    <s v="Discovery Day"/>
    <s v="Mai valutato"/>
    <m/>
    <s v="Vari (13/06/2025)"/>
    <n v="1743302879903"/>
    <n v="20250613"/>
    <s v="VV"/>
    <m/>
    <m/>
    <s v="A     - Avere"/>
    <n v="55675.34"/>
    <n v="4140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6"/>
    <x v="2"/>
    <x v="1"/>
    <x v="0"/>
    <n v="4928259"/>
    <x v="1"/>
    <x v="1"/>
    <s v="463"/>
    <s v="430"/>
    <s v="430463"/>
    <s v="Classe di rischio 3"/>
    <m/>
    <s v="Classe di rischio 3"/>
  </r>
  <r>
    <n v="348957"/>
    <x v="7"/>
    <x v="7"/>
    <x v="22"/>
    <n v="53850"/>
    <n v="99"/>
    <s v="053850_99"/>
    <s v="Discovery Day"/>
    <s v="Mai valutato"/>
    <m/>
    <n v="202506138067810"/>
    <m/>
    <n v="20250613"/>
    <s v="SPECIAL"/>
    <m/>
    <m/>
    <s v="D     - Dare"/>
    <n v="77170.3"/>
    <n v="0"/>
    <n v="72722"/>
    <s v="CLMRSO39A68A225J"/>
    <s v="CALEMMA ROSA"/>
    <s v="600 - Famiglie consumatrici"/>
    <m/>
    <s v="086 - ITALIA"/>
    <n v="1335"/>
    <m/>
    <m/>
    <m/>
    <m/>
    <m/>
    <m/>
    <m/>
    <n v="0"/>
    <n v="202506"/>
    <x v="2"/>
    <x v="1"/>
    <x v="1"/>
    <m/>
    <x v="0"/>
    <x v="1"/>
    <s v="999"/>
    <s v="600"/>
    <s v="600999"/>
    <s v="Classe di rischio 7"/>
    <m/>
    <s v="Classe di rischio 7"/>
  </r>
  <r>
    <n v="348956"/>
    <x v="4"/>
    <x v="4"/>
    <x v="22"/>
    <n v="53850"/>
    <n v="120"/>
    <s v="053850_120"/>
    <s v="Discovery Day"/>
    <s v="Mai valutato"/>
    <m/>
    <n v="202506138066946"/>
    <n v="1203300002401"/>
    <n v="20250613"/>
    <s v="48 - Bonifico in arrivo "/>
    <m/>
    <s v="086 - ITALIA"/>
    <s v="A     - Avere"/>
    <n v="9247000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x v="4"/>
    <x v="1"/>
    <x v="0"/>
    <n v="613876"/>
    <x v="1"/>
    <x v="0"/>
    <s v="999"/>
    <s v="500"/>
    <s v="500999"/>
    <m/>
    <s v="1"/>
    <s v="Classe di rischio 3"/>
  </r>
  <r>
    <n v="348955"/>
    <x v="5"/>
    <x v="5"/>
    <x v="22"/>
    <n v="53850"/>
    <n v="114"/>
    <s v="053850_114"/>
    <s v="Discovery Day"/>
    <s v="Mai valutato"/>
    <m/>
    <n v="202506138067960"/>
    <n v="1143306280621"/>
    <n v="20250613"/>
    <s v="D1 - Versamento di contante "/>
    <m/>
    <m/>
    <s v="A     - Avere"/>
    <n v="48750"/>
    <n v="4875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x v="1"/>
    <x v="0"/>
    <x v="0"/>
    <n v="4658875"/>
    <x v="1"/>
    <x v="0"/>
    <s v="477"/>
    <s v="430"/>
    <s v="430477"/>
    <s v="Classe di rischio 3"/>
    <m/>
    <s v="Classe di rischio 3"/>
  </r>
  <r>
    <n v="348954"/>
    <x v="2"/>
    <x v="2"/>
    <x v="22"/>
    <n v="53850"/>
    <n v="270"/>
    <s v="053850_270"/>
    <s v="Discovery Day"/>
    <s v="Mai valutato"/>
    <m/>
    <n v="202506138067072"/>
    <n v="2703300001237"/>
    <n v="20250613"/>
    <s v="AA - Bonifico da e per estero "/>
    <m/>
    <s v="012 - BULGARIA"/>
    <s v="A     - Avere"/>
    <n v="6000"/>
    <n v="0"/>
    <n v="1634558"/>
    <n v="2513350690"/>
    <s v="CIVITARESE AUTO S.R.L.S."/>
    <s v="430 - Imprese produttive"/>
    <s v="451 - COMMERCIO DI AUTOVEICOLI"/>
    <s v="086 - ITALIA"/>
    <n v="1935"/>
    <m/>
    <m/>
    <m/>
    <m/>
    <m/>
    <m/>
    <m/>
    <n v="0"/>
    <n v="202506"/>
    <x v="4"/>
    <x v="1"/>
    <x v="0"/>
    <m/>
    <x v="0"/>
    <x v="0"/>
    <s v="451"/>
    <s v="430"/>
    <s v="430451"/>
    <s v="Classe di rischio 3"/>
    <m/>
    <s v="Classe di rischio 3"/>
  </r>
  <r>
    <n v="348953"/>
    <x v="4"/>
    <x v="4"/>
    <x v="22"/>
    <n v="53850"/>
    <n v="170"/>
    <s v="053850_170"/>
    <s v="Discovery Day"/>
    <s v="Mai valutato"/>
    <m/>
    <n v="202506138066990"/>
    <n v="1703306289070"/>
    <n v="20250613"/>
    <s v="48 - Bonifico in arrivo "/>
    <m/>
    <s v="086 - ITALIA"/>
    <s v="A     - Avere"/>
    <n v="246375.52"/>
    <n v="0"/>
    <n v="4423910"/>
    <s v="FGLRCR69H28A285U"/>
    <s v="FIGLIOLIA RICCARDO"/>
    <s v="600 - Famiglie consumatrici"/>
    <m/>
    <s v="086 - ITALIA"/>
    <n v="1476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48952"/>
    <x v="2"/>
    <x v="2"/>
    <x v="55"/>
    <n v="53850"/>
    <n v="129"/>
    <s v="053850_129"/>
    <s v="Discovery Day"/>
    <s v="Mai valutato"/>
    <m/>
    <n v="202506128063913"/>
    <n v="1293300002811"/>
    <n v="20250612"/>
    <s v="AA - Bonifico da e per estero "/>
    <m/>
    <s v="261 - CROAZIA"/>
    <s v="A     - Avere"/>
    <n v="21192.92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951"/>
    <x v="2"/>
    <x v="2"/>
    <x v="55"/>
    <n v="53850"/>
    <n v="273"/>
    <s v="053850_273"/>
    <s v="Discovery Day"/>
    <s v="Mai valutato"/>
    <m/>
    <n v="202506128062656"/>
    <n v="2733300011179"/>
    <n v="20250612"/>
    <s v="AA - Bonifico da e per estero "/>
    <m/>
    <s v="012 - BULGARIA"/>
    <s v="D     - Dare"/>
    <n v="25000"/>
    <n v="0"/>
    <n v="4973829"/>
    <n v="11952460969"/>
    <s v="NEXT -EG SRL"/>
    <s v="430 - Imprese produttive"/>
    <s v="284 - FABBRICAZIONE DI MACCHINE PER LA FORMATURA DEI METALLI E DI ALTRE MACCHINE UTENSILI"/>
    <s v="086 - ITALIA"/>
    <n v="1805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950"/>
    <x v="4"/>
    <x v="4"/>
    <x v="55"/>
    <n v="53850"/>
    <n v="175"/>
    <s v="053850_175"/>
    <s v="Discovery Day"/>
    <s v="Mai valutato"/>
    <m/>
    <n v="202506128065123"/>
    <n v="1753302205244"/>
    <n v="20250612"/>
    <s v="50 - Pagamenti diversi"/>
    <m/>
    <m/>
    <s v="D     - Dare"/>
    <n v="165984.04"/>
    <n v="0"/>
    <n v="4284103"/>
    <s v="CSNRNI78C71F052L"/>
    <s v="COSENTINO IRENE"/>
    <s v="600 - Famiglie consumatrici"/>
    <m/>
    <s v="086 - ITALIA"/>
    <n v="109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949"/>
    <x v="3"/>
    <x v="3"/>
    <x v="55"/>
    <n v="53850"/>
    <n v="106"/>
    <s v="053850_106"/>
    <s v="Discovery Day"/>
    <s v="Mai valutato"/>
    <m/>
    <n v="202506128064930"/>
    <n v="1063302771425"/>
    <n v="20250612"/>
    <s v="G8 - Versamento assegno circolare stesso intermediario"/>
    <m/>
    <m/>
    <s v="A     - Avere"/>
    <n v="118000"/>
    <n v="0"/>
    <n v="4533753"/>
    <s v="CLSNGL74H59A285B"/>
    <s v="COLASUONNO ANGELA"/>
    <s v="615 - Altre famiglie produttrici"/>
    <s v="692 - CONTABILITÀ, CONTROLLO E REVISIONE CONTABILE, CONSULENZA IN MATERIA FISCALE E DEL LAVORO"/>
    <s v="086 - ITALIA"/>
    <n v="1630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48948"/>
    <x v="3"/>
    <x v="3"/>
    <x v="55"/>
    <n v="53850"/>
    <n v="171"/>
    <s v="053850_171"/>
    <s v="Discovery Day"/>
    <s v="Mai valutato"/>
    <m/>
    <s v="Vari (12/06/2025)"/>
    <n v="1713302214147"/>
    <n v="20250612"/>
    <s v="03 - Versamento contante cassa continua "/>
    <m/>
    <m/>
    <s v="A     - Avere"/>
    <n v="119000"/>
    <n v="11900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48947"/>
    <x v="2"/>
    <x v="2"/>
    <x v="55"/>
    <n v="53850"/>
    <n v="271"/>
    <s v="053850_271"/>
    <s v="Discovery Day"/>
    <s v="Mai valutato"/>
    <m/>
    <n v="202506128064052"/>
    <n v="2713300010112"/>
    <n v="20250612"/>
    <s v="AA - Bonifico da e per estero "/>
    <m/>
    <s v="238 - ABU DHABI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6"/>
    <x v="0"/>
    <x v="0"/>
    <x v="0"/>
    <m/>
    <x v="0"/>
    <x v="0"/>
    <s v="999"/>
    <s v="615"/>
    <s v="615999"/>
    <m/>
    <s v="1"/>
    <s v="Classe di rischio 3"/>
  </r>
  <r>
    <n v="348946"/>
    <x v="4"/>
    <x v="4"/>
    <x v="55"/>
    <n v="53850"/>
    <n v="125"/>
    <s v="053850_125"/>
    <s v="Discovery Day"/>
    <s v="Mai valutato"/>
    <m/>
    <n v="202506128062688"/>
    <n v="1253300010173"/>
    <n v="20250612"/>
    <s v="26 - Bonifico in partenza "/>
    <m/>
    <s v="086 - ITALIA"/>
    <s v="D     - Dare"/>
    <n v="820180.79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48945"/>
    <x v="2"/>
    <x v="2"/>
    <x v="55"/>
    <n v="53850"/>
    <n v="168"/>
    <s v="053850_168"/>
    <s v="Discovery Day"/>
    <s v="Mai valutato"/>
    <m/>
    <s v="202506128145634L"/>
    <n v="1683306274557"/>
    <n v="20250612"/>
    <s v="AA - Bonifico da e per estero "/>
    <m/>
    <s v="012 - BULGARIA"/>
    <s v="D     - Dare"/>
    <n v="1450"/>
    <n v="0"/>
    <n v="4091384"/>
    <n v="5530850725"/>
    <s v="CARONE GIACOMA S.R.L."/>
    <s v="430 - Imprese produttive"/>
    <s v="494 - TRASPORTO DI MERCI SU STRADA E SERVIZI DI TRASLOCO"/>
    <s v="086 - ITALIA"/>
    <n v="192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944"/>
    <x v="6"/>
    <x v="6"/>
    <x v="55"/>
    <n v="53850"/>
    <n v="109"/>
    <s v="053850_109"/>
    <s v="Discovery Day"/>
    <s v="Mai valutato"/>
    <m/>
    <n v="202506128064054"/>
    <n v="1093306675068"/>
    <n v="20250612"/>
    <s v="AA - Bonifico da e per estero "/>
    <m/>
    <s v="016 - CINA"/>
    <s v="D     - Dare"/>
    <n v="47802.5"/>
    <n v="0"/>
    <n v="4960923"/>
    <n v="7910610729"/>
    <s v="GLOBAL FASHION S.R.L."/>
    <s v="430 - Imprese produttive"/>
    <s v="464 - COMMERCIO ALL'INGROSSO DI BENI DI CONSUMO FINALE"/>
    <s v="086 - ITALIA"/>
    <n v="1107"/>
    <m/>
    <m/>
    <m/>
    <m/>
    <m/>
    <m/>
    <m/>
    <n v="0"/>
    <n v="202506"/>
    <x v="4"/>
    <x v="1"/>
    <x v="0"/>
    <m/>
    <x v="0"/>
    <x v="0"/>
    <s v="464"/>
    <s v="430"/>
    <s v="430464"/>
    <s v="Classe di rischio 4"/>
    <m/>
    <s v="Classe di rischio 4"/>
  </r>
  <r>
    <n v="348943"/>
    <x v="3"/>
    <x v="3"/>
    <x v="55"/>
    <n v="53850"/>
    <n v="171"/>
    <s v="053850_171"/>
    <s v="Discovery Day"/>
    <s v="Mai valutato"/>
    <m/>
    <s v="Vari (12/06/2025)"/>
    <n v="1713305728950"/>
    <n v="20250612"/>
    <s v="03 - Versamento contante cassa continua "/>
    <m/>
    <m/>
    <s v="A     - Avere"/>
    <n v="411342.35"/>
    <n v="411342.3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48942"/>
    <x v="5"/>
    <x v="5"/>
    <x v="55"/>
    <n v="53850"/>
    <n v="269"/>
    <s v="053850_269"/>
    <s v="Discovery Day"/>
    <s v="Mai valutato"/>
    <m/>
    <s v="Vari (12/06/2025)"/>
    <n v="2693300001614"/>
    <n v="20250612"/>
    <s v="D1 - Versamento di contante "/>
    <m/>
    <m/>
    <s v="A     - Avere"/>
    <n v="39710"/>
    <n v="3971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6"/>
    <x v="4"/>
    <x v="1"/>
    <x v="0"/>
    <n v="1695085"/>
    <x v="1"/>
    <x v="0"/>
    <s v="999"/>
    <s v="615"/>
    <s v="615999"/>
    <m/>
    <s v="1"/>
    <s v="Classe di rischio 3"/>
  </r>
  <r>
    <n v="348941"/>
    <x v="4"/>
    <x v="4"/>
    <x v="55"/>
    <n v="53850"/>
    <n v="226"/>
    <s v="053850_226"/>
    <s v="Discovery Day"/>
    <s v="Mai valutato"/>
    <m/>
    <n v="202506128062973"/>
    <n v="2263300011983"/>
    <n v="20250612"/>
    <s v="48 - Bonifico in arrivo "/>
    <m/>
    <s v="086 - ITALIA"/>
    <s v="A     - Avere"/>
    <n v="14500000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x v="2"/>
    <x v="1"/>
    <x v="0"/>
    <m/>
    <x v="0"/>
    <x v="0"/>
    <s v="999"/>
    <s v="290"/>
    <s v="290999"/>
    <m/>
    <s v="1"/>
    <s v="Classe di rischio 0"/>
  </r>
  <r>
    <n v="348940"/>
    <x v="5"/>
    <x v="5"/>
    <x v="55"/>
    <n v="53850"/>
    <n v="102"/>
    <s v="053850_102"/>
    <s v="Discovery Day"/>
    <s v="Mai valutato"/>
    <m/>
    <s v="Vari (12/06/2025)"/>
    <n v="1023308723527"/>
    <n v="20250612"/>
    <s v="03 - Versamento contante cassa continua "/>
    <m/>
    <m/>
    <s v="A     - Avere"/>
    <n v="22005"/>
    <n v="22005"/>
    <n v="4883007"/>
    <n v="8028310723"/>
    <s v="FARMACIA SAN GIOVANNI BOSCO DEI DOTTORI LILI"/>
    <s v="492 - Quasi societa' non finanziarie altre - Unita' o societa' con meno di 20 addetti"/>
    <s v="477 - COMMERCIO AL DETTAGLIO DI ALTRI PRODOTTI IN ESERCIZI SPECIALIZZATI"/>
    <s v="086 - ITALIA"/>
    <n v="1949"/>
    <m/>
    <m/>
    <m/>
    <m/>
    <m/>
    <m/>
    <m/>
    <n v="0"/>
    <n v="202506"/>
    <x v="4"/>
    <x v="1"/>
    <x v="0"/>
    <n v="4883007"/>
    <x v="1"/>
    <x v="0"/>
    <s v="477"/>
    <s v="492"/>
    <s v="492477"/>
    <s v="Classe di rischio 5"/>
    <m/>
    <s v="Classe di rischio 5"/>
  </r>
  <r>
    <n v="348939"/>
    <x v="4"/>
    <x v="4"/>
    <x v="55"/>
    <n v="53850"/>
    <n v="192"/>
    <s v="053850_192"/>
    <s v="Discovery Day"/>
    <s v="Mai valutato"/>
    <m/>
    <n v="202506128065175"/>
    <n v="1923300183163"/>
    <n v="20250612"/>
    <s v="26 - Bonifico in partenza "/>
    <m/>
    <s v="086 - ITALIA"/>
    <s v="D     - Dare"/>
    <n v="1435000"/>
    <n v="0"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6"/>
    <x v="1"/>
    <x v="0"/>
    <x v="0"/>
    <n v="4695944"/>
    <x v="1"/>
    <x v="0"/>
    <s v="999"/>
    <s v="615"/>
    <s v="615999"/>
    <m/>
    <s v="1"/>
    <s v="Classe di rischio 3"/>
  </r>
  <r>
    <n v="348938"/>
    <x v="4"/>
    <x v="4"/>
    <x v="55"/>
    <n v="53850"/>
    <n v="226"/>
    <s v="053850_226"/>
    <s v="Discovery Day"/>
    <s v="Mai valutato"/>
    <m/>
    <n v="202506128062193"/>
    <n v="2263300011983"/>
    <n v="20250612"/>
    <s v="26 - Bonifico in partenza "/>
    <m/>
    <s v="086 - ITALIA"/>
    <s v="D     - Dare"/>
    <n v="2111394.35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x v="2"/>
    <x v="1"/>
    <x v="0"/>
    <m/>
    <x v="0"/>
    <x v="0"/>
    <s v="999"/>
    <s v="290"/>
    <s v="290999"/>
    <m/>
    <s v="1"/>
    <s v="Classe di rischio 0"/>
  </r>
  <r>
    <n v="348937"/>
    <x v="4"/>
    <x v="4"/>
    <x v="55"/>
    <n v="53850"/>
    <n v="125"/>
    <s v="053850_125"/>
    <s v="Discovery Day"/>
    <s v="Mai valutato"/>
    <m/>
    <n v="202506128062689"/>
    <n v="1253300010173"/>
    <n v="20250612"/>
    <s v="26 - Bonifico in partenza "/>
    <m/>
    <s v="086 - ITALIA"/>
    <s v="D     - Dare"/>
    <n v="541148.47"/>
    <n v="0"/>
    <n v="4209453"/>
    <n v="448310615"/>
    <s v="SO.FARMA.MORRA S.P.A."/>
    <s v="430 - Imprese produttive"/>
    <s v="464 - COMMERCIO ALL'INGROSSO DI BENI DI CONSUMO FINALE"/>
    <s v="086 - ITALIA"/>
    <n v="982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48936"/>
    <x v="2"/>
    <x v="2"/>
    <x v="55"/>
    <n v="53850"/>
    <n v="273"/>
    <s v="053850_273"/>
    <s v="Discovery Day"/>
    <s v="Mai valutato"/>
    <m/>
    <n v="202506128062655"/>
    <n v="2733300011179"/>
    <n v="20250612"/>
    <s v="AA - Bonifico da e per estero "/>
    <m/>
    <s v="012 - BULGARIA"/>
    <s v="D     - Dare"/>
    <n v="20000"/>
    <n v="0"/>
    <n v="4973829"/>
    <n v="11952460969"/>
    <s v="NEXT -EG SRL"/>
    <s v="430 - Imprese produttive"/>
    <s v="284 - FABBRICAZIONE DI MACCHINE PER LA FORMATURA DEI METALLI E DI ALTRE MACCHINE UTENSILI"/>
    <s v="086 - ITALIA"/>
    <n v="1805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935"/>
    <x v="5"/>
    <x v="5"/>
    <x v="55"/>
    <n v="53850"/>
    <n v="102"/>
    <s v="053850_102"/>
    <s v="Discovery Day"/>
    <s v="Mai valutato"/>
    <m/>
    <n v="202506128064468"/>
    <n v="1023308722503"/>
    <n v="20250612"/>
    <s v="03 - Versamento contante cassa continua "/>
    <m/>
    <m/>
    <s v="A     - Avere"/>
    <n v="21720"/>
    <n v="217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48934"/>
    <x v="3"/>
    <x v="3"/>
    <x v="55"/>
    <n v="53850"/>
    <n v="204"/>
    <s v="053850_204"/>
    <s v="Discovery Day"/>
    <s v="Mai valutato"/>
    <m/>
    <n v="202506128065217"/>
    <n v="2043300010790"/>
    <n v="20250612"/>
    <s v="G7 - Versamento assegno circolare altro intermediario "/>
    <m/>
    <m/>
    <s v="A     - Avere"/>
    <n v="157500"/>
    <n v="0"/>
    <n v="4362444"/>
    <s v="DFBVTR87P09E435N"/>
    <s v="DI FABIO VITTORIO"/>
    <s v="600 - Famiglie consumatrici"/>
    <m/>
    <s v="086 - ITALIA"/>
    <n v="128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933"/>
    <x v="2"/>
    <x v="2"/>
    <x v="55"/>
    <n v="53850"/>
    <n v="103"/>
    <s v="053850_103"/>
    <s v="Discovery Day"/>
    <s v="Mai valutato"/>
    <m/>
    <s v="202506128150298L"/>
    <n v="1033301641631"/>
    <n v="20250612"/>
    <s v="AA - Bonifico da e per estero "/>
    <m/>
    <s v="012 - BULGARIA"/>
    <s v="A     - Avere"/>
    <n v="1455.42"/>
    <n v="0"/>
    <n v="164163"/>
    <n v="3485840726"/>
    <s v="R.A.I. RICAMBI SRL"/>
    <s v="430 - Imprese produttive"/>
    <s v="453 - COMMERCIO DI PARTI E ACCESSORI DI AUTOVEICOLI"/>
    <s v="086 - ITALIA"/>
    <n v="1274"/>
    <m/>
    <m/>
    <m/>
    <m/>
    <m/>
    <m/>
    <m/>
    <n v="0"/>
    <n v="202506"/>
    <x v="2"/>
    <x v="1"/>
    <x v="0"/>
    <m/>
    <x v="0"/>
    <x v="0"/>
    <s v="453"/>
    <s v="430"/>
    <s v="430453"/>
    <s v="Classe di rischio 3"/>
    <m/>
    <s v="Classe di rischio 3"/>
  </r>
  <r>
    <n v="348932"/>
    <x v="5"/>
    <x v="5"/>
    <x v="55"/>
    <n v="53850"/>
    <n v="171"/>
    <s v="053850_171"/>
    <s v="Discovery Day"/>
    <s v="Mai valutato"/>
    <m/>
    <s v="Vari (12/06/2025)"/>
    <n v="1713302214147"/>
    <n v="20250612"/>
    <s v="03 - Versamento contante cassa continua "/>
    <m/>
    <m/>
    <s v="A     - Avere"/>
    <n v="119000"/>
    <n v="119000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48931"/>
    <x v="2"/>
    <x v="2"/>
    <x v="55"/>
    <n v="53850"/>
    <n v="226"/>
    <s v="053850_226"/>
    <s v="Discovery Day"/>
    <s v="Mai valutato"/>
    <m/>
    <n v="202506128062263"/>
    <n v="2263300011983"/>
    <n v="20250612"/>
    <s v="AA - Bonifico da e per estero "/>
    <m/>
    <s v="261 - CROAZIA"/>
    <s v="D     - Dare"/>
    <n v="27910.38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x v="2"/>
    <x v="1"/>
    <x v="0"/>
    <m/>
    <x v="0"/>
    <x v="0"/>
    <s v="999"/>
    <s v="290"/>
    <s v="290999"/>
    <m/>
    <s v="1"/>
    <s v="Classe di rischio 0"/>
  </r>
  <r>
    <n v="348930"/>
    <x v="4"/>
    <x v="4"/>
    <x v="55"/>
    <n v="53850"/>
    <n v="121"/>
    <s v="053850_121"/>
    <s v="Discovery Day"/>
    <s v="Mai valutato"/>
    <m/>
    <n v="202506128063030"/>
    <n v="1213300003612"/>
    <n v="20250612"/>
    <s v="48 - Bonifico in arrivo "/>
    <m/>
    <s v="086 - ITALIA"/>
    <s v="A     - Avere"/>
    <n v="115366.42"/>
    <n v="0"/>
    <n v="3745029"/>
    <s v="CRSCML62C41F839J"/>
    <s v="CRISCUOLO CARMELA"/>
    <s v="615 - Altre famiglie produttrici"/>
    <s v="477 - COMMERCIO AL DETTAGLIO DI ALTRI PRODOTTI IN ESERCIZI SPECIALIZZATI"/>
    <s v="086 - ITALIA"/>
    <n v="928"/>
    <m/>
    <m/>
    <m/>
    <m/>
    <m/>
    <m/>
    <m/>
    <n v="0"/>
    <n v="202506"/>
    <x v="2"/>
    <x v="1"/>
    <x v="0"/>
    <m/>
    <x v="0"/>
    <x v="0"/>
    <s v="477"/>
    <s v="615"/>
    <s v="615477"/>
    <s v="Classe di rischio 6"/>
    <m/>
    <s v="Classe di rischio 6"/>
  </r>
  <r>
    <n v="348929"/>
    <x v="2"/>
    <x v="2"/>
    <x v="55"/>
    <n v="53850"/>
    <n v="129"/>
    <s v="053850_129"/>
    <s v="Discovery Day"/>
    <s v="Mai valutato"/>
    <m/>
    <s v="202506128151402L"/>
    <n v="1293300002811"/>
    <n v="20250612"/>
    <s v="AA - Bonifico da e per estero "/>
    <m/>
    <s v="261 - CROAZIA"/>
    <s v="A     - Avere"/>
    <n v="3171.75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928"/>
    <x v="3"/>
    <x v="3"/>
    <x v="55"/>
    <n v="53850"/>
    <n v="132"/>
    <s v="053850_132"/>
    <s v="Discovery Day"/>
    <s v="Mai valutato"/>
    <m/>
    <n v="202506128065012"/>
    <n v="1323300002272"/>
    <n v="20250612"/>
    <s v="G7 - Versamento assegno circolare altro intermediario "/>
    <m/>
    <m/>
    <s v="A     - Avere"/>
    <n v="1160000"/>
    <n v="0"/>
    <n v="4846311"/>
    <n v="1788310769"/>
    <s v="ENERGIA E GAS SRL"/>
    <s v="430 - Imprese produttive"/>
    <s v="749 - ALTRE ATTIVITÀ PROFESSIONALI, SCIENTIFICHE E TECNICHE NCA"/>
    <s v="086 - ITALIA"/>
    <n v="195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927"/>
    <x v="7"/>
    <x v="7"/>
    <x v="55"/>
    <n v="53850"/>
    <n v="132"/>
    <s v="053850_132"/>
    <s v="Discovery Day"/>
    <s v="Mai valutato"/>
    <m/>
    <n v="202506128065014"/>
    <m/>
    <n v="20250612"/>
    <s v="F2 - Incasso assegno circolare stesso intermediario"/>
    <m/>
    <m/>
    <s v="D     - Dare"/>
    <n v="15005.07"/>
    <n v="14"/>
    <n v="4114660"/>
    <s v="DLZNTN56P10L738Z"/>
    <s v="DI LIZIA ANTONIO"/>
    <s v="600 - Famiglie consumatrici"/>
    <m/>
    <s v="086 - ITALIA"/>
    <m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48926"/>
    <x v="5"/>
    <x v="5"/>
    <x v="55"/>
    <n v="53850"/>
    <n v="171"/>
    <s v="053850_171"/>
    <s v="Discovery Day"/>
    <s v="Mai valutato"/>
    <m/>
    <s v="Vari (12/06/2025)"/>
    <n v="1713305728950"/>
    <n v="20250612"/>
    <s v="03 - Versamento contante cassa continua "/>
    <m/>
    <m/>
    <s v="A     - Avere"/>
    <n v="411342.35"/>
    <n v="411342.35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48925"/>
    <x v="5"/>
    <x v="5"/>
    <x v="55"/>
    <n v="53850"/>
    <n v="265"/>
    <s v="053850_265"/>
    <s v="Discovery Day"/>
    <s v="Mai valutato"/>
    <m/>
    <s v="Vari (12/06/2025)"/>
    <n v="2653300000199"/>
    <n v="20250612"/>
    <s v="D1 - Versamento di contante "/>
    <m/>
    <m/>
    <s v="A     - Avere"/>
    <n v="37500"/>
    <n v="37500"/>
    <n v="4823512"/>
    <n v="2745850731"/>
    <s v="MAZZOTTA CARMELO SAS DI VIGGIANO CATERINA"/>
    <s v="492 - Quasi societa' non finanziarie altre - Unita' o societa' con meno di 20 addetti"/>
    <s v="473 - COMMERCIO AL DETTAGLIO DI CARBURANTE PER AUTOTRAZIONE IN ESERCIZI SPECIALIZZATI"/>
    <s v="086 - ITALIA"/>
    <n v="1769"/>
    <m/>
    <m/>
    <m/>
    <m/>
    <m/>
    <m/>
    <m/>
    <n v="0"/>
    <n v="202506"/>
    <x v="4"/>
    <x v="1"/>
    <x v="0"/>
    <n v="4823512"/>
    <x v="1"/>
    <x v="0"/>
    <s v="999"/>
    <s v="492"/>
    <s v="492999"/>
    <m/>
    <s v="1"/>
    <s v="Classe di rischio 2"/>
  </r>
  <r>
    <n v="348924"/>
    <x v="2"/>
    <x v="2"/>
    <x v="55"/>
    <n v="53850"/>
    <n v="118"/>
    <s v="053850_118"/>
    <s v="Discovery Day"/>
    <s v="Mai valutato"/>
    <m/>
    <n v="202506128064045"/>
    <n v="1183306280497"/>
    <n v="20250612"/>
    <s v="AA - Bonifico da e per estero "/>
    <m/>
    <s v="051 - PANAMA"/>
    <s v="A     - Avere"/>
    <n v="6299.37"/>
    <n v="0"/>
    <n v="4992180"/>
    <n v="8763070722"/>
    <s v="FERRI 1956 SOCIETA' A RESPONSABILITA' LIMITATA"/>
    <s v="430 - Imprese produttive"/>
    <s v="310 - FABBRICAZIONE DI MOBILI"/>
    <s v="086 - ITALIA"/>
    <n v="164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923"/>
    <x v="3"/>
    <x v="3"/>
    <x v="56"/>
    <n v="53850"/>
    <n v="273"/>
    <s v="053850_273"/>
    <s v="Discovery Day"/>
    <s v="Mai valutato"/>
    <m/>
    <n v="202506118062086"/>
    <n v="2733300011950"/>
    <n v="20250611"/>
    <s v="G7 - Versamento assegno circolare altro intermediario "/>
    <m/>
    <m/>
    <s v="A     - Avere"/>
    <n v="196000"/>
    <n v="0"/>
    <n v="3730680"/>
    <n v="4508770718"/>
    <s v="IMMOBILIARE PALLETTA S.R.L."/>
    <s v="430 - Imprese produttive"/>
    <s v="682 - AFFITTO E GESTIONE DI IMMOBILI DI PROPRIETÀ O IN LEASING "/>
    <s v="086 - ITALIA"/>
    <n v="1801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922"/>
    <x v="5"/>
    <x v="5"/>
    <x v="56"/>
    <n v="53850"/>
    <n v="116"/>
    <s v="053850_116"/>
    <s v="Discovery Day"/>
    <s v="Mai valutato"/>
    <m/>
    <n v="202506118061485"/>
    <n v="2343300010453"/>
    <n v="20250611"/>
    <s v="03 - Versamento contante cassa continua "/>
    <m/>
    <m/>
    <s v="A     - Avere"/>
    <n v="87896.5"/>
    <n v="87896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921"/>
    <x v="4"/>
    <x v="4"/>
    <x v="56"/>
    <n v="53850"/>
    <n v="102"/>
    <s v="053850_102"/>
    <s v="Discovery Day"/>
    <s v="Mai valutato"/>
    <m/>
    <n v="202506118059615"/>
    <n v="1503300003188"/>
    <n v="20250611"/>
    <s v="26 - Bonifico in partenza "/>
    <m/>
    <s v="086 - ITALIA"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x v="2"/>
    <x v="1"/>
    <x v="0"/>
    <m/>
    <x v="0"/>
    <x v="0"/>
    <s v="999"/>
    <s v="259"/>
    <s v="259999"/>
    <m/>
    <s v="1"/>
    <s v="Classe di rischio 0"/>
  </r>
  <r>
    <n v="348920"/>
    <x v="3"/>
    <x v="3"/>
    <x v="56"/>
    <n v="53850"/>
    <n v="114"/>
    <s v="053850_114"/>
    <s v="Discovery Day"/>
    <s v="Mai valutato"/>
    <m/>
    <n v="202506118061751"/>
    <n v="1143306278902"/>
    <n v="20250611"/>
    <s v="G7 - Versamento assegno circolare altro intermediario "/>
    <m/>
    <m/>
    <s v="A     - Avere"/>
    <n v="125000"/>
    <n v="0"/>
    <n v="4210170"/>
    <s v="DMMLNE59P46D650K"/>
    <s v="DI MAMBRO ELENA"/>
    <s v="600 - Famiglie consumatrici"/>
    <m/>
    <s v="086 - ITALIA"/>
    <n v="907"/>
    <m/>
    <m/>
    <m/>
    <m/>
    <m/>
    <m/>
    <m/>
    <n v="0"/>
    <n v="202506"/>
    <x v="4"/>
    <x v="1"/>
    <x v="0"/>
    <m/>
    <x v="0"/>
    <x v="0"/>
    <s v="999"/>
    <s v="600"/>
    <s v="600999"/>
    <s v="Classe di rischio 7"/>
    <m/>
    <s v="Classe di rischio 7"/>
  </r>
  <r>
    <n v="348919"/>
    <x v="4"/>
    <x v="4"/>
    <x v="56"/>
    <n v="53850"/>
    <n v="149"/>
    <s v="053850_149"/>
    <s v="Discovery Day"/>
    <s v="Mai valutato"/>
    <m/>
    <n v="202506118061013"/>
    <n v="1490050026458"/>
    <n v="20250611"/>
    <s v="C2 - Trasf.titoli tra dossier(immissione) "/>
    <m/>
    <m/>
    <s v="A     - Ave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48918"/>
    <x v="4"/>
    <x v="4"/>
    <x v="56"/>
    <n v="53850"/>
    <n v="118"/>
    <s v="053850_118"/>
    <s v="Discovery Day"/>
    <s v="Mai valutato"/>
    <m/>
    <s v="202506118125074L"/>
    <n v="1183306278085"/>
    <n v="20250611"/>
    <s v="SPECIAL"/>
    <m/>
    <m/>
    <s v="D     - Dare"/>
    <n v="1787.56"/>
    <n v="0"/>
    <n v="490902"/>
    <s v="CRLGNN64B02A225F"/>
    <s v="CARLUCCI GIOVANNI"/>
    <s v="615 - Altre famiglie produttrici"/>
    <s v="472 - COMMERCIO AL DETTAGLIO DI PRODOTTI ALIMENTARI, BEVANDE E TABACCO IN ESERCIZI SPECIALIZZATI"/>
    <s v="086 - ITALIA"/>
    <n v="979"/>
    <m/>
    <m/>
    <m/>
    <m/>
    <m/>
    <m/>
    <m/>
    <n v="0"/>
    <n v="202506"/>
    <x v="3"/>
    <x v="1"/>
    <x v="0"/>
    <n v="490902"/>
    <x v="1"/>
    <x v="1"/>
    <s v="999"/>
    <s v="615"/>
    <s v="615999"/>
    <m/>
    <s v="1"/>
    <s v="Classe di rischio 3"/>
  </r>
  <r>
    <n v="348917"/>
    <x v="3"/>
    <x v="3"/>
    <x v="56"/>
    <n v="53850"/>
    <n v="108"/>
    <s v="053850_108"/>
    <s v="Discovery Day"/>
    <s v="Mai valutato"/>
    <m/>
    <s v="Vari (11/06/2025)"/>
    <n v="1083300011180"/>
    <n v="20250611"/>
    <s v="VV"/>
    <m/>
    <m/>
    <s v="A     - Avere"/>
    <n v="115507.85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916"/>
    <x v="4"/>
    <x v="4"/>
    <x v="56"/>
    <n v="53850"/>
    <n v="182"/>
    <s v="053850_182"/>
    <s v="Discovery Day"/>
    <s v="Mai valutato"/>
    <m/>
    <n v="202506118061965"/>
    <n v="1823300170963"/>
    <n v="20250611"/>
    <s v="54 - Incassi diversi"/>
    <m/>
    <m/>
    <s v="A     - Avere"/>
    <n v="210000"/>
    <n v="0"/>
    <n v="3001452"/>
    <s v="QRULND54E46L049Z"/>
    <s v="QUERO LINDA"/>
    <s v="600 - Famiglie consumatrici"/>
    <m/>
    <s v="086 - ITALIA"/>
    <n v="61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915"/>
    <x v="6"/>
    <x v="6"/>
    <x v="56"/>
    <n v="53850"/>
    <n v="268"/>
    <s v="053850_268"/>
    <s v="Discovery Day"/>
    <s v="Mai valutato"/>
    <m/>
    <n v="202506118060521"/>
    <n v="2683300005644"/>
    <n v="20250611"/>
    <s v="AA - Bonifico da e per estero "/>
    <m/>
    <s v="071 - SVIZZERA"/>
    <s v="A     - Avere"/>
    <n v="67000"/>
    <n v="0"/>
    <n v="1695582"/>
    <s v="SCRDNC52P13I744H"/>
    <s v="SCORDAMAGLIA DOMENICO"/>
    <s v="615 - Altre famiglie produttrici"/>
    <s v="691 - ATTIVITÀ DEGLI STUDI LEGALI"/>
    <s v="086 - ITALIA"/>
    <n v="1870"/>
    <m/>
    <m/>
    <m/>
    <m/>
    <m/>
    <m/>
    <m/>
    <n v="0"/>
    <n v="202506"/>
    <x v="1"/>
    <x v="0"/>
    <x v="0"/>
    <n v="1695582"/>
    <x v="1"/>
    <x v="0"/>
    <s v="999"/>
    <s v="615"/>
    <s v="615999"/>
    <m/>
    <s v="1"/>
    <s v="Classe di rischio 3"/>
  </r>
  <r>
    <n v="348914"/>
    <x v="3"/>
    <x v="3"/>
    <x v="56"/>
    <n v="53850"/>
    <n v="116"/>
    <s v="053850_116"/>
    <s v="Discovery Day"/>
    <s v="Mai valutato"/>
    <m/>
    <n v="202506118061485"/>
    <n v="2343300010453"/>
    <n v="20250611"/>
    <s v="03 - Versamento contante cassa continua "/>
    <m/>
    <m/>
    <s v="A     - Avere"/>
    <n v="87896.5"/>
    <n v="87896.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913"/>
    <x v="4"/>
    <x v="4"/>
    <x v="56"/>
    <n v="53850"/>
    <n v="200"/>
    <s v="053850_200"/>
    <s v="Discovery Day"/>
    <s v="Mai valutato"/>
    <m/>
    <n v="202506118062007"/>
    <n v="2003300003846"/>
    <n v="20250611"/>
    <s v="10 - Emisione assegni circolari e titoli similari vaglia"/>
    <m/>
    <m/>
    <s v="D     - Dare"/>
    <n v="295000"/>
    <n v="0"/>
    <n v="3742853"/>
    <s v="FNCTNA71L63Z614Z"/>
    <s v="FINOCCHIO TANIA"/>
    <s v="600 - Famiglie consumatrici"/>
    <m/>
    <s v="086 - ITALIA"/>
    <n v="1837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48912"/>
    <x v="5"/>
    <x v="5"/>
    <x v="56"/>
    <n v="53850"/>
    <n v="189"/>
    <s v="053850_189"/>
    <s v="Discovery Day"/>
    <s v="Mai valutato"/>
    <m/>
    <n v="202506118061974"/>
    <n v="1893300023546"/>
    <n v="20250611"/>
    <s v="D1 - Versamento di contante "/>
    <m/>
    <m/>
    <s v="A     - Avere"/>
    <n v="57070"/>
    <n v="5707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6"/>
    <x v="1"/>
    <x v="0"/>
    <x v="0"/>
    <n v="3064562"/>
    <x v="1"/>
    <x v="0"/>
    <s v="999"/>
    <s v="615"/>
    <s v="615999"/>
    <m/>
    <s v="1"/>
    <s v="Classe di rischio 3"/>
  </r>
  <r>
    <n v="348911"/>
    <x v="4"/>
    <x v="4"/>
    <x v="56"/>
    <n v="53850"/>
    <n v="161"/>
    <s v="053850_161"/>
    <s v="Discovery Day"/>
    <s v="Mai valutato"/>
    <m/>
    <n v="202506118059292"/>
    <n v="1613300029653"/>
    <n v="20250611"/>
    <s v="26 - Bonifico in partenza "/>
    <m/>
    <s v="086 - ITALIA"/>
    <s v="D     - Dare"/>
    <n v="700000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x v="1"/>
    <x v="0"/>
    <x v="0"/>
    <n v="4088769"/>
    <x v="1"/>
    <x v="0"/>
    <s v="464"/>
    <s v="430"/>
    <s v="430464"/>
    <s v="Classe di rischio 4"/>
    <m/>
    <s v="Classe di rischio 4"/>
  </r>
  <r>
    <n v="348910"/>
    <x v="4"/>
    <x v="4"/>
    <x v="56"/>
    <n v="53850"/>
    <n v="105"/>
    <s v="053850_105"/>
    <s v="Discovery Day"/>
    <s v="Mai valutato"/>
    <m/>
    <n v="202506118060359"/>
    <n v="1053300516650"/>
    <n v="20250611"/>
    <s v="48 - Bonifico in arrivo "/>
    <m/>
    <s v="086 - ITALIA"/>
    <s v="A     - Avere"/>
    <n v="225092.72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909"/>
    <x v="4"/>
    <x v="4"/>
    <x v="56"/>
    <n v="53850"/>
    <n v="200"/>
    <s v="053850_200"/>
    <s v="Discovery Day"/>
    <s v="Mai valutato"/>
    <m/>
    <n v="202506118062007"/>
    <n v="2003300003846"/>
    <n v="20250611"/>
    <s v="10 - Emisione assegni circolari e titoli similari vaglia"/>
    <m/>
    <m/>
    <s v="D     - Dare"/>
    <n v="295000"/>
    <n v="0"/>
    <n v="3742834"/>
    <s v="MRNFBN76S13E058P"/>
    <s v="MARINI FABIANO"/>
    <s v="600 - Famiglie consumatrici"/>
    <m/>
    <s v="086 - ITALIA"/>
    <n v="1837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48908"/>
    <x v="3"/>
    <x v="3"/>
    <x v="56"/>
    <n v="53850"/>
    <n v="102"/>
    <s v="053850_102"/>
    <s v="Discovery Day"/>
    <s v="Mai valutato"/>
    <m/>
    <n v="202506118061607"/>
    <n v="1023308720728"/>
    <n v="20250611"/>
    <s v="G7 - Versamento assegno circolare altro intermediario "/>
    <m/>
    <m/>
    <s v="A     - Avere"/>
    <n v="160000"/>
    <n v="0"/>
    <n v="558487"/>
    <s v="STRMRA70L46A225P"/>
    <s v="STORSILLO MARIA"/>
    <s v="600 - Famiglie consumatrici"/>
    <m/>
    <s v="086 - ITALIA"/>
    <n v="1648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907"/>
    <x v="2"/>
    <x v="2"/>
    <x v="56"/>
    <n v="53850"/>
    <n v="192"/>
    <s v="053850_192"/>
    <s v="Discovery Day"/>
    <s v="Mai valutato"/>
    <m/>
    <n v="202506118060766"/>
    <n v="1923300181730"/>
    <n v="20250611"/>
    <s v="AA - Bonifico da e per estero "/>
    <m/>
    <s v="091 - PRINCIPATO DI MONACO"/>
    <s v="A     - Avere"/>
    <n v="7180"/>
    <n v="0"/>
    <n v="4728790"/>
    <n v="7892320966"/>
    <s v="VAT ITALIA S.R.L."/>
    <s v="430 - Imprese produttive"/>
    <s v="702 - ATTIVITÀ DI CONSULENZA GESTIONALE"/>
    <s v="086 - ITALIA"/>
    <n v="190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906"/>
    <x v="5"/>
    <x v="5"/>
    <x v="56"/>
    <n v="53850"/>
    <n v="128"/>
    <s v="053850_128"/>
    <s v="Discovery Day"/>
    <s v="Mai valutato"/>
    <m/>
    <s v="Vari (11/06/2025)"/>
    <n v="1283300003941"/>
    <n v="20250611"/>
    <s v="03 - Versamento contante cassa continua "/>
    <m/>
    <m/>
    <s v="A     - Avere"/>
    <n v="48300"/>
    <n v="4830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x v="4"/>
    <x v="1"/>
    <x v="0"/>
    <n v="4916499"/>
    <x v="1"/>
    <x v="0"/>
    <s v="999"/>
    <s v="615"/>
    <s v="615999"/>
    <m/>
    <s v="1"/>
    <s v="Classe di rischio 3"/>
  </r>
  <r>
    <n v="348905"/>
    <x v="4"/>
    <x v="4"/>
    <x v="56"/>
    <n v="53850"/>
    <n v="182"/>
    <s v="053850_182"/>
    <s v="Discovery Day"/>
    <s v="Mai valutato"/>
    <m/>
    <n v="202506118061965"/>
    <n v="1823300170963"/>
    <n v="20250611"/>
    <s v="54 - Incassi diversi"/>
    <m/>
    <m/>
    <s v="A     - Avere"/>
    <n v="210000"/>
    <n v="0"/>
    <n v="3066145"/>
    <s v="LNCGPP50B01L294P"/>
    <s v="LONOCE GIUSEPPE"/>
    <s v="600 - Famiglie consumatrici"/>
    <m/>
    <s v="086 - ITALIA"/>
    <n v="61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904"/>
    <x v="5"/>
    <x v="5"/>
    <x v="56"/>
    <n v="53850"/>
    <n v="264"/>
    <s v="053850_264"/>
    <s v="Discovery Day"/>
    <s v="Mai valutato"/>
    <m/>
    <s v="Vari (11/06/2025)"/>
    <n v="2643300002171"/>
    <n v="20250611"/>
    <s v="03 - Versamento contante cassa continua "/>
    <m/>
    <m/>
    <s v="A     - Avere"/>
    <n v="31620"/>
    <n v="31620"/>
    <n v="1705273"/>
    <n v="1112900772"/>
    <s v="FARMACIA PALUMBO S.N.C DI PALUMBO ENRICO E ROSALBA"/>
    <s v="492 - Quasi societa' non finanziarie altre - Unita' o societa' con meno di 20 addetti"/>
    <s v="477 - COMMERCIO AL DETTAGLIO DI ALTRI PRODOTTI IN ESERCIZI SPECIALIZZATI"/>
    <s v="086 - ITALIA"/>
    <n v="936"/>
    <m/>
    <m/>
    <m/>
    <m/>
    <m/>
    <m/>
    <m/>
    <n v="0"/>
    <n v="202506"/>
    <x v="2"/>
    <x v="1"/>
    <x v="0"/>
    <n v="1705273"/>
    <x v="1"/>
    <x v="0"/>
    <s v="477"/>
    <s v="492"/>
    <s v="492477"/>
    <s v="Classe di rischio 5"/>
    <m/>
    <s v="Classe di rischio 5"/>
  </r>
  <r>
    <n v="348903"/>
    <x v="5"/>
    <x v="5"/>
    <x v="56"/>
    <n v="53850"/>
    <n v="102"/>
    <s v="053850_102"/>
    <s v="Discovery Day"/>
    <s v="Mai valutato"/>
    <m/>
    <s v="Vari (11/06/2025)"/>
    <n v="1023308722503"/>
    <n v="20250611"/>
    <s v="03 - Versamento contante cassa continua "/>
    <m/>
    <m/>
    <s v="A     - Avere"/>
    <n v="27020"/>
    <n v="270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48902"/>
    <x v="4"/>
    <x v="4"/>
    <x v="56"/>
    <n v="53850"/>
    <n v="173"/>
    <s v="053850_173"/>
    <s v="Discovery Day"/>
    <s v="Mai valutato"/>
    <m/>
    <n v="202506118061920"/>
    <n v="1733302704363"/>
    <n v="20250611"/>
    <s v="SPECIAL"/>
    <m/>
    <m/>
    <s v="D     - Dare"/>
    <n v="70990.02"/>
    <n v="0"/>
    <n v="4418266"/>
    <s v="VRNNCL42P19L425R"/>
    <s v="VERONICO NICOLA"/>
    <s v="600 - Famiglie consumatrici"/>
    <m/>
    <s v="086 - ITALIA"/>
    <n v="1179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901"/>
    <x v="6"/>
    <x v="6"/>
    <x v="56"/>
    <n v="53850"/>
    <n v="102"/>
    <s v="053850_102"/>
    <s v="Discovery Day"/>
    <s v="Mai valutato"/>
    <m/>
    <n v="202506118060760"/>
    <n v="1023304893170"/>
    <n v="20250611"/>
    <s v="AA - Bonifico da e per estero "/>
    <m/>
    <s v="076 - TURCHIA"/>
    <s v="D     - Dare"/>
    <n v="16645.89"/>
    <n v="0"/>
    <n v="489317"/>
    <n v="4213260724"/>
    <s v="EUROFLEX S.R.L."/>
    <s v="430 - Imprese produttive"/>
    <s v="464 - COMMERCIO ALL'INGROSSO DI BENI DI CONSUMO FINALE"/>
    <s v="086 - ITALIA"/>
    <n v="1203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48900"/>
    <x v="4"/>
    <x v="4"/>
    <x v="56"/>
    <n v="53850"/>
    <n v="102"/>
    <s v="053850_102"/>
    <s v="Discovery Day"/>
    <s v="Mai valutato"/>
    <m/>
    <n v="202506118061275"/>
    <n v="1503300003188"/>
    <n v="20250611"/>
    <s v="A7 - Erogazione finanziamenti diversi e prestiti personali"/>
    <m/>
    <m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x v="2"/>
    <x v="1"/>
    <x v="0"/>
    <m/>
    <x v="0"/>
    <x v="0"/>
    <s v="999"/>
    <s v="259"/>
    <s v="259999"/>
    <m/>
    <s v="1"/>
    <s v="Classe di rischio 0"/>
  </r>
  <r>
    <n v="348899"/>
    <x v="5"/>
    <x v="5"/>
    <x v="56"/>
    <n v="53850"/>
    <n v="192"/>
    <s v="053850_192"/>
    <s v="Discovery Day"/>
    <s v="Mai valutato"/>
    <m/>
    <s v="Vari (11/06/2025)"/>
    <n v="1923300179529"/>
    <n v="20250611"/>
    <s v="VV"/>
    <m/>
    <m/>
    <s v="A     - Avere"/>
    <n v="19265.419999999998"/>
    <n v="15250"/>
    <n v="4198198"/>
    <n v="1934960731"/>
    <s v="ITRIA PROFUMERIE DI CAMPANELLA DOMENICO E C. S.A.S."/>
    <s v="492 - Quasi societa' non finanziarie altre - Unita' o societa' con meno di 20 addetti"/>
    <s v="477 - COMMERCIO AL DETTAGLIO DI ALTRI PRODOTTI IN ESERCIZI SPECIALIZZATI"/>
    <s v="086 - ITALIA"/>
    <n v="1066"/>
    <m/>
    <m/>
    <m/>
    <m/>
    <m/>
    <m/>
    <m/>
    <n v="0"/>
    <n v="202506"/>
    <x v="2"/>
    <x v="1"/>
    <x v="0"/>
    <n v="4198198"/>
    <x v="1"/>
    <x v="1"/>
    <s v="477"/>
    <s v="492"/>
    <s v="492477"/>
    <s v="Classe di rischio 5"/>
    <m/>
    <s v="Classe di rischio 5"/>
  </r>
  <r>
    <n v="348898"/>
    <x v="4"/>
    <x v="4"/>
    <x v="56"/>
    <n v="53850"/>
    <n v="102"/>
    <s v="053850_102"/>
    <s v="Discovery Day"/>
    <s v="Mai valutato"/>
    <m/>
    <n v="202506118058928"/>
    <n v="1023302279020"/>
    <n v="20250611"/>
    <s v="39 - Disposizione per emolumenti"/>
    <m/>
    <m/>
    <s v="D     - Dare"/>
    <n v="469991.14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x v="2"/>
    <x v="1"/>
    <x v="0"/>
    <m/>
    <x v="0"/>
    <x v="0"/>
    <s v="493"/>
    <s v="430"/>
    <s v="430493"/>
    <s v="Classe di rischio 3"/>
    <m/>
    <s v="Classe di rischio 3"/>
  </r>
  <r>
    <n v="348897"/>
    <x v="3"/>
    <x v="3"/>
    <x v="56"/>
    <n v="53850"/>
    <n v="108"/>
    <s v="053850_108"/>
    <s v="Discovery Day"/>
    <s v="Mai valutato"/>
    <m/>
    <s v="Vari (11/06/2025)"/>
    <n v="1083306291105"/>
    <n v="20250611"/>
    <s v="VV"/>
    <m/>
    <m/>
    <s v="A     - Avere"/>
    <n v="109896.81"/>
    <n v="76840.7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48896"/>
    <x v="5"/>
    <x v="5"/>
    <x v="56"/>
    <n v="53850"/>
    <n v="108"/>
    <s v="053850_108"/>
    <s v="Discovery Day"/>
    <s v="Mai valutato"/>
    <m/>
    <s v="Vari (11/06/2025)"/>
    <n v="1083306291105"/>
    <n v="20250611"/>
    <s v="VV"/>
    <m/>
    <m/>
    <s v="A     - Avere"/>
    <n v="109896.81"/>
    <n v="76840.7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48895"/>
    <x v="4"/>
    <x v="4"/>
    <x v="56"/>
    <n v="53850"/>
    <n v="171"/>
    <s v="053850_171"/>
    <s v="Discovery Day"/>
    <s v="Mai valutato"/>
    <m/>
    <n v="202506118061914"/>
    <n v="1713302219286"/>
    <n v="20250611"/>
    <s v="26 - Bonifico in partenza "/>
    <m/>
    <s v="086 - ITALIA"/>
    <s v="D     - Dare"/>
    <n v="257000"/>
    <n v="0"/>
    <n v="4928601"/>
    <s v="MDGCMN86M64A662X"/>
    <s v="MODUGNO CARMEN"/>
    <s v="600 - Famiglie consumatrici"/>
    <m/>
    <s v="086 - ITALIA"/>
    <n v="856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48894"/>
    <x v="2"/>
    <x v="2"/>
    <x v="56"/>
    <n v="53850"/>
    <n v="129"/>
    <s v="053850_129"/>
    <s v="Discovery Day"/>
    <s v="Mai valutato"/>
    <m/>
    <s v="202506118126151L"/>
    <n v="1293300002811"/>
    <n v="20250611"/>
    <s v="AA - Bonifico da e per estero "/>
    <m/>
    <s v="261 - CROAZIA"/>
    <s v="A     - Avere"/>
    <n v="4732.6000000000004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893"/>
    <x v="3"/>
    <x v="3"/>
    <x v="56"/>
    <n v="53850"/>
    <n v="188"/>
    <s v="053850_188"/>
    <s v="Discovery Day"/>
    <s v="Mai valutato"/>
    <m/>
    <n v="202506118061973"/>
    <n v="1883309518885"/>
    <n v="20250611"/>
    <s v="G1 - Versamento assegni tratti su altro intermediario "/>
    <m/>
    <m/>
    <s v="A     - Avere"/>
    <n v="200000"/>
    <n v="0"/>
    <n v="3062147"/>
    <s v="FLLNNL64L68L049B"/>
    <s v="FULLONE ANTONELLA"/>
    <s v="615 - Altre famiglie produttrici"/>
    <s v="477 - COMMERCIO AL DETTAGLIO DI ALTRI PRODOTTI IN ESERCIZI SPECIALIZZATI"/>
    <s v="086 - ITALIA"/>
    <n v="637"/>
    <m/>
    <m/>
    <m/>
    <m/>
    <m/>
    <m/>
    <m/>
    <n v="0"/>
    <n v="202506"/>
    <x v="4"/>
    <x v="1"/>
    <x v="0"/>
    <n v="3062147"/>
    <x v="1"/>
    <x v="0"/>
    <s v="477"/>
    <s v="615"/>
    <s v="615477"/>
    <s v="Classe di rischio 6"/>
    <m/>
    <s v="Classe di rischio 6"/>
  </r>
  <r>
    <n v="348892"/>
    <x v="7"/>
    <x v="7"/>
    <x v="56"/>
    <n v="53850"/>
    <n v="103"/>
    <s v="053850_103"/>
    <s v="Discovery Day"/>
    <s v="Mai valutato"/>
    <m/>
    <n v="202506118061660"/>
    <m/>
    <n v="20250611"/>
    <s v="F3 - Cambio assegni tratti su altro intermediario "/>
    <m/>
    <m/>
    <s v="D     - Dare"/>
    <n v="50000"/>
    <n v="0"/>
    <n v="40743"/>
    <s v="GRSGNN48L21E155Y"/>
    <s v="GRASSI GIOVANNI"/>
    <s v="600 - Famiglie consumatrici"/>
    <m/>
    <s v="086 - ITALIA"/>
    <n v="407"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48891"/>
    <x v="4"/>
    <x v="4"/>
    <x v="56"/>
    <n v="53850"/>
    <n v="286"/>
    <s v="053850_286"/>
    <s v="Discovery Day"/>
    <s v="Mai valutato"/>
    <m/>
    <n v="202506118059843"/>
    <n v="2863300003269"/>
    <n v="20250611"/>
    <s v="48 - Bonifico in arrivo "/>
    <m/>
    <s v="086 - ITALIA"/>
    <s v="A     - Avere"/>
    <n v="1093229.97"/>
    <n v="0"/>
    <n v="1703846"/>
    <n v="2557890692"/>
    <s v="ENERGIE S.R.L."/>
    <s v="430 - Imprese produttive"/>
    <s v="351 - PRODUZIONE, TRASMISSIONE E DISTRIBUZIONE DI ENERGIA ELETTRICA"/>
    <s v="086 - ITALIA"/>
    <n v="187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48890"/>
    <x v="4"/>
    <x v="4"/>
    <x v="56"/>
    <n v="53850"/>
    <n v="102"/>
    <s v="053850_102"/>
    <s v="Discovery Day"/>
    <s v="Mai valutato"/>
    <m/>
    <n v="202506118060223"/>
    <n v="1023302279020"/>
    <n v="20250611"/>
    <s v="AA - Bonifico da e per estero "/>
    <m/>
    <s v="094 - GERMANIA"/>
    <s v="A     - Avere"/>
    <n v="700000"/>
    <n v="0"/>
    <n v="225102"/>
    <n v="3613570724"/>
    <s v="SOC. MARINO SRL"/>
    <s v="430 - Imprese produttive"/>
    <s v="493 - ALTRI TRASPORTI TERRESTRI DI PASSEGGERI"/>
    <s v="086 - ITALIA"/>
    <n v="1203"/>
    <m/>
    <m/>
    <m/>
    <m/>
    <m/>
    <m/>
    <m/>
    <n v="0"/>
    <n v="202506"/>
    <x v="2"/>
    <x v="1"/>
    <x v="0"/>
    <m/>
    <x v="0"/>
    <x v="0"/>
    <s v="493"/>
    <s v="430"/>
    <s v="430493"/>
    <s v="Classe di rischio 3"/>
    <m/>
    <s v="Classe di rischio 3"/>
  </r>
  <r>
    <n v="348889"/>
    <x v="5"/>
    <x v="5"/>
    <x v="56"/>
    <n v="53850"/>
    <n v="110"/>
    <s v="053850_110"/>
    <s v="Discovery Day"/>
    <s v="Mai valutato"/>
    <m/>
    <s v="Vari (11/06/2025)"/>
    <n v="1103300093700"/>
    <n v="20250611"/>
    <s v="VV"/>
    <m/>
    <m/>
    <s v="A     - Avere"/>
    <n v="44040.31"/>
    <n v="33045"/>
    <n v="4871243"/>
    <n v="7961820722"/>
    <s v="TRE PASCAL FRUIT S.A.S. DI PIAZZOLLA MATTEO &amp; C."/>
    <s v="492 - Quasi societa' non finanziarie altre - Unita' o societa' con meno di 20 addetti"/>
    <s v="463 - COMMERCIO ALL'INGROSSO DI PRODOTTI ALIMENTARI, BEVANDE E PRODOTTI DEL TABACCO"/>
    <s v="086 - ITALIA"/>
    <n v="746"/>
    <m/>
    <m/>
    <m/>
    <m/>
    <m/>
    <m/>
    <m/>
    <n v="0"/>
    <n v="202506"/>
    <x v="2"/>
    <x v="1"/>
    <x v="0"/>
    <n v="4871243"/>
    <x v="1"/>
    <x v="1"/>
    <s v="999"/>
    <s v="492"/>
    <s v="492999"/>
    <m/>
    <s v="1"/>
    <s v="Classe di rischio 2"/>
  </r>
  <r>
    <n v="348888"/>
    <x v="4"/>
    <x v="4"/>
    <x v="56"/>
    <n v="53850"/>
    <n v="149"/>
    <s v="053850_149"/>
    <s v="Discovery Day"/>
    <s v="Mai valutato"/>
    <m/>
    <n v="202506118061012"/>
    <n v="1490060046823"/>
    <n v="20250611"/>
    <s v="C1 - Trasferim.titoli tra dossier(uscita) "/>
    <m/>
    <m/>
    <s v="D     - Dare"/>
    <n v="200000"/>
    <n v="0"/>
    <n v="2011620"/>
    <s v="RMNMNL76B58F839W"/>
    <s v="ROMANO MANUELA"/>
    <s v="600 - Famiglie consumatrici"/>
    <m/>
    <s v="086 - ITALIA"/>
    <n v="1231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48887"/>
    <x v="4"/>
    <x v="4"/>
    <x v="56"/>
    <n v="53850"/>
    <n v="161"/>
    <s v="053850_161"/>
    <s v="Discovery Day"/>
    <s v="Mai valutato"/>
    <m/>
    <n v="202506118060648"/>
    <n v="1613300029653"/>
    <n v="20250611"/>
    <s v="48 - Bonifico in arrivo "/>
    <m/>
    <s v="086 - ITALIA"/>
    <s v="A     - Avere"/>
    <n v="400000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x v="1"/>
    <x v="0"/>
    <x v="0"/>
    <n v="4088769"/>
    <x v="1"/>
    <x v="0"/>
    <s v="464"/>
    <s v="430"/>
    <s v="430464"/>
    <s v="Classe di rischio 4"/>
    <m/>
    <s v="Classe di rischio 4"/>
  </r>
  <r>
    <n v="348886"/>
    <x v="5"/>
    <x v="5"/>
    <x v="56"/>
    <n v="53850"/>
    <n v="171"/>
    <s v="053850_171"/>
    <s v="Discovery Day"/>
    <s v="Mai valutato"/>
    <m/>
    <s v="Vari (11/06/2025)"/>
    <n v="1713302214147"/>
    <n v="20250611"/>
    <s v="03 - Versamento contante cassa continua "/>
    <m/>
    <m/>
    <s v="A     - Avere"/>
    <n v="58785"/>
    <n v="5878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48885"/>
    <x v="4"/>
    <x v="4"/>
    <x v="56"/>
    <n v="53850"/>
    <n v="102"/>
    <s v="053850_102"/>
    <s v="Discovery Day"/>
    <s v="Mai valutato"/>
    <m/>
    <n v="202506118061628"/>
    <n v="1603300002981"/>
    <n v="20250611"/>
    <s v="50 - Pagamenti diversi"/>
    <m/>
    <m/>
    <s v="D     - Da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x v="2"/>
    <x v="1"/>
    <x v="0"/>
    <m/>
    <x v="0"/>
    <x v="0"/>
    <s v="999"/>
    <s v="475"/>
    <s v="475999"/>
    <m/>
    <s v="1"/>
    <s v="Classe di rischio 1"/>
  </r>
  <r>
    <n v="348884"/>
    <x v="4"/>
    <x v="4"/>
    <x v="56"/>
    <n v="53850"/>
    <n v="136"/>
    <s v="053850_136"/>
    <s v="Discovery Day"/>
    <s v="Mai valutato"/>
    <m/>
    <n v="202506118060772"/>
    <n v="1361147800126"/>
    <n v="20250611"/>
    <s v="AA - Bonifico da e per estero "/>
    <m/>
    <s v="238 - ABU DHABI"/>
    <s v="D     - Dare"/>
    <n v="1149602.8999999999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48883"/>
    <x v="3"/>
    <x v="3"/>
    <x v="56"/>
    <n v="53850"/>
    <n v="114"/>
    <s v="053850_114"/>
    <s v="Discovery Day"/>
    <s v="Mai valutato"/>
    <m/>
    <n v="202506118061751"/>
    <n v="1143306278902"/>
    <n v="20250611"/>
    <s v="G7 - Versamento assegno circolare altro intermediario "/>
    <m/>
    <m/>
    <s v="A     - Avere"/>
    <n v="125000"/>
    <n v="0"/>
    <n v="4210168"/>
    <s v="SVNGTN61C07H882H"/>
    <s v="SAVINO AGOSTINO"/>
    <s v="600 - Famiglie consumatrici"/>
    <m/>
    <s v="086 - ITALIA"/>
    <n v="907"/>
    <m/>
    <m/>
    <m/>
    <m/>
    <m/>
    <m/>
    <m/>
    <n v="0"/>
    <n v="202506"/>
    <x v="4"/>
    <x v="1"/>
    <x v="0"/>
    <m/>
    <x v="0"/>
    <x v="0"/>
    <s v="999"/>
    <s v="600"/>
    <s v="600999"/>
    <s v="Classe di rischio 7"/>
    <m/>
    <s v="Classe di rischio 7"/>
  </r>
  <r>
    <n v="348882"/>
    <x v="2"/>
    <x v="2"/>
    <x v="56"/>
    <n v="53850"/>
    <n v="136"/>
    <s v="053850_136"/>
    <s v="Discovery Day"/>
    <s v="Mai valutato"/>
    <m/>
    <n v="202506118060772"/>
    <n v="1361147800126"/>
    <n v="20250611"/>
    <s v="AA - Bonifico da e per estero "/>
    <m/>
    <s v="238 - ABU DHABI"/>
    <s v="D     - Dare"/>
    <n v="1149602.8999999999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48881"/>
    <x v="4"/>
    <x v="4"/>
    <x v="56"/>
    <n v="53850"/>
    <n v="118"/>
    <s v="053850_118"/>
    <s v="Discovery Day"/>
    <s v="Mai valutato"/>
    <m/>
    <s v="202506118125074L"/>
    <n v="1183306278085"/>
    <n v="20250611"/>
    <s v="SPECIAL"/>
    <m/>
    <m/>
    <s v="D     - Dare"/>
    <n v="1787.56"/>
    <n v="0"/>
    <n v="196672"/>
    <s v="CRLCRN38P48A225G"/>
    <s v="CARLUCCI CATERINA MARIA"/>
    <s v="600 - Famiglie consumatrici"/>
    <m/>
    <s v="086 - ITALIA"/>
    <m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880"/>
    <x v="2"/>
    <x v="2"/>
    <x v="56"/>
    <n v="53850"/>
    <n v="104"/>
    <s v="053850_104"/>
    <s v="Discovery Day"/>
    <s v="Mai valutato"/>
    <m/>
    <n v="202506098058847"/>
    <n v="1043301449156"/>
    <n v="20250609"/>
    <s v="AA - Bonifico da e per estero "/>
    <m/>
    <s v="261 - CROAZIA"/>
    <s v="D     - Dare"/>
    <n v="56115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6"/>
    <x v="3"/>
    <x v="1"/>
    <x v="0"/>
    <m/>
    <x v="0"/>
    <x v="0"/>
    <s v="999"/>
    <s v="430"/>
    <s v="430999"/>
    <m/>
    <s v="1"/>
    <s v="Classe di rischio 1"/>
  </r>
  <r>
    <n v="348879"/>
    <x v="4"/>
    <x v="4"/>
    <x v="57"/>
    <n v="53850"/>
    <n v="103"/>
    <s v="053850_103"/>
    <s v="Discovery Day"/>
    <s v="Mai valutato"/>
    <m/>
    <n v="202506108056981"/>
    <n v="1033306974262"/>
    <n v="20250610"/>
    <s v="48 - Bonifico in arrivo "/>
    <m/>
    <s v="086 - ITALIA"/>
    <s v="A     - Avere"/>
    <n v="800000"/>
    <n v="0"/>
    <n v="4679373"/>
    <n v="3294040724"/>
    <s v="CEREAL - FER SEMENTI DI PANTONE DOMENICO&amp; C. S.N.C."/>
    <s v="492 - Quasi societa' non finanziarie altre - Unita' o societa' con meno di 20 addetti"/>
    <s v="016 - ATTIVITÀ DI SUPPORTO ALL'AGRICOLTURA E ATTIVITÀ SUCCESSIVE ALLA RACCOLTA"/>
    <s v="086 - ITALIA"/>
    <n v="1926"/>
    <m/>
    <m/>
    <m/>
    <m/>
    <m/>
    <m/>
    <m/>
    <n v="0"/>
    <n v="202506"/>
    <x v="2"/>
    <x v="1"/>
    <x v="0"/>
    <m/>
    <x v="0"/>
    <x v="0"/>
    <s v="999"/>
    <s v="492"/>
    <s v="492999"/>
    <m/>
    <s v="1"/>
    <s v="Classe di rischio 2"/>
  </r>
  <r>
    <n v="348878"/>
    <x v="4"/>
    <x v="4"/>
    <x v="57"/>
    <n v="53850"/>
    <n v="279"/>
    <s v="053850_279"/>
    <s v="Discovery Day"/>
    <s v="Mai valutato"/>
    <m/>
    <s v="202506108062576L"/>
    <n v="2793300010143"/>
    <n v="20250610"/>
    <s v="SPECIAL"/>
    <m/>
    <m/>
    <s v="D     - Dare"/>
    <n v="1256.45"/>
    <n v="0"/>
    <n v="4995791"/>
    <n v="17098181005"/>
    <s v="NAZIONALE 82 SOCIETA' A RESPONSABILITA' LIMITATA"/>
    <s v="430 - Imprese produttive"/>
    <s v="551 - ALBERGHI E STRUTTURE SIMILI"/>
    <s v="086 - ITALIA"/>
    <n v="1786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877"/>
    <x v="4"/>
    <x v="4"/>
    <x v="57"/>
    <n v="53850"/>
    <n v="102"/>
    <s v="053850_102"/>
    <s v="Discovery Day"/>
    <s v="Mai valutato"/>
    <m/>
    <n v="202506108057024"/>
    <n v="1603300002981"/>
    <n v="20250610"/>
    <s v="48 - Bonifico in arrivo "/>
    <m/>
    <s v="086 - ITALIA"/>
    <s v="A     - Avere"/>
    <n v="75195700.159999996"/>
    <n v="0"/>
    <n v="4990319"/>
    <n v="6655971007"/>
    <s v="ENEL ENERGIA S.P.A."/>
    <s v="475 - Imprese controllate dalle Amministrazioni centrali"/>
    <s v="351 - PRODUZIONE, TRASMISSIONE E DISTRIBUZIONE DI ENERGIA ELETTRICA"/>
    <s v="086 - ITALIA"/>
    <n v="739"/>
    <m/>
    <m/>
    <m/>
    <m/>
    <m/>
    <m/>
    <m/>
    <n v="0"/>
    <n v="202506"/>
    <x v="2"/>
    <x v="1"/>
    <x v="0"/>
    <m/>
    <x v="0"/>
    <x v="0"/>
    <s v="999"/>
    <s v="475"/>
    <s v="475999"/>
    <m/>
    <s v="1"/>
    <s v="Classe di rischio 1"/>
  </r>
  <r>
    <n v="348876"/>
    <x v="3"/>
    <x v="3"/>
    <x v="57"/>
    <n v="53850"/>
    <n v="121"/>
    <s v="053850_121"/>
    <s v="Discovery Day"/>
    <s v="Mai valutato"/>
    <m/>
    <s v="Vari (10/06/2025)"/>
    <n v="1213300002600"/>
    <n v="20250610"/>
    <s v="VV"/>
    <m/>
    <m/>
    <s v="A     - Avere"/>
    <n v="1045535.28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4"/>
    <x v="1"/>
    <x v="0"/>
    <m/>
    <x v="0"/>
    <x v="1"/>
    <s v="463"/>
    <s v="430"/>
    <s v="430463"/>
    <s v="Classe di rischio 3"/>
    <m/>
    <s v="Classe di rischio 3"/>
  </r>
  <r>
    <n v="348875"/>
    <x v="3"/>
    <x v="3"/>
    <x v="57"/>
    <n v="53850"/>
    <n v="121"/>
    <s v="053850_121"/>
    <s v="Discovery Day"/>
    <s v="Mai valutato"/>
    <m/>
    <s v="Vari (10/06/2025)"/>
    <n v="1213300002971"/>
    <n v="20250610"/>
    <s v="VV"/>
    <m/>
    <m/>
    <s v="A     - Avere"/>
    <n v="118962.43"/>
    <n v="0"/>
    <n v="4859756"/>
    <n v="7229510727"/>
    <s v="ORGANIZZAZIONE DI PRODUTTORI PUGLIAVIVA - SOCIETA' CONSORTILE AGRICOLA A R.L. IN"/>
    <s v="430 - Imprese produttive"/>
    <s v="016 - ATTIVITÀ DI SUPPORTO ALL'AGRICOLTURA E ATTIVITÀ SUCCESSIVE ALLA RACCOLTA"/>
    <s v="086 - ITALIA"/>
    <n v="1058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874"/>
    <x v="5"/>
    <x v="5"/>
    <x v="57"/>
    <n v="53850"/>
    <n v="181"/>
    <s v="053850_181"/>
    <s v="Discovery Day"/>
    <s v="Mai valutato"/>
    <m/>
    <n v="202506108058435"/>
    <n v="1813301028560"/>
    <n v="20250610"/>
    <s v="D1 - Versamento di contante "/>
    <m/>
    <m/>
    <s v="A     - Avere"/>
    <n v="28000"/>
    <n v="28000"/>
    <n v="454268"/>
    <s v="LNEDRN79E46L109G"/>
    <s v="LEONE ADRIANA"/>
    <s v="615 - Altre famiglie produttrici"/>
    <s v="477 - COMMERCIO AL DETTAGLIO DI ALTRI PRODOTTI IN ESERCIZI SPECIALIZZATI"/>
    <s v="086 - ITALIA"/>
    <n v="727"/>
    <m/>
    <m/>
    <m/>
    <m/>
    <m/>
    <m/>
    <m/>
    <n v="0"/>
    <n v="202506"/>
    <x v="1"/>
    <x v="0"/>
    <x v="0"/>
    <n v="454268"/>
    <x v="1"/>
    <x v="0"/>
    <s v="477"/>
    <s v="615"/>
    <s v="615477"/>
    <s v="Classe di rischio 6"/>
    <m/>
    <s v="Classe di rischio 6"/>
  </r>
  <r>
    <n v="348873"/>
    <x v="3"/>
    <x v="3"/>
    <x v="57"/>
    <n v="53850"/>
    <n v="103"/>
    <s v="053850_103"/>
    <s v="Discovery Day"/>
    <s v="Mai valutato"/>
    <m/>
    <n v="202506108058114"/>
    <n v="1033306986160"/>
    <n v="20250610"/>
    <s v="G8 - Versamento assegno circolare stesso intermediario"/>
    <m/>
    <m/>
    <s v="A     - Avere"/>
    <n v="141000"/>
    <n v="0"/>
    <n v="557564"/>
    <s v="TCCFMN66H47E155I"/>
    <s v="TUCCI FILOMENA"/>
    <s v="600 - Famiglie consumatrici"/>
    <m/>
    <s v="086 - ITALIA"/>
    <n v="51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872"/>
    <x v="4"/>
    <x v="4"/>
    <x v="57"/>
    <n v="53850"/>
    <n v="105"/>
    <s v="053850_105"/>
    <s v="Discovery Day"/>
    <s v="Mai valutato"/>
    <m/>
    <n v="202506108058130"/>
    <n v="1053300336450"/>
    <n v="20250610"/>
    <s v="54 - Incassi diversi"/>
    <m/>
    <m/>
    <s v="A     - Avere"/>
    <n v="158000"/>
    <n v="0"/>
    <n v="33645"/>
    <s v="RGGBRT36R11A662B"/>
    <s v="RUGGIERI UBERTO"/>
    <s v="600 - Famiglie consumatrici"/>
    <m/>
    <s v="086 - ITALIA"/>
    <n v="83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871"/>
    <x v="4"/>
    <x v="4"/>
    <x v="57"/>
    <n v="53850"/>
    <n v="149"/>
    <s v="053850_149"/>
    <s v="Discovery Day"/>
    <s v="Mai valutato"/>
    <m/>
    <s v="202506108063495L"/>
    <n v="1493300664043"/>
    <n v="20250610"/>
    <s v="SPECIAL"/>
    <m/>
    <m/>
    <s v="D     - Dare"/>
    <n v="3216.9"/>
    <n v="0"/>
    <n v="2012794"/>
    <s v="SNTCLG51T41F205C"/>
    <s v="SANTANDREA CARLA GRAZIELLA"/>
    <s v="600 - Famiglie consumatrici"/>
    <m/>
    <s v="086 - ITALIA"/>
    <n v="1046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870"/>
    <x v="5"/>
    <x v="5"/>
    <x v="57"/>
    <n v="53850"/>
    <n v="171"/>
    <s v="053850_171"/>
    <s v="Discovery Day"/>
    <s v="Mai valutato"/>
    <m/>
    <s v="Vari (10/06/2025)"/>
    <n v="1713305728950"/>
    <n v="20250610"/>
    <s v="03 - Versamento contante cassa continua "/>
    <m/>
    <m/>
    <s v="A     - Avere"/>
    <n v="191560"/>
    <n v="19156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48869"/>
    <x v="5"/>
    <x v="5"/>
    <x v="57"/>
    <n v="53850"/>
    <n v="148"/>
    <s v="053850_148"/>
    <s v="Discovery Day"/>
    <s v="Mai valutato"/>
    <m/>
    <n v="202506108058310"/>
    <n v="1483300010620"/>
    <n v="20250610"/>
    <s v="D1 - Versamento di contante "/>
    <m/>
    <m/>
    <s v="A     - Avere"/>
    <n v="24160"/>
    <n v="24160"/>
    <n v="4247284"/>
    <s v="PDLLSN78A61F839W"/>
    <s v="PADULA ALESSANDRA"/>
    <s v="615 - Altre famiglie produttrici"/>
    <s v="477 - COMMERCIO AL DETTAGLIO DI ALTRI PRODOTTI IN ESERCIZI SPECIALIZZATI"/>
    <s v="086 - ITALIA"/>
    <n v="1063"/>
    <m/>
    <m/>
    <m/>
    <m/>
    <m/>
    <m/>
    <m/>
    <n v="0"/>
    <n v="202506"/>
    <x v="1"/>
    <x v="0"/>
    <x v="0"/>
    <n v="4247284"/>
    <x v="1"/>
    <x v="0"/>
    <s v="477"/>
    <s v="615"/>
    <s v="615477"/>
    <s v="Classe di rischio 6"/>
    <m/>
    <s v="Classe di rischio 6"/>
  </r>
  <r>
    <n v="348868"/>
    <x v="7"/>
    <x v="7"/>
    <x v="57"/>
    <n v="53850"/>
    <n v="261"/>
    <s v="053850_261"/>
    <s v="Discovery Day"/>
    <s v="Mai valutato"/>
    <m/>
    <n v="202506108058512"/>
    <m/>
    <n v="20250610"/>
    <s v="F2 - Incasso assegno circolare stesso intermediario"/>
    <m/>
    <m/>
    <s v="D     - Dare"/>
    <n v="55010"/>
    <n v="0"/>
    <n v="4173710"/>
    <s v="CRFPLA68R16E335Y"/>
    <s v="CARFAGNA PAOLO"/>
    <s v="600 - Famiglie consumatrici"/>
    <m/>
    <s v="086 - ITALIA"/>
    <m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48867"/>
    <x v="4"/>
    <x v="4"/>
    <x v="57"/>
    <n v="53850"/>
    <n v="268"/>
    <s v="053850_268"/>
    <s v="Discovery Day"/>
    <s v="Mai valutato"/>
    <m/>
    <s v="202506108062657L"/>
    <n v="2683300000189"/>
    <n v="20250610"/>
    <s v="SPECIAL"/>
    <m/>
    <m/>
    <s v="D     - Dare"/>
    <n v="1039.8699999999999"/>
    <n v="0"/>
    <n v="1606414"/>
    <n v="1574540793"/>
    <s v="COLACCHIO FILIPPO - SRL"/>
    <s v="430 - Imprese produttive"/>
    <s v="475 - COMMERCIO AL DETTAGLIO DI ALTRI PRODOTTI PER USO DOMESTICO IN ESERCIZI SPECIALIZZATI"/>
    <s v="086 - ITALIA"/>
    <n v="1627"/>
    <m/>
    <m/>
    <m/>
    <m/>
    <m/>
    <m/>
    <m/>
    <n v="0"/>
    <n v="202506"/>
    <x v="2"/>
    <x v="1"/>
    <x v="0"/>
    <n v="1606414"/>
    <x v="1"/>
    <x v="1"/>
    <s v="999"/>
    <s v="430"/>
    <s v="430999"/>
    <m/>
    <s v="1"/>
    <s v="Classe di rischio 1"/>
  </r>
  <r>
    <n v="348866"/>
    <x v="4"/>
    <x v="4"/>
    <x v="57"/>
    <n v="53850"/>
    <n v="195"/>
    <s v="053850_195"/>
    <s v="Discovery Day"/>
    <s v="Mai valutato"/>
    <m/>
    <n v="202506108058045"/>
    <n v="1953300019387"/>
    <n v="20250610"/>
    <s v="SPECIAL"/>
    <m/>
    <m/>
    <s v="D     - Dare"/>
    <n v="9833.6"/>
    <n v="0"/>
    <n v="3006477"/>
    <s v="MPPGFR64S11G252V"/>
    <s v="MAPPA GIANFRANCO"/>
    <s v="600 - Famiglie consumatrici"/>
    <m/>
    <s v="086 - ITALIA"/>
    <n v="1463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865"/>
    <x v="5"/>
    <x v="5"/>
    <x v="57"/>
    <n v="53850"/>
    <n v="161"/>
    <s v="053850_161"/>
    <s v="Discovery Day"/>
    <s v="Mai valutato"/>
    <m/>
    <s v="Vari (10/06/2025)"/>
    <n v="1613300031333"/>
    <n v="20250610"/>
    <s v="VV"/>
    <m/>
    <m/>
    <s v="A     - Avere"/>
    <n v="41006.400000000001"/>
    <n v="3670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6"/>
    <x v="4"/>
    <x v="1"/>
    <x v="0"/>
    <n v="511904"/>
    <x v="1"/>
    <x v="1"/>
    <s v="999"/>
    <s v="615"/>
    <s v="615999"/>
    <m/>
    <s v="1"/>
    <s v="Classe di rischio 3"/>
  </r>
  <r>
    <n v="348864"/>
    <x v="3"/>
    <x v="3"/>
    <x v="57"/>
    <n v="53850"/>
    <n v="104"/>
    <s v="053850_104"/>
    <s v="Discovery Day"/>
    <s v="Mai valutato"/>
    <m/>
    <s v="Vari (10/06/2025)"/>
    <n v="1043304173550"/>
    <n v="20250610"/>
    <s v="VV"/>
    <m/>
    <m/>
    <s v="A     - Avere"/>
    <n v="106353.02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6"/>
    <x v="2"/>
    <x v="1"/>
    <x v="0"/>
    <n v="417355"/>
    <x v="1"/>
    <x v="1"/>
    <s v="464"/>
    <s v="430"/>
    <s v="430464"/>
    <s v="Classe di rischio 4"/>
    <m/>
    <s v="Classe di rischio 4"/>
  </r>
  <r>
    <n v="348863"/>
    <x v="4"/>
    <x v="4"/>
    <x v="57"/>
    <n v="53850"/>
    <n v="116"/>
    <s v="053850_116"/>
    <s v="Discovery Day"/>
    <s v="Mai valutato"/>
    <m/>
    <n v="202506108055575"/>
    <n v="2173300010307"/>
    <n v="20250610"/>
    <s v="26 - Bonifico in partenza "/>
    <m/>
    <s v="086 - ITALIA"/>
    <s v="D     - Dare"/>
    <n v="123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862"/>
    <x v="3"/>
    <x v="3"/>
    <x v="57"/>
    <n v="53850"/>
    <n v="161"/>
    <s v="053850_161"/>
    <s v="Discovery Day"/>
    <s v="Mai valutato"/>
    <m/>
    <s v="Vari (10/06/2025)"/>
    <n v="1613300029653"/>
    <n v="20250610"/>
    <s v="VV"/>
    <m/>
    <m/>
    <s v="A     - Avere"/>
    <n v="97229.53"/>
    <n v="86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x v="1"/>
    <x v="0"/>
    <x v="0"/>
    <n v="4088769"/>
    <x v="1"/>
    <x v="1"/>
    <s v="464"/>
    <s v="430"/>
    <s v="430464"/>
    <s v="Classe di rischio 4"/>
    <m/>
    <s v="Classe di rischio 4"/>
  </r>
  <r>
    <n v="348861"/>
    <x v="4"/>
    <x v="4"/>
    <x v="57"/>
    <n v="53850"/>
    <n v="187"/>
    <s v="053850_187"/>
    <s v="Discovery Day"/>
    <s v="Mai valutato"/>
    <m/>
    <n v="202506108055638"/>
    <n v="999361870311"/>
    <n v="20250610"/>
    <s v="26 - Bonifico in partenza "/>
    <m/>
    <s v="086 - ITALIA"/>
    <s v="D     - Dare"/>
    <n v="1362805.46"/>
    <n v="0"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6"/>
    <x v="1"/>
    <x v="0"/>
    <x v="0"/>
    <m/>
    <x v="0"/>
    <x v="0"/>
    <s v="999"/>
    <s v="173"/>
    <s v="173999"/>
    <s v="Classe di rischio 0"/>
    <m/>
    <s v="Classe di rischio 0"/>
  </r>
  <r>
    <n v="348860"/>
    <x v="5"/>
    <x v="5"/>
    <x v="57"/>
    <n v="53850"/>
    <n v="171"/>
    <s v="053850_171"/>
    <s v="Discovery Day"/>
    <s v="Mai valutato"/>
    <m/>
    <s v="Vari (10/06/2025)"/>
    <n v="1713302214147"/>
    <n v="20250610"/>
    <s v="03 - Versamento contante cassa continua "/>
    <m/>
    <m/>
    <s v="A     - Avere"/>
    <n v="48645"/>
    <n v="48645"/>
    <n v="4199319"/>
    <n v="6037810725"/>
    <s v="GESTFOOD - GESTIONE ALIMENTARE SOCIETA' A RESPONSABILITA' LIMITATA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48859"/>
    <x v="5"/>
    <x v="5"/>
    <x v="57"/>
    <n v="53850"/>
    <n v="259"/>
    <s v="053850_259"/>
    <s v="Discovery Day"/>
    <s v="Mai valutato"/>
    <m/>
    <n v="202506108057929"/>
    <n v="2593300000914"/>
    <n v="20250610"/>
    <s v="03 - Versamento contante cassa continua "/>
    <m/>
    <m/>
    <s v="A     - Avere"/>
    <n v="35300"/>
    <n v="35300"/>
    <n v="4960187"/>
    <n v="8510340725"/>
    <s v="FARMACIA SANT'ANDREA S.R.L."/>
    <s v="430 - Imprese produttive"/>
    <s v="477 - COMMERCIO AL DETTAGLIO DI ALTRI PRODOTTI IN ESERCIZI SPECIALIZZATI"/>
    <s v="086 - ITALIA"/>
    <n v="1578"/>
    <m/>
    <m/>
    <m/>
    <m/>
    <m/>
    <m/>
    <m/>
    <n v="0"/>
    <n v="202506"/>
    <x v="1"/>
    <x v="0"/>
    <x v="0"/>
    <n v="4960187"/>
    <x v="1"/>
    <x v="0"/>
    <s v="477"/>
    <s v="430"/>
    <s v="430477"/>
    <s v="Classe di rischio 3"/>
    <m/>
    <s v="Classe di rischio 3"/>
  </r>
  <r>
    <n v="348858"/>
    <x v="4"/>
    <x v="4"/>
    <x v="57"/>
    <n v="53850"/>
    <n v="259"/>
    <s v="053850_259"/>
    <s v="Discovery Day"/>
    <s v="Mai valutato"/>
    <m/>
    <n v="202506108056982"/>
    <n v="2593300001020"/>
    <n v="20250610"/>
    <s v="48 - Bonifico in arrivo "/>
    <m/>
    <s v="086 - ITALIA"/>
    <s v="A     - Avere"/>
    <n v="1400000"/>
    <n v="0"/>
    <n v="4983845"/>
    <n v="8480620726"/>
    <s v="ANGEL4FUTURE S.R.L."/>
    <s v="430 - Imprese produttive"/>
    <s v="620 - PRODUZIONE DI SOFTWARE, CONSULENZA INFORMATICA E ATTIVITÀ CONNESSE"/>
    <s v="086 - ITALIA"/>
    <n v="1058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48857"/>
    <x v="4"/>
    <x v="4"/>
    <x v="57"/>
    <n v="53850"/>
    <n v="149"/>
    <s v="053850_149"/>
    <s v="Discovery Day"/>
    <s v="Mai valutato"/>
    <m/>
    <s v="202506108063495L"/>
    <n v="1493300664043"/>
    <n v="20250610"/>
    <s v="SPECIAL"/>
    <m/>
    <m/>
    <s v="D     - Dare"/>
    <n v="3216.9"/>
    <n v="0"/>
    <n v="4383917"/>
    <s v="SNTRRT56L29F205W"/>
    <s v="SANTANDREA ROBERTO"/>
    <s v="600 - Famiglie consumatrici"/>
    <m/>
    <s v="086 - ITALIA"/>
    <n v="1046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856"/>
    <x v="4"/>
    <x v="4"/>
    <x v="57"/>
    <n v="53850"/>
    <n v="125"/>
    <s v="053850_125"/>
    <s v="Discovery Day"/>
    <s v="Mai valutato"/>
    <m/>
    <s v="202506108065837L"/>
    <n v="1253300002492"/>
    <n v="20250610"/>
    <s v="SPECIAL"/>
    <m/>
    <m/>
    <s v="D     - Dare"/>
    <n v="1472.69"/>
    <n v="0"/>
    <n v="4930799"/>
    <n v="5212370638"/>
    <s v="ISAIA E ISAIA S.P.A."/>
    <s v="430 - Imprese produttive"/>
    <s v="141 - CONFEZIONE DI ARTICOLI DI ABBIGLIAMENTO (ESCLUSO ABBIGLIAMENTO IN PELLICCIA)"/>
    <s v="086 - ITALIA"/>
    <n v="982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855"/>
    <x v="5"/>
    <x v="5"/>
    <x v="57"/>
    <n v="53850"/>
    <n v="116"/>
    <s v="053850_116"/>
    <s v="Discovery Day"/>
    <s v="Mai valutato"/>
    <m/>
    <n v="202506108057916"/>
    <n v="2343300010453"/>
    <n v="20250610"/>
    <s v="03 - Versamento contante cassa continua "/>
    <m/>
    <m/>
    <s v="A     - Avere"/>
    <n v="136096.6"/>
    <n v="136096.6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854"/>
    <x v="4"/>
    <x v="4"/>
    <x v="57"/>
    <n v="53850"/>
    <n v="196"/>
    <s v="053850_196"/>
    <s v="Discovery Day"/>
    <s v="Mai valutato"/>
    <m/>
    <s v="202506108062826L"/>
    <n v="1963302354339"/>
    <n v="20250610"/>
    <s v="SPECIAL"/>
    <m/>
    <m/>
    <s v="D     - Dare"/>
    <n v="1095.5999999999999"/>
    <n v="0"/>
    <n v="4943315"/>
    <n v="1578810713"/>
    <s v="MERCATONE M.D. DI MICHELE DI GIULIO E C.SAS"/>
    <s v="480 - Quasi societa' non finanziarie artigiane - Unita' o societa' con 20 o piu' addetti"/>
    <s v="471 - COMMERCIO AL DETTAGLIO IN ESERCIZI NON SPECIALIZZATI"/>
    <s v="086 - ITALIA"/>
    <n v="1453"/>
    <m/>
    <m/>
    <m/>
    <m/>
    <m/>
    <m/>
    <m/>
    <n v="0"/>
    <n v="202506"/>
    <x v="2"/>
    <x v="1"/>
    <x v="0"/>
    <m/>
    <x v="0"/>
    <x v="1"/>
    <s v="999"/>
    <s v="480"/>
    <s v="480999"/>
    <m/>
    <s v="1"/>
    <s v="Classe di rischio 2"/>
  </r>
  <r>
    <n v="348853"/>
    <x v="4"/>
    <x v="4"/>
    <x v="57"/>
    <n v="53850"/>
    <n v="268"/>
    <s v="053850_268"/>
    <s v="Discovery Day"/>
    <s v="Mai valutato"/>
    <m/>
    <s v="202506108062599L"/>
    <n v="2683300005043"/>
    <n v="20250610"/>
    <s v="SPECIAL"/>
    <m/>
    <m/>
    <s v="D     - Dare"/>
    <n v="1898.42"/>
    <n v="0"/>
    <n v="1687990"/>
    <n v="3703970792"/>
    <s v="IPER PER TE SRL"/>
    <s v="430 - Imprese produttive"/>
    <s v="471 - COMMERCIO AL DETTAGLIO IN ESERCIZI NON SPECIALIZZATI"/>
    <s v="086 - ITALIA"/>
    <n v="1891"/>
    <m/>
    <m/>
    <m/>
    <m/>
    <m/>
    <m/>
    <m/>
    <n v="0"/>
    <n v="202506"/>
    <x v="4"/>
    <x v="1"/>
    <x v="0"/>
    <n v="1687990"/>
    <x v="1"/>
    <x v="1"/>
    <s v="999"/>
    <s v="430"/>
    <s v="430999"/>
    <m/>
    <s v="1"/>
    <s v="Classe di rischio 1"/>
  </r>
  <r>
    <n v="348852"/>
    <x v="4"/>
    <x v="4"/>
    <x v="57"/>
    <n v="53850"/>
    <n v="147"/>
    <s v="053850_147"/>
    <s v="Discovery Day"/>
    <s v="Mai valutato"/>
    <m/>
    <n v="202506108058305"/>
    <n v="1473300001779"/>
    <n v="20250610"/>
    <s v="SPECIAL"/>
    <m/>
    <m/>
    <s v="D     - Dare"/>
    <n v="5331.37"/>
    <n v="0"/>
    <n v="4609332"/>
    <s v="LPZFNC93A41I234T"/>
    <s v="LOPEZ FRANCESCA"/>
    <s v="600 - Famiglie consumatrici"/>
    <m/>
    <s v="086 - ITALIA"/>
    <m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851"/>
    <x v="4"/>
    <x v="4"/>
    <x v="57"/>
    <n v="53850"/>
    <n v="149"/>
    <s v="053850_149"/>
    <s v="Discovery Day"/>
    <s v="Mai valutato"/>
    <m/>
    <s v="202506108063495L"/>
    <n v="1493300664043"/>
    <n v="20250610"/>
    <s v="SPECIAL"/>
    <m/>
    <m/>
    <s v="D     - Dare"/>
    <n v="3216.9"/>
    <n v="0"/>
    <n v="4230775"/>
    <s v="RSSLND30A58L665T"/>
    <s v="ROSSETTI IOLANDA"/>
    <s v="600 - Famiglie consumatrici"/>
    <m/>
    <s v="086 - ITALIA"/>
    <n v="1046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850"/>
    <x v="3"/>
    <x v="3"/>
    <x v="57"/>
    <n v="53850"/>
    <n v="174"/>
    <s v="053850_174"/>
    <s v="Discovery Day"/>
    <s v="Mai valutato"/>
    <m/>
    <n v="202506108058413"/>
    <n v="1933300021419"/>
    <n v="20250610"/>
    <s v="G2 - Versamento assegni tratti sullo stesso intermediario "/>
    <m/>
    <m/>
    <s v="A     - Avere"/>
    <n v="115000"/>
    <n v="0"/>
    <n v="4193406"/>
    <s v="DNSNDR74L09F376T"/>
    <s v="DANESE ANDREA"/>
    <s v="600 - Famiglie consumatrici"/>
    <m/>
    <s v="086 - ITALIA"/>
    <n v="158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849"/>
    <x v="7"/>
    <x v="7"/>
    <x v="57"/>
    <n v="53850"/>
    <n v="99"/>
    <s v="053850_99"/>
    <s v="Discovery Day"/>
    <s v="Mai valutato"/>
    <m/>
    <n v="202506108058046"/>
    <m/>
    <n v="20250610"/>
    <s v="SPECIAL"/>
    <m/>
    <m/>
    <s v="D     - Dare"/>
    <n v="9833.6"/>
    <n v="0"/>
    <n v="3006477"/>
    <s v="MPPGFR64S11G252V"/>
    <s v="MAPPA GIANFRANCO"/>
    <s v="600 - Famiglie consumatrici"/>
    <m/>
    <s v="086 - ITALIA"/>
    <n v="1463"/>
    <m/>
    <m/>
    <m/>
    <m/>
    <m/>
    <m/>
    <m/>
    <n v="0"/>
    <n v="202506"/>
    <x v="2"/>
    <x v="1"/>
    <x v="1"/>
    <m/>
    <x v="0"/>
    <x v="1"/>
    <s v="999"/>
    <s v="600"/>
    <s v="600999"/>
    <s v="Classe di rischio 7"/>
    <m/>
    <s v="Classe di rischio 7"/>
  </r>
  <r>
    <n v="348848"/>
    <x v="4"/>
    <x v="4"/>
    <x v="57"/>
    <n v="53850"/>
    <n v="109"/>
    <s v="053850_109"/>
    <s v="Discovery Day"/>
    <s v="Mai valutato"/>
    <m/>
    <s v="202506108066031L"/>
    <n v="1093306674452"/>
    <n v="20250610"/>
    <s v="SPECIAL"/>
    <m/>
    <m/>
    <s v="D     - Dare"/>
    <n v="2616.7199999999998"/>
    <n v="0"/>
    <n v="4924753"/>
    <n v="7222270725"/>
    <s v="NORTH STAR S.R.L."/>
    <s v="430 - Imprese produttive"/>
    <s v="551 - ALBERGHI E STRUTTURE SIMILI"/>
    <s v="086 - ITALIA"/>
    <n v="1903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847"/>
    <x v="7"/>
    <x v="7"/>
    <x v="57"/>
    <n v="53850"/>
    <n v="261"/>
    <s v="053850_261"/>
    <s v="Discovery Day"/>
    <s v="Mai valutato"/>
    <m/>
    <n v="202506108058511"/>
    <m/>
    <n v="20250610"/>
    <s v="F1 - Incasso assegno circolare altro intermediario"/>
    <m/>
    <m/>
    <s v="D     - Dare"/>
    <n v="19126.5"/>
    <n v="0"/>
    <n v="4173710"/>
    <s v="CRFPLA68R16E335Y"/>
    <s v="CARFAGNA PAOLO"/>
    <s v="600 - Famiglie consumatrici"/>
    <m/>
    <s v="086 - ITALIA"/>
    <m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48846"/>
    <x v="4"/>
    <x v="4"/>
    <x v="57"/>
    <n v="53850"/>
    <n v="164"/>
    <s v="053850_164"/>
    <s v="Discovery Day"/>
    <s v="Mai valutato"/>
    <m/>
    <n v="202506108058364"/>
    <n v="1643300370057"/>
    <n v="20250610"/>
    <s v="SPECIAL"/>
    <m/>
    <m/>
    <s v="D     - Dare"/>
    <n v="13210.56"/>
    <n v="0"/>
    <n v="816125"/>
    <s v="TDSFNC88R45H926X"/>
    <s v="TEDESCO FRANCESCA"/>
    <s v="600 - Famiglie consumatrici"/>
    <m/>
    <s v="086 - ITALIA"/>
    <n v="793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845"/>
    <x v="3"/>
    <x v="3"/>
    <x v="57"/>
    <n v="53850"/>
    <n v="196"/>
    <s v="053850_196"/>
    <s v="Discovery Day"/>
    <s v="Mai valutato"/>
    <m/>
    <n v="202506108058491"/>
    <n v="1963302353139"/>
    <n v="20250610"/>
    <s v="G1 - Versamento assegni tratti su altro intermediario "/>
    <m/>
    <m/>
    <s v="A     - Avere"/>
    <n v="116502.98"/>
    <n v="0"/>
    <n v="4799894"/>
    <n v="3147630713"/>
    <s v="TRAVERSI S.R.L."/>
    <s v="430 - Imprese produttive"/>
    <s v="104 - PRODUZIONE DI OLI E GRASSI VEGETALI E ANIMALI"/>
    <s v="086 - ITALIA"/>
    <n v="1453"/>
    <m/>
    <m/>
    <m/>
    <m/>
    <m/>
    <m/>
    <m/>
    <n v="0"/>
    <n v="202506"/>
    <x v="4"/>
    <x v="1"/>
    <x v="0"/>
    <m/>
    <x v="0"/>
    <x v="0"/>
    <s v="999"/>
    <s v="430"/>
    <s v="430999"/>
    <m/>
    <s v="1"/>
    <s v="Classe di rischio 1"/>
  </r>
  <r>
    <n v="348844"/>
    <x v="5"/>
    <x v="5"/>
    <x v="57"/>
    <n v="53850"/>
    <n v="108"/>
    <s v="053850_108"/>
    <s v="Discovery Day"/>
    <s v="Mai valutato"/>
    <m/>
    <n v="202506108058142"/>
    <n v="1083306291105"/>
    <n v="20250610"/>
    <s v="D1 - Versamento di contante "/>
    <m/>
    <m/>
    <s v="A     - Avere"/>
    <n v="90456.55"/>
    <n v="90456.5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0"/>
    <s v="999"/>
    <s v="430"/>
    <s v="430999"/>
    <m/>
    <s v="1"/>
    <s v="Classe di rischio 1"/>
  </r>
  <r>
    <n v="348843"/>
    <x v="7"/>
    <x v="7"/>
    <x v="57"/>
    <n v="53850"/>
    <n v="99"/>
    <s v="053850_99"/>
    <s v="Discovery Day"/>
    <s v="Mai valutato"/>
    <m/>
    <n v="202506108058047"/>
    <m/>
    <n v="20250610"/>
    <s v="SPECIAL"/>
    <m/>
    <m/>
    <s v="D     - Dare"/>
    <n v="9833.6"/>
    <n v="0"/>
    <n v="3006477"/>
    <s v="MPPGFR64S11G252V"/>
    <s v="MAPPA GIANFRANCO"/>
    <s v="600 - Famiglie consumatrici"/>
    <m/>
    <s v="086 - ITALIA"/>
    <n v="1463"/>
    <m/>
    <m/>
    <m/>
    <m/>
    <m/>
    <m/>
    <m/>
    <n v="0"/>
    <n v="202506"/>
    <x v="2"/>
    <x v="1"/>
    <x v="1"/>
    <m/>
    <x v="0"/>
    <x v="1"/>
    <s v="999"/>
    <s v="600"/>
    <s v="600999"/>
    <s v="Classe di rischio 7"/>
    <m/>
    <s v="Classe di rischio 7"/>
  </r>
  <r>
    <n v="348842"/>
    <x v="3"/>
    <x v="3"/>
    <x v="57"/>
    <n v="53850"/>
    <n v="116"/>
    <s v="053850_116"/>
    <s v="Discovery Day"/>
    <s v="Mai valutato"/>
    <m/>
    <n v="202506108058199"/>
    <n v="1163307623245"/>
    <n v="20250610"/>
    <s v="G7 - Versamento assegno circolare altro intermediario "/>
    <m/>
    <m/>
    <s v="A     - Avere"/>
    <n v="261560"/>
    <n v="0"/>
    <n v="3725043"/>
    <n v="8672980722"/>
    <s v="FUTUREHOME SRL"/>
    <s v="430 - Imprese produttive"/>
    <s v="412 - COSTRUZIONE DI EDIFICI RESIDENZIALI E NON RESIDENZIALI"/>
    <s v="086 - ITALIA"/>
    <n v="1919"/>
    <m/>
    <m/>
    <m/>
    <m/>
    <m/>
    <m/>
    <m/>
    <n v="0"/>
    <n v="202506"/>
    <x v="2"/>
    <x v="1"/>
    <x v="0"/>
    <m/>
    <x v="0"/>
    <x v="0"/>
    <s v="412"/>
    <s v="430"/>
    <s v="430412"/>
    <s v="Classe di rischio 3"/>
    <m/>
    <s v="Classe di rischio 3"/>
  </r>
  <r>
    <n v="348841"/>
    <x v="5"/>
    <x v="5"/>
    <x v="57"/>
    <n v="53850"/>
    <n v="118"/>
    <s v="053850_118"/>
    <s v="Discovery Day"/>
    <s v="Mai valutato"/>
    <m/>
    <n v="202506108057381"/>
    <n v="1023308722503"/>
    <n v="20250610"/>
    <s v="03 - Versamento contante cassa continua "/>
    <m/>
    <m/>
    <s v="A     - Avere"/>
    <n v="18800"/>
    <n v="188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48840"/>
    <x v="4"/>
    <x v="4"/>
    <x v="57"/>
    <n v="53850"/>
    <n v="109"/>
    <s v="053850_109"/>
    <s v="Discovery Day"/>
    <s v="Mai valutato"/>
    <m/>
    <s v="202506108066023L"/>
    <n v="1093306672791"/>
    <n v="20250610"/>
    <s v="SPECIAL"/>
    <m/>
    <m/>
    <s v="D     - Dare"/>
    <n v="1248.1500000000001"/>
    <n v="0"/>
    <n v="4711527"/>
    <n v="6286800724"/>
    <s v="MERCANTILE SOCIETA' A RESPONSABILITA'LIMITATA"/>
    <s v="430 - Imprese produttive"/>
    <s v="561 - RISTORANTI E ATTIVITÀ DI RISTORAZIONE MOBILE"/>
    <s v="086 - ITALIA"/>
    <n v="502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839"/>
    <x v="4"/>
    <x v="4"/>
    <x v="57"/>
    <n v="53850"/>
    <n v="110"/>
    <s v="053850_110"/>
    <s v="Discovery Day"/>
    <s v="Mai valutato"/>
    <m/>
    <n v="202506108058174"/>
    <n v="1103306284439"/>
    <n v="20250610"/>
    <s v="SPECIAL"/>
    <m/>
    <m/>
    <s v="D     - Dare"/>
    <n v="35138.76"/>
    <n v="0"/>
    <n v="548785"/>
    <s v="VLNLRD36H46A669Y"/>
    <s v="VIOLANTE ALFREDINA"/>
    <s v="600 - Famiglie consumatrici"/>
    <m/>
    <s v="086 - ITALIA"/>
    <n v="1072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838"/>
    <x v="5"/>
    <x v="5"/>
    <x v="57"/>
    <n v="53850"/>
    <n v="195"/>
    <s v="053850_195"/>
    <s v="Discovery Day"/>
    <s v="Mai valutato"/>
    <m/>
    <s v="Vari (10/06/2025)"/>
    <n v="1953300026976"/>
    <n v="20250610"/>
    <s v="03 - Versamento contante cassa continua "/>
    <m/>
    <m/>
    <s v="A     - Avere"/>
    <n v="44000"/>
    <n v="44000"/>
    <n v="4081785"/>
    <s v="DGSNGL77E03F027Z"/>
    <s v="D'AGOSTINO ANGELO"/>
    <s v="615 - Altre famiglie produttrici"/>
    <s v="475 - COMMERCIO AL DETTAGLIO DI ALTRI PRODOTTI PER USO DOMESTICO IN ESERCIZI SPECIALIZZATI"/>
    <s v="086 - ITALIA"/>
    <n v="938"/>
    <m/>
    <m/>
    <m/>
    <m/>
    <m/>
    <m/>
    <m/>
    <n v="0"/>
    <n v="202506"/>
    <x v="4"/>
    <x v="1"/>
    <x v="0"/>
    <n v="4081785"/>
    <x v="1"/>
    <x v="0"/>
    <s v="999"/>
    <s v="615"/>
    <s v="615999"/>
    <m/>
    <s v="1"/>
    <s v="Classe di rischio 3"/>
  </r>
  <r>
    <n v="348837"/>
    <x v="3"/>
    <x v="3"/>
    <x v="57"/>
    <n v="53850"/>
    <n v="103"/>
    <s v="053850_103"/>
    <s v="Discovery Day"/>
    <s v="Mai valutato"/>
    <m/>
    <n v="202506108058114"/>
    <n v="1033306986160"/>
    <n v="20250610"/>
    <s v="G8 - Versamento assegno circolare stesso intermediario"/>
    <m/>
    <m/>
    <s v="A     - Avere"/>
    <n v="141000"/>
    <n v="0"/>
    <n v="606758"/>
    <s v="TCCGRZ65C62E155O"/>
    <s v="TUCCI GRAZIA"/>
    <s v="600 - Famiglie consumatrici"/>
    <m/>
    <s v="086 - ITALIA"/>
    <n v="1224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836"/>
    <x v="3"/>
    <x v="3"/>
    <x v="57"/>
    <n v="53850"/>
    <n v="103"/>
    <s v="053850_103"/>
    <s v="Discovery Day"/>
    <s v="Mai valutato"/>
    <m/>
    <n v="202506108058114"/>
    <n v="1033306986160"/>
    <n v="20250610"/>
    <s v="G8 - Versamento assegno circolare stesso intermediario"/>
    <m/>
    <m/>
    <s v="A     - Avere"/>
    <n v="141000"/>
    <n v="0"/>
    <n v="4041365"/>
    <s v="TCCGPP74M66E155X"/>
    <s v="TUCCI GIUSEPPIN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835"/>
    <x v="5"/>
    <x v="5"/>
    <x v="57"/>
    <n v="53850"/>
    <n v="167"/>
    <s v="053850_167"/>
    <s v="Discovery Day"/>
    <s v="Mai valutato"/>
    <m/>
    <n v="202506108058372"/>
    <n v="1673301673746"/>
    <n v="20250610"/>
    <s v="D1 - Versamento di contante "/>
    <m/>
    <m/>
    <s v="A     - Avere"/>
    <n v="25000"/>
    <n v="25000"/>
    <n v="133153"/>
    <s v="MNTFNC36C28E155D"/>
    <s v="MONTEMURRO FRANCESCO"/>
    <s v="600 - Famiglie consumatrici"/>
    <m/>
    <s v="086 - ITALIA"/>
    <n v="142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834"/>
    <x v="3"/>
    <x v="3"/>
    <x v="57"/>
    <n v="53850"/>
    <n v="116"/>
    <s v="053850_116"/>
    <s v="Discovery Day"/>
    <s v="Mai valutato"/>
    <m/>
    <n v="202506108057916"/>
    <n v="2343300010453"/>
    <n v="20250610"/>
    <s v="03 - Versamento contante cassa continua "/>
    <m/>
    <m/>
    <s v="A     - Avere"/>
    <n v="136096.6"/>
    <n v="136096.6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833"/>
    <x v="3"/>
    <x v="3"/>
    <x v="57"/>
    <n v="53850"/>
    <n v="103"/>
    <s v="053850_103"/>
    <s v="Discovery Day"/>
    <s v="Mai valutato"/>
    <m/>
    <n v="202506108058114"/>
    <n v="1033306986160"/>
    <n v="20250610"/>
    <s v="G8 - Versamento assegno circolare stesso intermediario"/>
    <m/>
    <m/>
    <s v="A     - Avere"/>
    <n v="141000"/>
    <n v="0"/>
    <n v="4055669"/>
    <s v="TCCMRA71T42E155A"/>
    <s v="TUCCI MARI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832"/>
    <x v="4"/>
    <x v="4"/>
    <x v="57"/>
    <n v="53850"/>
    <n v="161"/>
    <s v="053850_161"/>
    <s v="Discovery Day"/>
    <s v="Mai valutato"/>
    <m/>
    <n v="202506108057656"/>
    <n v="1613300029653"/>
    <n v="20250610"/>
    <s v="50 - Pagamenti diversi"/>
    <m/>
    <m/>
    <s v="D     - Dare"/>
    <n v="434214.95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x v="1"/>
    <x v="0"/>
    <x v="0"/>
    <n v="4088769"/>
    <x v="1"/>
    <x v="0"/>
    <s v="464"/>
    <s v="430"/>
    <s v="430464"/>
    <s v="Classe di rischio 4"/>
    <m/>
    <s v="Classe di rischio 4"/>
  </r>
  <r>
    <n v="348831"/>
    <x v="3"/>
    <x v="3"/>
    <x v="57"/>
    <n v="53850"/>
    <n v="171"/>
    <s v="053850_171"/>
    <s v="Discovery Day"/>
    <s v="Mai valutato"/>
    <m/>
    <s v="Vari (10/06/2025)"/>
    <n v="1713305728950"/>
    <n v="20250610"/>
    <s v="03 - Versamento contante cassa continua "/>
    <m/>
    <m/>
    <s v="A     - Avere"/>
    <n v="191560"/>
    <n v="191560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48830"/>
    <x v="3"/>
    <x v="3"/>
    <x v="57"/>
    <n v="53850"/>
    <n v="121"/>
    <s v="053850_121"/>
    <s v="Discovery Day"/>
    <s v="Mai valutato"/>
    <m/>
    <n v="202506108058216"/>
    <n v="1213300010279"/>
    <n v="20250610"/>
    <s v="G1 - Versamento assegni tratti su altro intermediario "/>
    <m/>
    <m/>
    <s v="A     - Avere"/>
    <n v="100000"/>
    <n v="0"/>
    <n v="1001714"/>
    <s v="CLMDNC72T12C975L"/>
    <s v="CLEMENTE DOMENICO"/>
    <s v="615 - Altre famiglie produttrici"/>
    <s v="012 - COLTIVAZIONE DI COLTURE PERMANENTI"/>
    <s v="086 - ITALIA"/>
    <n v="928"/>
    <m/>
    <m/>
    <m/>
    <m/>
    <m/>
    <m/>
    <m/>
    <n v="0"/>
    <n v="202506"/>
    <x v="4"/>
    <x v="1"/>
    <x v="0"/>
    <m/>
    <x v="0"/>
    <x v="0"/>
    <s v="999"/>
    <s v="615"/>
    <s v="615999"/>
    <m/>
    <s v="1"/>
    <s v="Classe di rischio 3"/>
  </r>
  <r>
    <n v="348829"/>
    <x v="2"/>
    <x v="2"/>
    <x v="57"/>
    <n v="53850"/>
    <n v="156"/>
    <s v="053850_156"/>
    <s v="Discovery Day"/>
    <s v="Mai valutato"/>
    <m/>
    <s v="202506098053206L"/>
    <n v="1563300003383"/>
    <n v="20250609"/>
    <s v="AA - Bonifico da e per estero "/>
    <m/>
    <s v="012 - BULGARIA"/>
    <s v="D     - Dare"/>
    <n v="2381"/>
    <n v="0"/>
    <n v="4933160"/>
    <n v="3217170731"/>
    <s v="GRUPPO EVENTI LOVE SOCIETA' A RESPONSABILITA' LIMITATA SEMPLIFICATA"/>
    <s v="430 - Imprese produttive"/>
    <s v="773 - NOLEGGIO DI ALTRE MACCHINE, ATTREZZATURE E BENI MATERIALI"/>
    <s v="086 - ITALIA"/>
    <n v="60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828"/>
    <x v="2"/>
    <x v="2"/>
    <x v="58"/>
    <n v="53850"/>
    <n v="148"/>
    <s v="053850_148"/>
    <s v="Discovery Day"/>
    <s v="Mai valutato"/>
    <m/>
    <n v="202506098053349"/>
    <n v="1483300003872"/>
    <n v="20250609"/>
    <s v="AA - Bonifico da e per estero "/>
    <m/>
    <s v="261 - CROAZIA"/>
    <s v="A     - Avere"/>
    <n v="20456.400000000001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827"/>
    <x v="4"/>
    <x v="4"/>
    <x v="58"/>
    <n v="53850"/>
    <n v="274"/>
    <s v="053850_274"/>
    <s v="Discovery Day"/>
    <s v="Mai valutato"/>
    <m/>
    <n v="202506098055200"/>
    <n v="2743300000954"/>
    <n v="20250609"/>
    <s v="SPECIAL"/>
    <m/>
    <m/>
    <s v="D     - Dare"/>
    <n v="5555.95"/>
    <n v="0"/>
    <n v="1666695"/>
    <s v="CCCBNC46D59F196I"/>
    <s v="CICCHITELLI BIANCA"/>
    <s v="600 - Famiglie consumatrici"/>
    <m/>
    <s v="086 - ITALIA"/>
    <n v="1751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48826"/>
    <x v="4"/>
    <x v="4"/>
    <x v="58"/>
    <n v="53850"/>
    <n v="120"/>
    <s v="053850_120"/>
    <s v="Discovery Day"/>
    <s v="Mai valutato"/>
    <m/>
    <s v="202506097974012L"/>
    <n v="1203300002401"/>
    <n v="20250609"/>
    <s v="SPECIAL"/>
    <m/>
    <m/>
    <s v="D     - Dare"/>
    <n v="1153.07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x v="4"/>
    <x v="1"/>
    <x v="0"/>
    <n v="613876"/>
    <x v="1"/>
    <x v="1"/>
    <s v="999"/>
    <s v="500"/>
    <s v="500999"/>
    <m/>
    <s v="1"/>
    <s v="Classe di rischio 3"/>
  </r>
  <r>
    <n v="348825"/>
    <x v="2"/>
    <x v="2"/>
    <x v="58"/>
    <n v="53850"/>
    <n v="102"/>
    <s v="053850_102"/>
    <s v="Discovery Day"/>
    <s v="Mai valutato"/>
    <m/>
    <n v="202506098053220"/>
    <n v="1023308716491"/>
    <n v="20250609"/>
    <s v="AA - Bonifico da e per estero "/>
    <m/>
    <s v="091 - PRINCIPATO DI MONACO"/>
    <s v="A     - Avere"/>
    <n v="45000"/>
    <n v="0"/>
    <n v="3970"/>
    <s v="CRNRRT78A19A225Y"/>
    <s v="CORNACCHIA ROBERTO"/>
    <s v="600 - Famiglie consumatrici"/>
    <m/>
    <s v="086 - ITALIA"/>
    <n v="1431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48824"/>
    <x v="6"/>
    <x v="6"/>
    <x v="58"/>
    <n v="53850"/>
    <n v="109"/>
    <s v="053850_109"/>
    <s v="Discovery Day"/>
    <s v="Mai valutato"/>
    <m/>
    <n v="202506098053678"/>
    <n v="1093306667367"/>
    <n v="20250609"/>
    <s v="AA - Bonifico da e per estero "/>
    <m/>
    <s v="103 - HONG KONG"/>
    <s v="A     - Avere"/>
    <n v="15403.59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x v="1"/>
    <x v="0"/>
    <x v="0"/>
    <n v="4026861"/>
    <x v="1"/>
    <x v="0"/>
    <s v="477"/>
    <s v="430"/>
    <s v="430477"/>
    <s v="Classe di rischio 3"/>
    <m/>
    <s v="Classe di rischio 3"/>
  </r>
  <r>
    <n v="348823"/>
    <x v="3"/>
    <x v="3"/>
    <x v="58"/>
    <n v="53850"/>
    <n v="103"/>
    <s v="053850_103"/>
    <s v="Discovery Day"/>
    <s v="Mai valutato"/>
    <m/>
    <s v="Vari (09/06/2025)"/>
    <n v="1033306978505"/>
    <n v="20250609"/>
    <s v="VV"/>
    <m/>
    <m/>
    <s v="A     - Avere"/>
    <n v="102000"/>
    <n v="0"/>
    <n v="4917206"/>
    <n v="8210620723"/>
    <s v="EDILIZIA GAUDINO SOCIETA' A RESPONSABILITA' LIMITATA"/>
    <s v="430 - Imprese produttive"/>
    <s v="412 - COSTRUZIONE DI EDIFICI RESIDENZIALI E NON RESIDENZIALI"/>
    <s v="086 - ITALIA"/>
    <n v="739"/>
    <m/>
    <m/>
    <m/>
    <m/>
    <m/>
    <m/>
    <m/>
    <n v="0"/>
    <n v="202506"/>
    <x v="2"/>
    <x v="1"/>
    <x v="0"/>
    <m/>
    <x v="0"/>
    <x v="1"/>
    <s v="412"/>
    <s v="430"/>
    <s v="430412"/>
    <s v="Classe di rischio 3"/>
    <m/>
    <s v="Classe di rischio 3"/>
  </r>
  <r>
    <n v="348822"/>
    <x v="3"/>
    <x v="3"/>
    <x v="58"/>
    <n v="53850"/>
    <n v="111"/>
    <s v="053850_111"/>
    <s v="Discovery Day"/>
    <s v="Mai valutato"/>
    <m/>
    <n v="202506098054794"/>
    <n v="1113302817195"/>
    <n v="20250609"/>
    <s v="G1 - Versamento assegni tratti su altro intermediario "/>
    <m/>
    <m/>
    <s v="A     - Avere"/>
    <n v="118493.59"/>
    <n v="0"/>
    <n v="456132"/>
    <s v="CLZDNL75C43A225B"/>
    <s v="CALZONE DANIELA"/>
    <s v="600 - Famiglie consumatrici"/>
    <m/>
    <s v="086 - ITALIA"/>
    <n v="44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821"/>
    <x v="4"/>
    <x v="4"/>
    <x v="58"/>
    <n v="53850"/>
    <n v="279"/>
    <s v="053850_279"/>
    <s v="Discovery Day"/>
    <s v="Mai valutato"/>
    <m/>
    <s v="202506097977510L"/>
    <n v="2793300001520"/>
    <n v="20250609"/>
    <s v="SPECIAL"/>
    <m/>
    <m/>
    <s v="D     - Dare"/>
    <n v="1399.88"/>
    <n v="0"/>
    <n v="1693372"/>
    <s v="FRNLDM61E48I526K"/>
    <s v="FRANCESCHELLI IOLANDA MATILDE"/>
    <s v="615 - Altre famiglie produttrici"/>
    <s v="471 - COMMERCIO AL DETTAGLIO IN ESERCIZI NON SPECIALIZZATI"/>
    <s v="086 - ITALIA"/>
    <n v="1786"/>
    <m/>
    <m/>
    <m/>
    <m/>
    <m/>
    <m/>
    <m/>
    <n v="0"/>
    <n v="202506"/>
    <x v="3"/>
    <x v="1"/>
    <x v="0"/>
    <m/>
    <x v="0"/>
    <x v="1"/>
    <s v="999"/>
    <s v="615"/>
    <s v="615999"/>
    <m/>
    <s v="1"/>
    <s v="Classe di rischio 3"/>
  </r>
  <r>
    <n v="348820"/>
    <x v="4"/>
    <x v="4"/>
    <x v="58"/>
    <n v="53850"/>
    <n v="136"/>
    <s v="053850_136"/>
    <s v="Discovery Day"/>
    <s v="Mai valutato"/>
    <m/>
    <n v="202506098053697"/>
    <n v="1363300003325"/>
    <n v="20250609"/>
    <s v="D7 - Addebito o incasso per contratti derivati"/>
    <m/>
    <m/>
    <s v="D     - Da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48819"/>
    <x v="5"/>
    <x v="5"/>
    <x v="58"/>
    <n v="53850"/>
    <n v="178"/>
    <s v="053850_178"/>
    <s v="Discovery Day"/>
    <s v="Mai valutato"/>
    <m/>
    <n v="202506098055031"/>
    <n v="1783301005731"/>
    <n v="20250609"/>
    <s v="D1 - Versamento di contante "/>
    <m/>
    <m/>
    <s v="A     - Avere"/>
    <n v="20000"/>
    <n v="20000"/>
    <n v="3745189"/>
    <s v="DCNFNC97R17A669W"/>
    <s v="DICUONZO FRANCESCO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818"/>
    <x v="5"/>
    <x v="5"/>
    <x v="58"/>
    <n v="53850"/>
    <n v="114"/>
    <s v="053850_114"/>
    <s v="Discovery Day"/>
    <s v="Mai valutato"/>
    <m/>
    <s v="Vari (09/06/2025)"/>
    <n v="1143306280621"/>
    <n v="20250609"/>
    <s v="D1 - Versamento di contante "/>
    <m/>
    <m/>
    <s v="A     - Avere"/>
    <n v="78400"/>
    <n v="784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x v="1"/>
    <x v="0"/>
    <x v="0"/>
    <n v="4658875"/>
    <x v="1"/>
    <x v="0"/>
    <s v="477"/>
    <s v="430"/>
    <s v="430477"/>
    <s v="Classe di rischio 3"/>
    <m/>
    <s v="Classe di rischio 3"/>
  </r>
  <r>
    <n v="348817"/>
    <x v="3"/>
    <x v="3"/>
    <x v="58"/>
    <n v="53850"/>
    <n v="161"/>
    <s v="053850_161"/>
    <s v="Discovery Day"/>
    <s v="Mai valutato"/>
    <m/>
    <s v="Vari (09/06/2025)"/>
    <n v="1613300029653"/>
    <n v="20250609"/>
    <s v="VV"/>
    <m/>
    <m/>
    <s v="A     - Avere"/>
    <n v="115427.47"/>
    <n v="108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x v="1"/>
    <x v="0"/>
    <x v="0"/>
    <n v="4088769"/>
    <x v="1"/>
    <x v="1"/>
    <s v="464"/>
    <s v="430"/>
    <s v="430464"/>
    <s v="Classe di rischio 4"/>
    <m/>
    <s v="Classe di rischio 4"/>
  </r>
  <r>
    <n v="348816"/>
    <x v="4"/>
    <x v="4"/>
    <x v="58"/>
    <n v="53850"/>
    <n v="267"/>
    <s v="053850_267"/>
    <s v="Discovery Day"/>
    <s v="Mai valutato"/>
    <m/>
    <s v="202506097977514L"/>
    <n v="2673300000258"/>
    <n v="20250609"/>
    <s v="SPECIAL"/>
    <m/>
    <m/>
    <s v="D     - Dare"/>
    <n v="1342.29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6"/>
    <x v="4"/>
    <x v="1"/>
    <x v="0"/>
    <n v="1616725"/>
    <x v="1"/>
    <x v="1"/>
    <s v="999"/>
    <s v="430"/>
    <s v="430999"/>
    <m/>
    <s v="1"/>
    <s v="Classe di rischio 1"/>
  </r>
  <r>
    <n v="348815"/>
    <x v="5"/>
    <x v="5"/>
    <x v="58"/>
    <n v="53850"/>
    <n v="170"/>
    <s v="053850_170"/>
    <s v="Discovery Day"/>
    <s v="Mai valutato"/>
    <m/>
    <n v="202506098054330"/>
    <n v="1703300000428"/>
    <n v="20250609"/>
    <s v="03 - Versamento contante cassa continua "/>
    <m/>
    <m/>
    <s v="A     - Avere"/>
    <n v="49850"/>
    <n v="49850"/>
    <n v="4833134"/>
    <n v="7323170725"/>
    <s v="VR PETROLI S.R.L."/>
    <s v="430 - Imprese produttive"/>
    <s v="473 - COMMERCIO AL DETTAGLIO DI CARBURANTE PER AUTOTRAZIONE IN ESERCIZI SPECIALIZZATI"/>
    <s v="086 - ITALIA"/>
    <n v="694"/>
    <m/>
    <m/>
    <m/>
    <m/>
    <m/>
    <m/>
    <m/>
    <n v="0"/>
    <n v="202506"/>
    <x v="1"/>
    <x v="0"/>
    <x v="0"/>
    <n v="4833134"/>
    <x v="1"/>
    <x v="0"/>
    <s v="999"/>
    <s v="430"/>
    <s v="430999"/>
    <m/>
    <s v="1"/>
    <s v="Classe di rischio 1"/>
  </r>
  <r>
    <n v="348814"/>
    <x v="5"/>
    <x v="5"/>
    <x v="58"/>
    <n v="53850"/>
    <n v="182"/>
    <s v="053850_182"/>
    <s v="Discovery Day"/>
    <s v="Mai valutato"/>
    <m/>
    <s v="Vari (09/06/2025)"/>
    <n v="1823300169301"/>
    <n v="20250609"/>
    <s v="03 - Versamento contante cassa continua "/>
    <m/>
    <m/>
    <s v="A     - Avere"/>
    <n v="43875"/>
    <n v="4387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x v="4"/>
    <x v="1"/>
    <x v="0"/>
    <n v="4284957"/>
    <x v="1"/>
    <x v="0"/>
    <s v="920"/>
    <s v="615"/>
    <s v="615920"/>
    <s v="Classe di rischio 6"/>
    <m/>
    <s v="Classe di rischio 6"/>
  </r>
  <r>
    <n v="348813"/>
    <x v="4"/>
    <x v="4"/>
    <x v="58"/>
    <n v="53850"/>
    <n v="167"/>
    <s v="053850_167"/>
    <s v="Discovery Day"/>
    <s v="Mai valutato"/>
    <m/>
    <s v="202506097974051L"/>
    <n v="1673301674288"/>
    <n v="20250609"/>
    <s v="SPECIAL"/>
    <m/>
    <m/>
    <s v="D     - Dare"/>
    <n v="1289.72"/>
    <n v="0"/>
    <n v="562079"/>
    <n v="4629890726"/>
    <s v="GRAN MARKET SUD SOCIETA' A RESPONSABILITA' LIMITATA"/>
    <s v="430 - Imprese produttive"/>
    <s v="479 - COMMERCIO AL DETTAGLIO AL DI FUORI DI NEGOZI, BANCHI E MERCATI"/>
    <s v="086 - ITALIA"/>
    <n v="1175"/>
    <m/>
    <m/>
    <m/>
    <m/>
    <m/>
    <m/>
    <m/>
    <n v="0"/>
    <n v="202506"/>
    <x v="4"/>
    <x v="1"/>
    <x v="0"/>
    <n v="562079"/>
    <x v="1"/>
    <x v="1"/>
    <s v="999"/>
    <s v="430"/>
    <s v="430999"/>
    <m/>
    <s v="1"/>
    <s v="Classe di rischio 1"/>
  </r>
  <r>
    <n v="348812"/>
    <x v="4"/>
    <x v="4"/>
    <x v="58"/>
    <n v="53850"/>
    <n v="102"/>
    <s v="053850_102"/>
    <s v="Discovery Day"/>
    <s v="Mai valutato"/>
    <m/>
    <s v="202506097975227L"/>
    <n v="1023308717200"/>
    <n v="20250609"/>
    <s v="SPECIAL"/>
    <m/>
    <m/>
    <s v="D     - Dare"/>
    <n v="1025.23"/>
    <n v="0"/>
    <n v="4140619"/>
    <n v="5799380729"/>
    <s v="MARVITA ALIMENTARI S.R.L."/>
    <s v="430 - Imprese produttive"/>
    <s v="479 - COMMERCIO AL DETTAGLIO AL DI FUORI DI NEGOZI, BANCHI E MERCATI"/>
    <s v="086 - ITALIA"/>
    <n v="1203"/>
    <m/>
    <m/>
    <m/>
    <m/>
    <m/>
    <m/>
    <m/>
    <n v="0"/>
    <n v="202506"/>
    <x v="2"/>
    <x v="1"/>
    <x v="0"/>
    <n v="4140619"/>
    <x v="1"/>
    <x v="1"/>
    <s v="999"/>
    <s v="430"/>
    <s v="430999"/>
    <m/>
    <s v="1"/>
    <s v="Classe di rischio 1"/>
  </r>
  <r>
    <n v="348811"/>
    <x v="5"/>
    <x v="5"/>
    <x v="58"/>
    <n v="53850"/>
    <n v="267"/>
    <s v="053850_267"/>
    <s v="Discovery Day"/>
    <s v="Mai valutato"/>
    <m/>
    <n v="202506098055168"/>
    <n v="2673300003600"/>
    <n v="20250609"/>
    <s v="D1 - Versamento di contante "/>
    <m/>
    <m/>
    <s v="A     - Avere"/>
    <n v="90000"/>
    <n v="90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x v="4"/>
    <x v="1"/>
    <x v="0"/>
    <n v="1705101"/>
    <x v="1"/>
    <x v="0"/>
    <s v="999"/>
    <s v="492"/>
    <s v="492999"/>
    <m/>
    <s v="1"/>
    <s v="Classe di rischio 2"/>
  </r>
  <r>
    <n v="348810"/>
    <x v="5"/>
    <x v="5"/>
    <x v="58"/>
    <n v="53850"/>
    <n v="188"/>
    <s v="053850_188"/>
    <s v="Discovery Day"/>
    <s v="Mai valutato"/>
    <m/>
    <s v="Vari (09/06/2025)"/>
    <n v="1883300028081"/>
    <n v="20250609"/>
    <s v="03 - Versamento contante cassa continua "/>
    <m/>
    <m/>
    <s v="A     - Avere"/>
    <n v="41700"/>
    <n v="4170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6"/>
    <x v="2"/>
    <x v="1"/>
    <x v="0"/>
    <n v="3001543"/>
    <x v="1"/>
    <x v="0"/>
    <s v="999"/>
    <s v="430"/>
    <s v="430999"/>
    <m/>
    <s v="1"/>
    <s v="Classe di rischio 1"/>
  </r>
  <r>
    <n v="348809"/>
    <x v="3"/>
    <x v="3"/>
    <x v="58"/>
    <n v="53850"/>
    <n v="128"/>
    <s v="053850_128"/>
    <s v="Discovery Day"/>
    <s v="Mai valutato"/>
    <m/>
    <s v="Vari (09/06/2025)"/>
    <n v="1283300001665"/>
    <n v="20250609"/>
    <s v="VV"/>
    <m/>
    <m/>
    <s v="A     - Avere"/>
    <n v="148675.4"/>
    <n v="179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808"/>
    <x v="4"/>
    <x v="4"/>
    <x v="58"/>
    <n v="53850"/>
    <n v="192"/>
    <s v="053850_192"/>
    <s v="Discovery Day"/>
    <s v="Mai valutato"/>
    <m/>
    <n v="202506098055085"/>
    <n v="1923300181649"/>
    <n v="20250609"/>
    <s v="SPECIAL"/>
    <m/>
    <m/>
    <s v="D     - Dare"/>
    <n v="11906.71"/>
    <n v="0"/>
    <n v="4717312"/>
    <s v="FNLLRA70D42E986A"/>
    <s v="FANELLI LAURA"/>
    <s v="600 - Famiglie consumatrici"/>
    <m/>
    <s v="086 - ITALIA"/>
    <n v="363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807"/>
    <x v="5"/>
    <x v="5"/>
    <x v="58"/>
    <n v="53850"/>
    <n v="103"/>
    <s v="053850_103"/>
    <s v="Discovery Day"/>
    <s v="Mai valutato"/>
    <m/>
    <n v="202506098054689"/>
    <n v="1033306985413"/>
    <n v="20250609"/>
    <s v="D1 - Versamento di contante "/>
    <m/>
    <m/>
    <s v="A     - Avere"/>
    <n v="38200"/>
    <n v="38200"/>
    <n v="3724611"/>
    <s v="SRCPMC95R24D643N"/>
    <s v="SARACINO PIERMICHELE"/>
    <s v="600 - Famiglie consumatrici"/>
    <m/>
    <s v="086 - ITALIA"/>
    <n v="40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806"/>
    <x v="4"/>
    <x v="4"/>
    <x v="58"/>
    <n v="53850"/>
    <n v="109"/>
    <s v="053850_109"/>
    <s v="Discovery Day"/>
    <s v="Mai valutato"/>
    <m/>
    <s v="202506097973994L"/>
    <n v="1093300221090"/>
    <n v="20250609"/>
    <s v="SPECIAL"/>
    <m/>
    <m/>
    <s v="D     - Dare"/>
    <n v="1399.42"/>
    <n v="0"/>
    <n v="4861802"/>
    <n v="3811090723"/>
    <s v="SANTA MARIA S.R.L."/>
    <s v="430 - Imprese produttive"/>
    <s v="861 - SERVIZI OSPEDALIERI"/>
    <s v="086 - ITALIA"/>
    <n v="1919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805"/>
    <x v="5"/>
    <x v="5"/>
    <x v="58"/>
    <n v="53850"/>
    <n v="268"/>
    <s v="053850_268"/>
    <s v="Discovery Day"/>
    <s v="Mai valutato"/>
    <m/>
    <n v="202506098054590"/>
    <n v="2683300010030"/>
    <n v="20250609"/>
    <s v="03 - Versamento contante cassa continua "/>
    <m/>
    <m/>
    <s v="A     - Avere"/>
    <n v="37290"/>
    <n v="37290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x v="1"/>
    <x v="0"/>
    <x v="0"/>
    <n v="4966939"/>
    <x v="1"/>
    <x v="0"/>
    <s v="999"/>
    <s v="615"/>
    <s v="615999"/>
    <m/>
    <s v="1"/>
    <s v="Classe di rischio 3"/>
  </r>
  <r>
    <n v="348804"/>
    <x v="5"/>
    <x v="5"/>
    <x v="58"/>
    <n v="53850"/>
    <n v="268"/>
    <s v="053850_268"/>
    <s v="Discovery Day"/>
    <s v="Mai valutato"/>
    <m/>
    <s v="Vari (09/06/2025)"/>
    <n v="2683300006671"/>
    <n v="20250609"/>
    <s v="03 - Versamento contante cassa continua "/>
    <m/>
    <m/>
    <s v="A     - Avere"/>
    <n v="16300"/>
    <n v="16300"/>
    <n v="1704716"/>
    <n v="3109600795"/>
    <s v="FARMACIA BUCCARELLI DI BUCCARELLI VINCENZO &amp; C. S.N.C."/>
    <s v="480 - Quasi societa' non finanziarie artigiane - Unita' o societa' con 20 o piu' addetti"/>
    <s v="477 - COMMERCIO AL DETTAGLIO DI ALTRI PRODOTTI IN ESERCIZI SPECIALIZZATI"/>
    <s v="086 - ITALIA"/>
    <n v="1891"/>
    <m/>
    <m/>
    <m/>
    <m/>
    <m/>
    <m/>
    <m/>
    <n v="0"/>
    <n v="202506"/>
    <x v="0"/>
    <x v="0"/>
    <x v="0"/>
    <m/>
    <x v="0"/>
    <x v="0"/>
    <s v="477"/>
    <s v="480"/>
    <s v="480477"/>
    <s v="Classe di rischio 5"/>
    <m/>
    <s v="Classe di rischio 5"/>
  </r>
  <r>
    <n v="348803"/>
    <x v="5"/>
    <x v="5"/>
    <x v="58"/>
    <n v="53850"/>
    <n v="198"/>
    <s v="053850_198"/>
    <s v="Discovery Day"/>
    <s v="Mai valutato"/>
    <m/>
    <s v="Vari (09/06/2025)"/>
    <n v="1983300002455"/>
    <n v="20250609"/>
    <s v="VV"/>
    <m/>
    <m/>
    <s v="A     - Avere"/>
    <n v="31380"/>
    <n v="31380"/>
    <n v="4830377"/>
    <s v="LFNFNC81C24I158U"/>
    <s v="LUFINO FRANCESCO"/>
    <s v="615 - Altre famiglie produttrici"/>
    <s v="472 - COMMERCIO AL DETTAGLIO DI PRODOTTI ALIMENTARI, BEVANDE E TABACCO IN ESERCIZI SPECIALIZZATI"/>
    <s v="086 - ITALIA"/>
    <n v="1923"/>
    <m/>
    <m/>
    <m/>
    <m/>
    <m/>
    <m/>
    <m/>
    <n v="0"/>
    <n v="202506"/>
    <x v="1"/>
    <x v="0"/>
    <x v="0"/>
    <n v="4830377"/>
    <x v="1"/>
    <x v="1"/>
    <s v="999"/>
    <s v="615"/>
    <s v="615999"/>
    <m/>
    <s v="1"/>
    <s v="Classe di rischio 3"/>
  </r>
  <r>
    <n v="348802"/>
    <x v="5"/>
    <x v="5"/>
    <x v="58"/>
    <n v="53850"/>
    <n v="102"/>
    <s v="053850_102"/>
    <s v="Discovery Day"/>
    <s v="Mai valutato"/>
    <m/>
    <s v="Vari (09/06/2025)"/>
    <n v="1023308720537"/>
    <n v="20250609"/>
    <s v="03 - Versamento contante cassa continua "/>
    <m/>
    <m/>
    <s v="A     - Avere"/>
    <n v="43640"/>
    <n v="43640"/>
    <n v="4653840"/>
    <n v="7052850729"/>
    <s v="SUPERMERCATI LELLA SOCIETA' A RESPONSABILITA' LIMITATA"/>
    <s v="430 - Imprese produttive"/>
    <s v="471 - COMMERCIO AL DETTAGLIO IN ESERCIZI NON SPECIALIZZATI"/>
    <s v="086 - ITALIA"/>
    <n v="979"/>
    <m/>
    <m/>
    <m/>
    <m/>
    <m/>
    <m/>
    <m/>
    <n v="0"/>
    <n v="202506"/>
    <x v="2"/>
    <x v="1"/>
    <x v="0"/>
    <n v="4653840"/>
    <x v="1"/>
    <x v="0"/>
    <s v="999"/>
    <s v="430"/>
    <s v="430999"/>
    <m/>
    <s v="1"/>
    <s v="Classe di rischio 1"/>
  </r>
  <r>
    <n v="348801"/>
    <x v="3"/>
    <x v="3"/>
    <x v="58"/>
    <n v="53850"/>
    <n v="111"/>
    <s v="053850_111"/>
    <s v="Discovery Day"/>
    <s v="Mai valutato"/>
    <m/>
    <n v="202506098054794"/>
    <n v="1113302817195"/>
    <n v="20250609"/>
    <s v="G1 - Versamento assegni tratti su altro intermediario "/>
    <m/>
    <m/>
    <s v="A     - Avere"/>
    <n v="118493.59"/>
    <n v="0"/>
    <n v="4425262"/>
    <s v="CLZMTC65B26E326C"/>
    <s v="CALZONE MATTEO CLAUDIO"/>
    <s v="600 - Famiglie consumatrici"/>
    <m/>
    <s v="086 - ITALIA"/>
    <n v="44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800"/>
    <x v="4"/>
    <x v="4"/>
    <x v="58"/>
    <n v="53850"/>
    <n v="188"/>
    <s v="053850_188"/>
    <s v="Discovery Day"/>
    <s v="Mai valutato"/>
    <m/>
    <s v="202506097978137L"/>
    <n v="1883300028081"/>
    <n v="20250609"/>
    <s v="SPECIAL"/>
    <m/>
    <m/>
    <s v="D     - Dare"/>
    <n v="1130.8599999999999"/>
    <n v="0"/>
    <n v="3001543"/>
    <n v="943900738"/>
    <s v="CASA DI CURA VILLA VERDE FRANCO AUSIELLO S.R.L."/>
    <s v="430 - Imprese produttive"/>
    <s v="861 - SERVIZI OSPEDALIERI"/>
    <s v="086 - ITALIA"/>
    <n v="1627"/>
    <m/>
    <m/>
    <m/>
    <m/>
    <m/>
    <m/>
    <m/>
    <n v="0"/>
    <n v="202506"/>
    <x v="2"/>
    <x v="1"/>
    <x v="0"/>
    <n v="3001543"/>
    <x v="1"/>
    <x v="1"/>
    <s v="999"/>
    <s v="430"/>
    <s v="430999"/>
    <m/>
    <s v="1"/>
    <s v="Classe di rischio 1"/>
  </r>
  <r>
    <n v="348799"/>
    <x v="2"/>
    <x v="2"/>
    <x v="58"/>
    <n v="53850"/>
    <n v="259"/>
    <s v="053850_259"/>
    <s v="Discovery Day"/>
    <s v="Mai valutato"/>
    <m/>
    <s v="202506097975965L"/>
    <n v="2593300000091"/>
    <n v="20250609"/>
    <s v="AA - Bonifico da e per estero "/>
    <m/>
    <s v="012 - BULGARIA"/>
    <s v="D     - Dare"/>
    <n v="2500"/>
    <n v="0"/>
    <n v="4731214"/>
    <n v="5978380722"/>
    <s v="AUTOEMME S.N.C. - DI DIMAGGIO MICHELE &amp; C."/>
    <s v="482 - Quasi societa' non finanziarie artigiane - Unita' o societa' con meno di 20 addetti"/>
    <s v="452 - MANUTENZIONE E RIPARAZIONE DI AUTOVEICOLI"/>
    <s v="086 - ITALIA"/>
    <n v="1530"/>
    <m/>
    <m/>
    <m/>
    <m/>
    <m/>
    <m/>
    <m/>
    <n v="0"/>
    <n v="202506"/>
    <x v="2"/>
    <x v="1"/>
    <x v="0"/>
    <m/>
    <x v="0"/>
    <x v="0"/>
    <s v="999"/>
    <s v="482"/>
    <s v="482999"/>
    <m/>
    <s v="1"/>
    <s v="Classe di rischio 2"/>
  </r>
  <r>
    <n v="348798"/>
    <x v="3"/>
    <x v="3"/>
    <x v="58"/>
    <n v="53850"/>
    <n v="129"/>
    <s v="053850_129"/>
    <s v="Discovery Day"/>
    <s v="Mai valutato"/>
    <m/>
    <n v="202506098054845"/>
    <n v="2343300010453"/>
    <n v="20250609"/>
    <s v="G1 - Versamento assegni tratti su altro intermediario "/>
    <m/>
    <m/>
    <s v="A     - Avere"/>
    <n v="101566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797"/>
    <x v="4"/>
    <x v="4"/>
    <x v="58"/>
    <n v="53850"/>
    <n v="136"/>
    <s v="053850_136"/>
    <s v="Discovery Day"/>
    <s v="Mai valutato"/>
    <m/>
    <n v="202506098053696"/>
    <n v="1361147800126"/>
    <n v="20250609"/>
    <s v="D6 - Accred.o incasso per contratti derivati"/>
    <m/>
    <m/>
    <s v="A     - Avere"/>
    <n v="1156392.72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48796"/>
    <x v="2"/>
    <x v="2"/>
    <x v="58"/>
    <n v="53850"/>
    <n v="109"/>
    <s v="053850_109"/>
    <s v="Discovery Day"/>
    <s v="Mai valutato"/>
    <m/>
    <s v="202506097973937L"/>
    <n v="1093307073406"/>
    <n v="20250609"/>
    <s v="AA - Bonifico da e per estero "/>
    <m/>
    <s v="012 - BULGARIA"/>
    <s v="A     - Avere"/>
    <n v="2500"/>
    <n v="0"/>
    <n v="4831184"/>
    <n v="7770790728"/>
    <s v="AR.T. S.R.L."/>
    <s v="430 - Imprese produttive"/>
    <s v="494 - TRASPORTO DI MERCI SU STRADA E SERVIZI DI TRASLOCO"/>
    <s v="086 - ITALIA"/>
    <n v="110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48795"/>
    <x v="3"/>
    <x v="3"/>
    <x v="58"/>
    <n v="53850"/>
    <n v="111"/>
    <s v="053850_111"/>
    <s v="Discovery Day"/>
    <s v="Mai valutato"/>
    <m/>
    <n v="202506098054794"/>
    <n v="1113302817195"/>
    <n v="20250609"/>
    <s v="G1 - Versamento assegni tratti su altro intermediario "/>
    <m/>
    <m/>
    <s v="A     - Avere"/>
    <n v="118493.59"/>
    <n v="0"/>
    <n v="541375"/>
    <s v="CLZDNC62R61A662R"/>
    <s v="CALZONE DOMENICA ROSSANA"/>
    <s v="600 - Famiglie consumatrici"/>
    <m/>
    <s v="086 - ITALIA"/>
    <n v="59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94"/>
    <x v="3"/>
    <x v="3"/>
    <x v="58"/>
    <n v="53850"/>
    <n v="108"/>
    <s v="053850_108"/>
    <s v="Discovery Day"/>
    <s v="Mai valutato"/>
    <m/>
    <s v="Vari (09/06/2025)"/>
    <n v="1083306291105"/>
    <n v="20250609"/>
    <s v="VV"/>
    <m/>
    <m/>
    <s v="A     - Avere"/>
    <n v="166170.51999999999"/>
    <n v="85891.5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48793"/>
    <x v="2"/>
    <x v="2"/>
    <x v="58"/>
    <n v="53850"/>
    <n v="121"/>
    <s v="053850_121"/>
    <s v="Discovery Day"/>
    <s v="Mai valutato"/>
    <m/>
    <s v="202506097975139L"/>
    <n v="1213300001913"/>
    <n v="20250609"/>
    <s v="AA - Bonifico da e per estero "/>
    <m/>
    <s v="261 - CROAZIA"/>
    <s v="A     - Avere"/>
    <n v="2420"/>
    <n v="0"/>
    <n v="4794759"/>
    <n v="7627090728"/>
    <s v="BSQ CERT S.R.L."/>
    <s v="430 - Imprese produttive"/>
    <s v="620 - PRODUZIONE DI SOFTWARE, CONSULENZA INFORMATICA E ATTIVITÀ CONNESSE"/>
    <s v="086 - ITALIA"/>
    <n v="928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48792"/>
    <x v="4"/>
    <x v="4"/>
    <x v="58"/>
    <n v="53850"/>
    <n v="137"/>
    <s v="053850_137"/>
    <s v="Discovery Day"/>
    <s v="Mai valutato"/>
    <m/>
    <s v="202506097974596L"/>
    <n v="1373300005221"/>
    <n v="20250609"/>
    <s v="SPECIAL"/>
    <m/>
    <m/>
    <s v="D     - Dare"/>
    <n v="1025.6600000000001"/>
    <n v="0"/>
    <n v="4896820"/>
    <n v="1790220709"/>
    <s v="ACCADEMIA BRITANNICA SERVICES S.R.L."/>
    <s v="430 - Imprese produttive"/>
    <s v="791 - ATTIVITÀ DELLE AGENZIE DI VIAGGIO E DEI TOUR OPERATOR"/>
    <s v="086 - ITALIA"/>
    <n v="1856"/>
    <m/>
    <m/>
    <m/>
    <m/>
    <m/>
    <m/>
    <m/>
    <n v="0"/>
    <n v="202506"/>
    <x v="1"/>
    <x v="0"/>
    <x v="0"/>
    <m/>
    <x v="0"/>
    <x v="1"/>
    <s v="999"/>
    <s v="430"/>
    <s v="430999"/>
    <m/>
    <s v="1"/>
    <s v="Classe di rischio 1"/>
  </r>
  <r>
    <n v="348791"/>
    <x v="4"/>
    <x v="4"/>
    <x v="58"/>
    <n v="53850"/>
    <n v="192"/>
    <s v="053850_192"/>
    <s v="Discovery Day"/>
    <s v="Mai valutato"/>
    <m/>
    <n v="202506098055085"/>
    <n v="1923300181649"/>
    <n v="20250609"/>
    <s v="SPECIAL"/>
    <m/>
    <m/>
    <s v="D     - Dare"/>
    <n v="11906.71"/>
    <n v="0"/>
    <n v="4306613"/>
    <s v="CNSNGL37M52E986D"/>
    <s v="CONSERVA ANGELA"/>
    <s v="600 - Famiglie consumatrici"/>
    <m/>
    <s v="086 - ITALIA"/>
    <m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790"/>
    <x v="3"/>
    <x v="3"/>
    <x v="58"/>
    <n v="53850"/>
    <n v="116"/>
    <s v="053850_116"/>
    <s v="Discovery Day"/>
    <s v="Mai valutato"/>
    <m/>
    <s v="Vari (09/06/2025)"/>
    <n v="1163307623465"/>
    <n v="20250609"/>
    <s v="VV"/>
    <m/>
    <m/>
    <s v="A     - Avere"/>
    <n v="95000"/>
    <n v="0"/>
    <n v="3738297"/>
    <n v="8684570727"/>
    <s v="NOVAGORA' S.R.L."/>
    <s v="430 - Imprese produttive"/>
    <s v="412 - COSTRUZIONE DI EDIFICI RESIDENZIALI E NON RESIDENZIALI"/>
    <s v="086 - ITALIA"/>
    <n v="739"/>
    <m/>
    <m/>
    <m/>
    <m/>
    <m/>
    <m/>
    <m/>
    <n v="0"/>
    <n v="202506"/>
    <x v="2"/>
    <x v="1"/>
    <x v="0"/>
    <m/>
    <x v="0"/>
    <x v="1"/>
    <s v="412"/>
    <s v="430"/>
    <s v="430412"/>
    <s v="Classe di rischio 3"/>
    <m/>
    <s v="Classe di rischio 3"/>
  </r>
  <r>
    <n v="348789"/>
    <x v="4"/>
    <x v="4"/>
    <x v="58"/>
    <n v="53850"/>
    <n v="105"/>
    <s v="053850_105"/>
    <s v="Discovery Day"/>
    <s v="Mai valutato"/>
    <m/>
    <n v="202506098052986"/>
    <n v="1053306287103"/>
    <n v="20250609"/>
    <s v="48 - Bonifico in arrivo "/>
    <m/>
    <s v="086 - ITALIA"/>
    <s v="A     - Avere"/>
    <n v="3816880.07"/>
    <n v="0"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788"/>
    <x v="2"/>
    <x v="2"/>
    <x v="58"/>
    <n v="53850"/>
    <n v="149"/>
    <s v="053850_149"/>
    <s v="Discovery Day"/>
    <s v="Mai valutato"/>
    <m/>
    <n v="202506098053351"/>
    <n v="1493300663564"/>
    <n v="20250609"/>
    <s v="AA - Bonifico da e per estero "/>
    <m/>
    <s v="012 - BULGARIA"/>
    <s v="A     - Avere"/>
    <n v="22973"/>
    <n v="0"/>
    <n v="4851736"/>
    <n v="8243781211"/>
    <s v="VITTORIA CAPPELLI SOCIETA' A RESPONSABILITA' LIMITATA SEMPLIFICAT"/>
    <s v="430 - Imprese produttive"/>
    <s v="791 - ATTIVITÀ DELLE AGENZIE DI VIAGGIO E DEI TOUR OPERATOR"/>
    <s v="086 - ITALIA"/>
    <n v="125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787"/>
    <x v="4"/>
    <x v="4"/>
    <x v="58"/>
    <n v="53850"/>
    <n v="109"/>
    <s v="053850_109"/>
    <s v="Discovery Day"/>
    <s v="Mai valutato"/>
    <m/>
    <s v="202506097974370L"/>
    <n v="1093306677028"/>
    <n v="20250609"/>
    <s v="SPECIAL"/>
    <m/>
    <m/>
    <s v="D     - Dare"/>
    <n v="2669.27"/>
    <n v="0"/>
    <n v="3711845"/>
    <n v="8604300726"/>
    <s v="ELLEBI SOCIETA' A RESPONSABILITA' LIMITATA SEMPLIFICATA"/>
    <s v="430 - Imprese produttive"/>
    <s v="561 - RISTORANTI E ATTIVITÀ DI RISTORAZIONE MOBILE"/>
    <s v="086 - ITALIA"/>
    <n v="502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786"/>
    <x v="6"/>
    <x v="6"/>
    <x v="58"/>
    <n v="53850"/>
    <n v="109"/>
    <s v="053850_109"/>
    <s v="Discovery Day"/>
    <s v="Mai valutato"/>
    <m/>
    <n v="202506098053677"/>
    <n v="1093306667367"/>
    <n v="20250609"/>
    <s v="AA - Bonifico da e per estero "/>
    <m/>
    <s v="103 - HONG KONG"/>
    <s v="A     - Avere"/>
    <n v="16582.78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x v="1"/>
    <x v="0"/>
    <x v="0"/>
    <n v="4026861"/>
    <x v="1"/>
    <x v="0"/>
    <s v="477"/>
    <s v="430"/>
    <s v="430477"/>
    <s v="Classe di rischio 3"/>
    <m/>
    <s v="Classe di rischio 3"/>
  </r>
  <r>
    <n v="348785"/>
    <x v="3"/>
    <x v="3"/>
    <x v="58"/>
    <n v="53850"/>
    <n v="143"/>
    <s v="053850_143"/>
    <s v="Discovery Day"/>
    <s v="Mai valutato"/>
    <m/>
    <n v="202506098054888"/>
    <n v="1433300351202"/>
    <n v="20250609"/>
    <s v="G2 - Versamento assegni tratti sullo stesso intermediario "/>
    <m/>
    <m/>
    <s v="A     - Avere"/>
    <n v="140000"/>
    <n v="0"/>
    <n v="4625323"/>
    <s v="DMNRNZ56R07A892W"/>
    <s v="DAMONE ORONZO"/>
    <s v="600 - Famiglie consumatrici"/>
    <m/>
    <s v="086 - ITALIA"/>
    <n v="860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84"/>
    <x v="4"/>
    <x v="4"/>
    <x v="58"/>
    <n v="53850"/>
    <n v="284"/>
    <s v="053850_284"/>
    <s v="Discovery Day"/>
    <s v="Mai valutato"/>
    <m/>
    <s v="202506097977438L"/>
    <n v="2843300001336"/>
    <n v="20250609"/>
    <s v="SPECIAL"/>
    <m/>
    <m/>
    <s v="D     - Dare"/>
    <n v="1620.54"/>
    <n v="0"/>
    <n v="1684901"/>
    <n v="2403010693"/>
    <s v="SPECIALCARNI S.R.L."/>
    <s v="430 - Imprese produttive"/>
    <s v="101 - LAVORAZIONE E CONSERVAZIONE DI CARNE E PRODUZIONE DI PRODOTTI A BASE DI CARNE"/>
    <s v="086 - ITALIA"/>
    <n v="1767"/>
    <m/>
    <m/>
    <m/>
    <m/>
    <m/>
    <m/>
    <m/>
    <n v="0"/>
    <n v="202506"/>
    <x v="1"/>
    <x v="0"/>
    <x v="0"/>
    <m/>
    <x v="0"/>
    <x v="1"/>
    <s v="999"/>
    <s v="430"/>
    <s v="430999"/>
    <m/>
    <s v="1"/>
    <s v="Classe di rischio 1"/>
  </r>
  <r>
    <n v="348783"/>
    <x v="4"/>
    <x v="4"/>
    <x v="58"/>
    <n v="53850"/>
    <n v="169"/>
    <s v="053850_169"/>
    <s v="Discovery Day"/>
    <s v="Mai valutato"/>
    <m/>
    <n v="202506098054318"/>
    <n v="1693302224337"/>
    <n v="20250609"/>
    <s v="13 - Addebito per estinzione assegno"/>
    <m/>
    <m/>
    <s v="D     - Dare"/>
    <n v="240000"/>
    <n v="0"/>
    <n v="4566922"/>
    <s v="CNTFNC90R31A883V"/>
    <s v="CONTO' FRANCESCO PAOLO"/>
    <s v="600 - Famiglie consumatrici"/>
    <m/>
    <s v="086 - ITALIA"/>
    <n v="1261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82"/>
    <x v="4"/>
    <x v="4"/>
    <x v="58"/>
    <n v="53850"/>
    <n v="216"/>
    <s v="053850_216"/>
    <s v="Discovery Day"/>
    <s v="Mai valutato"/>
    <m/>
    <s v="202506097977664L"/>
    <n v="2163300012270"/>
    <n v="20250609"/>
    <s v="SPECIAL"/>
    <m/>
    <m/>
    <s v="D     - Dare"/>
    <n v="1140.96"/>
    <n v="0"/>
    <n v="3723660"/>
    <n v="1453600676"/>
    <s v="EUROPEAN INDUSTRY S.R.L."/>
    <s v="430 - Imprese produttive"/>
    <s v="141 - CONFEZIONE DI ARTICOLI DI ABBIGLIAMENTO (ESCLUSO ABBIGLIAMENTO IN PELLICCIA)"/>
    <s v="086 - ITALIA"/>
    <n v="1595"/>
    <m/>
    <m/>
    <m/>
    <m/>
    <m/>
    <m/>
    <m/>
    <n v="0"/>
    <n v="202506"/>
    <x v="0"/>
    <x v="0"/>
    <x v="0"/>
    <m/>
    <x v="0"/>
    <x v="1"/>
    <s v="999"/>
    <s v="430"/>
    <s v="430999"/>
    <m/>
    <s v="1"/>
    <s v="Classe di rischio 1"/>
  </r>
  <r>
    <n v="348781"/>
    <x v="4"/>
    <x v="4"/>
    <x v="58"/>
    <n v="53850"/>
    <n v="175"/>
    <s v="053850_175"/>
    <s v="Discovery Day"/>
    <s v="Mai valutato"/>
    <m/>
    <s v="202506097978446L"/>
    <n v="1753302203838"/>
    <n v="20250609"/>
    <s v="SPECIAL"/>
    <m/>
    <m/>
    <s v="D     - Dare"/>
    <n v="1189.71"/>
    <n v="0"/>
    <n v="4913064"/>
    <n v="1222420778"/>
    <s v="TRATTORIA DEL CAVEOSO S.R.L."/>
    <s v="430 - Imprese produttive"/>
    <s v="561 - RISTORANTI E ATTIVITÀ DI RISTORAZIONE MOBILE"/>
    <s v="086 - ITALIA"/>
    <n v="1110"/>
    <m/>
    <m/>
    <m/>
    <m/>
    <m/>
    <m/>
    <m/>
    <n v="0"/>
    <n v="202506"/>
    <x v="0"/>
    <x v="0"/>
    <x v="0"/>
    <m/>
    <x v="0"/>
    <x v="1"/>
    <s v="999"/>
    <s v="430"/>
    <s v="430999"/>
    <m/>
    <s v="1"/>
    <s v="Classe di rischio 1"/>
  </r>
  <r>
    <n v="348780"/>
    <x v="2"/>
    <x v="2"/>
    <x v="58"/>
    <n v="53850"/>
    <n v="271"/>
    <s v="053850_271"/>
    <s v="Discovery Day"/>
    <s v="Mai valutato"/>
    <m/>
    <n v="202506098053686"/>
    <n v="2713300010112"/>
    <n v="20250609"/>
    <s v="AA - Bonifico da e per estero "/>
    <m/>
    <s v="238 - ABU DHABI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6"/>
    <x v="0"/>
    <x v="0"/>
    <x v="0"/>
    <m/>
    <x v="0"/>
    <x v="0"/>
    <s v="999"/>
    <s v="615"/>
    <s v="615999"/>
    <m/>
    <s v="1"/>
    <s v="Classe di rischio 3"/>
  </r>
  <r>
    <n v="348779"/>
    <x v="5"/>
    <x v="5"/>
    <x v="58"/>
    <n v="53850"/>
    <n v="268"/>
    <s v="053850_268"/>
    <s v="Discovery Day"/>
    <s v="Mai valutato"/>
    <m/>
    <n v="202506098054587"/>
    <n v="2683300006749"/>
    <n v="20250609"/>
    <s v="03 - Versamento contante cassa continua "/>
    <m/>
    <m/>
    <s v="A     - Avere"/>
    <n v="15910"/>
    <n v="15910"/>
    <n v="1705239"/>
    <s v="PPDMRA59H47I945V"/>
    <s v="PAPADIA MARIA"/>
    <s v="615 - Altre famiglie produttrici"/>
    <s v="477 - COMMERCIO AL DETTAGLIO DI ALTRI PRODOTTI IN ESERCIZI SPECIALIZZATI"/>
    <s v="086 - ITALIA"/>
    <n v="1834"/>
    <m/>
    <m/>
    <m/>
    <m/>
    <m/>
    <m/>
    <m/>
    <n v="0"/>
    <n v="202506"/>
    <x v="4"/>
    <x v="1"/>
    <x v="0"/>
    <n v="1705239"/>
    <x v="1"/>
    <x v="0"/>
    <s v="477"/>
    <s v="615"/>
    <s v="615477"/>
    <s v="Classe di rischio 6"/>
    <m/>
    <s v="Classe di rischio 6"/>
  </r>
  <r>
    <n v="348778"/>
    <x v="5"/>
    <x v="5"/>
    <x v="58"/>
    <n v="53850"/>
    <n v="137"/>
    <s v="053850_137"/>
    <s v="Discovery Day"/>
    <s v="Mai valutato"/>
    <m/>
    <n v="202506098054873"/>
    <n v="1373304102703"/>
    <n v="20250609"/>
    <s v="D1 - Versamento di contante "/>
    <m/>
    <m/>
    <s v="A     - Avere"/>
    <n v="18000"/>
    <n v="18000"/>
    <n v="1001333"/>
    <s v="CSTFBR63M04B519K"/>
    <s v="CASTIGLIONE FILIBERTO"/>
    <s v="615 - Altre famiglie produttrici"/>
    <s v="477 - COMMERCIO AL DETTAGLIO DI ALTRI PRODOTTI IN ESERCIZI SPECIALIZZATI"/>
    <s v="086 - ITALIA"/>
    <n v="1867"/>
    <m/>
    <m/>
    <m/>
    <m/>
    <m/>
    <m/>
    <m/>
    <n v="0"/>
    <n v="202506"/>
    <x v="1"/>
    <x v="0"/>
    <x v="0"/>
    <n v="1001333"/>
    <x v="1"/>
    <x v="0"/>
    <s v="477"/>
    <s v="615"/>
    <s v="615477"/>
    <s v="Classe di rischio 6"/>
    <m/>
    <s v="Classe di rischio 6"/>
  </r>
  <r>
    <n v="348777"/>
    <x v="5"/>
    <x v="5"/>
    <x v="58"/>
    <n v="53850"/>
    <n v="108"/>
    <s v="053850_108"/>
    <s v="Discovery Day"/>
    <s v="Mai valutato"/>
    <m/>
    <s v="Vari (09/06/2025)"/>
    <n v="1083306291105"/>
    <n v="20250609"/>
    <s v="VV"/>
    <m/>
    <m/>
    <s v="A     - Avere"/>
    <n v="166170.51999999999"/>
    <n v="85891.55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48776"/>
    <x v="3"/>
    <x v="3"/>
    <x v="58"/>
    <n v="53850"/>
    <n v="175"/>
    <s v="053850_175"/>
    <s v="Discovery Day"/>
    <s v="Mai valutato"/>
    <m/>
    <s v="Vari (09/06/2025)"/>
    <n v="1753302203127"/>
    <n v="20250609"/>
    <s v="VV"/>
    <m/>
    <m/>
    <s v="A     - Avere"/>
    <n v="130423.76"/>
    <n v="33195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x v="2"/>
    <x v="1"/>
    <x v="0"/>
    <n v="4160138"/>
    <x v="1"/>
    <x v="1"/>
    <s v="999"/>
    <s v="430"/>
    <s v="430999"/>
    <m/>
    <s v="1"/>
    <s v="Classe di rischio 1"/>
  </r>
  <r>
    <n v="348775"/>
    <x v="4"/>
    <x v="4"/>
    <x v="58"/>
    <n v="53850"/>
    <n v="274"/>
    <s v="053850_274"/>
    <s v="Discovery Day"/>
    <s v="Mai valutato"/>
    <m/>
    <n v="202506098055200"/>
    <n v="2743300000954"/>
    <n v="20250609"/>
    <s v="SPECIAL"/>
    <m/>
    <m/>
    <s v="D     - Dare"/>
    <n v="5555.95"/>
    <n v="0"/>
    <n v="1666696"/>
    <s v="RMNMRM64H66F196C"/>
    <s v="RIMANO MARIA ROMANA"/>
    <s v="600 - Famiglie consumatrici"/>
    <m/>
    <s v="086 - ITALIA"/>
    <n v="1751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48774"/>
    <x v="3"/>
    <x v="3"/>
    <x v="58"/>
    <n v="53850"/>
    <n v="111"/>
    <s v="053850_111"/>
    <s v="Discovery Day"/>
    <s v="Mai valutato"/>
    <m/>
    <n v="202506098054794"/>
    <n v="1113302817195"/>
    <n v="20250609"/>
    <s v="G1 - Versamento assegni tratti su altro intermediario "/>
    <m/>
    <m/>
    <s v="A     - Avere"/>
    <n v="118493.59"/>
    <n v="0"/>
    <n v="4425270"/>
    <s v="CLZFLV71A14E326W"/>
    <s v="CALZONE FLAVIO"/>
    <s v="600 - Famiglie consumatrici"/>
    <m/>
    <s v="086 - ITALIA"/>
    <n v="59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73"/>
    <x v="5"/>
    <x v="5"/>
    <x v="58"/>
    <n v="53850"/>
    <n v="178"/>
    <s v="053850_178"/>
    <s v="Discovery Day"/>
    <s v="Mai valutato"/>
    <m/>
    <n v="202506098055031"/>
    <n v="1783301005731"/>
    <n v="20250609"/>
    <s v="D1 - Versamento di contante "/>
    <m/>
    <m/>
    <s v="A     - Avere"/>
    <n v="20000"/>
    <n v="20000"/>
    <n v="4901486"/>
    <s v="SRDMRN99A66A669H"/>
    <s v="SARDARO MIRIAN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72"/>
    <x v="4"/>
    <x v="4"/>
    <x v="58"/>
    <n v="53850"/>
    <n v="120"/>
    <s v="053850_120"/>
    <s v="Discovery Day"/>
    <s v="Mai valutato"/>
    <m/>
    <s v="202506097974011L"/>
    <n v="1203300002401"/>
    <n v="20250609"/>
    <s v="SPECIAL"/>
    <m/>
    <m/>
    <s v="D     - Dare"/>
    <n v="1099.3900000000001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x v="4"/>
    <x v="1"/>
    <x v="0"/>
    <n v="613876"/>
    <x v="1"/>
    <x v="1"/>
    <s v="999"/>
    <s v="500"/>
    <s v="500999"/>
    <m/>
    <s v="1"/>
    <s v="Classe di rischio 3"/>
  </r>
  <r>
    <n v="348771"/>
    <x v="4"/>
    <x v="4"/>
    <x v="58"/>
    <n v="53850"/>
    <n v="271"/>
    <s v="053850_271"/>
    <s v="Discovery Day"/>
    <s v="Mai valutato"/>
    <m/>
    <s v="202506097977501L"/>
    <n v="2713300003639"/>
    <n v="20250609"/>
    <s v="SPECIAL"/>
    <m/>
    <m/>
    <s v="D     - Dare"/>
    <n v="1013.51"/>
    <n v="0"/>
    <n v="1702847"/>
    <n v="1542760697"/>
    <s v="HOTEL MARA SRL"/>
    <s v="430 - Imprese produttive"/>
    <s v="551 - ALBERGHI E STRUTTURE SIMILI"/>
    <s v="086 - ITALIA"/>
    <n v="1387"/>
    <m/>
    <m/>
    <m/>
    <m/>
    <m/>
    <m/>
    <m/>
    <n v="0"/>
    <n v="202506"/>
    <x v="1"/>
    <x v="0"/>
    <x v="0"/>
    <n v="1702847"/>
    <x v="1"/>
    <x v="1"/>
    <s v="999"/>
    <s v="430"/>
    <s v="430999"/>
    <m/>
    <s v="1"/>
    <s v="Classe di rischio 1"/>
  </r>
  <r>
    <n v="348770"/>
    <x v="5"/>
    <x v="5"/>
    <x v="58"/>
    <n v="53850"/>
    <n v="104"/>
    <s v="053850_104"/>
    <s v="Discovery Day"/>
    <s v="Mai valutato"/>
    <m/>
    <s v="Vari (09/06/2025)"/>
    <n v="1043305922900"/>
    <n v="20250609"/>
    <s v="03 - Versamento contante cassa continua "/>
    <m/>
    <m/>
    <s v="A     - Avere"/>
    <n v="44680"/>
    <n v="4468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6"/>
    <x v="4"/>
    <x v="1"/>
    <x v="0"/>
    <n v="592290"/>
    <x v="1"/>
    <x v="0"/>
    <s v="999"/>
    <s v="615"/>
    <s v="615999"/>
    <m/>
    <s v="1"/>
    <s v="Classe di rischio 3"/>
  </r>
  <r>
    <n v="348769"/>
    <x v="4"/>
    <x v="4"/>
    <x v="58"/>
    <n v="53850"/>
    <n v="141"/>
    <s v="053850_141"/>
    <s v="Discovery Day"/>
    <s v="Mai valutato"/>
    <m/>
    <n v="202506098052815"/>
    <n v="1413300003855"/>
    <n v="20250609"/>
    <s v="48 - Bonifico in arrivo "/>
    <m/>
    <s v="086 - ITALIA"/>
    <s v="A     - Avere"/>
    <n v="1500000"/>
    <n v="0"/>
    <n v="4968719"/>
    <n v="5154150758"/>
    <s v="DFX S.R.L."/>
    <s v="430 - Imprese produttive"/>
    <s v="244 - PRODUZIONE DI METALLI DI BASE PREZIOSI E ALTRI METALLI NON FERROSI, TRATTAMENTO DEI COMBUSTIBILI NUCLEARI"/>
    <s v="086 - ITALIA"/>
    <n v="162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48768"/>
    <x v="4"/>
    <x v="4"/>
    <x v="58"/>
    <n v="53850"/>
    <n v="109"/>
    <s v="053850_109"/>
    <s v="Discovery Day"/>
    <s v="Mai valutato"/>
    <m/>
    <s v="202506097974409L"/>
    <n v="1093306674566"/>
    <n v="20250609"/>
    <s v="SPECIAL"/>
    <m/>
    <m/>
    <s v="D     - Dare"/>
    <n v="2718.95"/>
    <n v="0"/>
    <n v="4931444"/>
    <n v="7632590720"/>
    <s v="BAR SAN NICOLA S.R.L."/>
    <s v="430 - Imprese produttive"/>
    <s v="563 - BAR E ALTRI ESERCIZI SIMILI SENZA CUCINA"/>
    <s v="086 - ITALIA"/>
    <n v="502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767"/>
    <x v="3"/>
    <x v="3"/>
    <x v="58"/>
    <n v="53850"/>
    <n v="287"/>
    <s v="053850_287"/>
    <s v="Discovery Day"/>
    <s v="Mai valutato"/>
    <m/>
    <s v="Vari (09/06/2025)"/>
    <n v="2873300001853"/>
    <n v="20250609"/>
    <s v="VV"/>
    <m/>
    <m/>
    <s v="A     - Avere"/>
    <n v="104280.22"/>
    <n v="0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x v="2"/>
    <x v="1"/>
    <x v="0"/>
    <n v="3722213"/>
    <x v="1"/>
    <x v="1"/>
    <s v="463"/>
    <s v="430"/>
    <s v="430463"/>
    <s v="Classe di rischio 3"/>
    <m/>
    <s v="Classe di rischio 3"/>
  </r>
  <r>
    <n v="348766"/>
    <x v="4"/>
    <x v="4"/>
    <x v="58"/>
    <n v="53850"/>
    <n v="171"/>
    <s v="053850_171"/>
    <s v="Discovery Day"/>
    <s v="Mai valutato"/>
    <m/>
    <s v="202506097978587L"/>
    <n v="1713302216097"/>
    <n v="20250609"/>
    <s v="SPECIAL"/>
    <m/>
    <m/>
    <s v="D     - Dare"/>
    <n v="1528.63"/>
    <n v="0"/>
    <n v="4780929"/>
    <n v="7472640726"/>
    <s v="L'INCANTO S.R.L."/>
    <s v="430 - Imprese produttive"/>
    <s v="561 - RISTORANTI E ATTIVITÀ DI RISTORAZIONE MOBILE"/>
    <s v="086 - ITALIA"/>
    <n v="1118"/>
    <m/>
    <m/>
    <m/>
    <m/>
    <m/>
    <m/>
    <m/>
    <n v="0"/>
    <n v="202506"/>
    <x v="2"/>
    <x v="1"/>
    <x v="0"/>
    <n v="4780929"/>
    <x v="1"/>
    <x v="1"/>
    <s v="999"/>
    <s v="430"/>
    <s v="430999"/>
    <m/>
    <s v="1"/>
    <s v="Classe di rischio 1"/>
  </r>
  <r>
    <n v="348765"/>
    <x v="3"/>
    <x v="3"/>
    <x v="58"/>
    <n v="53850"/>
    <n v="111"/>
    <s v="053850_111"/>
    <s v="Discovery Day"/>
    <s v="Mai valutato"/>
    <m/>
    <n v="202506098054794"/>
    <n v="1113302817195"/>
    <n v="20250609"/>
    <s v="G1 - Versamento assegni tratti su altro intermediario "/>
    <m/>
    <m/>
    <s v="A     - Avere"/>
    <n v="118493.59"/>
    <n v="0"/>
    <n v="1001090"/>
    <s v="CLZNLM63T65L049A"/>
    <s v="CALZONE ANGELA MARIA STEFANIA"/>
    <s v="600 - Famiglie consumatrici"/>
    <m/>
    <s v="086 - ITALIA"/>
    <n v="1430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64"/>
    <x v="3"/>
    <x v="3"/>
    <x v="58"/>
    <n v="53850"/>
    <n v="143"/>
    <s v="053850_143"/>
    <s v="Discovery Day"/>
    <s v="Mai valutato"/>
    <m/>
    <n v="202506098054888"/>
    <n v="1433300351202"/>
    <n v="20250609"/>
    <s v="G2 - Versamento assegni tratti sullo stesso intermediario "/>
    <m/>
    <m/>
    <s v="A     - Avere"/>
    <n v="140000"/>
    <n v="0"/>
    <n v="4625326"/>
    <s v="FZANGL64C47A662T"/>
    <s v="FAZIO ANGEL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63"/>
    <x v="3"/>
    <x v="3"/>
    <x v="58"/>
    <n v="53850"/>
    <n v="182"/>
    <s v="053850_182"/>
    <s v="Discovery Day"/>
    <s v="Mai valutato"/>
    <m/>
    <s v="Vari (09/06/2025)"/>
    <n v="1823300169301"/>
    <n v="20250609"/>
    <s v="03 - Versamento contante cassa continua "/>
    <m/>
    <m/>
    <s v="A     - Avere"/>
    <n v="43875"/>
    <n v="4387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x v="4"/>
    <x v="1"/>
    <x v="0"/>
    <n v="4284957"/>
    <x v="1"/>
    <x v="0"/>
    <s v="920"/>
    <s v="615"/>
    <s v="615920"/>
    <s v="Classe di rischio 6"/>
    <m/>
    <s v="Classe di rischio 6"/>
  </r>
  <r>
    <n v="348762"/>
    <x v="4"/>
    <x v="4"/>
    <x v="58"/>
    <n v="53850"/>
    <n v="204"/>
    <s v="053850_204"/>
    <s v="Discovery Day"/>
    <s v="Mai valutato"/>
    <m/>
    <s v="202506097978032L"/>
    <n v="2043300012553"/>
    <n v="20250609"/>
    <s v="SPECIAL"/>
    <m/>
    <m/>
    <s v="D     - Dare"/>
    <n v="1076.3599999999999"/>
    <n v="0"/>
    <n v="4902092"/>
    <n v="14374361005"/>
    <s v="ISI GROUP S.R.L."/>
    <s v="430 - Imprese produttive"/>
    <s v="471 - COMMERCIO AL DETTAGLIO IN ESERCIZI NON SPECIALIZZATI"/>
    <s v="086 - ITALIA"/>
    <n v="1810"/>
    <m/>
    <m/>
    <m/>
    <m/>
    <m/>
    <m/>
    <m/>
    <n v="0"/>
    <n v="202506"/>
    <x v="2"/>
    <x v="1"/>
    <x v="0"/>
    <n v="4902092"/>
    <x v="1"/>
    <x v="1"/>
    <s v="999"/>
    <s v="430"/>
    <s v="430999"/>
    <m/>
    <s v="1"/>
    <s v="Classe di rischio 1"/>
  </r>
  <r>
    <n v="348761"/>
    <x v="4"/>
    <x v="4"/>
    <x v="58"/>
    <n v="53850"/>
    <n v="136"/>
    <s v="053850_136"/>
    <s v="Discovery Day"/>
    <s v="Mai valutato"/>
    <m/>
    <n v="202506098053698"/>
    <n v="1363300003325"/>
    <n v="20250609"/>
    <s v="BI - Erogazione finanziamento import"/>
    <m/>
    <m/>
    <s v="A     - Avere"/>
    <n v="999996.13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48760"/>
    <x v="5"/>
    <x v="5"/>
    <x v="58"/>
    <n v="53850"/>
    <n v="102"/>
    <s v="053850_102"/>
    <s v="Discovery Day"/>
    <s v="Mai valutato"/>
    <m/>
    <n v="202506078053893"/>
    <n v="1023308722503"/>
    <n v="20250607"/>
    <s v="03 - Versamento contante cassa continua "/>
    <m/>
    <m/>
    <s v="A     - Avere"/>
    <n v="19510"/>
    <n v="195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48759"/>
    <x v="2"/>
    <x v="2"/>
    <x v="58"/>
    <n v="53850"/>
    <n v="109"/>
    <s v="053850_109"/>
    <s v="Discovery Day"/>
    <s v="Mai valutato"/>
    <m/>
    <s v="202506067958058L"/>
    <n v="1093306672844"/>
    <n v="20250606"/>
    <s v="AA - Bonifico da e per estero "/>
    <m/>
    <s v="012 - BULGARIA"/>
    <s v="D     - Dare"/>
    <n v="42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6"/>
    <x v="4"/>
    <x v="1"/>
    <x v="0"/>
    <n v="440311"/>
    <x v="1"/>
    <x v="0"/>
    <s v="451"/>
    <s v="430"/>
    <s v="430451"/>
    <s v="Classe di rischio 3"/>
    <m/>
    <s v="Classe di rischio 3"/>
  </r>
  <r>
    <n v="348758"/>
    <x v="4"/>
    <x v="4"/>
    <x v="59"/>
    <n v="53850"/>
    <n v="147"/>
    <s v="053850_147"/>
    <s v="Discovery Day"/>
    <s v="Mai valutato"/>
    <m/>
    <n v="202506068048398"/>
    <n v="1473300001691"/>
    <n v="20250606"/>
    <s v="SPECIAL"/>
    <m/>
    <m/>
    <s v="D     - Dare"/>
    <n v="22560.58"/>
    <n v="0"/>
    <n v="4420547"/>
    <s v="STLTRS90S53E791Z"/>
    <s v="STELLATO TERESA"/>
    <s v="600 - Famiglie consumatrici"/>
    <m/>
    <s v="086 - ITALIA"/>
    <n v="1428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757"/>
    <x v="5"/>
    <x v="5"/>
    <x v="59"/>
    <n v="53850"/>
    <n v="102"/>
    <s v="053850_102"/>
    <s v="Discovery Day"/>
    <s v="Mai valutato"/>
    <m/>
    <s v="Vari (06/06/2025)"/>
    <n v="1023308722503"/>
    <n v="20250606"/>
    <s v="03 - Versamento contante cassa continua "/>
    <m/>
    <m/>
    <s v="A     - Avere"/>
    <n v="32850"/>
    <n v="3285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48756"/>
    <x v="5"/>
    <x v="5"/>
    <x v="59"/>
    <n v="53850"/>
    <n v="171"/>
    <s v="053850_171"/>
    <s v="Discovery Day"/>
    <s v="Mai valutato"/>
    <m/>
    <s v="Vari (06/06/2025)"/>
    <n v="1713302214147"/>
    <n v="20250606"/>
    <s v="03 - Versamento contante cassa continua "/>
    <m/>
    <m/>
    <s v="A     - Avere"/>
    <n v="128126.37"/>
    <n v="128126.37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48755"/>
    <x v="3"/>
    <x v="3"/>
    <x v="59"/>
    <n v="53850"/>
    <n v="171"/>
    <s v="053850_171"/>
    <s v="Discovery Day"/>
    <s v="Mai valutato"/>
    <m/>
    <s v="Vari (06/06/2025)"/>
    <n v="1713302214147"/>
    <n v="20250606"/>
    <s v="03 - Versamento contante cassa continua "/>
    <m/>
    <m/>
    <s v="A     - Avere"/>
    <n v="128126.37"/>
    <n v="128126.37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48754"/>
    <x v="3"/>
    <x v="3"/>
    <x v="59"/>
    <n v="53850"/>
    <n v="116"/>
    <s v="053850_116"/>
    <s v="Discovery Day"/>
    <s v="Mai valutato"/>
    <m/>
    <n v="202506068048048"/>
    <n v="2343300010453"/>
    <n v="20250606"/>
    <s v="03 - Versamento contante cassa continua "/>
    <m/>
    <m/>
    <s v="A     - Avere"/>
    <n v="126487.25"/>
    <n v="126487.2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753"/>
    <x v="7"/>
    <x v="7"/>
    <x v="59"/>
    <n v="53850"/>
    <n v="122"/>
    <s v="053850_122"/>
    <s v="Discovery Day"/>
    <s v="Mai valutato"/>
    <m/>
    <n v="202506068048325"/>
    <m/>
    <n v="20250606"/>
    <s v="F3 - Cambio assegni tratti su altro intermediario "/>
    <m/>
    <m/>
    <s v="D     - Dare"/>
    <n v="25000"/>
    <n v="0"/>
    <n v="4958588"/>
    <s v="LNNSVT60H06F284C"/>
    <s v="LUNANOVA SALVATORE"/>
    <s v="600 - Famiglie consumatrici"/>
    <m/>
    <s v="086 - ITALIA"/>
    <n v="968"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48752"/>
    <x v="4"/>
    <x v="4"/>
    <x v="59"/>
    <n v="53850"/>
    <n v="173"/>
    <s v="053850_173"/>
    <s v="Discovery Day"/>
    <s v="Mai valutato"/>
    <m/>
    <s v="202506067923458L"/>
    <n v="1733302703033"/>
    <n v="20250606"/>
    <s v="SPECIAL"/>
    <m/>
    <m/>
    <s v="D     - Dare"/>
    <n v="3970.27"/>
    <n v="0"/>
    <n v="496541"/>
    <s v="DZNPRP58E10L425B"/>
    <s v="DI ZONNO PIETRO PAOLO"/>
    <s v="600 - Famiglie consumatrici"/>
    <m/>
    <s v="086 - ITALIA"/>
    <n v="1470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751"/>
    <x v="6"/>
    <x v="6"/>
    <x v="59"/>
    <n v="53850"/>
    <n v="109"/>
    <s v="053850_109"/>
    <s v="Discovery Day"/>
    <s v="Mai valutato"/>
    <m/>
    <n v="202506068047342"/>
    <n v="1093306667367"/>
    <n v="20250606"/>
    <s v="AA - Bonifico da e per estero "/>
    <m/>
    <s v="103 - HONG KONG"/>
    <s v="A     - Avere"/>
    <n v="21154.46"/>
    <n v="0"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x v="1"/>
    <x v="0"/>
    <x v="0"/>
    <n v="4026861"/>
    <x v="1"/>
    <x v="0"/>
    <s v="477"/>
    <s v="430"/>
    <s v="430477"/>
    <s v="Classe di rischio 3"/>
    <m/>
    <s v="Classe di rischio 3"/>
  </r>
  <r>
    <n v="348750"/>
    <x v="5"/>
    <x v="5"/>
    <x v="59"/>
    <n v="53850"/>
    <n v="273"/>
    <s v="053850_273"/>
    <s v="Discovery Day"/>
    <s v="Mai valutato"/>
    <m/>
    <n v="202506068048117"/>
    <n v="2733300001040"/>
    <n v="20250606"/>
    <s v="03 - Versamento contante cassa continua "/>
    <m/>
    <m/>
    <s v="A     - Avere"/>
    <n v="32500"/>
    <n v="32500"/>
    <n v="1615776"/>
    <s v="DBSNLC80T55E435P"/>
    <s v="DI BIASE ANGELICA"/>
    <s v="615 - Altre famiglie produttrici"/>
    <s v="472 - COMMERCIO AL DETTAGLIO DI PRODOTTI ALIMENTARI, BEVANDE E TABACCO IN ESERCIZI SPECIALIZZATI"/>
    <s v="086 - ITALIA"/>
    <n v="1765"/>
    <m/>
    <m/>
    <m/>
    <m/>
    <m/>
    <m/>
    <m/>
    <n v="0"/>
    <n v="202506"/>
    <x v="4"/>
    <x v="1"/>
    <x v="0"/>
    <n v="1615776"/>
    <x v="1"/>
    <x v="0"/>
    <s v="999"/>
    <s v="615"/>
    <s v="615999"/>
    <m/>
    <s v="1"/>
    <s v="Classe di rischio 3"/>
  </r>
  <r>
    <n v="348749"/>
    <x v="5"/>
    <x v="5"/>
    <x v="59"/>
    <n v="53850"/>
    <n v="287"/>
    <s v="053850_287"/>
    <s v="Discovery Day"/>
    <s v="Mai valutato"/>
    <m/>
    <s v="Vari (06/06/2025)"/>
    <n v="2873300001853"/>
    <n v="20250606"/>
    <s v="VV"/>
    <m/>
    <m/>
    <s v="A     - Avere"/>
    <n v="72046.12"/>
    <n v="3953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x v="2"/>
    <x v="1"/>
    <x v="0"/>
    <n v="3722213"/>
    <x v="1"/>
    <x v="1"/>
    <s v="463"/>
    <s v="430"/>
    <s v="430463"/>
    <s v="Classe di rischio 3"/>
    <m/>
    <s v="Classe di rischio 3"/>
  </r>
  <r>
    <n v="348748"/>
    <x v="5"/>
    <x v="5"/>
    <x v="59"/>
    <n v="53850"/>
    <n v="116"/>
    <s v="053850_116"/>
    <s v="Discovery Day"/>
    <s v="Mai valutato"/>
    <m/>
    <n v="202506068048048"/>
    <n v="2343300010453"/>
    <n v="20250606"/>
    <s v="03 - Versamento contante cassa continua "/>
    <m/>
    <m/>
    <s v="A     - Avere"/>
    <n v="126487.25"/>
    <n v="126487.2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747"/>
    <x v="2"/>
    <x v="2"/>
    <x v="59"/>
    <n v="53850"/>
    <n v="261"/>
    <s v="053850_261"/>
    <s v="Discovery Day"/>
    <s v="Mai valutato"/>
    <m/>
    <s v="202506067919553L"/>
    <n v="2613300001265"/>
    <n v="20250606"/>
    <s v="AA - Bonifico da e per estero "/>
    <m/>
    <s v="091 - PRINCIPATO DI MONACO"/>
    <s v="A     - Avere"/>
    <n v="25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48746"/>
    <x v="2"/>
    <x v="2"/>
    <x v="59"/>
    <n v="53850"/>
    <n v="174"/>
    <s v="053850_174"/>
    <s v="Discovery Day"/>
    <s v="Mai valutato"/>
    <m/>
    <s v="202506067917832L"/>
    <n v="1743302879664"/>
    <n v="20250606"/>
    <s v="AA - Bonifico da e per estero "/>
    <m/>
    <s v="261 - CROAZIA"/>
    <s v="D     - Dare"/>
    <n v="2500"/>
    <n v="0"/>
    <n v="4885492"/>
    <s v="CPTVTR63H18F376T"/>
    <s v="CAPITANIO VITTORIO"/>
    <s v="615 - Altre famiglie produttrici"/>
    <s v="011 - COLTIVAZIONE DI COLTURE AGRICOLE NON PERMANENTI"/>
    <s v="086 - ITALIA"/>
    <n v="720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48745"/>
    <x v="4"/>
    <x v="4"/>
    <x v="59"/>
    <n v="53850"/>
    <n v="267"/>
    <s v="053850_267"/>
    <s v="Discovery Day"/>
    <s v="Mai valutato"/>
    <m/>
    <s v="202506067922356L"/>
    <n v="2673300010262"/>
    <n v="20250606"/>
    <s v="SPECIAL"/>
    <m/>
    <m/>
    <s v="D     - Dare"/>
    <n v="1129.19"/>
    <n v="0"/>
    <n v="1616725"/>
    <n v="2694030798"/>
    <s v="MUZZI' SRL"/>
    <s v="430 - Imprese produttive"/>
    <s v="471 - COMMERCIO AL DETTAGLIO IN ESERCIZI NON SPECIALIZZATI"/>
    <s v="086 - ITALIA"/>
    <n v="1878"/>
    <m/>
    <m/>
    <m/>
    <m/>
    <m/>
    <m/>
    <m/>
    <n v="0"/>
    <n v="202506"/>
    <x v="4"/>
    <x v="1"/>
    <x v="0"/>
    <n v="1616725"/>
    <x v="1"/>
    <x v="1"/>
    <s v="999"/>
    <s v="430"/>
    <s v="430999"/>
    <m/>
    <s v="1"/>
    <s v="Classe di rischio 1"/>
  </r>
  <r>
    <n v="348744"/>
    <x v="4"/>
    <x v="4"/>
    <x v="59"/>
    <n v="53850"/>
    <n v="117"/>
    <s v="053850_117"/>
    <s v="Discovery Day"/>
    <s v="Mai valutato"/>
    <m/>
    <s v="202506067921418L"/>
    <n v="1173300538726"/>
    <n v="20250606"/>
    <s v="SPECIAL"/>
    <m/>
    <m/>
    <s v="D     - Dare"/>
    <n v="1694.4"/>
    <n v="0"/>
    <n v="4784989"/>
    <n v="1269590772"/>
    <s v="FORASTIERI W. S.R.L."/>
    <s v="430 - Imprese produttive"/>
    <s v="473 - COMMERCIO AL DETTAGLIO DI CARBURANTE PER AUTOTRAZIONE IN ESERCIZI SPECIALIZZATI"/>
    <s v="086 - ITALIA"/>
    <n v="1926"/>
    <m/>
    <m/>
    <m/>
    <m/>
    <m/>
    <m/>
    <m/>
    <n v="0"/>
    <n v="202506"/>
    <x v="4"/>
    <x v="1"/>
    <x v="0"/>
    <n v="4784989"/>
    <x v="1"/>
    <x v="1"/>
    <s v="999"/>
    <s v="430"/>
    <s v="430999"/>
    <m/>
    <s v="1"/>
    <s v="Classe di rischio 1"/>
  </r>
  <r>
    <n v="348743"/>
    <x v="5"/>
    <x v="5"/>
    <x v="59"/>
    <n v="53850"/>
    <n v="279"/>
    <s v="053850_279"/>
    <s v="Discovery Day"/>
    <s v="Mai valutato"/>
    <m/>
    <n v="202506068048669"/>
    <n v="2793300011675"/>
    <n v="20250606"/>
    <s v="D1 - Versamento di contante "/>
    <m/>
    <m/>
    <s v="A     - Avere"/>
    <n v="20600"/>
    <n v="20600"/>
    <n v="3745333"/>
    <s v="MCNRME56M23I526H"/>
    <s v="AMICONE REMO"/>
    <s v="600 - Famiglie consumatrici"/>
    <m/>
    <s v="086 - ITALIA"/>
    <n v="1847"/>
    <m/>
    <m/>
    <m/>
    <m/>
    <m/>
    <m/>
    <m/>
    <n v="0"/>
    <n v="202506"/>
    <x v="2"/>
    <x v="1"/>
    <x v="0"/>
    <n v="3745333"/>
    <x v="1"/>
    <x v="0"/>
    <s v="999"/>
    <s v="600"/>
    <s v="600999"/>
    <s v="Classe di rischio 7"/>
    <m/>
    <s v="Classe di rischio 7"/>
  </r>
  <r>
    <n v="348742"/>
    <x v="3"/>
    <x v="3"/>
    <x v="59"/>
    <n v="53850"/>
    <n v="109"/>
    <s v="053850_109"/>
    <s v="Discovery Day"/>
    <s v="Mai valutato"/>
    <m/>
    <n v="202506068048241"/>
    <n v="1093306674139"/>
    <n v="20250606"/>
    <s v="G7 - Versamento assegno circolare altro intermediario "/>
    <m/>
    <m/>
    <s v="A     - Avere"/>
    <n v="395000"/>
    <n v="0"/>
    <n v="435408"/>
    <s v="MNDGCR53R04A662V"/>
    <s v="AMENDONI GIANCARLO"/>
    <s v="600 - Famiglie consumatrici"/>
    <m/>
    <s v="086 - ITALIA"/>
    <n v="778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41"/>
    <x v="6"/>
    <x v="6"/>
    <x v="59"/>
    <n v="53850"/>
    <n v="267"/>
    <s v="053850_267"/>
    <s v="Discovery Day"/>
    <s v="Mai valutato"/>
    <m/>
    <n v="202506068047348"/>
    <n v="2673300010274"/>
    <n v="20250606"/>
    <s v="AA - Bonifico da e per estero "/>
    <m/>
    <s v="076 - TURCHIA"/>
    <s v="D     - Dare"/>
    <n v="36359.74"/>
    <n v="0"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740"/>
    <x v="5"/>
    <x v="5"/>
    <x v="59"/>
    <n v="53850"/>
    <n v="161"/>
    <s v="053850_161"/>
    <s v="Discovery Day"/>
    <s v="Mai valutato"/>
    <m/>
    <s v="Vari (06/06/2025)"/>
    <n v="1613300031333"/>
    <n v="20250606"/>
    <s v="VV"/>
    <m/>
    <m/>
    <s v="A     - Avere"/>
    <n v="39001.15"/>
    <n v="3500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6"/>
    <x v="4"/>
    <x v="1"/>
    <x v="0"/>
    <n v="511904"/>
    <x v="1"/>
    <x v="1"/>
    <s v="999"/>
    <s v="615"/>
    <s v="615999"/>
    <m/>
    <s v="1"/>
    <s v="Classe di rischio 3"/>
  </r>
  <r>
    <n v="348739"/>
    <x v="4"/>
    <x v="4"/>
    <x v="59"/>
    <n v="53850"/>
    <n v="102"/>
    <s v="053850_102"/>
    <s v="Discovery Day"/>
    <s v="Mai valutato"/>
    <m/>
    <n v="202506068046908"/>
    <n v="1023308719030"/>
    <n v="20250606"/>
    <s v="48 - Bonifico in arrivo "/>
    <m/>
    <s v="086 - ITALIA"/>
    <s v="A     - Avere"/>
    <n v="1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x v="1"/>
    <x v="0"/>
    <x v="0"/>
    <m/>
    <x v="0"/>
    <x v="0"/>
    <s v="412"/>
    <s v="430"/>
    <s v="430412"/>
    <s v="Classe di rischio 3"/>
    <m/>
    <s v="Classe di rischio 3"/>
  </r>
  <r>
    <n v="348738"/>
    <x v="4"/>
    <x v="4"/>
    <x v="59"/>
    <n v="53850"/>
    <n v="105"/>
    <s v="053850_105"/>
    <s v="Discovery Day"/>
    <s v="Mai valutato"/>
    <m/>
    <s v="202506067915968L"/>
    <n v="1053306286975"/>
    <n v="20250606"/>
    <s v="SPECIAL"/>
    <m/>
    <m/>
    <s v="D     - Dare"/>
    <n v="1184.79"/>
    <n v="0"/>
    <n v="434072"/>
    <s v="PRFVRN32P14L472Z"/>
    <s v="PERFIDO VITO ORONZO"/>
    <s v="600 - Famiglie consumatrici"/>
    <m/>
    <s v="086 - ITALIA"/>
    <n v="833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48737"/>
    <x v="5"/>
    <x v="5"/>
    <x v="59"/>
    <n v="53850"/>
    <n v="171"/>
    <s v="053850_171"/>
    <s v="Discovery Day"/>
    <s v="Mai valutato"/>
    <m/>
    <s v="Vari (06/06/2025)"/>
    <n v="1713305728950"/>
    <n v="20250606"/>
    <s v="03 - Versamento contante cassa continua "/>
    <m/>
    <m/>
    <s v="A     - Avere"/>
    <n v="323898.65999999997"/>
    <n v="323898.6599999999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48736"/>
    <x v="4"/>
    <x v="4"/>
    <x v="59"/>
    <n v="53850"/>
    <n v="173"/>
    <s v="053850_173"/>
    <s v="Discovery Day"/>
    <s v="Mai valutato"/>
    <m/>
    <s v="202506067923458L"/>
    <n v="1733302703033"/>
    <n v="20250606"/>
    <s v="SPECIAL"/>
    <m/>
    <m/>
    <s v="D     - Dare"/>
    <n v="3970.27"/>
    <n v="0"/>
    <n v="571081"/>
    <s v="DZNNLP33L01F923D"/>
    <s v="DI ZONNO NICOLA PIETRO"/>
    <s v="600 - Famiglie consumatrici"/>
    <m/>
    <s v="086 - ITALIA"/>
    <n v="1179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735"/>
    <x v="5"/>
    <x v="5"/>
    <x v="59"/>
    <n v="53850"/>
    <n v="174"/>
    <s v="053850_174"/>
    <s v="Discovery Day"/>
    <s v="Mai valutato"/>
    <m/>
    <s v="Vari (06/06/2025)"/>
    <n v="1743302879903"/>
    <n v="20250606"/>
    <s v="VV"/>
    <m/>
    <m/>
    <s v="A     - Avere"/>
    <n v="49205.23"/>
    <n v="45000"/>
    <n v="4928259"/>
    <n v="8287320728"/>
    <s v="MARINGELLI ORTOFRUTTA SOCIETA' A RESPONSABIL"/>
    <s v="430 - Imprese produttive"/>
    <s v="463 - COMMERCIO ALL'INGROSSO DI PRODOTTI ALIMENTARI, BEVANDE E PRODOTTI DEL TABACCO"/>
    <s v="086 - ITALIA"/>
    <n v="448"/>
    <m/>
    <m/>
    <m/>
    <m/>
    <m/>
    <m/>
    <m/>
    <n v="0"/>
    <n v="202506"/>
    <x v="2"/>
    <x v="1"/>
    <x v="0"/>
    <n v="4928259"/>
    <x v="1"/>
    <x v="1"/>
    <s v="463"/>
    <s v="430"/>
    <s v="430463"/>
    <s v="Classe di rischio 3"/>
    <m/>
    <s v="Classe di rischio 3"/>
  </r>
  <r>
    <n v="348734"/>
    <x v="4"/>
    <x v="4"/>
    <x v="59"/>
    <n v="53850"/>
    <n v="134"/>
    <s v="053850_134"/>
    <s v="Discovery Day"/>
    <s v="Mai valutato"/>
    <m/>
    <n v="202506068048357"/>
    <n v="1303300001226"/>
    <n v="20250606"/>
    <s v="SPECIAL"/>
    <m/>
    <m/>
    <s v="D     - Dare"/>
    <n v="26834.720000000001"/>
    <n v="0"/>
    <n v="4005229"/>
    <s v="DNDMRA44C63A020E"/>
    <s v="D'ANDRIA MARIA"/>
    <s v="600 - Famiglie consumatrici"/>
    <m/>
    <s v="086 - ITALIA"/>
    <n v="801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733"/>
    <x v="4"/>
    <x v="4"/>
    <x v="59"/>
    <n v="53850"/>
    <n v="181"/>
    <s v="053850_181"/>
    <s v="Discovery Day"/>
    <s v="Mai valutato"/>
    <m/>
    <n v="202506068048512"/>
    <n v="1813300010594"/>
    <n v="20250606"/>
    <s v="SPECIAL"/>
    <m/>
    <m/>
    <s v="D     - Dare"/>
    <n v="18063.330000000002"/>
    <n v="0"/>
    <n v="601835"/>
    <n v="83003310725"/>
    <s v="TRIBUNALE DI TRANI"/>
    <s v="102 - Amministrazione Statale e Organi Costituzionali"/>
    <m/>
    <s v="086 - ITALIA"/>
    <n v="1401"/>
    <m/>
    <m/>
    <m/>
    <m/>
    <m/>
    <m/>
    <m/>
    <n v="0"/>
    <n v="202506"/>
    <x v="2"/>
    <x v="1"/>
    <x v="0"/>
    <m/>
    <x v="0"/>
    <x v="1"/>
    <s v="999"/>
    <s v="102"/>
    <s v="102999"/>
    <s v="Classe di rischio 0"/>
    <m/>
    <s v="Classe di rischio 0"/>
  </r>
  <r>
    <n v="348732"/>
    <x v="2"/>
    <x v="2"/>
    <x v="59"/>
    <n v="53850"/>
    <n v="111"/>
    <s v="053850_111"/>
    <s v="Discovery Day"/>
    <s v="Mai valutato"/>
    <m/>
    <n v="202506068045588"/>
    <n v="1113305626850"/>
    <n v="20250606"/>
    <s v="AA - Bonifico da e per estero "/>
    <m/>
    <s v="261 - CROAZIA"/>
    <s v="D     - Dare"/>
    <n v="500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31"/>
    <x v="6"/>
    <x v="6"/>
    <x v="59"/>
    <n v="53850"/>
    <n v="226"/>
    <s v="053850_226"/>
    <s v="Discovery Day"/>
    <s v="Mai valutato"/>
    <m/>
    <n v="202506068047007"/>
    <n v="1453300003928"/>
    <n v="20250606"/>
    <s v="AA - Bonifico da e per estero "/>
    <m/>
    <s v="071 - SVIZZERA"/>
    <s v="A     - Avere"/>
    <n v="30000"/>
    <n v="0"/>
    <n v="3726295"/>
    <n v="10503411216"/>
    <s v="MHARE S.R.L."/>
    <s v="430 - Imprese produttive"/>
    <s v="721 - RICERCA E SVILUPPO SPERIMENTALE NEL CAMPO DELLE SCIENZE NATURALI E DELL'INGEGNERIA"/>
    <s v="086 - ITALIA"/>
    <n v="1932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730"/>
    <x v="4"/>
    <x v="4"/>
    <x v="59"/>
    <n v="53850"/>
    <n v="105"/>
    <s v="053850_105"/>
    <s v="Discovery Day"/>
    <s v="Mai valutato"/>
    <m/>
    <n v="202506068048227"/>
    <n v="1053305150380"/>
    <n v="20250606"/>
    <s v="10 - Emisione assegni circolari e titoli similari vaglia"/>
    <m/>
    <m/>
    <s v="D     - Dare"/>
    <n v="200200"/>
    <n v="0"/>
    <n v="515038"/>
    <s v="SNSCMD63T11B619B"/>
    <s v="SINESI COSIMO DAMIANO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29"/>
    <x v="3"/>
    <x v="3"/>
    <x v="59"/>
    <n v="53850"/>
    <n v="161"/>
    <s v="053850_161"/>
    <s v="Discovery Day"/>
    <s v="Mai valutato"/>
    <m/>
    <s v="Vari (06/06/2025)"/>
    <n v="1613300029653"/>
    <n v="20250606"/>
    <s v="VV"/>
    <m/>
    <m/>
    <s v="A     - Avere"/>
    <n v="94634.78"/>
    <n v="1040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x v="1"/>
    <x v="0"/>
    <x v="0"/>
    <n v="4088769"/>
    <x v="1"/>
    <x v="1"/>
    <s v="464"/>
    <s v="430"/>
    <s v="430464"/>
    <s v="Classe di rischio 4"/>
    <m/>
    <s v="Classe di rischio 4"/>
  </r>
  <r>
    <n v="348728"/>
    <x v="4"/>
    <x v="4"/>
    <x v="59"/>
    <n v="53850"/>
    <n v="173"/>
    <s v="053850_173"/>
    <s v="Discovery Day"/>
    <s v="Mai valutato"/>
    <m/>
    <s v="202506067923458L"/>
    <n v="1733302703033"/>
    <n v="20250606"/>
    <s v="SPECIAL"/>
    <m/>
    <m/>
    <s v="D     - Dare"/>
    <n v="3970.27"/>
    <n v="0"/>
    <n v="571084"/>
    <s v="TTLGVN32H43L425I"/>
    <s v="OTTOLINO GIOVINA"/>
    <s v="600 - Famiglie consumatrici"/>
    <m/>
    <s v="086 - ITALIA"/>
    <m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727"/>
    <x v="4"/>
    <x v="4"/>
    <x v="59"/>
    <n v="53850"/>
    <n v="274"/>
    <s v="053850_274"/>
    <s v="Discovery Day"/>
    <s v="Mai valutato"/>
    <m/>
    <n v="202506068048663"/>
    <n v="2743300010228"/>
    <n v="20250606"/>
    <s v="SPECIAL"/>
    <m/>
    <m/>
    <s v="D     - Dare"/>
    <n v="8000.27"/>
    <n v="0"/>
    <n v="1665626"/>
    <s v="BSNLVI26R17F196D"/>
    <s v="BIASONE LIVIO"/>
    <s v="600 - Famiglie consumatrici"/>
    <m/>
    <s v="086 - ITALIA"/>
    <n v="1751"/>
    <m/>
    <m/>
    <m/>
    <m/>
    <m/>
    <m/>
    <m/>
    <n v="0"/>
    <n v="202506"/>
    <x v="0"/>
    <x v="0"/>
    <x v="0"/>
    <m/>
    <x v="0"/>
    <x v="1"/>
    <s v="999"/>
    <s v="600"/>
    <s v="600999"/>
    <s v="Classe di rischio 7"/>
    <m/>
    <s v="Classe di rischio 7"/>
  </r>
  <r>
    <n v="348726"/>
    <x v="4"/>
    <x v="4"/>
    <x v="59"/>
    <n v="53850"/>
    <n v="192"/>
    <s v="053850_192"/>
    <s v="Discovery Day"/>
    <s v="Mai valutato"/>
    <m/>
    <n v="202506068046636"/>
    <n v="1923300182666"/>
    <n v="20250606"/>
    <s v="48 - Bonifico in arrivo "/>
    <m/>
    <s v="086 - ITALIA"/>
    <s v="A     - Avere"/>
    <n v="50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48725"/>
    <x v="4"/>
    <x v="4"/>
    <x v="59"/>
    <n v="53850"/>
    <n v="268"/>
    <s v="053850_268"/>
    <s v="Discovery Day"/>
    <s v="Mai valutato"/>
    <m/>
    <n v="202506068048083"/>
    <n v="2683300000171"/>
    <n v="20250606"/>
    <s v="25 - Pagamento di documenti su Italia "/>
    <m/>
    <m/>
    <s v="D     - Dare"/>
    <n v="1424724.92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724"/>
    <x v="5"/>
    <x v="5"/>
    <x v="59"/>
    <n v="53850"/>
    <n v="190"/>
    <s v="053850_190"/>
    <s v="Discovery Day"/>
    <s v="Mai valutato"/>
    <m/>
    <n v="202506068047992"/>
    <n v="1903300007929"/>
    <n v="20250606"/>
    <s v="03 - Versamento contante cassa continua "/>
    <m/>
    <m/>
    <s v="A     - Avere"/>
    <n v="16300"/>
    <n v="16300"/>
    <n v="3034190"/>
    <s v="QRULBT64S59L049H"/>
    <s v="QUERO ELISABETTA"/>
    <s v="615 - Altre famiglie produttrici"/>
    <s v="477 - COMMERCIO AL DETTAGLIO DI ALTRI PRODOTTI IN ESERCIZI SPECIALIZZATI"/>
    <s v="086 - ITALIA"/>
    <n v="1361"/>
    <m/>
    <m/>
    <m/>
    <m/>
    <m/>
    <m/>
    <m/>
    <n v="0"/>
    <n v="202506"/>
    <x v="3"/>
    <x v="1"/>
    <x v="0"/>
    <n v="3034190"/>
    <x v="1"/>
    <x v="0"/>
    <s v="477"/>
    <s v="615"/>
    <s v="615477"/>
    <s v="Classe di rischio 6"/>
    <m/>
    <s v="Classe di rischio 6"/>
  </r>
  <r>
    <n v="348723"/>
    <x v="5"/>
    <x v="5"/>
    <x v="59"/>
    <n v="53850"/>
    <n v="134"/>
    <s v="053850_134"/>
    <s v="Discovery Day"/>
    <s v="Mai valutato"/>
    <m/>
    <s v="Vari (06/06/2025)"/>
    <n v="1343300002724"/>
    <n v="20250606"/>
    <s v="VV"/>
    <m/>
    <m/>
    <s v="A     - Avere"/>
    <n v="40325"/>
    <n v="36670"/>
    <n v="4876967"/>
    <s v="VNBDNC68D02Z401N"/>
    <s v="VIENIBENE DOMENICO"/>
    <s v="615 - Altre famiglie produttrici"/>
    <s v="478 - COMMERCIO AL DETTAGLIO AMBULANTE"/>
    <s v="086 - ITALIA"/>
    <n v="1562"/>
    <m/>
    <m/>
    <m/>
    <m/>
    <m/>
    <m/>
    <m/>
    <n v="0"/>
    <n v="202506"/>
    <x v="4"/>
    <x v="1"/>
    <x v="0"/>
    <n v="4876967"/>
    <x v="1"/>
    <x v="1"/>
    <s v="999"/>
    <s v="615"/>
    <s v="615999"/>
    <m/>
    <s v="1"/>
    <s v="Classe di rischio 3"/>
  </r>
  <r>
    <n v="348722"/>
    <x v="3"/>
    <x v="3"/>
    <x v="59"/>
    <n v="53850"/>
    <n v="171"/>
    <s v="053850_171"/>
    <s v="Discovery Day"/>
    <s v="Mai valutato"/>
    <m/>
    <s v="Vari (06/06/2025)"/>
    <n v="1713305728950"/>
    <n v="20250606"/>
    <s v="03 - Versamento contante cassa continua "/>
    <m/>
    <m/>
    <s v="A     - Avere"/>
    <n v="323898.65999999997"/>
    <n v="323898.65999999997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48721"/>
    <x v="4"/>
    <x v="4"/>
    <x v="59"/>
    <n v="53850"/>
    <n v="174"/>
    <s v="053850_174"/>
    <s v="Discovery Day"/>
    <s v="Mai valutato"/>
    <m/>
    <n v="202506058047514"/>
    <n v="1740050064849"/>
    <n v="20250605"/>
    <s v="C1 - Trasferim.titoli tra dossier(uscita) "/>
    <m/>
    <m/>
    <s v="D     - Dare"/>
    <n v="238758.39999999999"/>
    <n v="0"/>
    <n v="4060269"/>
    <s v="DMRVTI73M03F376T"/>
    <s v="DE MARTINO VITO"/>
    <s v="600 - Famiglie consumatrici"/>
    <m/>
    <s v="086 - ITALIA"/>
    <n v="448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20"/>
    <x v="3"/>
    <x v="3"/>
    <x v="60"/>
    <n v="53850"/>
    <n v="116"/>
    <s v="053850_116"/>
    <s v="Discovery Day"/>
    <s v="Mai valutato"/>
    <m/>
    <n v="202506058044914"/>
    <n v="2343300010453"/>
    <n v="20250605"/>
    <s v="03 - Versamento contante cassa continua "/>
    <m/>
    <m/>
    <s v="A     - Avere"/>
    <n v="88073.8"/>
    <n v="88073.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719"/>
    <x v="7"/>
    <x v="7"/>
    <x v="60"/>
    <n v="53850"/>
    <n v="99"/>
    <s v="053850_99"/>
    <s v="Discovery Day"/>
    <s v="Mai valutato"/>
    <m/>
    <n v="202506058044119"/>
    <m/>
    <n v="20250605"/>
    <s v="48 - Bonifico in arrivo "/>
    <m/>
    <s v="086 - ITALIA"/>
    <s v="A     - Avere"/>
    <n v="1276347.6399999999"/>
    <n v="0"/>
    <n v="1900001"/>
    <n v="604840777"/>
    <s v="BANCA POPOLARE DI PUGLIA E BASILICATA SOCIETA' COOPERATIVA PER AZIONI"/>
    <s v="245 - Sistema bancario"/>
    <s v="641 - INTERMEDIAZIONE MONETARIA"/>
    <s v="086 - ITALIA"/>
    <m/>
    <m/>
    <m/>
    <m/>
    <m/>
    <m/>
    <m/>
    <m/>
    <n v="0"/>
    <n v="202506"/>
    <x v="3"/>
    <x v="1"/>
    <x v="1"/>
    <n v="1900001"/>
    <x v="1"/>
    <x v="0"/>
    <s v="999"/>
    <s v="245"/>
    <s v="245999"/>
    <m/>
    <s v="1"/>
    <s v="Classe di rischio 0"/>
  </r>
  <r>
    <n v="348718"/>
    <x v="4"/>
    <x v="4"/>
    <x v="60"/>
    <n v="53850"/>
    <n v="192"/>
    <s v="053850_192"/>
    <s v="Discovery Day"/>
    <s v="Mai valutato"/>
    <m/>
    <n v="202506058044158"/>
    <n v="1923300182666"/>
    <n v="20250605"/>
    <s v="48 - Bonifico in arrivo "/>
    <m/>
    <s v="086 - ITALIA"/>
    <s v="A     - Avere"/>
    <n v="640000"/>
    <n v="0"/>
    <n v="3007445"/>
    <n v="1846730735"/>
    <s v="GENERAL TRADE S.P.A."/>
    <s v="430 - Imprese produttive"/>
    <s v="464 - COMMERCIO ALL'INGROSSO DI BENI DI CONSUMO FINALE"/>
    <s v="086 - ITALIA"/>
    <n v="1627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48717"/>
    <x v="5"/>
    <x v="5"/>
    <x v="60"/>
    <n v="53850"/>
    <n v="259"/>
    <s v="053850_259"/>
    <s v="Discovery Day"/>
    <s v="Mai valutato"/>
    <m/>
    <s v="Vari (05/06/2025)"/>
    <n v="2593300000146"/>
    <n v="20250605"/>
    <s v="VV"/>
    <m/>
    <m/>
    <s v="A     - Avere"/>
    <n v="38649.93"/>
    <n v="37300"/>
    <n v="4574357"/>
    <n v="5690380729"/>
    <s v="FRUTTATTIVA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4"/>
    <x v="1"/>
    <x v="0"/>
    <n v="4574357"/>
    <x v="1"/>
    <x v="1"/>
    <s v="463"/>
    <s v="430"/>
    <s v="430463"/>
    <s v="Classe di rischio 3"/>
    <m/>
    <s v="Classe di rischio 3"/>
  </r>
  <r>
    <n v="348716"/>
    <x v="3"/>
    <x v="3"/>
    <x v="60"/>
    <n v="53850"/>
    <n v="174"/>
    <s v="053850_174"/>
    <s v="Discovery Day"/>
    <s v="Mai valutato"/>
    <m/>
    <n v="202506058045380"/>
    <n v="1743302880040"/>
    <n v="20250605"/>
    <s v="G7 - Versamento assegno circolare altro intermediario "/>
    <m/>
    <m/>
    <s v="A     - Avere"/>
    <n v="100687.5"/>
    <n v="0"/>
    <n v="4945451"/>
    <s v="CVLNGL78R24F376R"/>
    <s v="CAVALIERE ANGELO"/>
    <s v="600 - Famiglie consumatrici"/>
    <m/>
    <s v="086 - ITALIA"/>
    <n v="110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15"/>
    <x v="4"/>
    <x v="4"/>
    <x v="60"/>
    <n v="53850"/>
    <n v="102"/>
    <s v="053850_102"/>
    <s v="Discovery Day"/>
    <s v="Mai valutato"/>
    <m/>
    <n v="202506058043310"/>
    <n v="1023308719030"/>
    <n v="20250605"/>
    <s v="48 - Bonifico in arrivo "/>
    <m/>
    <s v="086 - ITALIA"/>
    <s v="A     - Avere"/>
    <n v="10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x v="1"/>
    <x v="0"/>
    <x v="0"/>
    <m/>
    <x v="0"/>
    <x v="0"/>
    <s v="412"/>
    <s v="430"/>
    <s v="430412"/>
    <s v="Classe di rischio 3"/>
    <m/>
    <s v="Classe di rischio 3"/>
  </r>
  <r>
    <n v="348714"/>
    <x v="5"/>
    <x v="5"/>
    <x v="60"/>
    <n v="53850"/>
    <n v="114"/>
    <s v="053850_114"/>
    <s v="Discovery Day"/>
    <s v="Mai valutato"/>
    <m/>
    <n v="202506058045190"/>
    <n v="1143306280621"/>
    <n v="20250605"/>
    <s v="D1 - Versamento di contante "/>
    <m/>
    <m/>
    <s v="A     - Avere"/>
    <n v="54600"/>
    <n v="5460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x v="1"/>
    <x v="0"/>
    <x v="0"/>
    <n v="4658875"/>
    <x v="1"/>
    <x v="0"/>
    <s v="477"/>
    <s v="430"/>
    <s v="430477"/>
    <s v="Classe di rischio 3"/>
    <m/>
    <s v="Classe di rischio 3"/>
  </r>
  <r>
    <n v="348713"/>
    <x v="4"/>
    <x v="4"/>
    <x v="60"/>
    <n v="53850"/>
    <n v="104"/>
    <s v="053850_104"/>
    <s v="Discovery Day"/>
    <s v="Mai valutato"/>
    <m/>
    <n v="202506058044539"/>
    <n v="1043304173550"/>
    <n v="20250605"/>
    <s v="31 - Effetti ritirati "/>
    <m/>
    <m/>
    <s v="D     - Dare"/>
    <n v="362243.12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6"/>
    <x v="2"/>
    <x v="1"/>
    <x v="0"/>
    <n v="417355"/>
    <x v="1"/>
    <x v="0"/>
    <s v="464"/>
    <s v="430"/>
    <s v="430464"/>
    <s v="Classe di rischio 4"/>
    <m/>
    <s v="Classe di rischio 4"/>
  </r>
  <r>
    <n v="348712"/>
    <x v="5"/>
    <x v="5"/>
    <x v="60"/>
    <n v="53850"/>
    <n v="116"/>
    <s v="053850_116"/>
    <s v="Discovery Day"/>
    <s v="Mai valutato"/>
    <m/>
    <n v="202506058044914"/>
    <n v="2343300010453"/>
    <n v="20250605"/>
    <s v="03 - Versamento contante cassa continua "/>
    <m/>
    <m/>
    <s v="A     - Avere"/>
    <n v="88073.8"/>
    <n v="88073.8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711"/>
    <x v="4"/>
    <x v="4"/>
    <x v="60"/>
    <n v="53850"/>
    <n v="102"/>
    <s v="053850_102"/>
    <s v="Discovery Day"/>
    <s v="Mai valutato"/>
    <m/>
    <s v="202506057868829L"/>
    <n v="2333300010665"/>
    <n v="20250605"/>
    <s v="SPECIAL"/>
    <m/>
    <m/>
    <s v="D     - Dare"/>
    <n v="2929.56"/>
    <n v="0"/>
    <n v="4731205"/>
    <s v="CRQJSC89P61D810I"/>
    <s v="CERQUOZZI JESSICA"/>
    <s v="600 - Famiglie consumatrici"/>
    <m/>
    <s v="086 - ITALIA"/>
    <m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710"/>
    <x v="5"/>
    <x v="5"/>
    <x v="60"/>
    <n v="53850"/>
    <n v="287"/>
    <s v="053850_287"/>
    <s v="Discovery Day"/>
    <s v="Mai valutato"/>
    <m/>
    <s v="Vari (05/06/2025)"/>
    <n v="2873300001853"/>
    <n v="20250605"/>
    <s v="VV"/>
    <m/>
    <m/>
    <s v="A     - Avere"/>
    <n v="49494.82"/>
    <n v="3499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x v="2"/>
    <x v="1"/>
    <x v="0"/>
    <n v="3722213"/>
    <x v="1"/>
    <x v="1"/>
    <s v="463"/>
    <s v="430"/>
    <s v="430463"/>
    <s v="Classe di rischio 3"/>
    <m/>
    <s v="Classe di rischio 3"/>
  </r>
  <r>
    <n v="348709"/>
    <x v="2"/>
    <x v="2"/>
    <x v="60"/>
    <n v="53850"/>
    <n v="273"/>
    <s v="053850_273"/>
    <s v="Discovery Day"/>
    <s v="Mai valutato"/>
    <m/>
    <s v="202506057873226L"/>
    <n v="2733300000307"/>
    <n v="20250605"/>
    <s v="AA - Bonifico da e per estero "/>
    <m/>
    <s v="261 - CROAZIA"/>
    <s v="A     - Avere"/>
    <n v="1590"/>
    <n v="0"/>
    <n v="1610982"/>
    <s v="ZZTGPP65R19I158M"/>
    <s v="IZZOTTI GIUSEPPE"/>
    <s v="600 - Famiglie consumatrici"/>
    <m/>
    <s v="086 - ITALIA"/>
    <n v="1295"/>
    <m/>
    <m/>
    <m/>
    <m/>
    <m/>
    <m/>
    <m/>
    <n v="0"/>
    <n v="202506"/>
    <x v="4"/>
    <x v="1"/>
    <x v="0"/>
    <m/>
    <x v="0"/>
    <x v="0"/>
    <s v="999"/>
    <s v="600"/>
    <s v="600999"/>
    <s v="Classe di rischio 7"/>
    <m/>
    <s v="Classe di rischio 7"/>
  </r>
  <r>
    <n v="348708"/>
    <x v="5"/>
    <x v="5"/>
    <x v="60"/>
    <n v="53850"/>
    <n v="269"/>
    <s v="053850_269"/>
    <s v="Discovery Day"/>
    <s v="Mai valutato"/>
    <m/>
    <s v="Vari (05/06/2025)"/>
    <n v="2693300001614"/>
    <n v="20250605"/>
    <s v="D1 - Versamento di contante "/>
    <m/>
    <m/>
    <s v="A     - Avere"/>
    <n v="41670"/>
    <n v="41670"/>
    <n v="1695085"/>
    <s v="DSMTRS79H45E372P"/>
    <s v="DE SIMONE TERESA"/>
    <s v="615 - Altre famiglie produttrici"/>
    <s v="472 - COMMERCIO AL DETTAGLIO DI PRODOTTI ALIMENTARI, BEVANDE E TABACCO IN ESERCIZI SPECIALIZZATI"/>
    <s v="086 - ITALIA"/>
    <n v="1805"/>
    <m/>
    <m/>
    <m/>
    <m/>
    <m/>
    <m/>
    <m/>
    <n v="0"/>
    <n v="202506"/>
    <x v="4"/>
    <x v="1"/>
    <x v="0"/>
    <n v="1695085"/>
    <x v="1"/>
    <x v="0"/>
    <s v="999"/>
    <s v="615"/>
    <s v="615999"/>
    <m/>
    <s v="1"/>
    <s v="Classe di rischio 3"/>
  </r>
  <r>
    <n v="348707"/>
    <x v="3"/>
    <x v="3"/>
    <x v="60"/>
    <n v="53850"/>
    <n v="171"/>
    <s v="053850_171"/>
    <s v="Discovery Day"/>
    <s v="Mai valutato"/>
    <m/>
    <s v="Vari (05/06/2025)"/>
    <n v="1713305728950"/>
    <n v="20250605"/>
    <s v="03 - Versamento contante cassa continua "/>
    <m/>
    <m/>
    <s v="A     - Avere"/>
    <n v="448704.1"/>
    <n v="448704.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48706"/>
    <x v="4"/>
    <x v="4"/>
    <x v="60"/>
    <n v="53850"/>
    <n v="175"/>
    <s v="053850_175"/>
    <s v="Discovery Day"/>
    <s v="Mai valutato"/>
    <m/>
    <n v="202506058042566"/>
    <n v="1753305636160"/>
    <n v="20250605"/>
    <s v="26 - Bonifico in partenza "/>
    <m/>
    <s v="086 - ITALIA"/>
    <s v="D     - Dare"/>
    <n v="306431.34999999998"/>
    <n v="0"/>
    <n v="563616"/>
    <n v="55560775"/>
    <s v="V.I.M. S.R.L. VENDITA INGROSSO MEDICINALI"/>
    <s v="430 - Imprese produttive"/>
    <s v="464 - COMMERCIO ALL'INGROSSO DI BENI DI CONSUMO FINALE"/>
    <s v="086 - ITALIA"/>
    <n v="739"/>
    <m/>
    <m/>
    <m/>
    <m/>
    <m/>
    <m/>
    <m/>
    <n v="0"/>
    <n v="202506"/>
    <x v="3"/>
    <x v="1"/>
    <x v="0"/>
    <m/>
    <x v="0"/>
    <x v="0"/>
    <s v="464"/>
    <s v="430"/>
    <s v="430464"/>
    <s v="Classe di rischio 4"/>
    <m/>
    <s v="Classe di rischio 4"/>
  </r>
  <r>
    <n v="348705"/>
    <x v="5"/>
    <x v="5"/>
    <x v="60"/>
    <n v="53850"/>
    <n v="102"/>
    <s v="053850_102"/>
    <s v="Discovery Day"/>
    <s v="Mai valutato"/>
    <m/>
    <s v="Vari (05/06/2025)"/>
    <n v="1023308722503"/>
    <n v="20250605"/>
    <s v="VV"/>
    <m/>
    <m/>
    <s v="A     - Avere"/>
    <n v="39310"/>
    <n v="3931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1"/>
    <s v="920"/>
    <s v="492"/>
    <s v="492920"/>
    <s v="Classe di rischio 5"/>
    <m/>
    <s v="Classe di rischio 5"/>
  </r>
  <r>
    <n v="348704"/>
    <x v="4"/>
    <x v="4"/>
    <x v="60"/>
    <n v="53850"/>
    <n v="108"/>
    <s v="053850_108"/>
    <s v="Discovery Day"/>
    <s v="Mai valutato"/>
    <m/>
    <n v="202506058044562"/>
    <n v="1083306290997"/>
    <n v="20250605"/>
    <s v="13 - Addebito per estinzione assegno"/>
    <m/>
    <m/>
    <s v="D     - Dare"/>
    <n v="238000"/>
    <n v="0"/>
    <n v="487505"/>
    <s v="RCCLGU50P09F915I"/>
    <s v="RICCIARDI LUIGI"/>
    <s v="600 - Famiglie consumatrici"/>
    <m/>
    <s v="086 - ITALIA"/>
    <n v="66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703"/>
    <x v="4"/>
    <x v="4"/>
    <x v="60"/>
    <n v="53850"/>
    <n v="188"/>
    <s v="053850_188"/>
    <s v="Discovery Day"/>
    <s v="Mai valutato"/>
    <m/>
    <n v="202506058042825"/>
    <n v="1883300028081"/>
    <n v="20250605"/>
    <s v="39 - Disposizione per emolumenti"/>
    <m/>
    <m/>
    <s v="D     - Dare"/>
    <n v="797953.32"/>
    <n v="0"/>
    <n v="3001543"/>
    <n v="943900738"/>
    <s v="CASA DI CURA VILLA VERDE FRANCO AUSIELLO S.R"/>
    <s v="430 - Imprese produttive"/>
    <s v="861 - SERVIZI OSPEDALIERI"/>
    <s v="086 - ITALIA"/>
    <n v="1627"/>
    <m/>
    <m/>
    <m/>
    <m/>
    <m/>
    <m/>
    <m/>
    <n v="0"/>
    <n v="202506"/>
    <x v="2"/>
    <x v="1"/>
    <x v="0"/>
    <n v="3001543"/>
    <x v="1"/>
    <x v="0"/>
    <s v="999"/>
    <s v="430"/>
    <s v="430999"/>
    <m/>
    <s v="1"/>
    <s v="Classe di rischio 1"/>
  </r>
  <r>
    <n v="348702"/>
    <x v="4"/>
    <x v="4"/>
    <x v="60"/>
    <n v="53850"/>
    <n v="109"/>
    <s v="053850_109"/>
    <s v="Discovery Day"/>
    <s v="Mai valutato"/>
    <m/>
    <n v="202506058044566"/>
    <n v="1093304102436"/>
    <n v="20250605"/>
    <s v="31 - Effetti ritirati "/>
    <m/>
    <m/>
    <s v="D     - Dare"/>
    <n v="345635.16"/>
    <n v="0"/>
    <n v="4142804"/>
    <n v="4794510729"/>
    <s v="ACMEI SUD SPA"/>
    <s v="430 - Imprese produttive"/>
    <s v="464 - COMMERCIO ALL'INGROSSO DI BENI DI CONSUMO FINALE"/>
    <s v="086 - ITALIA"/>
    <n v="1919"/>
    <m/>
    <m/>
    <m/>
    <m/>
    <m/>
    <m/>
    <m/>
    <n v="0"/>
    <n v="202506"/>
    <x v="1"/>
    <x v="0"/>
    <x v="0"/>
    <m/>
    <x v="0"/>
    <x v="0"/>
    <s v="464"/>
    <s v="430"/>
    <s v="430464"/>
    <s v="Classe di rischio 4"/>
    <m/>
    <s v="Classe di rischio 4"/>
  </r>
  <r>
    <n v="348701"/>
    <x v="5"/>
    <x v="5"/>
    <x v="60"/>
    <n v="53850"/>
    <n v="171"/>
    <s v="053850_171"/>
    <s v="Discovery Day"/>
    <s v="Mai valutato"/>
    <m/>
    <s v="Vari (05/06/2025)"/>
    <n v="1713302214147"/>
    <n v="20250605"/>
    <s v="03 - Versamento contante cassa continua "/>
    <m/>
    <m/>
    <s v="A     - Avere"/>
    <n v="174585"/>
    <n v="17458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48700"/>
    <x v="2"/>
    <x v="2"/>
    <x v="60"/>
    <n v="53850"/>
    <n v="174"/>
    <s v="053850_174"/>
    <s v="Discovery Day"/>
    <s v="Mai valutato"/>
    <m/>
    <s v="202506057877520L"/>
    <n v="1743302877913"/>
    <n v="20250605"/>
    <s v="AA - Bonifico da e per estero "/>
    <m/>
    <s v="261 - CROAZIA"/>
    <s v="A     - Avere"/>
    <n v="2584.3000000000002"/>
    <n v="0"/>
    <n v="4180010"/>
    <n v="5953650727"/>
    <s v="BARRACUDA S.A.S. DI DIROMA LEONARDO &amp; C."/>
    <s v="492 - Quasi societa' non finanziarie altre - Unita' o societa' con meno di 20 addetti"/>
    <s v="476 - COMMERCIO AL DETTAGLIO DI ARTICOLI CULTURALI E RICREATIVI IN ESERCIZI SPECIALIZZATI"/>
    <s v="086 - ITALIA"/>
    <n v="720"/>
    <m/>
    <m/>
    <m/>
    <m/>
    <m/>
    <m/>
    <m/>
    <n v="0"/>
    <n v="202506"/>
    <x v="2"/>
    <x v="1"/>
    <x v="0"/>
    <m/>
    <x v="0"/>
    <x v="0"/>
    <s v="999"/>
    <s v="492"/>
    <s v="492999"/>
    <m/>
    <s v="1"/>
    <s v="Classe di rischio 2"/>
  </r>
  <r>
    <n v="348699"/>
    <x v="4"/>
    <x v="4"/>
    <x v="60"/>
    <n v="53850"/>
    <n v="147"/>
    <s v="053850_147"/>
    <s v="Discovery Day"/>
    <s v="Mai valutato"/>
    <m/>
    <s v="202506057876360L"/>
    <n v="1473300002811"/>
    <n v="20250605"/>
    <s v="SPECIAL"/>
    <m/>
    <m/>
    <s v="D     - Dare"/>
    <n v="4754.72"/>
    <n v="0"/>
    <n v="4921138"/>
    <n v="92008910637"/>
    <s v="TRIBUNALE DI NOLA"/>
    <s v="102 - Amministrazione Statale e Organi Costituzionali"/>
    <m/>
    <s v="086 - ITALIA"/>
    <n v="1356"/>
    <m/>
    <m/>
    <m/>
    <m/>
    <m/>
    <m/>
    <m/>
    <n v="0"/>
    <n v="202506"/>
    <x v="2"/>
    <x v="1"/>
    <x v="0"/>
    <m/>
    <x v="0"/>
    <x v="1"/>
    <s v="999"/>
    <s v="102"/>
    <s v="102999"/>
    <s v="Classe di rischio 0"/>
    <m/>
    <s v="Classe di rischio 0"/>
  </r>
  <r>
    <n v="348698"/>
    <x v="4"/>
    <x v="4"/>
    <x v="60"/>
    <n v="53850"/>
    <n v="102"/>
    <s v="053850_102"/>
    <s v="Discovery Day"/>
    <s v="Mai valutato"/>
    <m/>
    <n v="202506058045064"/>
    <n v="1023308723686"/>
    <n v="20250605"/>
    <s v="26 - Bonifico in partenza "/>
    <m/>
    <s v="086 - ITALIA"/>
    <s v="D     - Dare"/>
    <n v="1536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6"/>
    <x v="1"/>
    <x v="0"/>
    <x v="0"/>
    <n v="531420"/>
    <x v="1"/>
    <x v="0"/>
    <s v="999"/>
    <s v="615"/>
    <s v="615999"/>
    <m/>
    <s v="1"/>
    <s v="Classe di rischio 3"/>
  </r>
  <r>
    <n v="348697"/>
    <x v="3"/>
    <x v="3"/>
    <x v="60"/>
    <n v="53850"/>
    <n v="110"/>
    <s v="053850_110"/>
    <s v="Discovery Day"/>
    <s v="Mai valutato"/>
    <m/>
    <n v="202506058045177"/>
    <n v="1103306287662"/>
    <n v="20250605"/>
    <s v="G1 - Versamento assegni tratti su altro intermediario "/>
    <m/>
    <m/>
    <s v="A     - Avere"/>
    <n v="200000"/>
    <n v="0"/>
    <n v="4014921"/>
    <s v="FRLGCH36S08A669I"/>
    <s v="FIORELLA GIOACCHINO"/>
    <s v="600 - Famiglie consumatrici"/>
    <m/>
    <s v="086 - ITALIA"/>
    <n v="1072"/>
    <m/>
    <m/>
    <m/>
    <m/>
    <m/>
    <m/>
    <m/>
    <n v="0"/>
    <n v="202506"/>
    <x v="4"/>
    <x v="1"/>
    <x v="0"/>
    <m/>
    <x v="0"/>
    <x v="0"/>
    <s v="999"/>
    <s v="600"/>
    <s v="600999"/>
    <s v="Classe di rischio 7"/>
    <m/>
    <s v="Classe di rischio 7"/>
  </r>
  <r>
    <n v="348696"/>
    <x v="2"/>
    <x v="2"/>
    <x v="60"/>
    <n v="53850"/>
    <n v="261"/>
    <s v="053850_261"/>
    <s v="Discovery Day"/>
    <s v="Mai valutato"/>
    <m/>
    <s v="202506057873203L"/>
    <n v="2613300001265"/>
    <n v="20250605"/>
    <s v="AA - Bonifico da e per estero "/>
    <m/>
    <s v="091 - PRINCIPATO DI MONACO"/>
    <s v="A     - Avere"/>
    <n v="3511.9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6"/>
    <x v="1"/>
    <x v="0"/>
    <x v="0"/>
    <m/>
    <x v="0"/>
    <x v="0"/>
    <s v="999"/>
    <s v="600"/>
    <s v="600999"/>
    <s v="Classe di rischio 7"/>
    <m/>
    <s v="Classe di rischio 7"/>
  </r>
  <r>
    <n v="348695"/>
    <x v="4"/>
    <x v="4"/>
    <x v="60"/>
    <n v="53850"/>
    <n v="102"/>
    <s v="053850_102"/>
    <s v="Discovery Day"/>
    <s v="Mai valutato"/>
    <m/>
    <s v="202506057868829L"/>
    <n v="2333300010665"/>
    <n v="20250605"/>
    <s v="SPECIAL"/>
    <m/>
    <m/>
    <s v="D     - Dare"/>
    <n v="2929.56"/>
    <n v="0"/>
    <n v="4731171"/>
    <s v="VNDNNA63H53A720A"/>
    <s v="VENDITTI ANNA"/>
    <s v="600 - Famiglie consumatrici"/>
    <m/>
    <s v="086 - ITALIA"/>
    <m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694"/>
    <x v="3"/>
    <x v="3"/>
    <x v="60"/>
    <n v="53850"/>
    <n v="171"/>
    <s v="053850_171"/>
    <s v="Discovery Day"/>
    <s v="Mai valutato"/>
    <m/>
    <s v="Vari (05/06/2025)"/>
    <n v="1713302214147"/>
    <n v="20250605"/>
    <s v="03 - Versamento contante cassa continua "/>
    <m/>
    <m/>
    <s v="A     - Avere"/>
    <n v="174585"/>
    <n v="17458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48693"/>
    <x v="4"/>
    <x v="4"/>
    <x v="60"/>
    <n v="53850"/>
    <n v="109"/>
    <s v="053850_109"/>
    <s v="Discovery Day"/>
    <s v="Mai valutato"/>
    <m/>
    <n v="202506058045164"/>
    <n v="1093306671972"/>
    <n v="20250605"/>
    <s v="SPECIAL"/>
    <m/>
    <m/>
    <s v="D     - Dare"/>
    <n v="13670.64"/>
    <n v="0"/>
    <n v="4565764"/>
    <s v="MTRMRS45L60A662E"/>
    <s v="MATERA MARISA"/>
    <s v="600 - Famiglie consumatrici"/>
    <m/>
    <s v="086 - ITALIA"/>
    <n v="1918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692"/>
    <x v="3"/>
    <x v="3"/>
    <x v="60"/>
    <n v="53850"/>
    <n v="114"/>
    <s v="053850_114"/>
    <s v="Discovery Day"/>
    <s v="Mai valutato"/>
    <m/>
    <s v="Vari (05/06/2025)"/>
    <n v="1143306285135"/>
    <n v="20250605"/>
    <s v="VV"/>
    <m/>
    <m/>
    <s v="A     - Avere"/>
    <n v="38550"/>
    <n v="3550"/>
    <n v="3730898"/>
    <s v="BNDPIA35L51D643A"/>
    <s v="BONDANESE PIA"/>
    <s v="615 - Altre famiglie produttrici"/>
    <s v="477 - COMMERCIO AL DETTAGLIO DI ALTRI PRODOTTI IN ESERCIZI SPECIALIZZATI"/>
    <s v="086 - ITALIA"/>
    <n v="869"/>
    <m/>
    <m/>
    <m/>
    <m/>
    <m/>
    <m/>
    <m/>
    <n v="0"/>
    <n v="202506"/>
    <x v="1"/>
    <x v="0"/>
    <x v="0"/>
    <n v="3730898"/>
    <x v="1"/>
    <x v="1"/>
    <s v="477"/>
    <s v="615"/>
    <s v="615477"/>
    <s v="Classe di rischio 6"/>
    <m/>
    <s v="Classe di rischio 6"/>
  </r>
  <r>
    <n v="348691"/>
    <x v="6"/>
    <x v="6"/>
    <x v="60"/>
    <n v="53850"/>
    <n v="120"/>
    <s v="053850_120"/>
    <s v="Discovery Day"/>
    <s v="Mai valutato"/>
    <m/>
    <n v="202506058043929"/>
    <n v="1203300001729"/>
    <n v="20250605"/>
    <s v="AA - Bonifico da e per estero "/>
    <m/>
    <s v="071 - SVIZZERA"/>
    <s v="A     - Avere"/>
    <n v="40001.46"/>
    <n v="0"/>
    <n v="4535200"/>
    <s v="GLNGNN84T29A662P"/>
    <s v="GIULIANI GIOVANNI"/>
    <s v="600 - Famiglie consumatrici"/>
    <m/>
    <s v="086 - ITALIA"/>
    <n v="71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90"/>
    <x v="4"/>
    <x v="4"/>
    <x v="60"/>
    <n v="53850"/>
    <n v="102"/>
    <s v="053850_102"/>
    <s v="Discovery Day"/>
    <s v="Mai valutato"/>
    <m/>
    <n v="202506058043120"/>
    <n v="1023308727640"/>
    <n v="20250605"/>
    <s v="48 - Bonifico in arrivo "/>
    <m/>
    <s v="086 - ITALIA"/>
    <s v="A     - Avere"/>
    <n v="1025000"/>
    <n v="0"/>
    <n v="3728814"/>
    <n v="5509200720"/>
    <s v="LOIUDICED S.R.L."/>
    <s v="430 - Imprese produttive"/>
    <s v="310 - FABBRICAZIONE DI MOBILI"/>
    <s v="086 - ITALIA"/>
    <n v="73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89"/>
    <x v="3"/>
    <x v="3"/>
    <x v="60"/>
    <n v="53850"/>
    <n v="171"/>
    <s v="053850_171"/>
    <s v="Discovery Day"/>
    <s v="Mai valutato"/>
    <m/>
    <n v="202506058045364"/>
    <n v="1713302219001"/>
    <n v="20250605"/>
    <s v="G7 - Versamento assegno circolare altro intermediario "/>
    <m/>
    <m/>
    <s v="A     - Avere"/>
    <n v="150000"/>
    <n v="0"/>
    <n v="602610"/>
    <s v="RFLNCL68E14A893T"/>
    <s v="RIFLESSO NICOLA"/>
    <s v="600 - Famiglie consumatrici"/>
    <m/>
    <s v="086 - ITALIA"/>
    <n v="85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88"/>
    <x v="4"/>
    <x v="4"/>
    <x v="60"/>
    <n v="53850"/>
    <n v="109"/>
    <s v="053850_109"/>
    <s v="Discovery Day"/>
    <s v="Mai valutato"/>
    <m/>
    <n v="202506058045164"/>
    <n v="1093306671972"/>
    <n v="20250605"/>
    <s v="SPECIAL"/>
    <m/>
    <m/>
    <s v="D     - Dare"/>
    <n v="13670.64"/>
    <n v="0"/>
    <n v="4565769"/>
    <s v="MRNNNN28S21H501S"/>
    <s v="MARINO ANTONINO"/>
    <s v="600 - Famiglie consumatrici"/>
    <m/>
    <s v="086 - ITALIA"/>
    <n v="1918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687"/>
    <x v="4"/>
    <x v="4"/>
    <x v="60"/>
    <n v="53850"/>
    <n v="105"/>
    <s v="053850_105"/>
    <s v="Discovery Day"/>
    <s v="Mai valutato"/>
    <m/>
    <n v="202506058045139"/>
    <n v="1053300516650"/>
    <n v="20250605"/>
    <s v="54 - Incassi diversi"/>
    <m/>
    <m/>
    <s v="A     - Avere"/>
    <n v="225000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86"/>
    <x v="5"/>
    <x v="5"/>
    <x v="60"/>
    <n v="53850"/>
    <n v="171"/>
    <s v="053850_171"/>
    <s v="Discovery Day"/>
    <s v="Mai valutato"/>
    <m/>
    <s v="Vari (05/06/2025)"/>
    <n v="1713305728950"/>
    <n v="20250605"/>
    <s v="03 - Versamento contante cassa continua "/>
    <m/>
    <m/>
    <s v="A     - Avere"/>
    <n v="448704.1"/>
    <n v="448704.1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48685"/>
    <x v="2"/>
    <x v="2"/>
    <x v="60"/>
    <n v="53850"/>
    <n v="103"/>
    <s v="053850_103"/>
    <s v="Discovery Day"/>
    <s v="Mai valutato"/>
    <m/>
    <s v="202506057871571L"/>
    <n v="1033304289290"/>
    <n v="20250605"/>
    <s v="AA - Bonifico da e per estero "/>
    <m/>
    <s v="012 - BULGARIA"/>
    <s v="D     - Dare"/>
    <n v="3000"/>
    <n v="0"/>
    <n v="428929"/>
    <n v="3895840720"/>
    <s v="CAM2 SOCIETA' A RESPONSABILITA' LIMITATA"/>
    <s v="450 - Associazioni fra imprese non finanziarie"/>
    <s v="494 - TRASPORTO DI MERCI SU STRADA E SERVIZI DI TRASLOCO"/>
    <s v="086 - ITALIA"/>
    <n v="1274"/>
    <m/>
    <m/>
    <m/>
    <m/>
    <m/>
    <m/>
    <m/>
    <n v="0"/>
    <n v="202506"/>
    <x v="2"/>
    <x v="1"/>
    <x v="0"/>
    <m/>
    <x v="0"/>
    <x v="0"/>
    <s v="999"/>
    <s v="450"/>
    <s v="450999"/>
    <m/>
    <s v="1"/>
    <s v="Classe di rischio 1"/>
  </r>
  <r>
    <n v="348684"/>
    <x v="5"/>
    <x v="5"/>
    <x v="60"/>
    <n v="53850"/>
    <n v="131"/>
    <s v="053850_131"/>
    <s v="Discovery Day"/>
    <s v="Mai valutato"/>
    <m/>
    <s v="Vari (05/06/2025)"/>
    <n v="1313300002205"/>
    <n v="20250605"/>
    <s v="VV"/>
    <m/>
    <m/>
    <s v="A     - Avere"/>
    <n v="34000"/>
    <n v="34000"/>
    <n v="4055163"/>
    <s v="PPADTL60E30H307C"/>
    <s v="PAPA DONATELLO GIOVANNI"/>
    <s v="615 - Altre famiglie produttrici"/>
    <s v="477 - COMMERCIO AL DETTAGLIO DI ALTRI PRODOTTI IN ESERCIZI SPECIALIZZATI"/>
    <s v="086 - ITALIA"/>
    <n v="915"/>
    <m/>
    <m/>
    <m/>
    <m/>
    <m/>
    <m/>
    <m/>
    <n v="0"/>
    <n v="202506"/>
    <x v="4"/>
    <x v="1"/>
    <x v="0"/>
    <n v="4055163"/>
    <x v="1"/>
    <x v="1"/>
    <s v="477"/>
    <s v="615"/>
    <s v="615477"/>
    <s v="Classe di rischio 6"/>
    <m/>
    <s v="Classe di rischio 6"/>
  </r>
  <r>
    <n v="348683"/>
    <x v="6"/>
    <x v="6"/>
    <x v="60"/>
    <n v="53850"/>
    <n v="131"/>
    <s v="053850_131"/>
    <s v="Discovery Day"/>
    <s v="Mai valutato"/>
    <m/>
    <n v="202506058044261"/>
    <n v="1313300001588"/>
    <n v="20250605"/>
    <s v="AA - Bonifico da e per estero "/>
    <m/>
    <s v="263 - UCRAINA"/>
    <s v="A     - Avere"/>
    <n v="134983.79999999999"/>
    <n v="0"/>
    <n v="4121868"/>
    <n v="5913290630"/>
    <s v="C.M.D. COSTRUZIONI MOTORI DIESEL S.P.A."/>
    <s v="430 - Imprese produttive"/>
    <s v="256 - TRATTAMENTO E RIVESTIMENTO DEI METALLI, LAVORI DI MECCANICA GENERALE"/>
    <s v="086 - ITALIA"/>
    <n v="739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48682"/>
    <x v="4"/>
    <x v="4"/>
    <x v="60"/>
    <n v="53850"/>
    <n v="116"/>
    <s v="053850_116"/>
    <s v="Discovery Day"/>
    <s v="Mai valutato"/>
    <m/>
    <n v="202506058042478"/>
    <n v="2173300010307"/>
    <n v="20250605"/>
    <s v="26 - Bonifico in partenza "/>
    <m/>
    <s v="086 - ITALIA"/>
    <s v="D     - Dare"/>
    <n v="12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81"/>
    <x v="6"/>
    <x v="6"/>
    <x v="60"/>
    <n v="53850"/>
    <n v="121"/>
    <s v="053850_121"/>
    <s v="Discovery Day"/>
    <s v="Mai valutato"/>
    <m/>
    <n v="202506058043926"/>
    <n v="1213300003010"/>
    <n v="20250605"/>
    <s v="AA - Bonifico da e per estero "/>
    <m/>
    <s v="071 - SVIZZERA"/>
    <s v="A     - Avere"/>
    <n v="27000"/>
    <n v="0"/>
    <n v="4974937"/>
    <s v="FRNLRA82L64Z133O"/>
    <s v="FRANCHINI LAUR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80"/>
    <x v="6"/>
    <x v="6"/>
    <x v="60"/>
    <n v="53850"/>
    <n v="170"/>
    <s v="053850_170"/>
    <s v="Discovery Day"/>
    <s v="Mai valutato"/>
    <m/>
    <n v="202506058044251"/>
    <n v="1703306288195"/>
    <n v="20250605"/>
    <s v="AA - Bonifico da e per estero "/>
    <m/>
    <s v="076 - TURCHIA"/>
    <s v="D     - Dare"/>
    <n v="42912.62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79"/>
    <x v="6"/>
    <x v="6"/>
    <x v="60"/>
    <n v="53850"/>
    <n v="121"/>
    <s v="053850_121"/>
    <s v="Discovery Day"/>
    <s v="Mai valutato"/>
    <m/>
    <n v="202506058043926"/>
    <n v="1213300003010"/>
    <n v="20250605"/>
    <s v="AA - Bonifico da e per estero "/>
    <m/>
    <s v="071 - SVIZZERA"/>
    <s v="A     - Avere"/>
    <n v="27000"/>
    <n v="0"/>
    <n v="4433949"/>
    <s v="SNTGNN83R12C975B"/>
    <s v="SANITATE GIOVANNI"/>
    <s v="600 - Famiglie consumatrici"/>
    <m/>
    <s v="086 - ITALIA"/>
    <n v="928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78"/>
    <x v="4"/>
    <x v="4"/>
    <x v="60"/>
    <n v="53850"/>
    <n v="182"/>
    <s v="053850_182"/>
    <s v="Discovery Day"/>
    <s v="Mai valutato"/>
    <m/>
    <n v="202506058044831"/>
    <n v="1823300072312"/>
    <n v="20250605"/>
    <s v="13 - Addebito per estinzione assegno"/>
    <m/>
    <m/>
    <s v="D     - Dare"/>
    <n v="950000"/>
    <n v="0"/>
    <n v="3072878"/>
    <n v="333580736"/>
    <s v="CASA DI CURA BERNARDINI SRL"/>
    <s v="430 - Imprese produttive"/>
    <s v="861 - SERVIZI OSPEDALIERI"/>
    <s v="086 - ITALIA"/>
    <n v="1627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77"/>
    <x v="3"/>
    <x v="3"/>
    <x v="60"/>
    <n v="53850"/>
    <n v="128"/>
    <s v="053850_128"/>
    <s v="Discovery Day"/>
    <s v="Mai valutato"/>
    <m/>
    <s v="Vari (05/06/2025)"/>
    <n v="1283300001665"/>
    <n v="20250605"/>
    <s v="VV"/>
    <m/>
    <m/>
    <s v="A     - Avere"/>
    <n v="122563.95"/>
    <n v="468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676"/>
    <x v="4"/>
    <x v="4"/>
    <x v="61"/>
    <n v="53850"/>
    <n v="108"/>
    <s v="053850_108"/>
    <s v="Discovery Day"/>
    <s v="Mai valutato"/>
    <m/>
    <n v="202506058040544"/>
    <n v="1085500039514"/>
    <n v="20250605"/>
    <s v="BU - Deposito su libretti a risparmio "/>
    <m/>
    <m/>
    <s v="A     - Avere"/>
    <n v="196195.76"/>
    <n v="0"/>
    <n v="426147"/>
    <s v="MNSPDN34T55F915F"/>
    <s v="MANSUETO PRUDENZI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75"/>
    <x v="4"/>
    <x v="4"/>
    <x v="61"/>
    <n v="53850"/>
    <n v="108"/>
    <s v="053850_108"/>
    <s v="Discovery Day"/>
    <s v="Mai valutato"/>
    <m/>
    <n v="202506058040544"/>
    <n v="1085500039514"/>
    <n v="20250605"/>
    <s v="BU - Deposito su libretti a risparmio "/>
    <m/>
    <m/>
    <s v="A     - Avere"/>
    <n v="196195.76"/>
    <n v="0"/>
    <n v="412179"/>
    <s v="DBRDGI68C17A662K"/>
    <s v="DI BARI DIEGO"/>
    <s v="600 - Famiglie consumatrici"/>
    <m/>
    <s v="086 - ITALIA"/>
    <n v="667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74"/>
    <x v="2"/>
    <x v="2"/>
    <x v="61"/>
    <n v="53850"/>
    <n v="105"/>
    <s v="053850_105"/>
    <s v="Discovery Day"/>
    <s v="Mai valutato"/>
    <m/>
    <s v="202506047828790L"/>
    <n v="1053306295089"/>
    <n v="20250604"/>
    <s v="AA - Bonifico da e per estero "/>
    <m/>
    <s v="261 - CROAZIA"/>
    <s v="A     - Avere"/>
    <n v="1220"/>
    <n v="0"/>
    <n v="3716148"/>
    <n v="6264740728"/>
    <s v="ZEROTF S.R.L."/>
    <s v="430 - Imprese produttive"/>
    <s v="467 - COMMERCIO ALL'INGROSSO SPECIALIZZATO DI ALTRI PRODOTTI"/>
    <s v="086 - ITALIA"/>
    <n v="462"/>
    <m/>
    <m/>
    <m/>
    <m/>
    <m/>
    <m/>
    <m/>
    <n v="0"/>
    <n v="202506"/>
    <x v="4"/>
    <x v="1"/>
    <x v="0"/>
    <m/>
    <x v="0"/>
    <x v="0"/>
    <s v="999"/>
    <s v="430"/>
    <s v="430999"/>
    <m/>
    <s v="1"/>
    <s v="Classe di rischio 1"/>
  </r>
  <r>
    <n v="348673"/>
    <x v="5"/>
    <x v="5"/>
    <x v="61"/>
    <n v="53850"/>
    <n v="171"/>
    <s v="053850_171"/>
    <s v="Discovery Day"/>
    <s v="Mai valutato"/>
    <m/>
    <s v="Vari (04/06/2025)"/>
    <n v="1713305728950"/>
    <n v="20250604"/>
    <s v="03 - Versamento contante cassa continua "/>
    <m/>
    <m/>
    <s v="A     - Avere"/>
    <n v="140467.79999999999"/>
    <n v="140467.7999999999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48672"/>
    <x v="4"/>
    <x v="4"/>
    <x v="61"/>
    <n v="53850"/>
    <n v="102"/>
    <s v="053850_102"/>
    <s v="Discovery Day"/>
    <s v="Mai valutato"/>
    <m/>
    <n v="202506048041695"/>
    <n v="1023308725736"/>
    <n v="20250604"/>
    <s v="SPECIAL"/>
    <m/>
    <m/>
    <s v="D     - Dare"/>
    <n v="5726.29"/>
    <n v="0"/>
    <n v="83832"/>
    <s v="MTRCRN33B62A225F"/>
    <s v="MATERA CATERINA"/>
    <s v="600 - Famiglie consumatrici"/>
    <m/>
    <s v="086 - ITALIA"/>
    <n v="841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671"/>
    <x v="3"/>
    <x v="3"/>
    <x v="61"/>
    <n v="53850"/>
    <n v="104"/>
    <s v="053850_104"/>
    <s v="Discovery Day"/>
    <s v="Mai valutato"/>
    <m/>
    <s v="Vari (04/06/2025)"/>
    <n v="1043304173550"/>
    <n v="20250604"/>
    <s v="VV"/>
    <m/>
    <m/>
    <s v="A     - Avere"/>
    <n v="154309.92000000001"/>
    <n v="0"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6"/>
    <x v="2"/>
    <x v="1"/>
    <x v="0"/>
    <n v="417355"/>
    <x v="1"/>
    <x v="1"/>
    <s v="464"/>
    <s v="430"/>
    <s v="430464"/>
    <s v="Classe di rischio 4"/>
    <m/>
    <s v="Classe di rischio 4"/>
  </r>
  <r>
    <n v="348670"/>
    <x v="4"/>
    <x v="4"/>
    <x v="61"/>
    <n v="53850"/>
    <n v="137"/>
    <s v="053850_137"/>
    <s v="Discovery Day"/>
    <s v="Mai valutato"/>
    <m/>
    <n v="202506048040108"/>
    <n v="1373300005928"/>
    <n v="20250604"/>
    <s v="48 - Bonifico in arrivo "/>
    <m/>
    <s v="086 - ITALIA"/>
    <s v="A     - Avere"/>
    <n v="1173554.6599999999"/>
    <n v="0"/>
    <n v="4229326"/>
    <n v="70190707"/>
    <s v="FRATELLI FERRO - SEMOLERIE MOLISANE S.R.L."/>
    <s v="430 - Imprese produttive"/>
    <s v="106 - LAVORAZIONE DELLE GRANAGLIE, PRODUZIONE DI AMIDI E DI PRODOTTI AMIDACEI"/>
    <s v="086 - ITALIA"/>
    <n v="185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69"/>
    <x v="3"/>
    <x v="3"/>
    <x v="61"/>
    <n v="53850"/>
    <n v="149"/>
    <s v="053850_149"/>
    <s v="Discovery Day"/>
    <s v="Mai valutato"/>
    <m/>
    <s v="Vari (04/06/2025)"/>
    <n v="1493300663906"/>
    <n v="20250604"/>
    <s v="VV"/>
    <m/>
    <m/>
    <s v="A     - Avere"/>
    <n v="299570"/>
    <n v="0"/>
    <n v="4178286"/>
    <s v="CHRRRT60L27F839U"/>
    <s v="CHIARI ROBERTO"/>
    <s v="615 - Altre famiglie produttrici"/>
    <s v="691 - ATTIVITÀ DEGLI STUDI LEGALI"/>
    <s v="086 - ITALIA"/>
    <n v="1910"/>
    <m/>
    <m/>
    <m/>
    <m/>
    <m/>
    <m/>
    <m/>
    <n v="0"/>
    <n v="202506"/>
    <x v="1"/>
    <x v="0"/>
    <x v="0"/>
    <n v="4178286"/>
    <x v="1"/>
    <x v="1"/>
    <s v="999"/>
    <s v="615"/>
    <s v="615999"/>
    <m/>
    <s v="1"/>
    <s v="Classe di rischio 3"/>
  </r>
  <r>
    <n v="348668"/>
    <x v="5"/>
    <x v="5"/>
    <x v="61"/>
    <n v="53850"/>
    <n v="267"/>
    <s v="053850_267"/>
    <s v="Discovery Day"/>
    <s v="Mai valutato"/>
    <m/>
    <n v="202506048042148"/>
    <n v="2673300002283"/>
    <n v="20250604"/>
    <s v="D1 - Versamento di contante "/>
    <m/>
    <m/>
    <s v="A     - Avere"/>
    <n v="41760"/>
    <n v="41760"/>
    <n v="1653892"/>
    <n v="3605780794"/>
    <s v="PHARMA CORE S.R.L."/>
    <s v="430 - Imprese produttive"/>
    <s v="477 - COMMERCIO AL DETTAGLIO DI ALTRI PRODOTTI IN ESERCIZI SPECIALIZZATI"/>
    <s v="086 - ITALIA"/>
    <n v="1891"/>
    <m/>
    <m/>
    <m/>
    <m/>
    <m/>
    <m/>
    <m/>
    <n v="0"/>
    <n v="202506"/>
    <x v="2"/>
    <x v="1"/>
    <x v="0"/>
    <m/>
    <x v="0"/>
    <x v="0"/>
    <s v="477"/>
    <s v="430"/>
    <s v="430477"/>
    <s v="Classe di rischio 3"/>
    <m/>
    <s v="Classe di rischio 3"/>
  </r>
  <r>
    <n v="348667"/>
    <x v="2"/>
    <x v="2"/>
    <x v="61"/>
    <n v="53850"/>
    <n v="116"/>
    <s v="053850_116"/>
    <s v="Discovery Day"/>
    <s v="Mai valutato"/>
    <m/>
    <n v="202506048040448"/>
    <n v="1163307620851"/>
    <n v="20250604"/>
    <s v="AA - Bonifico da e per estero "/>
    <m/>
    <s v="238 - ABU DHABI"/>
    <s v="A     - Avere"/>
    <n v="5800"/>
    <n v="0"/>
    <n v="4984414"/>
    <s v="MSCNCL60D17A662G"/>
    <s v="MISCEO NICOLA"/>
    <s v="600 - Famiglie consumatrici"/>
    <m/>
    <s v="086 - ITALIA"/>
    <n v="53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66"/>
    <x v="4"/>
    <x v="4"/>
    <x v="61"/>
    <n v="53850"/>
    <n v="273"/>
    <s v="053850_273"/>
    <s v="Discovery Day"/>
    <s v="Mai valutato"/>
    <m/>
    <n v="202506048041603"/>
    <n v="2733300000142"/>
    <n v="20250604"/>
    <s v="50 - Pagamenti diversi"/>
    <m/>
    <m/>
    <s v="D     - Dare"/>
    <n v="513150.03"/>
    <n v="0"/>
    <n v="1604768"/>
    <n v="1425470695"/>
    <s v="PASQUARELLI AUTO SOCIETA' PER AZIONI"/>
    <s v="430 - Imprese produttive"/>
    <s v="451 - COMMERCIO DI AUTOVEICOLI"/>
    <s v="086 - ITALIA"/>
    <n v="1856"/>
    <m/>
    <m/>
    <m/>
    <m/>
    <m/>
    <m/>
    <m/>
    <n v="0"/>
    <n v="202506"/>
    <x v="2"/>
    <x v="1"/>
    <x v="0"/>
    <m/>
    <x v="0"/>
    <x v="0"/>
    <s v="451"/>
    <s v="430"/>
    <s v="430451"/>
    <s v="Classe di rischio 3"/>
    <m/>
    <s v="Classe di rischio 3"/>
  </r>
  <r>
    <n v="348665"/>
    <x v="2"/>
    <x v="2"/>
    <x v="61"/>
    <n v="53850"/>
    <n v="102"/>
    <s v="053850_102"/>
    <s v="Discovery Day"/>
    <s v="Mai valutato"/>
    <m/>
    <s v="202506047831177L"/>
    <n v="1023308724471"/>
    <n v="20250604"/>
    <s v="AA - Bonifico da e per estero "/>
    <m/>
    <s v="238 - ABU DHABI"/>
    <s v="A     - Avere"/>
    <n v="2000"/>
    <n v="0"/>
    <n v="4926972"/>
    <n v="8178330729"/>
    <s v="MPALQUADRATO SOCIETA' A RESPONSABILITA' LIMI"/>
    <s v="430 - Imprese produttive"/>
    <s v="477 - COMMERCIO AL DETTAGLIO DI ALTRI PRODOTTI IN ESERCIZI SPECIALIZZATI"/>
    <s v="086 - ITALIA"/>
    <n v="1443"/>
    <m/>
    <m/>
    <m/>
    <m/>
    <m/>
    <m/>
    <m/>
    <n v="0"/>
    <n v="202506"/>
    <x v="2"/>
    <x v="1"/>
    <x v="0"/>
    <m/>
    <x v="0"/>
    <x v="0"/>
    <s v="477"/>
    <s v="430"/>
    <s v="430477"/>
    <s v="Classe di rischio 3"/>
    <m/>
    <s v="Classe di rischio 3"/>
  </r>
  <r>
    <n v="348664"/>
    <x v="5"/>
    <x v="5"/>
    <x v="61"/>
    <n v="53850"/>
    <n v="116"/>
    <s v="053850_116"/>
    <s v="Discovery Day"/>
    <s v="Mai valutato"/>
    <m/>
    <n v="202506048041500"/>
    <n v="2343300010453"/>
    <n v="20250604"/>
    <s v="03 - Versamento contante cassa continua "/>
    <m/>
    <m/>
    <s v="A     - Avere"/>
    <n v="73176.600000000006"/>
    <n v="73176.600000000006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663"/>
    <x v="2"/>
    <x v="2"/>
    <x v="61"/>
    <n v="53850"/>
    <n v="192"/>
    <s v="053850_192"/>
    <s v="Discovery Day"/>
    <s v="Mai valutato"/>
    <m/>
    <n v="202506048039563"/>
    <n v="1923300185011"/>
    <n v="20250604"/>
    <s v="AA - Bonifico da e per estero "/>
    <m/>
    <s v="012 - BULGARIA"/>
    <s v="A     - Avere"/>
    <n v="6698.5"/>
    <n v="0"/>
    <n v="3710704"/>
    <s v="FSNMHL77R19H096V"/>
    <s v="FASANELLI MICHELE"/>
    <s v="615 - Altre famiglie produttrici"/>
    <s v="494 - TRASPORTO DI MERCI SU STRADA E SERVIZI DI TRASLOCO"/>
    <s v="086 - ITALIA"/>
    <n v="1907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48662"/>
    <x v="2"/>
    <x v="2"/>
    <x v="61"/>
    <n v="53850"/>
    <n v="157"/>
    <s v="053850_157"/>
    <s v="Discovery Day"/>
    <s v="Mai valutato"/>
    <m/>
    <s v="202506047828948L"/>
    <n v="1573300000971"/>
    <n v="20250604"/>
    <s v="AA - Bonifico da e per estero "/>
    <m/>
    <s v="091 - PRINCIPATO DI MONACO"/>
    <s v="A     - Avere"/>
    <n v="2560.67"/>
    <n v="0"/>
    <n v="4254771"/>
    <s v="PTRSFN74P21A854D"/>
    <s v="PETRUCCELLI STEFANO"/>
    <s v="600 - Famiglie consumatrici"/>
    <m/>
    <s v="086 - ITALIA"/>
    <n v="111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61"/>
    <x v="5"/>
    <x v="5"/>
    <x v="61"/>
    <n v="53850"/>
    <n v="108"/>
    <s v="053850_108"/>
    <s v="Discovery Day"/>
    <s v="Mai valutato"/>
    <m/>
    <s v="Vari (04/06/2025)"/>
    <n v="1083306291105"/>
    <n v="20250604"/>
    <s v="VV"/>
    <m/>
    <m/>
    <s v="A     - Avere"/>
    <n v="162227.89000000001"/>
    <n v="128144.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48660"/>
    <x v="5"/>
    <x v="5"/>
    <x v="61"/>
    <n v="53850"/>
    <n v="171"/>
    <s v="053850_171"/>
    <s v="Discovery Day"/>
    <s v="Mai valutato"/>
    <m/>
    <s v="Vari (04/06/2025)"/>
    <n v="1713302214147"/>
    <n v="20250604"/>
    <s v="03 - Versamento contante cassa continua "/>
    <m/>
    <m/>
    <s v="A     - Avere"/>
    <n v="39145"/>
    <n v="39145"/>
    <n v="4199319"/>
    <n v="6037810725"/>
    <s v="GESTFOOD - GESTIONE ALIMENTARE SOCIETA' A RE"/>
    <s v="430 - Imprese produttive"/>
    <s v="471 - COMMERCIO AL DETTAGLIO IN ESERCIZI NON SPECIALIZZATI"/>
    <s v="086 - ITALIA"/>
    <n v="1903"/>
    <m/>
    <m/>
    <m/>
    <m/>
    <m/>
    <m/>
    <m/>
    <n v="0"/>
    <n v="202506"/>
    <x v="2"/>
    <x v="1"/>
    <x v="0"/>
    <n v="4199319"/>
    <x v="1"/>
    <x v="0"/>
    <s v="999"/>
    <s v="430"/>
    <s v="430999"/>
    <m/>
    <s v="1"/>
    <s v="Classe di rischio 1"/>
  </r>
  <r>
    <n v="348659"/>
    <x v="5"/>
    <x v="5"/>
    <x v="61"/>
    <n v="53850"/>
    <n v="102"/>
    <s v="053850_102"/>
    <s v="Discovery Day"/>
    <s v="Mai valutato"/>
    <m/>
    <n v="202506048040678"/>
    <n v="1023308722503"/>
    <n v="20250604"/>
    <s v="03 - Versamento contante cassa continua "/>
    <m/>
    <m/>
    <s v="A     - Avere"/>
    <n v="23870"/>
    <n v="2387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48658"/>
    <x v="5"/>
    <x v="5"/>
    <x v="61"/>
    <n v="53850"/>
    <n v="261"/>
    <s v="053850_261"/>
    <s v="Discovery Day"/>
    <s v="Mai valutato"/>
    <m/>
    <n v="202506048041006"/>
    <n v="1393300071003"/>
    <n v="20250604"/>
    <s v="03 - Versamento contante cassa continua "/>
    <m/>
    <m/>
    <s v="A     - Avere"/>
    <n v="16110"/>
    <n v="16110"/>
    <n v="4174753"/>
    <n v="823380944"/>
    <s v="SUPERIOR GAS DI VETTESE ANTONIO &amp; C. SOCIETA"/>
    <s v="492 - Quasi societa' non finanziarie altre - Unita' o societa' con meno di 20 addetti"/>
    <s v="477 - COMMERCIO AL DETTAGLIO DI ALTRI PRODOTTI IN ESERCIZI SPECIALIZZATI"/>
    <s v="086 - ITALIA"/>
    <n v="1782"/>
    <m/>
    <m/>
    <m/>
    <m/>
    <m/>
    <m/>
    <m/>
    <n v="0"/>
    <n v="202506"/>
    <x v="1"/>
    <x v="0"/>
    <x v="0"/>
    <n v="4174753"/>
    <x v="1"/>
    <x v="0"/>
    <s v="477"/>
    <s v="492"/>
    <s v="492477"/>
    <s v="Classe di rischio 5"/>
    <m/>
    <s v="Classe di rischio 5"/>
  </r>
  <r>
    <n v="348657"/>
    <x v="3"/>
    <x v="3"/>
    <x v="61"/>
    <n v="53850"/>
    <n v="171"/>
    <s v="053850_171"/>
    <s v="Discovery Day"/>
    <s v="Mai valutato"/>
    <m/>
    <s v="Vari (04/06/2025)"/>
    <n v="1713305728950"/>
    <n v="20250604"/>
    <s v="03 - Versamento contante cassa continua "/>
    <m/>
    <m/>
    <s v="A     - Avere"/>
    <n v="140467.79999999999"/>
    <n v="140467.79999999999"/>
    <n v="572895"/>
    <n v="4161600723"/>
    <s v="CARELLI S.R.L."/>
    <s v="430 - Imprese produttive"/>
    <s v="471 - COMMERCIO AL DETTAGLIO IN ESERCIZI NON SPECIALIZZATI"/>
    <s v="086 - ITALIA"/>
    <n v="1903"/>
    <m/>
    <m/>
    <m/>
    <m/>
    <m/>
    <m/>
    <m/>
    <n v="0"/>
    <n v="202506"/>
    <x v="4"/>
    <x v="1"/>
    <x v="0"/>
    <n v="572895"/>
    <x v="1"/>
    <x v="0"/>
    <s v="999"/>
    <s v="430"/>
    <s v="430999"/>
    <m/>
    <s v="1"/>
    <s v="Classe di rischio 1"/>
  </r>
  <r>
    <n v="348656"/>
    <x v="5"/>
    <x v="5"/>
    <x v="61"/>
    <n v="53850"/>
    <n v="104"/>
    <s v="053850_104"/>
    <s v="Discovery Day"/>
    <s v="Mai valutato"/>
    <m/>
    <s v="Vari (04/06/2025)"/>
    <n v="1043305922900"/>
    <n v="20250604"/>
    <s v="VV"/>
    <m/>
    <m/>
    <s v="A     - Avere"/>
    <n v="39367.980000000003"/>
    <n v="3481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6"/>
    <x v="4"/>
    <x v="1"/>
    <x v="0"/>
    <n v="592290"/>
    <x v="1"/>
    <x v="1"/>
    <s v="999"/>
    <s v="615"/>
    <s v="615999"/>
    <m/>
    <s v="1"/>
    <s v="Classe di rischio 3"/>
  </r>
  <r>
    <n v="348655"/>
    <x v="2"/>
    <x v="2"/>
    <x v="61"/>
    <n v="53850"/>
    <n v="111"/>
    <s v="053850_111"/>
    <s v="Discovery Day"/>
    <s v="Mai valutato"/>
    <m/>
    <s v="202506047828398L"/>
    <n v="1113305626850"/>
    <n v="20250604"/>
    <s v="AA - Bonifico da e per estero "/>
    <m/>
    <s v="261 - CROAZIA"/>
    <s v="D     - Dare"/>
    <n v="1341.63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54"/>
    <x v="2"/>
    <x v="2"/>
    <x v="61"/>
    <n v="53850"/>
    <n v="118"/>
    <s v="053850_118"/>
    <s v="Discovery Day"/>
    <s v="Mai valutato"/>
    <m/>
    <s v="202506047828859L"/>
    <n v="1183306277717"/>
    <n v="20250604"/>
    <s v="AA - Bonifico da e per estero "/>
    <m/>
    <s v="012 - BULGARIA"/>
    <s v="A     - Avere"/>
    <n v="2000"/>
    <n v="0"/>
    <n v="4237439"/>
    <n v="5982410721"/>
    <s v="LINEA PELLE S.R.L."/>
    <s v="430 - Imprese produttive"/>
    <s v="462 - COMMERCIO ALL'INGROSSO DI MATERIE PRIME AGRICOLE E DI ANIMALI VIVI"/>
    <s v="086 - ITALIA"/>
    <n v="1203"/>
    <m/>
    <m/>
    <m/>
    <m/>
    <m/>
    <m/>
    <m/>
    <n v="0"/>
    <n v="202506"/>
    <x v="2"/>
    <x v="1"/>
    <x v="0"/>
    <m/>
    <x v="0"/>
    <x v="0"/>
    <s v="462"/>
    <s v="430"/>
    <s v="430462"/>
    <s v="Classe di rischio 3"/>
    <m/>
    <s v="Classe di rischio 3"/>
  </r>
  <r>
    <n v="348653"/>
    <x v="3"/>
    <x v="3"/>
    <x v="61"/>
    <n v="53850"/>
    <n v="108"/>
    <s v="053850_108"/>
    <s v="Discovery Day"/>
    <s v="Mai valutato"/>
    <m/>
    <s v="Vari (04/06/2025)"/>
    <n v="1083306290559"/>
    <n v="20250604"/>
    <s v="VV"/>
    <m/>
    <m/>
    <s v="A     - Avere"/>
    <n v="108729.66"/>
    <n v="3000"/>
    <n v="4902977"/>
    <n v="8081970728"/>
    <s v="MICCOLIS S.R.L."/>
    <s v="430 - Imprese produttive"/>
    <s v="015 - COLTIVAZIONI AGRICOLE ASSOCIATE ALL'ALLEVAMENTO DI ANIMALI: ATTIVITÀ MISTA"/>
    <s v="086 - ITALIA"/>
    <n v="1058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652"/>
    <x v="4"/>
    <x v="4"/>
    <x v="61"/>
    <n v="53850"/>
    <n v="141"/>
    <s v="053850_141"/>
    <s v="Discovery Day"/>
    <s v="Mai valutato"/>
    <m/>
    <n v="202506048040361"/>
    <n v="1413300003749"/>
    <n v="20250604"/>
    <s v="48 - Bonifico in arrivo "/>
    <m/>
    <s v="086 - ITALIA"/>
    <s v="A     - Avere"/>
    <n v="1015378.22"/>
    <n v="0"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6"/>
    <x v="1"/>
    <x v="0"/>
    <x v="0"/>
    <m/>
    <x v="0"/>
    <x v="0"/>
    <s v="620"/>
    <s v="430"/>
    <s v="430620"/>
    <s v="Classe di rischio 3"/>
    <m/>
    <s v="Classe di rischio 3"/>
  </r>
  <r>
    <n v="348651"/>
    <x v="7"/>
    <x v="7"/>
    <x v="61"/>
    <n v="53850"/>
    <n v="102"/>
    <s v="053850_102"/>
    <s v="Discovery Day"/>
    <s v="Mai valutato"/>
    <m/>
    <n v="202506048041678"/>
    <m/>
    <n v="20250604"/>
    <s v="F1 - Incasso assegno circolare altro intermediario"/>
    <m/>
    <m/>
    <s v="D     - Dare"/>
    <n v="47100"/>
    <n v="0"/>
    <n v="4070953"/>
    <s v="CSNDNC73R28A225H"/>
    <s v="CASANOVA DOMENICO"/>
    <s v="600 - Famiglie consumatrici"/>
    <m/>
    <s v="086 - ITALIA"/>
    <n v="1431"/>
    <m/>
    <m/>
    <m/>
    <m/>
    <m/>
    <m/>
    <m/>
    <n v="0"/>
    <n v="202506"/>
    <x v="5"/>
    <x v="2"/>
    <x v="1"/>
    <m/>
    <x v="0"/>
    <x v="0"/>
    <s v="999"/>
    <s v="600"/>
    <s v="600999"/>
    <s v="Classe di rischio 7"/>
    <m/>
    <s v="Classe di rischio 7"/>
  </r>
  <r>
    <n v="348650"/>
    <x v="3"/>
    <x v="3"/>
    <x v="61"/>
    <n v="53850"/>
    <n v="121"/>
    <s v="053850_121"/>
    <s v="Discovery Day"/>
    <s v="Mai valutato"/>
    <m/>
    <s v="Vari (04/06/2025)"/>
    <n v="1213300002600"/>
    <n v="20250604"/>
    <s v="VV"/>
    <m/>
    <m/>
    <s v="A     - Avere"/>
    <n v="352979.66"/>
    <n v="0"/>
    <n v="4939345"/>
    <n v="5754810728"/>
    <s v="APULIA DISTRIBUZIONE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x v="4"/>
    <x v="1"/>
    <x v="0"/>
    <m/>
    <x v="0"/>
    <x v="1"/>
    <s v="463"/>
    <s v="430"/>
    <s v="430463"/>
    <s v="Classe di rischio 3"/>
    <m/>
    <s v="Classe di rischio 3"/>
  </r>
  <r>
    <n v="348649"/>
    <x v="2"/>
    <x v="2"/>
    <x v="61"/>
    <n v="53850"/>
    <n v="118"/>
    <s v="053850_118"/>
    <s v="Discovery Day"/>
    <s v="Mai valutato"/>
    <m/>
    <n v="202506048038971"/>
    <n v="1183306279384"/>
    <n v="20250604"/>
    <s v="AA - Bonifico da e per estero "/>
    <m/>
    <s v="012 - BULGARIA"/>
    <s v="D     - Dare"/>
    <n v="20000"/>
    <n v="0"/>
    <n v="4896093"/>
    <n v="8070110724"/>
    <s v="ITALWOOD SOCIETA' A RESPONSABILITA' LIMITATA"/>
    <s v="430 - Imprese produttive"/>
    <s v="310 - FABBRICAZIONE DI MOBILI"/>
    <s v="086 - ITALIA"/>
    <n v="97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48"/>
    <x v="6"/>
    <x v="6"/>
    <x v="61"/>
    <n v="53850"/>
    <n v="148"/>
    <s v="053850_148"/>
    <s v="Discovery Day"/>
    <s v="Mai valutato"/>
    <m/>
    <n v="202506048038686"/>
    <n v="1483303001176"/>
    <n v="20250604"/>
    <s v="AA - Bonifico da e per estero "/>
    <m/>
    <s v="071 - SVIZZERA"/>
    <s v="D     - Dare"/>
    <n v="25000"/>
    <n v="0"/>
    <n v="2012964"/>
    <s v="LGRMSM55B16A783Q"/>
    <s v="LIGUORI MASSIMINO"/>
    <s v="600 - Famiglie consumatrici"/>
    <m/>
    <s v="086 - ITALIA"/>
    <n v="1636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47"/>
    <x v="5"/>
    <x v="5"/>
    <x v="61"/>
    <n v="53850"/>
    <n v="188"/>
    <s v="053850_188"/>
    <s v="Discovery Day"/>
    <s v="Mai valutato"/>
    <m/>
    <n v="202506048041361"/>
    <n v="1883300132629"/>
    <n v="20250604"/>
    <s v="03 - Versamento contante cassa continua "/>
    <m/>
    <m/>
    <s v="A     - Avere"/>
    <n v="25000"/>
    <n v="25000"/>
    <n v="4857436"/>
    <s v="LNELCU80H50E205W"/>
    <s v="LEONE LUCIA"/>
    <s v="614 - Artigiani"/>
    <s v="477 - COMMERCIO AL DETTAGLIO DI ALTRI PRODOTTI IN ESERCIZI SPECIALIZZATI"/>
    <s v="086 - ITALIA"/>
    <n v="637"/>
    <m/>
    <m/>
    <m/>
    <m/>
    <m/>
    <m/>
    <m/>
    <n v="0"/>
    <n v="202506"/>
    <x v="4"/>
    <x v="1"/>
    <x v="0"/>
    <n v="4857436"/>
    <x v="1"/>
    <x v="0"/>
    <s v="477"/>
    <s v="614"/>
    <s v="614477"/>
    <s v="Classe di rischio 6"/>
    <m/>
    <s v="Classe di rischio 6"/>
  </r>
  <r>
    <n v="348646"/>
    <x v="5"/>
    <x v="5"/>
    <x v="61"/>
    <n v="53850"/>
    <n v="128"/>
    <s v="053850_128"/>
    <s v="Discovery Day"/>
    <s v="Mai valutato"/>
    <m/>
    <n v="202506048040960"/>
    <n v="1283300003941"/>
    <n v="20250604"/>
    <s v="03 - Versamento contante cassa continua "/>
    <m/>
    <m/>
    <s v="A     - Avere"/>
    <n v="35030"/>
    <n v="35030"/>
    <n v="4916499"/>
    <s v="RNRGTT82C45F262C"/>
    <s v="RANIERI GIUDITTA"/>
    <s v="615 - Altre famiglie produttrici"/>
    <s v="472 - COMMERCIO AL DETTAGLIO DI PRODOTTI ALIMENTARI, BEVANDE E TABACCO IN ESERCIZI SPECIALIZZATI"/>
    <s v="086 - ITALIA"/>
    <n v="1166"/>
    <m/>
    <m/>
    <m/>
    <m/>
    <m/>
    <m/>
    <m/>
    <n v="0"/>
    <n v="202506"/>
    <x v="4"/>
    <x v="1"/>
    <x v="0"/>
    <n v="4916499"/>
    <x v="1"/>
    <x v="0"/>
    <s v="999"/>
    <s v="615"/>
    <s v="615999"/>
    <m/>
    <s v="1"/>
    <s v="Classe di rischio 3"/>
  </r>
  <r>
    <n v="348645"/>
    <x v="2"/>
    <x v="2"/>
    <x v="61"/>
    <n v="53850"/>
    <n v="157"/>
    <s v="053850_157"/>
    <s v="Discovery Day"/>
    <s v="Mai valutato"/>
    <m/>
    <s v="202506047828948L"/>
    <n v="1573300000971"/>
    <n v="20250604"/>
    <s v="AA - Bonifico da e per estero "/>
    <m/>
    <s v="091 - PRINCIPATO DI MONACO"/>
    <s v="A     - Avere"/>
    <n v="2560.67"/>
    <n v="0"/>
    <n v="4254772"/>
    <s v="PTRFNC43S02A854P"/>
    <s v="PETRUCCELLI FRANCESCO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44"/>
    <x v="4"/>
    <x v="4"/>
    <x v="61"/>
    <n v="53850"/>
    <n v="136"/>
    <s v="053850_136"/>
    <s v="Discovery Day"/>
    <s v="Mai valutato"/>
    <m/>
    <n v="202506048040454"/>
    <n v="1363300003325"/>
    <n v="20250604"/>
    <s v="BL - Rimborso finanziamento import"/>
    <m/>
    <m/>
    <s v="D     - Dare"/>
    <n v="700000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x v="1"/>
    <x v="0"/>
    <x v="0"/>
    <m/>
    <x v="0"/>
    <x v="0"/>
    <s v="999"/>
    <s v="430"/>
    <s v="430999"/>
    <m/>
    <s v="1"/>
    <s v="Classe di rischio 1"/>
  </r>
  <r>
    <n v="348643"/>
    <x v="4"/>
    <x v="4"/>
    <x v="61"/>
    <n v="53850"/>
    <n v="170"/>
    <s v="053850_170"/>
    <s v="Discovery Day"/>
    <s v="Mai valutato"/>
    <m/>
    <n v="202506048041179"/>
    <n v="1703306288195"/>
    <n v="20250604"/>
    <s v="29 - Accrediti o incasso RI.BA. "/>
    <m/>
    <m/>
    <s v="A     - Avere"/>
    <n v="2268731.63"/>
    <n v="0"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42"/>
    <x v="4"/>
    <x v="4"/>
    <x v="61"/>
    <n v="53850"/>
    <n v="182"/>
    <s v="053850_182"/>
    <s v="Discovery Day"/>
    <s v="Mai valutato"/>
    <m/>
    <n v="202506048039695"/>
    <n v="1823300152957"/>
    <n v="20250604"/>
    <s v="48 - Bonifico in arrivo "/>
    <m/>
    <s v="086 - ITALIA"/>
    <s v="A     - Avere"/>
    <n v="300000"/>
    <n v="0"/>
    <n v="3006585"/>
    <s v="MGNNTN49M69L049C"/>
    <s v="MIGNOGNA ANTONIA"/>
    <s v="600 - Famiglie consumatrici"/>
    <m/>
    <s v="086 - ITALIA"/>
    <n v="619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41"/>
    <x v="3"/>
    <x v="3"/>
    <x v="61"/>
    <n v="53850"/>
    <n v="108"/>
    <s v="053850_108"/>
    <s v="Discovery Day"/>
    <s v="Mai valutato"/>
    <m/>
    <s v="Vari (04/06/2025)"/>
    <n v="1083306291105"/>
    <n v="20250604"/>
    <s v="VV"/>
    <m/>
    <m/>
    <s v="A     - Avere"/>
    <n v="162227.89000000001"/>
    <n v="128144.1"/>
    <n v="4227057"/>
    <n v="4874620729"/>
    <s v="DELIZIA S.P.A."/>
    <s v="430 - Imprese produttive"/>
    <s v="105 - INDUSTRIA LATTIERO-CASEARIA"/>
    <s v="086 - ITALIA"/>
    <n v="1058"/>
    <m/>
    <m/>
    <m/>
    <m/>
    <m/>
    <m/>
    <m/>
    <n v="0"/>
    <n v="202506"/>
    <x v="4"/>
    <x v="1"/>
    <x v="0"/>
    <n v="4227057"/>
    <x v="1"/>
    <x v="1"/>
    <s v="999"/>
    <s v="430"/>
    <s v="430999"/>
    <m/>
    <s v="1"/>
    <s v="Classe di rischio 1"/>
  </r>
  <r>
    <n v="348640"/>
    <x v="5"/>
    <x v="5"/>
    <x v="61"/>
    <n v="53850"/>
    <n v="102"/>
    <s v="053850_102"/>
    <s v="Discovery Day"/>
    <s v="Mai valutato"/>
    <m/>
    <n v="202506048041662"/>
    <n v="1023300460530"/>
    <n v="20250604"/>
    <s v="D1 - Versamento di contante "/>
    <m/>
    <m/>
    <s v="A     - Avere"/>
    <n v="29000"/>
    <n v="29000"/>
    <n v="46053"/>
    <s v="CLAMRA47A50A225C"/>
    <s v="CALIA MARIA"/>
    <s v="600 - Famiglie consumatrici"/>
    <m/>
    <s v="086 - ITALIA"/>
    <n v="1443"/>
    <m/>
    <m/>
    <m/>
    <m/>
    <m/>
    <m/>
    <m/>
    <n v="0"/>
    <n v="202506"/>
    <x v="4"/>
    <x v="1"/>
    <x v="0"/>
    <n v="46053"/>
    <x v="1"/>
    <x v="0"/>
    <s v="999"/>
    <s v="600"/>
    <s v="600999"/>
    <s v="Classe di rischio 7"/>
    <m/>
    <s v="Classe di rischio 7"/>
  </r>
  <r>
    <n v="348639"/>
    <x v="3"/>
    <x v="3"/>
    <x v="61"/>
    <n v="53850"/>
    <n v="118"/>
    <s v="053850_118"/>
    <s v="Discovery Day"/>
    <s v="Mai valutato"/>
    <m/>
    <s v="Vari (04/06/2025)"/>
    <n v="1183306280338"/>
    <n v="20250604"/>
    <s v="VV"/>
    <m/>
    <m/>
    <s v="A     - Avere"/>
    <n v="120000"/>
    <n v="0"/>
    <n v="4979859"/>
    <n v="8669660725"/>
    <s v="ELLECI IMPIANTI S.R.L."/>
    <s v="430 - Imprese produttive"/>
    <s v="432 - INSTALLAZIONE DI IMPIANTI ELETTRICI, IDRAULICI ED ALTRI LAVORI DI COSTRUZIONE E INSTALLAZIONE"/>
    <s v="086 - ITALIA"/>
    <n v="979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638"/>
    <x v="7"/>
    <x v="7"/>
    <x v="61"/>
    <n v="53850"/>
    <n v="99"/>
    <s v="053850_99"/>
    <s v="Discovery Day"/>
    <s v="Mai valutato"/>
    <m/>
    <n v="202506048039616"/>
    <m/>
    <n v="20250604"/>
    <s v="48 - Bonifico in arrivo "/>
    <m/>
    <s v="086 - ITALIA"/>
    <s v="A     - Avere"/>
    <n v="1236219.4099999999"/>
    <n v="0"/>
    <n v="1900001"/>
    <n v="604840777"/>
    <s v="BANCA POPOLARE DI PUGLIA E BASILICATA SOCIETA' COOPERATIVA PER AZIONI"/>
    <s v="245 - Sistema bancario"/>
    <s v="641 - INTERMEDIAZIONE MONETARIA"/>
    <s v="086 - ITALIA"/>
    <m/>
    <m/>
    <m/>
    <m/>
    <m/>
    <m/>
    <m/>
    <m/>
    <n v="0"/>
    <n v="202506"/>
    <x v="3"/>
    <x v="1"/>
    <x v="1"/>
    <n v="1900001"/>
    <x v="1"/>
    <x v="0"/>
    <s v="999"/>
    <s v="245"/>
    <s v="245999"/>
    <m/>
    <s v="1"/>
    <s v="Classe di rischio 0"/>
  </r>
  <r>
    <n v="348637"/>
    <x v="4"/>
    <x v="4"/>
    <x v="61"/>
    <n v="53850"/>
    <n v="145"/>
    <s v="053850_145"/>
    <s v="Discovery Day"/>
    <s v="Mai valutato"/>
    <m/>
    <n v="202506048040341"/>
    <n v="1453300003755"/>
    <n v="20250604"/>
    <s v="48 - Bonifico in arrivo "/>
    <m/>
    <s v="086 - ITALIA"/>
    <s v="A     - Avere"/>
    <n v="1269710.27"/>
    <n v="0"/>
    <n v="4991602"/>
    <n v="80153690633"/>
    <s v="FALLIMENTO N. 99 2022 CENTRO ESTER ASSOCIAZIONE IN PARTECIPAZIONE"/>
    <s v="615 - Altre famiglie produttrici"/>
    <s v="85 - ISTRUZIONE"/>
    <s v="086 - ITALIA"/>
    <n v="1222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48636"/>
    <x v="4"/>
    <x v="4"/>
    <x v="61"/>
    <n v="53850"/>
    <n v="141"/>
    <s v="053850_141"/>
    <s v="Discovery Day"/>
    <s v="Mai valutato"/>
    <m/>
    <n v="202506048040270"/>
    <n v="1413300004417"/>
    <n v="20250604"/>
    <s v="48 - Bonifico in arrivo "/>
    <m/>
    <s v="086 - ITALIA"/>
    <s v="A     - Avere"/>
    <n v="3070000"/>
    <n v="0"/>
    <n v="4329517"/>
    <n v="1146860752"/>
    <s v="SINT.EL. SRL"/>
    <s v="430 - Imprese produttive"/>
    <s v="861 - SERVIZI OSPEDALIERI"/>
    <s v="086 - ITALIA"/>
    <n v="1940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35"/>
    <x v="5"/>
    <x v="5"/>
    <x v="61"/>
    <n v="53850"/>
    <n v="189"/>
    <s v="053850_189"/>
    <s v="Discovery Day"/>
    <s v="Mai valutato"/>
    <m/>
    <n v="202506048042034"/>
    <n v="1893300023546"/>
    <n v="20250604"/>
    <s v="D1 - Versamento di contante "/>
    <m/>
    <m/>
    <s v="A     - Avere"/>
    <n v="58920"/>
    <n v="58920"/>
    <n v="3064562"/>
    <s v="BLDCRN66S60L049O"/>
    <s v="BALDASSARRE CATERINA"/>
    <s v="615 - Altre famiglie produttrici"/>
    <s v="472 - COMMERCIO AL DETTAGLIO DI PRODOTTI ALIMENTARI, BEVANDE E TABACCO IN ESERCIZI SPECIALIZZATI"/>
    <s v="086 - ITALIA"/>
    <n v="1620"/>
    <m/>
    <m/>
    <m/>
    <m/>
    <m/>
    <m/>
    <m/>
    <n v="0"/>
    <n v="202506"/>
    <x v="1"/>
    <x v="0"/>
    <x v="0"/>
    <n v="3064562"/>
    <x v="1"/>
    <x v="0"/>
    <s v="999"/>
    <s v="615"/>
    <s v="615999"/>
    <m/>
    <s v="1"/>
    <s v="Classe di rischio 3"/>
  </r>
  <r>
    <n v="348634"/>
    <x v="2"/>
    <x v="2"/>
    <x v="61"/>
    <n v="53850"/>
    <n v="171"/>
    <s v="053850_171"/>
    <s v="Discovery Day"/>
    <s v="Mai valutato"/>
    <m/>
    <s v="202506047826895L"/>
    <n v="1713302217768"/>
    <n v="20250604"/>
    <s v="AA - Bonifico da e per estero "/>
    <m/>
    <s v="261 - CROAZIA"/>
    <s v="D     - Dare"/>
    <n v="2000"/>
    <n v="0"/>
    <n v="4955332"/>
    <s v="MLLNMR84M65A893U"/>
    <s v="MILILLO ANNA MARIA"/>
    <s v="600 - Famiglie consumatrici"/>
    <m/>
    <s v="086 - ITALIA"/>
    <n v="662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33"/>
    <x v="4"/>
    <x v="4"/>
    <x v="23"/>
    <n v="53850"/>
    <n v="114"/>
    <s v="053850_114"/>
    <s v="Discovery Day"/>
    <s v="Mai valutato"/>
    <m/>
    <n v="202506048034485"/>
    <n v="1143306278589"/>
    <n v="20250604"/>
    <s v="BB - Acquisto a pronti titoli e diritti d'opzione "/>
    <m/>
    <m/>
    <s v="D     - Dare"/>
    <n v="2100000"/>
    <n v="0"/>
    <n v="4096156"/>
    <s v="TRLMTT49B09I054M"/>
    <s v="TORELLI MATTEO"/>
    <s v="600 - Famiglie consumatrici"/>
    <m/>
    <s v="086 - ITALIA"/>
    <n v="804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48632"/>
    <x v="4"/>
    <x v="4"/>
    <x v="23"/>
    <n v="53850"/>
    <n v="114"/>
    <s v="053850_114"/>
    <s v="Discovery Day"/>
    <s v="Mai valutato"/>
    <m/>
    <n v="202506048034485"/>
    <n v="1143306278589"/>
    <n v="20250604"/>
    <s v="BB - Acquisto a pronti titoli e diritti d'opzione "/>
    <m/>
    <m/>
    <s v="D     - Dare"/>
    <n v="2100000"/>
    <n v="0"/>
    <n v="4175755"/>
    <s v="PTTLMP50S41I158L"/>
    <s v="PETITTI OLIMPIA"/>
    <s v="600 - Famiglie consumatrici"/>
    <m/>
    <s v="086 - ITALIA"/>
    <n v="804"/>
    <m/>
    <m/>
    <m/>
    <m/>
    <m/>
    <m/>
    <m/>
    <n v="0"/>
    <n v="202506"/>
    <x v="0"/>
    <x v="0"/>
    <x v="0"/>
    <m/>
    <x v="0"/>
    <x v="0"/>
    <s v="999"/>
    <s v="600"/>
    <s v="600999"/>
    <s v="Classe di rischio 7"/>
    <m/>
    <s v="Classe di rischio 7"/>
  </r>
  <r>
    <n v="348631"/>
    <x v="4"/>
    <x v="4"/>
    <x v="23"/>
    <n v="53850"/>
    <n v="102"/>
    <s v="053850_102"/>
    <s v="Discovery Day"/>
    <s v="Mai valutato"/>
    <m/>
    <n v="202506038033891"/>
    <n v="1023308723686"/>
    <n v="20250603"/>
    <s v="48 - Bonifico in arrivo "/>
    <m/>
    <s v="086 - ITALIA"/>
    <s v="A     - Avere"/>
    <n v="1586000"/>
    <n v="0"/>
    <n v="531420"/>
    <s v="SPRPRZ56M52A662A"/>
    <s v="SPERANZA PATRIZIA"/>
    <s v="615 - Altre famiglie produttrici"/>
    <s v="941 - ATTIVITÀ DI ORGANIZZAZIONI ECONOMICHE, DI DATORI DI LAVORO E PROFESSIONALI"/>
    <s v="086 - ITALIA"/>
    <n v="1306"/>
    <m/>
    <m/>
    <m/>
    <m/>
    <m/>
    <m/>
    <m/>
    <n v="0"/>
    <n v="202506"/>
    <x v="1"/>
    <x v="0"/>
    <x v="0"/>
    <n v="531420"/>
    <x v="1"/>
    <x v="0"/>
    <s v="999"/>
    <s v="615"/>
    <s v="615999"/>
    <m/>
    <s v="1"/>
    <s v="Classe di rischio 3"/>
  </r>
  <r>
    <n v="348630"/>
    <x v="5"/>
    <x v="5"/>
    <x v="23"/>
    <n v="53850"/>
    <n v="104"/>
    <s v="053850_104"/>
    <s v="Discovery Day"/>
    <s v="Mai valutato"/>
    <m/>
    <s v="Vari (03/06/2025)"/>
    <n v="1043305922900"/>
    <n v="20250603"/>
    <s v="03 - Versamento contante cassa continua "/>
    <m/>
    <m/>
    <s v="A     - Avere"/>
    <n v="33240"/>
    <n v="33240"/>
    <n v="592290"/>
    <s v="NNNGTN73H24C983Q"/>
    <s v="IANNONE GAETANO"/>
    <s v="615 - Altre famiglie produttrici"/>
    <s v="120 - INDUSTRIA DEL TABACCO"/>
    <s v="086 - ITALIA"/>
    <n v="1902"/>
    <m/>
    <m/>
    <m/>
    <m/>
    <m/>
    <m/>
    <m/>
    <n v="0"/>
    <n v="202506"/>
    <x v="4"/>
    <x v="1"/>
    <x v="0"/>
    <n v="592290"/>
    <x v="1"/>
    <x v="0"/>
    <s v="999"/>
    <s v="615"/>
    <s v="615999"/>
    <m/>
    <s v="1"/>
    <s v="Classe di rischio 3"/>
  </r>
  <r>
    <n v="348629"/>
    <x v="5"/>
    <x v="5"/>
    <x v="23"/>
    <n v="53850"/>
    <n v="114"/>
    <s v="053850_114"/>
    <s v="Discovery Day"/>
    <s v="Mai valutato"/>
    <m/>
    <s v="Vari (03/06/2025)"/>
    <n v="1143306280621"/>
    <n v="20250603"/>
    <s v="D1 - Versamento di contante "/>
    <m/>
    <m/>
    <s v="A     - Avere"/>
    <n v="85150"/>
    <n v="8515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x v="1"/>
    <x v="0"/>
    <x v="0"/>
    <n v="4658875"/>
    <x v="1"/>
    <x v="0"/>
    <s v="477"/>
    <s v="430"/>
    <s v="430477"/>
    <s v="Classe di rischio 3"/>
    <m/>
    <s v="Classe di rischio 3"/>
  </r>
  <r>
    <n v="348628"/>
    <x v="3"/>
    <x v="3"/>
    <x v="23"/>
    <n v="53850"/>
    <n v="102"/>
    <s v="053850_102"/>
    <s v="Discovery Day"/>
    <s v="Mai valutato"/>
    <m/>
    <s v="Vari (03/06/2025)"/>
    <n v="1023300660520"/>
    <n v="20250603"/>
    <s v="VV"/>
    <m/>
    <m/>
    <s v="A     - Avere"/>
    <n v="143846.70000000001"/>
    <n v="5032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6"/>
    <x v="4"/>
    <x v="1"/>
    <x v="0"/>
    <n v="66052"/>
    <x v="1"/>
    <x v="1"/>
    <s v="999"/>
    <s v="430"/>
    <s v="430999"/>
    <m/>
    <s v="1"/>
    <s v="Classe di rischio 1"/>
  </r>
  <r>
    <n v="348627"/>
    <x v="4"/>
    <x v="4"/>
    <x v="23"/>
    <n v="53850"/>
    <n v="132"/>
    <s v="053850_132"/>
    <s v="Discovery Day"/>
    <s v="Mai valutato"/>
    <m/>
    <n v="202506038037960"/>
    <n v="1323300002559"/>
    <n v="20250603"/>
    <s v="26 - Bonifico in partenza "/>
    <m/>
    <s v="086 - ITALIA"/>
    <s v="D     - Dare"/>
    <n v="221000"/>
    <n v="0"/>
    <n v="4875371"/>
    <s v="LLTRCL59E07B743J"/>
    <s v="LAULETTA ERCOLE"/>
    <s v="600 - Famiglie consumatrici"/>
    <m/>
    <s v="086 - ITALIA"/>
    <n v="1959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26"/>
    <x v="5"/>
    <x v="5"/>
    <x v="23"/>
    <n v="53850"/>
    <n v="287"/>
    <s v="053850_287"/>
    <s v="Discovery Day"/>
    <s v="Mai valutato"/>
    <m/>
    <s v="Vari (03/06/2025)"/>
    <n v="2873300001853"/>
    <n v="20250603"/>
    <s v="VV"/>
    <m/>
    <m/>
    <s v="A     - Avere"/>
    <n v="153971.35"/>
    <n v="10073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x v="2"/>
    <x v="1"/>
    <x v="0"/>
    <n v="3722213"/>
    <x v="1"/>
    <x v="1"/>
    <s v="463"/>
    <s v="430"/>
    <s v="430463"/>
    <s v="Classe di rischio 3"/>
    <m/>
    <s v="Classe di rischio 3"/>
  </r>
  <r>
    <n v="348625"/>
    <x v="5"/>
    <x v="5"/>
    <x v="23"/>
    <n v="53850"/>
    <n v="102"/>
    <s v="053850_102"/>
    <s v="Discovery Day"/>
    <s v="Mai valutato"/>
    <m/>
    <s v="Vari (03/06/2025)"/>
    <n v="1023308728260"/>
    <n v="20250603"/>
    <s v="VV"/>
    <m/>
    <m/>
    <s v="A     - Avere"/>
    <n v="48200"/>
    <n v="29850"/>
    <n v="500870"/>
    <s v="TFNVCN80E08A225P"/>
    <s v="TAFUNI VINCENZO"/>
    <s v="600 - Famiglie consumatrici"/>
    <m/>
    <s v="086 - ITALIA"/>
    <n v="1576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624"/>
    <x v="3"/>
    <x v="3"/>
    <x v="23"/>
    <n v="53850"/>
    <n v="174"/>
    <s v="053850_174"/>
    <s v="Discovery Day"/>
    <s v="Mai valutato"/>
    <m/>
    <s v="Vari (03/06/2025)"/>
    <n v="1743302879671"/>
    <n v="20250603"/>
    <s v="G1 - Versamento assegni tratti su altro intermediario "/>
    <m/>
    <m/>
    <s v="A     - Avere"/>
    <n v="100752.25"/>
    <n v="0"/>
    <n v="4866710"/>
    <n v="265680728"/>
    <s v="AS LABRUNA S.R.L."/>
    <s v="430 - Imprese produttive"/>
    <s v="281 - FABBRICAZIONE DI MACCHINE DI IMPIEGO GENERALE"/>
    <s v="086 - ITALIA"/>
    <n v="1058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23"/>
    <x v="5"/>
    <x v="5"/>
    <x v="23"/>
    <n v="53850"/>
    <n v="148"/>
    <s v="053850_148"/>
    <s v="Discovery Day"/>
    <s v="Mai valutato"/>
    <m/>
    <s v="Vari (03/06/2025)"/>
    <n v="1483300005260"/>
    <n v="20250603"/>
    <s v="03 - Versamento contante cassa continua "/>
    <m/>
    <m/>
    <s v="A     - Avere"/>
    <n v="36060"/>
    <n v="36060"/>
    <n v="4788424"/>
    <s v="LBRDVD86A13F912R"/>
    <s v="ALBERICO DAVIDE"/>
    <s v="615 - Altre famiglie produttrici"/>
    <s v="711 - ATTIVITÀ DEGLI STUDI DI ARCHITETTURA, INGEGNERIA ED ALTRI STUDI TECNICI"/>
    <s v="086 - ITALIA"/>
    <n v="1063"/>
    <m/>
    <m/>
    <m/>
    <m/>
    <m/>
    <m/>
    <m/>
    <n v="0"/>
    <n v="202506"/>
    <x v="2"/>
    <x v="1"/>
    <x v="0"/>
    <m/>
    <x v="0"/>
    <x v="0"/>
    <s v="999"/>
    <s v="615"/>
    <s v="615999"/>
    <m/>
    <s v="1"/>
    <s v="Classe di rischio 3"/>
  </r>
  <r>
    <n v="348622"/>
    <x v="4"/>
    <x v="4"/>
    <x v="23"/>
    <n v="53850"/>
    <n v="171"/>
    <s v="053850_171"/>
    <s v="Discovery Day"/>
    <s v="Mai valutato"/>
    <m/>
    <n v="202506038036505"/>
    <n v="1713302213842"/>
    <n v="20250603"/>
    <s v="13 - Addebito per estinzione assegno"/>
    <m/>
    <m/>
    <s v="D     - Dare"/>
    <n v="2743358.23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21"/>
    <x v="3"/>
    <x v="3"/>
    <x v="23"/>
    <n v="53850"/>
    <n v="102"/>
    <s v="053850_102"/>
    <s v="Discovery Day"/>
    <s v="Mai valutato"/>
    <m/>
    <s v="Vari (03/06/2025)"/>
    <n v="1023306273368"/>
    <n v="20250603"/>
    <s v="VV"/>
    <m/>
    <m/>
    <s v="A     - Avere"/>
    <n v="43750"/>
    <n v="0"/>
    <n v="4120919"/>
    <s v="LVGNTN74E31A225D"/>
    <s v="LOVIGLIO ANTONIO"/>
    <s v="615 - Altre famiglie produttrici"/>
    <s v="952 - RIPARAZIONE DI BENI PER USO PERSONALE E PER LA CASA"/>
    <s v="086 - ITALIA"/>
    <n v="1306"/>
    <m/>
    <m/>
    <m/>
    <m/>
    <m/>
    <m/>
    <m/>
    <n v="0"/>
    <n v="202506"/>
    <x v="2"/>
    <x v="1"/>
    <x v="0"/>
    <m/>
    <x v="0"/>
    <x v="1"/>
    <s v="952"/>
    <s v="615"/>
    <s v="615952"/>
    <s v="Classe di rischio 6"/>
    <m/>
    <s v="Classe di rischio 6"/>
  </r>
  <r>
    <n v="348620"/>
    <x v="4"/>
    <x v="4"/>
    <x v="23"/>
    <n v="53850"/>
    <n v="185"/>
    <s v="053850_185"/>
    <s v="Discovery Day"/>
    <s v="Mai valutato"/>
    <m/>
    <s v="202506037704161L"/>
    <n v="1853300026668"/>
    <n v="20250603"/>
    <s v="SPECIAL"/>
    <m/>
    <m/>
    <s v="D     - Dare"/>
    <n v="1596.63"/>
    <n v="0"/>
    <n v="3044870"/>
    <s v="CRRMRA48E70L049R"/>
    <s v="CARRIERO MARIA"/>
    <s v="600 - Famiglie consumatrici"/>
    <m/>
    <s v="086 - ITALIA"/>
    <n v="1351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619"/>
    <x v="3"/>
    <x v="3"/>
    <x v="23"/>
    <n v="53850"/>
    <n v="128"/>
    <s v="053850_128"/>
    <s v="Discovery Day"/>
    <s v="Mai valutato"/>
    <m/>
    <s v="Vari (03/06/2025)"/>
    <n v="1283300001665"/>
    <n v="20250603"/>
    <s v="VV"/>
    <m/>
    <m/>
    <s v="A     - Avere"/>
    <n v="205700.1"/>
    <n v="0"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618"/>
    <x v="3"/>
    <x v="3"/>
    <x v="23"/>
    <n v="53850"/>
    <n v="108"/>
    <s v="053850_108"/>
    <s v="Discovery Day"/>
    <s v="Mai valutato"/>
    <m/>
    <s v="Vari (03/06/2025)"/>
    <n v="1083300011180"/>
    <n v="20250603"/>
    <s v="VV"/>
    <m/>
    <m/>
    <s v="A     - Avere"/>
    <n v="149356.09"/>
    <n v="0"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x v="2"/>
    <x v="1"/>
    <x v="0"/>
    <m/>
    <x v="0"/>
    <x v="1"/>
    <s v="999"/>
    <s v="430"/>
    <s v="430999"/>
    <m/>
    <s v="1"/>
    <s v="Classe di rischio 1"/>
  </r>
  <r>
    <n v="348617"/>
    <x v="3"/>
    <x v="3"/>
    <x v="23"/>
    <n v="53850"/>
    <n v="116"/>
    <s v="053850_116"/>
    <s v="Discovery Day"/>
    <s v="Mai valutato"/>
    <m/>
    <n v="202506038037062"/>
    <n v="2343300010453"/>
    <n v="20250603"/>
    <s v="03 - Versamento contante cassa continua "/>
    <m/>
    <m/>
    <s v="A     - Avere"/>
    <n v="159640.85"/>
    <n v="159640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616"/>
    <x v="4"/>
    <x v="4"/>
    <x v="23"/>
    <n v="53850"/>
    <n v="125"/>
    <s v="053850_125"/>
    <s v="Discovery Day"/>
    <s v="Mai valutato"/>
    <m/>
    <n v="202506038035852"/>
    <n v="1253300010013"/>
    <n v="20250603"/>
    <s v="31 - Effetti ritirati "/>
    <m/>
    <m/>
    <s v="D     - Dare"/>
    <n v="315913.33"/>
    <n v="0"/>
    <n v="4167043"/>
    <n v="269990636"/>
    <s v="GUACCI SPA"/>
    <s v="430 - Imprese produttive"/>
    <s v="464 - COMMERCIO ALL'INGROSSO DI BENI DI CONSUMO FINALE"/>
    <s v="086 - ITALIA"/>
    <n v="982"/>
    <m/>
    <m/>
    <m/>
    <m/>
    <m/>
    <m/>
    <m/>
    <n v="0"/>
    <n v="202506"/>
    <x v="2"/>
    <x v="1"/>
    <x v="0"/>
    <m/>
    <x v="0"/>
    <x v="0"/>
    <s v="464"/>
    <s v="430"/>
    <s v="430464"/>
    <s v="Classe di rischio 4"/>
    <m/>
    <s v="Classe di rischio 4"/>
  </r>
  <r>
    <n v="348615"/>
    <x v="6"/>
    <x v="6"/>
    <x v="23"/>
    <n v="53850"/>
    <n v="141"/>
    <s v="053850_141"/>
    <s v="Discovery Day"/>
    <s v="Mai valutato"/>
    <m/>
    <n v="202506038032485"/>
    <n v="1413300003985"/>
    <n v="20250603"/>
    <s v="AA - Bonifico da e per estero "/>
    <m/>
    <s v="071 - SVIZZERA"/>
    <s v="D     - Dare"/>
    <n v="50000"/>
    <n v="0"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x v="4"/>
    <x v="1"/>
    <x v="0"/>
    <m/>
    <x v="0"/>
    <x v="0"/>
    <s v="931"/>
    <s v="430"/>
    <s v="430931"/>
    <s v="Classe di rischio 3"/>
    <m/>
    <s v="Classe di rischio 3"/>
  </r>
  <r>
    <n v="348614"/>
    <x v="5"/>
    <x v="5"/>
    <x v="23"/>
    <n v="53850"/>
    <n v="102"/>
    <s v="053850_102"/>
    <s v="Discovery Day"/>
    <s v="Mai valutato"/>
    <m/>
    <s v="Vari (03/06/2025)"/>
    <n v="1023308728260"/>
    <n v="20250603"/>
    <s v="VV"/>
    <m/>
    <m/>
    <s v="A     - Avere"/>
    <n v="48200"/>
    <n v="29850"/>
    <n v="4642713"/>
    <s v="LRSDNL86S49A225T"/>
    <s v="LORUSSO DANIELA"/>
    <s v="600 - Famiglie consumatrici"/>
    <m/>
    <s v="086 - ITALIA"/>
    <m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613"/>
    <x v="5"/>
    <x v="5"/>
    <x v="23"/>
    <n v="53850"/>
    <n v="126"/>
    <s v="053850_126"/>
    <s v="Discovery Day"/>
    <s v="Mai valutato"/>
    <m/>
    <s v="Vari (03/06/2025)"/>
    <n v="1263300003715"/>
    <n v="20250603"/>
    <s v="VV"/>
    <m/>
    <m/>
    <s v="A     - Avere"/>
    <n v="26400"/>
    <n v="23000"/>
    <n v="3711827"/>
    <s v="CNZNZC94E02L109U"/>
    <s v="CANZONIERE NUNZIO COSMIANO"/>
    <s v="600 - Famiglie consumatrici"/>
    <m/>
    <s v="086 - ITALIA"/>
    <n v="1241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612"/>
    <x v="3"/>
    <x v="3"/>
    <x v="23"/>
    <n v="53850"/>
    <n v="128"/>
    <s v="053850_128"/>
    <s v="Discovery Day"/>
    <s v="Mai valutato"/>
    <m/>
    <s v="Vari (03/06/2025)"/>
    <n v="1093306672844"/>
    <n v="20250603"/>
    <s v="VV"/>
    <m/>
    <m/>
    <s v="A     - Avere"/>
    <n v="143575"/>
    <n v="1060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6"/>
    <x v="4"/>
    <x v="1"/>
    <x v="0"/>
    <n v="440311"/>
    <x v="1"/>
    <x v="1"/>
    <s v="451"/>
    <s v="430"/>
    <s v="430451"/>
    <s v="Classe di rischio 3"/>
    <m/>
    <s v="Classe di rischio 3"/>
  </r>
  <r>
    <n v="348611"/>
    <x v="6"/>
    <x v="6"/>
    <x v="23"/>
    <n v="53850"/>
    <n v="102"/>
    <s v="053850_102"/>
    <s v="Discovery Day"/>
    <s v="Mai valutato"/>
    <m/>
    <n v="202506038034185"/>
    <n v="2583300001294"/>
    <n v="20250603"/>
    <s v="AA - Bonifico da e per estero "/>
    <m/>
    <s v="220 - PORTORICO"/>
    <s v="A     - Avere"/>
    <n v="18467"/>
    <n v="0"/>
    <n v="4923983"/>
    <n v="8254330726"/>
    <s v="FDESIGN ITALIA SOCIETA' A RESPONSABILITA' LIMITATA"/>
    <s v="430 - Imprese produttive"/>
    <s v="310 - FABBRICAZIONE DI MOBILI"/>
    <s v="086 - ITALIA"/>
    <n v="1949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10"/>
    <x v="4"/>
    <x v="4"/>
    <x v="23"/>
    <n v="53850"/>
    <n v="192"/>
    <s v="053850_192"/>
    <s v="Discovery Day"/>
    <s v="Mai valutato"/>
    <m/>
    <n v="202506038034116"/>
    <n v="1923300183163"/>
    <n v="20250603"/>
    <s v="48 - Bonifico in arrivo "/>
    <m/>
    <s v="086 - ITALIA"/>
    <s v="A     - Avere"/>
    <n v="2005000"/>
    <n v="0"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6"/>
    <x v="1"/>
    <x v="0"/>
    <x v="0"/>
    <n v="4695944"/>
    <x v="1"/>
    <x v="0"/>
    <s v="999"/>
    <s v="615"/>
    <s v="615999"/>
    <m/>
    <s v="1"/>
    <s v="Classe di rischio 3"/>
  </r>
  <r>
    <n v="348609"/>
    <x v="4"/>
    <x v="4"/>
    <x v="23"/>
    <n v="53850"/>
    <n v="116"/>
    <s v="053850_116"/>
    <s v="Discovery Day"/>
    <s v="Mai valutato"/>
    <m/>
    <n v="202506038033994"/>
    <n v="2343300010453"/>
    <n v="20250603"/>
    <s v="48 - Bonifico in arrivo "/>
    <m/>
    <s v="086 - ITALIA"/>
    <s v="A     - Avere"/>
    <n v="1300000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608"/>
    <x v="3"/>
    <x v="3"/>
    <x v="23"/>
    <n v="53850"/>
    <n v="102"/>
    <s v="053850_102"/>
    <s v="Discovery Day"/>
    <s v="Mai valutato"/>
    <m/>
    <n v="202506038037699"/>
    <n v="1023308722151"/>
    <n v="20250603"/>
    <s v="G7 - Versamento assegno circolare altro intermediario "/>
    <m/>
    <m/>
    <s v="A     - Avere"/>
    <n v="200000"/>
    <n v="0"/>
    <n v="430073"/>
    <s v="MRNNDR69H02A225C"/>
    <s v="MARINELLI ANDREA"/>
    <s v="600 - Famiglie consumatrici"/>
    <m/>
    <s v="086 - ITALIA"/>
    <n v="1648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07"/>
    <x v="4"/>
    <x v="4"/>
    <x v="23"/>
    <n v="53850"/>
    <n v="102"/>
    <s v="053850_102"/>
    <s v="Discovery Day"/>
    <s v="Mai valutato"/>
    <m/>
    <n v="202506038037724"/>
    <n v="2583302251708"/>
    <n v="20250603"/>
    <s v="SPECIAL"/>
    <m/>
    <m/>
    <s v="D     - Dare"/>
    <n v="10083.49"/>
    <n v="0"/>
    <n v="69892"/>
    <s v="LRDVCR42B06L477L"/>
    <s v="LARDO VITO CARMINE"/>
    <s v="600 - Famiglie consumatrici"/>
    <m/>
    <s v="086 - ITALIA"/>
    <n v="1456"/>
    <m/>
    <m/>
    <m/>
    <m/>
    <m/>
    <m/>
    <m/>
    <n v="0"/>
    <n v="202506"/>
    <x v="2"/>
    <x v="1"/>
    <x v="0"/>
    <m/>
    <x v="0"/>
    <x v="1"/>
    <s v="999"/>
    <s v="600"/>
    <s v="600999"/>
    <s v="Classe di rischio 7"/>
    <m/>
    <s v="Classe di rischio 7"/>
  </r>
  <r>
    <n v="348606"/>
    <x v="3"/>
    <x v="3"/>
    <x v="23"/>
    <n v="53850"/>
    <n v="175"/>
    <s v="053850_175"/>
    <s v="Discovery Day"/>
    <s v="Mai valutato"/>
    <m/>
    <s v="Vari (03/06/2025)"/>
    <n v="1753302203127"/>
    <n v="20250603"/>
    <s v="VV"/>
    <m/>
    <m/>
    <s v="A     - Avere"/>
    <n v="120377.64"/>
    <n v="20695"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x v="2"/>
    <x v="1"/>
    <x v="0"/>
    <n v="4160138"/>
    <x v="1"/>
    <x v="1"/>
    <s v="999"/>
    <s v="430"/>
    <s v="430999"/>
    <m/>
    <s v="1"/>
    <s v="Classe di rischio 1"/>
  </r>
  <r>
    <n v="348605"/>
    <x v="4"/>
    <x v="4"/>
    <x v="23"/>
    <n v="53850"/>
    <n v="116"/>
    <s v="053850_116"/>
    <s v="Discovery Day"/>
    <s v="Mai valutato"/>
    <m/>
    <n v="202506038032451"/>
    <n v="2343300010453"/>
    <n v="20250603"/>
    <s v="26 - Bonifico in partenza "/>
    <m/>
    <s v="086 - ITALIA"/>
    <s v="D     - Dare"/>
    <n v="962952.72"/>
    <n v="0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604"/>
    <x v="4"/>
    <x v="4"/>
    <x v="23"/>
    <n v="53850"/>
    <n v="116"/>
    <s v="053850_116"/>
    <s v="Discovery Day"/>
    <s v="Mai valutato"/>
    <m/>
    <n v="202506038037044"/>
    <n v="2173300010307"/>
    <n v="20250603"/>
    <s v="A7 - Erogazione finanziamenti diversi e prestiti personali"/>
    <m/>
    <m/>
    <s v="A     - Avere"/>
    <n v="10000000"/>
    <n v="0"/>
    <n v="4434879"/>
    <n v="1595620061"/>
    <s v="ACCIAIERIE VALBRUNA S.P.A."/>
    <s v="430 - Imprese produttive"/>
    <s v="241 - SIDERURGIA"/>
    <s v="086 - ITALIA"/>
    <n v="169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603"/>
    <x v="5"/>
    <x v="5"/>
    <x v="23"/>
    <n v="53850"/>
    <n v="196"/>
    <s v="053850_196"/>
    <s v="Discovery Day"/>
    <s v="Mai valutato"/>
    <m/>
    <n v="202506038036940"/>
    <n v="1963302353452"/>
    <n v="20250603"/>
    <s v="03 - Versamento contante cassa continua "/>
    <m/>
    <m/>
    <s v="A     - Avere"/>
    <n v="32000"/>
    <n v="32000"/>
    <n v="4084962"/>
    <s v="CLNMRA67T58C514L"/>
    <s v="COLONNA MARIA"/>
    <s v="614 - Artigiani"/>
    <s v="563 - BAR E ALTRI ESERCIZI SIMILI SENZA CUCINA"/>
    <s v="086 - ITALIA"/>
    <n v="1945"/>
    <m/>
    <m/>
    <m/>
    <m/>
    <m/>
    <m/>
    <m/>
    <n v="0"/>
    <n v="202506"/>
    <x v="1"/>
    <x v="0"/>
    <x v="0"/>
    <n v="4084962"/>
    <x v="1"/>
    <x v="0"/>
    <s v="999"/>
    <s v="614"/>
    <s v="614999"/>
    <m/>
    <s v="1"/>
    <s v="Classe di rischio 3"/>
  </r>
  <r>
    <n v="348602"/>
    <x v="4"/>
    <x v="4"/>
    <x v="23"/>
    <n v="53850"/>
    <n v="105"/>
    <s v="053850_105"/>
    <s v="Discovery Day"/>
    <s v="Mai valutato"/>
    <m/>
    <n v="202506038033825"/>
    <n v="1053300516650"/>
    <n v="20250603"/>
    <s v="48 - Bonifico in arrivo "/>
    <m/>
    <s v="086 - ITALIA"/>
    <s v="A     - Avere"/>
    <n v="225042.07"/>
    <n v="0"/>
    <n v="51665"/>
    <s v="NTNNTN56R59E038X"/>
    <s v="INTINO ANTONIA"/>
    <s v="600 - Famiglie consumatrici"/>
    <m/>
    <s v="086 - ITALIA"/>
    <n v="1471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01"/>
    <x v="4"/>
    <x v="4"/>
    <x v="23"/>
    <n v="53850"/>
    <n v="103"/>
    <s v="053850_103"/>
    <s v="Discovery Day"/>
    <s v="Mai valutato"/>
    <m/>
    <n v="202506038033238"/>
    <n v="1033306985513"/>
    <n v="20250603"/>
    <s v="48 - Bonifico in arrivo "/>
    <m/>
    <s v="086 - ITALIA"/>
    <s v="A     - Avere"/>
    <n v="431436.56"/>
    <n v="0"/>
    <n v="439797"/>
    <s v="SNGMRA45E68E155A"/>
    <s v="SANGIRARDI MARIA"/>
    <s v="600 - Famiglie consumatrici"/>
    <m/>
    <s v="086 - ITALIA"/>
    <m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600"/>
    <x v="6"/>
    <x v="6"/>
    <x v="23"/>
    <n v="53850"/>
    <n v="190"/>
    <s v="053850_190"/>
    <s v="Discovery Day"/>
    <s v="Mai valutato"/>
    <m/>
    <n v="202506038034212"/>
    <n v="1903300017388"/>
    <n v="20250603"/>
    <s v="AA - Bonifico da e per estero "/>
    <m/>
    <s v="071 - SVIZZERA"/>
    <s v="A     - Avere"/>
    <n v="23774.400000000001"/>
    <n v="0"/>
    <n v="4884959"/>
    <n v="6732580722"/>
    <s v="MACK &amp; SCHUHLE ITALIA S.P.A."/>
    <s v="430 - Imprese produttive"/>
    <s v="110 - INDUSTRIA DELLE BEVANDE"/>
    <s v="086 - ITALIA"/>
    <n v="192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599"/>
    <x v="3"/>
    <x v="3"/>
    <x v="23"/>
    <n v="53850"/>
    <n v="114"/>
    <s v="053850_114"/>
    <s v="Discovery Day"/>
    <s v="Mai valutato"/>
    <m/>
    <s v="Vari (03/06/2025)"/>
    <n v="1143306280621"/>
    <n v="20250603"/>
    <s v="D1 - Versamento di contante "/>
    <m/>
    <m/>
    <s v="A     - Avere"/>
    <n v="85150"/>
    <n v="85150"/>
    <n v="4658875"/>
    <n v="3230890711"/>
    <s v="FARMACIE SANTA RITA S.R.L."/>
    <s v="430 - Imprese produttive"/>
    <s v="477 - COMMERCIO AL DETTAGLIO DI ALTRI PRODOTTI IN ESERCIZI SPECIALIZZATI"/>
    <s v="086 - ITALIA"/>
    <n v="870"/>
    <m/>
    <m/>
    <m/>
    <m/>
    <m/>
    <m/>
    <m/>
    <n v="0"/>
    <n v="202506"/>
    <x v="1"/>
    <x v="0"/>
    <x v="0"/>
    <n v="4658875"/>
    <x v="1"/>
    <x v="0"/>
    <s v="477"/>
    <s v="430"/>
    <s v="430477"/>
    <s v="Classe di rischio 3"/>
    <m/>
    <s v="Classe di rischio 3"/>
  </r>
  <r>
    <n v="348598"/>
    <x v="5"/>
    <x v="5"/>
    <x v="23"/>
    <n v="53850"/>
    <n v="102"/>
    <s v="053850_102"/>
    <s v="Discovery Day"/>
    <s v="Mai valutato"/>
    <m/>
    <s v="Vari (03/06/2025)"/>
    <n v="1023300660520"/>
    <n v="20250603"/>
    <s v="VV"/>
    <m/>
    <m/>
    <s v="A     - Avere"/>
    <n v="143846.70000000001"/>
    <n v="50325"/>
    <n v="66052"/>
    <n v="398110726"/>
    <s v="SANROCCO CARBURANTI S.R.L."/>
    <s v="430 - Imprese produttive"/>
    <s v="467 - COMMERCIO ALL'INGROSSO SPECIALIZZATO DI ALTRI PRODOTTI"/>
    <s v="086 - ITALIA"/>
    <n v="1203"/>
    <m/>
    <m/>
    <m/>
    <m/>
    <m/>
    <m/>
    <m/>
    <n v="0"/>
    <n v="202506"/>
    <x v="4"/>
    <x v="1"/>
    <x v="0"/>
    <n v="66052"/>
    <x v="1"/>
    <x v="1"/>
    <s v="999"/>
    <s v="430"/>
    <s v="430999"/>
    <m/>
    <s v="1"/>
    <s v="Classe di rischio 1"/>
  </r>
  <r>
    <n v="348597"/>
    <x v="4"/>
    <x v="4"/>
    <x v="23"/>
    <n v="53850"/>
    <n v="132"/>
    <s v="053850_132"/>
    <s v="Discovery Day"/>
    <s v="Mai valutato"/>
    <m/>
    <n v="202506038037960"/>
    <n v="1323300002559"/>
    <n v="20250603"/>
    <s v="26 - Bonifico in partenza "/>
    <m/>
    <s v="086 - ITALIA"/>
    <s v="D     - Dare"/>
    <n v="221000"/>
    <n v="0"/>
    <n v="4875374"/>
    <s v="CNGLRA67P50H501Z"/>
    <s v="CANGIOLI LAURA"/>
    <s v="600 - Famiglie consumatrici"/>
    <m/>
    <s v="086 - ITALIA"/>
    <n v="1959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596"/>
    <x v="4"/>
    <x v="4"/>
    <x v="23"/>
    <n v="53850"/>
    <n v="170"/>
    <s v="053850_170"/>
    <s v="Discovery Day"/>
    <s v="Mai valutato"/>
    <m/>
    <n v="202506038038127"/>
    <n v="1703306290701"/>
    <n v="20250603"/>
    <s v="SPECIAL"/>
    <m/>
    <m/>
    <s v="D     - Dare"/>
    <n v="53329.599999999999"/>
    <n v="0"/>
    <n v="4104070"/>
    <s v="PLLGPP67A15A285B"/>
    <s v="PELLEGRINO GIUSEPPE"/>
    <s v="615 - Altre famiglie produttrici"/>
    <s v="012 - COLTIVAZIONE DI COLTURE PERMANENTI"/>
    <s v="086 - ITALIA"/>
    <n v="1920"/>
    <m/>
    <m/>
    <m/>
    <m/>
    <m/>
    <m/>
    <m/>
    <n v="0"/>
    <n v="202506"/>
    <x v="2"/>
    <x v="1"/>
    <x v="0"/>
    <m/>
    <x v="0"/>
    <x v="1"/>
    <s v="999"/>
    <s v="615"/>
    <s v="615999"/>
    <m/>
    <s v="1"/>
    <s v="Classe di rischio 3"/>
  </r>
  <r>
    <n v="348595"/>
    <x v="4"/>
    <x v="4"/>
    <x v="23"/>
    <n v="53850"/>
    <n v="171"/>
    <s v="053850_171"/>
    <s v="Discovery Day"/>
    <s v="Mai valutato"/>
    <m/>
    <n v="202506038033055"/>
    <n v="1713302217591"/>
    <n v="20250603"/>
    <s v="48 - Bonifico in arrivo "/>
    <m/>
    <s v="086 - ITALIA"/>
    <s v="A     - Avere"/>
    <n v="664021.56999999995"/>
    <n v="0"/>
    <n v="4805735"/>
    <n v="5001120723"/>
    <s v="AGRIDE'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6"/>
    <x v="2"/>
    <x v="1"/>
    <x v="0"/>
    <m/>
    <x v="0"/>
    <x v="0"/>
    <s v="463"/>
    <s v="430"/>
    <s v="430463"/>
    <s v="Classe di rischio 3"/>
    <m/>
    <s v="Classe di rischio 3"/>
  </r>
  <r>
    <n v="348594"/>
    <x v="4"/>
    <x v="4"/>
    <x v="23"/>
    <n v="53850"/>
    <n v="266"/>
    <s v="053850_266"/>
    <s v="Discovery Day"/>
    <s v="Mai valutato"/>
    <m/>
    <n v="202506038033449"/>
    <n v="2663300000205"/>
    <n v="20250603"/>
    <s v="48 - Bonifico in arrivo "/>
    <m/>
    <s v="086 - ITALIA"/>
    <s v="A     - Avere"/>
    <n v="320642.14"/>
    <n v="0"/>
    <n v="1627776"/>
    <s v="BCCGNN82H46F537L"/>
    <s v="BUCCINNA' GIOVANNA"/>
    <s v="600 - Famiglie consumatrici"/>
    <m/>
    <s v="086 - ITALIA"/>
    <n v="178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593"/>
    <x v="2"/>
    <x v="2"/>
    <x v="23"/>
    <n v="53850"/>
    <n v="109"/>
    <s v="053850_109"/>
    <s v="Discovery Day"/>
    <s v="Mai valutato"/>
    <m/>
    <s v="202506037706376L"/>
    <n v="1093306671099"/>
    <n v="20250603"/>
    <s v="AA - Bonifico da e per estero "/>
    <m/>
    <s v="261 - CROAZIA"/>
    <s v="D     - Dare"/>
    <n v="3000"/>
    <n v="0"/>
    <n v="627869"/>
    <s v="RKVRZC44C50Z118J"/>
    <s v="RUKAVINA RUZICA"/>
    <s v="600 - Famiglie consumatrici"/>
    <m/>
    <s v="086 - ITALIA"/>
    <n v="74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592"/>
    <x v="4"/>
    <x v="4"/>
    <x v="23"/>
    <n v="53850"/>
    <n v="266"/>
    <s v="053850_266"/>
    <s v="Discovery Day"/>
    <s v="Mai valutato"/>
    <m/>
    <n v="202506038033452"/>
    <n v="2663300001623"/>
    <n v="20250603"/>
    <s v="48 - Bonifico in arrivo "/>
    <m/>
    <s v="086 - ITALIA"/>
    <s v="A     - Avere"/>
    <n v="311736.65999999997"/>
    <n v="0"/>
    <n v="1698772"/>
    <s v="RCRDNC80L21F537C"/>
    <s v="ARACRI DOMENICO"/>
    <s v="600 - Famiglie consumatrici"/>
    <m/>
    <s v="086 - ITALIA"/>
    <n v="1785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591"/>
    <x v="5"/>
    <x v="5"/>
    <x v="23"/>
    <n v="53850"/>
    <n v="267"/>
    <s v="053850_267"/>
    <s v="Discovery Day"/>
    <s v="Mai valutato"/>
    <m/>
    <n v="202506038038374"/>
    <n v="2673300003600"/>
    <n v="20250603"/>
    <s v="D1 - Versamento di contante "/>
    <m/>
    <m/>
    <s v="A     - Avere"/>
    <n v="65000"/>
    <n v="65000"/>
    <n v="1705101"/>
    <n v="2896870793"/>
    <s v="GARDEN DI BARBARA SALVA TORE &amp; C. S.A.S."/>
    <s v="492 - Quasi societa' non finanziarie altre - Unita' o societa' con meno di 20 addetti"/>
    <s v="471 - COMMERCIO AL DETTAGLIO IN ESERCIZI NON SPECIALIZZATI"/>
    <s v="086 - ITALIA"/>
    <n v="1878"/>
    <m/>
    <m/>
    <m/>
    <m/>
    <m/>
    <m/>
    <m/>
    <n v="0"/>
    <n v="202506"/>
    <x v="4"/>
    <x v="1"/>
    <x v="0"/>
    <n v="1705101"/>
    <x v="1"/>
    <x v="0"/>
    <s v="999"/>
    <s v="492"/>
    <s v="492999"/>
    <m/>
    <s v="1"/>
    <s v="Classe di rischio 2"/>
  </r>
  <r>
    <n v="348590"/>
    <x v="5"/>
    <x v="5"/>
    <x v="23"/>
    <n v="53850"/>
    <n v="126"/>
    <s v="053850_126"/>
    <s v="Discovery Day"/>
    <s v="Mai valutato"/>
    <m/>
    <s v="Vari (03/06/2025)"/>
    <n v="1263300003715"/>
    <n v="20250603"/>
    <s v="VV"/>
    <m/>
    <m/>
    <s v="A     - Avere"/>
    <n v="26400"/>
    <n v="23000"/>
    <n v="3711833"/>
    <s v="PRTLNE97M58B619V"/>
    <s v="PORTA ELENA"/>
    <s v="600 - Famiglie consumatrici"/>
    <m/>
    <s v="086 - ITALIA"/>
    <n v="1241"/>
    <m/>
    <m/>
    <m/>
    <m/>
    <m/>
    <m/>
    <m/>
    <n v="0"/>
    <n v="202506"/>
    <x v="2"/>
    <x v="1"/>
    <x v="0"/>
    <n v="3711833"/>
    <x v="1"/>
    <x v="1"/>
    <s v="999"/>
    <s v="600"/>
    <s v="600999"/>
    <s v="Classe di rischio 7"/>
    <m/>
    <s v="Classe di rischio 7"/>
  </r>
  <r>
    <n v="348589"/>
    <x v="5"/>
    <x v="5"/>
    <x v="23"/>
    <n v="53850"/>
    <n v="102"/>
    <s v="053850_102"/>
    <s v="Discovery Day"/>
    <s v="Mai valutato"/>
    <m/>
    <n v="202506038035018"/>
    <n v="1023308722503"/>
    <n v="20250603"/>
    <s v="03 - Versamento contante cassa continua "/>
    <m/>
    <m/>
    <s v="A     - Avere"/>
    <n v="28900"/>
    <n v="2890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48588"/>
    <x v="5"/>
    <x v="5"/>
    <x v="23"/>
    <n v="53850"/>
    <n v="161"/>
    <s v="053850_161"/>
    <s v="Discovery Day"/>
    <s v="Mai valutato"/>
    <m/>
    <s v="Vari (03/06/2025)"/>
    <n v="1613300031333"/>
    <n v="20250603"/>
    <s v="03 - Versamento contante cassa continua "/>
    <m/>
    <m/>
    <s v="A     - Avere"/>
    <n v="37940"/>
    <n v="37940"/>
    <n v="511904"/>
    <s v="PCADNC68C06A893F"/>
    <s v="PACE DOMENICO"/>
    <s v="615 - Altre famiglie produttrici"/>
    <s v="472 - COMMERCIO AL DETTAGLIO DI PRODOTTI ALIMENTARI, BEVANDE E TABACCO IN ESERCIZI SPECIALIZZATI"/>
    <s v="086 - ITALIA"/>
    <n v="857"/>
    <m/>
    <m/>
    <m/>
    <m/>
    <m/>
    <m/>
    <m/>
    <n v="0"/>
    <n v="202506"/>
    <x v="4"/>
    <x v="1"/>
    <x v="0"/>
    <n v="511904"/>
    <x v="1"/>
    <x v="0"/>
    <s v="999"/>
    <s v="615"/>
    <s v="615999"/>
    <m/>
    <s v="1"/>
    <s v="Classe di rischio 3"/>
  </r>
  <r>
    <n v="348587"/>
    <x v="4"/>
    <x v="4"/>
    <x v="23"/>
    <n v="53850"/>
    <n v="102"/>
    <s v="053850_102"/>
    <s v="Discovery Day"/>
    <s v="Mai valutato"/>
    <m/>
    <n v="202506038034129"/>
    <n v="1023308719030"/>
    <n v="20250603"/>
    <s v="48 - Bonifico in arrivo "/>
    <m/>
    <s v="086 - ITALIA"/>
    <s v="A     - Avere"/>
    <n v="4000000"/>
    <n v="0"/>
    <n v="4414552"/>
    <n v="6605700720"/>
    <s v="COSTRUZIONI BAROZZI SOCIETA' PER AZIONI"/>
    <s v="430 - Imprese produttive"/>
    <s v="412 - COSTRUZIONE DI EDIFICI RESIDENZIALI E NON RESIDENZIALI"/>
    <s v="086 - ITALIA"/>
    <n v="739"/>
    <m/>
    <m/>
    <m/>
    <m/>
    <m/>
    <m/>
    <m/>
    <n v="0"/>
    <n v="202506"/>
    <x v="1"/>
    <x v="0"/>
    <x v="0"/>
    <m/>
    <x v="0"/>
    <x v="0"/>
    <s v="412"/>
    <s v="430"/>
    <s v="430412"/>
    <s v="Classe di rischio 3"/>
    <m/>
    <s v="Classe di rischio 3"/>
  </r>
  <r>
    <n v="348586"/>
    <x v="5"/>
    <x v="5"/>
    <x v="23"/>
    <n v="53850"/>
    <n v="176"/>
    <s v="053850_176"/>
    <s v="Discovery Day"/>
    <s v="Mai valutato"/>
    <m/>
    <s v="Vari (03/06/2025)"/>
    <n v="1763300019976"/>
    <n v="20250603"/>
    <s v="D1 - Versamento di contante "/>
    <m/>
    <m/>
    <s v="A     - Avere"/>
    <n v="29100"/>
    <n v="29100"/>
    <n v="4859706"/>
    <s v="TRLMGR99M70I954W"/>
    <s v="TARULLI MARIAGRAZIA"/>
    <s v="600 - Famiglie consumatrici"/>
    <m/>
    <s v="086 - ITALIA"/>
    <n v="440"/>
    <m/>
    <m/>
    <m/>
    <m/>
    <m/>
    <m/>
    <m/>
    <n v="0"/>
    <n v="202506"/>
    <x v="2"/>
    <x v="1"/>
    <x v="0"/>
    <n v="4859706"/>
    <x v="1"/>
    <x v="0"/>
    <s v="999"/>
    <s v="600"/>
    <s v="600999"/>
    <s v="Classe di rischio 7"/>
    <m/>
    <s v="Classe di rischio 7"/>
  </r>
  <r>
    <n v="348585"/>
    <x v="3"/>
    <x v="3"/>
    <x v="23"/>
    <n v="53850"/>
    <n v="104"/>
    <s v="053850_104"/>
    <s v="Discovery Day"/>
    <s v="Mai valutato"/>
    <m/>
    <n v="202506038037778"/>
    <n v="1043301449156"/>
    <n v="20250603"/>
    <s v="G1 - Versamento assegni tratti su altro intermediario "/>
    <m/>
    <m/>
    <s v="A     - Avere"/>
    <n v="125646.6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6"/>
    <x v="3"/>
    <x v="1"/>
    <x v="0"/>
    <m/>
    <x v="0"/>
    <x v="0"/>
    <s v="999"/>
    <s v="430"/>
    <s v="430999"/>
    <m/>
    <s v="1"/>
    <s v="Classe di rischio 1"/>
  </r>
  <r>
    <n v="348584"/>
    <x v="3"/>
    <x v="3"/>
    <x v="23"/>
    <n v="53850"/>
    <n v="192"/>
    <s v="053850_192"/>
    <s v="Discovery Day"/>
    <s v="Mai valutato"/>
    <m/>
    <s v="Vari (03/06/2025)"/>
    <n v="1923300180351"/>
    <n v="20250603"/>
    <s v="G1 - Versamento assegni tratti su altro intermediario "/>
    <m/>
    <m/>
    <s v="A     - Avere"/>
    <n v="171008.36"/>
    <n v="0"/>
    <n v="4365602"/>
    <n v="2514190731"/>
    <s v="TRE P. ABBIGLIAMENTO S.R.L."/>
    <s v="430 - Imprese produttive"/>
    <s v="141 - CONFEZIONE DI ARTICOLI DI ABBIGLIAMENTO (ESCLUSO ABBIGLIAMENTO IN PELLICCIA)"/>
    <s v="086 - ITALIA"/>
    <n v="1066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583"/>
    <x v="11"/>
    <x v="11"/>
    <x v="23"/>
    <n v="53850"/>
    <n v="182"/>
    <s v="053850_182"/>
    <s v="Discovery Day"/>
    <s v="Mai valutato"/>
    <m/>
    <n v="202506038038202"/>
    <n v="1823300038953"/>
    <n v="20250603"/>
    <s v="52 - Prelevamento con moduli di sportello "/>
    <m/>
    <m/>
    <s v="D     - Dare"/>
    <n v="33245"/>
    <n v="33245"/>
    <n v="4898608"/>
    <n v="3093910739"/>
    <s v="RI.PRO SOCIETA' COOPERATIVA SOCIALE"/>
    <s v="430 - Imprese produttive"/>
    <s v="881 - ASSISTENZA SOCIALE NON RESIDENZIALE PER ANZIANI E DISABILI"/>
    <s v="086 - ITALIA"/>
    <n v="676"/>
    <m/>
    <m/>
    <m/>
    <m/>
    <m/>
    <m/>
    <m/>
    <n v="0"/>
    <n v="202506"/>
    <x v="2"/>
    <x v="1"/>
    <x v="1"/>
    <n v="4898608"/>
    <x v="1"/>
    <x v="0"/>
    <s v="999"/>
    <s v="430"/>
    <s v="430999"/>
    <m/>
    <s v="1"/>
    <s v="Classe di rischio 1"/>
  </r>
  <r>
    <n v="348582"/>
    <x v="3"/>
    <x v="3"/>
    <x v="23"/>
    <n v="53850"/>
    <n v="268"/>
    <s v="053850_268"/>
    <s v="Discovery Day"/>
    <s v="Mai valutato"/>
    <m/>
    <n v="202506038038380"/>
    <n v="2683300006704"/>
    <n v="20250603"/>
    <s v="G1 - Versamento assegni tratti su altro intermediario "/>
    <m/>
    <m/>
    <s v="A     - Avere"/>
    <n v="87295.47"/>
    <n v="0"/>
    <n v="1705138"/>
    <n v="3015600798"/>
    <s v="M.SERVICE SRL"/>
    <s v="430 - Imprese produttive"/>
    <s v="431 - DEMOLIZIONE E PREPARAZIONE DEL CANTIERE EDILE"/>
    <s v="086 - ITALIA"/>
    <n v="1891"/>
    <m/>
    <m/>
    <m/>
    <m/>
    <m/>
    <m/>
    <m/>
    <n v="0"/>
    <n v="202506"/>
    <x v="2"/>
    <x v="1"/>
    <x v="0"/>
    <m/>
    <x v="0"/>
    <x v="0"/>
    <s v="431"/>
    <s v="430"/>
    <s v="430431"/>
    <s v="Classe di rischio 3"/>
    <m/>
    <s v="Classe di rischio 3"/>
  </r>
  <r>
    <n v="348581"/>
    <x v="2"/>
    <x v="2"/>
    <x v="23"/>
    <n v="53850"/>
    <n v="111"/>
    <s v="053850_111"/>
    <s v="Discovery Day"/>
    <s v="Mai valutato"/>
    <m/>
    <n v="202506038032551"/>
    <n v="1113305626850"/>
    <n v="20250603"/>
    <s v="AA - Bonifico da e per estero "/>
    <m/>
    <s v="261 - CROAZIA"/>
    <s v="D     - Dare"/>
    <n v="500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580"/>
    <x v="4"/>
    <x v="4"/>
    <x v="23"/>
    <n v="53850"/>
    <n v="102"/>
    <s v="053850_102"/>
    <s v="Discovery Day"/>
    <s v="Mai valutato"/>
    <m/>
    <n v="202506038036202"/>
    <n v="1503300003188"/>
    <n v="20250603"/>
    <s v="15 - Rimborso finanziamenti "/>
    <m/>
    <m/>
    <s v="D     - Da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x v="2"/>
    <x v="1"/>
    <x v="0"/>
    <m/>
    <x v="0"/>
    <x v="0"/>
    <s v="999"/>
    <s v="259"/>
    <s v="259999"/>
    <m/>
    <s v="1"/>
    <s v="Classe di rischio 0"/>
  </r>
  <r>
    <n v="348579"/>
    <x v="6"/>
    <x v="6"/>
    <x v="23"/>
    <n v="53850"/>
    <n v="261"/>
    <s v="053850_261"/>
    <s v="Discovery Day"/>
    <s v="Mai valutato"/>
    <m/>
    <n v="202506038033618"/>
    <n v="2613300000162"/>
    <n v="20250603"/>
    <s v="AA - Bonifico da e per estero "/>
    <m/>
    <s v="071 - SVIZZERA"/>
    <s v="A     - Avere"/>
    <n v="15510"/>
    <n v="0"/>
    <n v="1602765"/>
    <n v="705090702"/>
    <s v="DI CIERO S.R.L."/>
    <s v="430 - Imprese produttive"/>
    <s v="494 - TRASPORTO DI MERCI SU STRADA E SERVIZI DI TRASLOCO"/>
    <s v="086 - ITALIA"/>
    <n v="1856"/>
    <m/>
    <m/>
    <m/>
    <m/>
    <m/>
    <m/>
    <m/>
    <n v="0"/>
    <n v="202506"/>
    <x v="0"/>
    <x v="0"/>
    <x v="0"/>
    <m/>
    <x v="0"/>
    <x v="0"/>
    <s v="999"/>
    <s v="430"/>
    <s v="430999"/>
    <m/>
    <s v="1"/>
    <s v="Classe di rischio 1"/>
  </r>
  <r>
    <n v="348578"/>
    <x v="3"/>
    <x v="3"/>
    <x v="23"/>
    <n v="53850"/>
    <n v="161"/>
    <s v="053850_161"/>
    <s v="Discovery Day"/>
    <s v="Mai valutato"/>
    <m/>
    <n v="202506038038064"/>
    <n v="1613300032598"/>
    <n v="20250603"/>
    <s v="G1 - Versamento assegni tratti su altro intermediario "/>
    <m/>
    <m/>
    <s v="A     - Avere"/>
    <n v="209289.79"/>
    <n v="0"/>
    <n v="4103078"/>
    <n v="272810722"/>
    <s v="SICILIANI S.P.A. - INDUSTRIA LAVORAZIONECARN"/>
    <s v="430 - Imprese produttive"/>
    <s v="101 - LAVORAZIONE E CONSERVAZIONE DI CARNE E PRODUZIONE DI PRODOTTI A BASE DI CARNE"/>
    <s v="086 - ITALIA"/>
    <n v="1903"/>
    <m/>
    <m/>
    <m/>
    <m/>
    <m/>
    <m/>
    <m/>
    <n v="0"/>
    <n v="202506"/>
    <x v="4"/>
    <x v="1"/>
    <x v="0"/>
    <m/>
    <x v="0"/>
    <x v="0"/>
    <s v="999"/>
    <s v="430"/>
    <s v="430999"/>
    <m/>
    <s v="1"/>
    <s v="Classe di rischio 1"/>
  </r>
  <r>
    <n v="348577"/>
    <x v="5"/>
    <x v="5"/>
    <x v="23"/>
    <n v="53850"/>
    <n v="116"/>
    <s v="053850_116"/>
    <s v="Discovery Day"/>
    <s v="Mai valutato"/>
    <m/>
    <n v="202506038037062"/>
    <n v="2343300010453"/>
    <n v="20250603"/>
    <s v="03 - Versamento contante cassa continua "/>
    <m/>
    <m/>
    <s v="A     - Avere"/>
    <n v="159640.85"/>
    <n v="159640.85"/>
    <n v="4247777"/>
    <n v="233470236"/>
    <s v="A.I.A. AGRICOLA ITALIANA ALIMENTARE S.P.A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x v="2"/>
    <x v="1"/>
    <x v="0"/>
    <n v="4247777"/>
    <x v="1"/>
    <x v="0"/>
    <s v="463"/>
    <s v="430"/>
    <s v="430463"/>
    <s v="Classe di rischio 3"/>
    <m/>
    <s v="Classe di rischio 3"/>
  </r>
  <r>
    <n v="348576"/>
    <x v="3"/>
    <x v="3"/>
    <x v="23"/>
    <n v="53850"/>
    <n v="102"/>
    <s v="053850_102"/>
    <s v="Discovery Day"/>
    <s v="Mai valutato"/>
    <m/>
    <n v="202506038037699"/>
    <n v="1023308722151"/>
    <n v="20250603"/>
    <s v="G7 - Versamento assegno circolare altro intermediario "/>
    <m/>
    <m/>
    <s v="A     - Avere"/>
    <n v="200000"/>
    <n v="0"/>
    <n v="545860"/>
    <s v="CPRNNZ71D41A225F"/>
    <s v="CAPOROSSO ANNUNZIATA"/>
    <s v="600 - Famiglie consumatrici"/>
    <m/>
    <s v="086 - ITALIA"/>
    <n v="1648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575"/>
    <x v="5"/>
    <x v="5"/>
    <x v="23"/>
    <n v="53850"/>
    <n v="102"/>
    <s v="053850_102"/>
    <s v="Discovery Day"/>
    <s v="Mai valutato"/>
    <m/>
    <s v="Vari (03/06/2025)"/>
    <n v="1023308720537"/>
    <n v="20250603"/>
    <s v="03 - Versamento contante cassa continua "/>
    <m/>
    <m/>
    <s v="A     - Avere"/>
    <n v="49330"/>
    <n v="49330"/>
    <n v="4653840"/>
    <n v="7052850729"/>
    <s v="SUPERMERCATI LELLA SOCIETA' A RESPONSABILITA"/>
    <s v="430 - Imprese produttive"/>
    <s v="471 - COMMERCIO AL DETTAGLIO IN ESERCIZI NON SPECIALIZZATI"/>
    <s v="086 - ITALIA"/>
    <n v="979"/>
    <m/>
    <m/>
    <m/>
    <m/>
    <m/>
    <m/>
    <m/>
    <n v="0"/>
    <n v="202506"/>
    <x v="2"/>
    <x v="1"/>
    <x v="0"/>
    <n v="4653840"/>
    <x v="1"/>
    <x v="0"/>
    <s v="999"/>
    <s v="430"/>
    <s v="430999"/>
    <m/>
    <s v="1"/>
    <s v="Classe di rischio 1"/>
  </r>
  <r>
    <n v="348574"/>
    <x v="3"/>
    <x v="3"/>
    <x v="23"/>
    <n v="53850"/>
    <n v="188"/>
    <s v="053850_188"/>
    <s v="Discovery Day"/>
    <s v="Mai valutato"/>
    <m/>
    <n v="202506038038229"/>
    <n v="1883300051430"/>
    <n v="20250603"/>
    <s v="G7 - Versamento assegno circolare altro intermediario "/>
    <m/>
    <m/>
    <s v="A     - Avere"/>
    <n v="120000"/>
    <n v="0"/>
    <n v="3002696"/>
    <s v="PTRCLD57P22L049C"/>
    <s v="PETRUZZI CATALDO"/>
    <s v="600 - Famiglie consumatrici"/>
    <m/>
    <s v="086 - ITALIA"/>
    <n v="1112"/>
    <m/>
    <m/>
    <m/>
    <m/>
    <m/>
    <m/>
    <m/>
    <n v="0"/>
    <n v="202506"/>
    <x v="2"/>
    <x v="1"/>
    <x v="0"/>
    <m/>
    <x v="0"/>
    <x v="0"/>
    <s v="999"/>
    <s v="600"/>
    <s v="600999"/>
    <s v="Classe di rischio 7"/>
    <m/>
    <s v="Classe di rischio 7"/>
  </r>
  <r>
    <n v="348573"/>
    <x v="5"/>
    <x v="5"/>
    <x v="23"/>
    <n v="53850"/>
    <n v="167"/>
    <s v="053850_167"/>
    <s v="Discovery Day"/>
    <s v="Mai valutato"/>
    <m/>
    <n v="202506038038078"/>
    <n v="1673301672849"/>
    <n v="20250603"/>
    <s v="D1 - Versamento di contante "/>
    <m/>
    <m/>
    <s v="A     - Avere"/>
    <n v="39450"/>
    <n v="39450"/>
    <n v="421715"/>
    <s v="NTNFMN59A42E155T"/>
    <s v="ANTONELLI FILOMENA"/>
    <s v="615 - Altre famiglie produttrici"/>
    <s v="472 - COMMERCIO AL DETTAGLIO DI PRODOTTI ALIMENTARI, BEVANDE E TABACCO IN ESERCIZI SPECIALIZZATI"/>
    <s v="086 - ITALIA"/>
    <n v="1175"/>
    <m/>
    <m/>
    <m/>
    <m/>
    <m/>
    <m/>
    <m/>
    <n v="0"/>
    <n v="202506"/>
    <x v="3"/>
    <x v="1"/>
    <x v="0"/>
    <n v="421715"/>
    <x v="1"/>
    <x v="0"/>
    <s v="999"/>
    <s v="615"/>
    <s v="615999"/>
    <m/>
    <s v="1"/>
    <s v="Classe di rischio 3"/>
  </r>
  <r>
    <n v="348572"/>
    <x v="4"/>
    <x v="4"/>
    <x v="23"/>
    <n v="53850"/>
    <n v="102"/>
    <s v="053850_102"/>
    <s v="Discovery Day"/>
    <s v="Mai valutato"/>
    <m/>
    <n v="202506038033985"/>
    <n v="1503300003188"/>
    <n v="20250603"/>
    <s v="48 - Bonifico in arrivo "/>
    <m/>
    <s v="086 - ITALIA"/>
   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   <s v="086 - ITALIA"/>
    <n v="1926"/>
    <m/>
    <m/>
    <m/>
    <m/>
    <m/>
    <m/>
    <m/>
    <n v="0"/>
    <n v="202506"/>
    <x v="2"/>
    <x v="1"/>
    <x v="0"/>
    <m/>
    <x v="0"/>
    <x v="0"/>
    <s v="999"/>
    <s v="259"/>
    <s v="259999"/>
    <m/>
    <s v="1"/>
    <s v="Classe di rischio 0"/>
  </r>
  <r>
    <n v="348571"/>
    <x v="3"/>
    <x v="3"/>
    <x v="23"/>
    <n v="53850"/>
    <n v="161"/>
    <s v="053850_161"/>
    <s v="Discovery Day"/>
    <s v="Mai valutato"/>
    <m/>
    <s v="Vari (03/06/2025)"/>
    <n v="1613300029653"/>
    <n v="20250603"/>
    <s v="VV"/>
    <m/>
    <m/>
    <s v="A     - Avere"/>
    <n v="182944.14"/>
    <n v="0"/>
    <n v="4088769"/>
    <n v="5150120722"/>
    <s v="GAROFOLI SOCIETA' PER AZIONI"/>
    <s v="430 - Imprese produttive"/>
    <s v="464 - COMMERCIO ALL'INGROSSO DI BENI DI CONSUMO FINALE"/>
    <s v="086 - ITALIA"/>
    <n v="1903"/>
    <m/>
    <m/>
    <m/>
    <m/>
    <m/>
    <m/>
    <m/>
    <n v="0"/>
    <n v="202506"/>
    <x v="1"/>
    <x v="0"/>
    <x v="0"/>
    <n v="4088769"/>
    <x v="1"/>
    <x v="1"/>
    <s v="464"/>
    <s v="430"/>
    <s v="430464"/>
    <s v="Classe di rischio 4"/>
    <m/>
    <s v="Classe di rischio 4"/>
  </r>
  <r>
    <n v="348570"/>
    <x v="3"/>
    <x v="3"/>
    <x v="23"/>
    <n v="53850"/>
    <n v="287"/>
    <s v="053850_287"/>
    <s v="Discovery Day"/>
    <s v="Mai valutato"/>
    <m/>
    <s v="Vari (03/06/2025)"/>
    <n v="2873300001853"/>
    <n v="20250603"/>
    <s v="VV"/>
    <m/>
    <m/>
    <s v="A     - Avere"/>
    <n v="153971.35"/>
    <n v="100735"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x v="2"/>
    <x v="1"/>
    <x v="0"/>
    <n v="3722213"/>
    <x v="1"/>
    <x v="1"/>
    <s v="463"/>
    <s v="430"/>
    <s v="430463"/>
    <s v="Classe di rischio 3"/>
    <m/>
    <s v="Classe di rischio 3"/>
  </r>
  <r>
    <n v="348569"/>
    <x v="5"/>
    <x v="5"/>
    <x v="23"/>
    <n v="53850"/>
    <n v="118"/>
    <s v="053850_118"/>
    <s v="Discovery Day"/>
    <s v="Mai valutato"/>
    <m/>
    <n v="202506038035019"/>
    <n v="1023308722503"/>
    <n v="20250603"/>
    <s v="03 - Versamento contante cassa continua "/>
    <m/>
    <m/>
    <s v="A     - Avere"/>
    <n v="24020"/>
    <n v="240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48568"/>
    <x v="2"/>
    <x v="2"/>
    <x v="23"/>
    <n v="53850"/>
    <n v="271"/>
    <s v="053850_271"/>
    <s v="Discovery Day"/>
    <s v="Mai valutato"/>
    <m/>
    <n v="202506038034206"/>
    <n v="2713300010112"/>
    <n v="20250603"/>
    <s v="AA - Bonifico da e per estero "/>
    <m/>
    <s v="238 - ABU DHABI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6"/>
    <x v="0"/>
    <x v="0"/>
    <x v="0"/>
    <m/>
    <x v="0"/>
    <x v="0"/>
    <s v="999"/>
    <s v="615"/>
    <s v="615999"/>
    <m/>
    <s v="1"/>
    <s v="Classe di rischio 3"/>
  </r>
  <r>
    <n v="348567"/>
    <x v="4"/>
    <x v="4"/>
    <x v="23"/>
    <n v="53850"/>
    <n v="122"/>
    <s v="053850_122"/>
    <s v="Discovery Day"/>
    <s v="Mai valutato"/>
    <m/>
    <n v="202506038032376"/>
    <n v="1223300001682"/>
    <n v="20250603"/>
    <s v="26 - Bonifico in partenza "/>
    <m/>
    <s v="086 - ITALIA"/>
    <s v="D     - Dare"/>
    <n v="1700000"/>
    <n v="0"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x v="2"/>
    <x v="1"/>
    <x v="0"/>
    <m/>
    <x v="0"/>
    <x v="0"/>
    <s v="620"/>
    <s v="430"/>
    <s v="430620"/>
    <s v="Classe di rischio 3"/>
    <m/>
    <s v="Classe di rischio 3"/>
  </r>
  <r>
    <n v="348566"/>
    <x v="4"/>
    <x v="4"/>
    <x v="23"/>
    <n v="53850"/>
    <n v="148"/>
    <s v="053850_148"/>
    <s v="Discovery Day"/>
    <s v="Mai valutato"/>
    <m/>
    <n v="202506038036164"/>
    <n v="1483300003872"/>
    <n v="20250603"/>
    <s v="31 - Effetti ritirati "/>
    <m/>
    <m/>
    <s v="D     - Dare"/>
    <n v="939269.1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6"/>
    <x v="2"/>
    <x v="1"/>
    <x v="0"/>
    <m/>
    <x v="0"/>
    <x v="0"/>
    <s v="999"/>
    <s v="430"/>
    <s v="430999"/>
    <m/>
    <s v="1"/>
    <s v="Classe di rischio 1"/>
  </r>
  <r>
    <n v="348565"/>
    <x v="5"/>
    <x v="5"/>
    <x v="23"/>
    <n v="53850"/>
    <n v="182"/>
    <s v="053850_182"/>
    <s v="Discovery Day"/>
    <s v="Mai valutato"/>
    <m/>
    <s v="Vari (03/06/2025)"/>
    <n v="1823300169301"/>
    <n v="20250603"/>
    <s v="03 - Versamento contante cassa continua "/>
    <m/>
    <m/>
    <s v="A     - Avere"/>
    <n v="34285"/>
    <n v="34285"/>
    <n v="4284957"/>
    <s v="PLPMNL65B14L049X"/>
    <s v="PULPO EMANUELE"/>
    <s v="615 - Altre famiglie produttrici"/>
    <s v="920 - ATTIVITÀ RIGUARDANTI LE LOTTERIE, LE SCOMMESSE, LE CASE DA GIOCO"/>
    <s v="086 - ITALIA"/>
    <n v="1656"/>
    <m/>
    <m/>
    <m/>
    <m/>
    <m/>
    <m/>
    <m/>
    <n v="0"/>
    <n v="202506"/>
    <x v="4"/>
    <x v="1"/>
    <x v="0"/>
    <n v="4284957"/>
    <x v="1"/>
    <x v="0"/>
    <s v="920"/>
    <s v="615"/>
    <s v="615920"/>
    <s v="Classe di rischio 6"/>
    <m/>
    <s v="Classe di rischio 6"/>
  </r>
  <r>
    <n v="348564"/>
    <x v="5"/>
    <x v="5"/>
    <x v="23"/>
    <n v="53850"/>
    <n v="102"/>
    <s v="053850_102"/>
    <s v="Discovery Day"/>
    <s v="Mai valutato"/>
    <m/>
    <n v="202506018034780"/>
    <n v="1023308722503"/>
    <n v="20250601"/>
    <s v="03 - Versamento contante cassa continua "/>
    <m/>
    <m/>
    <s v="A     - Avere"/>
    <n v="20520"/>
    <n v="20520"/>
    <n v="413650"/>
    <n v="3657230722"/>
    <s v="CARLO VENTRICELLI &amp; C. S.N.C."/>
    <s v="492 - Quasi societa' non finanziarie altre - Unita' o societa' con meno di 20 addetti"/>
    <s v="920 - ATTIVITÀ RIGUARDANTI LE LOTTERIE, LE SCOMMESSE, LE CASE DA GIOCO"/>
    <s v="086 - ITALIA"/>
    <n v="1306"/>
    <m/>
    <m/>
    <m/>
    <m/>
    <m/>
    <m/>
    <m/>
    <n v="0"/>
    <n v="202506"/>
    <x v="4"/>
    <x v="1"/>
    <x v="0"/>
    <n v="413650"/>
    <x v="1"/>
    <x v="0"/>
    <s v="920"/>
    <s v="492"/>
    <s v="492920"/>
    <s v="Classe di rischio 5"/>
    <m/>
    <s v="Classe di rischio 5"/>
  </r>
  <r>
    <n v="348563"/>
    <x v="5"/>
    <x v="5"/>
    <x v="23"/>
    <n v="53850"/>
    <n v="268"/>
    <s v="053850_268"/>
    <s v="Discovery Day"/>
    <s v="Mai valutato"/>
    <m/>
    <s v="Vari (01/06/2025)"/>
    <n v="2683300010030"/>
    <n v="20250601"/>
    <s v="03 - Versamento contante cassa continua "/>
    <m/>
    <m/>
    <s v="A     - Avere"/>
    <n v="37865"/>
    <n v="37865"/>
    <n v="4966939"/>
    <s v="BLZDNL77L17F537W"/>
    <s v="BULZOMI' DANILO"/>
    <s v="615 - Altre famiglie produttrici"/>
    <s v="472 - COMMERCIO AL DETTAGLIO DI PRODOTTI ALIMENTARI, BEVANDE E TABACCO IN ESERCIZI SPECIALIZZATI"/>
    <s v="086 - ITALIA"/>
    <n v="1870"/>
    <m/>
    <m/>
    <m/>
    <m/>
    <m/>
    <m/>
    <m/>
    <n v="0"/>
    <n v="202506"/>
    <x v="1"/>
    <x v="0"/>
    <x v="0"/>
    <n v="4966939"/>
    <x v="1"/>
    <x v="0"/>
    <s v="999"/>
    <s v="615"/>
    <s v="615999"/>
    <m/>
    <s v="1"/>
    <s v="Classe di rischio 3"/>
  </r>
  <r>
    <n v="348557"/>
    <x v="4"/>
    <x v="4"/>
    <x v="24"/>
    <n v="53850"/>
    <n v="182"/>
    <s v="053850_182"/>
    <s v="Discovery Day"/>
    <s v="Mai valutato"/>
    <m/>
    <n v="202506028026175"/>
    <n v="1823300174272"/>
    <n v="20250602"/>
    <s v="BF - Rimborso titoli e/o fondi comuni "/>
    <m/>
    <m/>
    <s v="A     - Avere"/>
    <n v="399998"/>
    <n v="0"/>
    <n v="3021782"/>
    <s v="CTCRCR34S16L049O"/>
    <s v="CATACCHIO RICCARDO"/>
    <s v="600 - Famiglie consumatrici"/>
    <m/>
    <s v="086 - ITALIA"/>
    <n v="616"/>
    <m/>
    <m/>
    <m/>
    <m/>
    <m/>
    <m/>
    <m/>
    <n v="0"/>
    <n v="202506"/>
    <x v="5"/>
    <x v="2"/>
    <x v="0"/>
    <m/>
    <x v="0"/>
    <x v="0"/>
    <s v="999"/>
    <s v="600"/>
    <s v="600999"/>
    <s v="Classe di rischio 7"/>
    <m/>
    <s v="Classe di rischio 7"/>
  </r>
  <r>
    <n v="348556"/>
    <x v="4"/>
    <x v="4"/>
    <x v="24"/>
    <n v="53850"/>
    <n v="182"/>
    <s v="053850_182"/>
    <s v="Discovery Day"/>
    <s v="Mai valutato"/>
    <m/>
    <n v="202506028026170"/>
    <n v="1823300017474"/>
    <n v="20250602"/>
    <s v="BB - Acquisto a pronti titoli e diritti d'opzione "/>
    <m/>
    <m/>
    <s v="D     - Dare"/>
    <n v="706818.38"/>
    <n v="0"/>
    <n v="3041446"/>
    <s v="BRNMCL53M09L049B"/>
    <s v="BERNARDINI MARCELLO"/>
    <s v="600 - Famiglie consumatrici"/>
    <m/>
    <s v="086 - ITALIA"/>
    <n v="616"/>
    <m/>
    <m/>
    <m/>
    <m/>
    <m/>
    <m/>
    <m/>
    <n v="0"/>
    <n v="202506"/>
    <x v="5"/>
    <x v="2"/>
    <x v="0"/>
    <m/>
    <x v="0"/>
    <x v="0"/>
    <s v="999"/>
    <s v="600"/>
    <s v="600999"/>
    <s v="Classe di rischio 7"/>
    <m/>
    <s v="Classe di rischio 7"/>
  </r>
  <r>
    <n v="348555"/>
    <x v="4"/>
    <x v="4"/>
    <x v="24"/>
    <n v="53850"/>
    <n v="109"/>
    <s v="053850_109"/>
    <s v="Discovery Day"/>
    <s v="Mai valutato"/>
    <m/>
    <n v="202506028026093"/>
    <n v="1093306667173"/>
    <n v="20250602"/>
    <s v="BF - Rimborso titoli e/o fondi comuni "/>
    <m/>
    <m/>
    <s v="A     - Avere"/>
    <n v="339998"/>
    <n v="0"/>
    <n v="546534"/>
    <s v="CLLTRS54S64A662F"/>
    <s v="COLELLA TERESA"/>
    <s v="600 - Famiglie consumatrici"/>
    <m/>
    <s v="086 - ITALIA"/>
    <n v="778"/>
    <m/>
    <m/>
    <m/>
    <m/>
    <m/>
    <m/>
    <m/>
    <n v="0"/>
    <n v="202506"/>
    <x v="5"/>
    <x v="2"/>
    <x v="0"/>
    <m/>
    <x v="0"/>
    <x v="0"/>
    <s v="999"/>
    <s v="600"/>
    <s v="600999"/>
    <s v="Classe di rischio 7"/>
    <m/>
    <s v="Classe di rischio 7"/>
  </r>
  <r>
    <n v="348554"/>
    <x v="4"/>
    <x v="4"/>
    <x v="24"/>
    <n v="53850"/>
    <n v="182"/>
    <s v="053850_182"/>
    <s v="Discovery Day"/>
    <s v="Mai valutato"/>
    <m/>
    <n v="202506028026175"/>
    <n v="1823300174272"/>
    <n v="20250602"/>
    <s v="BF - Rimborso titoli e/o fondi comuni 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x v="5"/>
    <x v="2"/>
    <x v="0"/>
    <m/>
    <x v="0"/>
    <x v="0"/>
    <s v="999"/>
    <s v="600"/>
    <s v="600999"/>
    <s v="Classe di rischio 7"/>
    <m/>
    <s v="Classe di rischio 7"/>
  </r>
  <r>
    <n v="348553"/>
    <x v="4"/>
    <x v="4"/>
    <x v="24"/>
    <n v="53850"/>
    <n v="182"/>
    <s v="053850_182"/>
    <s v="Discovery Day"/>
    <s v="Mai valutato"/>
    <m/>
    <n v="202506028026176"/>
    <n v="1883300171952"/>
    <n v="20250602"/>
    <s v="BF - Rimborso titoli e/o fondi comuni "/>
    <m/>
    <m/>
    <s v="A     - Avere"/>
    <n v="399998"/>
    <n v="0"/>
    <n v="3112495"/>
    <s v="CTCLBT67A71L049W"/>
    <s v="CATACCHIO ELISABETTA"/>
    <s v="600 - Famiglie consumatrici"/>
    <m/>
    <s v="086 - ITALIA"/>
    <n v="433"/>
    <m/>
    <m/>
    <m/>
    <m/>
    <m/>
    <m/>
    <m/>
    <n v="0"/>
    <n v="202506"/>
    <x v="5"/>
    <x v="2"/>
    <x v="0"/>
    <m/>
    <x v="0"/>
    <x v="0"/>
    <s v="999"/>
    <s v="600"/>
    <s v="600999"/>
    <s v="Classe di rischio 7"/>
    <m/>
    <s v="Classe di rischio 7"/>
  </r>
  <r>
    <n v="348552"/>
    <x v="4"/>
    <x v="4"/>
    <x v="24"/>
    <n v="53850"/>
    <n v="109"/>
    <s v="053850_109"/>
    <s v="Discovery Day"/>
    <s v="Mai valutato"/>
    <m/>
    <n v="202506028026093"/>
    <n v="1093306667173"/>
    <n v="20250602"/>
    <s v="BF - Rimborso titoli e/o fondi comuni "/>
    <m/>
    <m/>
    <s v="A     - Avere"/>
    <n v="339998"/>
    <n v="0"/>
    <n v="460757"/>
    <s v="SMNMRA47A31A662G"/>
    <s v="SIMONE MAURO"/>
    <s v="600 - Famiglie consumatrici"/>
    <m/>
    <s v="086 - ITALIA"/>
    <n v="778"/>
    <m/>
    <m/>
    <m/>
    <m/>
    <m/>
    <m/>
    <m/>
    <n v="0"/>
    <n v="202506"/>
    <x v="5"/>
    <x v="2"/>
    <x v="0"/>
    <m/>
    <x v="0"/>
    <x v="0"/>
    <s v="999"/>
    <s v="600"/>
    <s v="600999"/>
    <s v="Classe di rischio 7"/>
    <m/>
    <s v="Classe di rischio 7"/>
  </r>
  <r>
    <n v="348551"/>
    <x v="4"/>
    <x v="4"/>
    <x v="24"/>
    <n v="53850"/>
    <n v="182"/>
    <s v="053850_182"/>
    <s v="Discovery Day"/>
    <s v="Mai valutato"/>
    <m/>
    <n v="202506028026176"/>
    <n v="1883300171952"/>
    <n v="20250602"/>
    <s v="BF - Rimborso titoli e/o fondi comuni "/>
    <m/>
    <m/>
    <s v="A     - Avere"/>
    <n v="399998"/>
    <n v="0"/>
    <n v="4044525"/>
    <s v="CTCMHL61P16L049L"/>
    <s v="CATACCHIO MICHELE"/>
    <s v="600 - Famiglie consumatrici"/>
    <m/>
    <s v="086 - ITALIA"/>
    <m/>
    <m/>
    <m/>
    <m/>
    <m/>
    <m/>
    <m/>
    <m/>
    <n v="0"/>
    <n v="202506"/>
    <x v="5"/>
    <x v="2"/>
    <x v="0"/>
    <m/>
    <x v="0"/>
    <x v="0"/>
    <s v="999"/>
    <s v="600"/>
    <s v="600999"/>
    <s v="Classe di rischio 7"/>
    <m/>
    <s v="Classe di rischio 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8EA00-4ED0-4C70-92FF-7438BAAB804E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:D19" firstHeaderRow="0" firstDataRow="1" firstDataCol="2" rowPageCount="2" colPageCount="1"/>
  <pivotFields count="49">
    <pivotField dataField="1" compact="0" outline="0" showAll="0" defaultSubtotal="0"/>
    <pivotField axis="axisRow" compact="0" outline="0" showAll="0" defaultSubtotal="0">
      <items count="12">
        <item x="5"/>
        <item x="4"/>
        <item x="7"/>
        <item x="11"/>
        <item x="10"/>
        <item x="6"/>
        <item x="9"/>
        <item x="8"/>
        <item x="2"/>
        <item x="3"/>
        <item x="0"/>
        <item x="1"/>
      </items>
    </pivotField>
    <pivotField axis="axisRow" compact="0" outline="0" showAll="0" defaultSubtotal="0">
      <items count="12">
        <item x="6"/>
        <item x="0"/>
        <item x="10"/>
        <item x="7"/>
        <item x="11"/>
        <item x="4"/>
        <item x="2"/>
        <item x="1"/>
        <item x="9"/>
        <item x="8"/>
        <item x="5"/>
        <item x="3"/>
      </items>
    </pivotField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"/>
    <field x="1"/>
  </rowFields>
  <rowItems count="10">
    <i>
      <x v="5"/>
      <x v="1"/>
    </i>
    <i>
      <x v="10"/>
      <x/>
    </i>
    <i>
      <x v="11"/>
      <x v="9"/>
    </i>
    <i>
      <x v="1"/>
      <x v="10"/>
    </i>
    <i>
      <x v="6"/>
      <x v="8"/>
    </i>
    <i>
      <x/>
      <x v="5"/>
    </i>
    <i>
      <x v="7"/>
      <x v="11"/>
    </i>
    <i>
      <x v="9"/>
      <x v="7"/>
    </i>
    <i>
      <x v="8"/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37" item="1" hier="-1"/>
    <pageField fld="40" hier="-1"/>
  </pageFields>
  <dataFields count="2">
    <dataField name="% POSIZIONE" fld="0" subtotal="count" baseField="2" baseItem="0"/>
    <dataField name="# POSIZIONE" fld="0" subtotal="count" showDataAs="percentOfCol" baseField="2" baseItem="5" numFmtId="10"/>
  </dataFields>
  <formats count="5">
    <format dxfId="20">
      <pivotArea dataOnly="0" labelOnly="1" fieldPosition="0">
        <references count="1">
          <reference field="2" count="7">
            <x v="0"/>
            <x v="1"/>
            <x v="5"/>
            <x v="6"/>
            <x v="7"/>
            <x v="10"/>
            <x v="11"/>
          </reference>
        </references>
      </pivotArea>
    </format>
    <format dxfId="19">
      <pivotArea collapsedLevelsAreSubtotals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18">
      <pivotArea dataOnly="0" labelOnly="1" fieldPosition="0">
        <references count="1">
          <reference field="2" count="5">
            <x v="0"/>
            <x v="1"/>
            <x v="5"/>
            <x v="6"/>
            <x v="11"/>
          </reference>
        </references>
      </pivotArea>
    </format>
    <format dxfId="17">
      <pivotArea outline="0" fieldPosition="0">
        <references count="1">
          <reference field="4294967294" count="1">
            <x v="1"/>
          </reference>
        </references>
      </pivotArea>
    </format>
    <format dxfId="16">
      <pivotArea dataOnly="0" labelOnly="1" outline="0" fieldPosition="0">
        <references count="1">
          <reference field="2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9E2FB-3682-4B4C-837F-190B66D817B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7:E31" firstHeaderRow="1" firstDataRow="1" firstDataCol="1" rowPageCount="2" colPageCount="1"/>
  <pivotFields count="49">
    <pivotField dataField="1" compact="0" outline="0" showAll="0" defaultSubtotal="0"/>
    <pivotField axis="axisPage" compact="0" outline="0" multipleItemSelectionAllowed="1" showAll="0" defaultSubtotal="0">
      <items count="12">
        <item h="1" x="5"/>
        <item h="1" x="4"/>
        <item x="7"/>
        <item x="11"/>
        <item x="10"/>
        <item h="1" x="6"/>
        <item x="9"/>
        <item x="8"/>
        <item h="1" x="2"/>
        <item h="1" x="3"/>
        <item h="1" x="0"/>
        <item x="1"/>
      </items>
    </pivotField>
    <pivotField compact="0" outline="0" showAll="0" defaultSubtotal="0"/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axis="axisPage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6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37" item="1" hier="-1"/>
    <pageField fld="1" hier="-1"/>
  </pageFields>
  <dataFields count="1">
    <dataField name="Count of POSIZIONE" fld="0" subtotal="count" baseField="3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AEB18-D83E-44AD-B632-76C0D5D28416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B31" firstHeaderRow="1" firstDataRow="1" firstDataCol="1" rowPageCount="2" colPageCount="1"/>
  <pivotFields count="49">
    <pivotField dataField="1" compact="0" outline="0" showAll="0" defaultSubtotal="0"/>
    <pivotField axis="axisPage" compact="0" outline="0" multipleItemSelectionAllowed="1" showAll="0" defaultSubtotal="0">
      <items count="12">
        <item x="5"/>
        <item x="4"/>
        <item h="1" x="7"/>
        <item h="1" x="11"/>
        <item h="1" x="10"/>
        <item x="6"/>
        <item h="1" x="9"/>
        <item h="1" x="8"/>
        <item x="2"/>
        <item x="3"/>
        <item x="0"/>
        <item h="1" x="1"/>
      </items>
    </pivotField>
    <pivotField compact="0" outline="0" showAll="0" defaultSubtotal="0"/>
    <pivotField compact="0" numFmtId="164" outline="0" showAll="0" defaultSubtotal="0">
      <items count="6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42"/>
        <item x="41"/>
        <item x="40"/>
        <item x="39"/>
        <item x="0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61"/>
        <item x="60"/>
        <item x="59"/>
        <item x="58"/>
        <item x="57"/>
        <item x="56"/>
        <item x="55"/>
        <item x="2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axis="axisPage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6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37" item="1" hier="-1"/>
    <pageField fld="1" hier="-1"/>
  </pageFields>
  <dataFields count="1">
    <dataField name="Count of POSIZIONE" fld="0" subtotal="count" baseField="3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B58D-5336-4CCC-AC39-E49DDF9A3988}">
  <sheetPr>
    <tabColor rgb="FF92D050"/>
  </sheetPr>
  <dimension ref="A3:U41"/>
  <sheetViews>
    <sheetView tabSelected="1" topLeftCell="A7" zoomScale="55" zoomScaleNormal="55" workbookViewId="0">
      <selection activeCell="C19" sqref="C19:C25"/>
    </sheetView>
  </sheetViews>
  <sheetFormatPr defaultRowHeight="14.5" x14ac:dyDescent="0.35"/>
  <cols>
    <col min="1" max="1" width="22.26953125" bestFit="1" customWidth="1"/>
    <col min="5" max="5" width="26.36328125" customWidth="1"/>
    <col min="6" max="6" width="11.81640625" bestFit="1" customWidth="1"/>
    <col min="8" max="8" width="10.6328125" bestFit="1" customWidth="1"/>
  </cols>
  <sheetData>
    <row r="3" spans="2:13" ht="14.5" customHeight="1" x14ac:dyDescent="0.35">
      <c r="B3" s="25" t="s">
        <v>3204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2:13" x14ac:dyDescent="0.3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2:13" ht="14.5" customHeight="1" x14ac:dyDescent="0.3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2:13" x14ac:dyDescent="0.3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2:13" x14ac:dyDescent="0.35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2:13" x14ac:dyDescent="0.35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2:13" x14ac:dyDescent="0.35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7" spans="1:21" x14ac:dyDescent="0.35">
      <c r="F17" s="24" t="s">
        <v>3201</v>
      </c>
      <c r="G17" s="24"/>
      <c r="H17" s="24"/>
      <c r="I17" s="24"/>
      <c r="J17" s="24"/>
      <c r="P17" s="24" t="s">
        <v>3200</v>
      </c>
      <c r="Q17" s="24"/>
      <c r="R17" s="24"/>
      <c r="S17" s="24"/>
      <c r="T17" s="24"/>
    </row>
    <row r="18" spans="1:21" x14ac:dyDescent="0.35">
      <c r="F18" s="26" t="s">
        <v>3177</v>
      </c>
      <c r="G18" s="26"/>
      <c r="H18" s="26" t="s">
        <v>3178</v>
      </c>
      <c r="I18" s="26"/>
      <c r="J18" s="26" t="s">
        <v>3179</v>
      </c>
      <c r="K18" s="26"/>
      <c r="P18" s="26" t="s">
        <v>3177</v>
      </c>
      <c r="Q18" s="26"/>
      <c r="R18" s="26" t="s">
        <v>3178</v>
      </c>
      <c r="S18" s="26"/>
      <c r="T18" s="26" t="s">
        <v>3179</v>
      </c>
      <c r="U18" s="26"/>
    </row>
    <row r="19" spans="1:21" x14ac:dyDescent="0.35">
      <c r="A19" s="10" t="s">
        <v>3190</v>
      </c>
      <c r="B19">
        <f ca="1">B23+B21</f>
        <v>1932</v>
      </c>
      <c r="C19" t="b">
        <f ca="1">B19=T19</f>
        <v>1</v>
      </c>
      <c r="E19" s="10" t="s">
        <v>3190</v>
      </c>
      <c r="F19" s="9">
        <v>2695</v>
      </c>
      <c r="G19" s="9"/>
      <c r="H19" s="9">
        <v>2393</v>
      </c>
      <c r="I19" s="9"/>
      <c r="J19" s="9">
        <v>2045</v>
      </c>
      <c r="K19" s="9"/>
      <c r="O19" s="10" t="s">
        <v>3190</v>
      </c>
      <c r="P19" s="9">
        <v>2894</v>
      </c>
      <c r="Q19" s="9"/>
      <c r="R19" s="9">
        <v>2480</v>
      </c>
      <c r="S19" s="9"/>
      <c r="T19" s="9">
        <v>1932</v>
      </c>
      <c r="U19" s="21"/>
    </row>
    <row r="20" spans="1:21" x14ac:dyDescent="0.35">
      <c r="A20" s="10" t="s">
        <v>3189</v>
      </c>
      <c r="B20">
        <f>Analisi!B38</f>
        <v>3027</v>
      </c>
      <c r="C20" t="b">
        <f t="shared" ref="C20:C25" si="0">B20=T20</f>
        <v>1</v>
      </c>
      <c r="E20" s="10" t="s">
        <v>3189</v>
      </c>
      <c r="F20" s="9">
        <v>3027</v>
      </c>
      <c r="G20" s="20">
        <f>(F20-F19)/F20</f>
        <v>0.1096795507102742</v>
      </c>
      <c r="H20" s="9">
        <v>3027</v>
      </c>
      <c r="I20" s="20">
        <f>(H20-H19)/H20</f>
        <v>0.20944829864552361</v>
      </c>
      <c r="J20" s="9">
        <v>3027</v>
      </c>
      <c r="K20" s="20">
        <f>(J20-J19)/J20</f>
        <v>0.32441361083581105</v>
      </c>
      <c r="O20" s="10" t="s">
        <v>3189</v>
      </c>
      <c r="P20" s="9">
        <v>3027</v>
      </c>
      <c r="Q20" s="20">
        <f>(P20-P19)/P20</f>
        <v>4.3937892302609846E-2</v>
      </c>
      <c r="R20" s="9">
        <v>3027</v>
      </c>
      <c r="S20" s="20">
        <f>(R20-R19)/R20</f>
        <v>0.18070697059795177</v>
      </c>
      <c r="T20" s="9">
        <v>3027</v>
      </c>
      <c r="U20" s="20">
        <f>(T20-T19)/T20</f>
        <v>0.36174430128840435</v>
      </c>
    </row>
    <row r="21" spans="1:21" x14ac:dyDescent="0.35">
      <c r="A21" s="10" t="s">
        <v>3188</v>
      </c>
      <c r="B21">
        <f ca="1">Analisi!B42</f>
        <v>861</v>
      </c>
      <c r="C21" t="b">
        <f t="shared" ca="1" si="0"/>
        <v>1</v>
      </c>
      <c r="E21" s="10" t="s">
        <v>3188</v>
      </c>
      <c r="F21" s="9">
        <v>1236</v>
      </c>
      <c r="G21" s="9"/>
      <c r="H21" s="9">
        <v>1083</v>
      </c>
      <c r="I21" s="9"/>
      <c r="J21" s="9">
        <v>888</v>
      </c>
      <c r="K21" s="21"/>
      <c r="O21" s="10" t="s">
        <v>3188</v>
      </c>
      <c r="P21" s="9">
        <v>1356</v>
      </c>
      <c r="Q21" s="9"/>
      <c r="R21" s="9">
        <v>1138</v>
      </c>
      <c r="S21" s="9"/>
      <c r="T21" s="9">
        <v>861</v>
      </c>
      <c r="U21" s="9"/>
    </row>
    <row r="22" spans="1:21" x14ac:dyDescent="0.35">
      <c r="A22" s="10" t="s">
        <v>3187</v>
      </c>
      <c r="B22">
        <f>Analisi!B50</f>
        <v>1421</v>
      </c>
      <c r="C22" t="b">
        <f t="shared" si="0"/>
        <v>1</v>
      </c>
      <c r="E22" s="10" t="s">
        <v>3187</v>
      </c>
      <c r="F22" s="9">
        <v>1421</v>
      </c>
      <c r="G22" s="20">
        <f>(F22-F21)/F22</f>
        <v>0.13019000703729769</v>
      </c>
      <c r="H22" s="9">
        <v>1421</v>
      </c>
      <c r="I22" s="20">
        <f>(H22-H21)/H22</f>
        <v>0.2378606615059817</v>
      </c>
      <c r="J22" s="9">
        <v>1421</v>
      </c>
      <c r="K22" s="20">
        <f>(J22-J21)/J22</f>
        <v>0.37508796622097113</v>
      </c>
      <c r="O22" s="10" t="s">
        <v>3187</v>
      </c>
      <c r="P22" s="9">
        <v>1421</v>
      </c>
      <c r="Q22" s="20">
        <f>(P22-P21)/P22</f>
        <v>4.5742434904996479E-2</v>
      </c>
      <c r="R22" s="9">
        <v>1421</v>
      </c>
      <c r="S22" s="20">
        <f>(R22-R21)/R22</f>
        <v>0.199155524278677</v>
      </c>
      <c r="T22" s="9">
        <v>1421</v>
      </c>
      <c r="U22" s="20">
        <f>(T22-T21)/T22</f>
        <v>0.39408866995073893</v>
      </c>
    </row>
    <row r="23" spans="1:21" x14ac:dyDescent="0.35">
      <c r="A23" s="10" t="s">
        <v>3191</v>
      </c>
      <c r="B23">
        <f ca="1">Analisi!B43</f>
        <v>1071</v>
      </c>
      <c r="C23" t="b">
        <f t="shared" ca="1" si="0"/>
        <v>1</v>
      </c>
      <c r="E23" s="10" t="s">
        <v>3191</v>
      </c>
      <c r="F23" s="9">
        <v>1459</v>
      </c>
      <c r="G23" s="9"/>
      <c r="H23" s="9">
        <v>1310</v>
      </c>
      <c r="I23" s="9"/>
      <c r="J23" s="9">
        <v>1157</v>
      </c>
      <c r="K23" s="21"/>
      <c r="O23" s="10" t="s">
        <v>3191</v>
      </c>
      <c r="P23" s="9">
        <v>1538</v>
      </c>
      <c r="Q23" s="9"/>
      <c r="R23" s="9">
        <v>1342</v>
      </c>
      <c r="S23" s="9"/>
      <c r="T23" s="9">
        <v>1071</v>
      </c>
      <c r="U23" s="21"/>
    </row>
    <row r="24" spans="1:21" x14ac:dyDescent="0.35">
      <c r="A24" s="10" t="s">
        <v>3192</v>
      </c>
      <c r="B24">
        <f>Analisi!B51</f>
        <v>1606</v>
      </c>
      <c r="C24" t="b">
        <f t="shared" si="0"/>
        <v>1</v>
      </c>
      <c r="E24" s="10" t="s">
        <v>3192</v>
      </c>
      <c r="F24" s="9">
        <v>1606</v>
      </c>
      <c r="G24" s="20">
        <f>(F24-F23)/F24</f>
        <v>9.1531755915317564E-2</v>
      </c>
      <c r="H24" s="9">
        <v>1606</v>
      </c>
      <c r="I24" s="20">
        <f>(H24-H23)/H24</f>
        <v>0.18430884184308841</v>
      </c>
      <c r="J24" s="9">
        <v>1606</v>
      </c>
      <c r="K24" s="20">
        <f>(J24-J23)/J24</f>
        <v>0.27957658779576589</v>
      </c>
      <c r="O24" s="10" t="s">
        <v>3192</v>
      </c>
      <c r="P24" s="9">
        <v>1606</v>
      </c>
      <c r="Q24" s="20">
        <f>(P24-P23)/P24</f>
        <v>4.2341220423412207E-2</v>
      </c>
      <c r="R24" s="9">
        <v>1606</v>
      </c>
      <c r="S24" s="20">
        <f>(R24-R23)/R24</f>
        <v>0.16438356164383561</v>
      </c>
      <c r="T24" s="9">
        <v>1606</v>
      </c>
      <c r="U24" s="20">
        <f>(T24-T23)/T24</f>
        <v>0.33312577833125778</v>
      </c>
    </row>
    <row r="25" spans="1:21" x14ac:dyDescent="0.35">
      <c r="A25" s="16" t="s">
        <v>3183</v>
      </c>
      <c r="B25" s="14">
        <f ca="1">Analisi!G60</f>
        <v>1.5210661738396682</v>
      </c>
      <c r="C25" t="b">
        <f t="shared" ca="1" si="0"/>
        <v>1</v>
      </c>
      <c r="E25" s="16" t="s">
        <v>3183</v>
      </c>
      <c r="F25" s="22">
        <v>0.13632945455427159</v>
      </c>
      <c r="G25" s="9"/>
      <c r="H25" s="22">
        <v>0.4113348341364878</v>
      </c>
      <c r="I25" s="9"/>
      <c r="J25" s="22">
        <v>0.73084055888280552</v>
      </c>
      <c r="K25" s="9"/>
      <c r="O25" s="16" t="s">
        <v>3183</v>
      </c>
      <c r="P25" s="22">
        <v>0.14026990480571494</v>
      </c>
      <c r="Q25" s="9"/>
      <c r="R25" s="22">
        <v>0.47681377897305599</v>
      </c>
      <c r="S25" s="9"/>
      <c r="T25" s="22">
        <v>1.5210661738396682</v>
      </c>
      <c r="U25" s="9"/>
    </row>
    <row r="27" spans="1:21" x14ac:dyDescent="0.35">
      <c r="F27" s="24" t="s">
        <v>3203</v>
      </c>
      <c r="G27" s="24"/>
      <c r="H27" s="24"/>
      <c r="I27" s="24"/>
      <c r="J27" s="24"/>
      <c r="P27" s="24" t="s">
        <v>3203</v>
      </c>
      <c r="Q27" s="24"/>
      <c r="R27" s="24"/>
      <c r="S27" s="24"/>
      <c r="T27" s="24"/>
    </row>
    <row r="29" spans="1:21" x14ac:dyDescent="0.35">
      <c r="F29" t="b">
        <f>F19=(F23+F21)</f>
        <v>1</v>
      </c>
      <c r="H29" t="b">
        <f>H19=(H23+H21)</f>
        <v>1</v>
      </c>
      <c r="J29" t="b">
        <f>J19=(J23+J21)</f>
        <v>1</v>
      </c>
      <c r="P29" t="b">
        <f>P19=(P21+P23)</f>
        <v>1</v>
      </c>
      <c r="R29" t="b">
        <f>R19=(R21+R23)</f>
        <v>1</v>
      </c>
      <c r="T29" t="b">
        <f>T19=(T21+T23)</f>
        <v>1</v>
      </c>
    </row>
    <row r="30" spans="1:21" x14ac:dyDescent="0.35">
      <c r="F30" t="b">
        <f>F20=(F24+F22)</f>
        <v>1</v>
      </c>
      <c r="H30" t="b">
        <f>H20=(H24+H22)</f>
        <v>1</v>
      </c>
      <c r="J30" t="b">
        <f>J20=(J24+J22)</f>
        <v>1</v>
      </c>
      <c r="P30" t="b">
        <f>P20=(P22+P24)</f>
        <v>1</v>
      </c>
      <c r="R30" t="b">
        <f>R20=(R22+R24)</f>
        <v>1</v>
      </c>
      <c r="T30" t="b">
        <f>T20=(T22+T24)</f>
        <v>1</v>
      </c>
    </row>
    <row r="37" spans="5:18" x14ac:dyDescent="0.35">
      <c r="F37" s="19" t="s">
        <v>3177</v>
      </c>
      <c r="G37" s="19" t="s">
        <v>3178</v>
      </c>
      <c r="H37" s="19" t="s">
        <v>3179</v>
      </c>
      <c r="P37" s="19" t="s">
        <v>3196</v>
      </c>
      <c r="Q37" s="19" t="s">
        <v>3197</v>
      </c>
      <c r="R37" s="19" t="s">
        <v>3198</v>
      </c>
    </row>
    <row r="38" spans="5:18" x14ac:dyDescent="0.35">
      <c r="E38" s="5" t="s">
        <v>3193</v>
      </c>
      <c r="F38" s="23">
        <f>F25</f>
        <v>0.13632945455427159</v>
      </c>
      <c r="G38" s="23">
        <f>H25</f>
        <v>0.4113348341364878</v>
      </c>
      <c r="H38" s="23">
        <f>J25</f>
        <v>0.73084055888280552</v>
      </c>
      <c r="O38" s="5" t="s">
        <v>3193</v>
      </c>
      <c r="P38" s="23">
        <f>P25</f>
        <v>0.14026990480571494</v>
      </c>
      <c r="Q38" s="23">
        <f>R25</f>
        <v>0.47681377897305599</v>
      </c>
      <c r="R38" s="23">
        <f>T25</f>
        <v>1.5210661738396682</v>
      </c>
    </row>
    <row r="39" spans="5:18" x14ac:dyDescent="0.35">
      <c r="E39" s="5" t="s">
        <v>3202</v>
      </c>
      <c r="F39" s="23">
        <f>G20</f>
        <v>0.1096795507102742</v>
      </c>
      <c r="G39" s="23">
        <f>I20</f>
        <v>0.20944829864552361</v>
      </c>
      <c r="H39" s="23">
        <f>K20</f>
        <v>0.32441361083581105</v>
      </c>
      <c r="O39" s="5" t="s">
        <v>3202</v>
      </c>
      <c r="P39" s="23">
        <f>Q20</f>
        <v>4.3937892302609846E-2</v>
      </c>
      <c r="Q39" s="23">
        <f>S20</f>
        <v>0.18070697059795177</v>
      </c>
      <c r="R39" s="23">
        <f>U20</f>
        <v>0.36174430128840435</v>
      </c>
    </row>
    <row r="40" spans="5:18" x14ac:dyDescent="0.35">
      <c r="E40" s="5" t="s">
        <v>3195</v>
      </c>
      <c r="F40" s="23">
        <f>G22</f>
        <v>0.13019000703729769</v>
      </c>
      <c r="G40" s="23">
        <f>I22</f>
        <v>0.2378606615059817</v>
      </c>
      <c r="H40" s="23">
        <f>K22</f>
        <v>0.37508796622097113</v>
      </c>
      <c r="O40" s="5" t="s">
        <v>3195</v>
      </c>
      <c r="P40" s="23">
        <f>Q22</f>
        <v>4.5742434904996479E-2</v>
      </c>
      <c r="Q40" s="23">
        <f>S22</f>
        <v>0.199155524278677</v>
      </c>
      <c r="R40" s="23">
        <f>U22</f>
        <v>0.39408866995073893</v>
      </c>
    </row>
    <row r="41" spans="5:18" x14ac:dyDescent="0.35">
      <c r="E41" s="5" t="s">
        <v>3194</v>
      </c>
      <c r="F41" s="23">
        <f>G24</f>
        <v>9.1531755915317564E-2</v>
      </c>
      <c r="G41" s="23">
        <f>I24</f>
        <v>0.18430884184308841</v>
      </c>
      <c r="H41" s="23">
        <f>K24</f>
        <v>0.27957658779576589</v>
      </c>
      <c r="O41" s="5" t="s">
        <v>3194</v>
      </c>
      <c r="P41" s="23">
        <f>Q24</f>
        <v>4.2341220423412207E-2</v>
      </c>
      <c r="Q41" s="23">
        <f>S24</f>
        <v>0.16438356164383561</v>
      </c>
      <c r="R41" s="23">
        <f>U24</f>
        <v>0.33312577833125778</v>
      </c>
    </row>
  </sheetData>
  <mergeCells count="11">
    <mergeCell ref="F27:J27"/>
    <mergeCell ref="P27:T27"/>
    <mergeCell ref="B3:M9"/>
    <mergeCell ref="P17:T17"/>
    <mergeCell ref="F17:J17"/>
    <mergeCell ref="F18:G18"/>
    <mergeCell ref="H18:I18"/>
    <mergeCell ref="J18:K18"/>
    <mergeCell ref="P18:Q18"/>
    <mergeCell ref="R18:S18"/>
    <mergeCell ref="T18:U18"/>
  </mergeCells>
  <conditionalFormatting sqref="F29:F30">
    <cfRule type="cellIs" dxfId="15" priority="9" operator="equal">
      <formula>TRUE</formula>
    </cfRule>
    <cfRule type="cellIs" dxfId="14" priority="10" operator="equal">
      <formula>FALSE</formula>
    </cfRule>
  </conditionalFormatting>
  <conditionalFormatting sqref="H29:H30">
    <cfRule type="cellIs" dxfId="13" priority="3" operator="equal">
      <formula>TRUE</formula>
    </cfRule>
    <cfRule type="cellIs" dxfId="12" priority="4" operator="equal">
      <formula>FALSE</formula>
    </cfRule>
  </conditionalFormatting>
  <conditionalFormatting sqref="J29:J30">
    <cfRule type="cellIs" dxfId="11" priority="1" operator="equal">
      <formula>TRUE</formula>
    </cfRule>
    <cfRule type="cellIs" dxfId="10" priority="2" operator="equal">
      <formula>FALSE</formula>
    </cfRule>
  </conditionalFormatting>
  <conditionalFormatting sqref="P29:P30">
    <cfRule type="cellIs" dxfId="9" priority="15" operator="equal">
      <formula>TRUE</formula>
    </cfRule>
    <cfRule type="cellIs" dxfId="8" priority="16" operator="equal">
      <formula>FALSE</formula>
    </cfRule>
  </conditionalFormatting>
  <conditionalFormatting sqref="R29:R30">
    <cfRule type="cellIs" dxfId="7" priority="13" operator="equal">
      <formula>TRUE</formula>
    </cfRule>
    <cfRule type="cellIs" dxfId="6" priority="14" operator="equal">
      <formula>FALSE</formula>
    </cfRule>
  </conditionalFormatting>
  <conditionalFormatting sqref="T29:T30">
    <cfRule type="cellIs" dxfId="5" priority="11" operator="equal">
      <formula>TRUE</formula>
    </cfRule>
    <cfRule type="cellIs" dxfId="4" priority="12" operator="equal">
      <formula>FALSE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10C5-0B29-433B-A212-A7F12D3CAEA4}">
  <sheetPr>
    <tabColor theme="0" tint="-0.34998626667073579"/>
  </sheetPr>
  <dimension ref="A2:P66"/>
  <sheetViews>
    <sheetView zoomScale="60" zoomScaleNormal="25" workbookViewId="0">
      <selection activeCell="M15" sqref="M15"/>
    </sheetView>
  </sheetViews>
  <sheetFormatPr defaultRowHeight="14.5" x14ac:dyDescent="0.35"/>
  <cols>
    <col min="1" max="1" width="15.54296875" bestFit="1" customWidth="1"/>
    <col min="2" max="2" width="18.26953125" bestFit="1" customWidth="1"/>
    <col min="3" max="3" width="12.36328125" bestFit="1" customWidth="1"/>
    <col min="4" max="4" width="15.54296875" bestFit="1" customWidth="1"/>
    <col min="5" max="5" width="18.26953125" bestFit="1" customWidth="1"/>
    <col min="6" max="6" width="12.7265625" customWidth="1"/>
    <col min="7" max="7" width="15.81640625" bestFit="1" customWidth="1"/>
    <col min="8" max="8" width="18.26953125" customWidth="1"/>
    <col min="9" max="9" width="28.1796875" bestFit="1" customWidth="1"/>
    <col min="10" max="10" width="15" bestFit="1" customWidth="1"/>
  </cols>
  <sheetData>
    <row r="2" spans="1:11" x14ac:dyDescent="0.35">
      <c r="A2" s="28" t="s">
        <v>3180</v>
      </c>
      <c r="B2" s="28"/>
      <c r="C2" s="28"/>
      <c r="D2" s="28"/>
      <c r="E2" s="28"/>
      <c r="F2" s="28"/>
      <c r="G2" s="28"/>
    </row>
    <row r="3" spans="1:11" x14ac:dyDescent="0.35">
      <c r="A3" s="28"/>
      <c r="B3" s="28"/>
      <c r="C3" s="28"/>
      <c r="D3" s="28"/>
      <c r="E3" s="28"/>
      <c r="F3" s="28"/>
      <c r="G3" s="28"/>
    </row>
    <row r="4" spans="1:11" x14ac:dyDescent="0.35">
      <c r="A4" t="s">
        <v>3199</v>
      </c>
    </row>
    <row r="5" spans="1:11" x14ac:dyDescent="0.35">
      <c r="C5" s="4"/>
      <c r="D5" s="4"/>
    </row>
    <row r="6" spans="1:11" x14ac:dyDescent="0.35">
      <c r="A6" t="s">
        <v>37</v>
      </c>
      <c r="B6" s="4">
        <v>1</v>
      </c>
    </row>
    <row r="7" spans="1:11" x14ac:dyDescent="0.35">
      <c r="A7" t="s">
        <v>40</v>
      </c>
      <c r="B7" t="s">
        <v>3137</v>
      </c>
      <c r="C7" s="4"/>
      <c r="D7" s="4"/>
    </row>
    <row r="9" spans="1:11" x14ac:dyDescent="0.35">
      <c r="A9" t="s">
        <v>2</v>
      </c>
      <c r="B9" t="s">
        <v>1</v>
      </c>
      <c r="C9" t="s">
        <v>3004</v>
      </c>
      <c r="D9" t="s">
        <v>3005</v>
      </c>
      <c r="E9" t="s">
        <v>3142</v>
      </c>
      <c r="F9" t="s">
        <v>3145</v>
      </c>
      <c r="G9" t="s">
        <v>3139</v>
      </c>
      <c r="H9" t="s">
        <v>3146</v>
      </c>
      <c r="J9" t="s">
        <v>3151</v>
      </c>
      <c r="K9" t="s">
        <v>3152</v>
      </c>
    </row>
    <row r="10" spans="1:11" x14ac:dyDescent="0.35">
      <c r="A10" s="5" t="s">
        <v>179</v>
      </c>
      <c r="B10" t="s">
        <v>178</v>
      </c>
      <c r="C10">
        <v>1084</v>
      </c>
      <c r="D10" s="6">
        <v>0.35035552682611504</v>
      </c>
      <c r="E10" s="6" t="s">
        <v>3143</v>
      </c>
      <c r="F10" t="s">
        <v>3140</v>
      </c>
      <c r="G10" s="13">
        <f ca="1">[1]Simulazione!$G$45</f>
        <v>807</v>
      </c>
      <c r="H10">
        <f t="shared" ref="H10:H18" ca="1" si="0">C10-G10</f>
        <v>277</v>
      </c>
      <c r="I10" t="s">
        <v>3138</v>
      </c>
      <c r="J10">
        <f>COUNTA(DATA!B2:B1048576)</f>
        <v>3178</v>
      </c>
      <c r="K10" s="7"/>
    </row>
    <row r="11" spans="1:11" x14ac:dyDescent="0.35">
      <c r="A11" s="5" t="s">
        <v>194</v>
      </c>
      <c r="B11" t="s">
        <v>193</v>
      </c>
      <c r="C11">
        <v>682</v>
      </c>
      <c r="D11" s="6">
        <v>0.22042663219133807</v>
      </c>
      <c r="E11" s="6" t="s">
        <v>3143</v>
      </c>
      <c r="F11" t="s">
        <v>3140</v>
      </c>
      <c r="G11" s="13">
        <f ca="1">[2]Simulazione!$G$24</f>
        <v>386</v>
      </c>
      <c r="H11">
        <f t="shared" ca="1" si="0"/>
        <v>296</v>
      </c>
      <c r="J11">
        <f>-(J10-J12)</f>
        <v>-84</v>
      </c>
    </row>
    <row r="12" spans="1:11" x14ac:dyDescent="0.35">
      <c r="A12" s="5" t="s">
        <v>173</v>
      </c>
      <c r="B12" t="s">
        <v>172</v>
      </c>
      <c r="C12">
        <v>500</v>
      </c>
      <c r="D12" s="6">
        <v>0.16160310277957338</v>
      </c>
      <c r="E12" s="6" t="s">
        <v>3143</v>
      </c>
      <c r="F12" t="s">
        <v>3140</v>
      </c>
      <c r="G12" s="13">
        <f ca="1">[3]Simulazione!$G$24</f>
        <v>344</v>
      </c>
      <c r="H12">
        <f t="shared" ca="1" si="0"/>
        <v>156</v>
      </c>
      <c r="I12" t="s">
        <v>3153</v>
      </c>
      <c r="J12">
        <f>C19</f>
        <v>3094</v>
      </c>
    </row>
    <row r="13" spans="1:11" x14ac:dyDescent="0.35">
      <c r="A13" s="5" t="s">
        <v>42</v>
      </c>
      <c r="B13" t="s">
        <v>41</v>
      </c>
      <c r="C13">
        <v>324</v>
      </c>
      <c r="D13" s="6">
        <v>0.10471881060116355</v>
      </c>
      <c r="E13" s="6" t="s">
        <v>3143</v>
      </c>
      <c r="F13" t="s">
        <v>3140</v>
      </c>
      <c r="G13" s="13">
        <f ca="1">[4]Simulazione!$G$19</f>
        <v>189</v>
      </c>
      <c r="H13">
        <f t="shared" ca="1" si="0"/>
        <v>135</v>
      </c>
      <c r="J13">
        <f>-(J12-J14)</f>
        <v>-67</v>
      </c>
      <c r="K13" s="7"/>
    </row>
    <row r="14" spans="1:11" x14ac:dyDescent="0.35">
      <c r="A14" s="5" t="s">
        <v>165</v>
      </c>
      <c r="B14" t="s">
        <v>164</v>
      </c>
      <c r="C14">
        <v>304</v>
      </c>
      <c r="D14" s="6">
        <v>9.8254686489980606E-2</v>
      </c>
      <c r="E14" s="6" t="s">
        <v>3143</v>
      </c>
      <c r="F14" t="s">
        <v>3140</v>
      </c>
      <c r="G14" s="13">
        <f ca="1">[5]Simulazione!$G$18</f>
        <v>139</v>
      </c>
      <c r="H14">
        <f t="shared" ca="1" si="0"/>
        <v>165</v>
      </c>
      <c r="I14" t="s">
        <v>3154</v>
      </c>
      <c r="J14">
        <f>SUMIF(E10:E18,"yes",C10:C18)</f>
        <v>3027</v>
      </c>
      <c r="K14" s="7"/>
    </row>
    <row r="15" spans="1:11" x14ac:dyDescent="0.35">
      <c r="A15" s="5" t="s">
        <v>215</v>
      </c>
      <c r="B15" t="s">
        <v>214</v>
      </c>
      <c r="C15">
        <v>133</v>
      </c>
      <c r="D15" s="6">
        <v>4.2986425339366516E-2</v>
      </c>
      <c r="E15" s="6" t="s">
        <v>3143</v>
      </c>
      <c r="F15" t="s">
        <v>3140</v>
      </c>
      <c r="G15" s="13">
        <f ca="1">[6]Simulazione!$G$18</f>
        <v>67</v>
      </c>
      <c r="H15">
        <f t="shared" ca="1" si="0"/>
        <v>66</v>
      </c>
      <c r="I15" t="s">
        <v>3141</v>
      </c>
      <c r="J15">
        <f>-(J14-J16)</f>
        <v>0</v>
      </c>
      <c r="K15" s="7">
        <f>ABS(J15/$J$14)</f>
        <v>0</v>
      </c>
    </row>
    <row r="16" spans="1:11" x14ac:dyDescent="0.35">
      <c r="A16" t="s">
        <v>139</v>
      </c>
      <c r="B16" t="s">
        <v>138</v>
      </c>
      <c r="C16">
        <v>52</v>
      </c>
      <c r="D16" s="6">
        <v>1.680672268907563E-2</v>
      </c>
      <c r="E16" s="6" t="s">
        <v>3144</v>
      </c>
      <c r="G16">
        <f>C16</f>
        <v>52</v>
      </c>
      <c r="H16">
        <f t="shared" si="0"/>
        <v>0</v>
      </c>
      <c r="I16" t="s">
        <v>3148</v>
      </c>
      <c r="J16">
        <f>SUMIF(F10:F18,"Done",C10:C18)</f>
        <v>3027</v>
      </c>
      <c r="K16" s="7">
        <f>J16/$J$14</f>
        <v>1</v>
      </c>
    </row>
    <row r="17" spans="1:11" x14ac:dyDescent="0.35">
      <c r="A17" t="s">
        <v>354</v>
      </c>
      <c r="B17" t="s">
        <v>353</v>
      </c>
      <c r="C17">
        <v>8</v>
      </c>
      <c r="D17" s="6">
        <v>2.5856496444731738E-3</v>
      </c>
      <c r="E17" s="6" t="s">
        <v>3144</v>
      </c>
      <c r="G17">
        <f>C17</f>
        <v>8</v>
      </c>
      <c r="H17">
        <f t="shared" si="0"/>
        <v>0</v>
      </c>
      <c r="I17" t="s">
        <v>3149</v>
      </c>
      <c r="J17">
        <f ca="1">-(J16-J18)</f>
        <v>-1932</v>
      </c>
      <c r="K17" s="7"/>
    </row>
    <row r="18" spans="1:11" x14ac:dyDescent="0.35">
      <c r="A18" t="s">
        <v>472</v>
      </c>
      <c r="B18" t="s">
        <v>471</v>
      </c>
      <c r="C18">
        <v>7</v>
      </c>
      <c r="D18" s="6">
        <v>2.2624434389140274E-3</v>
      </c>
      <c r="E18" s="6" t="s">
        <v>3144</v>
      </c>
      <c r="G18">
        <f>C18</f>
        <v>7</v>
      </c>
      <c r="H18">
        <f t="shared" si="0"/>
        <v>0</v>
      </c>
      <c r="I18" t="s">
        <v>3150</v>
      </c>
      <c r="J18">
        <f ca="1">SUM(H10:H18)</f>
        <v>1095</v>
      </c>
      <c r="K18" s="7">
        <f ca="1">J18/J16</f>
        <v>0.36174430128840435</v>
      </c>
    </row>
    <row r="19" spans="1:11" x14ac:dyDescent="0.35">
      <c r="A19" t="s">
        <v>3000</v>
      </c>
      <c r="C19">
        <v>3094</v>
      </c>
      <c r="D19" s="6">
        <v>1</v>
      </c>
      <c r="E19" s="6"/>
      <c r="G19" s="18"/>
    </row>
    <row r="20" spans="1:11" x14ac:dyDescent="0.35">
      <c r="D20" s="6"/>
      <c r="E20" s="6"/>
    </row>
    <row r="21" spans="1:11" x14ac:dyDescent="0.35">
      <c r="A21" s="29" t="s">
        <v>3181</v>
      </c>
      <c r="B21" s="29"/>
      <c r="D21" s="29" t="s">
        <v>3182</v>
      </c>
      <c r="E21" s="29"/>
    </row>
    <row r="22" spans="1:11" x14ac:dyDescent="0.35">
      <c r="A22" s="29"/>
      <c r="B22" s="29"/>
      <c r="D22" s="29"/>
      <c r="E22" s="29"/>
    </row>
    <row r="23" spans="1:11" x14ac:dyDescent="0.35">
      <c r="D23" s="6"/>
      <c r="E23" s="6"/>
    </row>
    <row r="24" spans="1:11" x14ac:dyDescent="0.35">
      <c r="A24" s="3" t="s">
        <v>37</v>
      </c>
      <c r="B24" s="4">
        <v>1</v>
      </c>
      <c r="D24" s="3" t="s">
        <v>37</v>
      </c>
      <c r="E24" s="4">
        <v>1</v>
      </c>
    </row>
    <row r="25" spans="1:11" x14ac:dyDescent="0.35">
      <c r="A25" s="3" t="s">
        <v>1</v>
      </c>
      <c r="B25" t="s">
        <v>3170</v>
      </c>
      <c r="D25" s="3" t="s">
        <v>1</v>
      </c>
      <c r="E25" t="s">
        <v>3170</v>
      </c>
    </row>
    <row r="27" spans="1:11" x14ac:dyDescent="0.35">
      <c r="A27" s="3" t="s">
        <v>36</v>
      </c>
      <c r="B27" t="s">
        <v>3001</v>
      </c>
      <c r="D27" s="3" t="s">
        <v>36</v>
      </c>
      <c r="E27" t="s">
        <v>3001</v>
      </c>
    </row>
    <row r="28" spans="1:11" x14ac:dyDescent="0.35">
      <c r="A28">
        <v>0</v>
      </c>
      <c r="B28">
        <v>1421</v>
      </c>
      <c r="D28">
        <v>0</v>
      </c>
      <c r="E28">
        <v>9</v>
      </c>
    </row>
    <row r="29" spans="1:11" x14ac:dyDescent="0.35">
      <c r="A29">
        <v>1</v>
      </c>
      <c r="B29">
        <v>1551</v>
      </c>
      <c r="C29" s="4"/>
      <c r="D29">
        <v>1</v>
      </c>
      <c r="E29">
        <v>6</v>
      </c>
    </row>
    <row r="30" spans="1:11" x14ac:dyDescent="0.35">
      <c r="A30" t="s">
        <v>3002</v>
      </c>
      <c r="B30">
        <v>55</v>
      </c>
      <c r="D30" t="s">
        <v>3002</v>
      </c>
      <c r="E30">
        <v>52</v>
      </c>
    </row>
    <row r="31" spans="1:11" x14ac:dyDescent="0.35">
      <c r="A31" t="s">
        <v>3000</v>
      </c>
      <c r="B31">
        <v>3027</v>
      </c>
      <c r="C31" s="4"/>
      <c r="D31" t="s">
        <v>3000</v>
      </c>
      <c r="E31">
        <v>67</v>
      </c>
    </row>
    <row r="34" spans="1:16" x14ac:dyDescent="0.35">
      <c r="M34" s="9"/>
    </row>
    <row r="35" spans="1:16" x14ac:dyDescent="0.35">
      <c r="A35" s="27" t="s">
        <v>3166</v>
      </c>
      <c r="B35" s="27"/>
      <c r="C35" s="27"/>
    </row>
    <row r="36" spans="1:16" x14ac:dyDescent="0.35">
      <c r="A36" s="4" t="s">
        <v>3156</v>
      </c>
      <c r="B36">
        <f>J12</f>
        <v>3094</v>
      </c>
      <c r="C36" s="7">
        <f ca="1">$J$18/B36</f>
        <v>0.35391079508726569</v>
      </c>
    </row>
    <row r="37" spans="1:16" x14ac:dyDescent="0.35">
      <c r="A37" t="s">
        <v>3155</v>
      </c>
      <c r="B37">
        <f>SUMIF(E10:E15,"yes",C10:C15)</f>
        <v>3027</v>
      </c>
      <c r="C37" s="7">
        <f ca="1">$J$18/B37</f>
        <v>0.36174430128840435</v>
      </c>
    </row>
    <row r="38" spans="1:16" x14ac:dyDescent="0.35">
      <c r="A38" t="s">
        <v>3147</v>
      </c>
      <c r="B38">
        <f>SUMIF(F10:F18,"Done",C10:C18)</f>
        <v>3027</v>
      </c>
      <c r="C38" s="7">
        <f ca="1">$J$18/B38</f>
        <v>0.36174430128840435</v>
      </c>
      <c r="F38" s="7"/>
    </row>
    <row r="39" spans="1:16" x14ac:dyDescent="0.35">
      <c r="F39" s="7"/>
    </row>
    <row r="40" spans="1:16" x14ac:dyDescent="0.35">
      <c r="A40" s="27" t="s">
        <v>3167</v>
      </c>
      <c r="B40" s="27"/>
      <c r="C40" s="27"/>
      <c r="D40" s="27"/>
      <c r="E40" s="27"/>
      <c r="F40" s="27"/>
      <c r="G40" s="27"/>
      <c r="H40" s="27"/>
    </row>
    <row r="41" spans="1:16" x14ac:dyDescent="0.35">
      <c r="B41" s="9" t="s">
        <v>3160</v>
      </c>
      <c r="C41" s="9" t="s">
        <v>3157</v>
      </c>
      <c r="D41" s="9" t="s">
        <v>3158</v>
      </c>
      <c r="E41" s="9" t="s">
        <v>3159</v>
      </c>
      <c r="F41" s="9" t="s">
        <v>3184</v>
      </c>
      <c r="G41" s="9" t="s">
        <v>3185</v>
      </c>
      <c r="H41" s="9" t="s">
        <v>3186</v>
      </c>
    </row>
    <row r="42" spans="1:16" x14ac:dyDescent="0.35">
      <c r="A42" s="10" t="s">
        <v>3164</v>
      </c>
      <c r="B42" s="9">
        <f ca="1">SUM(C42:H42)</f>
        <v>861</v>
      </c>
      <c r="C42" s="13">
        <f ca="1">[1]Simulazione!$I$45</f>
        <v>370</v>
      </c>
      <c r="D42" s="13">
        <f ca="1">[5]Simulazione!$I$18</f>
        <v>69</v>
      </c>
      <c r="E42" s="13">
        <f ca="1">[6]Simulazione!$I$18</f>
        <v>32</v>
      </c>
      <c r="F42" s="13">
        <f ca="1">[2]Simulazione!$I$24</f>
        <v>197</v>
      </c>
      <c r="G42" s="13">
        <f ca="1">[3]Simulazione!$I$24</f>
        <v>101</v>
      </c>
      <c r="H42" s="13">
        <f ca="1">[4]Simulazione!$I$19</f>
        <v>92</v>
      </c>
    </row>
    <row r="43" spans="1:16" x14ac:dyDescent="0.35">
      <c r="A43" s="10" t="s">
        <v>3161</v>
      </c>
      <c r="B43" s="9">
        <f ca="1">SUM(C43:H43)</f>
        <v>1071</v>
      </c>
      <c r="C43" s="13">
        <f ca="1">[1]Simulazione!$K$45</f>
        <v>437</v>
      </c>
      <c r="D43" s="13">
        <f ca="1">[5]Simulazione!$K$18</f>
        <v>70</v>
      </c>
      <c r="E43" s="13">
        <f ca="1">[6]Simulazione!$K$18</f>
        <v>35</v>
      </c>
      <c r="F43" s="13">
        <f ca="1">[2]Simulazione!$K$24</f>
        <v>189</v>
      </c>
      <c r="G43" s="13">
        <f ca="1">[3]Simulazione!$K$24</f>
        <v>243</v>
      </c>
      <c r="H43" s="13">
        <f ca="1">[4]Simulazione!$K$19</f>
        <v>97</v>
      </c>
    </row>
    <row r="44" spans="1:16" x14ac:dyDescent="0.35">
      <c r="A44" s="11" t="s">
        <v>3162</v>
      </c>
      <c r="B44" s="9">
        <f>E28</f>
        <v>9</v>
      </c>
      <c r="C44" s="8"/>
      <c r="D44" s="8"/>
      <c r="E44" s="8"/>
      <c r="N44" s="9"/>
      <c r="O44" s="9"/>
      <c r="P44" s="9"/>
    </row>
    <row r="45" spans="1:16" x14ac:dyDescent="0.35">
      <c r="A45" s="11" t="s">
        <v>3163</v>
      </c>
      <c r="B45" s="9">
        <f>E29+E30</f>
        <v>58</v>
      </c>
      <c r="C45" s="8"/>
      <c r="D45" s="8" t="s">
        <v>3165</v>
      </c>
      <c r="E45" s="8"/>
    </row>
    <row r="46" spans="1:16" x14ac:dyDescent="0.35">
      <c r="A46" s="8"/>
      <c r="B46" s="8"/>
      <c r="C46" s="8"/>
      <c r="D46" s="8">
        <f ca="1">SUM(B42:B45)+J18</f>
        <v>3094</v>
      </c>
      <c r="E46" s="8"/>
    </row>
    <row r="47" spans="1:16" x14ac:dyDescent="0.35">
      <c r="A47" s="8"/>
      <c r="B47" s="8"/>
      <c r="C47" s="8"/>
      <c r="D47" s="8" t="b">
        <f ca="1">D46=B36</f>
        <v>1</v>
      </c>
      <c r="E47" s="8"/>
    </row>
    <row r="48" spans="1:16" x14ac:dyDescent="0.35">
      <c r="B48" s="9"/>
      <c r="D48" s="8"/>
    </row>
    <row r="49" spans="1:7" x14ac:dyDescent="0.35">
      <c r="D49" s="8"/>
    </row>
    <row r="50" spans="1:7" x14ac:dyDescent="0.35">
      <c r="A50" s="10" t="s">
        <v>3173</v>
      </c>
      <c r="B50">
        <f>B28</f>
        <v>1421</v>
      </c>
      <c r="D50" s="8" t="s">
        <v>3165</v>
      </c>
    </row>
    <row r="51" spans="1:7" x14ac:dyDescent="0.35">
      <c r="A51" s="10" t="s">
        <v>3174</v>
      </c>
      <c r="B51">
        <f>B29+B30</f>
        <v>1606</v>
      </c>
      <c r="D51" s="8">
        <f>SUM(B50:B51)</f>
        <v>3027</v>
      </c>
    </row>
    <row r="52" spans="1:7" x14ac:dyDescent="0.35">
      <c r="A52" s="10" t="s">
        <v>3171</v>
      </c>
      <c r="B52">
        <f ca="1">B28-B42</f>
        <v>560</v>
      </c>
      <c r="D52" s="8" t="b">
        <f>D51=B38</f>
        <v>1</v>
      </c>
    </row>
    <row r="53" spans="1:7" x14ac:dyDescent="0.35">
      <c r="A53" s="10" t="s">
        <v>3172</v>
      </c>
      <c r="B53">
        <f ca="1">B30+B29-B43</f>
        <v>535</v>
      </c>
    </row>
    <row r="55" spans="1:7" x14ac:dyDescent="0.35">
      <c r="A55" s="12" t="s">
        <v>3168</v>
      </c>
      <c r="B55" s="7">
        <f ca="1">B52/B50</f>
        <v>0.39408866995073893</v>
      </c>
      <c r="C55" s="14"/>
    </row>
    <row r="56" spans="1:7" x14ac:dyDescent="0.35">
      <c r="A56" s="12" t="s">
        <v>3169</v>
      </c>
      <c r="B56" s="7">
        <f ca="1">B53/B51</f>
        <v>0.33312577833125778</v>
      </c>
      <c r="C56" s="14"/>
    </row>
    <row r="58" spans="1:7" x14ac:dyDescent="0.35">
      <c r="A58" s="27" t="s">
        <v>3175</v>
      </c>
      <c r="B58" s="27"/>
      <c r="C58" s="27"/>
      <c r="D58" s="27"/>
      <c r="E58" s="27"/>
      <c r="F58" s="27"/>
      <c r="G58" s="27"/>
    </row>
    <row r="59" spans="1:7" x14ac:dyDescent="0.35">
      <c r="A59" s="9" t="s">
        <v>3157</v>
      </c>
      <c r="B59" s="9" t="s">
        <v>3158</v>
      </c>
      <c r="C59" s="9" t="s">
        <v>3159</v>
      </c>
      <c r="D59" s="9" t="s">
        <v>3184</v>
      </c>
      <c r="E59" s="9" t="s">
        <v>3185</v>
      </c>
      <c r="F59" s="9" t="s">
        <v>3186</v>
      </c>
      <c r="G59" s="9" t="s">
        <v>3176</v>
      </c>
    </row>
    <row r="60" spans="1:7" x14ac:dyDescent="0.35">
      <c r="A60" s="15">
        <f ca="1">[1]Simulazione!$H$57</f>
        <v>1.9237380432687576</v>
      </c>
      <c r="B60" s="15">
        <f ca="1">[5]Simulazione!$G$24</f>
        <v>3.8</v>
      </c>
      <c r="C60" s="15">
        <f ca="1">[6]Simulazione!$H$24</f>
        <v>4.2729279514897609</v>
      </c>
      <c r="D60" s="17">
        <f ca="1">[2]Simulazione!$H$30</f>
        <v>0.62572205418237681</v>
      </c>
      <c r="E60" s="15">
        <f ca="1">[3]Simulazione!$H$30</f>
        <v>0.31376926321764703</v>
      </c>
      <c r="F60" s="17">
        <f ca="1">[4]Simulazione!$G$25</f>
        <v>0.65373079999999983</v>
      </c>
      <c r="G60" s="7">
        <f ca="1">SUMPRODUCT(A61:F61,A60:F60)/SUM(A61:F61)</f>
        <v>1.5210661738396682</v>
      </c>
    </row>
    <row r="61" spans="1:7" x14ac:dyDescent="0.35">
      <c r="A61">
        <f>C10</f>
        <v>1084</v>
      </c>
      <c r="B61">
        <f>C14</f>
        <v>304</v>
      </c>
      <c r="C61">
        <f>C15</f>
        <v>133</v>
      </c>
      <c r="D61">
        <f>C11</f>
        <v>682</v>
      </c>
      <c r="E61">
        <f>C12</f>
        <v>500</v>
      </c>
      <c r="F61">
        <f>C13</f>
        <v>324</v>
      </c>
    </row>
    <row r="63" spans="1:7" x14ac:dyDescent="0.35">
      <c r="A63" s="7">
        <f ca="1">SUMPRODUCT($A$61:A61,$A$60:A60)/SUM($A$61:A61)</f>
        <v>1.9237380432687576</v>
      </c>
      <c r="B63" s="7">
        <f ca="1">SUMPRODUCT($A$61:B61,$A$60:B60)/SUM($A$61:B61)</f>
        <v>2.3346772614577329</v>
      </c>
      <c r="C63" s="7">
        <f ca="1">SUMPRODUCT($A$61:C61,$A$60:C60)/SUM($A$61:C61)</f>
        <v>2.5041626932619798</v>
      </c>
      <c r="D63" s="7">
        <f ca="1">SUMPRODUCT($A$61:D61,$A$60:D60)/SUM($A$61:D61)</f>
        <v>1.9226390818900827</v>
      </c>
      <c r="E63" s="7">
        <f ca="1">SUMPRODUCT($A$61:E61,$A$60:E60)/SUM($A$61:E61)</f>
        <v>1.6250309023354332</v>
      </c>
      <c r="F63" s="7">
        <f ca="1">SUMPRODUCT($A$61:F61,$A$60:F60)/SUM($A$61:F61)</f>
        <v>1.5210661738396682</v>
      </c>
    </row>
    <row r="66" spans="4:4" x14ac:dyDescent="0.35">
      <c r="D66" s="7"/>
    </row>
  </sheetData>
  <mergeCells count="6">
    <mergeCell ref="A35:C35"/>
    <mergeCell ref="A2:G3"/>
    <mergeCell ref="A21:B22"/>
    <mergeCell ref="D21:E22"/>
    <mergeCell ref="A58:G58"/>
    <mergeCell ref="A40:H40"/>
  </mergeCells>
  <conditionalFormatting sqref="D47">
    <cfRule type="cellIs" dxfId="3" priority="1" operator="equal">
      <formula>TRUE</formula>
    </cfRule>
    <cfRule type="cellIs" dxfId="2" priority="2" operator="equal">
      <formula>FALSE</formula>
    </cfRule>
  </conditionalFormatting>
  <conditionalFormatting sqref="D52">
    <cfRule type="cellIs" dxfId="1" priority="3" operator="equal">
      <formula>TRUE</formula>
    </cfRule>
    <cfRule type="cellIs" dxfId="0" priority="4" operator="equal">
      <formula>FALSE</formula>
    </cfRule>
  </conditionalFormatting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79"/>
  <sheetViews>
    <sheetView workbookViewId="0">
      <selection activeCell="AU7" sqref="A1:AU3179"/>
    </sheetView>
  </sheetViews>
  <sheetFormatPr defaultRowHeight="14.5" x14ac:dyDescent="0.35"/>
  <cols>
    <col min="3" max="3" width="105" bestFit="1" customWidth="1"/>
    <col min="4" max="4" width="17.81640625" bestFit="1" customWidth="1"/>
    <col min="16" max="16" width="30.08984375" bestFit="1" customWidth="1"/>
    <col min="23" max="23" width="109" bestFit="1" customWidth="1"/>
    <col min="24" max="24" width="134.7265625" bestFit="1" customWidth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3006</v>
      </c>
      <c r="AQ1" s="1" t="s">
        <v>3007</v>
      </c>
      <c r="AR1" s="1" t="s">
        <v>3008</v>
      </c>
      <c r="AS1" s="1" t="s">
        <v>3009</v>
      </c>
      <c r="AT1" s="1" t="s">
        <v>3010</v>
      </c>
      <c r="AU1" s="1" t="s">
        <v>3003</v>
      </c>
    </row>
    <row r="2" spans="1:47" x14ac:dyDescent="0.35">
      <c r="A2">
        <v>341994</v>
      </c>
      <c r="B2" t="s">
        <v>41</v>
      </c>
      <c r="C2" t="s">
        <v>42</v>
      </c>
      <c r="D2" s="2">
        <v>45787</v>
      </c>
      <c r="E2">
        <v>53850</v>
      </c>
      <c r="F2">
        <v>122</v>
      </c>
      <c r="G2" t="s">
        <v>43</v>
      </c>
      <c r="H2" t="s">
        <v>44</v>
      </c>
      <c r="I2" t="s">
        <v>45</v>
      </c>
      <c r="L2">
        <v>1223300002128</v>
      </c>
      <c r="M2">
        <v>20250409</v>
      </c>
      <c r="N2" t="s">
        <v>46</v>
      </c>
      <c r="Q2" t="s">
        <v>47</v>
      </c>
      <c r="R2">
        <v>39500</v>
      </c>
      <c r="T2">
        <v>3711207</v>
      </c>
      <c r="U2">
        <v>8825020723</v>
      </c>
      <c r="V2" t="s">
        <v>48</v>
      </c>
      <c r="W2" t="s">
        <v>49</v>
      </c>
      <c r="X2" t="s">
        <v>50</v>
      </c>
      <c r="Y2" t="s">
        <v>51</v>
      </c>
      <c r="Z2">
        <v>1696</v>
      </c>
      <c r="AH2">
        <v>0</v>
      </c>
      <c r="AI2">
        <v>202504</v>
      </c>
      <c r="AJ2" t="s">
        <v>52</v>
      </c>
      <c r="AK2">
        <v>0</v>
      </c>
      <c r="AL2">
        <v>1</v>
      </c>
      <c r="AO2">
        <v>0</v>
      </c>
      <c r="AP2" t="s">
        <v>3011</v>
      </c>
      <c r="AQ2" t="s">
        <v>3012</v>
      </c>
      <c r="AR2" t="s">
        <v>3013</v>
      </c>
      <c r="AS2" t="s">
        <v>3014</v>
      </c>
      <c r="AU2" t="s">
        <v>3014</v>
      </c>
    </row>
    <row r="3" spans="1:47" x14ac:dyDescent="0.35">
      <c r="A3">
        <v>341991</v>
      </c>
      <c r="B3" t="s">
        <v>41</v>
      </c>
      <c r="C3" t="s">
        <v>42</v>
      </c>
      <c r="D3" s="2">
        <v>45787</v>
      </c>
      <c r="E3">
        <v>53850</v>
      </c>
      <c r="F3">
        <v>154</v>
      </c>
      <c r="G3" t="s">
        <v>53</v>
      </c>
      <c r="H3" t="s">
        <v>44</v>
      </c>
      <c r="I3" t="s">
        <v>45</v>
      </c>
      <c r="L3">
        <v>1543300004860</v>
      </c>
      <c r="M3">
        <v>20250408</v>
      </c>
      <c r="N3" t="s">
        <v>46</v>
      </c>
      <c r="Q3" t="s">
        <v>47</v>
      </c>
      <c r="R3">
        <v>30000</v>
      </c>
      <c r="T3">
        <v>3715569</v>
      </c>
      <c r="U3">
        <v>5424970654</v>
      </c>
      <c r="V3" t="s">
        <v>54</v>
      </c>
      <c r="W3" t="s">
        <v>49</v>
      </c>
      <c r="X3" t="s">
        <v>55</v>
      </c>
      <c r="Y3" t="s">
        <v>51</v>
      </c>
      <c r="Z3">
        <v>741</v>
      </c>
      <c r="AH3">
        <v>0</v>
      </c>
      <c r="AI3">
        <v>202504</v>
      </c>
      <c r="AJ3" t="s">
        <v>56</v>
      </c>
      <c r="AK3">
        <v>0</v>
      </c>
      <c r="AL3">
        <v>1</v>
      </c>
      <c r="AM3">
        <v>3715569</v>
      </c>
      <c r="AN3">
        <v>1</v>
      </c>
      <c r="AO3">
        <v>0</v>
      </c>
      <c r="AP3" t="s">
        <v>3015</v>
      </c>
      <c r="AQ3" t="s">
        <v>3012</v>
      </c>
      <c r="AR3" t="s">
        <v>3016</v>
      </c>
      <c r="AT3" t="s">
        <v>3017</v>
      </c>
      <c r="AU3" t="s">
        <v>3018</v>
      </c>
    </row>
    <row r="4" spans="1:47" x14ac:dyDescent="0.35">
      <c r="A4">
        <v>341990</v>
      </c>
      <c r="B4" t="s">
        <v>41</v>
      </c>
      <c r="C4" t="s">
        <v>42</v>
      </c>
      <c r="D4" s="2">
        <v>45787</v>
      </c>
      <c r="E4">
        <v>53850</v>
      </c>
      <c r="F4">
        <v>154</v>
      </c>
      <c r="G4" t="s">
        <v>53</v>
      </c>
      <c r="H4" t="s">
        <v>44</v>
      </c>
      <c r="I4" t="s">
        <v>45</v>
      </c>
      <c r="L4">
        <v>1543300004860</v>
      </c>
      <c r="M4">
        <v>20250409</v>
      </c>
      <c r="N4" t="s">
        <v>46</v>
      </c>
      <c r="Q4" t="s">
        <v>47</v>
      </c>
      <c r="R4">
        <v>33250</v>
      </c>
      <c r="T4">
        <v>3715569</v>
      </c>
      <c r="U4">
        <v>5424970654</v>
      </c>
      <c r="V4" t="s">
        <v>54</v>
      </c>
      <c r="W4" t="s">
        <v>49</v>
      </c>
      <c r="X4" t="s">
        <v>55</v>
      </c>
      <c r="Y4" t="s">
        <v>51</v>
      </c>
      <c r="Z4">
        <v>741</v>
      </c>
      <c r="AH4">
        <v>0</v>
      </c>
      <c r="AI4">
        <v>202504</v>
      </c>
      <c r="AJ4" t="s">
        <v>56</v>
      </c>
      <c r="AK4">
        <v>0</v>
      </c>
      <c r="AL4">
        <v>1</v>
      </c>
      <c r="AM4">
        <v>3715569</v>
      </c>
      <c r="AN4">
        <v>1</v>
      </c>
      <c r="AO4">
        <v>0</v>
      </c>
      <c r="AP4" t="s">
        <v>3015</v>
      </c>
      <c r="AQ4" t="s">
        <v>3012</v>
      </c>
      <c r="AR4" t="s">
        <v>3016</v>
      </c>
      <c r="AT4" t="s">
        <v>3017</v>
      </c>
      <c r="AU4" t="s">
        <v>3018</v>
      </c>
    </row>
    <row r="5" spans="1:47" x14ac:dyDescent="0.35">
      <c r="A5">
        <v>341985</v>
      </c>
      <c r="B5" t="s">
        <v>41</v>
      </c>
      <c r="C5" t="s">
        <v>42</v>
      </c>
      <c r="D5" s="2">
        <v>45787</v>
      </c>
      <c r="E5">
        <v>53850</v>
      </c>
      <c r="F5">
        <v>169</v>
      </c>
      <c r="G5" t="s">
        <v>57</v>
      </c>
      <c r="H5" t="s">
        <v>44</v>
      </c>
      <c r="I5" t="s">
        <v>45</v>
      </c>
      <c r="L5">
        <v>1693302222377</v>
      </c>
      <c r="M5">
        <v>20250402</v>
      </c>
      <c r="N5" t="s">
        <v>46</v>
      </c>
      <c r="Q5" t="s">
        <v>47</v>
      </c>
      <c r="R5">
        <v>147538.19</v>
      </c>
      <c r="T5">
        <v>4036414</v>
      </c>
      <c r="U5">
        <v>296820723</v>
      </c>
      <c r="V5" t="s">
        <v>58</v>
      </c>
      <c r="W5" t="s">
        <v>49</v>
      </c>
      <c r="X5" t="s">
        <v>59</v>
      </c>
      <c r="Y5" t="s">
        <v>51</v>
      </c>
      <c r="Z5">
        <v>1920</v>
      </c>
      <c r="AH5">
        <v>0</v>
      </c>
      <c r="AI5">
        <v>202504</v>
      </c>
      <c r="AJ5" t="s">
        <v>56</v>
      </c>
      <c r="AK5">
        <v>0</v>
      </c>
      <c r="AL5">
        <v>1</v>
      </c>
      <c r="AM5">
        <v>4036414</v>
      </c>
      <c r="AN5">
        <v>1</v>
      </c>
      <c r="AO5">
        <v>0</v>
      </c>
      <c r="AP5" t="s">
        <v>3015</v>
      </c>
      <c r="AQ5" t="s">
        <v>3012</v>
      </c>
      <c r="AR5" t="s">
        <v>3016</v>
      </c>
      <c r="AT5" t="s">
        <v>3017</v>
      </c>
      <c r="AU5" t="s">
        <v>3018</v>
      </c>
    </row>
    <row r="6" spans="1:47" x14ac:dyDescent="0.35">
      <c r="A6">
        <v>341984</v>
      </c>
      <c r="B6" t="s">
        <v>41</v>
      </c>
      <c r="C6" t="s">
        <v>42</v>
      </c>
      <c r="D6" s="2">
        <v>45787</v>
      </c>
      <c r="E6">
        <v>53850</v>
      </c>
      <c r="F6">
        <v>105</v>
      </c>
      <c r="G6" t="s">
        <v>60</v>
      </c>
      <c r="H6" t="s">
        <v>44</v>
      </c>
      <c r="I6" t="s">
        <v>45</v>
      </c>
      <c r="L6">
        <v>1053306287103</v>
      </c>
      <c r="M6">
        <v>20250423</v>
      </c>
      <c r="N6" t="s">
        <v>46</v>
      </c>
      <c r="Q6" t="s">
        <v>47</v>
      </c>
      <c r="R6">
        <v>1572927.57</v>
      </c>
      <c r="T6">
        <v>4263360</v>
      </c>
      <c r="U6">
        <v>5982300724</v>
      </c>
      <c r="V6" t="s">
        <v>61</v>
      </c>
      <c r="W6" t="s">
        <v>49</v>
      </c>
      <c r="X6" t="s">
        <v>62</v>
      </c>
      <c r="Y6" t="s">
        <v>51</v>
      </c>
      <c r="Z6">
        <v>1058</v>
      </c>
      <c r="AH6">
        <v>0</v>
      </c>
      <c r="AI6">
        <v>202504</v>
      </c>
      <c r="AJ6" t="s">
        <v>56</v>
      </c>
      <c r="AK6">
        <v>0</v>
      </c>
      <c r="AL6">
        <v>1</v>
      </c>
      <c r="AO6">
        <v>0</v>
      </c>
      <c r="AP6" t="s">
        <v>3015</v>
      </c>
      <c r="AQ6" t="s">
        <v>3012</v>
      </c>
      <c r="AR6" t="s">
        <v>3016</v>
      </c>
      <c r="AT6" t="s">
        <v>3017</v>
      </c>
      <c r="AU6" t="s">
        <v>3018</v>
      </c>
    </row>
    <row r="7" spans="1:47" x14ac:dyDescent="0.35">
      <c r="A7">
        <v>341982</v>
      </c>
      <c r="B7" t="s">
        <v>41</v>
      </c>
      <c r="C7" t="s">
        <v>42</v>
      </c>
      <c r="D7" s="2">
        <v>45787</v>
      </c>
      <c r="E7">
        <v>53850</v>
      </c>
      <c r="F7">
        <v>153</v>
      </c>
      <c r="G7" t="s">
        <v>63</v>
      </c>
      <c r="H7" t="s">
        <v>44</v>
      </c>
      <c r="I7" t="s">
        <v>45</v>
      </c>
      <c r="L7">
        <v>1533300663959</v>
      </c>
      <c r="M7">
        <v>20250422</v>
      </c>
      <c r="N7" t="s">
        <v>46</v>
      </c>
      <c r="Q7" t="s">
        <v>47</v>
      </c>
      <c r="R7">
        <v>26730</v>
      </c>
      <c r="T7">
        <v>3721097</v>
      </c>
      <c r="U7">
        <v>10391641213</v>
      </c>
      <c r="V7" t="s">
        <v>64</v>
      </c>
      <c r="W7" t="s">
        <v>49</v>
      </c>
      <c r="X7" t="s">
        <v>65</v>
      </c>
      <c r="Y7" t="s">
        <v>51</v>
      </c>
      <c r="Z7">
        <v>1237</v>
      </c>
      <c r="AH7">
        <v>0</v>
      </c>
      <c r="AI7">
        <v>202504</v>
      </c>
      <c r="AJ7" t="s">
        <v>56</v>
      </c>
      <c r="AK7">
        <v>0</v>
      </c>
      <c r="AL7">
        <v>1</v>
      </c>
      <c r="AO7">
        <v>0</v>
      </c>
      <c r="AP7" t="s">
        <v>3019</v>
      </c>
      <c r="AQ7" t="s">
        <v>3012</v>
      </c>
      <c r="AR7" t="s">
        <v>3020</v>
      </c>
      <c r="AS7" t="s">
        <v>3014</v>
      </c>
      <c r="AU7" t="s">
        <v>3014</v>
      </c>
    </row>
    <row r="8" spans="1:47" x14ac:dyDescent="0.35">
      <c r="A8">
        <v>341980</v>
      </c>
      <c r="B8" t="s">
        <v>41</v>
      </c>
      <c r="C8" t="s">
        <v>42</v>
      </c>
      <c r="D8" s="2">
        <v>45787</v>
      </c>
      <c r="E8">
        <v>53850</v>
      </c>
      <c r="F8">
        <v>192</v>
      </c>
      <c r="G8" t="s">
        <v>66</v>
      </c>
      <c r="H8" t="s">
        <v>44</v>
      </c>
      <c r="I8" t="s">
        <v>45</v>
      </c>
      <c r="L8">
        <v>1923300183163</v>
      </c>
      <c r="M8">
        <v>20250422</v>
      </c>
      <c r="N8" t="s">
        <v>46</v>
      </c>
      <c r="Q8" t="s">
        <v>47</v>
      </c>
      <c r="R8">
        <v>28000</v>
      </c>
      <c r="T8">
        <v>4695944</v>
      </c>
      <c r="U8" t="s">
        <v>67</v>
      </c>
      <c r="V8" t="s">
        <v>68</v>
      </c>
      <c r="W8" t="s">
        <v>69</v>
      </c>
      <c r="X8" t="s">
        <v>70</v>
      </c>
      <c r="Y8" t="s">
        <v>51</v>
      </c>
      <c r="Z8">
        <v>481</v>
      </c>
      <c r="AH8">
        <v>0</v>
      </c>
      <c r="AI8">
        <v>202504</v>
      </c>
      <c r="AJ8" t="s">
        <v>56</v>
      </c>
      <c r="AK8">
        <v>0</v>
      </c>
      <c r="AL8">
        <v>1</v>
      </c>
      <c r="AM8">
        <v>4695944</v>
      </c>
      <c r="AN8">
        <v>1</v>
      </c>
      <c r="AO8">
        <v>0</v>
      </c>
      <c r="AP8" t="s">
        <v>3015</v>
      </c>
      <c r="AQ8" t="s">
        <v>3021</v>
      </c>
      <c r="AR8" t="s">
        <v>3022</v>
      </c>
      <c r="AT8" t="s">
        <v>3017</v>
      </c>
      <c r="AU8" t="s">
        <v>3014</v>
      </c>
    </row>
    <row r="9" spans="1:47" x14ac:dyDescent="0.35">
      <c r="A9">
        <v>341976</v>
      </c>
      <c r="B9" t="s">
        <v>41</v>
      </c>
      <c r="C9" t="s">
        <v>42</v>
      </c>
      <c r="D9" s="2">
        <v>45787</v>
      </c>
      <c r="E9">
        <v>53850</v>
      </c>
      <c r="F9">
        <v>153</v>
      </c>
      <c r="G9" t="s">
        <v>63</v>
      </c>
      <c r="H9" t="s">
        <v>44</v>
      </c>
      <c r="I9" t="s">
        <v>45</v>
      </c>
      <c r="L9">
        <v>1533300663959</v>
      </c>
      <c r="M9">
        <v>20250414</v>
      </c>
      <c r="N9" t="s">
        <v>46</v>
      </c>
      <c r="Q9" t="s">
        <v>47</v>
      </c>
      <c r="R9">
        <v>30891.3</v>
      </c>
      <c r="T9">
        <v>3721097</v>
      </c>
      <c r="U9">
        <v>10391641213</v>
      </c>
      <c r="V9" t="s">
        <v>64</v>
      </c>
      <c r="W9" t="s">
        <v>49</v>
      </c>
      <c r="X9" t="s">
        <v>65</v>
      </c>
      <c r="Y9" t="s">
        <v>51</v>
      </c>
      <c r="Z9">
        <v>1237</v>
      </c>
      <c r="AH9">
        <v>0</v>
      </c>
      <c r="AI9">
        <v>202504</v>
      </c>
      <c r="AJ9" t="s">
        <v>56</v>
      </c>
      <c r="AK9">
        <v>0</v>
      </c>
      <c r="AL9">
        <v>1</v>
      </c>
      <c r="AO9">
        <v>0</v>
      </c>
      <c r="AP9" t="s">
        <v>3019</v>
      </c>
      <c r="AQ9" t="s">
        <v>3012</v>
      </c>
      <c r="AR9" t="s">
        <v>3020</v>
      </c>
      <c r="AS9" t="s">
        <v>3014</v>
      </c>
      <c r="AU9" t="s">
        <v>3014</v>
      </c>
    </row>
    <row r="10" spans="1:47" x14ac:dyDescent="0.35">
      <c r="A10">
        <v>341974</v>
      </c>
      <c r="B10" t="s">
        <v>41</v>
      </c>
      <c r="C10" t="s">
        <v>42</v>
      </c>
      <c r="D10" s="2">
        <v>45787</v>
      </c>
      <c r="E10">
        <v>53850</v>
      </c>
      <c r="F10">
        <v>264</v>
      </c>
      <c r="G10" t="s">
        <v>71</v>
      </c>
      <c r="H10" t="s">
        <v>44</v>
      </c>
      <c r="I10" t="s">
        <v>45</v>
      </c>
      <c r="L10">
        <v>2643300001866</v>
      </c>
      <c r="M10">
        <v>20250415</v>
      </c>
      <c r="N10" t="s">
        <v>46</v>
      </c>
      <c r="Q10" t="s">
        <v>47</v>
      </c>
      <c r="R10">
        <v>100000</v>
      </c>
      <c r="T10">
        <v>1700310</v>
      </c>
      <c r="U10" t="s">
        <v>72</v>
      </c>
      <c r="V10" t="s">
        <v>73</v>
      </c>
      <c r="W10" t="s">
        <v>69</v>
      </c>
      <c r="X10" t="s">
        <v>74</v>
      </c>
      <c r="Y10" t="s">
        <v>51</v>
      </c>
      <c r="Z10">
        <v>1851</v>
      </c>
      <c r="AH10">
        <v>0</v>
      </c>
      <c r="AI10">
        <v>202504</v>
      </c>
      <c r="AJ10" t="s">
        <v>56</v>
      </c>
      <c r="AK10">
        <v>0</v>
      </c>
      <c r="AL10">
        <v>1</v>
      </c>
      <c r="AO10">
        <v>0</v>
      </c>
      <c r="AP10" t="s">
        <v>3015</v>
      </c>
      <c r="AQ10" t="s">
        <v>3021</v>
      </c>
      <c r="AR10" t="s">
        <v>3022</v>
      </c>
      <c r="AT10" t="s">
        <v>3017</v>
      </c>
      <c r="AU10" t="s">
        <v>3014</v>
      </c>
    </row>
    <row r="11" spans="1:47" x14ac:dyDescent="0.35">
      <c r="A11">
        <v>341971</v>
      </c>
      <c r="B11" t="s">
        <v>41</v>
      </c>
      <c r="C11" t="s">
        <v>42</v>
      </c>
      <c r="D11" s="2">
        <v>45787</v>
      </c>
      <c r="E11">
        <v>53850</v>
      </c>
      <c r="F11">
        <v>125</v>
      </c>
      <c r="G11" t="s">
        <v>75</v>
      </c>
      <c r="H11" t="s">
        <v>44</v>
      </c>
      <c r="I11" t="s">
        <v>45</v>
      </c>
      <c r="L11">
        <v>1253309512895</v>
      </c>
      <c r="M11">
        <v>20250407</v>
      </c>
      <c r="N11" t="s">
        <v>46</v>
      </c>
      <c r="Q11" t="s">
        <v>47</v>
      </c>
      <c r="R11">
        <v>55652.61</v>
      </c>
      <c r="T11">
        <v>4795279</v>
      </c>
      <c r="U11">
        <v>1020090658</v>
      </c>
      <c r="V11" t="s">
        <v>76</v>
      </c>
      <c r="W11" t="s">
        <v>49</v>
      </c>
      <c r="X11" t="s">
        <v>77</v>
      </c>
      <c r="Y11" t="s">
        <v>51</v>
      </c>
      <c r="Z11">
        <v>982</v>
      </c>
      <c r="AH11">
        <v>0</v>
      </c>
      <c r="AI11">
        <v>202504</v>
      </c>
      <c r="AJ11" t="s">
        <v>52</v>
      </c>
      <c r="AK11">
        <v>0</v>
      </c>
      <c r="AL11">
        <v>1</v>
      </c>
      <c r="AO11">
        <v>0</v>
      </c>
      <c r="AP11" t="s">
        <v>3015</v>
      </c>
      <c r="AQ11" t="s">
        <v>3012</v>
      </c>
      <c r="AR11" t="s">
        <v>3016</v>
      </c>
      <c r="AT11" t="s">
        <v>3017</v>
      </c>
      <c r="AU11" t="s">
        <v>3018</v>
      </c>
    </row>
    <row r="12" spans="1:47" x14ac:dyDescent="0.35">
      <c r="A12">
        <v>341961</v>
      </c>
      <c r="B12" t="s">
        <v>41</v>
      </c>
      <c r="C12" t="s">
        <v>42</v>
      </c>
      <c r="D12" s="2">
        <v>45787</v>
      </c>
      <c r="E12">
        <v>53850</v>
      </c>
      <c r="F12">
        <v>153</v>
      </c>
      <c r="G12" t="s">
        <v>63</v>
      </c>
      <c r="H12" t="s">
        <v>44</v>
      </c>
      <c r="I12" t="s">
        <v>45</v>
      </c>
      <c r="L12">
        <v>1533300663959</v>
      </c>
      <c r="M12">
        <v>20250422</v>
      </c>
      <c r="N12" t="s">
        <v>46</v>
      </c>
      <c r="Q12" t="s">
        <v>47</v>
      </c>
      <c r="R12">
        <v>28600.02</v>
      </c>
      <c r="T12">
        <v>3721097</v>
      </c>
      <c r="U12">
        <v>10391641213</v>
      </c>
      <c r="V12" t="s">
        <v>64</v>
      </c>
      <c r="W12" t="s">
        <v>49</v>
      </c>
      <c r="X12" t="s">
        <v>65</v>
      </c>
      <c r="Y12" t="s">
        <v>51</v>
      </c>
      <c r="Z12">
        <v>1237</v>
      </c>
      <c r="AH12">
        <v>0</v>
      </c>
      <c r="AI12">
        <v>202504</v>
      </c>
      <c r="AJ12" t="s">
        <v>56</v>
      </c>
      <c r="AK12">
        <v>0</v>
      </c>
      <c r="AL12">
        <v>1</v>
      </c>
      <c r="AO12">
        <v>0</v>
      </c>
      <c r="AP12" t="s">
        <v>3019</v>
      </c>
      <c r="AQ12" t="s">
        <v>3012</v>
      </c>
      <c r="AR12" t="s">
        <v>3020</v>
      </c>
      <c r="AS12" t="s">
        <v>3014</v>
      </c>
      <c r="AU12" t="s">
        <v>3014</v>
      </c>
    </row>
    <row r="13" spans="1:47" x14ac:dyDescent="0.35">
      <c r="A13">
        <v>341957</v>
      </c>
      <c r="B13" t="s">
        <v>41</v>
      </c>
      <c r="C13" t="s">
        <v>42</v>
      </c>
      <c r="D13" s="2">
        <v>45787</v>
      </c>
      <c r="E13">
        <v>53850</v>
      </c>
      <c r="F13">
        <v>154</v>
      </c>
      <c r="G13" t="s">
        <v>53</v>
      </c>
      <c r="H13" t="s">
        <v>44</v>
      </c>
      <c r="I13" t="s">
        <v>45</v>
      </c>
      <c r="L13">
        <v>1543300004860</v>
      </c>
      <c r="M13">
        <v>20250402</v>
      </c>
      <c r="N13" t="s">
        <v>46</v>
      </c>
      <c r="Q13" t="s">
        <v>47</v>
      </c>
      <c r="R13">
        <v>55660</v>
      </c>
      <c r="T13">
        <v>3715569</v>
      </c>
      <c r="U13">
        <v>5424970654</v>
      </c>
      <c r="V13" t="s">
        <v>54</v>
      </c>
      <c r="W13" t="s">
        <v>49</v>
      </c>
      <c r="X13" t="s">
        <v>55</v>
      </c>
      <c r="Y13" t="s">
        <v>51</v>
      </c>
      <c r="Z13">
        <v>741</v>
      </c>
      <c r="AH13">
        <v>0</v>
      </c>
      <c r="AI13">
        <v>202504</v>
      </c>
      <c r="AJ13" t="s">
        <v>56</v>
      </c>
      <c r="AK13">
        <v>0</v>
      </c>
      <c r="AL13">
        <v>1</v>
      </c>
      <c r="AM13">
        <v>3715569</v>
      </c>
      <c r="AN13">
        <v>1</v>
      </c>
      <c r="AO13">
        <v>0</v>
      </c>
      <c r="AP13" t="s">
        <v>3015</v>
      </c>
      <c r="AQ13" t="s">
        <v>3012</v>
      </c>
      <c r="AR13" t="s">
        <v>3016</v>
      </c>
      <c r="AT13" t="s">
        <v>3017</v>
      </c>
      <c r="AU13" t="s">
        <v>3018</v>
      </c>
    </row>
    <row r="14" spans="1:47" x14ac:dyDescent="0.35">
      <c r="A14">
        <v>341946</v>
      </c>
      <c r="B14" t="s">
        <v>41</v>
      </c>
      <c r="C14" t="s">
        <v>42</v>
      </c>
      <c r="D14" s="2">
        <v>45787</v>
      </c>
      <c r="E14">
        <v>53850</v>
      </c>
      <c r="F14">
        <v>153</v>
      </c>
      <c r="G14" t="s">
        <v>63</v>
      </c>
      <c r="H14" t="s">
        <v>44</v>
      </c>
      <c r="I14" t="s">
        <v>45</v>
      </c>
      <c r="L14">
        <v>1533300663959</v>
      </c>
      <c r="M14">
        <v>20250414</v>
      </c>
      <c r="N14" t="s">
        <v>46</v>
      </c>
      <c r="Q14" t="s">
        <v>47</v>
      </c>
      <c r="R14">
        <v>25045.55</v>
      </c>
      <c r="T14">
        <v>3721097</v>
      </c>
      <c r="U14">
        <v>10391641213</v>
      </c>
      <c r="V14" t="s">
        <v>64</v>
      </c>
      <c r="W14" t="s">
        <v>49</v>
      </c>
      <c r="X14" t="s">
        <v>65</v>
      </c>
      <c r="Y14" t="s">
        <v>51</v>
      </c>
      <c r="Z14">
        <v>1237</v>
      </c>
      <c r="AH14">
        <v>0</v>
      </c>
      <c r="AI14">
        <v>202504</v>
      </c>
      <c r="AJ14" t="s">
        <v>56</v>
      </c>
      <c r="AK14">
        <v>0</v>
      </c>
      <c r="AL14">
        <v>1</v>
      </c>
      <c r="AO14">
        <v>0</v>
      </c>
      <c r="AP14" t="s">
        <v>3019</v>
      </c>
      <c r="AQ14" t="s">
        <v>3012</v>
      </c>
      <c r="AR14" t="s">
        <v>3020</v>
      </c>
      <c r="AS14" t="s">
        <v>3014</v>
      </c>
      <c r="AU14" t="s">
        <v>3014</v>
      </c>
    </row>
    <row r="15" spans="1:47" x14ac:dyDescent="0.35">
      <c r="A15">
        <v>341945</v>
      </c>
      <c r="B15" t="s">
        <v>41</v>
      </c>
      <c r="C15" t="s">
        <v>42</v>
      </c>
      <c r="D15" s="2">
        <v>45787</v>
      </c>
      <c r="E15">
        <v>53850</v>
      </c>
      <c r="F15">
        <v>148</v>
      </c>
      <c r="G15" t="s">
        <v>78</v>
      </c>
      <c r="H15" t="s">
        <v>44</v>
      </c>
      <c r="I15" t="s">
        <v>45</v>
      </c>
      <c r="L15">
        <v>1483300004308</v>
      </c>
      <c r="M15">
        <v>20250401</v>
      </c>
      <c r="N15" t="s">
        <v>46</v>
      </c>
      <c r="Q15" t="s">
        <v>47</v>
      </c>
      <c r="R15">
        <v>41685</v>
      </c>
      <c r="T15">
        <v>4898674</v>
      </c>
      <c r="U15">
        <v>2936580642</v>
      </c>
      <c r="V15" t="s">
        <v>79</v>
      </c>
      <c r="W15" t="s">
        <v>49</v>
      </c>
      <c r="X15" t="s">
        <v>59</v>
      </c>
      <c r="Y15" t="s">
        <v>51</v>
      </c>
      <c r="Z15">
        <v>1063</v>
      </c>
      <c r="AH15">
        <v>0</v>
      </c>
      <c r="AI15">
        <v>202504</v>
      </c>
      <c r="AJ15" t="s">
        <v>56</v>
      </c>
      <c r="AK15">
        <v>0</v>
      </c>
      <c r="AL15">
        <v>1</v>
      </c>
      <c r="AO15">
        <v>0</v>
      </c>
      <c r="AP15" t="s">
        <v>3015</v>
      </c>
      <c r="AQ15" t="s">
        <v>3012</v>
      </c>
      <c r="AR15" t="s">
        <v>3016</v>
      </c>
      <c r="AT15" t="s">
        <v>3017</v>
      </c>
      <c r="AU15" t="s">
        <v>3018</v>
      </c>
    </row>
    <row r="16" spans="1:47" x14ac:dyDescent="0.35">
      <c r="A16">
        <v>341944</v>
      </c>
      <c r="B16" t="s">
        <v>41</v>
      </c>
      <c r="C16" t="s">
        <v>42</v>
      </c>
      <c r="D16" s="2">
        <v>45787</v>
      </c>
      <c r="E16">
        <v>53850</v>
      </c>
      <c r="F16">
        <v>103</v>
      </c>
      <c r="G16" t="s">
        <v>80</v>
      </c>
      <c r="H16" t="s">
        <v>44</v>
      </c>
      <c r="I16" t="s">
        <v>45</v>
      </c>
      <c r="L16">
        <v>1033306967935</v>
      </c>
      <c r="M16">
        <v>20250403</v>
      </c>
      <c r="N16" t="s">
        <v>81</v>
      </c>
      <c r="Q16" t="s">
        <v>47</v>
      </c>
      <c r="R16">
        <v>25126.83</v>
      </c>
      <c r="T16">
        <v>155052</v>
      </c>
      <c r="U16">
        <v>2563580725</v>
      </c>
      <c r="V16" t="s">
        <v>82</v>
      </c>
      <c r="W16" t="s">
        <v>49</v>
      </c>
      <c r="X16" t="s">
        <v>59</v>
      </c>
      <c r="Y16" t="s">
        <v>51</v>
      </c>
      <c r="Z16">
        <v>1926</v>
      </c>
      <c r="AH16">
        <v>0</v>
      </c>
      <c r="AI16">
        <v>202504</v>
      </c>
      <c r="AJ16" t="s">
        <v>56</v>
      </c>
      <c r="AK16">
        <v>0</v>
      </c>
      <c r="AL16">
        <v>1</v>
      </c>
      <c r="AM16">
        <v>155052</v>
      </c>
      <c r="AN16">
        <v>1</v>
      </c>
      <c r="AO16">
        <v>0</v>
      </c>
      <c r="AP16" t="s">
        <v>3015</v>
      </c>
      <c r="AQ16" t="s">
        <v>3012</v>
      </c>
      <c r="AR16" t="s">
        <v>3016</v>
      </c>
      <c r="AT16" t="s">
        <v>3017</v>
      </c>
      <c r="AU16" t="s">
        <v>3018</v>
      </c>
    </row>
    <row r="17" spans="1:47" x14ac:dyDescent="0.35">
      <c r="A17">
        <v>341941</v>
      </c>
      <c r="B17" t="s">
        <v>41</v>
      </c>
      <c r="C17" t="s">
        <v>42</v>
      </c>
      <c r="D17" s="2">
        <v>45787</v>
      </c>
      <c r="E17">
        <v>53850</v>
      </c>
      <c r="F17">
        <v>125</v>
      </c>
      <c r="G17" t="s">
        <v>75</v>
      </c>
      <c r="H17" t="s">
        <v>44</v>
      </c>
      <c r="I17" t="s">
        <v>45</v>
      </c>
      <c r="L17">
        <v>1253309512895</v>
      </c>
      <c r="M17">
        <v>20250402</v>
      </c>
      <c r="N17" t="s">
        <v>46</v>
      </c>
      <c r="Q17" t="s">
        <v>47</v>
      </c>
      <c r="R17">
        <v>178429.19</v>
      </c>
      <c r="T17">
        <v>4795279</v>
      </c>
      <c r="U17">
        <v>1020090658</v>
      </c>
      <c r="V17" t="s">
        <v>76</v>
      </c>
      <c r="W17" t="s">
        <v>49</v>
      </c>
      <c r="X17" t="s">
        <v>77</v>
      </c>
      <c r="Y17" t="s">
        <v>51</v>
      </c>
      <c r="Z17">
        <v>982</v>
      </c>
      <c r="AH17">
        <v>0</v>
      </c>
      <c r="AI17">
        <v>202504</v>
      </c>
      <c r="AJ17" t="s">
        <v>52</v>
      </c>
      <c r="AK17">
        <v>0</v>
      </c>
      <c r="AL17">
        <v>1</v>
      </c>
      <c r="AO17">
        <v>0</v>
      </c>
      <c r="AP17" t="s">
        <v>3015</v>
      </c>
      <c r="AQ17" t="s">
        <v>3012</v>
      </c>
      <c r="AR17" t="s">
        <v>3016</v>
      </c>
      <c r="AT17" t="s">
        <v>3017</v>
      </c>
      <c r="AU17" t="s">
        <v>3018</v>
      </c>
    </row>
    <row r="18" spans="1:47" x14ac:dyDescent="0.35">
      <c r="A18">
        <v>341937</v>
      </c>
      <c r="B18" t="s">
        <v>41</v>
      </c>
      <c r="C18" t="s">
        <v>42</v>
      </c>
      <c r="D18" s="2">
        <v>45787</v>
      </c>
      <c r="E18">
        <v>53850</v>
      </c>
      <c r="F18">
        <v>122</v>
      </c>
      <c r="G18" t="s">
        <v>43</v>
      </c>
      <c r="H18" t="s">
        <v>44</v>
      </c>
      <c r="I18" t="s">
        <v>45</v>
      </c>
      <c r="L18">
        <v>1223300001682</v>
      </c>
      <c r="M18">
        <v>20250429</v>
      </c>
      <c r="N18" t="s">
        <v>46</v>
      </c>
      <c r="Q18" t="s">
        <v>47</v>
      </c>
      <c r="R18">
        <v>350419.46</v>
      </c>
      <c r="T18">
        <v>3711207</v>
      </c>
      <c r="U18">
        <v>8825020723</v>
      </c>
      <c r="V18" t="s">
        <v>48</v>
      </c>
      <c r="W18" t="s">
        <v>49</v>
      </c>
      <c r="X18" t="s">
        <v>50</v>
      </c>
      <c r="Y18" t="s">
        <v>51</v>
      </c>
      <c r="Z18">
        <v>1696</v>
      </c>
      <c r="AH18">
        <v>0</v>
      </c>
      <c r="AI18">
        <v>202504</v>
      </c>
      <c r="AJ18" t="s">
        <v>52</v>
      </c>
      <c r="AK18">
        <v>0</v>
      </c>
      <c r="AL18">
        <v>1</v>
      </c>
      <c r="AO18">
        <v>0</v>
      </c>
      <c r="AP18" t="s">
        <v>3011</v>
      </c>
      <c r="AQ18" t="s">
        <v>3012</v>
      </c>
      <c r="AR18" t="s">
        <v>3013</v>
      </c>
      <c r="AS18" t="s">
        <v>3014</v>
      </c>
      <c r="AU18" t="s">
        <v>3014</v>
      </c>
    </row>
    <row r="19" spans="1:47" x14ac:dyDescent="0.35">
      <c r="A19">
        <v>341931</v>
      </c>
      <c r="B19" t="s">
        <v>41</v>
      </c>
      <c r="C19" t="s">
        <v>42</v>
      </c>
      <c r="D19" s="2">
        <v>45787</v>
      </c>
      <c r="E19">
        <v>53850</v>
      </c>
      <c r="F19">
        <v>105</v>
      </c>
      <c r="G19" t="s">
        <v>60</v>
      </c>
      <c r="H19" t="s">
        <v>44</v>
      </c>
      <c r="I19" t="s">
        <v>45</v>
      </c>
      <c r="L19">
        <v>1053306287103</v>
      </c>
      <c r="M19">
        <v>20250424</v>
      </c>
      <c r="N19" t="s">
        <v>46</v>
      </c>
      <c r="Q19" t="s">
        <v>47</v>
      </c>
      <c r="R19">
        <v>208134.89</v>
      </c>
      <c r="T19">
        <v>4263360</v>
      </c>
      <c r="U19">
        <v>5982300724</v>
      </c>
      <c r="V19" t="s">
        <v>61</v>
      </c>
      <c r="W19" t="s">
        <v>49</v>
      </c>
      <c r="X19" t="s">
        <v>62</v>
      </c>
      <c r="Y19" t="s">
        <v>51</v>
      </c>
      <c r="Z19">
        <v>1058</v>
      </c>
      <c r="AH19">
        <v>0</v>
      </c>
      <c r="AI19">
        <v>202504</v>
      </c>
      <c r="AJ19" t="s">
        <v>56</v>
      </c>
      <c r="AK19">
        <v>0</v>
      </c>
      <c r="AL19">
        <v>1</v>
      </c>
      <c r="AO19">
        <v>0</v>
      </c>
      <c r="AP19" t="s">
        <v>3015</v>
      </c>
      <c r="AQ19" t="s">
        <v>3012</v>
      </c>
      <c r="AR19" t="s">
        <v>3016</v>
      </c>
      <c r="AT19" t="s">
        <v>3017</v>
      </c>
      <c r="AU19" t="s">
        <v>3018</v>
      </c>
    </row>
    <row r="20" spans="1:47" x14ac:dyDescent="0.35">
      <c r="A20">
        <v>341927</v>
      </c>
      <c r="B20" t="s">
        <v>41</v>
      </c>
      <c r="C20" t="s">
        <v>42</v>
      </c>
      <c r="D20" s="2">
        <v>45787</v>
      </c>
      <c r="E20">
        <v>53850</v>
      </c>
      <c r="F20">
        <v>268</v>
      </c>
      <c r="G20" t="s">
        <v>83</v>
      </c>
      <c r="H20" t="s">
        <v>44</v>
      </c>
      <c r="I20" t="s">
        <v>45</v>
      </c>
      <c r="L20">
        <v>2683300010038</v>
      </c>
      <c r="M20">
        <v>20250402</v>
      </c>
      <c r="N20" t="s">
        <v>46</v>
      </c>
      <c r="Q20" t="s">
        <v>47</v>
      </c>
      <c r="R20">
        <v>120007.67999999999</v>
      </c>
      <c r="T20">
        <v>1604219</v>
      </c>
      <c r="U20">
        <v>952850790</v>
      </c>
      <c r="V20" t="s">
        <v>84</v>
      </c>
      <c r="W20" t="s">
        <v>49</v>
      </c>
      <c r="X20" t="s">
        <v>85</v>
      </c>
      <c r="Y20" t="s">
        <v>51</v>
      </c>
      <c r="Z20">
        <v>1627</v>
      </c>
      <c r="AH20">
        <v>0</v>
      </c>
      <c r="AI20">
        <v>202504</v>
      </c>
      <c r="AJ20" t="s">
        <v>86</v>
      </c>
      <c r="AK20">
        <v>1</v>
      </c>
      <c r="AL20">
        <v>1</v>
      </c>
      <c r="AO20">
        <v>0</v>
      </c>
      <c r="AP20" t="s">
        <v>3015</v>
      </c>
      <c r="AQ20" t="s">
        <v>3012</v>
      </c>
      <c r="AR20" t="s">
        <v>3016</v>
      </c>
      <c r="AT20" t="s">
        <v>3017</v>
      </c>
      <c r="AU20" t="s">
        <v>3018</v>
      </c>
    </row>
    <row r="21" spans="1:47" x14ac:dyDescent="0.35">
      <c r="A21">
        <v>341924</v>
      </c>
      <c r="B21" t="s">
        <v>41</v>
      </c>
      <c r="C21" t="s">
        <v>42</v>
      </c>
      <c r="D21" s="2">
        <v>45787</v>
      </c>
      <c r="E21">
        <v>53850</v>
      </c>
      <c r="F21">
        <v>122</v>
      </c>
      <c r="G21" t="s">
        <v>43</v>
      </c>
      <c r="H21" t="s">
        <v>44</v>
      </c>
      <c r="I21" t="s">
        <v>45</v>
      </c>
      <c r="L21">
        <v>1223300001682</v>
      </c>
      <c r="M21">
        <v>20250429</v>
      </c>
      <c r="N21" t="s">
        <v>46</v>
      </c>
      <c r="Q21" t="s">
        <v>47</v>
      </c>
      <c r="R21">
        <v>87840</v>
      </c>
      <c r="T21">
        <v>3711207</v>
      </c>
      <c r="U21">
        <v>8825020723</v>
      </c>
      <c r="V21" t="s">
        <v>48</v>
      </c>
      <c r="W21" t="s">
        <v>49</v>
      </c>
      <c r="X21" t="s">
        <v>50</v>
      </c>
      <c r="Y21" t="s">
        <v>51</v>
      </c>
      <c r="Z21">
        <v>1696</v>
      </c>
      <c r="AH21">
        <v>0</v>
      </c>
      <c r="AI21">
        <v>202504</v>
      </c>
      <c r="AJ21" t="s">
        <v>52</v>
      </c>
      <c r="AK21">
        <v>0</v>
      </c>
      <c r="AL21">
        <v>1</v>
      </c>
      <c r="AO21">
        <v>0</v>
      </c>
      <c r="AP21" t="s">
        <v>3011</v>
      </c>
      <c r="AQ21" t="s">
        <v>3012</v>
      </c>
      <c r="AR21" t="s">
        <v>3013</v>
      </c>
      <c r="AS21" t="s">
        <v>3014</v>
      </c>
      <c r="AU21" t="s">
        <v>3014</v>
      </c>
    </row>
    <row r="22" spans="1:47" x14ac:dyDescent="0.35">
      <c r="A22">
        <v>341919</v>
      </c>
      <c r="B22" t="s">
        <v>41</v>
      </c>
      <c r="C22" t="s">
        <v>42</v>
      </c>
      <c r="D22" s="2">
        <v>45787</v>
      </c>
      <c r="E22">
        <v>53850</v>
      </c>
      <c r="F22">
        <v>153</v>
      </c>
      <c r="G22" t="s">
        <v>63</v>
      </c>
      <c r="H22" t="s">
        <v>44</v>
      </c>
      <c r="I22" t="s">
        <v>45</v>
      </c>
      <c r="L22">
        <v>1533300663959</v>
      </c>
      <c r="M22">
        <v>20250428</v>
      </c>
      <c r="N22" t="s">
        <v>46</v>
      </c>
      <c r="Q22" t="s">
        <v>47</v>
      </c>
      <c r="R22">
        <v>28809</v>
      </c>
      <c r="T22">
        <v>3721097</v>
      </c>
      <c r="U22">
        <v>10391641213</v>
      </c>
      <c r="V22" t="s">
        <v>64</v>
      </c>
      <c r="W22" t="s">
        <v>49</v>
      </c>
      <c r="X22" t="s">
        <v>65</v>
      </c>
      <c r="Y22" t="s">
        <v>51</v>
      </c>
      <c r="Z22">
        <v>1237</v>
      </c>
      <c r="AH22">
        <v>0</v>
      </c>
      <c r="AI22">
        <v>202504</v>
      </c>
      <c r="AJ22" t="s">
        <v>56</v>
      </c>
      <c r="AK22">
        <v>0</v>
      </c>
      <c r="AL22">
        <v>1</v>
      </c>
      <c r="AO22">
        <v>0</v>
      </c>
      <c r="AP22" t="s">
        <v>3019</v>
      </c>
      <c r="AQ22" t="s">
        <v>3012</v>
      </c>
      <c r="AR22" t="s">
        <v>3020</v>
      </c>
      <c r="AS22" t="s">
        <v>3014</v>
      </c>
      <c r="AU22" t="s">
        <v>3014</v>
      </c>
    </row>
    <row r="23" spans="1:47" x14ac:dyDescent="0.35">
      <c r="A23">
        <v>341912</v>
      </c>
      <c r="B23" t="s">
        <v>41</v>
      </c>
      <c r="C23" t="s">
        <v>42</v>
      </c>
      <c r="D23" s="2">
        <v>45787</v>
      </c>
      <c r="E23">
        <v>53850</v>
      </c>
      <c r="F23">
        <v>122</v>
      </c>
      <c r="G23" t="s">
        <v>43</v>
      </c>
      <c r="H23" t="s">
        <v>44</v>
      </c>
      <c r="I23" t="s">
        <v>45</v>
      </c>
      <c r="L23">
        <v>1223300001682</v>
      </c>
      <c r="M23">
        <v>20250429</v>
      </c>
      <c r="N23" t="s">
        <v>46</v>
      </c>
      <c r="Q23" t="s">
        <v>47</v>
      </c>
      <c r="R23">
        <v>99430</v>
      </c>
      <c r="T23">
        <v>3711207</v>
      </c>
      <c r="U23">
        <v>8825020723</v>
      </c>
      <c r="V23" t="s">
        <v>48</v>
      </c>
      <c r="W23" t="s">
        <v>49</v>
      </c>
      <c r="X23" t="s">
        <v>50</v>
      </c>
      <c r="Y23" t="s">
        <v>51</v>
      </c>
      <c r="Z23">
        <v>1696</v>
      </c>
      <c r="AH23">
        <v>0</v>
      </c>
      <c r="AI23">
        <v>202504</v>
      </c>
      <c r="AJ23" t="s">
        <v>52</v>
      </c>
      <c r="AK23">
        <v>0</v>
      </c>
      <c r="AL23">
        <v>1</v>
      </c>
      <c r="AO23">
        <v>0</v>
      </c>
      <c r="AP23" t="s">
        <v>3011</v>
      </c>
      <c r="AQ23" t="s">
        <v>3012</v>
      </c>
      <c r="AR23" t="s">
        <v>3013</v>
      </c>
      <c r="AS23" t="s">
        <v>3014</v>
      </c>
      <c r="AU23" t="s">
        <v>3014</v>
      </c>
    </row>
    <row r="24" spans="1:47" x14ac:dyDescent="0.35">
      <c r="A24">
        <v>341910</v>
      </c>
      <c r="B24" t="s">
        <v>41</v>
      </c>
      <c r="C24" t="s">
        <v>42</v>
      </c>
      <c r="D24" s="2">
        <v>45787</v>
      </c>
      <c r="E24">
        <v>53850</v>
      </c>
      <c r="F24">
        <v>148</v>
      </c>
      <c r="G24" t="s">
        <v>78</v>
      </c>
      <c r="H24" t="s">
        <v>44</v>
      </c>
      <c r="I24" t="s">
        <v>45</v>
      </c>
      <c r="L24">
        <v>1483300006067</v>
      </c>
      <c r="M24">
        <v>20250414</v>
      </c>
      <c r="N24" t="s">
        <v>46</v>
      </c>
      <c r="Q24" t="s">
        <v>47</v>
      </c>
      <c r="R24">
        <v>40000</v>
      </c>
      <c r="T24">
        <v>3737044</v>
      </c>
      <c r="U24">
        <v>15554071009</v>
      </c>
      <c r="V24" t="s">
        <v>87</v>
      </c>
      <c r="W24" t="s">
        <v>49</v>
      </c>
      <c r="X24" t="s">
        <v>88</v>
      </c>
      <c r="Y24" t="s">
        <v>51</v>
      </c>
      <c r="Z24">
        <v>1196</v>
      </c>
      <c r="AH24">
        <v>0</v>
      </c>
      <c r="AI24">
        <v>202504</v>
      </c>
      <c r="AJ24" t="s">
        <v>56</v>
      </c>
      <c r="AK24">
        <v>0</v>
      </c>
      <c r="AL24">
        <v>1</v>
      </c>
      <c r="AO24">
        <v>0</v>
      </c>
      <c r="AP24" t="s">
        <v>3015</v>
      </c>
      <c r="AQ24" t="s">
        <v>3012</v>
      </c>
      <c r="AR24" t="s">
        <v>3016</v>
      </c>
      <c r="AT24" t="s">
        <v>3017</v>
      </c>
      <c r="AU24" t="s">
        <v>3018</v>
      </c>
    </row>
    <row r="25" spans="1:47" x14ac:dyDescent="0.35">
      <c r="A25">
        <v>341904</v>
      </c>
      <c r="B25" t="s">
        <v>41</v>
      </c>
      <c r="C25" t="s">
        <v>42</v>
      </c>
      <c r="D25" s="2">
        <v>45787</v>
      </c>
      <c r="E25">
        <v>53850</v>
      </c>
      <c r="F25">
        <v>122</v>
      </c>
      <c r="G25" t="s">
        <v>43</v>
      </c>
      <c r="H25" t="s">
        <v>44</v>
      </c>
      <c r="I25" t="s">
        <v>45</v>
      </c>
      <c r="L25">
        <v>1223300002128</v>
      </c>
      <c r="M25">
        <v>20250409</v>
      </c>
      <c r="N25" t="s">
        <v>46</v>
      </c>
      <c r="Q25" t="s">
        <v>47</v>
      </c>
      <c r="R25">
        <v>77996.14</v>
      </c>
      <c r="T25">
        <v>3711207</v>
      </c>
      <c r="U25">
        <v>8825020723</v>
      </c>
      <c r="V25" t="s">
        <v>48</v>
      </c>
      <c r="W25" t="s">
        <v>49</v>
      </c>
      <c r="X25" t="s">
        <v>50</v>
      </c>
      <c r="Y25" t="s">
        <v>51</v>
      </c>
      <c r="Z25">
        <v>1696</v>
      </c>
      <c r="AH25">
        <v>0</v>
      </c>
      <c r="AI25">
        <v>202504</v>
      </c>
      <c r="AJ25" t="s">
        <v>52</v>
      </c>
      <c r="AK25">
        <v>0</v>
      </c>
      <c r="AL25">
        <v>1</v>
      </c>
      <c r="AO25">
        <v>0</v>
      </c>
      <c r="AP25" t="s">
        <v>3011</v>
      </c>
      <c r="AQ25" t="s">
        <v>3012</v>
      </c>
      <c r="AR25" t="s">
        <v>3013</v>
      </c>
      <c r="AS25" t="s">
        <v>3014</v>
      </c>
      <c r="AU25" t="s">
        <v>3014</v>
      </c>
    </row>
    <row r="26" spans="1:47" x14ac:dyDescent="0.35">
      <c r="A26">
        <v>341896</v>
      </c>
      <c r="B26" t="s">
        <v>41</v>
      </c>
      <c r="C26" t="s">
        <v>42</v>
      </c>
      <c r="D26" s="2">
        <v>45787</v>
      </c>
      <c r="E26">
        <v>53850</v>
      </c>
      <c r="F26">
        <v>109</v>
      </c>
      <c r="G26" t="s">
        <v>89</v>
      </c>
      <c r="H26" t="s">
        <v>44</v>
      </c>
      <c r="I26" t="s">
        <v>45</v>
      </c>
      <c r="L26">
        <v>1093306672844</v>
      </c>
      <c r="M26">
        <v>20250416</v>
      </c>
      <c r="N26" t="s">
        <v>46</v>
      </c>
      <c r="Q26" t="s">
        <v>47</v>
      </c>
      <c r="R26">
        <v>800000</v>
      </c>
      <c r="T26">
        <v>440311</v>
      </c>
      <c r="U26">
        <v>3550290724</v>
      </c>
      <c r="V26" t="s">
        <v>90</v>
      </c>
      <c r="W26" t="s">
        <v>49</v>
      </c>
      <c r="X26" t="s">
        <v>91</v>
      </c>
      <c r="Y26" t="s">
        <v>51</v>
      </c>
      <c r="Z26">
        <v>1903</v>
      </c>
      <c r="AH26">
        <v>0</v>
      </c>
      <c r="AI26">
        <v>202504</v>
      </c>
      <c r="AJ26" t="s">
        <v>56</v>
      </c>
      <c r="AK26">
        <v>0</v>
      </c>
      <c r="AL26">
        <v>1</v>
      </c>
      <c r="AM26">
        <v>440311</v>
      </c>
      <c r="AN26">
        <v>1</v>
      </c>
      <c r="AO26">
        <v>0</v>
      </c>
      <c r="AP26" t="s">
        <v>1100</v>
      </c>
      <c r="AQ26" t="s">
        <v>3012</v>
      </c>
      <c r="AR26" t="s">
        <v>3023</v>
      </c>
      <c r="AS26" t="s">
        <v>3014</v>
      </c>
      <c r="AU26" t="s">
        <v>3014</v>
      </c>
    </row>
    <row r="27" spans="1:47" x14ac:dyDescent="0.35">
      <c r="A27">
        <v>341890</v>
      </c>
      <c r="B27" t="s">
        <v>41</v>
      </c>
      <c r="C27" t="s">
        <v>42</v>
      </c>
      <c r="D27" s="2">
        <v>45787</v>
      </c>
      <c r="E27">
        <v>53850</v>
      </c>
      <c r="F27">
        <v>122</v>
      </c>
      <c r="G27" t="s">
        <v>43</v>
      </c>
      <c r="H27" t="s">
        <v>44</v>
      </c>
      <c r="I27" t="s">
        <v>45</v>
      </c>
      <c r="L27">
        <v>1223300002128</v>
      </c>
      <c r="M27">
        <v>20250428</v>
      </c>
      <c r="N27" t="s">
        <v>46</v>
      </c>
      <c r="Q27" t="s">
        <v>47</v>
      </c>
      <c r="R27">
        <v>32860</v>
      </c>
      <c r="T27">
        <v>3711207</v>
      </c>
      <c r="U27">
        <v>8825020723</v>
      </c>
      <c r="V27" t="s">
        <v>48</v>
      </c>
      <c r="W27" t="s">
        <v>49</v>
      </c>
      <c r="X27" t="s">
        <v>50</v>
      </c>
      <c r="Y27" t="s">
        <v>51</v>
      </c>
      <c r="Z27">
        <v>1696</v>
      </c>
      <c r="AH27">
        <v>0</v>
      </c>
      <c r="AI27">
        <v>202504</v>
      </c>
      <c r="AJ27" t="s">
        <v>52</v>
      </c>
      <c r="AK27">
        <v>0</v>
      </c>
      <c r="AL27">
        <v>1</v>
      </c>
      <c r="AO27">
        <v>0</v>
      </c>
      <c r="AP27" t="s">
        <v>3011</v>
      </c>
      <c r="AQ27" t="s">
        <v>3012</v>
      </c>
      <c r="AR27" t="s">
        <v>3013</v>
      </c>
      <c r="AS27" t="s">
        <v>3014</v>
      </c>
      <c r="AU27" t="s">
        <v>3014</v>
      </c>
    </row>
    <row r="28" spans="1:47" x14ac:dyDescent="0.35">
      <c r="A28">
        <v>341888</v>
      </c>
      <c r="B28" t="s">
        <v>41</v>
      </c>
      <c r="C28" t="s">
        <v>42</v>
      </c>
      <c r="D28" s="2">
        <v>45787</v>
      </c>
      <c r="E28">
        <v>53850</v>
      </c>
      <c r="F28">
        <v>122</v>
      </c>
      <c r="G28" t="s">
        <v>43</v>
      </c>
      <c r="H28" t="s">
        <v>44</v>
      </c>
      <c r="I28" t="s">
        <v>45</v>
      </c>
      <c r="L28">
        <v>1223300002128</v>
      </c>
      <c r="M28">
        <v>20250409</v>
      </c>
      <c r="N28" t="s">
        <v>46</v>
      </c>
      <c r="Q28" t="s">
        <v>47</v>
      </c>
      <c r="R28">
        <v>34002.769999999997</v>
      </c>
      <c r="T28">
        <v>3711207</v>
      </c>
      <c r="U28">
        <v>8825020723</v>
      </c>
      <c r="V28" t="s">
        <v>48</v>
      </c>
      <c r="W28" t="s">
        <v>49</v>
      </c>
      <c r="X28" t="s">
        <v>50</v>
      </c>
      <c r="Y28" t="s">
        <v>51</v>
      </c>
      <c r="Z28">
        <v>1696</v>
      </c>
      <c r="AH28">
        <v>0</v>
      </c>
      <c r="AI28">
        <v>202504</v>
      </c>
      <c r="AJ28" t="s">
        <v>52</v>
      </c>
      <c r="AK28">
        <v>0</v>
      </c>
      <c r="AL28">
        <v>1</v>
      </c>
      <c r="AO28">
        <v>0</v>
      </c>
      <c r="AP28" t="s">
        <v>3011</v>
      </c>
      <c r="AQ28" t="s">
        <v>3012</v>
      </c>
      <c r="AR28" t="s">
        <v>3013</v>
      </c>
      <c r="AS28" t="s">
        <v>3014</v>
      </c>
      <c r="AU28" t="s">
        <v>3014</v>
      </c>
    </row>
    <row r="29" spans="1:47" x14ac:dyDescent="0.35">
      <c r="A29">
        <v>341886</v>
      </c>
      <c r="B29" t="s">
        <v>41</v>
      </c>
      <c r="C29" t="s">
        <v>42</v>
      </c>
      <c r="D29" s="2">
        <v>45787</v>
      </c>
      <c r="E29">
        <v>53850</v>
      </c>
      <c r="F29">
        <v>132</v>
      </c>
      <c r="G29" t="s">
        <v>92</v>
      </c>
      <c r="H29" t="s">
        <v>44</v>
      </c>
      <c r="I29" t="s">
        <v>45</v>
      </c>
      <c r="L29">
        <v>1323300003714</v>
      </c>
      <c r="M29">
        <v>20250417</v>
      </c>
      <c r="N29" t="s">
        <v>46</v>
      </c>
      <c r="Q29" t="s">
        <v>47</v>
      </c>
      <c r="R29">
        <v>32313.599999999999</v>
      </c>
      <c r="T29">
        <v>3724103</v>
      </c>
      <c r="U29">
        <v>2178850760</v>
      </c>
      <c r="V29" t="s">
        <v>93</v>
      </c>
      <c r="W29" t="s">
        <v>49</v>
      </c>
      <c r="X29" t="s">
        <v>88</v>
      </c>
      <c r="Y29" t="s">
        <v>51</v>
      </c>
      <c r="Z29">
        <v>823</v>
      </c>
      <c r="AH29">
        <v>0</v>
      </c>
      <c r="AI29">
        <v>202504</v>
      </c>
      <c r="AJ29" t="s">
        <v>52</v>
      </c>
      <c r="AK29">
        <v>0</v>
      </c>
      <c r="AL29">
        <v>1</v>
      </c>
      <c r="AO29">
        <v>0</v>
      </c>
      <c r="AP29" t="s">
        <v>3015</v>
      </c>
      <c r="AQ29" t="s">
        <v>3012</v>
      </c>
      <c r="AR29" t="s">
        <v>3016</v>
      </c>
      <c r="AT29" t="s">
        <v>3017</v>
      </c>
      <c r="AU29" t="s">
        <v>3018</v>
      </c>
    </row>
    <row r="30" spans="1:47" x14ac:dyDescent="0.35">
      <c r="A30">
        <v>341866</v>
      </c>
      <c r="B30" t="s">
        <v>41</v>
      </c>
      <c r="C30" t="s">
        <v>42</v>
      </c>
      <c r="D30" s="2">
        <v>45787</v>
      </c>
      <c r="E30">
        <v>53850</v>
      </c>
      <c r="F30">
        <v>128</v>
      </c>
      <c r="G30" t="s">
        <v>94</v>
      </c>
      <c r="H30" t="s">
        <v>44</v>
      </c>
      <c r="I30" t="s">
        <v>45</v>
      </c>
      <c r="L30">
        <v>1283300001665</v>
      </c>
      <c r="M30">
        <v>20250402</v>
      </c>
      <c r="N30" t="s">
        <v>81</v>
      </c>
      <c r="Q30" t="s">
        <v>47</v>
      </c>
      <c r="R30">
        <v>53722.17</v>
      </c>
      <c r="T30">
        <v>4254896</v>
      </c>
      <c r="U30">
        <v>6234730726</v>
      </c>
      <c r="V30" t="s">
        <v>95</v>
      </c>
      <c r="W30" t="s">
        <v>49</v>
      </c>
      <c r="X30" t="s">
        <v>96</v>
      </c>
      <c r="Y30" t="s">
        <v>51</v>
      </c>
      <c r="Z30">
        <v>1919</v>
      </c>
      <c r="AH30">
        <v>0</v>
      </c>
      <c r="AI30">
        <v>202504</v>
      </c>
      <c r="AJ30" t="s">
        <v>56</v>
      </c>
      <c r="AK30">
        <v>0</v>
      </c>
      <c r="AL30">
        <v>1</v>
      </c>
      <c r="AO30">
        <v>0</v>
      </c>
      <c r="AP30" t="s">
        <v>3015</v>
      </c>
      <c r="AQ30" t="s">
        <v>3012</v>
      </c>
      <c r="AR30" t="s">
        <v>3016</v>
      </c>
      <c r="AT30" t="s">
        <v>3017</v>
      </c>
      <c r="AU30" t="s">
        <v>3018</v>
      </c>
    </row>
    <row r="31" spans="1:47" x14ac:dyDescent="0.35">
      <c r="A31">
        <v>341864</v>
      </c>
      <c r="B31" t="s">
        <v>41</v>
      </c>
      <c r="C31" t="s">
        <v>42</v>
      </c>
      <c r="D31" s="2">
        <v>45787</v>
      </c>
      <c r="E31">
        <v>53850</v>
      </c>
      <c r="F31">
        <v>109</v>
      </c>
      <c r="G31" t="s">
        <v>89</v>
      </c>
      <c r="H31" t="s">
        <v>44</v>
      </c>
      <c r="I31" t="s">
        <v>45</v>
      </c>
      <c r="L31">
        <v>1093306674353</v>
      </c>
      <c r="M31">
        <v>20250404</v>
      </c>
      <c r="N31" t="s">
        <v>97</v>
      </c>
      <c r="Q31" t="s">
        <v>47</v>
      </c>
      <c r="R31">
        <v>130000</v>
      </c>
      <c r="T31">
        <v>4916449</v>
      </c>
      <c r="U31">
        <v>8176830720</v>
      </c>
      <c r="V31" t="s">
        <v>98</v>
      </c>
      <c r="W31" t="s">
        <v>49</v>
      </c>
      <c r="X31" t="s">
        <v>91</v>
      </c>
      <c r="Y31" t="s">
        <v>51</v>
      </c>
      <c r="Z31">
        <v>1903</v>
      </c>
      <c r="AH31">
        <v>0</v>
      </c>
      <c r="AI31">
        <v>202504</v>
      </c>
      <c r="AJ31" t="s">
        <v>56</v>
      </c>
      <c r="AK31">
        <v>0</v>
      </c>
      <c r="AL31">
        <v>1</v>
      </c>
      <c r="AO31">
        <v>0</v>
      </c>
      <c r="AP31" t="s">
        <v>1100</v>
      </c>
      <c r="AQ31" t="s">
        <v>3012</v>
      </c>
      <c r="AR31" t="s">
        <v>3023</v>
      </c>
      <c r="AS31" t="s">
        <v>3014</v>
      </c>
      <c r="AU31" t="s">
        <v>3014</v>
      </c>
    </row>
    <row r="32" spans="1:47" x14ac:dyDescent="0.35">
      <c r="A32">
        <v>341861</v>
      </c>
      <c r="B32" t="s">
        <v>41</v>
      </c>
      <c r="C32" t="s">
        <v>42</v>
      </c>
      <c r="D32" s="2">
        <v>45787</v>
      </c>
      <c r="E32">
        <v>53850</v>
      </c>
      <c r="F32">
        <v>175</v>
      </c>
      <c r="G32" t="s">
        <v>99</v>
      </c>
      <c r="H32" t="s">
        <v>44</v>
      </c>
      <c r="I32" t="s">
        <v>45</v>
      </c>
      <c r="L32">
        <v>1753302203127</v>
      </c>
      <c r="M32">
        <v>20250407</v>
      </c>
      <c r="N32" t="s">
        <v>81</v>
      </c>
      <c r="Q32" t="s">
        <v>47</v>
      </c>
      <c r="R32">
        <v>29089.99</v>
      </c>
      <c r="T32">
        <v>4160138</v>
      </c>
      <c r="U32">
        <v>484200779</v>
      </c>
      <c r="V32" t="s">
        <v>100</v>
      </c>
      <c r="W32" t="s">
        <v>49</v>
      </c>
      <c r="X32" t="s">
        <v>101</v>
      </c>
      <c r="Y32" t="s">
        <v>51</v>
      </c>
      <c r="Z32">
        <v>739</v>
      </c>
      <c r="AH32">
        <v>0</v>
      </c>
      <c r="AI32">
        <v>202504</v>
      </c>
      <c r="AJ32" t="s">
        <v>86</v>
      </c>
      <c r="AK32">
        <v>1</v>
      </c>
      <c r="AL32">
        <v>1</v>
      </c>
      <c r="AM32">
        <v>4160138</v>
      </c>
      <c r="AN32">
        <v>1</v>
      </c>
      <c r="AO32">
        <v>0</v>
      </c>
      <c r="AP32" t="s">
        <v>3015</v>
      </c>
      <c r="AQ32" t="s">
        <v>3012</v>
      </c>
      <c r="AR32" t="s">
        <v>3016</v>
      </c>
      <c r="AT32" t="s">
        <v>3017</v>
      </c>
      <c r="AU32" t="s">
        <v>3018</v>
      </c>
    </row>
    <row r="33" spans="1:47" x14ac:dyDescent="0.35">
      <c r="A33">
        <v>341857</v>
      </c>
      <c r="B33" t="s">
        <v>41</v>
      </c>
      <c r="C33" t="s">
        <v>42</v>
      </c>
      <c r="D33" s="2">
        <v>45787</v>
      </c>
      <c r="E33">
        <v>53850</v>
      </c>
      <c r="F33">
        <v>122</v>
      </c>
      <c r="G33" t="s">
        <v>43</v>
      </c>
      <c r="H33" t="s">
        <v>44</v>
      </c>
      <c r="I33" t="s">
        <v>45</v>
      </c>
      <c r="L33">
        <v>1223300002128</v>
      </c>
      <c r="M33">
        <v>20250409</v>
      </c>
      <c r="N33" t="s">
        <v>46</v>
      </c>
      <c r="Q33" t="s">
        <v>47</v>
      </c>
      <c r="R33">
        <v>32524.58</v>
      </c>
      <c r="T33">
        <v>3711207</v>
      </c>
      <c r="U33">
        <v>8825020723</v>
      </c>
      <c r="V33" t="s">
        <v>48</v>
      </c>
      <c r="W33" t="s">
        <v>49</v>
      </c>
      <c r="X33" t="s">
        <v>50</v>
      </c>
      <c r="Y33" t="s">
        <v>51</v>
      </c>
      <c r="Z33">
        <v>1696</v>
      </c>
      <c r="AH33">
        <v>0</v>
      </c>
      <c r="AI33">
        <v>202504</v>
      </c>
      <c r="AJ33" t="s">
        <v>52</v>
      </c>
      <c r="AK33">
        <v>0</v>
      </c>
      <c r="AL33">
        <v>1</v>
      </c>
      <c r="AO33">
        <v>0</v>
      </c>
      <c r="AP33" t="s">
        <v>3011</v>
      </c>
      <c r="AQ33" t="s">
        <v>3012</v>
      </c>
      <c r="AR33" t="s">
        <v>3013</v>
      </c>
      <c r="AS33" t="s">
        <v>3014</v>
      </c>
      <c r="AU33" t="s">
        <v>3014</v>
      </c>
    </row>
    <row r="34" spans="1:47" x14ac:dyDescent="0.35">
      <c r="A34">
        <v>341856</v>
      </c>
      <c r="B34" t="s">
        <v>41</v>
      </c>
      <c r="C34" t="s">
        <v>42</v>
      </c>
      <c r="D34" s="2">
        <v>45787</v>
      </c>
      <c r="E34">
        <v>53850</v>
      </c>
      <c r="F34">
        <v>122</v>
      </c>
      <c r="G34" t="s">
        <v>43</v>
      </c>
      <c r="H34" t="s">
        <v>44</v>
      </c>
      <c r="I34" t="s">
        <v>45</v>
      </c>
      <c r="L34">
        <v>1223300002128</v>
      </c>
      <c r="M34">
        <v>20250409</v>
      </c>
      <c r="N34" t="s">
        <v>46</v>
      </c>
      <c r="Q34" t="s">
        <v>47</v>
      </c>
      <c r="R34">
        <v>125998.16</v>
      </c>
      <c r="T34">
        <v>3711207</v>
      </c>
      <c r="U34">
        <v>8825020723</v>
      </c>
      <c r="V34" t="s">
        <v>48</v>
      </c>
      <c r="W34" t="s">
        <v>49</v>
      </c>
      <c r="X34" t="s">
        <v>50</v>
      </c>
      <c r="Y34" t="s">
        <v>51</v>
      </c>
      <c r="Z34">
        <v>1696</v>
      </c>
      <c r="AH34">
        <v>0</v>
      </c>
      <c r="AI34">
        <v>202504</v>
      </c>
      <c r="AJ34" t="s">
        <v>52</v>
      </c>
      <c r="AK34">
        <v>0</v>
      </c>
      <c r="AL34">
        <v>1</v>
      </c>
      <c r="AO34">
        <v>0</v>
      </c>
      <c r="AP34" t="s">
        <v>3011</v>
      </c>
      <c r="AQ34" t="s">
        <v>3012</v>
      </c>
      <c r="AR34" t="s">
        <v>3013</v>
      </c>
      <c r="AS34" t="s">
        <v>3014</v>
      </c>
      <c r="AU34" t="s">
        <v>3014</v>
      </c>
    </row>
    <row r="35" spans="1:47" x14ac:dyDescent="0.35">
      <c r="A35">
        <v>341851</v>
      </c>
      <c r="B35" t="s">
        <v>41</v>
      </c>
      <c r="C35" t="s">
        <v>42</v>
      </c>
      <c r="D35" s="2">
        <v>45787</v>
      </c>
      <c r="E35">
        <v>53850</v>
      </c>
      <c r="F35">
        <v>191</v>
      </c>
      <c r="G35" t="s">
        <v>102</v>
      </c>
      <c r="H35" t="s">
        <v>44</v>
      </c>
      <c r="I35" t="s">
        <v>45</v>
      </c>
      <c r="L35">
        <v>1913300068122</v>
      </c>
      <c r="M35">
        <v>20250429</v>
      </c>
      <c r="N35" t="s">
        <v>46</v>
      </c>
      <c r="Q35" t="s">
        <v>47</v>
      </c>
      <c r="R35">
        <v>30000</v>
      </c>
      <c r="T35">
        <v>4918280</v>
      </c>
      <c r="U35">
        <v>3480410798</v>
      </c>
      <c r="V35" t="s">
        <v>103</v>
      </c>
      <c r="W35" t="s">
        <v>49</v>
      </c>
      <c r="X35" t="s">
        <v>85</v>
      </c>
      <c r="Y35" t="s">
        <v>51</v>
      </c>
      <c r="AH35">
        <v>0</v>
      </c>
      <c r="AI35">
        <v>202504</v>
      </c>
      <c r="AJ35" t="s">
        <v>56</v>
      </c>
      <c r="AK35">
        <v>0</v>
      </c>
      <c r="AL35">
        <v>1</v>
      </c>
      <c r="AO35">
        <v>0</v>
      </c>
      <c r="AP35" t="s">
        <v>3015</v>
      </c>
      <c r="AQ35" t="s">
        <v>3012</v>
      </c>
      <c r="AR35" t="s">
        <v>3016</v>
      </c>
      <c r="AT35" t="s">
        <v>3017</v>
      </c>
      <c r="AU35" t="s">
        <v>3018</v>
      </c>
    </row>
    <row r="36" spans="1:47" x14ac:dyDescent="0.35">
      <c r="A36">
        <v>341846</v>
      </c>
      <c r="B36" t="s">
        <v>41</v>
      </c>
      <c r="C36" t="s">
        <v>42</v>
      </c>
      <c r="D36" s="2">
        <v>45787</v>
      </c>
      <c r="E36">
        <v>53850</v>
      </c>
      <c r="F36">
        <v>122</v>
      </c>
      <c r="G36" t="s">
        <v>43</v>
      </c>
      <c r="H36" t="s">
        <v>44</v>
      </c>
      <c r="I36" t="s">
        <v>45</v>
      </c>
      <c r="L36">
        <v>1223300001682</v>
      </c>
      <c r="M36">
        <v>20250409</v>
      </c>
      <c r="N36" t="s">
        <v>46</v>
      </c>
      <c r="Q36" t="s">
        <v>47</v>
      </c>
      <c r="R36">
        <v>119376.46</v>
      </c>
      <c r="T36">
        <v>3711207</v>
      </c>
      <c r="U36">
        <v>8825020723</v>
      </c>
      <c r="V36" t="s">
        <v>48</v>
      </c>
      <c r="W36" t="s">
        <v>49</v>
      </c>
      <c r="X36" t="s">
        <v>50</v>
      </c>
      <c r="Y36" t="s">
        <v>51</v>
      </c>
      <c r="Z36">
        <v>1696</v>
      </c>
      <c r="AH36">
        <v>0</v>
      </c>
      <c r="AI36">
        <v>202504</v>
      </c>
      <c r="AJ36" t="s">
        <v>52</v>
      </c>
      <c r="AK36">
        <v>0</v>
      </c>
      <c r="AL36">
        <v>1</v>
      </c>
      <c r="AO36">
        <v>0</v>
      </c>
      <c r="AP36" t="s">
        <v>3011</v>
      </c>
      <c r="AQ36" t="s">
        <v>3012</v>
      </c>
      <c r="AR36" t="s">
        <v>3013</v>
      </c>
      <c r="AS36" t="s">
        <v>3014</v>
      </c>
      <c r="AU36" t="s">
        <v>3014</v>
      </c>
    </row>
    <row r="37" spans="1:47" x14ac:dyDescent="0.35">
      <c r="A37">
        <v>341837</v>
      </c>
      <c r="B37" t="s">
        <v>41</v>
      </c>
      <c r="C37" t="s">
        <v>42</v>
      </c>
      <c r="D37" s="2">
        <v>45787</v>
      </c>
      <c r="E37">
        <v>53850</v>
      </c>
      <c r="F37">
        <v>132</v>
      </c>
      <c r="G37" t="s">
        <v>92</v>
      </c>
      <c r="H37" t="s">
        <v>44</v>
      </c>
      <c r="I37" t="s">
        <v>45</v>
      </c>
      <c r="L37">
        <v>1323300003714</v>
      </c>
      <c r="M37">
        <v>20250407</v>
      </c>
      <c r="N37" t="s">
        <v>46</v>
      </c>
      <c r="Q37" t="s">
        <v>47</v>
      </c>
      <c r="R37">
        <v>28274</v>
      </c>
      <c r="T37">
        <v>3724103</v>
      </c>
      <c r="U37">
        <v>2178850760</v>
      </c>
      <c r="V37" t="s">
        <v>93</v>
      </c>
      <c r="W37" t="s">
        <v>49</v>
      </c>
      <c r="X37" t="s">
        <v>88</v>
      </c>
      <c r="Y37" t="s">
        <v>51</v>
      </c>
      <c r="Z37">
        <v>823</v>
      </c>
      <c r="AH37">
        <v>0</v>
      </c>
      <c r="AI37">
        <v>202504</v>
      </c>
      <c r="AJ37" t="s">
        <v>52</v>
      </c>
      <c r="AK37">
        <v>0</v>
      </c>
      <c r="AL37">
        <v>1</v>
      </c>
      <c r="AO37">
        <v>0</v>
      </c>
      <c r="AP37" t="s">
        <v>3015</v>
      </c>
      <c r="AQ37" t="s">
        <v>3012</v>
      </c>
      <c r="AR37" t="s">
        <v>3016</v>
      </c>
      <c r="AT37" t="s">
        <v>3017</v>
      </c>
      <c r="AU37" t="s">
        <v>3018</v>
      </c>
    </row>
    <row r="38" spans="1:47" x14ac:dyDescent="0.35">
      <c r="A38">
        <v>341832</v>
      </c>
      <c r="B38" t="s">
        <v>41</v>
      </c>
      <c r="C38" t="s">
        <v>42</v>
      </c>
      <c r="D38" s="2">
        <v>45787</v>
      </c>
      <c r="E38">
        <v>53850</v>
      </c>
      <c r="F38">
        <v>122</v>
      </c>
      <c r="G38" t="s">
        <v>43</v>
      </c>
      <c r="H38" t="s">
        <v>44</v>
      </c>
      <c r="I38" t="s">
        <v>45</v>
      </c>
      <c r="L38">
        <v>1223300002128</v>
      </c>
      <c r="M38">
        <v>20250410</v>
      </c>
      <c r="N38" t="s">
        <v>46</v>
      </c>
      <c r="Q38" t="s">
        <v>47</v>
      </c>
      <c r="R38">
        <v>39297.589999999997</v>
      </c>
      <c r="T38">
        <v>3711207</v>
      </c>
      <c r="U38">
        <v>8825020723</v>
      </c>
      <c r="V38" t="s">
        <v>48</v>
      </c>
      <c r="W38" t="s">
        <v>49</v>
      </c>
      <c r="X38" t="s">
        <v>50</v>
      </c>
      <c r="Y38" t="s">
        <v>51</v>
      </c>
      <c r="Z38">
        <v>1696</v>
      </c>
      <c r="AH38">
        <v>0</v>
      </c>
      <c r="AI38">
        <v>202504</v>
      </c>
      <c r="AJ38" t="s">
        <v>52</v>
      </c>
      <c r="AK38">
        <v>0</v>
      </c>
      <c r="AL38">
        <v>1</v>
      </c>
      <c r="AO38">
        <v>0</v>
      </c>
      <c r="AP38" t="s">
        <v>3011</v>
      </c>
      <c r="AQ38" t="s">
        <v>3012</v>
      </c>
      <c r="AR38" t="s">
        <v>3013</v>
      </c>
      <c r="AS38" t="s">
        <v>3014</v>
      </c>
      <c r="AU38" t="s">
        <v>3014</v>
      </c>
    </row>
    <row r="39" spans="1:47" x14ac:dyDescent="0.35">
      <c r="A39">
        <v>341819</v>
      </c>
      <c r="B39" t="s">
        <v>41</v>
      </c>
      <c r="C39" t="s">
        <v>42</v>
      </c>
      <c r="D39" s="2">
        <v>45787</v>
      </c>
      <c r="E39">
        <v>53850</v>
      </c>
      <c r="F39">
        <v>153</v>
      </c>
      <c r="G39" t="s">
        <v>63</v>
      </c>
      <c r="H39" t="s">
        <v>44</v>
      </c>
      <c r="I39" t="s">
        <v>45</v>
      </c>
      <c r="L39">
        <v>1533300663957</v>
      </c>
      <c r="M39">
        <v>20250414</v>
      </c>
      <c r="N39" t="s">
        <v>46</v>
      </c>
      <c r="Q39" t="s">
        <v>47</v>
      </c>
      <c r="R39">
        <v>48960.38</v>
      </c>
      <c r="T39">
        <v>3720623</v>
      </c>
      <c r="U39">
        <v>3067020648</v>
      </c>
      <c r="V39" t="s">
        <v>104</v>
      </c>
      <c r="W39" t="s">
        <v>49</v>
      </c>
      <c r="X39" t="s">
        <v>65</v>
      </c>
      <c r="Y39" t="s">
        <v>51</v>
      </c>
      <c r="Z39">
        <v>1055</v>
      </c>
      <c r="AH39">
        <v>0</v>
      </c>
      <c r="AI39">
        <v>202504</v>
      </c>
      <c r="AJ39" t="s">
        <v>56</v>
      </c>
      <c r="AK39">
        <v>0</v>
      </c>
      <c r="AL39">
        <v>1</v>
      </c>
      <c r="AO39">
        <v>0</v>
      </c>
      <c r="AP39" t="s">
        <v>3019</v>
      </c>
      <c r="AQ39" t="s">
        <v>3012</v>
      </c>
      <c r="AR39" t="s">
        <v>3020</v>
      </c>
      <c r="AS39" t="s">
        <v>3014</v>
      </c>
      <c r="AU39" t="s">
        <v>3014</v>
      </c>
    </row>
    <row r="40" spans="1:47" x14ac:dyDescent="0.35">
      <c r="A40">
        <v>341814</v>
      </c>
      <c r="B40" t="s">
        <v>41</v>
      </c>
      <c r="C40" t="s">
        <v>42</v>
      </c>
      <c r="D40" s="2">
        <v>45787</v>
      </c>
      <c r="E40">
        <v>53850</v>
      </c>
      <c r="F40">
        <v>122</v>
      </c>
      <c r="G40" t="s">
        <v>43</v>
      </c>
      <c r="H40" t="s">
        <v>44</v>
      </c>
      <c r="I40" t="s">
        <v>45</v>
      </c>
      <c r="L40">
        <v>1223300001682</v>
      </c>
      <c r="M40">
        <v>20250428</v>
      </c>
      <c r="N40" t="s">
        <v>46</v>
      </c>
      <c r="Q40" t="s">
        <v>47</v>
      </c>
      <c r="R40">
        <v>83000</v>
      </c>
      <c r="T40">
        <v>3711207</v>
      </c>
      <c r="U40">
        <v>8825020723</v>
      </c>
      <c r="V40" t="s">
        <v>48</v>
      </c>
      <c r="W40" t="s">
        <v>49</v>
      </c>
      <c r="X40" t="s">
        <v>50</v>
      </c>
      <c r="Y40" t="s">
        <v>51</v>
      </c>
      <c r="Z40">
        <v>1696</v>
      </c>
      <c r="AH40">
        <v>0</v>
      </c>
      <c r="AI40">
        <v>202504</v>
      </c>
      <c r="AJ40" t="s">
        <v>52</v>
      </c>
      <c r="AK40">
        <v>0</v>
      </c>
      <c r="AL40">
        <v>1</v>
      </c>
      <c r="AO40">
        <v>0</v>
      </c>
      <c r="AP40" t="s">
        <v>3011</v>
      </c>
      <c r="AQ40" t="s">
        <v>3012</v>
      </c>
      <c r="AR40" t="s">
        <v>3013</v>
      </c>
      <c r="AS40" t="s">
        <v>3014</v>
      </c>
      <c r="AU40" t="s">
        <v>3014</v>
      </c>
    </row>
    <row r="41" spans="1:47" x14ac:dyDescent="0.35">
      <c r="A41">
        <v>341808</v>
      </c>
      <c r="B41" t="s">
        <v>41</v>
      </c>
      <c r="C41" t="s">
        <v>42</v>
      </c>
      <c r="D41" s="2">
        <v>45787</v>
      </c>
      <c r="E41">
        <v>53850</v>
      </c>
      <c r="F41">
        <v>122</v>
      </c>
      <c r="G41" t="s">
        <v>43</v>
      </c>
      <c r="H41" t="s">
        <v>44</v>
      </c>
      <c r="I41" t="s">
        <v>45</v>
      </c>
      <c r="L41">
        <v>1223300001682</v>
      </c>
      <c r="M41">
        <v>20250410</v>
      </c>
      <c r="N41" t="s">
        <v>46</v>
      </c>
      <c r="Q41" t="s">
        <v>47</v>
      </c>
      <c r="R41">
        <v>35000</v>
      </c>
      <c r="T41">
        <v>3711207</v>
      </c>
      <c r="U41">
        <v>8825020723</v>
      </c>
      <c r="V41" t="s">
        <v>48</v>
      </c>
      <c r="W41" t="s">
        <v>49</v>
      </c>
      <c r="X41" t="s">
        <v>50</v>
      </c>
      <c r="Y41" t="s">
        <v>51</v>
      </c>
      <c r="Z41">
        <v>1696</v>
      </c>
      <c r="AH41">
        <v>0</v>
      </c>
      <c r="AI41">
        <v>202504</v>
      </c>
      <c r="AJ41" t="s">
        <v>52</v>
      </c>
      <c r="AK41">
        <v>0</v>
      </c>
      <c r="AL41">
        <v>1</v>
      </c>
      <c r="AO41">
        <v>0</v>
      </c>
      <c r="AP41" t="s">
        <v>3011</v>
      </c>
      <c r="AQ41" t="s">
        <v>3012</v>
      </c>
      <c r="AR41" t="s">
        <v>3013</v>
      </c>
      <c r="AS41" t="s">
        <v>3014</v>
      </c>
      <c r="AU41" t="s">
        <v>3014</v>
      </c>
    </row>
    <row r="42" spans="1:47" x14ac:dyDescent="0.35">
      <c r="A42">
        <v>341805</v>
      </c>
      <c r="B42" t="s">
        <v>41</v>
      </c>
      <c r="C42" t="s">
        <v>42</v>
      </c>
      <c r="D42" s="2">
        <v>45787</v>
      </c>
      <c r="E42">
        <v>53850</v>
      </c>
      <c r="F42">
        <v>153</v>
      </c>
      <c r="G42" t="s">
        <v>63</v>
      </c>
      <c r="H42" t="s">
        <v>44</v>
      </c>
      <c r="I42" t="s">
        <v>45</v>
      </c>
      <c r="L42">
        <v>1533300663959</v>
      </c>
      <c r="M42">
        <v>20250428</v>
      </c>
      <c r="N42" t="s">
        <v>46</v>
      </c>
      <c r="Q42" t="s">
        <v>47</v>
      </c>
      <c r="R42">
        <v>45100</v>
      </c>
      <c r="T42">
        <v>3721097</v>
      </c>
      <c r="U42">
        <v>10391641213</v>
      </c>
      <c r="V42" t="s">
        <v>64</v>
      </c>
      <c r="W42" t="s">
        <v>49</v>
      </c>
      <c r="X42" t="s">
        <v>65</v>
      </c>
      <c r="Y42" t="s">
        <v>51</v>
      </c>
      <c r="Z42">
        <v>1237</v>
      </c>
      <c r="AH42">
        <v>0</v>
      </c>
      <c r="AI42">
        <v>202504</v>
      </c>
      <c r="AJ42" t="s">
        <v>56</v>
      </c>
      <c r="AK42">
        <v>0</v>
      </c>
      <c r="AL42">
        <v>1</v>
      </c>
      <c r="AO42">
        <v>0</v>
      </c>
      <c r="AP42" t="s">
        <v>3019</v>
      </c>
      <c r="AQ42" t="s">
        <v>3012</v>
      </c>
      <c r="AR42" t="s">
        <v>3020</v>
      </c>
      <c r="AS42" t="s">
        <v>3014</v>
      </c>
      <c r="AU42" t="s">
        <v>3014</v>
      </c>
    </row>
    <row r="43" spans="1:47" x14ac:dyDescent="0.35">
      <c r="A43">
        <v>341797</v>
      </c>
      <c r="B43" t="s">
        <v>41</v>
      </c>
      <c r="C43" t="s">
        <v>42</v>
      </c>
      <c r="D43" s="2">
        <v>45787</v>
      </c>
      <c r="E43">
        <v>53850</v>
      </c>
      <c r="F43">
        <v>148</v>
      </c>
      <c r="G43" t="s">
        <v>78</v>
      </c>
      <c r="H43" t="s">
        <v>44</v>
      </c>
      <c r="I43" t="s">
        <v>45</v>
      </c>
      <c r="L43">
        <v>1483300006067</v>
      </c>
      <c r="M43">
        <v>20250414</v>
      </c>
      <c r="N43" t="s">
        <v>46</v>
      </c>
      <c r="Q43" t="s">
        <v>47</v>
      </c>
      <c r="R43">
        <v>40000</v>
      </c>
      <c r="T43">
        <v>3737044</v>
      </c>
      <c r="U43">
        <v>15554071009</v>
      </c>
      <c r="V43" t="s">
        <v>87</v>
      </c>
      <c r="W43" t="s">
        <v>49</v>
      </c>
      <c r="X43" t="s">
        <v>88</v>
      </c>
      <c r="Y43" t="s">
        <v>51</v>
      </c>
      <c r="Z43">
        <v>1196</v>
      </c>
      <c r="AH43">
        <v>0</v>
      </c>
      <c r="AI43">
        <v>202504</v>
      </c>
      <c r="AJ43" t="s">
        <v>56</v>
      </c>
      <c r="AK43">
        <v>0</v>
      </c>
      <c r="AL43">
        <v>1</v>
      </c>
      <c r="AO43">
        <v>0</v>
      </c>
      <c r="AP43" t="s">
        <v>3015</v>
      </c>
      <c r="AQ43" t="s">
        <v>3012</v>
      </c>
      <c r="AR43" t="s">
        <v>3016</v>
      </c>
      <c r="AT43" t="s">
        <v>3017</v>
      </c>
      <c r="AU43" t="s">
        <v>3018</v>
      </c>
    </row>
    <row r="44" spans="1:47" x14ac:dyDescent="0.35">
      <c r="A44">
        <v>341793</v>
      </c>
      <c r="B44" t="s">
        <v>41</v>
      </c>
      <c r="C44" t="s">
        <v>42</v>
      </c>
      <c r="D44" s="2">
        <v>45787</v>
      </c>
      <c r="E44">
        <v>53850</v>
      </c>
      <c r="F44">
        <v>141</v>
      </c>
      <c r="G44" t="s">
        <v>105</v>
      </c>
      <c r="H44" t="s">
        <v>44</v>
      </c>
      <c r="I44" t="s">
        <v>45</v>
      </c>
      <c r="L44">
        <v>1413300003985</v>
      </c>
      <c r="M44">
        <v>20250403</v>
      </c>
      <c r="N44" t="s">
        <v>46</v>
      </c>
      <c r="Q44" t="s">
        <v>47</v>
      </c>
      <c r="R44">
        <v>343671.11</v>
      </c>
      <c r="T44">
        <v>4996689</v>
      </c>
      <c r="U44">
        <v>80010360750</v>
      </c>
      <c r="V44" t="s">
        <v>106</v>
      </c>
      <c r="W44" t="s">
        <v>49</v>
      </c>
      <c r="X44" t="s">
        <v>107</v>
      </c>
      <c r="Y44" t="s">
        <v>51</v>
      </c>
      <c r="Z44">
        <v>1940</v>
      </c>
      <c r="AH44">
        <v>0</v>
      </c>
      <c r="AI44">
        <v>202504</v>
      </c>
      <c r="AJ44" t="s">
        <v>56</v>
      </c>
      <c r="AK44">
        <v>0</v>
      </c>
      <c r="AL44">
        <v>1</v>
      </c>
      <c r="AO44">
        <v>0</v>
      </c>
      <c r="AP44" t="s">
        <v>3024</v>
      </c>
      <c r="AQ44" t="s">
        <v>3012</v>
      </c>
      <c r="AR44" t="s">
        <v>3025</v>
      </c>
      <c r="AS44" t="s">
        <v>3014</v>
      </c>
      <c r="AU44" t="s">
        <v>3014</v>
      </c>
    </row>
    <row r="45" spans="1:47" x14ac:dyDescent="0.35">
      <c r="A45">
        <v>341792</v>
      </c>
      <c r="B45" t="s">
        <v>41</v>
      </c>
      <c r="C45" t="s">
        <v>42</v>
      </c>
      <c r="D45" s="2">
        <v>45787</v>
      </c>
      <c r="E45">
        <v>53850</v>
      </c>
      <c r="F45">
        <v>104</v>
      </c>
      <c r="G45" t="s">
        <v>108</v>
      </c>
      <c r="H45" t="s">
        <v>44</v>
      </c>
      <c r="I45" t="s">
        <v>45</v>
      </c>
      <c r="L45">
        <v>1043304173550</v>
      </c>
      <c r="M45">
        <v>20250423</v>
      </c>
      <c r="N45" t="s">
        <v>81</v>
      </c>
      <c r="Q45" t="s">
        <v>47</v>
      </c>
      <c r="R45">
        <v>26128.01</v>
      </c>
      <c r="T45">
        <v>417355</v>
      </c>
      <c r="U45">
        <v>374690725</v>
      </c>
      <c r="V45" t="s">
        <v>109</v>
      </c>
      <c r="W45" t="s">
        <v>49</v>
      </c>
      <c r="X45" t="s">
        <v>110</v>
      </c>
      <c r="Y45" t="s">
        <v>51</v>
      </c>
      <c r="Z45">
        <v>1919</v>
      </c>
      <c r="AH45">
        <v>0</v>
      </c>
      <c r="AI45">
        <v>202504</v>
      </c>
      <c r="AJ45" t="s">
        <v>52</v>
      </c>
      <c r="AK45">
        <v>0</v>
      </c>
      <c r="AL45">
        <v>1</v>
      </c>
      <c r="AM45">
        <v>417355</v>
      </c>
      <c r="AN45">
        <v>1</v>
      </c>
      <c r="AO45">
        <v>0</v>
      </c>
      <c r="AP45" t="s">
        <v>3026</v>
      </c>
      <c r="AQ45" t="s">
        <v>3012</v>
      </c>
      <c r="AR45" t="s">
        <v>3027</v>
      </c>
      <c r="AS45" t="s">
        <v>3028</v>
      </c>
      <c r="AU45" t="s">
        <v>3028</v>
      </c>
    </row>
    <row r="46" spans="1:47" x14ac:dyDescent="0.35">
      <c r="A46">
        <v>341790</v>
      </c>
      <c r="B46" t="s">
        <v>41</v>
      </c>
      <c r="C46" t="s">
        <v>42</v>
      </c>
      <c r="D46" s="2">
        <v>45787</v>
      </c>
      <c r="E46">
        <v>53850</v>
      </c>
      <c r="F46">
        <v>148</v>
      </c>
      <c r="G46" t="s">
        <v>78</v>
      </c>
      <c r="H46" t="s">
        <v>44</v>
      </c>
      <c r="I46" t="s">
        <v>45</v>
      </c>
      <c r="L46">
        <v>1483300004308</v>
      </c>
      <c r="M46">
        <v>20250424</v>
      </c>
      <c r="N46" t="s">
        <v>46</v>
      </c>
      <c r="Q46" t="s">
        <v>47</v>
      </c>
      <c r="R46">
        <v>40024.199999999997</v>
      </c>
      <c r="T46">
        <v>4898674</v>
      </c>
      <c r="U46">
        <v>2936580642</v>
      </c>
      <c r="V46" t="s">
        <v>79</v>
      </c>
      <c r="W46" t="s">
        <v>49</v>
      </c>
      <c r="X46" t="s">
        <v>59</v>
      </c>
      <c r="Y46" t="s">
        <v>51</v>
      </c>
      <c r="Z46">
        <v>1063</v>
      </c>
      <c r="AH46">
        <v>0</v>
      </c>
      <c r="AI46">
        <v>202504</v>
      </c>
      <c r="AJ46" t="s">
        <v>56</v>
      </c>
      <c r="AK46">
        <v>0</v>
      </c>
      <c r="AL46">
        <v>1</v>
      </c>
      <c r="AO46">
        <v>0</v>
      </c>
      <c r="AP46" t="s">
        <v>3015</v>
      </c>
      <c r="AQ46" t="s">
        <v>3012</v>
      </c>
      <c r="AR46" t="s">
        <v>3016</v>
      </c>
      <c r="AT46" t="s">
        <v>3017</v>
      </c>
      <c r="AU46" t="s">
        <v>3018</v>
      </c>
    </row>
    <row r="47" spans="1:47" x14ac:dyDescent="0.35">
      <c r="A47">
        <v>341789</v>
      </c>
      <c r="B47" t="s">
        <v>41</v>
      </c>
      <c r="C47" t="s">
        <v>42</v>
      </c>
      <c r="D47" s="2">
        <v>45787</v>
      </c>
      <c r="E47">
        <v>53850</v>
      </c>
      <c r="F47">
        <v>105</v>
      </c>
      <c r="G47" t="s">
        <v>60</v>
      </c>
      <c r="H47" t="s">
        <v>44</v>
      </c>
      <c r="I47" t="s">
        <v>45</v>
      </c>
      <c r="L47">
        <v>1053306287103</v>
      </c>
      <c r="M47">
        <v>20250409</v>
      </c>
      <c r="N47" t="s">
        <v>46</v>
      </c>
      <c r="Q47" t="s">
        <v>47</v>
      </c>
      <c r="R47">
        <v>44869.06</v>
      </c>
      <c r="T47">
        <v>4263360</v>
      </c>
      <c r="U47">
        <v>5982300724</v>
      </c>
      <c r="V47" t="s">
        <v>61</v>
      </c>
      <c r="W47" t="s">
        <v>49</v>
      </c>
      <c r="X47" t="s">
        <v>62</v>
      </c>
      <c r="Y47" t="s">
        <v>51</v>
      </c>
      <c r="Z47">
        <v>1058</v>
      </c>
      <c r="AH47">
        <v>0</v>
      </c>
      <c r="AI47">
        <v>202504</v>
      </c>
      <c r="AJ47" t="s">
        <v>56</v>
      </c>
      <c r="AK47">
        <v>0</v>
      </c>
      <c r="AL47">
        <v>1</v>
      </c>
      <c r="AO47">
        <v>0</v>
      </c>
      <c r="AP47" t="s">
        <v>3015</v>
      </c>
      <c r="AQ47" t="s">
        <v>3012</v>
      </c>
      <c r="AR47" t="s">
        <v>3016</v>
      </c>
      <c r="AT47" t="s">
        <v>3017</v>
      </c>
      <c r="AU47" t="s">
        <v>3018</v>
      </c>
    </row>
    <row r="48" spans="1:47" x14ac:dyDescent="0.35">
      <c r="A48">
        <v>341779</v>
      </c>
      <c r="B48" t="s">
        <v>41</v>
      </c>
      <c r="C48" t="s">
        <v>42</v>
      </c>
      <c r="D48" s="2">
        <v>45787</v>
      </c>
      <c r="E48">
        <v>53850</v>
      </c>
      <c r="F48">
        <v>122</v>
      </c>
      <c r="G48" t="s">
        <v>43</v>
      </c>
      <c r="H48" t="s">
        <v>44</v>
      </c>
      <c r="I48" t="s">
        <v>45</v>
      </c>
      <c r="L48">
        <v>1223300002128</v>
      </c>
      <c r="M48">
        <v>20250409</v>
      </c>
      <c r="N48" t="s">
        <v>46</v>
      </c>
      <c r="Q48" t="s">
        <v>47</v>
      </c>
      <c r="R48">
        <v>45226.66</v>
      </c>
      <c r="T48">
        <v>3711207</v>
      </c>
      <c r="U48">
        <v>8825020723</v>
      </c>
      <c r="V48" t="s">
        <v>48</v>
      </c>
      <c r="W48" t="s">
        <v>49</v>
      </c>
      <c r="X48" t="s">
        <v>50</v>
      </c>
      <c r="Y48" t="s">
        <v>51</v>
      </c>
      <c r="Z48">
        <v>1696</v>
      </c>
      <c r="AH48">
        <v>0</v>
      </c>
      <c r="AI48">
        <v>202504</v>
      </c>
      <c r="AJ48" t="s">
        <v>52</v>
      </c>
      <c r="AK48">
        <v>0</v>
      </c>
      <c r="AL48">
        <v>1</v>
      </c>
      <c r="AO48">
        <v>0</v>
      </c>
      <c r="AP48" t="s">
        <v>3011</v>
      </c>
      <c r="AQ48" t="s">
        <v>3012</v>
      </c>
      <c r="AR48" t="s">
        <v>3013</v>
      </c>
      <c r="AS48" t="s">
        <v>3014</v>
      </c>
      <c r="AU48" t="s">
        <v>3014</v>
      </c>
    </row>
    <row r="49" spans="1:47" x14ac:dyDescent="0.35">
      <c r="A49">
        <v>341778</v>
      </c>
      <c r="B49" t="s">
        <v>41</v>
      </c>
      <c r="C49" t="s">
        <v>42</v>
      </c>
      <c r="D49" s="2">
        <v>45787</v>
      </c>
      <c r="E49">
        <v>53850</v>
      </c>
      <c r="F49">
        <v>122</v>
      </c>
      <c r="G49" t="s">
        <v>43</v>
      </c>
      <c r="H49" t="s">
        <v>44</v>
      </c>
      <c r="I49" t="s">
        <v>45</v>
      </c>
      <c r="L49">
        <v>1223300001682</v>
      </c>
      <c r="M49">
        <v>20250429</v>
      </c>
      <c r="N49" t="s">
        <v>46</v>
      </c>
      <c r="Q49" t="s">
        <v>47</v>
      </c>
      <c r="R49">
        <v>596435.75</v>
      </c>
      <c r="T49">
        <v>3711207</v>
      </c>
      <c r="U49">
        <v>8825020723</v>
      </c>
      <c r="V49" t="s">
        <v>48</v>
      </c>
      <c r="W49" t="s">
        <v>49</v>
      </c>
      <c r="X49" t="s">
        <v>50</v>
      </c>
      <c r="Y49" t="s">
        <v>51</v>
      </c>
      <c r="Z49">
        <v>1696</v>
      </c>
      <c r="AH49">
        <v>0</v>
      </c>
      <c r="AI49">
        <v>202504</v>
      </c>
      <c r="AJ49" t="s">
        <v>52</v>
      </c>
      <c r="AK49">
        <v>0</v>
      </c>
      <c r="AL49">
        <v>1</v>
      </c>
      <c r="AO49">
        <v>0</v>
      </c>
      <c r="AP49" t="s">
        <v>3011</v>
      </c>
      <c r="AQ49" t="s">
        <v>3012</v>
      </c>
      <c r="AR49" t="s">
        <v>3013</v>
      </c>
      <c r="AS49" t="s">
        <v>3014</v>
      </c>
      <c r="AU49" t="s">
        <v>3014</v>
      </c>
    </row>
    <row r="50" spans="1:47" x14ac:dyDescent="0.35">
      <c r="A50">
        <v>341777</v>
      </c>
      <c r="B50" t="s">
        <v>41</v>
      </c>
      <c r="C50" t="s">
        <v>42</v>
      </c>
      <c r="D50" s="2">
        <v>45787</v>
      </c>
      <c r="E50">
        <v>53850</v>
      </c>
      <c r="F50">
        <v>161</v>
      </c>
      <c r="G50" t="s">
        <v>111</v>
      </c>
      <c r="H50" t="s">
        <v>44</v>
      </c>
      <c r="I50" t="s">
        <v>45</v>
      </c>
      <c r="L50">
        <v>1613300032599</v>
      </c>
      <c r="M50">
        <v>20250430</v>
      </c>
      <c r="N50" t="s">
        <v>46</v>
      </c>
      <c r="Q50" t="s">
        <v>47</v>
      </c>
      <c r="R50">
        <v>75000</v>
      </c>
      <c r="T50">
        <v>4845705</v>
      </c>
      <c r="U50">
        <v>6832140724</v>
      </c>
      <c r="V50" t="s">
        <v>112</v>
      </c>
      <c r="W50" t="s">
        <v>49</v>
      </c>
      <c r="X50" t="s">
        <v>113</v>
      </c>
      <c r="Y50" t="s">
        <v>51</v>
      </c>
      <c r="Z50">
        <v>1903</v>
      </c>
      <c r="AH50">
        <v>0</v>
      </c>
      <c r="AI50">
        <v>202504</v>
      </c>
      <c r="AJ50" t="s">
        <v>114</v>
      </c>
      <c r="AK50">
        <v>1</v>
      </c>
      <c r="AL50">
        <v>1</v>
      </c>
      <c r="AO50">
        <v>0</v>
      </c>
      <c r="AP50" t="s">
        <v>3015</v>
      </c>
      <c r="AQ50" t="s">
        <v>3012</v>
      </c>
      <c r="AR50" t="s">
        <v>3016</v>
      </c>
      <c r="AT50" t="s">
        <v>3017</v>
      </c>
      <c r="AU50" t="s">
        <v>3018</v>
      </c>
    </row>
    <row r="51" spans="1:47" x14ac:dyDescent="0.35">
      <c r="A51">
        <v>341773</v>
      </c>
      <c r="B51" t="s">
        <v>41</v>
      </c>
      <c r="C51" t="s">
        <v>42</v>
      </c>
      <c r="D51" s="2">
        <v>45787</v>
      </c>
      <c r="E51">
        <v>53850</v>
      </c>
      <c r="F51">
        <v>122</v>
      </c>
      <c r="G51" t="s">
        <v>43</v>
      </c>
      <c r="H51" t="s">
        <v>44</v>
      </c>
      <c r="I51" t="s">
        <v>45</v>
      </c>
      <c r="L51">
        <v>1223300001682</v>
      </c>
      <c r="M51">
        <v>20250428</v>
      </c>
      <c r="N51" t="s">
        <v>46</v>
      </c>
      <c r="Q51" t="s">
        <v>47</v>
      </c>
      <c r="R51">
        <v>411478.8</v>
      </c>
      <c r="T51">
        <v>3711207</v>
      </c>
      <c r="U51">
        <v>8825020723</v>
      </c>
      <c r="V51" t="s">
        <v>48</v>
      </c>
      <c r="W51" t="s">
        <v>49</v>
      </c>
      <c r="X51" t="s">
        <v>50</v>
      </c>
      <c r="Y51" t="s">
        <v>51</v>
      </c>
      <c r="Z51">
        <v>1696</v>
      </c>
      <c r="AH51">
        <v>0</v>
      </c>
      <c r="AI51">
        <v>202504</v>
      </c>
      <c r="AJ51" t="s">
        <v>52</v>
      </c>
      <c r="AK51">
        <v>0</v>
      </c>
      <c r="AL51">
        <v>1</v>
      </c>
      <c r="AO51">
        <v>0</v>
      </c>
      <c r="AP51" t="s">
        <v>3011</v>
      </c>
      <c r="AQ51" t="s">
        <v>3012</v>
      </c>
      <c r="AR51" t="s">
        <v>3013</v>
      </c>
      <c r="AS51" t="s">
        <v>3014</v>
      </c>
      <c r="AU51" t="s">
        <v>3014</v>
      </c>
    </row>
    <row r="52" spans="1:47" x14ac:dyDescent="0.35">
      <c r="A52">
        <v>341767</v>
      </c>
      <c r="B52" t="s">
        <v>41</v>
      </c>
      <c r="C52" t="s">
        <v>42</v>
      </c>
      <c r="D52" s="2">
        <v>45787</v>
      </c>
      <c r="E52">
        <v>53850</v>
      </c>
      <c r="F52">
        <v>148</v>
      </c>
      <c r="G52" t="s">
        <v>78</v>
      </c>
      <c r="H52" t="s">
        <v>44</v>
      </c>
      <c r="I52" t="s">
        <v>45</v>
      </c>
      <c r="L52">
        <v>1483300004308</v>
      </c>
      <c r="M52">
        <v>20250401</v>
      </c>
      <c r="N52" t="s">
        <v>46</v>
      </c>
      <c r="Q52" t="s">
        <v>47</v>
      </c>
      <c r="R52">
        <v>41000</v>
      </c>
      <c r="T52">
        <v>4898674</v>
      </c>
      <c r="U52">
        <v>2936580642</v>
      </c>
      <c r="V52" t="s">
        <v>79</v>
      </c>
      <c r="W52" t="s">
        <v>49</v>
      </c>
      <c r="X52" t="s">
        <v>59</v>
      </c>
      <c r="Y52" t="s">
        <v>51</v>
      </c>
      <c r="Z52">
        <v>1063</v>
      </c>
      <c r="AH52">
        <v>0</v>
      </c>
      <c r="AI52">
        <v>202504</v>
      </c>
      <c r="AJ52" t="s">
        <v>56</v>
      </c>
      <c r="AK52">
        <v>0</v>
      </c>
      <c r="AL52">
        <v>1</v>
      </c>
      <c r="AO52">
        <v>0</v>
      </c>
      <c r="AP52" t="s">
        <v>3015</v>
      </c>
      <c r="AQ52" t="s">
        <v>3012</v>
      </c>
      <c r="AR52" t="s">
        <v>3016</v>
      </c>
      <c r="AT52" t="s">
        <v>3017</v>
      </c>
      <c r="AU52" t="s">
        <v>3018</v>
      </c>
    </row>
    <row r="53" spans="1:47" x14ac:dyDescent="0.35">
      <c r="A53">
        <v>341762</v>
      </c>
      <c r="B53" t="s">
        <v>41</v>
      </c>
      <c r="C53" t="s">
        <v>42</v>
      </c>
      <c r="D53" s="2">
        <v>45787</v>
      </c>
      <c r="E53">
        <v>53850</v>
      </c>
      <c r="F53">
        <v>148</v>
      </c>
      <c r="G53" t="s">
        <v>78</v>
      </c>
      <c r="H53" t="s">
        <v>44</v>
      </c>
      <c r="I53" t="s">
        <v>45</v>
      </c>
      <c r="L53">
        <v>1483300004308</v>
      </c>
      <c r="M53">
        <v>20250428</v>
      </c>
      <c r="N53" t="s">
        <v>46</v>
      </c>
      <c r="Q53" t="s">
        <v>47</v>
      </c>
      <c r="R53">
        <v>29830</v>
      </c>
      <c r="T53">
        <v>4898674</v>
      </c>
      <c r="U53">
        <v>2936580642</v>
      </c>
      <c r="V53" t="s">
        <v>79</v>
      </c>
      <c r="W53" t="s">
        <v>49</v>
      </c>
      <c r="X53" t="s">
        <v>59</v>
      </c>
      <c r="Y53" t="s">
        <v>51</v>
      </c>
      <c r="Z53">
        <v>1063</v>
      </c>
      <c r="AH53">
        <v>0</v>
      </c>
      <c r="AI53">
        <v>202504</v>
      </c>
      <c r="AJ53" t="s">
        <v>56</v>
      </c>
      <c r="AK53">
        <v>0</v>
      </c>
      <c r="AL53">
        <v>1</v>
      </c>
      <c r="AO53">
        <v>0</v>
      </c>
      <c r="AP53" t="s">
        <v>3015</v>
      </c>
      <c r="AQ53" t="s">
        <v>3012</v>
      </c>
      <c r="AR53" t="s">
        <v>3016</v>
      </c>
      <c r="AT53" t="s">
        <v>3017</v>
      </c>
      <c r="AU53" t="s">
        <v>3018</v>
      </c>
    </row>
    <row r="54" spans="1:47" x14ac:dyDescent="0.35">
      <c r="A54">
        <v>341760</v>
      </c>
      <c r="B54" t="s">
        <v>41</v>
      </c>
      <c r="C54" t="s">
        <v>42</v>
      </c>
      <c r="D54" s="2">
        <v>45787</v>
      </c>
      <c r="E54">
        <v>53850</v>
      </c>
      <c r="F54">
        <v>148</v>
      </c>
      <c r="G54" t="s">
        <v>78</v>
      </c>
      <c r="H54" t="s">
        <v>44</v>
      </c>
      <c r="I54" t="s">
        <v>45</v>
      </c>
      <c r="L54">
        <v>1483300004308</v>
      </c>
      <c r="M54">
        <v>20250414</v>
      </c>
      <c r="N54" t="s">
        <v>46</v>
      </c>
      <c r="Q54" t="s">
        <v>47</v>
      </c>
      <c r="R54">
        <v>41996.84</v>
      </c>
      <c r="T54">
        <v>4898674</v>
      </c>
      <c r="U54">
        <v>2936580642</v>
      </c>
      <c r="V54" t="s">
        <v>79</v>
      </c>
      <c r="W54" t="s">
        <v>49</v>
      </c>
      <c r="X54" t="s">
        <v>59</v>
      </c>
      <c r="Y54" t="s">
        <v>51</v>
      </c>
      <c r="Z54">
        <v>1063</v>
      </c>
      <c r="AH54">
        <v>0</v>
      </c>
      <c r="AI54">
        <v>202504</v>
      </c>
      <c r="AJ54" t="s">
        <v>56</v>
      </c>
      <c r="AK54">
        <v>0</v>
      </c>
      <c r="AL54">
        <v>1</v>
      </c>
      <c r="AO54">
        <v>0</v>
      </c>
      <c r="AP54" t="s">
        <v>3015</v>
      </c>
      <c r="AQ54" t="s">
        <v>3012</v>
      </c>
      <c r="AR54" t="s">
        <v>3016</v>
      </c>
      <c r="AT54" t="s">
        <v>3017</v>
      </c>
      <c r="AU54" t="s">
        <v>3018</v>
      </c>
    </row>
    <row r="55" spans="1:47" x14ac:dyDescent="0.35">
      <c r="A55">
        <v>341748</v>
      </c>
      <c r="B55" t="s">
        <v>41</v>
      </c>
      <c r="C55" t="s">
        <v>42</v>
      </c>
      <c r="D55" s="2">
        <v>45787</v>
      </c>
      <c r="E55">
        <v>53850</v>
      </c>
      <c r="F55">
        <v>103</v>
      </c>
      <c r="G55" t="s">
        <v>80</v>
      </c>
      <c r="H55" t="s">
        <v>44</v>
      </c>
      <c r="I55" t="s">
        <v>45</v>
      </c>
      <c r="L55">
        <v>1033306967935</v>
      </c>
      <c r="M55">
        <v>20250415</v>
      </c>
      <c r="N55" t="s">
        <v>81</v>
      </c>
      <c r="Q55" t="s">
        <v>47</v>
      </c>
      <c r="R55">
        <v>58518.85</v>
      </c>
      <c r="T55">
        <v>155052</v>
      </c>
      <c r="U55">
        <v>2563580725</v>
      </c>
      <c r="V55" t="s">
        <v>82</v>
      </c>
      <c r="W55" t="s">
        <v>49</v>
      </c>
      <c r="X55" t="s">
        <v>59</v>
      </c>
      <c r="Y55" t="s">
        <v>51</v>
      </c>
      <c r="Z55">
        <v>1926</v>
      </c>
      <c r="AH55">
        <v>0</v>
      </c>
      <c r="AI55">
        <v>202504</v>
      </c>
      <c r="AJ55" t="s">
        <v>56</v>
      </c>
      <c r="AK55">
        <v>0</v>
      </c>
      <c r="AL55">
        <v>1</v>
      </c>
      <c r="AM55">
        <v>155052</v>
      </c>
      <c r="AN55">
        <v>1</v>
      </c>
      <c r="AO55">
        <v>0</v>
      </c>
      <c r="AP55" t="s">
        <v>3015</v>
      </c>
      <c r="AQ55" t="s">
        <v>3012</v>
      </c>
      <c r="AR55" t="s">
        <v>3016</v>
      </c>
      <c r="AT55" t="s">
        <v>3017</v>
      </c>
      <c r="AU55" t="s">
        <v>3018</v>
      </c>
    </row>
    <row r="56" spans="1:47" x14ac:dyDescent="0.35">
      <c r="A56">
        <v>341735</v>
      </c>
      <c r="B56" t="s">
        <v>41</v>
      </c>
      <c r="C56" t="s">
        <v>42</v>
      </c>
      <c r="D56" s="2">
        <v>45787</v>
      </c>
      <c r="E56">
        <v>53850</v>
      </c>
      <c r="F56">
        <v>145</v>
      </c>
      <c r="G56" t="s">
        <v>115</v>
      </c>
      <c r="H56" t="s">
        <v>44</v>
      </c>
      <c r="I56" t="s">
        <v>45</v>
      </c>
      <c r="L56">
        <v>1453300003997</v>
      </c>
      <c r="M56">
        <v>20250402</v>
      </c>
      <c r="N56" t="s">
        <v>46</v>
      </c>
      <c r="Q56" t="s">
        <v>47</v>
      </c>
      <c r="R56">
        <v>31678.84</v>
      </c>
      <c r="T56">
        <v>3737833</v>
      </c>
      <c r="U56">
        <v>10171711210</v>
      </c>
      <c r="V56" t="s">
        <v>116</v>
      </c>
      <c r="W56" t="s">
        <v>49</v>
      </c>
      <c r="X56" t="s">
        <v>117</v>
      </c>
      <c r="Y56" t="s">
        <v>51</v>
      </c>
      <c r="AH56">
        <v>0</v>
      </c>
      <c r="AI56">
        <v>202504</v>
      </c>
      <c r="AJ56" t="s">
        <v>56</v>
      </c>
      <c r="AK56">
        <v>0</v>
      </c>
      <c r="AL56">
        <v>1</v>
      </c>
      <c r="AO56">
        <v>0</v>
      </c>
      <c r="AP56" t="s">
        <v>3029</v>
      </c>
      <c r="AQ56" t="s">
        <v>3012</v>
      </c>
      <c r="AR56" t="s">
        <v>3030</v>
      </c>
      <c r="AS56" t="s">
        <v>3014</v>
      </c>
      <c r="AU56" t="s">
        <v>3014</v>
      </c>
    </row>
    <row r="57" spans="1:47" x14ac:dyDescent="0.35">
      <c r="A57">
        <v>341725</v>
      </c>
      <c r="B57" t="s">
        <v>41</v>
      </c>
      <c r="C57" t="s">
        <v>42</v>
      </c>
      <c r="D57" s="2">
        <v>45787</v>
      </c>
      <c r="E57">
        <v>53850</v>
      </c>
      <c r="F57">
        <v>154</v>
      </c>
      <c r="G57" t="s">
        <v>53</v>
      </c>
      <c r="H57" t="s">
        <v>44</v>
      </c>
      <c r="I57" t="s">
        <v>45</v>
      </c>
      <c r="L57">
        <v>1543300004860</v>
      </c>
      <c r="M57">
        <v>20250414</v>
      </c>
      <c r="N57" t="s">
        <v>46</v>
      </c>
      <c r="Q57" t="s">
        <v>47</v>
      </c>
      <c r="R57">
        <v>36019.83</v>
      </c>
      <c r="T57">
        <v>3715569</v>
      </c>
      <c r="U57">
        <v>5424970654</v>
      </c>
      <c r="V57" t="s">
        <v>54</v>
      </c>
      <c r="W57" t="s">
        <v>49</v>
      </c>
      <c r="X57" t="s">
        <v>55</v>
      </c>
      <c r="Y57" t="s">
        <v>51</v>
      </c>
      <c r="Z57">
        <v>741</v>
      </c>
      <c r="AH57">
        <v>0</v>
      </c>
      <c r="AI57">
        <v>202504</v>
      </c>
      <c r="AJ57" t="s">
        <v>56</v>
      </c>
      <c r="AK57">
        <v>0</v>
      </c>
      <c r="AL57">
        <v>1</v>
      </c>
      <c r="AM57">
        <v>3715569</v>
      </c>
      <c r="AN57">
        <v>1</v>
      </c>
      <c r="AO57">
        <v>0</v>
      </c>
      <c r="AP57" t="s">
        <v>3015</v>
      </c>
      <c r="AQ57" t="s">
        <v>3012</v>
      </c>
      <c r="AR57" t="s">
        <v>3016</v>
      </c>
      <c r="AT57" t="s">
        <v>3017</v>
      </c>
      <c r="AU57" t="s">
        <v>3018</v>
      </c>
    </row>
    <row r="58" spans="1:47" x14ac:dyDescent="0.35">
      <c r="A58">
        <v>341716</v>
      </c>
      <c r="B58" t="s">
        <v>41</v>
      </c>
      <c r="C58" t="s">
        <v>42</v>
      </c>
      <c r="D58" s="2">
        <v>45787</v>
      </c>
      <c r="E58">
        <v>53850</v>
      </c>
      <c r="F58">
        <v>132</v>
      </c>
      <c r="G58" t="s">
        <v>92</v>
      </c>
      <c r="H58" t="s">
        <v>44</v>
      </c>
      <c r="I58" t="s">
        <v>45</v>
      </c>
      <c r="L58">
        <v>1323300003714</v>
      </c>
      <c r="M58">
        <v>20250415</v>
      </c>
      <c r="N58" t="s">
        <v>46</v>
      </c>
      <c r="Q58" t="s">
        <v>47</v>
      </c>
      <c r="R58">
        <v>26100</v>
      </c>
      <c r="T58">
        <v>3724103</v>
      </c>
      <c r="U58">
        <v>2178850760</v>
      </c>
      <c r="V58" t="s">
        <v>93</v>
      </c>
      <c r="W58" t="s">
        <v>49</v>
      </c>
      <c r="X58" t="s">
        <v>88</v>
      </c>
      <c r="Y58" t="s">
        <v>51</v>
      </c>
      <c r="Z58">
        <v>823</v>
      </c>
      <c r="AH58">
        <v>0</v>
      </c>
      <c r="AI58">
        <v>202504</v>
      </c>
      <c r="AJ58" t="s">
        <v>52</v>
      </c>
      <c r="AK58">
        <v>0</v>
      </c>
      <c r="AL58">
        <v>1</v>
      </c>
      <c r="AO58">
        <v>0</v>
      </c>
      <c r="AP58" t="s">
        <v>3015</v>
      </c>
      <c r="AQ58" t="s">
        <v>3012</v>
      </c>
      <c r="AR58" t="s">
        <v>3016</v>
      </c>
      <c r="AT58" t="s">
        <v>3017</v>
      </c>
      <c r="AU58" t="s">
        <v>3018</v>
      </c>
    </row>
    <row r="59" spans="1:47" x14ac:dyDescent="0.35">
      <c r="A59">
        <v>341708</v>
      </c>
      <c r="B59" t="s">
        <v>41</v>
      </c>
      <c r="C59" t="s">
        <v>42</v>
      </c>
      <c r="D59" s="2">
        <v>45787</v>
      </c>
      <c r="E59">
        <v>53850</v>
      </c>
      <c r="F59">
        <v>268</v>
      </c>
      <c r="G59" t="s">
        <v>83</v>
      </c>
      <c r="H59" t="s">
        <v>44</v>
      </c>
      <c r="I59" t="s">
        <v>45</v>
      </c>
      <c r="L59">
        <v>2683300010038</v>
      </c>
      <c r="M59">
        <v>20250403</v>
      </c>
      <c r="N59" t="s">
        <v>46</v>
      </c>
      <c r="Q59" t="s">
        <v>47</v>
      </c>
      <c r="R59">
        <v>376696.32000000001</v>
      </c>
      <c r="T59">
        <v>1604219</v>
      </c>
      <c r="U59">
        <v>952850790</v>
      </c>
      <c r="V59" t="s">
        <v>84</v>
      </c>
      <c r="W59" t="s">
        <v>49</v>
      </c>
      <c r="X59" t="s">
        <v>85</v>
      </c>
      <c r="Y59" t="s">
        <v>51</v>
      </c>
      <c r="Z59">
        <v>1627</v>
      </c>
      <c r="AH59">
        <v>0</v>
      </c>
      <c r="AI59">
        <v>202504</v>
      </c>
      <c r="AJ59" t="s">
        <v>86</v>
      </c>
      <c r="AK59">
        <v>1</v>
      </c>
      <c r="AL59">
        <v>1</v>
      </c>
      <c r="AO59">
        <v>0</v>
      </c>
      <c r="AP59" t="s">
        <v>3015</v>
      </c>
      <c r="AQ59" t="s">
        <v>3012</v>
      </c>
      <c r="AR59" t="s">
        <v>3016</v>
      </c>
      <c r="AT59" t="s">
        <v>3017</v>
      </c>
      <c r="AU59" t="s">
        <v>3018</v>
      </c>
    </row>
    <row r="60" spans="1:47" x14ac:dyDescent="0.35">
      <c r="A60">
        <v>341696</v>
      </c>
      <c r="B60" t="s">
        <v>41</v>
      </c>
      <c r="C60" t="s">
        <v>42</v>
      </c>
      <c r="D60" s="2">
        <v>45787</v>
      </c>
      <c r="E60">
        <v>53850</v>
      </c>
      <c r="F60">
        <v>104</v>
      </c>
      <c r="G60" t="s">
        <v>108</v>
      </c>
      <c r="H60" t="s">
        <v>44</v>
      </c>
      <c r="I60" t="s">
        <v>45</v>
      </c>
      <c r="L60">
        <v>1043309503913</v>
      </c>
      <c r="M60">
        <v>20250417</v>
      </c>
      <c r="N60" t="s">
        <v>46</v>
      </c>
      <c r="Q60" t="s">
        <v>47</v>
      </c>
      <c r="R60">
        <v>95257.19</v>
      </c>
      <c r="T60">
        <v>424944</v>
      </c>
      <c r="U60">
        <v>3454860721</v>
      </c>
      <c r="V60" t="s">
        <v>118</v>
      </c>
      <c r="W60" t="s">
        <v>49</v>
      </c>
      <c r="X60" t="s">
        <v>117</v>
      </c>
      <c r="Y60" t="s">
        <v>51</v>
      </c>
      <c r="Z60">
        <v>1696</v>
      </c>
      <c r="AH60">
        <v>0</v>
      </c>
      <c r="AI60">
        <v>202504</v>
      </c>
      <c r="AJ60" t="s">
        <v>119</v>
      </c>
      <c r="AK60">
        <v>1</v>
      </c>
      <c r="AL60">
        <v>1</v>
      </c>
      <c r="AO60">
        <v>0</v>
      </c>
      <c r="AP60" t="s">
        <v>3029</v>
      </c>
      <c r="AQ60" t="s">
        <v>3012</v>
      </c>
      <c r="AR60" t="s">
        <v>3030</v>
      </c>
      <c r="AS60" t="s">
        <v>3014</v>
      </c>
      <c r="AU60" t="s">
        <v>3014</v>
      </c>
    </row>
    <row r="61" spans="1:47" x14ac:dyDescent="0.35">
      <c r="A61">
        <v>341692</v>
      </c>
      <c r="B61" t="s">
        <v>41</v>
      </c>
      <c r="C61" t="s">
        <v>42</v>
      </c>
      <c r="D61" s="2">
        <v>45787</v>
      </c>
      <c r="E61">
        <v>53850</v>
      </c>
      <c r="F61">
        <v>153</v>
      </c>
      <c r="G61" t="s">
        <v>63</v>
      </c>
      <c r="H61" t="s">
        <v>44</v>
      </c>
      <c r="I61" t="s">
        <v>45</v>
      </c>
      <c r="L61">
        <v>1533300663959</v>
      </c>
      <c r="M61">
        <v>20250407</v>
      </c>
      <c r="N61" t="s">
        <v>46</v>
      </c>
      <c r="Q61" t="s">
        <v>47</v>
      </c>
      <c r="R61">
        <v>30000</v>
      </c>
      <c r="T61">
        <v>3721097</v>
      </c>
      <c r="U61">
        <v>10391641213</v>
      </c>
      <c r="V61" t="s">
        <v>64</v>
      </c>
      <c r="W61" t="s">
        <v>49</v>
      </c>
      <c r="X61" t="s">
        <v>65</v>
      </c>
      <c r="Y61" t="s">
        <v>51</v>
      </c>
      <c r="Z61">
        <v>1237</v>
      </c>
      <c r="AH61">
        <v>0</v>
      </c>
      <c r="AI61">
        <v>202504</v>
      </c>
      <c r="AJ61" t="s">
        <v>56</v>
      </c>
      <c r="AK61">
        <v>0</v>
      </c>
      <c r="AL61">
        <v>1</v>
      </c>
      <c r="AO61">
        <v>0</v>
      </c>
      <c r="AP61" t="s">
        <v>3019</v>
      </c>
      <c r="AQ61" t="s">
        <v>3012</v>
      </c>
      <c r="AR61" t="s">
        <v>3020</v>
      </c>
      <c r="AS61" t="s">
        <v>3014</v>
      </c>
      <c r="AU61" t="s">
        <v>3014</v>
      </c>
    </row>
    <row r="62" spans="1:47" x14ac:dyDescent="0.35">
      <c r="A62">
        <v>341682</v>
      </c>
      <c r="B62" t="s">
        <v>41</v>
      </c>
      <c r="C62" t="s">
        <v>42</v>
      </c>
      <c r="D62" s="2">
        <v>45787</v>
      </c>
      <c r="E62">
        <v>53850</v>
      </c>
      <c r="F62">
        <v>154</v>
      </c>
      <c r="G62" t="s">
        <v>53</v>
      </c>
      <c r="H62" t="s">
        <v>44</v>
      </c>
      <c r="I62" t="s">
        <v>45</v>
      </c>
      <c r="L62">
        <v>1543300004860</v>
      </c>
      <c r="M62">
        <v>20250424</v>
      </c>
      <c r="N62" t="s">
        <v>46</v>
      </c>
      <c r="Q62" t="s">
        <v>47</v>
      </c>
      <c r="R62">
        <v>39805.050000000003</v>
      </c>
      <c r="T62">
        <v>3715569</v>
      </c>
      <c r="U62">
        <v>5424970654</v>
      </c>
      <c r="V62" t="s">
        <v>54</v>
      </c>
      <c r="W62" t="s">
        <v>49</v>
      </c>
      <c r="X62" t="s">
        <v>55</v>
      </c>
      <c r="Y62" t="s">
        <v>51</v>
      </c>
      <c r="Z62">
        <v>741</v>
      </c>
      <c r="AH62">
        <v>0</v>
      </c>
      <c r="AI62">
        <v>202504</v>
      </c>
      <c r="AJ62" t="s">
        <v>56</v>
      </c>
      <c r="AK62">
        <v>0</v>
      </c>
      <c r="AL62">
        <v>1</v>
      </c>
      <c r="AM62">
        <v>3715569</v>
      </c>
      <c r="AN62">
        <v>1</v>
      </c>
      <c r="AO62">
        <v>0</v>
      </c>
      <c r="AP62" t="s">
        <v>3015</v>
      </c>
      <c r="AQ62" t="s">
        <v>3012</v>
      </c>
      <c r="AR62" t="s">
        <v>3016</v>
      </c>
      <c r="AT62" t="s">
        <v>3017</v>
      </c>
      <c r="AU62" t="s">
        <v>3018</v>
      </c>
    </row>
    <row r="63" spans="1:47" x14ac:dyDescent="0.35">
      <c r="A63">
        <v>341676</v>
      </c>
      <c r="B63" t="s">
        <v>41</v>
      </c>
      <c r="C63" t="s">
        <v>42</v>
      </c>
      <c r="D63" s="2">
        <v>45787</v>
      </c>
      <c r="E63">
        <v>53850</v>
      </c>
      <c r="F63">
        <v>153</v>
      </c>
      <c r="G63" t="s">
        <v>63</v>
      </c>
      <c r="H63" t="s">
        <v>44</v>
      </c>
      <c r="I63" t="s">
        <v>45</v>
      </c>
      <c r="L63">
        <v>1533300663957</v>
      </c>
      <c r="M63">
        <v>20250407</v>
      </c>
      <c r="N63" t="s">
        <v>46</v>
      </c>
      <c r="Q63" t="s">
        <v>47</v>
      </c>
      <c r="R63">
        <v>49723.65</v>
      </c>
      <c r="T63">
        <v>3720623</v>
      </c>
      <c r="U63">
        <v>3067020648</v>
      </c>
      <c r="V63" t="s">
        <v>104</v>
      </c>
      <c r="W63" t="s">
        <v>49</v>
      </c>
      <c r="X63" t="s">
        <v>65</v>
      </c>
      <c r="Y63" t="s">
        <v>51</v>
      </c>
      <c r="Z63">
        <v>1055</v>
      </c>
      <c r="AH63">
        <v>0</v>
      </c>
      <c r="AI63">
        <v>202504</v>
      </c>
      <c r="AJ63" t="s">
        <v>56</v>
      </c>
      <c r="AK63">
        <v>0</v>
      </c>
      <c r="AL63">
        <v>1</v>
      </c>
      <c r="AO63">
        <v>0</v>
      </c>
      <c r="AP63" t="s">
        <v>3019</v>
      </c>
      <c r="AQ63" t="s">
        <v>3012</v>
      </c>
      <c r="AR63" t="s">
        <v>3020</v>
      </c>
      <c r="AS63" t="s">
        <v>3014</v>
      </c>
      <c r="AU63" t="s">
        <v>3014</v>
      </c>
    </row>
    <row r="64" spans="1:47" x14ac:dyDescent="0.35">
      <c r="A64">
        <v>341674</v>
      </c>
      <c r="B64" t="s">
        <v>41</v>
      </c>
      <c r="C64" t="s">
        <v>42</v>
      </c>
      <c r="D64" s="2">
        <v>45787</v>
      </c>
      <c r="E64">
        <v>53850</v>
      </c>
      <c r="F64">
        <v>122</v>
      </c>
      <c r="G64" t="s">
        <v>43</v>
      </c>
      <c r="H64" t="s">
        <v>44</v>
      </c>
      <c r="I64" t="s">
        <v>45</v>
      </c>
      <c r="L64">
        <v>1223300002128</v>
      </c>
      <c r="M64">
        <v>20250409</v>
      </c>
      <c r="N64" t="s">
        <v>46</v>
      </c>
      <c r="Q64" t="s">
        <v>47</v>
      </c>
      <c r="R64">
        <v>27000.75</v>
      </c>
      <c r="T64">
        <v>3711207</v>
      </c>
      <c r="U64">
        <v>8825020723</v>
      </c>
      <c r="V64" t="s">
        <v>48</v>
      </c>
      <c r="W64" t="s">
        <v>49</v>
      </c>
      <c r="X64" t="s">
        <v>50</v>
      </c>
      <c r="Y64" t="s">
        <v>51</v>
      </c>
      <c r="Z64">
        <v>1696</v>
      </c>
      <c r="AH64">
        <v>0</v>
      </c>
      <c r="AI64">
        <v>202504</v>
      </c>
      <c r="AJ64" t="s">
        <v>52</v>
      </c>
      <c r="AK64">
        <v>0</v>
      </c>
      <c r="AL64">
        <v>1</v>
      </c>
      <c r="AO64">
        <v>0</v>
      </c>
      <c r="AP64" t="s">
        <v>3011</v>
      </c>
      <c r="AQ64" t="s">
        <v>3012</v>
      </c>
      <c r="AR64" t="s">
        <v>3013</v>
      </c>
      <c r="AS64" t="s">
        <v>3014</v>
      </c>
      <c r="AU64" t="s">
        <v>3014</v>
      </c>
    </row>
    <row r="65" spans="1:47" x14ac:dyDescent="0.35">
      <c r="A65">
        <v>341657</v>
      </c>
      <c r="B65" t="s">
        <v>41</v>
      </c>
      <c r="C65" t="s">
        <v>42</v>
      </c>
      <c r="D65" s="2">
        <v>45787</v>
      </c>
      <c r="E65">
        <v>53850</v>
      </c>
      <c r="F65">
        <v>109</v>
      </c>
      <c r="G65" t="s">
        <v>89</v>
      </c>
      <c r="H65" t="s">
        <v>44</v>
      </c>
      <c r="I65" t="s">
        <v>45</v>
      </c>
      <c r="L65">
        <v>1093306674353</v>
      </c>
      <c r="M65">
        <v>20250414</v>
      </c>
      <c r="N65" t="s">
        <v>46</v>
      </c>
      <c r="Q65" t="s">
        <v>47</v>
      </c>
      <c r="R65">
        <v>305660.78000000003</v>
      </c>
      <c r="T65">
        <v>4916449</v>
      </c>
      <c r="U65">
        <v>8176830720</v>
      </c>
      <c r="V65" t="s">
        <v>98</v>
      </c>
      <c r="W65" t="s">
        <v>49</v>
      </c>
      <c r="X65" t="s">
        <v>91</v>
      </c>
      <c r="Y65" t="s">
        <v>51</v>
      </c>
      <c r="Z65">
        <v>1903</v>
      </c>
      <c r="AH65">
        <v>0</v>
      </c>
      <c r="AI65">
        <v>202504</v>
      </c>
      <c r="AJ65" t="s">
        <v>56</v>
      </c>
      <c r="AK65">
        <v>0</v>
      </c>
      <c r="AL65">
        <v>1</v>
      </c>
      <c r="AO65">
        <v>0</v>
      </c>
      <c r="AP65" t="s">
        <v>1100</v>
      </c>
      <c r="AQ65" t="s">
        <v>3012</v>
      </c>
      <c r="AR65" t="s">
        <v>3023</v>
      </c>
      <c r="AS65" t="s">
        <v>3014</v>
      </c>
      <c r="AU65" t="s">
        <v>3014</v>
      </c>
    </row>
    <row r="66" spans="1:47" x14ac:dyDescent="0.35">
      <c r="A66">
        <v>341638</v>
      </c>
      <c r="B66" t="s">
        <v>41</v>
      </c>
      <c r="C66" t="s">
        <v>42</v>
      </c>
      <c r="D66" s="2">
        <v>45787</v>
      </c>
      <c r="E66">
        <v>53850</v>
      </c>
      <c r="F66">
        <v>191</v>
      </c>
      <c r="G66" t="s">
        <v>102</v>
      </c>
      <c r="H66" t="s">
        <v>44</v>
      </c>
      <c r="I66" t="s">
        <v>45</v>
      </c>
      <c r="L66">
        <v>1913300068122</v>
      </c>
      <c r="M66">
        <v>20250407</v>
      </c>
      <c r="N66" t="s">
        <v>46</v>
      </c>
      <c r="Q66" t="s">
        <v>47</v>
      </c>
      <c r="R66">
        <v>30000</v>
      </c>
      <c r="T66">
        <v>4918280</v>
      </c>
      <c r="U66">
        <v>3480410798</v>
      </c>
      <c r="V66" t="s">
        <v>103</v>
      </c>
      <c r="W66" t="s">
        <v>49</v>
      </c>
      <c r="X66" t="s">
        <v>85</v>
      </c>
      <c r="Y66" t="s">
        <v>51</v>
      </c>
      <c r="AH66">
        <v>0</v>
      </c>
      <c r="AI66">
        <v>202504</v>
      </c>
      <c r="AJ66" t="s">
        <v>56</v>
      </c>
      <c r="AK66">
        <v>0</v>
      </c>
      <c r="AL66">
        <v>1</v>
      </c>
      <c r="AO66">
        <v>0</v>
      </c>
      <c r="AP66" t="s">
        <v>3015</v>
      </c>
      <c r="AQ66" t="s">
        <v>3012</v>
      </c>
      <c r="AR66" t="s">
        <v>3016</v>
      </c>
      <c r="AT66" t="s">
        <v>3017</v>
      </c>
      <c r="AU66" t="s">
        <v>3018</v>
      </c>
    </row>
    <row r="67" spans="1:47" x14ac:dyDescent="0.35">
      <c r="A67">
        <v>341621</v>
      </c>
      <c r="B67" t="s">
        <v>41</v>
      </c>
      <c r="C67" t="s">
        <v>42</v>
      </c>
      <c r="D67" s="2">
        <v>45787</v>
      </c>
      <c r="E67">
        <v>53850</v>
      </c>
      <c r="F67">
        <v>268</v>
      </c>
      <c r="G67" t="s">
        <v>83</v>
      </c>
      <c r="H67" t="s">
        <v>44</v>
      </c>
      <c r="I67" t="s">
        <v>45</v>
      </c>
      <c r="L67">
        <v>2683300000171</v>
      </c>
      <c r="M67">
        <v>20250416</v>
      </c>
      <c r="N67" t="s">
        <v>46</v>
      </c>
      <c r="Q67" t="s">
        <v>47</v>
      </c>
      <c r="R67">
        <v>150000</v>
      </c>
      <c r="T67">
        <v>1606212</v>
      </c>
      <c r="U67">
        <v>1495180794</v>
      </c>
      <c r="V67" t="s">
        <v>120</v>
      </c>
      <c r="W67" t="s">
        <v>49</v>
      </c>
      <c r="X67" t="s">
        <v>121</v>
      </c>
      <c r="Y67" t="s">
        <v>51</v>
      </c>
      <c r="Z67">
        <v>1627</v>
      </c>
      <c r="AH67">
        <v>0</v>
      </c>
      <c r="AI67">
        <v>202504</v>
      </c>
      <c r="AJ67" t="s">
        <v>86</v>
      </c>
      <c r="AK67">
        <v>1</v>
      </c>
      <c r="AL67">
        <v>1</v>
      </c>
      <c r="AO67">
        <v>0</v>
      </c>
      <c r="AP67" t="s">
        <v>3015</v>
      </c>
      <c r="AQ67" t="s">
        <v>3012</v>
      </c>
      <c r="AR67" t="s">
        <v>3016</v>
      </c>
      <c r="AT67" t="s">
        <v>3017</v>
      </c>
      <c r="AU67" t="s">
        <v>3018</v>
      </c>
    </row>
    <row r="68" spans="1:47" x14ac:dyDescent="0.35">
      <c r="A68">
        <v>341600</v>
      </c>
      <c r="B68" t="s">
        <v>41</v>
      </c>
      <c r="C68" t="s">
        <v>42</v>
      </c>
      <c r="D68" s="2">
        <v>45787</v>
      </c>
      <c r="E68">
        <v>53850</v>
      </c>
      <c r="F68">
        <v>141</v>
      </c>
      <c r="G68" t="s">
        <v>105</v>
      </c>
      <c r="H68" t="s">
        <v>44</v>
      </c>
      <c r="I68" t="s">
        <v>45</v>
      </c>
      <c r="L68">
        <v>1413300004311</v>
      </c>
      <c r="M68">
        <v>20250416</v>
      </c>
      <c r="N68" t="s">
        <v>46</v>
      </c>
      <c r="Q68" t="s">
        <v>47</v>
      </c>
      <c r="R68">
        <v>598090.81999999995</v>
      </c>
      <c r="T68">
        <v>3737110</v>
      </c>
      <c r="U68">
        <v>5366430758</v>
      </c>
      <c r="V68" t="s">
        <v>122</v>
      </c>
      <c r="W68" t="s">
        <v>49</v>
      </c>
      <c r="X68" t="s">
        <v>123</v>
      </c>
      <c r="Y68" t="s">
        <v>51</v>
      </c>
      <c r="Z68">
        <v>1627</v>
      </c>
      <c r="AH68">
        <v>0</v>
      </c>
      <c r="AI68">
        <v>202504</v>
      </c>
      <c r="AJ68" t="s">
        <v>52</v>
      </c>
      <c r="AK68">
        <v>0</v>
      </c>
      <c r="AL68">
        <v>1</v>
      </c>
      <c r="AO68">
        <v>0</v>
      </c>
      <c r="AP68" t="s">
        <v>3031</v>
      </c>
      <c r="AQ68" t="s">
        <v>3012</v>
      </c>
      <c r="AR68" t="s">
        <v>3032</v>
      </c>
      <c r="AS68" t="s">
        <v>3014</v>
      </c>
      <c r="AU68" t="s">
        <v>3014</v>
      </c>
    </row>
    <row r="69" spans="1:47" x14ac:dyDescent="0.35">
      <c r="A69">
        <v>341588</v>
      </c>
      <c r="B69" t="s">
        <v>41</v>
      </c>
      <c r="C69" t="s">
        <v>42</v>
      </c>
      <c r="D69" s="2">
        <v>45787</v>
      </c>
      <c r="E69">
        <v>53850</v>
      </c>
      <c r="F69">
        <v>148</v>
      </c>
      <c r="G69" t="s">
        <v>78</v>
      </c>
      <c r="H69" t="s">
        <v>44</v>
      </c>
      <c r="I69" t="s">
        <v>45</v>
      </c>
      <c r="L69">
        <v>1483300004308</v>
      </c>
      <c r="M69">
        <v>20250411</v>
      </c>
      <c r="N69" t="s">
        <v>46</v>
      </c>
      <c r="Q69" t="s">
        <v>47</v>
      </c>
      <c r="R69">
        <v>61293.66</v>
      </c>
      <c r="T69">
        <v>4898674</v>
      </c>
      <c r="U69">
        <v>2936580642</v>
      </c>
      <c r="V69" t="s">
        <v>79</v>
      </c>
      <c r="W69" t="s">
        <v>49</v>
      </c>
      <c r="X69" t="s">
        <v>59</v>
      </c>
      <c r="Y69" t="s">
        <v>51</v>
      </c>
      <c r="Z69">
        <v>1063</v>
      </c>
      <c r="AH69">
        <v>0</v>
      </c>
      <c r="AI69">
        <v>202504</v>
      </c>
      <c r="AJ69" t="s">
        <v>56</v>
      </c>
      <c r="AK69">
        <v>0</v>
      </c>
      <c r="AL69">
        <v>1</v>
      </c>
      <c r="AO69">
        <v>0</v>
      </c>
      <c r="AP69" t="s">
        <v>3015</v>
      </c>
      <c r="AQ69" t="s">
        <v>3012</v>
      </c>
      <c r="AR69" t="s">
        <v>3016</v>
      </c>
      <c r="AT69" t="s">
        <v>3017</v>
      </c>
      <c r="AU69" t="s">
        <v>3018</v>
      </c>
    </row>
    <row r="70" spans="1:47" x14ac:dyDescent="0.35">
      <c r="A70">
        <v>341587</v>
      </c>
      <c r="B70" t="s">
        <v>41</v>
      </c>
      <c r="C70" t="s">
        <v>42</v>
      </c>
      <c r="D70" s="2">
        <v>45787</v>
      </c>
      <c r="E70">
        <v>53850</v>
      </c>
      <c r="F70">
        <v>148</v>
      </c>
      <c r="G70" t="s">
        <v>78</v>
      </c>
      <c r="H70" t="s">
        <v>44</v>
      </c>
      <c r="I70" t="s">
        <v>45</v>
      </c>
      <c r="L70">
        <v>1483300004308</v>
      </c>
      <c r="M70">
        <v>20250401</v>
      </c>
      <c r="N70" t="s">
        <v>46</v>
      </c>
      <c r="Q70" t="s">
        <v>47</v>
      </c>
      <c r="R70">
        <v>39660</v>
      </c>
      <c r="T70">
        <v>4898674</v>
      </c>
      <c r="U70">
        <v>2936580642</v>
      </c>
      <c r="V70" t="s">
        <v>79</v>
      </c>
      <c r="W70" t="s">
        <v>49</v>
      </c>
      <c r="X70" t="s">
        <v>59</v>
      </c>
      <c r="Y70" t="s">
        <v>51</v>
      </c>
      <c r="Z70">
        <v>1063</v>
      </c>
      <c r="AH70">
        <v>0</v>
      </c>
      <c r="AI70">
        <v>202504</v>
      </c>
      <c r="AJ70" t="s">
        <v>56</v>
      </c>
      <c r="AK70">
        <v>0</v>
      </c>
      <c r="AL70">
        <v>1</v>
      </c>
      <c r="AO70">
        <v>0</v>
      </c>
      <c r="AP70" t="s">
        <v>3015</v>
      </c>
      <c r="AQ70" t="s">
        <v>3012</v>
      </c>
      <c r="AR70" t="s">
        <v>3016</v>
      </c>
      <c r="AT70" t="s">
        <v>3017</v>
      </c>
      <c r="AU70" t="s">
        <v>3018</v>
      </c>
    </row>
    <row r="71" spans="1:47" x14ac:dyDescent="0.35">
      <c r="A71">
        <v>341577</v>
      </c>
      <c r="B71" t="s">
        <v>41</v>
      </c>
      <c r="C71" t="s">
        <v>42</v>
      </c>
      <c r="D71" s="2">
        <v>45787</v>
      </c>
      <c r="E71">
        <v>53850</v>
      </c>
      <c r="F71">
        <v>122</v>
      </c>
      <c r="G71" t="s">
        <v>43</v>
      </c>
      <c r="H71" t="s">
        <v>44</v>
      </c>
      <c r="I71" t="s">
        <v>45</v>
      </c>
      <c r="L71">
        <v>1223300002128</v>
      </c>
      <c r="M71">
        <v>20250410</v>
      </c>
      <c r="N71" t="s">
        <v>46</v>
      </c>
      <c r="Q71" t="s">
        <v>47</v>
      </c>
      <c r="R71">
        <v>41710.18</v>
      </c>
      <c r="T71">
        <v>3711207</v>
      </c>
      <c r="U71">
        <v>8825020723</v>
      </c>
      <c r="V71" t="s">
        <v>48</v>
      </c>
      <c r="W71" t="s">
        <v>49</v>
      </c>
      <c r="X71" t="s">
        <v>50</v>
      </c>
      <c r="Y71" t="s">
        <v>51</v>
      </c>
      <c r="Z71">
        <v>1696</v>
      </c>
      <c r="AH71">
        <v>0</v>
      </c>
      <c r="AI71">
        <v>202504</v>
      </c>
      <c r="AJ71" t="s">
        <v>52</v>
      </c>
      <c r="AK71">
        <v>0</v>
      </c>
      <c r="AL71">
        <v>1</v>
      </c>
      <c r="AO71">
        <v>0</v>
      </c>
      <c r="AP71" t="s">
        <v>3011</v>
      </c>
      <c r="AQ71" t="s">
        <v>3012</v>
      </c>
      <c r="AR71" t="s">
        <v>3013</v>
      </c>
      <c r="AS71" t="s">
        <v>3014</v>
      </c>
      <c r="AU71" t="s">
        <v>3014</v>
      </c>
    </row>
    <row r="72" spans="1:47" x14ac:dyDescent="0.35">
      <c r="A72">
        <v>341574</v>
      </c>
      <c r="B72" t="s">
        <v>41</v>
      </c>
      <c r="C72" t="s">
        <v>42</v>
      </c>
      <c r="D72" s="2">
        <v>45787</v>
      </c>
      <c r="E72">
        <v>53850</v>
      </c>
      <c r="F72">
        <v>122</v>
      </c>
      <c r="G72" t="s">
        <v>43</v>
      </c>
      <c r="H72" t="s">
        <v>44</v>
      </c>
      <c r="I72" t="s">
        <v>45</v>
      </c>
      <c r="L72">
        <v>1223300002128</v>
      </c>
      <c r="M72">
        <v>20250409</v>
      </c>
      <c r="N72" t="s">
        <v>46</v>
      </c>
      <c r="Q72" t="s">
        <v>47</v>
      </c>
      <c r="R72">
        <v>40001.370000000003</v>
      </c>
      <c r="T72">
        <v>3711207</v>
      </c>
      <c r="U72">
        <v>8825020723</v>
      </c>
      <c r="V72" t="s">
        <v>48</v>
      </c>
      <c r="W72" t="s">
        <v>49</v>
      </c>
      <c r="X72" t="s">
        <v>50</v>
      </c>
      <c r="Y72" t="s">
        <v>51</v>
      </c>
      <c r="Z72">
        <v>1696</v>
      </c>
      <c r="AH72">
        <v>0</v>
      </c>
      <c r="AI72">
        <v>202504</v>
      </c>
      <c r="AJ72" t="s">
        <v>52</v>
      </c>
      <c r="AK72">
        <v>0</v>
      </c>
      <c r="AL72">
        <v>1</v>
      </c>
      <c r="AO72">
        <v>0</v>
      </c>
      <c r="AP72" t="s">
        <v>3011</v>
      </c>
      <c r="AQ72" t="s">
        <v>3012</v>
      </c>
      <c r="AR72" t="s">
        <v>3013</v>
      </c>
      <c r="AS72" t="s">
        <v>3014</v>
      </c>
      <c r="AU72" t="s">
        <v>3014</v>
      </c>
    </row>
    <row r="73" spans="1:47" x14ac:dyDescent="0.35">
      <c r="A73">
        <v>341546</v>
      </c>
      <c r="B73" t="s">
        <v>41</v>
      </c>
      <c r="C73" t="s">
        <v>42</v>
      </c>
      <c r="D73" s="2">
        <v>45787</v>
      </c>
      <c r="E73">
        <v>53850</v>
      </c>
      <c r="F73">
        <v>105</v>
      </c>
      <c r="G73" t="s">
        <v>60</v>
      </c>
      <c r="H73" t="s">
        <v>44</v>
      </c>
      <c r="I73" t="s">
        <v>45</v>
      </c>
      <c r="L73">
        <v>1053306287103</v>
      </c>
      <c r="M73">
        <v>20250402</v>
      </c>
      <c r="N73" t="s">
        <v>46</v>
      </c>
      <c r="Q73" t="s">
        <v>47</v>
      </c>
      <c r="R73">
        <v>72928.759999999995</v>
      </c>
      <c r="T73">
        <v>4263360</v>
      </c>
      <c r="U73">
        <v>5982300724</v>
      </c>
      <c r="V73" t="s">
        <v>61</v>
      </c>
      <c r="W73" t="s">
        <v>49</v>
      </c>
      <c r="X73" t="s">
        <v>62</v>
      </c>
      <c r="Y73" t="s">
        <v>51</v>
      </c>
      <c r="Z73">
        <v>1058</v>
      </c>
      <c r="AH73">
        <v>0</v>
      </c>
      <c r="AI73">
        <v>202504</v>
      </c>
      <c r="AJ73" t="s">
        <v>56</v>
      </c>
      <c r="AK73">
        <v>0</v>
      </c>
      <c r="AL73">
        <v>1</v>
      </c>
      <c r="AO73">
        <v>0</v>
      </c>
      <c r="AP73" t="s">
        <v>3015</v>
      </c>
      <c r="AQ73" t="s">
        <v>3012</v>
      </c>
      <c r="AR73" t="s">
        <v>3016</v>
      </c>
      <c r="AT73" t="s">
        <v>3017</v>
      </c>
      <c r="AU73" t="s">
        <v>3018</v>
      </c>
    </row>
    <row r="74" spans="1:47" x14ac:dyDescent="0.35">
      <c r="A74">
        <v>341521</v>
      </c>
      <c r="B74" t="s">
        <v>41</v>
      </c>
      <c r="C74" t="s">
        <v>42</v>
      </c>
      <c r="D74" s="2">
        <v>45787</v>
      </c>
      <c r="E74">
        <v>53850</v>
      </c>
      <c r="F74">
        <v>148</v>
      </c>
      <c r="G74" t="s">
        <v>78</v>
      </c>
      <c r="H74" t="s">
        <v>44</v>
      </c>
      <c r="I74" t="s">
        <v>45</v>
      </c>
      <c r="L74">
        <v>1483300004308</v>
      </c>
      <c r="M74">
        <v>20250414</v>
      </c>
      <c r="N74" t="s">
        <v>46</v>
      </c>
      <c r="Q74" t="s">
        <v>47</v>
      </c>
      <c r="R74">
        <v>37431.589999999997</v>
      </c>
      <c r="T74">
        <v>4898674</v>
      </c>
      <c r="U74">
        <v>2936580642</v>
      </c>
      <c r="V74" t="s">
        <v>79</v>
      </c>
      <c r="W74" t="s">
        <v>49</v>
      </c>
      <c r="X74" t="s">
        <v>59</v>
      </c>
      <c r="Y74" t="s">
        <v>51</v>
      </c>
      <c r="Z74">
        <v>1063</v>
      </c>
      <c r="AH74">
        <v>0</v>
      </c>
      <c r="AI74">
        <v>202504</v>
      </c>
      <c r="AJ74" t="s">
        <v>56</v>
      </c>
      <c r="AK74">
        <v>0</v>
      </c>
      <c r="AL74">
        <v>1</v>
      </c>
      <c r="AO74">
        <v>0</v>
      </c>
      <c r="AP74" t="s">
        <v>3015</v>
      </c>
      <c r="AQ74" t="s">
        <v>3012</v>
      </c>
      <c r="AR74" t="s">
        <v>3016</v>
      </c>
      <c r="AT74" t="s">
        <v>3017</v>
      </c>
      <c r="AU74" t="s">
        <v>3018</v>
      </c>
    </row>
    <row r="75" spans="1:47" x14ac:dyDescent="0.35">
      <c r="A75">
        <v>341512</v>
      </c>
      <c r="B75" t="s">
        <v>41</v>
      </c>
      <c r="C75" t="s">
        <v>42</v>
      </c>
      <c r="D75" s="2">
        <v>45787</v>
      </c>
      <c r="E75">
        <v>53850</v>
      </c>
      <c r="F75">
        <v>192</v>
      </c>
      <c r="G75" t="s">
        <v>66</v>
      </c>
      <c r="H75" t="s">
        <v>44</v>
      </c>
      <c r="I75" t="s">
        <v>45</v>
      </c>
      <c r="L75">
        <v>1923300183163</v>
      </c>
      <c r="M75">
        <v>20250429</v>
      </c>
      <c r="N75" t="s">
        <v>46</v>
      </c>
      <c r="Q75" t="s">
        <v>47</v>
      </c>
      <c r="R75">
        <v>26000</v>
      </c>
      <c r="T75">
        <v>4695944</v>
      </c>
      <c r="U75" t="s">
        <v>67</v>
      </c>
      <c r="V75" t="s">
        <v>68</v>
      </c>
      <c r="W75" t="s">
        <v>69</v>
      </c>
      <c r="X75" t="s">
        <v>70</v>
      </c>
      <c r="Y75" t="s">
        <v>51</v>
      </c>
      <c r="Z75">
        <v>481</v>
      </c>
      <c r="AH75">
        <v>0</v>
      </c>
      <c r="AI75">
        <v>202504</v>
      </c>
      <c r="AJ75" t="s">
        <v>56</v>
      </c>
      <c r="AK75">
        <v>0</v>
      </c>
      <c r="AL75">
        <v>1</v>
      </c>
      <c r="AM75">
        <v>4695944</v>
      </c>
      <c r="AN75">
        <v>1</v>
      </c>
      <c r="AO75">
        <v>0</v>
      </c>
      <c r="AP75" t="s">
        <v>3015</v>
      </c>
      <c r="AQ75" t="s">
        <v>3021</v>
      </c>
      <c r="AR75" t="s">
        <v>3022</v>
      </c>
      <c r="AT75" t="s">
        <v>3017</v>
      </c>
      <c r="AU75" t="s">
        <v>3014</v>
      </c>
    </row>
    <row r="76" spans="1:47" x14ac:dyDescent="0.35">
      <c r="A76">
        <v>341481</v>
      </c>
      <c r="B76" t="s">
        <v>41</v>
      </c>
      <c r="C76" t="s">
        <v>42</v>
      </c>
      <c r="D76" s="2">
        <v>45787</v>
      </c>
      <c r="E76">
        <v>53850</v>
      </c>
      <c r="F76">
        <v>122</v>
      </c>
      <c r="G76" t="s">
        <v>43</v>
      </c>
      <c r="H76" t="s">
        <v>44</v>
      </c>
      <c r="I76" t="s">
        <v>45</v>
      </c>
      <c r="L76">
        <v>1223300002128</v>
      </c>
      <c r="M76">
        <v>20250424</v>
      </c>
      <c r="N76" t="s">
        <v>46</v>
      </c>
      <c r="Q76" t="s">
        <v>47</v>
      </c>
      <c r="R76">
        <v>66879.039999999994</v>
      </c>
      <c r="T76">
        <v>3711207</v>
      </c>
      <c r="U76">
        <v>8825020723</v>
      </c>
      <c r="V76" t="s">
        <v>48</v>
      </c>
      <c r="W76" t="s">
        <v>49</v>
      </c>
      <c r="X76" t="s">
        <v>50</v>
      </c>
      <c r="Y76" t="s">
        <v>51</v>
      </c>
      <c r="Z76">
        <v>1696</v>
      </c>
      <c r="AH76">
        <v>0</v>
      </c>
      <c r="AI76">
        <v>202504</v>
      </c>
      <c r="AJ76" t="s">
        <v>52</v>
      </c>
      <c r="AK76">
        <v>0</v>
      </c>
      <c r="AL76">
        <v>1</v>
      </c>
      <c r="AO76">
        <v>0</v>
      </c>
      <c r="AP76" t="s">
        <v>3011</v>
      </c>
      <c r="AQ76" t="s">
        <v>3012</v>
      </c>
      <c r="AR76" t="s">
        <v>3013</v>
      </c>
      <c r="AS76" t="s">
        <v>3014</v>
      </c>
      <c r="AU76" t="s">
        <v>3014</v>
      </c>
    </row>
    <row r="77" spans="1:47" x14ac:dyDescent="0.35">
      <c r="A77">
        <v>341468</v>
      </c>
      <c r="B77" t="s">
        <v>41</v>
      </c>
      <c r="C77" t="s">
        <v>42</v>
      </c>
      <c r="D77" s="2">
        <v>45787</v>
      </c>
      <c r="E77">
        <v>53850</v>
      </c>
      <c r="F77">
        <v>122</v>
      </c>
      <c r="G77" t="s">
        <v>43</v>
      </c>
      <c r="H77" t="s">
        <v>44</v>
      </c>
      <c r="I77" t="s">
        <v>45</v>
      </c>
      <c r="L77">
        <v>1223300002128</v>
      </c>
      <c r="M77">
        <v>20250428</v>
      </c>
      <c r="N77" t="s">
        <v>46</v>
      </c>
      <c r="Q77" t="s">
        <v>47</v>
      </c>
      <c r="R77">
        <v>209685.34</v>
      </c>
      <c r="T77">
        <v>3711207</v>
      </c>
      <c r="U77">
        <v>8825020723</v>
      </c>
      <c r="V77" t="s">
        <v>48</v>
      </c>
      <c r="W77" t="s">
        <v>49</v>
      </c>
      <c r="X77" t="s">
        <v>50</v>
      </c>
      <c r="Y77" t="s">
        <v>51</v>
      </c>
      <c r="Z77">
        <v>1696</v>
      </c>
      <c r="AH77">
        <v>0</v>
      </c>
      <c r="AI77">
        <v>202504</v>
      </c>
      <c r="AJ77" t="s">
        <v>52</v>
      </c>
      <c r="AK77">
        <v>0</v>
      </c>
      <c r="AL77">
        <v>1</v>
      </c>
      <c r="AO77">
        <v>0</v>
      </c>
      <c r="AP77" t="s">
        <v>3011</v>
      </c>
      <c r="AQ77" t="s">
        <v>3012</v>
      </c>
      <c r="AR77" t="s">
        <v>3013</v>
      </c>
      <c r="AS77" t="s">
        <v>3014</v>
      </c>
      <c r="AU77" t="s">
        <v>3014</v>
      </c>
    </row>
    <row r="78" spans="1:47" x14ac:dyDescent="0.35">
      <c r="A78">
        <v>341456</v>
      </c>
      <c r="B78" t="s">
        <v>41</v>
      </c>
      <c r="C78" t="s">
        <v>42</v>
      </c>
      <c r="D78" s="2">
        <v>45787</v>
      </c>
      <c r="E78">
        <v>53850</v>
      </c>
      <c r="F78">
        <v>108</v>
      </c>
      <c r="G78" t="s">
        <v>124</v>
      </c>
      <c r="H78" t="s">
        <v>44</v>
      </c>
      <c r="I78" t="s">
        <v>45</v>
      </c>
      <c r="L78">
        <v>1083300011180</v>
      </c>
      <c r="M78">
        <v>20250416</v>
      </c>
      <c r="N78" t="s">
        <v>97</v>
      </c>
      <c r="Q78" t="s">
        <v>47</v>
      </c>
      <c r="R78">
        <v>27135.11</v>
      </c>
      <c r="T78">
        <v>1118</v>
      </c>
      <c r="U78">
        <v>3246700722</v>
      </c>
      <c r="V78" t="s">
        <v>125</v>
      </c>
      <c r="W78" t="s">
        <v>49</v>
      </c>
      <c r="X78" t="s">
        <v>96</v>
      </c>
      <c r="Y78" t="s">
        <v>51</v>
      </c>
      <c r="Z78">
        <v>1058</v>
      </c>
      <c r="AH78">
        <v>0</v>
      </c>
      <c r="AI78">
        <v>202504</v>
      </c>
      <c r="AJ78" t="s">
        <v>52</v>
      </c>
      <c r="AK78">
        <v>0</v>
      </c>
      <c r="AL78">
        <v>1</v>
      </c>
      <c r="AO78">
        <v>0</v>
      </c>
      <c r="AP78" t="s">
        <v>3015</v>
      </c>
      <c r="AQ78" t="s">
        <v>3012</v>
      </c>
      <c r="AR78" t="s">
        <v>3016</v>
      </c>
      <c r="AT78" t="s">
        <v>3017</v>
      </c>
      <c r="AU78" t="s">
        <v>3018</v>
      </c>
    </row>
    <row r="79" spans="1:47" x14ac:dyDescent="0.35">
      <c r="A79">
        <v>341437</v>
      </c>
      <c r="B79" t="s">
        <v>41</v>
      </c>
      <c r="C79" t="s">
        <v>42</v>
      </c>
      <c r="D79" s="2">
        <v>45787</v>
      </c>
      <c r="E79">
        <v>53850</v>
      </c>
      <c r="F79">
        <v>122</v>
      </c>
      <c r="G79" t="s">
        <v>43</v>
      </c>
      <c r="H79" t="s">
        <v>44</v>
      </c>
      <c r="I79" t="s">
        <v>45</v>
      </c>
      <c r="L79">
        <v>1223300002128</v>
      </c>
      <c r="M79">
        <v>20250409</v>
      </c>
      <c r="N79" t="s">
        <v>46</v>
      </c>
      <c r="Q79" t="s">
        <v>47</v>
      </c>
      <c r="R79">
        <v>38500.800000000003</v>
      </c>
      <c r="T79">
        <v>3711207</v>
      </c>
      <c r="U79">
        <v>8825020723</v>
      </c>
      <c r="V79" t="s">
        <v>48</v>
      </c>
      <c r="W79" t="s">
        <v>49</v>
      </c>
      <c r="X79" t="s">
        <v>50</v>
      </c>
      <c r="Y79" t="s">
        <v>51</v>
      </c>
      <c r="Z79">
        <v>1696</v>
      </c>
      <c r="AH79">
        <v>0</v>
      </c>
      <c r="AI79">
        <v>202504</v>
      </c>
      <c r="AJ79" t="s">
        <v>52</v>
      </c>
      <c r="AK79">
        <v>0</v>
      </c>
      <c r="AL79">
        <v>1</v>
      </c>
      <c r="AO79">
        <v>0</v>
      </c>
      <c r="AP79" t="s">
        <v>3011</v>
      </c>
      <c r="AQ79" t="s">
        <v>3012</v>
      </c>
      <c r="AR79" t="s">
        <v>3013</v>
      </c>
      <c r="AS79" t="s">
        <v>3014</v>
      </c>
      <c r="AU79" t="s">
        <v>3014</v>
      </c>
    </row>
    <row r="80" spans="1:47" x14ac:dyDescent="0.35">
      <c r="A80">
        <v>341403</v>
      </c>
      <c r="B80" t="s">
        <v>41</v>
      </c>
      <c r="C80" t="s">
        <v>42</v>
      </c>
      <c r="D80" s="2">
        <v>45787</v>
      </c>
      <c r="E80">
        <v>53850</v>
      </c>
      <c r="F80">
        <v>109</v>
      </c>
      <c r="G80" t="s">
        <v>89</v>
      </c>
      <c r="H80" t="s">
        <v>44</v>
      </c>
      <c r="I80" t="s">
        <v>45</v>
      </c>
      <c r="L80">
        <v>1093306674353</v>
      </c>
      <c r="M80">
        <v>20250409</v>
      </c>
      <c r="N80" t="s">
        <v>46</v>
      </c>
      <c r="Q80" t="s">
        <v>47</v>
      </c>
      <c r="R80">
        <v>47512.33</v>
      </c>
      <c r="T80">
        <v>4916449</v>
      </c>
      <c r="U80">
        <v>8176830720</v>
      </c>
      <c r="V80" t="s">
        <v>98</v>
      </c>
      <c r="W80" t="s">
        <v>49</v>
      </c>
      <c r="X80" t="s">
        <v>91</v>
      </c>
      <c r="Y80" t="s">
        <v>51</v>
      </c>
      <c r="Z80">
        <v>1903</v>
      </c>
      <c r="AH80">
        <v>0</v>
      </c>
      <c r="AI80">
        <v>202504</v>
      </c>
      <c r="AJ80" t="s">
        <v>56</v>
      </c>
      <c r="AK80">
        <v>0</v>
      </c>
      <c r="AL80">
        <v>1</v>
      </c>
      <c r="AO80">
        <v>0</v>
      </c>
      <c r="AP80" t="s">
        <v>1100</v>
      </c>
      <c r="AQ80" t="s">
        <v>3012</v>
      </c>
      <c r="AR80" t="s">
        <v>3023</v>
      </c>
      <c r="AS80" t="s">
        <v>3014</v>
      </c>
      <c r="AU80" t="s">
        <v>3014</v>
      </c>
    </row>
    <row r="81" spans="1:47" x14ac:dyDescent="0.35">
      <c r="A81">
        <v>341390</v>
      </c>
      <c r="B81" t="s">
        <v>41</v>
      </c>
      <c r="C81" t="s">
        <v>42</v>
      </c>
      <c r="D81" s="2">
        <v>45787</v>
      </c>
      <c r="E81">
        <v>53850</v>
      </c>
      <c r="F81">
        <v>153</v>
      </c>
      <c r="G81" t="s">
        <v>63</v>
      </c>
      <c r="H81" t="s">
        <v>44</v>
      </c>
      <c r="I81" t="s">
        <v>45</v>
      </c>
      <c r="L81">
        <v>1533300663959</v>
      </c>
      <c r="M81">
        <v>20250408</v>
      </c>
      <c r="N81" t="s">
        <v>46</v>
      </c>
      <c r="Q81" t="s">
        <v>47</v>
      </c>
      <c r="R81">
        <v>25320.959999999999</v>
      </c>
      <c r="T81">
        <v>3721097</v>
      </c>
      <c r="U81">
        <v>10391641213</v>
      </c>
      <c r="V81" t="s">
        <v>64</v>
      </c>
      <c r="W81" t="s">
        <v>49</v>
      </c>
      <c r="X81" t="s">
        <v>65</v>
      </c>
      <c r="Y81" t="s">
        <v>51</v>
      </c>
      <c r="Z81">
        <v>1237</v>
      </c>
      <c r="AH81">
        <v>0</v>
      </c>
      <c r="AI81">
        <v>202504</v>
      </c>
      <c r="AJ81" t="s">
        <v>56</v>
      </c>
      <c r="AK81">
        <v>0</v>
      </c>
      <c r="AL81">
        <v>1</v>
      </c>
      <c r="AO81">
        <v>0</v>
      </c>
      <c r="AP81" t="s">
        <v>3019</v>
      </c>
      <c r="AQ81" t="s">
        <v>3012</v>
      </c>
      <c r="AR81" t="s">
        <v>3020</v>
      </c>
      <c r="AS81" t="s">
        <v>3014</v>
      </c>
      <c r="AU81" t="s">
        <v>3014</v>
      </c>
    </row>
    <row r="82" spans="1:47" x14ac:dyDescent="0.35">
      <c r="A82">
        <v>341362</v>
      </c>
      <c r="B82" t="s">
        <v>41</v>
      </c>
      <c r="C82" t="s">
        <v>42</v>
      </c>
      <c r="D82" s="2">
        <v>45787</v>
      </c>
      <c r="E82">
        <v>53850</v>
      </c>
      <c r="F82">
        <v>105</v>
      </c>
      <c r="G82" t="s">
        <v>60</v>
      </c>
      <c r="H82" t="s">
        <v>44</v>
      </c>
      <c r="I82" t="s">
        <v>45</v>
      </c>
      <c r="L82">
        <v>1053306287103</v>
      </c>
      <c r="M82">
        <v>20250424</v>
      </c>
      <c r="N82" t="s">
        <v>46</v>
      </c>
      <c r="Q82" t="s">
        <v>47</v>
      </c>
      <c r="R82">
        <v>450578.77</v>
      </c>
      <c r="T82">
        <v>4263360</v>
      </c>
      <c r="U82">
        <v>5982300724</v>
      </c>
      <c r="V82" t="s">
        <v>61</v>
      </c>
      <c r="W82" t="s">
        <v>49</v>
      </c>
      <c r="X82" t="s">
        <v>62</v>
      </c>
      <c r="Y82" t="s">
        <v>51</v>
      </c>
      <c r="Z82">
        <v>1058</v>
      </c>
      <c r="AH82">
        <v>0</v>
      </c>
      <c r="AI82">
        <v>202504</v>
      </c>
      <c r="AJ82" t="s">
        <v>56</v>
      </c>
      <c r="AK82">
        <v>0</v>
      </c>
      <c r="AL82">
        <v>1</v>
      </c>
      <c r="AO82">
        <v>0</v>
      </c>
      <c r="AP82" t="s">
        <v>3015</v>
      </c>
      <c r="AQ82" t="s">
        <v>3012</v>
      </c>
      <c r="AR82" t="s">
        <v>3016</v>
      </c>
      <c r="AT82" t="s">
        <v>3017</v>
      </c>
      <c r="AU82" t="s">
        <v>3018</v>
      </c>
    </row>
    <row r="83" spans="1:47" x14ac:dyDescent="0.35">
      <c r="A83">
        <v>341347</v>
      </c>
      <c r="B83" t="s">
        <v>41</v>
      </c>
      <c r="C83" t="s">
        <v>42</v>
      </c>
      <c r="D83" s="2">
        <v>45787</v>
      </c>
      <c r="E83">
        <v>53850</v>
      </c>
      <c r="F83">
        <v>108</v>
      </c>
      <c r="G83" t="s">
        <v>124</v>
      </c>
      <c r="H83" t="s">
        <v>44</v>
      </c>
      <c r="I83" t="s">
        <v>45</v>
      </c>
      <c r="L83">
        <v>1083300011180</v>
      </c>
      <c r="M83">
        <v>20250416</v>
      </c>
      <c r="N83" t="s">
        <v>81</v>
      </c>
      <c r="Q83" t="s">
        <v>47</v>
      </c>
      <c r="R83">
        <v>38602.86</v>
      </c>
      <c r="T83">
        <v>1118</v>
      </c>
      <c r="U83">
        <v>3246700722</v>
      </c>
      <c r="V83" t="s">
        <v>125</v>
      </c>
      <c r="W83" t="s">
        <v>49</v>
      </c>
      <c r="X83" t="s">
        <v>96</v>
      </c>
      <c r="Y83" t="s">
        <v>51</v>
      </c>
      <c r="Z83">
        <v>1058</v>
      </c>
      <c r="AH83">
        <v>0</v>
      </c>
      <c r="AI83">
        <v>202504</v>
      </c>
      <c r="AJ83" t="s">
        <v>52</v>
      </c>
      <c r="AK83">
        <v>0</v>
      </c>
      <c r="AL83">
        <v>1</v>
      </c>
      <c r="AO83">
        <v>0</v>
      </c>
      <c r="AP83" t="s">
        <v>3015</v>
      </c>
      <c r="AQ83" t="s">
        <v>3012</v>
      </c>
      <c r="AR83" t="s">
        <v>3016</v>
      </c>
      <c r="AT83" t="s">
        <v>3017</v>
      </c>
      <c r="AU83" t="s">
        <v>3018</v>
      </c>
    </row>
    <row r="84" spans="1:47" x14ac:dyDescent="0.35">
      <c r="A84">
        <v>341336</v>
      </c>
      <c r="B84" t="s">
        <v>41</v>
      </c>
      <c r="C84" t="s">
        <v>42</v>
      </c>
      <c r="D84" s="2">
        <v>45787</v>
      </c>
      <c r="E84">
        <v>53850</v>
      </c>
      <c r="F84">
        <v>108</v>
      </c>
      <c r="G84" t="s">
        <v>124</v>
      </c>
      <c r="H84" t="s">
        <v>44</v>
      </c>
      <c r="I84" t="s">
        <v>45</v>
      </c>
      <c r="L84">
        <v>1083300011180</v>
      </c>
      <c r="M84">
        <v>20250428</v>
      </c>
      <c r="N84" t="s">
        <v>81</v>
      </c>
      <c r="Q84" t="s">
        <v>47</v>
      </c>
      <c r="R84">
        <v>61078.23</v>
      </c>
      <c r="T84">
        <v>1118</v>
      </c>
      <c r="U84">
        <v>3246700722</v>
      </c>
      <c r="V84" t="s">
        <v>125</v>
      </c>
      <c r="W84" t="s">
        <v>49</v>
      </c>
      <c r="X84" t="s">
        <v>96</v>
      </c>
      <c r="Y84" t="s">
        <v>51</v>
      </c>
      <c r="Z84">
        <v>1058</v>
      </c>
      <c r="AH84">
        <v>0</v>
      </c>
      <c r="AI84">
        <v>202504</v>
      </c>
      <c r="AJ84" t="s">
        <v>52</v>
      </c>
      <c r="AK84">
        <v>0</v>
      </c>
      <c r="AL84">
        <v>1</v>
      </c>
      <c r="AO84">
        <v>0</v>
      </c>
      <c r="AP84" t="s">
        <v>3015</v>
      </c>
      <c r="AQ84" t="s">
        <v>3012</v>
      </c>
      <c r="AR84" t="s">
        <v>3016</v>
      </c>
      <c r="AT84" t="s">
        <v>3017</v>
      </c>
      <c r="AU84" t="s">
        <v>3018</v>
      </c>
    </row>
    <row r="85" spans="1:47" x14ac:dyDescent="0.35">
      <c r="A85">
        <v>341330</v>
      </c>
      <c r="B85" t="s">
        <v>41</v>
      </c>
      <c r="C85" t="s">
        <v>42</v>
      </c>
      <c r="D85" s="2">
        <v>45787</v>
      </c>
      <c r="E85">
        <v>53850</v>
      </c>
      <c r="F85">
        <v>132</v>
      </c>
      <c r="G85" t="s">
        <v>92</v>
      </c>
      <c r="H85" t="s">
        <v>44</v>
      </c>
      <c r="I85" t="s">
        <v>45</v>
      </c>
      <c r="L85">
        <v>1323300003714</v>
      </c>
      <c r="M85">
        <v>20250430</v>
      </c>
      <c r="N85" t="s">
        <v>46</v>
      </c>
      <c r="Q85" t="s">
        <v>47</v>
      </c>
      <c r="R85">
        <v>31824.6</v>
      </c>
      <c r="T85">
        <v>3724103</v>
      </c>
      <c r="U85">
        <v>2178850760</v>
      </c>
      <c r="V85" t="s">
        <v>93</v>
      </c>
      <c r="W85" t="s">
        <v>49</v>
      </c>
      <c r="X85" t="s">
        <v>88</v>
      </c>
      <c r="Y85" t="s">
        <v>51</v>
      </c>
      <c r="Z85">
        <v>823</v>
      </c>
      <c r="AH85">
        <v>0</v>
      </c>
      <c r="AI85">
        <v>202504</v>
      </c>
      <c r="AJ85" t="s">
        <v>52</v>
      </c>
      <c r="AK85">
        <v>0</v>
      </c>
      <c r="AL85">
        <v>1</v>
      </c>
      <c r="AO85">
        <v>0</v>
      </c>
      <c r="AP85" t="s">
        <v>3015</v>
      </c>
      <c r="AQ85" t="s">
        <v>3012</v>
      </c>
      <c r="AR85" t="s">
        <v>3016</v>
      </c>
      <c r="AT85" t="s">
        <v>3017</v>
      </c>
      <c r="AU85" t="s">
        <v>3018</v>
      </c>
    </row>
    <row r="86" spans="1:47" x14ac:dyDescent="0.35">
      <c r="A86">
        <v>341313</v>
      </c>
      <c r="B86" t="s">
        <v>41</v>
      </c>
      <c r="C86" t="s">
        <v>42</v>
      </c>
      <c r="D86" s="2">
        <v>45787</v>
      </c>
      <c r="E86">
        <v>53850</v>
      </c>
      <c r="F86">
        <v>132</v>
      </c>
      <c r="G86" t="s">
        <v>92</v>
      </c>
      <c r="H86" t="s">
        <v>44</v>
      </c>
      <c r="I86" t="s">
        <v>45</v>
      </c>
      <c r="L86">
        <v>1323300003714</v>
      </c>
      <c r="M86">
        <v>20250407</v>
      </c>
      <c r="N86" t="s">
        <v>46</v>
      </c>
      <c r="Q86" t="s">
        <v>47</v>
      </c>
      <c r="R86">
        <v>27793.599999999999</v>
      </c>
      <c r="T86">
        <v>3724103</v>
      </c>
      <c r="U86">
        <v>2178850760</v>
      </c>
      <c r="V86" t="s">
        <v>93</v>
      </c>
      <c r="W86" t="s">
        <v>49</v>
      </c>
      <c r="X86" t="s">
        <v>88</v>
      </c>
      <c r="Y86" t="s">
        <v>51</v>
      </c>
      <c r="Z86">
        <v>823</v>
      </c>
      <c r="AH86">
        <v>0</v>
      </c>
      <c r="AI86">
        <v>202504</v>
      </c>
      <c r="AJ86" t="s">
        <v>52</v>
      </c>
      <c r="AK86">
        <v>0</v>
      </c>
      <c r="AL86">
        <v>1</v>
      </c>
      <c r="AO86">
        <v>0</v>
      </c>
      <c r="AP86" t="s">
        <v>3015</v>
      </c>
      <c r="AQ86" t="s">
        <v>3012</v>
      </c>
      <c r="AR86" t="s">
        <v>3016</v>
      </c>
      <c r="AT86" t="s">
        <v>3017</v>
      </c>
      <c r="AU86" t="s">
        <v>3018</v>
      </c>
    </row>
    <row r="87" spans="1:47" x14ac:dyDescent="0.35">
      <c r="A87">
        <v>341266</v>
      </c>
      <c r="B87" t="s">
        <v>41</v>
      </c>
      <c r="C87" t="s">
        <v>42</v>
      </c>
      <c r="D87" s="2">
        <v>45787</v>
      </c>
      <c r="E87">
        <v>53850</v>
      </c>
      <c r="F87">
        <v>104</v>
      </c>
      <c r="G87" t="s">
        <v>108</v>
      </c>
      <c r="H87" t="s">
        <v>44</v>
      </c>
      <c r="I87" t="s">
        <v>45</v>
      </c>
      <c r="L87">
        <v>1043309503914</v>
      </c>
      <c r="M87">
        <v>20250414</v>
      </c>
      <c r="N87" t="s">
        <v>46</v>
      </c>
      <c r="Q87" t="s">
        <v>47</v>
      </c>
      <c r="R87">
        <v>160157.01999999999</v>
      </c>
      <c r="T87">
        <v>424944</v>
      </c>
      <c r="U87">
        <v>3454860721</v>
      </c>
      <c r="V87" t="s">
        <v>118</v>
      </c>
      <c r="W87" t="s">
        <v>49</v>
      </c>
      <c r="X87" t="s">
        <v>117</v>
      </c>
      <c r="Y87" t="s">
        <v>51</v>
      </c>
      <c r="Z87">
        <v>1696</v>
      </c>
      <c r="AH87">
        <v>0</v>
      </c>
      <c r="AI87">
        <v>202504</v>
      </c>
      <c r="AJ87" t="s">
        <v>119</v>
      </c>
      <c r="AK87">
        <v>1</v>
      </c>
      <c r="AL87">
        <v>1</v>
      </c>
      <c r="AO87">
        <v>0</v>
      </c>
      <c r="AP87" t="s">
        <v>3029</v>
      </c>
      <c r="AQ87" t="s">
        <v>3012</v>
      </c>
      <c r="AR87" t="s">
        <v>3030</v>
      </c>
      <c r="AS87" t="s">
        <v>3014</v>
      </c>
      <c r="AU87" t="s">
        <v>3014</v>
      </c>
    </row>
    <row r="88" spans="1:47" x14ac:dyDescent="0.35">
      <c r="A88">
        <v>341248</v>
      </c>
      <c r="B88" t="s">
        <v>41</v>
      </c>
      <c r="C88" t="s">
        <v>42</v>
      </c>
      <c r="D88" s="2">
        <v>45787</v>
      </c>
      <c r="E88">
        <v>53850</v>
      </c>
      <c r="F88">
        <v>154</v>
      </c>
      <c r="G88" t="s">
        <v>53</v>
      </c>
      <c r="H88" t="s">
        <v>44</v>
      </c>
      <c r="I88" t="s">
        <v>45</v>
      </c>
      <c r="L88">
        <v>1543300004860</v>
      </c>
      <c r="M88">
        <v>20250424</v>
      </c>
      <c r="N88" t="s">
        <v>46</v>
      </c>
      <c r="Q88" t="s">
        <v>47</v>
      </c>
      <c r="R88">
        <v>29905.88</v>
      </c>
      <c r="T88">
        <v>3715569</v>
      </c>
      <c r="U88">
        <v>5424970654</v>
      </c>
      <c r="V88" t="s">
        <v>54</v>
      </c>
      <c r="W88" t="s">
        <v>49</v>
      </c>
      <c r="X88" t="s">
        <v>55</v>
      </c>
      <c r="Y88" t="s">
        <v>51</v>
      </c>
      <c r="Z88">
        <v>741</v>
      </c>
      <c r="AH88">
        <v>0</v>
      </c>
      <c r="AI88">
        <v>202504</v>
      </c>
      <c r="AJ88" t="s">
        <v>56</v>
      </c>
      <c r="AK88">
        <v>0</v>
      </c>
      <c r="AL88">
        <v>1</v>
      </c>
      <c r="AM88">
        <v>3715569</v>
      </c>
      <c r="AN88">
        <v>1</v>
      </c>
      <c r="AO88">
        <v>0</v>
      </c>
      <c r="AP88" t="s">
        <v>3015</v>
      </c>
      <c r="AQ88" t="s">
        <v>3012</v>
      </c>
      <c r="AR88" t="s">
        <v>3016</v>
      </c>
      <c r="AT88" t="s">
        <v>3017</v>
      </c>
      <c r="AU88" t="s">
        <v>3018</v>
      </c>
    </row>
    <row r="89" spans="1:47" x14ac:dyDescent="0.35">
      <c r="A89">
        <v>341239</v>
      </c>
      <c r="B89" t="s">
        <v>41</v>
      </c>
      <c r="C89" t="s">
        <v>42</v>
      </c>
      <c r="D89" s="2">
        <v>45787</v>
      </c>
      <c r="E89">
        <v>53850</v>
      </c>
      <c r="F89">
        <v>154</v>
      </c>
      <c r="G89" t="s">
        <v>53</v>
      </c>
      <c r="H89" t="s">
        <v>44</v>
      </c>
      <c r="I89" t="s">
        <v>45</v>
      </c>
      <c r="L89">
        <v>1543300004860</v>
      </c>
      <c r="M89">
        <v>20250414</v>
      </c>
      <c r="N89" t="s">
        <v>46</v>
      </c>
      <c r="Q89" t="s">
        <v>47</v>
      </c>
      <c r="R89">
        <v>28811.8</v>
      </c>
      <c r="T89">
        <v>3715569</v>
      </c>
      <c r="U89">
        <v>5424970654</v>
      </c>
      <c r="V89" t="s">
        <v>54</v>
      </c>
      <c r="W89" t="s">
        <v>49</v>
      </c>
      <c r="X89" t="s">
        <v>55</v>
      </c>
      <c r="Y89" t="s">
        <v>51</v>
      </c>
      <c r="Z89">
        <v>741</v>
      </c>
      <c r="AH89">
        <v>0</v>
      </c>
      <c r="AI89">
        <v>202504</v>
      </c>
      <c r="AJ89" t="s">
        <v>56</v>
      </c>
      <c r="AK89">
        <v>0</v>
      </c>
      <c r="AL89">
        <v>1</v>
      </c>
      <c r="AM89">
        <v>3715569</v>
      </c>
      <c r="AN89">
        <v>1</v>
      </c>
      <c r="AO89">
        <v>0</v>
      </c>
      <c r="AP89" t="s">
        <v>3015</v>
      </c>
      <c r="AQ89" t="s">
        <v>3012</v>
      </c>
      <c r="AR89" t="s">
        <v>3016</v>
      </c>
      <c r="AT89" t="s">
        <v>3017</v>
      </c>
      <c r="AU89" t="s">
        <v>3018</v>
      </c>
    </row>
    <row r="90" spans="1:47" x14ac:dyDescent="0.35">
      <c r="A90">
        <v>341187</v>
      </c>
      <c r="B90" t="s">
        <v>41</v>
      </c>
      <c r="C90" t="s">
        <v>42</v>
      </c>
      <c r="D90" s="2">
        <v>45787</v>
      </c>
      <c r="E90">
        <v>53850</v>
      </c>
      <c r="F90">
        <v>116</v>
      </c>
      <c r="G90" t="s">
        <v>126</v>
      </c>
      <c r="H90" t="s">
        <v>44</v>
      </c>
      <c r="I90" t="s">
        <v>45</v>
      </c>
      <c r="L90">
        <v>1163305431040</v>
      </c>
      <c r="M90">
        <v>20250402</v>
      </c>
      <c r="N90" t="s">
        <v>46</v>
      </c>
      <c r="Q90" t="s">
        <v>47</v>
      </c>
      <c r="R90">
        <v>104920</v>
      </c>
      <c r="T90">
        <v>543104</v>
      </c>
      <c r="U90">
        <v>4393640729</v>
      </c>
      <c r="V90" t="s">
        <v>127</v>
      </c>
      <c r="W90" t="s">
        <v>49</v>
      </c>
      <c r="X90" t="s">
        <v>128</v>
      </c>
      <c r="Y90" t="s">
        <v>51</v>
      </c>
      <c r="Z90">
        <v>1696</v>
      </c>
      <c r="AH90">
        <v>0</v>
      </c>
      <c r="AI90">
        <v>202504</v>
      </c>
      <c r="AJ90" t="s">
        <v>114</v>
      </c>
      <c r="AK90">
        <v>1</v>
      </c>
      <c r="AL90">
        <v>1</v>
      </c>
      <c r="AO90">
        <v>0</v>
      </c>
      <c r="AP90" t="s">
        <v>3015</v>
      </c>
      <c r="AQ90" t="s">
        <v>3012</v>
      </c>
      <c r="AR90" t="s">
        <v>3016</v>
      </c>
      <c r="AT90" t="s">
        <v>3017</v>
      </c>
      <c r="AU90" t="s">
        <v>3018</v>
      </c>
    </row>
    <row r="91" spans="1:47" x14ac:dyDescent="0.35">
      <c r="A91">
        <v>341137</v>
      </c>
      <c r="B91" t="s">
        <v>41</v>
      </c>
      <c r="C91" t="s">
        <v>42</v>
      </c>
      <c r="D91" s="2">
        <v>45787</v>
      </c>
      <c r="E91">
        <v>53850</v>
      </c>
      <c r="F91">
        <v>191</v>
      </c>
      <c r="G91" t="s">
        <v>102</v>
      </c>
      <c r="H91" t="s">
        <v>44</v>
      </c>
      <c r="I91" t="s">
        <v>45</v>
      </c>
      <c r="L91">
        <v>1913300068122</v>
      </c>
      <c r="M91">
        <v>20250403</v>
      </c>
      <c r="N91" t="s">
        <v>46</v>
      </c>
      <c r="Q91" t="s">
        <v>47</v>
      </c>
      <c r="R91">
        <v>100000</v>
      </c>
      <c r="T91">
        <v>4918280</v>
      </c>
      <c r="U91">
        <v>3480410798</v>
      </c>
      <c r="V91" t="s">
        <v>103</v>
      </c>
      <c r="W91" t="s">
        <v>49</v>
      </c>
      <c r="X91" t="s">
        <v>85</v>
      </c>
      <c r="Y91" t="s">
        <v>51</v>
      </c>
      <c r="AH91">
        <v>0</v>
      </c>
      <c r="AI91">
        <v>202504</v>
      </c>
      <c r="AJ91" t="s">
        <v>56</v>
      </c>
      <c r="AK91">
        <v>0</v>
      </c>
      <c r="AL91">
        <v>1</v>
      </c>
      <c r="AO91">
        <v>0</v>
      </c>
      <c r="AP91" t="s">
        <v>3015</v>
      </c>
      <c r="AQ91" t="s">
        <v>3012</v>
      </c>
      <c r="AR91" t="s">
        <v>3016</v>
      </c>
      <c r="AT91" t="s">
        <v>3017</v>
      </c>
      <c r="AU91" t="s">
        <v>3018</v>
      </c>
    </row>
    <row r="92" spans="1:47" x14ac:dyDescent="0.35">
      <c r="A92">
        <v>341127</v>
      </c>
      <c r="B92" t="s">
        <v>41</v>
      </c>
      <c r="C92" t="s">
        <v>42</v>
      </c>
      <c r="D92" s="2">
        <v>45787</v>
      </c>
      <c r="E92">
        <v>53850</v>
      </c>
      <c r="F92">
        <v>191</v>
      </c>
      <c r="G92" t="s">
        <v>102</v>
      </c>
      <c r="H92" t="s">
        <v>44</v>
      </c>
      <c r="I92" t="s">
        <v>45</v>
      </c>
      <c r="L92">
        <v>1913300068122</v>
      </c>
      <c r="M92">
        <v>20250408</v>
      </c>
      <c r="N92" t="s">
        <v>46</v>
      </c>
      <c r="Q92" t="s">
        <v>47</v>
      </c>
      <c r="R92">
        <v>72400</v>
      </c>
      <c r="T92">
        <v>4918280</v>
      </c>
      <c r="U92">
        <v>3480410798</v>
      </c>
      <c r="V92" t="s">
        <v>103</v>
      </c>
      <c r="W92" t="s">
        <v>49</v>
      </c>
      <c r="X92" t="s">
        <v>85</v>
      </c>
      <c r="Y92" t="s">
        <v>51</v>
      </c>
      <c r="AH92">
        <v>0</v>
      </c>
      <c r="AI92">
        <v>202504</v>
      </c>
      <c r="AJ92" t="s">
        <v>56</v>
      </c>
      <c r="AK92">
        <v>0</v>
      </c>
      <c r="AL92">
        <v>1</v>
      </c>
      <c r="AO92">
        <v>0</v>
      </c>
      <c r="AP92" t="s">
        <v>3015</v>
      </c>
      <c r="AQ92" t="s">
        <v>3012</v>
      </c>
      <c r="AR92" t="s">
        <v>3016</v>
      </c>
      <c r="AT92" t="s">
        <v>3017</v>
      </c>
      <c r="AU92" t="s">
        <v>3018</v>
      </c>
    </row>
    <row r="93" spans="1:47" x14ac:dyDescent="0.35">
      <c r="A93">
        <v>341047</v>
      </c>
      <c r="B93" t="s">
        <v>41</v>
      </c>
      <c r="C93" t="s">
        <v>42</v>
      </c>
      <c r="D93" s="2">
        <v>45787</v>
      </c>
      <c r="E93">
        <v>53850</v>
      </c>
      <c r="F93">
        <v>148</v>
      </c>
      <c r="G93" t="s">
        <v>78</v>
      </c>
      <c r="H93" t="s">
        <v>44</v>
      </c>
      <c r="I93" t="s">
        <v>45</v>
      </c>
      <c r="L93">
        <v>1483300004308</v>
      </c>
      <c r="M93">
        <v>20250402</v>
      </c>
      <c r="N93" t="s">
        <v>46</v>
      </c>
      <c r="Q93" t="s">
        <v>47</v>
      </c>
      <c r="R93">
        <v>29100</v>
      </c>
      <c r="T93">
        <v>4898674</v>
      </c>
      <c r="U93">
        <v>2936580642</v>
      </c>
      <c r="V93" t="s">
        <v>79</v>
      </c>
      <c r="W93" t="s">
        <v>49</v>
      </c>
      <c r="X93" t="s">
        <v>59</v>
      </c>
      <c r="Y93" t="s">
        <v>51</v>
      </c>
      <c r="Z93">
        <v>1063</v>
      </c>
      <c r="AH93">
        <v>0</v>
      </c>
      <c r="AI93">
        <v>202504</v>
      </c>
      <c r="AJ93" t="s">
        <v>56</v>
      </c>
      <c r="AK93">
        <v>0</v>
      </c>
      <c r="AL93">
        <v>1</v>
      </c>
      <c r="AO93">
        <v>0</v>
      </c>
      <c r="AP93" t="s">
        <v>3015</v>
      </c>
      <c r="AQ93" t="s">
        <v>3012</v>
      </c>
      <c r="AR93" t="s">
        <v>3016</v>
      </c>
      <c r="AT93" t="s">
        <v>3017</v>
      </c>
      <c r="AU93" t="s">
        <v>3018</v>
      </c>
    </row>
    <row r="94" spans="1:47" x14ac:dyDescent="0.35">
      <c r="A94">
        <v>340989</v>
      </c>
      <c r="B94" t="s">
        <v>41</v>
      </c>
      <c r="C94" t="s">
        <v>42</v>
      </c>
      <c r="D94" s="2">
        <v>45787</v>
      </c>
      <c r="E94">
        <v>53850</v>
      </c>
      <c r="F94">
        <v>125</v>
      </c>
      <c r="G94" t="s">
        <v>75</v>
      </c>
      <c r="H94" t="s">
        <v>44</v>
      </c>
      <c r="I94" t="s">
        <v>45</v>
      </c>
      <c r="L94">
        <v>1253309512895</v>
      </c>
      <c r="M94">
        <v>20250407</v>
      </c>
      <c r="N94" t="s">
        <v>46</v>
      </c>
      <c r="Q94" t="s">
        <v>47</v>
      </c>
      <c r="R94">
        <v>186150.05</v>
      </c>
      <c r="T94">
        <v>4795279</v>
      </c>
      <c r="U94">
        <v>1020090658</v>
      </c>
      <c r="V94" t="s">
        <v>76</v>
      </c>
      <c r="W94" t="s">
        <v>49</v>
      </c>
      <c r="X94" t="s">
        <v>77</v>
      </c>
      <c r="Y94" t="s">
        <v>51</v>
      </c>
      <c r="Z94">
        <v>982</v>
      </c>
      <c r="AH94">
        <v>0</v>
      </c>
      <c r="AI94">
        <v>202504</v>
      </c>
      <c r="AJ94" t="s">
        <v>52</v>
      </c>
      <c r="AK94">
        <v>0</v>
      </c>
      <c r="AL94">
        <v>1</v>
      </c>
      <c r="AO94">
        <v>0</v>
      </c>
      <c r="AP94" t="s">
        <v>3015</v>
      </c>
      <c r="AQ94" t="s">
        <v>3012</v>
      </c>
      <c r="AR94" t="s">
        <v>3016</v>
      </c>
      <c r="AT94" t="s">
        <v>3017</v>
      </c>
      <c r="AU94" t="s">
        <v>3018</v>
      </c>
    </row>
    <row r="95" spans="1:47" x14ac:dyDescent="0.35">
      <c r="A95">
        <v>340944</v>
      </c>
      <c r="B95" t="s">
        <v>41</v>
      </c>
      <c r="C95" t="s">
        <v>42</v>
      </c>
      <c r="D95" s="2">
        <v>45787</v>
      </c>
      <c r="E95">
        <v>53850</v>
      </c>
      <c r="F95">
        <v>192</v>
      </c>
      <c r="G95" t="s">
        <v>66</v>
      </c>
      <c r="H95" t="s">
        <v>44</v>
      </c>
      <c r="I95" t="s">
        <v>45</v>
      </c>
      <c r="L95">
        <v>1923300183163</v>
      </c>
      <c r="M95">
        <v>20250422</v>
      </c>
      <c r="N95" t="s">
        <v>46</v>
      </c>
      <c r="Q95" t="s">
        <v>47</v>
      </c>
      <c r="R95">
        <v>41655</v>
      </c>
      <c r="T95">
        <v>4695944</v>
      </c>
      <c r="U95" t="s">
        <v>67</v>
      </c>
      <c r="V95" t="s">
        <v>68</v>
      </c>
      <c r="W95" t="s">
        <v>69</v>
      </c>
      <c r="X95" t="s">
        <v>70</v>
      </c>
      <c r="Y95" t="s">
        <v>51</v>
      </c>
      <c r="Z95">
        <v>481</v>
      </c>
      <c r="AH95">
        <v>0</v>
      </c>
      <c r="AI95">
        <v>202504</v>
      </c>
      <c r="AJ95" t="s">
        <v>56</v>
      </c>
      <c r="AK95">
        <v>0</v>
      </c>
      <c r="AL95">
        <v>1</v>
      </c>
      <c r="AM95">
        <v>4695944</v>
      </c>
      <c r="AN95">
        <v>1</v>
      </c>
      <c r="AO95">
        <v>0</v>
      </c>
      <c r="AP95" t="s">
        <v>3015</v>
      </c>
      <c r="AQ95" t="s">
        <v>3021</v>
      </c>
      <c r="AR95" t="s">
        <v>3022</v>
      </c>
      <c r="AT95" t="s">
        <v>3017</v>
      </c>
      <c r="AU95" t="s">
        <v>3014</v>
      </c>
    </row>
    <row r="96" spans="1:47" x14ac:dyDescent="0.35">
      <c r="A96">
        <v>340924</v>
      </c>
      <c r="B96" t="s">
        <v>41</v>
      </c>
      <c r="C96" t="s">
        <v>42</v>
      </c>
      <c r="D96" s="2">
        <v>45787</v>
      </c>
      <c r="E96">
        <v>53850</v>
      </c>
      <c r="F96">
        <v>148</v>
      </c>
      <c r="G96" t="s">
        <v>78</v>
      </c>
      <c r="H96" t="s">
        <v>44</v>
      </c>
      <c r="I96" t="s">
        <v>45</v>
      </c>
      <c r="L96">
        <v>1483300004308</v>
      </c>
      <c r="M96">
        <v>20250422</v>
      </c>
      <c r="N96" t="s">
        <v>46</v>
      </c>
      <c r="Q96" t="s">
        <v>47</v>
      </c>
      <c r="R96">
        <v>34992.43</v>
      </c>
      <c r="T96">
        <v>4898674</v>
      </c>
      <c r="U96">
        <v>2936580642</v>
      </c>
      <c r="V96" t="s">
        <v>79</v>
      </c>
      <c r="W96" t="s">
        <v>49</v>
      </c>
      <c r="X96" t="s">
        <v>59</v>
      </c>
      <c r="Y96" t="s">
        <v>51</v>
      </c>
      <c r="Z96">
        <v>1063</v>
      </c>
      <c r="AH96">
        <v>0</v>
      </c>
      <c r="AI96">
        <v>202504</v>
      </c>
      <c r="AJ96" t="s">
        <v>56</v>
      </c>
      <c r="AK96">
        <v>0</v>
      </c>
      <c r="AL96">
        <v>1</v>
      </c>
      <c r="AO96">
        <v>0</v>
      </c>
      <c r="AP96" t="s">
        <v>3015</v>
      </c>
      <c r="AQ96" t="s">
        <v>3012</v>
      </c>
      <c r="AR96" t="s">
        <v>3016</v>
      </c>
      <c r="AT96" t="s">
        <v>3017</v>
      </c>
      <c r="AU96" t="s">
        <v>3018</v>
      </c>
    </row>
    <row r="97" spans="1:47" x14ac:dyDescent="0.35">
      <c r="A97">
        <v>340803</v>
      </c>
      <c r="B97" t="s">
        <v>41</v>
      </c>
      <c r="C97" t="s">
        <v>42</v>
      </c>
      <c r="D97" s="2">
        <v>45787</v>
      </c>
      <c r="E97">
        <v>53850</v>
      </c>
      <c r="F97">
        <v>122</v>
      </c>
      <c r="G97" t="s">
        <v>43</v>
      </c>
      <c r="H97" t="s">
        <v>44</v>
      </c>
      <c r="I97" t="s">
        <v>45</v>
      </c>
      <c r="L97">
        <v>1223300002128</v>
      </c>
      <c r="M97">
        <v>20250424</v>
      </c>
      <c r="N97" t="s">
        <v>46</v>
      </c>
      <c r="Q97" t="s">
        <v>47</v>
      </c>
      <c r="R97">
        <v>27920.959999999999</v>
      </c>
      <c r="T97">
        <v>3711207</v>
      </c>
      <c r="U97">
        <v>8825020723</v>
      </c>
      <c r="V97" t="s">
        <v>48</v>
      </c>
      <c r="W97" t="s">
        <v>49</v>
      </c>
      <c r="X97" t="s">
        <v>50</v>
      </c>
      <c r="Y97" t="s">
        <v>51</v>
      </c>
      <c r="Z97">
        <v>1696</v>
      </c>
      <c r="AH97">
        <v>0</v>
      </c>
      <c r="AI97">
        <v>202504</v>
      </c>
      <c r="AJ97" t="s">
        <v>52</v>
      </c>
      <c r="AK97">
        <v>0</v>
      </c>
      <c r="AL97">
        <v>1</v>
      </c>
      <c r="AO97">
        <v>0</v>
      </c>
      <c r="AP97" t="s">
        <v>3011</v>
      </c>
      <c r="AQ97" t="s">
        <v>3012</v>
      </c>
      <c r="AR97" t="s">
        <v>3013</v>
      </c>
      <c r="AS97" t="s">
        <v>3014</v>
      </c>
      <c r="AU97" t="s">
        <v>3014</v>
      </c>
    </row>
    <row r="98" spans="1:47" x14ac:dyDescent="0.35">
      <c r="A98">
        <v>340767</v>
      </c>
      <c r="B98" t="s">
        <v>41</v>
      </c>
      <c r="C98" t="s">
        <v>42</v>
      </c>
      <c r="D98" s="2">
        <v>45787</v>
      </c>
      <c r="E98">
        <v>53850</v>
      </c>
      <c r="F98">
        <v>161</v>
      </c>
      <c r="G98" t="s">
        <v>111</v>
      </c>
      <c r="H98" t="s">
        <v>44</v>
      </c>
      <c r="I98" t="s">
        <v>45</v>
      </c>
      <c r="L98">
        <v>1613300032599</v>
      </c>
      <c r="M98">
        <v>20250428</v>
      </c>
      <c r="N98" t="s">
        <v>46</v>
      </c>
      <c r="Q98" t="s">
        <v>47</v>
      </c>
      <c r="R98">
        <v>615000</v>
      </c>
      <c r="T98">
        <v>4845705</v>
      </c>
      <c r="U98">
        <v>6832140724</v>
      </c>
      <c r="V98" t="s">
        <v>112</v>
      </c>
      <c r="W98" t="s">
        <v>49</v>
      </c>
      <c r="X98" t="s">
        <v>113</v>
      </c>
      <c r="Y98" t="s">
        <v>51</v>
      </c>
      <c r="Z98">
        <v>1903</v>
      </c>
      <c r="AH98">
        <v>0</v>
      </c>
      <c r="AI98">
        <v>202504</v>
      </c>
      <c r="AJ98" t="s">
        <v>114</v>
      </c>
      <c r="AK98">
        <v>1</v>
      </c>
      <c r="AL98">
        <v>1</v>
      </c>
      <c r="AO98">
        <v>0</v>
      </c>
      <c r="AP98" t="s">
        <v>3015</v>
      </c>
      <c r="AQ98" t="s">
        <v>3012</v>
      </c>
      <c r="AR98" t="s">
        <v>3016</v>
      </c>
      <c r="AT98" t="s">
        <v>3017</v>
      </c>
      <c r="AU98" t="s">
        <v>3018</v>
      </c>
    </row>
    <row r="99" spans="1:47" x14ac:dyDescent="0.35">
      <c r="A99">
        <v>340765</v>
      </c>
      <c r="B99" t="s">
        <v>41</v>
      </c>
      <c r="C99" t="s">
        <v>42</v>
      </c>
      <c r="D99" s="2">
        <v>45787</v>
      </c>
      <c r="E99">
        <v>53850</v>
      </c>
      <c r="F99">
        <v>226</v>
      </c>
      <c r="G99" t="s">
        <v>129</v>
      </c>
      <c r="H99" t="s">
        <v>44</v>
      </c>
      <c r="I99" t="s">
        <v>45</v>
      </c>
      <c r="L99">
        <v>2263300010989</v>
      </c>
      <c r="M99">
        <v>20250407</v>
      </c>
      <c r="N99" t="s">
        <v>46</v>
      </c>
      <c r="Q99" t="s">
        <v>47</v>
      </c>
      <c r="R99">
        <v>29900.98</v>
      </c>
      <c r="T99">
        <v>4804128</v>
      </c>
      <c r="U99">
        <v>6363770725</v>
      </c>
      <c r="V99" t="s">
        <v>130</v>
      </c>
      <c r="W99" t="s">
        <v>49</v>
      </c>
      <c r="X99" t="s">
        <v>131</v>
      </c>
      <c r="Y99" t="s">
        <v>51</v>
      </c>
      <c r="Z99">
        <v>1696</v>
      </c>
      <c r="AH99">
        <v>0</v>
      </c>
      <c r="AI99">
        <v>202504</v>
      </c>
      <c r="AJ99" t="s">
        <v>114</v>
      </c>
      <c r="AK99">
        <v>1</v>
      </c>
      <c r="AL99">
        <v>1</v>
      </c>
      <c r="AO99">
        <v>0</v>
      </c>
      <c r="AP99" t="s">
        <v>3033</v>
      </c>
      <c r="AQ99" t="s">
        <v>3012</v>
      </c>
      <c r="AR99" t="s">
        <v>3034</v>
      </c>
      <c r="AS99" t="s">
        <v>3014</v>
      </c>
      <c r="AU99" t="s">
        <v>3014</v>
      </c>
    </row>
    <row r="100" spans="1:47" x14ac:dyDescent="0.35">
      <c r="A100">
        <v>340743</v>
      </c>
      <c r="B100" t="s">
        <v>41</v>
      </c>
      <c r="C100" t="s">
        <v>42</v>
      </c>
      <c r="D100" s="2">
        <v>45787</v>
      </c>
      <c r="E100">
        <v>53850</v>
      </c>
      <c r="F100">
        <v>154</v>
      </c>
      <c r="G100" t="s">
        <v>53</v>
      </c>
      <c r="H100" t="s">
        <v>44</v>
      </c>
      <c r="I100" t="s">
        <v>45</v>
      </c>
      <c r="L100">
        <v>1543300004860</v>
      </c>
      <c r="M100">
        <v>20250417</v>
      </c>
      <c r="N100" t="s">
        <v>46</v>
      </c>
      <c r="Q100" t="s">
        <v>47</v>
      </c>
      <c r="R100">
        <v>44730.5</v>
      </c>
      <c r="T100">
        <v>3715569</v>
      </c>
      <c r="U100">
        <v>5424970654</v>
      </c>
      <c r="V100" t="s">
        <v>54</v>
      </c>
      <c r="W100" t="s">
        <v>49</v>
      </c>
      <c r="X100" t="s">
        <v>55</v>
      </c>
      <c r="Y100" t="s">
        <v>51</v>
      </c>
      <c r="Z100">
        <v>741</v>
      </c>
      <c r="AH100">
        <v>0</v>
      </c>
      <c r="AI100">
        <v>202504</v>
      </c>
      <c r="AJ100" t="s">
        <v>56</v>
      </c>
      <c r="AK100">
        <v>0</v>
      </c>
      <c r="AL100">
        <v>1</v>
      </c>
      <c r="AM100">
        <v>3715569</v>
      </c>
      <c r="AN100">
        <v>1</v>
      </c>
      <c r="AO100">
        <v>0</v>
      </c>
      <c r="AP100" t="s">
        <v>3015</v>
      </c>
      <c r="AQ100" t="s">
        <v>3012</v>
      </c>
      <c r="AR100" t="s">
        <v>3016</v>
      </c>
      <c r="AT100" t="s">
        <v>3017</v>
      </c>
      <c r="AU100" t="s">
        <v>3018</v>
      </c>
    </row>
    <row r="101" spans="1:47" x14ac:dyDescent="0.35">
      <c r="A101">
        <v>340670</v>
      </c>
      <c r="B101" t="s">
        <v>41</v>
      </c>
      <c r="C101" t="s">
        <v>42</v>
      </c>
      <c r="D101" s="2">
        <v>45787</v>
      </c>
      <c r="E101">
        <v>53850</v>
      </c>
      <c r="F101">
        <v>154</v>
      </c>
      <c r="G101" t="s">
        <v>53</v>
      </c>
      <c r="H101" t="s">
        <v>44</v>
      </c>
      <c r="I101" t="s">
        <v>45</v>
      </c>
      <c r="L101">
        <v>1543300004860</v>
      </c>
      <c r="M101">
        <v>20250411</v>
      </c>
      <c r="N101" t="s">
        <v>46</v>
      </c>
      <c r="Q101" t="s">
        <v>47</v>
      </c>
      <c r="R101">
        <v>34029.769999999997</v>
      </c>
      <c r="T101">
        <v>3715569</v>
      </c>
      <c r="U101">
        <v>5424970654</v>
      </c>
      <c r="V101" t="s">
        <v>54</v>
      </c>
      <c r="W101" t="s">
        <v>49</v>
      </c>
      <c r="X101" t="s">
        <v>55</v>
      </c>
      <c r="Y101" t="s">
        <v>51</v>
      </c>
      <c r="Z101">
        <v>741</v>
      </c>
      <c r="AH101">
        <v>0</v>
      </c>
      <c r="AI101">
        <v>202504</v>
      </c>
      <c r="AJ101" t="s">
        <v>56</v>
      </c>
      <c r="AK101">
        <v>0</v>
      </c>
      <c r="AL101">
        <v>1</v>
      </c>
      <c r="AM101">
        <v>3715569</v>
      </c>
      <c r="AN101">
        <v>1</v>
      </c>
      <c r="AO101">
        <v>0</v>
      </c>
      <c r="AP101" t="s">
        <v>3015</v>
      </c>
      <c r="AQ101" t="s">
        <v>3012</v>
      </c>
      <c r="AR101" t="s">
        <v>3016</v>
      </c>
      <c r="AT101" t="s">
        <v>3017</v>
      </c>
      <c r="AU101" t="s">
        <v>3018</v>
      </c>
    </row>
    <row r="102" spans="1:47" x14ac:dyDescent="0.35">
      <c r="A102">
        <v>340668</v>
      </c>
      <c r="B102" t="s">
        <v>41</v>
      </c>
      <c r="C102" t="s">
        <v>42</v>
      </c>
      <c r="D102" s="2">
        <v>45787</v>
      </c>
      <c r="E102">
        <v>53850</v>
      </c>
      <c r="F102">
        <v>154</v>
      </c>
      <c r="G102" t="s">
        <v>53</v>
      </c>
      <c r="H102" t="s">
        <v>44</v>
      </c>
      <c r="I102" t="s">
        <v>45</v>
      </c>
      <c r="L102">
        <v>1543300004860</v>
      </c>
      <c r="M102">
        <v>20250409</v>
      </c>
      <c r="N102" t="s">
        <v>81</v>
      </c>
      <c r="Q102" t="s">
        <v>47</v>
      </c>
      <c r="R102">
        <v>34805.199999999997</v>
      </c>
      <c r="T102">
        <v>3715569</v>
      </c>
      <c r="U102">
        <v>5424970654</v>
      </c>
      <c r="V102" t="s">
        <v>54</v>
      </c>
      <c r="W102" t="s">
        <v>49</v>
      </c>
      <c r="X102" t="s">
        <v>55</v>
      </c>
      <c r="Y102" t="s">
        <v>51</v>
      </c>
      <c r="Z102">
        <v>741</v>
      </c>
      <c r="AH102">
        <v>0</v>
      </c>
      <c r="AI102">
        <v>202504</v>
      </c>
      <c r="AJ102" t="s">
        <v>56</v>
      </c>
      <c r="AK102">
        <v>0</v>
      </c>
      <c r="AL102">
        <v>1</v>
      </c>
      <c r="AM102">
        <v>3715569</v>
      </c>
      <c r="AN102">
        <v>1</v>
      </c>
      <c r="AO102">
        <v>0</v>
      </c>
      <c r="AP102" t="s">
        <v>3015</v>
      </c>
      <c r="AQ102" t="s">
        <v>3012</v>
      </c>
      <c r="AR102" t="s">
        <v>3016</v>
      </c>
      <c r="AT102" t="s">
        <v>3017</v>
      </c>
      <c r="AU102" t="s">
        <v>3018</v>
      </c>
    </row>
    <row r="103" spans="1:47" x14ac:dyDescent="0.35">
      <c r="A103">
        <v>340636</v>
      </c>
      <c r="B103" t="s">
        <v>41</v>
      </c>
      <c r="C103" t="s">
        <v>42</v>
      </c>
      <c r="D103" s="2">
        <v>45787</v>
      </c>
      <c r="E103">
        <v>53850</v>
      </c>
      <c r="F103">
        <v>154</v>
      </c>
      <c r="G103" t="s">
        <v>53</v>
      </c>
      <c r="H103" t="s">
        <v>44</v>
      </c>
      <c r="I103" t="s">
        <v>45</v>
      </c>
      <c r="L103">
        <v>1543300004860</v>
      </c>
      <c r="M103">
        <v>20250422</v>
      </c>
      <c r="N103" t="s">
        <v>46</v>
      </c>
      <c r="Q103" t="s">
        <v>47</v>
      </c>
      <c r="R103">
        <v>25099.07</v>
      </c>
      <c r="T103">
        <v>3715569</v>
      </c>
      <c r="U103">
        <v>5424970654</v>
      </c>
      <c r="V103" t="s">
        <v>54</v>
      </c>
      <c r="W103" t="s">
        <v>49</v>
      </c>
      <c r="X103" t="s">
        <v>55</v>
      </c>
      <c r="Y103" t="s">
        <v>51</v>
      </c>
      <c r="Z103">
        <v>741</v>
      </c>
      <c r="AH103">
        <v>0</v>
      </c>
      <c r="AI103">
        <v>202504</v>
      </c>
      <c r="AJ103" t="s">
        <v>56</v>
      </c>
      <c r="AK103">
        <v>0</v>
      </c>
      <c r="AL103">
        <v>1</v>
      </c>
      <c r="AM103">
        <v>3715569</v>
      </c>
      <c r="AN103">
        <v>1</v>
      </c>
      <c r="AO103">
        <v>0</v>
      </c>
      <c r="AP103" t="s">
        <v>3015</v>
      </c>
      <c r="AQ103" t="s">
        <v>3012</v>
      </c>
      <c r="AR103" t="s">
        <v>3016</v>
      </c>
      <c r="AT103" t="s">
        <v>3017</v>
      </c>
      <c r="AU103" t="s">
        <v>3018</v>
      </c>
    </row>
    <row r="104" spans="1:47" x14ac:dyDescent="0.35">
      <c r="A104">
        <v>340635</v>
      </c>
      <c r="B104" t="s">
        <v>41</v>
      </c>
      <c r="C104" t="s">
        <v>42</v>
      </c>
      <c r="D104" s="2">
        <v>45787</v>
      </c>
      <c r="E104">
        <v>53850</v>
      </c>
      <c r="F104">
        <v>154</v>
      </c>
      <c r="G104" t="s">
        <v>53</v>
      </c>
      <c r="H104" t="s">
        <v>44</v>
      </c>
      <c r="I104" t="s">
        <v>45</v>
      </c>
      <c r="L104">
        <v>1543300004860</v>
      </c>
      <c r="M104">
        <v>20250429</v>
      </c>
      <c r="N104" t="s">
        <v>46</v>
      </c>
      <c r="Q104" t="s">
        <v>47</v>
      </c>
      <c r="R104">
        <v>42013.07</v>
      </c>
      <c r="T104">
        <v>3715569</v>
      </c>
      <c r="U104">
        <v>5424970654</v>
      </c>
      <c r="V104" t="s">
        <v>54</v>
      </c>
      <c r="W104" t="s">
        <v>49</v>
      </c>
      <c r="X104" t="s">
        <v>55</v>
      </c>
      <c r="Y104" t="s">
        <v>51</v>
      </c>
      <c r="Z104">
        <v>741</v>
      </c>
      <c r="AH104">
        <v>0</v>
      </c>
      <c r="AI104">
        <v>202504</v>
      </c>
      <c r="AJ104" t="s">
        <v>56</v>
      </c>
      <c r="AK104">
        <v>0</v>
      </c>
      <c r="AL104">
        <v>1</v>
      </c>
      <c r="AM104">
        <v>3715569</v>
      </c>
      <c r="AN104">
        <v>1</v>
      </c>
      <c r="AO104">
        <v>0</v>
      </c>
      <c r="AP104" t="s">
        <v>3015</v>
      </c>
      <c r="AQ104" t="s">
        <v>3012</v>
      </c>
      <c r="AR104" t="s">
        <v>3016</v>
      </c>
      <c r="AT104" t="s">
        <v>3017</v>
      </c>
      <c r="AU104" t="s">
        <v>3018</v>
      </c>
    </row>
    <row r="105" spans="1:47" x14ac:dyDescent="0.35">
      <c r="A105">
        <v>340596</v>
      </c>
      <c r="B105" t="s">
        <v>41</v>
      </c>
      <c r="C105" t="s">
        <v>42</v>
      </c>
      <c r="D105" s="2">
        <v>45787</v>
      </c>
      <c r="E105">
        <v>53850</v>
      </c>
      <c r="F105">
        <v>122</v>
      </c>
      <c r="G105" t="s">
        <v>43</v>
      </c>
      <c r="H105" t="s">
        <v>44</v>
      </c>
      <c r="I105" t="s">
        <v>45</v>
      </c>
      <c r="L105">
        <v>1223300002128</v>
      </c>
      <c r="M105">
        <v>20250410</v>
      </c>
      <c r="N105" t="s">
        <v>46</v>
      </c>
      <c r="Q105" t="s">
        <v>47</v>
      </c>
      <c r="R105">
        <v>26068.880000000001</v>
      </c>
      <c r="T105">
        <v>3711207</v>
      </c>
      <c r="U105">
        <v>8825020723</v>
      </c>
      <c r="V105" t="s">
        <v>48</v>
      </c>
      <c r="W105" t="s">
        <v>49</v>
      </c>
      <c r="X105" t="s">
        <v>50</v>
      </c>
      <c r="Y105" t="s">
        <v>51</v>
      </c>
      <c r="Z105">
        <v>1696</v>
      </c>
      <c r="AH105">
        <v>0</v>
      </c>
      <c r="AI105">
        <v>202504</v>
      </c>
      <c r="AJ105" t="s">
        <v>52</v>
      </c>
      <c r="AK105">
        <v>0</v>
      </c>
      <c r="AL105">
        <v>1</v>
      </c>
      <c r="AO105">
        <v>0</v>
      </c>
      <c r="AP105" t="s">
        <v>3011</v>
      </c>
      <c r="AQ105" t="s">
        <v>3012</v>
      </c>
      <c r="AR105" t="s">
        <v>3013</v>
      </c>
      <c r="AS105" t="s">
        <v>3014</v>
      </c>
      <c r="AU105" t="s">
        <v>3014</v>
      </c>
    </row>
    <row r="106" spans="1:47" x14ac:dyDescent="0.35">
      <c r="A106">
        <v>340484</v>
      </c>
      <c r="B106" t="s">
        <v>41</v>
      </c>
      <c r="C106" t="s">
        <v>42</v>
      </c>
      <c r="D106" s="2">
        <v>45787</v>
      </c>
      <c r="E106">
        <v>53850</v>
      </c>
      <c r="F106">
        <v>122</v>
      </c>
      <c r="G106" t="s">
        <v>43</v>
      </c>
      <c r="H106" t="s">
        <v>44</v>
      </c>
      <c r="I106" t="s">
        <v>45</v>
      </c>
      <c r="L106">
        <v>1223300002128</v>
      </c>
      <c r="M106">
        <v>20250424</v>
      </c>
      <c r="N106" t="s">
        <v>46</v>
      </c>
      <c r="Q106" t="s">
        <v>47</v>
      </c>
      <c r="R106">
        <v>27920.959999999999</v>
      </c>
      <c r="T106">
        <v>3711207</v>
      </c>
      <c r="U106">
        <v>8825020723</v>
      </c>
      <c r="V106" t="s">
        <v>48</v>
      </c>
      <c r="W106" t="s">
        <v>49</v>
      </c>
      <c r="X106" t="s">
        <v>50</v>
      </c>
      <c r="Y106" t="s">
        <v>51</v>
      </c>
      <c r="Z106">
        <v>1696</v>
      </c>
      <c r="AH106">
        <v>0</v>
      </c>
      <c r="AI106">
        <v>202504</v>
      </c>
      <c r="AJ106" t="s">
        <v>52</v>
      </c>
      <c r="AK106">
        <v>0</v>
      </c>
      <c r="AL106">
        <v>1</v>
      </c>
      <c r="AO106">
        <v>0</v>
      </c>
      <c r="AP106" t="s">
        <v>3011</v>
      </c>
      <c r="AQ106" t="s">
        <v>3012</v>
      </c>
      <c r="AR106" t="s">
        <v>3013</v>
      </c>
      <c r="AS106" t="s">
        <v>3014</v>
      </c>
      <c r="AU106" t="s">
        <v>3014</v>
      </c>
    </row>
    <row r="107" spans="1:47" x14ac:dyDescent="0.35">
      <c r="A107">
        <v>340469</v>
      </c>
      <c r="B107" t="s">
        <v>41</v>
      </c>
      <c r="C107" t="s">
        <v>42</v>
      </c>
      <c r="D107" s="2">
        <v>45787</v>
      </c>
      <c r="E107">
        <v>53850</v>
      </c>
      <c r="F107">
        <v>122</v>
      </c>
      <c r="G107" t="s">
        <v>43</v>
      </c>
      <c r="H107" t="s">
        <v>44</v>
      </c>
      <c r="I107" t="s">
        <v>45</v>
      </c>
      <c r="L107">
        <v>1223300002128</v>
      </c>
      <c r="M107">
        <v>20250424</v>
      </c>
      <c r="N107" t="s">
        <v>46</v>
      </c>
      <c r="Q107" t="s">
        <v>47</v>
      </c>
      <c r="R107">
        <v>66879.039999999994</v>
      </c>
      <c r="T107">
        <v>3711207</v>
      </c>
      <c r="U107">
        <v>8825020723</v>
      </c>
      <c r="V107" t="s">
        <v>48</v>
      </c>
      <c r="W107" t="s">
        <v>49</v>
      </c>
      <c r="X107" t="s">
        <v>50</v>
      </c>
      <c r="Y107" t="s">
        <v>51</v>
      </c>
      <c r="Z107">
        <v>1696</v>
      </c>
      <c r="AH107">
        <v>0</v>
      </c>
      <c r="AI107">
        <v>202504</v>
      </c>
      <c r="AJ107" t="s">
        <v>52</v>
      </c>
      <c r="AK107">
        <v>0</v>
      </c>
      <c r="AL107">
        <v>1</v>
      </c>
      <c r="AO107">
        <v>0</v>
      </c>
      <c r="AP107" t="s">
        <v>3011</v>
      </c>
      <c r="AQ107" t="s">
        <v>3012</v>
      </c>
      <c r="AR107" t="s">
        <v>3013</v>
      </c>
      <c r="AS107" t="s">
        <v>3014</v>
      </c>
      <c r="AU107" t="s">
        <v>3014</v>
      </c>
    </row>
    <row r="108" spans="1:47" x14ac:dyDescent="0.35">
      <c r="A108">
        <v>340343</v>
      </c>
      <c r="B108" t="s">
        <v>41</v>
      </c>
      <c r="C108" t="s">
        <v>42</v>
      </c>
      <c r="D108" s="2">
        <v>45787</v>
      </c>
      <c r="E108">
        <v>53850</v>
      </c>
      <c r="F108">
        <v>141</v>
      </c>
      <c r="G108" t="s">
        <v>105</v>
      </c>
      <c r="H108" t="s">
        <v>44</v>
      </c>
      <c r="I108" t="s">
        <v>45</v>
      </c>
      <c r="L108">
        <v>1413300003054</v>
      </c>
      <c r="M108">
        <v>20250423</v>
      </c>
      <c r="N108" t="s">
        <v>46</v>
      </c>
      <c r="Q108" t="s">
        <v>47</v>
      </c>
      <c r="R108">
        <v>44650</v>
      </c>
      <c r="T108">
        <v>4918593</v>
      </c>
      <c r="U108">
        <v>4968980757</v>
      </c>
      <c r="V108" t="s">
        <v>132</v>
      </c>
      <c r="W108" t="s">
        <v>49</v>
      </c>
      <c r="X108" t="s">
        <v>110</v>
      </c>
      <c r="Y108" t="s">
        <v>51</v>
      </c>
      <c r="Z108">
        <v>862</v>
      </c>
      <c r="AH108">
        <v>0</v>
      </c>
      <c r="AI108">
        <v>202504</v>
      </c>
      <c r="AJ108" t="s">
        <v>52</v>
      </c>
      <c r="AK108">
        <v>0</v>
      </c>
      <c r="AL108">
        <v>1</v>
      </c>
      <c r="AO108">
        <v>0</v>
      </c>
      <c r="AP108" t="s">
        <v>3026</v>
      </c>
      <c r="AQ108" t="s">
        <v>3012</v>
      </c>
      <c r="AR108" t="s">
        <v>3027</v>
      </c>
      <c r="AS108" t="s">
        <v>3028</v>
      </c>
      <c r="AU108" t="s">
        <v>3028</v>
      </c>
    </row>
    <row r="109" spans="1:47" x14ac:dyDescent="0.35">
      <c r="A109">
        <v>340288</v>
      </c>
      <c r="B109" t="s">
        <v>41</v>
      </c>
      <c r="C109" t="s">
        <v>42</v>
      </c>
      <c r="D109" s="2">
        <v>45787</v>
      </c>
      <c r="E109">
        <v>53850</v>
      </c>
      <c r="F109">
        <v>273</v>
      </c>
      <c r="G109" t="s">
        <v>133</v>
      </c>
      <c r="H109" t="s">
        <v>44</v>
      </c>
      <c r="I109" t="s">
        <v>45</v>
      </c>
      <c r="L109">
        <v>2733300001403</v>
      </c>
      <c r="M109">
        <v>20250403</v>
      </c>
      <c r="N109" t="s">
        <v>46</v>
      </c>
      <c r="Q109" t="s">
        <v>47</v>
      </c>
      <c r="R109">
        <v>221462.01</v>
      </c>
      <c r="T109">
        <v>1649237</v>
      </c>
      <c r="U109">
        <v>2545430692</v>
      </c>
      <c r="V109" t="s">
        <v>134</v>
      </c>
      <c r="W109" t="s">
        <v>49</v>
      </c>
      <c r="X109" t="s">
        <v>135</v>
      </c>
      <c r="Y109" t="s">
        <v>51</v>
      </c>
      <c r="Z109">
        <v>1765</v>
      </c>
      <c r="AH109">
        <v>0</v>
      </c>
      <c r="AI109">
        <v>202504</v>
      </c>
      <c r="AJ109" t="s">
        <v>52</v>
      </c>
      <c r="AK109">
        <v>0</v>
      </c>
      <c r="AL109">
        <v>1</v>
      </c>
      <c r="AO109">
        <v>0</v>
      </c>
      <c r="AP109" t="s">
        <v>3015</v>
      </c>
      <c r="AQ109" t="s">
        <v>3012</v>
      </c>
      <c r="AR109" t="s">
        <v>3016</v>
      </c>
      <c r="AT109" t="s">
        <v>3017</v>
      </c>
      <c r="AU109" t="s">
        <v>3018</v>
      </c>
    </row>
    <row r="110" spans="1:47" x14ac:dyDescent="0.35">
      <c r="A110">
        <v>340254</v>
      </c>
      <c r="B110" t="s">
        <v>41</v>
      </c>
      <c r="C110" t="s">
        <v>42</v>
      </c>
      <c r="D110" s="2">
        <v>45787</v>
      </c>
      <c r="E110">
        <v>53850</v>
      </c>
      <c r="F110">
        <v>108</v>
      </c>
      <c r="G110" t="s">
        <v>124</v>
      </c>
      <c r="H110" t="s">
        <v>44</v>
      </c>
      <c r="I110" t="s">
        <v>45</v>
      </c>
      <c r="L110">
        <v>1083300011180</v>
      </c>
      <c r="M110">
        <v>20250424</v>
      </c>
      <c r="N110" t="s">
        <v>81</v>
      </c>
      <c r="Q110" t="s">
        <v>47</v>
      </c>
      <c r="R110">
        <v>140083.78</v>
      </c>
      <c r="T110">
        <v>1118</v>
      </c>
      <c r="U110">
        <v>3246700722</v>
      </c>
      <c r="V110" t="s">
        <v>125</v>
      </c>
      <c r="W110" t="s">
        <v>49</v>
      </c>
      <c r="X110" t="s">
        <v>96</v>
      </c>
      <c r="Y110" t="s">
        <v>51</v>
      </c>
      <c r="Z110">
        <v>1058</v>
      </c>
      <c r="AH110">
        <v>0</v>
      </c>
      <c r="AI110">
        <v>202504</v>
      </c>
      <c r="AJ110" t="s">
        <v>52</v>
      </c>
      <c r="AK110">
        <v>0</v>
      </c>
      <c r="AL110">
        <v>1</v>
      </c>
      <c r="AO110">
        <v>0</v>
      </c>
      <c r="AP110" t="s">
        <v>3015</v>
      </c>
      <c r="AQ110" t="s">
        <v>3012</v>
      </c>
      <c r="AR110" t="s">
        <v>3016</v>
      </c>
      <c r="AT110" t="s">
        <v>3017</v>
      </c>
      <c r="AU110" t="s">
        <v>3018</v>
      </c>
    </row>
    <row r="111" spans="1:47" x14ac:dyDescent="0.35">
      <c r="A111">
        <v>340188</v>
      </c>
      <c r="B111" t="s">
        <v>41</v>
      </c>
      <c r="C111" t="s">
        <v>42</v>
      </c>
      <c r="D111" s="2">
        <v>45787</v>
      </c>
      <c r="E111">
        <v>53850</v>
      </c>
      <c r="F111">
        <v>109</v>
      </c>
      <c r="G111" t="s">
        <v>89</v>
      </c>
      <c r="H111" t="s">
        <v>44</v>
      </c>
      <c r="I111" t="s">
        <v>45</v>
      </c>
      <c r="L111">
        <v>1093306674353</v>
      </c>
      <c r="M111">
        <v>20250417</v>
      </c>
      <c r="N111" t="s">
        <v>46</v>
      </c>
      <c r="Q111" t="s">
        <v>47</v>
      </c>
      <c r="R111">
        <v>77379.33</v>
      </c>
      <c r="T111">
        <v>4916449</v>
      </c>
      <c r="U111">
        <v>8176830720</v>
      </c>
      <c r="V111" t="s">
        <v>98</v>
      </c>
      <c r="W111" t="s">
        <v>49</v>
      </c>
      <c r="X111" t="s">
        <v>91</v>
      </c>
      <c r="Y111" t="s">
        <v>51</v>
      </c>
      <c r="Z111">
        <v>1903</v>
      </c>
      <c r="AH111">
        <v>0</v>
      </c>
      <c r="AI111">
        <v>202504</v>
      </c>
      <c r="AJ111" t="s">
        <v>56</v>
      </c>
      <c r="AK111">
        <v>0</v>
      </c>
      <c r="AL111">
        <v>1</v>
      </c>
      <c r="AO111">
        <v>0</v>
      </c>
      <c r="AP111" t="s">
        <v>1100</v>
      </c>
      <c r="AQ111" t="s">
        <v>3012</v>
      </c>
      <c r="AR111" t="s">
        <v>3023</v>
      </c>
      <c r="AS111" t="s">
        <v>3014</v>
      </c>
      <c r="AU111" t="s">
        <v>3014</v>
      </c>
    </row>
    <row r="112" spans="1:47" x14ac:dyDescent="0.35">
      <c r="A112">
        <v>340138</v>
      </c>
      <c r="B112" t="s">
        <v>41</v>
      </c>
      <c r="C112" t="s">
        <v>42</v>
      </c>
      <c r="D112" s="2">
        <v>45787</v>
      </c>
      <c r="E112">
        <v>53850</v>
      </c>
      <c r="F112">
        <v>153</v>
      </c>
      <c r="G112" t="s">
        <v>63</v>
      </c>
      <c r="H112" t="s">
        <v>44</v>
      </c>
      <c r="I112" t="s">
        <v>45</v>
      </c>
      <c r="L112">
        <v>1533300663959</v>
      </c>
      <c r="M112">
        <v>20250407</v>
      </c>
      <c r="N112" t="s">
        <v>46</v>
      </c>
      <c r="Q112" t="s">
        <v>47</v>
      </c>
      <c r="R112">
        <v>49500</v>
      </c>
      <c r="T112">
        <v>3721097</v>
      </c>
      <c r="U112">
        <v>10391641213</v>
      </c>
      <c r="V112" t="s">
        <v>64</v>
      </c>
      <c r="W112" t="s">
        <v>49</v>
      </c>
      <c r="X112" t="s">
        <v>65</v>
      </c>
      <c r="Y112" t="s">
        <v>51</v>
      </c>
      <c r="Z112">
        <v>1237</v>
      </c>
      <c r="AH112">
        <v>0</v>
      </c>
      <c r="AI112">
        <v>202504</v>
      </c>
      <c r="AJ112" t="s">
        <v>56</v>
      </c>
      <c r="AK112">
        <v>0</v>
      </c>
      <c r="AL112">
        <v>1</v>
      </c>
      <c r="AO112">
        <v>0</v>
      </c>
      <c r="AP112" t="s">
        <v>3019</v>
      </c>
      <c r="AQ112" t="s">
        <v>3012</v>
      </c>
      <c r="AR112" t="s">
        <v>3020</v>
      </c>
      <c r="AS112" t="s">
        <v>3014</v>
      </c>
      <c r="AU112" t="s">
        <v>3014</v>
      </c>
    </row>
    <row r="113" spans="1:47" x14ac:dyDescent="0.35">
      <c r="A113">
        <v>339984</v>
      </c>
      <c r="B113" t="s">
        <v>41</v>
      </c>
      <c r="C113" t="s">
        <v>42</v>
      </c>
      <c r="D113" s="2">
        <v>45787</v>
      </c>
      <c r="E113">
        <v>53850</v>
      </c>
      <c r="F113">
        <v>122</v>
      </c>
      <c r="G113" t="s">
        <v>43</v>
      </c>
      <c r="H113" t="s">
        <v>44</v>
      </c>
      <c r="I113" t="s">
        <v>45</v>
      </c>
      <c r="L113">
        <v>1223300002128</v>
      </c>
      <c r="M113">
        <v>20250424</v>
      </c>
      <c r="N113" t="s">
        <v>46</v>
      </c>
      <c r="Q113" t="s">
        <v>47</v>
      </c>
      <c r="R113">
        <v>89541.9</v>
      </c>
      <c r="T113">
        <v>3711207</v>
      </c>
      <c r="U113">
        <v>8825020723</v>
      </c>
      <c r="V113" t="s">
        <v>48</v>
      </c>
      <c r="W113" t="s">
        <v>49</v>
      </c>
      <c r="X113" t="s">
        <v>50</v>
      </c>
      <c r="Y113" t="s">
        <v>51</v>
      </c>
      <c r="Z113">
        <v>1696</v>
      </c>
      <c r="AH113">
        <v>0</v>
      </c>
      <c r="AI113">
        <v>202504</v>
      </c>
      <c r="AJ113" t="s">
        <v>52</v>
      </c>
      <c r="AK113">
        <v>0</v>
      </c>
      <c r="AL113">
        <v>1</v>
      </c>
      <c r="AO113">
        <v>0</v>
      </c>
      <c r="AP113" t="s">
        <v>3011</v>
      </c>
      <c r="AQ113" t="s">
        <v>3012</v>
      </c>
      <c r="AR113" t="s">
        <v>3013</v>
      </c>
      <c r="AS113" t="s">
        <v>3014</v>
      </c>
      <c r="AU113" t="s">
        <v>3014</v>
      </c>
    </row>
    <row r="114" spans="1:47" x14ac:dyDescent="0.35">
      <c r="A114">
        <v>339975</v>
      </c>
      <c r="B114" t="s">
        <v>41</v>
      </c>
      <c r="C114" t="s">
        <v>42</v>
      </c>
      <c r="D114" s="2">
        <v>45787</v>
      </c>
      <c r="E114">
        <v>53850</v>
      </c>
      <c r="F114">
        <v>261</v>
      </c>
      <c r="G114" t="s">
        <v>136</v>
      </c>
      <c r="H114" t="s">
        <v>44</v>
      </c>
      <c r="I114" t="s">
        <v>45</v>
      </c>
      <c r="L114">
        <v>2613300010205</v>
      </c>
      <c r="M114">
        <v>20250423</v>
      </c>
      <c r="N114" t="s">
        <v>46</v>
      </c>
      <c r="Q114" t="s">
        <v>47</v>
      </c>
      <c r="R114">
        <v>30052.75</v>
      </c>
      <c r="T114">
        <v>4991786</v>
      </c>
      <c r="U114">
        <v>993400944</v>
      </c>
      <c r="V114" t="s">
        <v>137</v>
      </c>
      <c r="W114" t="s">
        <v>49</v>
      </c>
      <c r="X114" t="s">
        <v>77</v>
      </c>
      <c r="Y114" t="s">
        <v>51</v>
      </c>
      <c r="Z114">
        <v>1782</v>
      </c>
      <c r="AH114">
        <v>0</v>
      </c>
      <c r="AI114">
        <v>202504</v>
      </c>
      <c r="AJ114" t="s">
        <v>56</v>
      </c>
      <c r="AK114">
        <v>0</v>
      </c>
      <c r="AL114">
        <v>1</v>
      </c>
      <c r="AM114">
        <v>4991786</v>
      </c>
      <c r="AN114">
        <v>1</v>
      </c>
      <c r="AO114">
        <v>0</v>
      </c>
      <c r="AP114" t="s">
        <v>3015</v>
      </c>
      <c r="AQ114" t="s">
        <v>3012</v>
      </c>
      <c r="AR114" t="s">
        <v>3016</v>
      </c>
      <c r="AT114" t="s">
        <v>3017</v>
      </c>
      <c r="AU114" t="s">
        <v>3018</v>
      </c>
    </row>
    <row r="115" spans="1:47" x14ac:dyDescent="0.35">
      <c r="A115">
        <v>339909</v>
      </c>
      <c r="B115" t="s">
        <v>41</v>
      </c>
      <c r="C115" t="s">
        <v>42</v>
      </c>
      <c r="D115" s="2">
        <v>45787</v>
      </c>
      <c r="E115">
        <v>53850</v>
      </c>
      <c r="F115">
        <v>122</v>
      </c>
      <c r="G115" t="s">
        <v>43</v>
      </c>
      <c r="H115" t="s">
        <v>44</v>
      </c>
      <c r="I115" t="s">
        <v>45</v>
      </c>
      <c r="L115">
        <v>1223300002128</v>
      </c>
      <c r="M115">
        <v>20250410</v>
      </c>
      <c r="N115" t="s">
        <v>46</v>
      </c>
      <c r="Q115" t="s">
        <v>47</v>
      </c>
      <c r="R115">
        <v>26068.880000000001</v>
      </c>
      <c r="T115">
        <v>3711207</v>
      </c>
      <c r="U115">
        <v>8825020723</v>
      </c>
      <c r="V115" t="s">
        <v>48</v>
      </c>
      <c r="W115" t="s">
        <v>49</v>
      </c>
      <c r="X115" t="s">
        <v>50</v>
      </c>
      <c r="Y115" t="s">
        <v>51</v>
      </c>
      <c r="Z115">
        <v>1696</v>
      </c>
      <c r="AH115">
        <v>0</v>
      </c>
      <c r="AI115">
        <v>202504</v>
      </c>
      <c r="AJ115" t="s">
        <v>52</v>
      </c>
      <c r="AK115">
        <v>0</v>
      </c>
      <c r="AL115">
        <v>1</v>
      </c>
      <c r="AO115">
        <v>0</v>
      </c>
      <c r="AP115" t="s">
        <v>3011</v>
      </c>
      <c r="AQ115" t="s">
        <v>3012</v>
      </c>
      <c r="AR115" t="s">
        <v>3013</v>
      </c>
      <c r="AS115" t="s">
        <v>3014</v>
      </c>
      <c r="AU115" t="s">
        <v>3014</v>
      </c>
    </row>
    <row r="116" spans="1:47" x14ac:dyDescent="0.35">
      <c r="A116">
        <v>339900</v>
      </c>
      <c r="B116" t="s">
        <v>41</v>
      </c>
      <c r="C116" t="s">
        <v>42</v>
      </c>
      <c r="D116" s="2">
        <v>45787</v>
      </c>
      <c r="E116">
        <v>53850</v>
      </c>
      <c r="F116">
        <v>132</v>
      </c>
      <c r="G116" t="s">
        <v>92</v>
      </c>
      <c r="H116" t="s">
        <v>44</v>
      </c>
      <c r="I116" t="s">
        <v>45</v>
      </c>
      <c r="L116">
        <v>1323300003714</v>
      </c>
      <c r="M116">
        <v>20250415</v>
      </c>
      <c r="N116" t="s">
        <v>46</v>
      </c>
      <c r="Q116" t="s">
        <v>47</v>
      </c>
      <c r="R116">
        <v>25700.400000000001</v>
      </c>
      <c r="T116">
        <v>3724103</v>
      </c>
      <c r="U116">
        <v>2178850760</v>
      </c>
      <c r="V116" t="s">
        <v>93</v>
      </c>
      <c r="W116" t="s">
        <v>49</v>
      </c>
      <c r="X116" t="s">
        <v>88</v>
      </c>
      <c r="Y116" t="s">
        <v>51</v>
      </c>
      <c r="Z116">
        <v>823</v>
      </c>
      <c r="AH116">
        <v>0</v>
      </c>
      <c r="AI116">
        <v>202504</v>
      </c>
      <c r="AJ116" t="s">
        <v>52</v>
      </c>
      <c r="AK116">
        <v>0</v>
      </c>
      <c r="AL116">
        <v>1</v>
      </c>
      <c r="AO116">
        <v>0</v>
      </c>
      <c r="AP116" t="s">
        <v>3015</v>
      </c>
      <c r="AQ116" t="s">
        <v>3012</v>
      </c>
      <c r="AR116" t="s">
        <v>3016</v>
      </c>
      <c r="AT116" t="s">
        <v>3017</v>
      </c>
      <c r="AU116" t="s">
        <v>3018</v>
      </c>
    </row>
    <row r="117" spans="1:47" x14ac:dyDescent="0.35">
      <c r="A117">
        <v>339568</v>
      </c>
      <c r="B117" t="s">
        <v>41</v>
      </c>
      <c r="C117" t="s">
        <v>42</v>
      </c>
      <c r="D117" s="2">
        <v>45787</v>
      </c>
      <c r="E117">
        <v>53850</v>
      </c>
      <c r="F117">
        <v>125</v>
      </c>
      <c r="G117" t="s">
        <v>75</v>
      </c>
      <c r="H117" t="s">
        <v>44</v>
      </c>
      <c r="I117" t="s">
        <v>45</v>
      </c>
      <c r="L117">
        <v>1253309512895</v>
      </c>
      <c r="M117">
        <v>20250403</v>
      </c>
      <c r="N117" t="s">
        <v>46</v>
      </c>
      <c r="Q117" t="s">
        <v>47</v>
      </c>
      <c r="R117">
        <v>38656.800000000003</v>
      </c>
      <c r="T117">
        <v>4795279</v>
      </c>
      <c r="U117">
        <v>1020090658</v>
      </c>
      <c r="V117" t="s">
        <v>76</v>
      </c>
      <c r="W117" t="s">
        <v>49</v>
      </c>
      <c r="X117" t="s">
        <v>77</v>
      </c>
      <c r="Y117" t="s">
        <v>51</v>
      </c>
      <c r="Z117">
        <v>982</v>
      </c>
      <c r="AH117">
        <v>0</v>
      </c>
      <c r="AI117">
        <v>202504</v>
      </c>
      <c r="AJ117" t="s">
        <v>52</v>
      </c>
      <c r="AK117">
        <v>0</v>
      </c>
      <c r="AL117">
        <v>1</v>
      </c>
      <c r="AO117">
        <v>0</v>
      </c>
      <c r="AP117" t="s">
        <v>3015</v>
      </c>
      <c r="AQ117" t="s">
        <v>3012</v>
      </c>
      <c r="AR117" t="s">
        <v>3016</v>
      </c>
      <c r="AT117" t="s">
        <v>3017</v>
      </c>
      <c r="AU117" t="s">
        <v>3018</v>
      </c>
    </row>
    <row r="118" spans="1:47" x14ac:dyDescent="0.35">
      <c r="A118">
        <v>339514</v>
      </c>
      <c r="B118" t="s">
        <v>41</v>
      </c>
      <c r="C118" t="s">
        <v>42</v>
      </c>
      <c r="D118" s="2">
        <v>45787</v>
      </c>
      <c r="E118">
        <v>53850</v>
      </c>
      <c r="F118">
        <v>148</v>
      </c>
      <c r="G118" t="s">
        <v>78</v>
      </c>
      <c r="H118" t="s">
        <v>44</v>
      </c>
      <c r="I118" t="s">
        <v>45</v>
      </c>
      <c r="L118">
        <v>1483300006067</v>
      </c>
      <c r="M118">
        <v>20250414</v>
      </c>
      <c r="N118" t="s">
        <v>46</v>
      </c>
      <c r="Q118" t="s">
        <v>47</v>
      </c>
      <c r="R118">
        <v>42956.67</v>
      </c>
      <c r="T118">
        <v>3737044</v>
      </c>
      <c r="U118">
        <v>15554071009</v>
      </c>
      <c r="V118" t="s">
        <v>87</v>
      </c>
      <c r="W118" t="s">
        <v>49</v>
      </c>
      <c r="X118" t="s">
        <v>88</v>
      </c>
      <c r="Y118" t="s">
        <v>51</v>
      </c>
      <c r="Z118">
        <v>1196</v>
      </c>
      <c r="AH118">
        <v>0</v>
      </c>
      <c r="AI118">
        <v>202504</v>
      </c>
      <c r="AJ118" t="s">
        <v>56</v>
      </c>
      <c r="AK118">
        <v>0</v>
      </c>
      <c r="AL118">
        <v>1</v>
      </c>
      <c r="AO118">
        <v>0</v>
      </c>
      <c r="AP118" t="s">
        <v>3015</v>
      </c>
      <c r="AQ118" t="s">
        <v>3012</v>
      </c>
      <c r="AR118" t="s">
        <v>3016</v>
      </c>
      <c r="AT118" t="s">
        <v>3017</v>
      </c>
      <c r="AU118" t="s">
        <v>3018</v>
      </c>
    </row>
    <row r="119" spans="1:47" x14ac:dyDescent="0.35">
      <c r="A119">
        <v>339484</v>
      </c>
      <c r="B119" t="s">
        <v>41</v>
      </c>
      <c r="C119" t="s">
        <v>42</v>
      </c>
      <c r="D119" s="2">
        <v>45787</v>
      </c>
      <c r="E119">
        <v>53850</v>
      </c>
      <c r="F119">
        <v>154</v>
      </c>
      <c r="G119" t="s">
        <v>53</v>
      </c>
      <c r="H119" t="s">
        <v>44</v>
      </c>
      <c r="I119" t="s">
        <v>45</v>
      </c>
      <c r="L119">
        <v>1543300004860</v>
      </c>
      <c r="M119">
        <v>20250429</v>
      </c>
      <c r="N119" t="s">
        <v>46</v>
      </c>
      <c r="Q119" t="s">
        <v>47</v>
      </c>
      <c r="R119">
        <v>40294.15</v>
      </c>
      <c r="T119">
        <v>3715569</v>
      </c>
      <c r="U119">
        <v>5424970654</v>
      </c>
      <c r="V119" t="s">
        <v>54</v>
      </c>
      <c r="W119" t="s">
        <v>49</v>
      </c>
      <c r="X119" t="s">
        <v>55</v>
      </c>
      <c r="Y119" t="s">
        <v>51</v>
      </c>
      <c r="Z119">
        <v>741</v>
      </c>
      <c r="AH119">
        <v>0</v>
      </c>
      <c r="AI119">
        <v>202504</v>
      </c>
      <c r="AJ119" t="s">
        <v>56</v>
      </c>
      <c r="AK119">
        <v>0</v>
      </c>
      <c r="AL119">
        <v>1</v>
      </c>
      <c r="AM119">
        <v>3715569</v>
      </c>
      <c r="AN119">
        <v>1</v>
      </c>
      <c r="AO119">
        <v>0</v>
      </c>
      <c r="AP119" t="s">
        <v>3015</v>
      </c>
      <c r="AQ119" t="s">
        <v>3012</v>
      </c>
      <c r="AR119" t="s">
        <v>3016</v>
      </c>
      <c r="AT119" t="s">
        <v>3017</v>
      </c>
      <c r="AU119" t="s">
        <v>3018</v>
      </c>
    </row>
    <row r="120" spans="1:47" x14ac:dyDescent="0.35">
      <c r="A120">
        <v>339458</v>
      </c>
      <c r="B120" t="s">
        <v>41</v>
      </c>
      <c r="C120" t="s">
        <v>42</v>
      </c>
      <c r="D120" s="2">
        <v>45787</v>
      </c>
      <c r="E120">
        <v>53850</v>
      </c>
      <c r="F120">
        <v>148</v>
      </c>
      <c r="G120" t="s">
        <v>78</v>
      </c>
      <c r="H120" t="s">
        <v>44</v>
      </c>
      <c r="I120" t="s">
        <v>45</v>
      </c>
      <c r="L120">
        <v>1483300006067</v>
      </c>
      <c r="M120">
        <v>20250414</v>
      </c>
      <c r="N120" t="s">
        <v>46</v>
      </c>
      <c r="Q120" t="s">
        <v>47</v>
      </c>
      <c r="R120">
        <v>40000</v>
      </c>
      <c r="T120">
        <v>3737044</v>
      </c>
      <c r="U120">
        <v>15554071009</v>
      </c>
      <c r="V120" t="s">
        <v>87</v>
      </c>
      <c r="W120" t="s">
        <v>49</v>
      </c>
      <c r="X120" t="s">
        <v>88</v>
      </c>
      <c r="Y120" t="s">
        <v>51</v>
      </c>
      <c r="Z120">
        <v>1196</v>
      </c>
      <c r="AH120">
        <v>0</v>
      </c>
      <c r="AI120">
        <v>202504</v>
      </c>
      <c r="AJ120" t="s">
        <v>56</v>
      </c>
      <c r="AK120">
        <v>0</v>
      </c>
      <c r="AL120">
        <v>1</v>
      </c>
      <c r="AO120">
        <v>0</v>
      </c>
      <c r="AP120" t="s">
        <v>3015</v>
      </c>
      <c r="AQ120" t="s">
        <v>3012</v>
      </c>
      <c r="AR120" t="s">
        <v>3016</v>
      </c>
      <c r="AT120" t="s">
        <v>3017</v>
      </c>
      <c r="AU120" t="s">
        <v>3018</v>
      </c>
    </row>
    <row r="121" spans="1:47" x14ac:dyDescent="0.35">
      <c r="A121">
        <v>338607</v>
      </c>
      <c r="B121" t="s">
        <v>138</v>
      </c>
      <c r="C121" t="s">
        <v>139</v>
      </c>
      <c r="D121" s="2">
        <v>45787</v>
      </c>
      <c r="E121">
        <v>53850</v>
      </c>
      <c r="F121">
        <v>121</v>
      </c>
      <c r="G121" t="s">
        <v>140</v>
      </c>
      <c r="H121" t="s">
        <v>141</v>
      </c>
      <c r="I121" t="s">
        <v>45</v>
      </c>
      <c r="R121" t="s">
        <v>142</v>
      </c>
      <c r="T121">
        <v>4669940</v>
      </c>
      <c r="U121">
        <v>7216060728</v>
      </c>
      <c r="V121" t="s">
        <v>143</v>
      </c>
      <c r="W121" t="s">
        <v>49</v>
      </c>
      <c r="X121" t="s">
        <v>144</v>
      </c>
      <c r="AH121">
        <v>0</v>
      </c>
      <c r="AL121">
        <v>1</v>
      </c>
      <c r="AO121">
        <v>0</v>
      </c>
      <c r="AP121" t="s">
        <v>3015</v>
      </c>
      <c r="AQ121" t="s">
        <v>3012</v>
      </c>
      <c r="AR121" t="s">
        <v>3016</v>
      </c>
      <c r="AT121" t="s">
        <v>3017</v>
      </c>
      <c r="AU121" t="s">
        <v>3018</v>
      </c>
    </row>
    <row r="122" spans="1:47" x14ac:dyDescent="0.35">
      <c r="A122">
        <v>338605</v>
      </c>
      <c r="B122" t="s">
        <v>138</v>
      </c>
      <c r="C122" t="s">
        <v>139</v>
      </c>
      <c r="D122" s="2">
        <v>45787</v>
      </c>
      <c r="E122">
        <v>53850</v>
      </c>
      <c r="F122">
        <v>121</v>
      </c>
      <c r="G122" t="s">
        <v>140</v>
      </c>
      <c r="H122" t="s">
        <v>141</v>
      </c>
      <c r="I122" t="s">
        <v>45</v>
      </c>
      <c r="R122" t="s">
        <v>142</v>
      </c>
      <c r="T122">
        <v>4669940</v>
      </c>
      <c r="U122">
        <v>7216060728</v>
      </c>
      <c r="V122" t="s">
        <v>143</v>
      </c>
      <c r="W122" t="s">
        <v>49</v>
      </c>
      <c r="X122" t="s">
        <v>144</v>
      </c>
      <c r="AH122">
        <v>0</v>
      </c>
      <c r="AL122">
        <v>1</v>
      </c>
      <c r="AO122">
        <v>0</v>
      </c>
      <c r="AP122" t="s">
        <v>3015</v>
      </c>
      <c r="AQ122" t="s">
        <v>3012</v>
      </c>
      <c r="AR122" t="s">
        <v>3016</v>
      </c>
      <c r="AT122" t="s">
        <v>3017</v>
      </c>
      <c r="AU122" t="s">
        <v>3018</v>
      </c>
    </row>
    <row r="123" spans="1:47" x14ac:dyDescent="0.35">
      <c r="A123">
        <v>338595</v>
      </c>
      <c r="B123" t="s">
        <v>138</v>
      </c>
      <c r="C123" t="s">
        <v>139</v>
      </c>
      <c r="D123" s="2">
        <v>45787</v>
      </c>
      <c r="E123">
        <v>53850</v>
      </c>
      <c r="F123">
        <v>190</v>
      </c>
      <c r="G123" t="s">
        <v>145</v>
      </c>
      <c r="H123" t="s">
        <v>141</v>
      </c>
      <c r="I123" t="s">
        <v>45</v>
      </c>
      <c r="R123" t="s">
        <v>142</v>
      </c>
      <c r="T123">
        <v>4884959</v>
      </c>
      <c r="U123">
        <v>6732580722</v>
      </c>
      <c r="V123" t="s">
        <v>146</v>
      </c>
      <c r="W123" t="s">
        <v>49</v>
      </c>
      <c r="X123" t="s">
        <v>147</v>
      </c>
      <c r="Z123">
        <v>1926</v>
      </c>
      <c r="AH123">
        <v>0</v>
      </c>
      <c r="AL123">
        <v>1</v>
      </c>
      <c r="AO123">
        <v>0</v>
      </c>
      <c r="AP123" t="s">
        <v>3015</v>
      </c>
      <c r="AQ123" t="s">
        <v>3012</v>
      </c>
      <c r="AR123" t="s">
        <v>3016</v>
      </c>
      <c r="AT123" t="s">
        <v>3017</v>
      </c>
      <c r="AU123" t="s">
        <v>3018</v>
      </c>
    </row>
    <row r="124" spans="1:47" x14ac:dyDescent="0.35">
      <c r="A124">
        <v>338588</v>
      </c>
      <c r="B124" t="s">
        <v>138</v>
      </c>
      <c r="C124" t="s">
        <v>139</v>
      </c>
      <c r="D124" s="2">
        <v>45787</v>
      </c>
      <c r="E124">
        <v>53850</v>
      </c>
      <c r="F124">
        <v>141</v>
      </c>
      <c r="G124" t="s">
        <v>105</v>
      </c>
      <c r="H124" t="s">
        <v>141</v>
      </c>
      <c r="I124" t="s">
        <v>45</v>
      </c>
      <c r="R124" t="s">
        <v>142</v>
      </c>
      <c r="T124">
        <v>4835947</v>
      </c>
      <c r="U124">
        <v>3351210756</v>
      </c>
      <c r="V124" t="s">
        <v>148</v>
      </c>
      <c r="W124" t="s">
        <v>49</v>
      </c>
      <c r="X124" t="s">
        <v>149</v>
      </c>
      <c r="Z124">
        <v>1627</v>
      </c>
      <c r="AH124">
        <v>0</v>
      </c>
      <c r="AL124">
        <v>1</v>
      </c>
      <c r="AO124">
        <v>0</v>
      </c>
      <c r="AP124" t="s">
        <v>3011</v>
      </c>
      <c r="AQ124" t="s">
        <v>3012</v>
      </c>
      <c r="AR124" t="s">
        <v>3013</v>
      </c>
      <c r="AS124" t="s">
        <v>3014</v>
      </c>
      <c r="AU124" t="s">
        <v>3014</v>
      </c>
    </row>
    <row r="125" spans="1:47" x14ac:dyDescent="0.35">
      <c r="A125">
        <v>338472</v>
      </c>
      <c r="B125" t="s">
        <v>138</v>
      </c>
      <c r="C125" t="s">
        <v>139</v>
      </c>
      <c r="D125" s="2">
        <v>45787</v>
      </c>
      <c r="E125">
        <v>53850</v>
      </c>
      <c r="F125">
        <v>122</v>
      </c>
      <c r="G125" t="s">
        <v>43</v>
      </c>
      <c r="H125" t="s">
        <v>141</v>
      </c>
      <c r="I125" t="s">
        <v>45</v>
      </c>
      <c r="R125" t="s">
        <v>142</v>
      </c>
      <c r="T125">
        <v>3711207</v>
      </c>
      <c r="U125">
        <v>8825020723</v>
      </c>
      <c r="V125" t="s">
        <v>48</v>
      </c>
      <c r="W125" t="s">
        <v>49</v>
      </c>
      <c r="X125" t="s">
        <v>150</v>
      </c>
      <c r="Z125">
        <v>1696</v>
      </c>
      <c r="AH125">
        <v>0</v>
      </c>
      <c r="AL125">
        <v>1</v>
      </c>
      <c r="AO125">
        <v>0</v>
      </c>
      <c r="AP125" t="s">
        <v>3011</v>
      </c>
      <c r="AQ125" t="s">
        <v>3012</v>
      </c>
      <c r="AR125" t="s">
        <v>3013</v>
      </c>
      <c r="AS125" t="s">
        <v>3014</v>
      </c>
      <c r="AU125" t="s">
        <v>3014</v>
      </c>
    </row>
    <row r="126" spans="1:47" x14ac:dyDescent="0.35">
      <c r="A126">
        <v>338464</v>
      </c>
      <c r="B126" t="s">
        <v>138</v>
      </c>
      <c r="C126" t="s">
        <v>139</v>
      </c>
      <c r="D126" s="2">
        <v>45787</v>
      </c>
      <c r="E126">
        <v>53850</v>
      </c>
      <c r="F126">
        <v>102</v>
      </c>
      <c r="G126" t="s">
        <v>151</v>
      </c>
      <c r="H126" t="s">
        <v>141</v>
      </c>
      <c r="I126" t="s">
        <v>45</v>
      </c>
      <c r="R126" t="s">
        <v>142</v>
      </c>
      <c r="T126">
        <v>4269640</v>
      </c>
      <c r="U126">
        <v>4797080969</v>
      </c>
      <c r="V126" t="s">
        <v>152</v>
      </c>
      <c r="W126" t="s">
        <v>153</v>
      </c>
      <c r="X126" t="s">
        <v>154</v>
      </c>
      <c r="Z126">
        <v>1926</v>
      </c>
      <c r="AH126">
        <v>0</v>
      </c>
      <c r="AL126">
        <v>1</v>
      </c>
      <c r="AO126">
        <v>0</v>
      </c>
      <c r="AP126" t="s">
        <v>3015</v>
      </c>
      <c r="AQ126" t="s">
        <v>3035</v>
      </c>
      <c r="AR126" t="s">
        <v>3036</v>
      </c>
      <c r="AT126" t="s">
        <v>3017</v>
      </c>
      <c r="AU126" t="s">
        <v>3037</v>
      </c>
    </row>
    <row r="127" spans="1:47" x14ac:dyDescent="0.35">
      <c r="A127">
        <v>338413</v>
      </c>
      <c r="B127" t="s">
        <v>138</v>
      </c>
      <c r="C127" t="s">
        <v>139</v>
      </c>
      <c r="D127" s="2">
        <v>45787</v>
      </c>
      <c r="E127">
        <v>53850</v>
      </c>
      <c r="F127">
        <v>102</v>
      </c>
      <c r="G127" t="s">
        <v>151</v>
      </c>
      <c r="H127" t="s">
        <v>141</v>
      </c>
      <c r="I127" t="s">
        <v>45</v>
      </c>
      <c r="R127" t="s">
        <v>142</v>
      </c>
      <c r="T127">
        <v>3726777</v>
      </c>
      <c r="U127">
        <v>8920410720</v>
      </c>
      <c r="V127" t="s">
        <v>155</v>
      </c>
      <c r="W127" t="s">
        <v>156</v>
      </c>
      <c r="X127" t="s">
        <v>157</v>
      </c>
      <c r="Z127">
        <v>739</v>
      </c>
      <c r="AH127">
        <v>0</v>
      </c>
      <c r="AL127">
        <v>1</v>
      </c>
      <c r="AO127">
        <v>0</v>
      </c>
      <c r="AP127" t="s">
        <v>3015</v>
      </c>
      <c r="AQ127" t="s">
        <v>3038</v>
      </c>
      <c r="AR127" t="s">
        <v>3039</v>
      </c>
      <c r="AT127" t="s">
        <v>3017</v>
      </c>
      <c r="AU127" t="s">
        <v>3037</v>
      </c>
    </row>
    <row r="128" spans="1:47" x14ac:dyDescent="0.35">
      <c r="A128">
        <v>338313</v>
      </c>
      <c r="B128" t="s">
        <v>138</v>
      </c>
      <c r="C128" t="s">
        <v>139</v>
      </c>
      <c r="D128" s="2">
        <v>45787</v>
      </c>
      <c r="E128">
        <v>53850</v>
      </c>
      <c r="F128">
        <v>109</v>
      </c>
      <c r="G128" t="s">
        <v>89</v>
      </c>
      <c r="H128" t="s">
        <v>141</v>
      </c>
      <c r="I128" t="s">
        <v>45</v>
      </c>
      <c r="R128" t="s">
        <v>142</v>
      </c>
      <c r="T128">
        <v>4536482</v>
      </c>
      <c r="U128">
        <v>268480720</v>
      </c>
      <c r="V128" t="s">
        <v>158</v>
      </c>
      <c r="W128" t="s">
        <v>49</v>
      </c>
      <c r="X128" t="s">
        <v>159</v>
      </c>
      <c r="Z128">
        <v>1919</v>
      </c>
      <c r="AH128">
        <v>0</v>
      </c>
      <c r="AL128">
        <v>1</v>
      </c>
      <c r="AO128">
        <v>0</v>
      </c>
      <c r="AP128" t="s">
        <v>1100</v>
      </c>
      <c r="AQ128" t="s">
        <v>3012</v>
      </c>
      <c r="AR128" t="s">
        <v>3023</v>
      </c>
      <c r="AS128" t="s">
        <v>3014</v>
      </c>
      <c r="AU128" t="s">
        <v>3014</v>
      </c>
    </row>
    <row r="129" spans="1:47" x14ac:dyDescent="0.35">
      <c r="A129">
        <v>338304</v>
      </c>
      <c r="B129" t="s">
        <v>138</v>
      </c>
      <c r="C129" t="s">
        <v>139</v>
      </c>
      <c r="D129" s="2">
        <v>45787</v>
      </c>
      <c r="E129">
        <v>53850</v>
      </c>
      <c r="F129">
        <v>105</v>
      </c>
      <c r="G129" t="s">
        <v>60</v>
      </c>
      <c r="H129" t="s">
        <v>141</v>
      </c>
      <c r="I129" t="s">
        <v>45</v>
      </c>
      <c r="R129" t="s">
        <v>142</v>
      </c>
      <c r="T129">
        <v>4263360</v>
      </c>
      <c r="U129">
        <v>5982300724</v>
      </c>
      <c r="V129" t="s">
        <v>61</v>
      </c>
      <c r="W129" t="s">
        <v>49</v>
      </c>
      <c r="X129" t="s">
        <v>160</v>
      </c>
      <c r="Z129">
        <v>1058</v>
      </c>
      <c r="AH129">
        <v>0</v>
      </c>
      <c r="AL129">
        <v>1</v>
      </c>
      <c r="AO129">
        <v>0</v>
      </c>
      <c r="AP129" t="s">
        <v>3015</v>
      </c>
      <c r="AQ129" t="s">
        <v>3012</v>
      </c>
      <c r="AR129" t="s">
        <v>3016</v>
      </c>
      <c r="AT129" t="s">
        <v>3017</v>
      </c>
      <c r="AU129" t="s">
        <v>3018</v>
      </c>
    </row>
    <row r="130" spans="1:47" x14ac:dyDescent="0.35">
      <c r="A130">
        <v>338301</v>
      </c>
      <c r="B130" t="s">
        <v>138</v>
      </c>
      <c r="C130" t="s">
        <v>139</v>
      </c>
      <c r="D130" s="2">
        <v>45787</v>
      </c>
      <c r="E130">
        <v>53850</v>
      </c>
      <c r="F130">
        <v>102</v>
      </c>
      <c r="G130" t="s">
        <v>151</v>
      </c>
      <c r="H130" t="s">
        <v>141</v>
      </c>
      <c r="I130" t="s">
        <v>45</v>
      </c>
      <c r="R130" t="s">
        <v>142</v>
      </c>
      <c r="T130">
        <v>4269640</v>
      </c>
      <c r="U130">
        <v>4797080969</v>
      </c>
      <c r="V130" t="s">
        <v>152</v>
      </c>
      <c r="W130" t="s">
        <v>153</v>
      </c>
      <c r="X130" t="s">
        <v>154</v>
      </c>
      <c r="Z130">
        <v>1926</v>
      </c>
      <c r="AH130">
        <v>0</v>
      </c>
      <c r="AL130">
        <v>1</v>
      </c>
      <c r="AO130">
        <v>0</v>
      </c>
      <c r="AP130" t="s">
        <v>3015</v>
      </c>
      <c r="AQ130" t="s">
        <v>3035</v>
      </c>
      <c r="AR130" t="s">
        <v>3036</v>
      </c>
      <c r="AT130" t="s">
        <v>3017</v>
      </c>
      <c r="AU130" t="s">
        <v>3037</v>
      </c>
    </row>
    <row r="131" spans="1:47" x14ac:dyDescent="0.35">
      <c r="A131">
        <v>338273</v>
      </c>
      <c r="B131" t="s">
        <v>138</v>
      </c>
      <c r="C131" t="s">
        <v>139</v>
      </c>
      <c r="D131" s="2">
        <v>45787</v>
      </c>
      <c r="E131">
        <v>53850</v>
      </c>
      <c r="F131">
        <v>122</v>
      </c>
      <c r="G131" t="s">
        <v>43</v>
      </c>
      <c r="H131" t="s">
        <v>141</v>
      </c>
      <c r="I131" t="s">
        <v>45</v>
      </c>
      <c r="R131" t="s">
        <v>142</v>
      </c>
      <c r="T131">
        <v>3711207</v>
      </c>
      <c r="U131">
        <v>8825020723</v>
      </c>
      <c r="V131" t="s">
        <v>48</v>
      </c>
      <c r="W131" t="s">
        <v>49</v>
      </c>
      <c r="X131" t="s">
        <v>150</v>
      </c>
      <c r="Z131">
        <v>1696</v>
      </c>
      <c r="AH131">
        <v>0</v>
      </c>
      <c r="AL131">
        <v>1</v>
      </c>
      <c r="AO131">
        <v>0</v>
      </c>
      <c r="AP131" t="s">
        <v>3011</v>
      </c>
      <c r="AQ131" t="s">
        <v>3012</v>
      </c>
      <c r="AR131" t="s">
        <v>3013</v>
      </c>
      <c r="AS131" t="s">
        <v>3014</v>
      </c>
      <c r="AU131" t="s">
        <v>3014</v>
      </c>
    </row>
    <row r="132" spans="1:47" x14ac:dyDescent="0.35">
      <c r="A132">
        <v>338234</v>
      </c>
      <c r="B132" t="s">
        <v>138</v>
      </c>
      <c r="C132" t="s">
        <v>139</v>
      </c>
      <c r="D132" s="2">
        <v>45787</v>
      </c>
      <c r="E132">
        <v>53850</v>
      </c>
      <c r="F132">
        <v>121</v>
      </c>
      <c r="G132" t="s">
        <v>140</v>
      </c>
      <c r="H132" t="s">
        <v>141</v>
      </c>
      <c r="I132" t="s">
        <v>45</v>
      </c>
      <c r="R132" t="s">
        <v>142</v>
      </c>
      <c r="T132">
        <v>4669940</v>
      </c>
      <c r="U132">
        <v>7216060728</v>
      </c>
      <c r="V132" t="s">
        <v>143</v>
      </c>
      <c r="W132" t="s">
        <v>49</v>
      </c>
      <c r="X132" t="s">
        <v>144</v>
      </c>
      <c r="AH132">
        <v>0</v>
      </c>
      <c r="AL132">
        <v>1</v>
      </c>
      <c r="AO132">
        <v>0</v>
      </c>
      <c r="AP132" t="s">
        <v>3015</v>
      </c>
      <c r="AQ132" t="s">
        <v>3012</v>
      </c>
      <c r="AR132" t="s">
        <v>3016</v>
      </c>
      <c r="AT132" t="s">
        <v>3017</v>
      </c>
      <c r="AU132" t="s">
        <v>3018</v>
      </c>
    </row>
    <row r="133" spans="1:47" x14ac:dyDescent="0.35">
      <c r="A133">
        <v>338183</v>
      </c>
      <c r="B133" t="s">
        <v>138</v>
      </c>
      <c r="C133" t="s">
        <v>139</v>
      </c>
      <c r="D133" s="2">
        <v>45787</v>
      </c>
      <c r="E133">
        <v>53850</v>
      </c>
      <c r="F133">
        <v>109</v>
      </c>
      <c r="G133" t="s">
        <v>89</v>
      </c>
      <c r="H133" t="s">
        <v>141</v>
      </c>
      <c r="I133" t="s">
        <v>45</v>
      </c>
      <c r="R133" t="s">
        <v>142</v>
      </c>
      <c r="T133">
        <v>4536482</v>
      </c>
      <c r="U133">
        <v>268480720</v>
      </c>
      <c r="V133" t="s">
        <v>158</v>
      </c>
      <c r="W133" t="s">
        <v>49</v>
      </c>
      <c r="X133" t="s">
        <v>159</v>
      </c>
      <c r="Z133">
        <v>1919</v>
      </c>
      <c r="AH133">
        <v>0</v>
      </c>
      <c r="AL133">
        <v>1</v>
      </c>
      <c r="AO133">
        <v>0</v>
      </c>
      <c r="AP133" t="s">
        <v>1100</v>
      </c>
      <c r="AQ133" t="s">
        <v>3012</v>
      </c>
      <c r="AR133" t="s">
        <v>3023</v>
      </c>
      <c r="AS133" t="s">
        <v>3014</v>
      </c>
      <c r="AU133" t="s">
        <v>3014</v>
      </c>
    </row>
    <row r="134" spans="1:47" x14ac:dyDescent="0.35">
      <c r="A134">
        <v>338152</v>
      </c>
      <c r="B134" t="s">
        <v>138</v>
      </c>
      <c r="C134" t="s">
        <v>139</v>
      </c>
      <c r="D134" s="2">
        <v>45787</v>
      </c>
      <c r="E134">
        <v>53850</v>
      </c>
      <c r="F134">
        <v>102</v>
      </c>
      <c r="G134" t="s">
        <v>151</v>
      </c>
      <c r="H134" t="s">
        <v>141</v>
      </c>
      <c r="I134" t="s">
        <v>45</v>
      </c>
      <c r="R134" t="s">
        <v>142</v>
      </c>
      <c r="T134">
        <v>4597052</v>
      </c>
      <c r="U134">
        <v>6707270960</v>
      </c>
      <c r="V134" t="s">
        <v>161</v>
      </c>
      <c r="W134" t="s">
        <v>162</v>
      </c>
      <c r="X134" t="s">
        <v>163</v>
      </c>
      <c r="Z134">
        <v>1926</v>
      </c>
      <c r="AH134">
        <v>0</v>
      </c>
      <c r="AL134">
        <v>1</v>
      </c>
      <c r="AO134">
        <v>0</v>
      </c>
      <c r="AP134" t="s">
        <v>3015</v>
      </c>
      <c r="AQ134" t="s">
        <v>3040</v>
      </c>
      <c r="AR134" t="s">
        <v>3041</v>
      </c>
      <c r="AT134" t="s">
        <v>3017</v>
      </c>
      <c r="AU134" t="s">
        <v>3037</v>
      </c>
    </row>
    <row r="135" spans="1:47" x14ac:dyDescent="0.35">
      <c r="A135">
        <v>338137</v>
      </c>
      <c r="B135" t="s">
        <v>138</v>
      </c>
      <c r="C135" t="s">
        <v>139</v>
      </c>
      <c r="D135" s="2">
        <v>45787</v>
      </c>
      <c r="E135">
        <v>53850</v>
      </c>
      <c r="F135">
        <v>190</v>
      </c>
      <c r="G135" t="s">
        <v>145</v>
      </c>
      <c r="H135" t="s">
        <v>141</v>
      </c>
      <c r="I135" t="s">
        <v>45</v>
      </c>
      <c r="R135" t="s">
        <v>142</v>
      </c>
      <c r="T135">
        <v>4884959</v>
      </c>
      <c r="U135">
        <v>6732580722</v>
      </c>
      <c r="V135" t="s">
        <v>146</v>
      </c>
      <c r="W135" t="s">
        <v>49</v>
      </c>
      <c r="X135" t="s">
        <v>147</v>
      </c>
      <c r="Z135">
        <v>1926</v>
      </c>
      <c r="AH135">
        <v>0</v>
      </c>
      <c r="AL135">
        <v>1</v>
      </c>
      <c r="AO135">
        <v>0</v>
      </c>
      <c r="AP135" t="s">
        <v>3015</v>
      </c>
      <c r="AQ135" t="s">
        <v>3012</v>
      </c>
      <c r="AR135" t="s">
        <v>3016</v>
      </c>
      <c r="AT135" t="s">
        <v>3017</v>
      </c>
      <c r="AU135" t="s">
        <v>3018</v>
      </c>
    </row>
    <row r="136" spans="1:47" x14ac:dyDescent="0.35">
      <c r="A136">
        <v>338074</v>
      </c>
      <c r="B136" t="s">
        <v>138</v>
      </c>
      <c r="C136" t="s">
        <v>139</v>
      </c>
      <c r="D136" s="2">
        <v>45787</v>
      </c>
      <c r="E136">
        <v>53850</v>
      </c>
      <c r="F136">
        <v>190</v>
      </c>
      <c r="G136" t="s">
        <v>145</v>
      </c>
      <c r="H136" t="s">
        <v>141</v>
      </c>
      <c r="I136" t="s">
        <v>45</v>
      </c>
      <c r="R136" t="s">
        <v>142</v>
      </c>
      <c r="T136">
        <v>4884959</v>
      </c>
      <c r="U136">
        <v>6732580722</v>
      </c>
      <c r="V136" t="s">
        <v>146</v>
      </c>
      <c r="W136" t="s">
        <v>49</v>
      </c>
      <c r="X136" t="s">
        <v>147</v>
      </c>
      <c r="Z136">
        <v>1926</v>
      </c>
      <c r="AH136">
        <v>0</v>
      </c>
      <c r="AL136">
        <v>1</v>
      </c>
      <c r="AO136">
        <v>0</v>
      </c>
      <c r="AP136" t="s">
        <v>3015</v>
      </c>
      <c r="AQ136" t="s">
        <v>3012</v>
      </c>
      <c r="AR136" t="s">
        <v>3016</v>
      </c>
      <c r="AT136" t="s">
        <v>3017</v>
      </c>
      <c r="AU136" t="s">
        <v>3018</v>
      </c>
    </row>
    <row r="137" spans="1:47" x14ac:dyDescent="0.35">
      <c r="A137">
        <v>337728</v>
      </c>
      <c r="B137" t="s">
        <v>164</v>
      </c>
      <c r="C137" t="s">
        <v>165</v>
      </c>
      <c r="D137" s="2">
        <v>45780</v>
      </c>
      <c r="E137">
        <v>53850</v>
      </c>
      <c r="F137">
        <v>137</v>
      </c>
      <c r="G137" t="s">
        <v>166</v>
      </c>
      <c r="H137" t="s">
        <v>167</v>
      </c>
      <c r="I137" t="s">
        <v>45</v>
      </c>
      <c r="K137">
        <v>202504287941071</v>
      </c>
      <c r="L137">
        <v>1373300005994</v>
      </c>
      <c r="M137">
        <v>20250428</v>
      </c>
      <c r="N137" t="s">
        <v>168</v>
      </c>
      <c r="P137" t="s">
        <v>169</v>
      </c>
      <c r="Q137" t="s">
        <v>170</v>
      </c>
      <c r="R137">
        <v>18411.75</v>
      </c>
      <c r="S137">
        <v>0</v>
      </c>
      <c r="T137">
        <v>3734872</v>
      </c>
      <c r="U137">
        <v>1896670708</v>
      </c>
      <c r="V137" t="s">
        <v>171</v>
      </c>
      <c r="W137" t="s">
        <v>49</v>
      </c>
      <c r="X137" t="s">
        <v>113</v>
      </c>
      <c r="Y137" t="s">
        <v>51</v>
      </c>
      <c r="Z137">
        <v>1867</v>
      </c>
      <c r="AH137">
        <v>0</v>
      </c>
      <c r="AI137">
        <v>202504</v>
      </c>
      <c r="AJ137" t="s">
        <v>56</v>
      </c>
      <c r="AK137">
        <v>0</v>
      </c>
      <c r="AL137">
        <v>1</v>
      </c>
      <c r="AO137">
        <v>0</v>
      </c>
      <c r="AP137" t="s">
        <v>3015</v>
      </c>
      <c r="AQ137" t="s">
        <v>3012</v>
      </c>
      <c r="AR137" t="s">
        <v>3016</v>
      </c>
      <c r="AT137" t="s">
        <v>3017</v>
      </c>
      <c r="AU137" t="s">
        <v>3018</v>
      </c>
    </row>
    <row r="138" spans="1:47" x14ac:dyDescent="0.35">
      <c r="A138">
        <v>337727</v>
      </c>
      <c r="B138" t="s">
        <v>172</v>
      </c>
      <c r="C138" t="s">
        <v>173</v>
      </c>
      <c r="D138" s="2">
        <v>45778</v>
      </c>
      <c r="E138">
        <v>53850</v>
      </c>
      <c r="F138">
        <v>102</v>
      </c>
      <c r="G138" t="s">
        <v>151</v>
      </c>
      <c r="H138" t="s">
        <v>167</v>
      </c>
      <c r="I138" t="s">
        <v>45</v>
      </c>
      <c r="K138" t="s">
        <v>174</v>
      </c>
      <c r="L138">
        <v>1023308717655</v>
      </c>
      <c r="M138">
        <v>20250430</v>
      </c>
      <c r="N138" t="s">
        <v>175</v>
      </c>
      <c r="Q138" t="s">
        <v>47</v>
      </c>
      <c r="R138">
        <v>178315.37</v>
      </c>
      <c r="S138">
        <v>5800</v>
      </c>
      <c r="T138">
        <v>4226959</v>
      </c>
      <c r="U138">
        <v>6150080726</v>
      </c>
      <c r="V138" t="s">
        <v>176</v>
      </c>
      <c r="W138" t="s">
        <v>49</v>
      </c>
      <c r="X138" t="s">
        <v>177</v>
      </c>
      <c r="Y138" t="s">
        <v>51</v>
      </c>
      <c r="Z138">
        <v>739</v>
      </c>
      <c r="AH138">
        <v>0</v>
      </c>
      <c r="AI138">
        <v>202504</v>
      </c>
      <c r="AJ138" t="s">
        <v>86</v>
      </c>
      <c r="AK138">
        <v>1</v>
      </c>
      <c r="AL138">
        <v>1</v>
      </c>
      <c r="AO138">
        <v>1</v>
      </c>
      <c r="AP138" t="s">
        <v>3015</v>
      </c>
      <c r="AQ138" t="s">
        <v>3012</v>
      </c>
      <c r="AR138" t="s">
        <v>3016</v>
      </c>
      <c r="AT138" t="s">
        <v>3017</v>
      </c>
      <c r="AU138" t="s">
        <v>3018</v>
      </c>
    </row>
    <row r="139" spans="1:47" x14ac:dyDescent="0.35">
      <c r="A139">
        <v>337726</v>
      </c>
      <c r="B139" t="s">
        <v>178</v>
      </c>
      <c r="C139" t="s">
        <v>179</v>
      </c>
      <c r="D139" s="2">
        <v>45778</v>
      </c>
      <c r="E139">
        <v>53850</v>
      </c>
      <c r="F139">
        <v>181</v>
      </c>
      <c r="G139" t="s">
        <v>180</v>
      </c>
      <c r="H139" t="s">
        <v>167</v>
      </c>
      <c r="I139" t="s">
        <v>45</v>
      </c>
      <c r="K139" t="s">
        <v>181</v>
      </c>
      <c r="L139">
        <v>1813301029692</v>
      </c>
      <c r="M139">
        <v>20250430</v>
      </c>
      <c r="N139" t="s">
        <v>3136</v>
      </c>
      <c r="Q139" t="s">
        <v>170</v>
      </c>
      <c r="R139">
        <v>1101.49</v>
      </c>
      <c r="S139">
        <v>0</v>
      </c>
      <c r="T139">
        <v>601835</v>
      </c>
      <c r="U139">
        <v>83003310725</v>
      </c>
      <c r="V139" t="s">
        <v>182</v>
      </c>
      <c r="W139" t="s">
        <v>183</v>
      </c>
      <c r="Y139" t="s">
        <v>51</v>
      </c>
      <c r="Z139">
        <v>1401</v>
      </c>
      <c r="AH139">
        <v>0</v>
      </c>
      <c r="AI139">
        <v>202504</v>
      </c>
      <c r="AJ139" t="s">
        <v>52</v>
      </c>
      <c r="AK139">
        <v>0</v>
      </c>
      <c r="AL139">
        <v>1</v>
      </c>
      <c r="AO139">
        <v>1</v>
      </c>
      <c r="AP139" t="s">
        <v>3015</v>
      </c>
      <c r="AQ139" t="s">
        <v>3042</v>
      </c>
      <c r="AR139" t="s">
        <v>3043</v>
      </c>
      <c r="AS139" t="s">
        <v>3037</v>
      </c>
      <c r="AU139" t="s">
        <v>3037</v>
      </c>
    </row>
    <row r="140" spans="1:47" x14ac:dyDescent="0.35">
      <c r="A140">
        <v>337725</v>
      </c>
      <c r="B140" t="s">
        <v>178</v>
      </c>
      <c r="C140" t="s">
        <v>179</v>
      </c>
      <c r="D140" s="2">
        <v>45778</v>
      </c>
      <c r="E140">
        <v>53850</v>
      </c>
      <c r="F140">
        <v>284</v>
      </c>
      <c r="G140" t="s">
        <v>184</v>
      </c>
      <c r="H140" t="s">
        <v>167</v>
      </c>
      <c r="I140" t="s">
        <v>45</v>
      </c>
      <c r="K140">
        <v>202504307937300</v>
      </c>
      <c r="L140">
        <v>2843300000569</v>
      </c>
      <c r="M140">
        <v>20250430</v>
      </c>
      <c r="N140" t="s">
        <v>46</v>
      </c>
      <c r="P140" t="s">
        <v>51</v>
      </c>
      <c r="Q140" t="s">
        <v>47</v>
      </c>
      <c r="R140">
        <v>489643.2</v>
      </c>
      <c r="S140">
        <v>0</v>
      </c>
      <c r="T140">
        <v>1656943</v>
      </c>
      <c r="U140" t="s">
        <v>185</v>
      </c>
      <c r="V140" t="s">
        <v>186</v>
      </c>
      <c r="W140" t="s">
        <v>187</v>
      </c>
      <c r="Y140" t="s">
        <v>51</v>
      </c>
      <c r="Z140">
        <v>1858</v>
      </c>
      <c r="AH140">
        <v>0</v>
      </c>
      <c r="AI140">
        <v>202504</v>
      </c>
      <c r="AJ140" t="s">
        <v>52</v>
      </c>
      <c r="AK140">
        <v>0</v>
      </c>
      <c r="AL140">
        <v>1</v>
      </c>
      <c r="AO140">
        <v>0</v>
      </c>
      <c r="AP140" t="s">
        <v>3015</v>
      </c>
      <c r="AQ140" t="s">
        <v>3044</v>
      </c>
      <c r="AR140" t="s">
        <v>3045</v>
      </c>
      <c r="AS140" t="s">
        <v>3046</v>
      </c>
      <c r="AU140" t="s">
        <v>3046</v>
      </c>
    </row>
    <row r="141" spans="1:47" x14ac:dyDescent="0.35">
      <c r="A141">
        <v>337724</v>
      </c>
      <c r="B141" t="s">
        <v>178</v>
      </c>
      <c r="C141" t="s">
        <v>179</v>
      </c>
      <c r="D141" s="2">
        <v>45778</v>
      </c>
      <c r="E141">
        <v>53850</v>
      </c>
      <c r="F141">
        <v>114</v>
      </c>
      <c r="G141" t="s">
        <v>188</v>
      </c>
      <c r="H141" t="s">
        <v>167</v>
      </c>
      <c r="I141" t="s">
        <v>45</v>
      </c>
      <c r="K141">
        <v>202504307936936</v>
      </c>
      <c r="L141">
        <v>1143306280621</v>
      </c>
      <c r="M141">
        <v>20250430</v>
      </c>
      <c r="N141" t="s">
        <v>46</v>
      </c>
      <c r="P141" t="s">
        <v>51</v>
      </c>
      <c r="Q141" t="s">
        <v>47</v>
      </c>
      <c r="R141">
        <v>180000</v>
      </c>
      <c r="S141">
        <v>0</v>
      </c>
      <c r="T141">
        <v>4658875</v>
      </c>
      <c r="U141">
        <v>3230890711</v>
      </c>
      <c r="V141" t="s">
        <v>189</v>
      </c>
      <c r="W141" t="s">
        <v>190</v>
      </c>
      <c r="X141" t="s">
        <v>131</v>
      </c>
      <c r="Y141" t="s">
        <v>51</v>
      </c>
      <c r="Z141">
        <v>870</v>
      </c>
      <c r="AH141">
        <v>0</v>
      </c>
      <c r="AI141">
        <v>202504</v>
      </c>
      <c r="AJ141" t="s">
        <v>56</v>
      </c>
      <c r="AK141">
        <v>0</v>
      </c>
      <c r="AL141">
        <v>1</v>
      </c>
      <c r="AM141">
        <v>4658875</v>
      </c>
      <c r="AN141">
        <v>1</v>
      </c>
      <c r="AO141">
        <v>0</v>
      </c>
      <c r="AP141" t="s">
        <v>3033</v>
      </c>
      <c r="AQ141" t="s">
        <v>3047</v>
      </c>
      <c r="AR141" t="s">
        <v>3048</v>
      </c>
      <c r="AS141" t="s">
        <v>3049</v>
      </c>
      <c r="AU141" t="s">
        <v>3049</v>
      </c>
    </row>
    <row r="142" spans="1:47" x14ac:dyDescent="0.35">
      <c r="A142">
        <v>337723</v>
      </c>
      <c r="B142" t="s">
        <v>172</v>
      </c>
      <c r="C142" t="s">
        <v>173</v>
      </c>
      <c r="D142" s="2">
        <v>45778</v>
      </c>
      <c r="E142">
        <v>53850</v>
      </c>
      <c r="F142">
        <v>125</v>
      </c>
      <c r="G142" t="s">
        <v>75</v>
      </c>
      <c r="H142" t="s">
        <v>167</v>
      </c>
      <c r="I142" t="s">
        <v>45</v>
      </c>
      <c r="K142">
        <v>202504307940285</v>
      </c>
      <c r="L142">
        <v>1473300005289</v>
      </c>
      <c r="M142">
        <v>20250430</v>
      </c>
      <c r="N142" t="s">
        <v>81</v>
      </c>
      <c r="Q142" t="s">
        <v>47</v>
      </c>
      <c r="R142">
        <v>133800</v>
      </c>
      <c r="S142">
        <v>0</v>
      </c>
      <c r="T142">
        <v>4324455</v>
      </c>
      <c r="U142" t="s">
        <v>191</v>
      </c>
      <c r="V142" t="s">
        <v>192</v>
      </c>
      <c r="W142" t="s">
        <v>187</v>
      </c>
      <c r="Y142" t="s">
        <v>51</v>
      </c>
      <c r="Z142">
        <v>1428</v>
      </c>
      <c r="AH142">
        <v>0</v>
      </c>
      <c r="AI142">
        <v>202504</v>
      </c>
      <c r="AJ142" t="s">
        <v>56</v>
      </c>
      <c r="AK142">
        <v>0</v>
      </c>
      <c r="AL142">
        <v>1</v>
      </c>
      <c r="AO142">
        <v>0</v>
      </c>
      <c r="AP142" t="s">
        <v>3015</v>
      </c>
      <c r="AQ142" t="s">
        <v>3044</v>
      </c>
      <c r="AR142" t="s">
        <v>3045</v>
      </c>
      <c r="AS142" t="s">
        <v>3046</v>
      </c>
      <c r="AU142" t="s">
        <v>3046</v>
      </c>
    </row>
    <row r="143" spans="1:47" x14ac:dyDescent="0.35">
      <c r="A143">
        <v>337722</v>
      </c>
      <c r="B143" t="s">
        <v>193</v>
      </c>
      <c r="C143" t="s">
        <v>194</v>
      </c>
      <c r="D143" s="2">
        <v>45778</v>
      </c>
      <c r="E143">
        <v>53850</v>
      </c>
      <c r="F143">
        <v>102</v>
      </c>
      <c r="G143" t="s">
        <v>151</v>
      </c>
      <c r="H143" t="s">
        <v>167</v>
      </c>
      <c r="I143" t="s">
        <v>45</v>
      </c>
      <c r="K143">
        <v>202504307937752</v>
      </c>
      <c r="L143">
        <v>1023308722503</v>
      </c>
      <c r="M143">
        <v>20250430</v>
      </c>
      <c r="N143" t="s">
        <v>195</v>
      </c>
      <c r="Q143" t="s">
        <v>47</v>
      </c>
      <c r="R143">
        <v>21980</v>
      </c>
      <c r="S143">
        <v>21980</v>
      </c>
      <c r="T143">
        <v>413650</v>
      </c>
      <c r="U143">
        <v>3657230722</v>
      </c>
      <c r="V143" t="s">
        <v>196</v>
      </c>
      <c r="W143" t="s">
        <v>190</v>
      </c>
      <c r="X143" t="s">
        <v>197</v>
      </c>
      <c r="Y143" t="s">
        <v>51</v>
      </c>
      <c r="Z143">
        <v>1306</v>
      </c>
      <c r="AH143">
        <v>0</v>
      </c>
      <c r="AI143">
        <v>202504</v>
      </c>
      <c r="AJ143" t="s">
        <v>56</v>
      </c>
      <c r="AK143">
        <v>0</v>
      </c>
      <c r="AL143">
        <v>1</v>
      </c>
      <c r="AM143">
        <v>413650</v>
      </c>
      <c r="AN143">
        <v>1</v>
      </c>
      <c r="AO143">
        <v>0</v>
      </c>
      <c r="AP143" t="s">
        <v>3050</v>
      </c>
      <c r="AQ143" t="s">
        <v>3047</v>
      </c>
      <c r="AR143" t="s">
        <v>3051</v>
      </c>
      <c r="AS143" t="s">
        <v>3049</v>
      </c>
      <c r="AU143" t="s">
        <v>3049</v>
      </c>
    </row>
    <row r="144" spans="1:47" x14ac:dyDescent="0.35">
      <c r="A144">
        <v>337721</v>
      </c>
      <c r="B144" t="s">
        <v>193</v>
      </c>
      <c r="C144" t="s">
        <v>194</v>
      </c>
      <c r="D144" s="2">
        <v>45778</v>
      </c>
      <c r="E144">
        <v>53850</v>
      </c>
      <c r="F144">
        <v>171</v>
      </c>
      <c r="G144" t="s">
        <v>198</v>
      </c>
      <c r="H144" t="s">
        <v>167</v>
      </c>
      <c r="I144" t="s">
        <v>45</v>
      </c>
      <c r="K144" t="s">
        <v>174</v>
      </c>
      <c r="L144">
        <v>1713305728950</v>
      </c>
      <c r="M144">
        <v>20250430</v>
      </c>
      <c r="N144" t="s">
        <v>195</v>
      </c>
      <c r="Q144" t="s">
        <v>47</v>
      </c>
      <c r="R144">
        <v>389092.8</v>
      </c>
      <c r="S144">
        <v>389092.8</v>
      </c>
      <c r="T144">
        <v>572895</v>
      </c>
      <c r="U144">
        <v>4161600723</v>
      </c>
      <c r="V144" t="s">
        <v>199</v>
      </c>
      <c r="W144" t="s">
        <v>49</v>
      </c>
      <c r="X144" t="s">
        <v>200</v>
      </c>
      <c r="Y144" t="s">
        <v>51</v>
      </c>
      <c r="Z144">
        <v>1903</v>
      </c>
      <c r="AH144">
        <v>0</v>
      </c>
      <c r="AI144">
        <v>202504</v>
      </c>
      <c r="AJ144" t="s">
        <v>56</v>
      </c>
      <c r="AK144">
        <v>0</v>
      </c>
      <c r="AL144">
        <v>1</v>
      </c>
      <c r="AM144">
        <v>572895</v>
      </c>
      <c r="AN144">
        <v>1</v>
      </c>
      <c r="AO144">
        <v>0</v>
      </c>
      <c r="AP144" t="s">
        <v>3015</v>
      </c>
      <c r="AQ144" t="s">
        <v>3012</v>
      </c>
      <c r="AR144" t="s">
        <v>3016</v>
      </c>
      <c r="AT144" t="s">
        <v>3017</v>
      </c>
      <c r="AU144" t="s">
        <v>3018</v>
      </c>
    </row>
    <row r="145" spans="1:47" x14ac:dyDescent="0.35">
      <c r="A145">
        <v>337720</v>
      </c>
      <c r="B145" t="s">
        <v>164</v>
      </c>
      <c r="C145" t="s">
        <v>165</v>
      </c>
      <c r="D145" s="2">
        <v>45778</v>
      </c>
      <c r="E145">
        <v>53850</v>
      </c>
      <c r="F145">
        <v>157</v>
      </c>
      <c r="G145" t="s">
        <v>201</v>
      </c>
      <c r="H145" t="s">
        <v>167</v>
      </c>
      <c r="I145" t="s">
        <v>45</v>
      </c>
      <c r="K145" t="s">
        <v>202</v>
      </c>
      <c r="L145">
        <v>1573300000971</v>
      </c>
      <c r="M145">
        <v>20250430</v>
      </c>
      <c r="N145" t="s">
        <v>168</v>
      </c>
      <c r="P145" t="s">
        <v>203</v>
      </c>
      <c r="Q145" t="s">
        <v>47</v>
      </c>
      <c r="R145">
        <v>4036.26</v>
      </c>
      <c r="S145">
        <v>0</v>
      </c>
      <c r="T145">
        <v>4254771</v>
      </c>
      <c r="U145" t="s">
        <v>204</v>
      </c>
      <c r="V145" t="s">
        <v>205</v>
      </c>
      <c r="W145" t="s">
        <v>187</v>
      </c>
      <c r="Y145" t="s">
        <v>51</v>
      </c>
      <c r="Z145">
        <v>1116</v>
      </c>
      <c r="AH145">
        <v>0</v>
      </c>
      <c r="AI145">
        <v>202504</v>
      </c>
      <c r="AJ145" t="s">
        <v>52</v>
      </c>
      <c r="AK145">
        <v>0</v>
      </c>
      <c r="AL145">
        <v>1</v>
      </c>
      <c r="AO145">
        <v>0</v>
      </c>
      <c r="AP145" t="s">
        <v>3015</v>
      </c>
      <c r="AQ145" t="s">
        <v>3044</v>
      </c>
      <c r="AR145" t="s">
        <v>3045</v>
      </c>
      <c r="AS145" t="s">
        <v>3046</v>
      </c>
      <c r="AU145" t="s">
        <v>3046</v>
      </c>
    </row>
    <row r="146" spans="1:47" x14ac:dyDescent="0.35">
      <c r="A146">
        <v>337719</v>
      </c>
      <c r="B146" t="s">
        <v>193</v>
      </c>
      <c r="C146" t="s">
        <v>194</v>
      </c>
      <c r="D146" s="2">
        <v>45778</v>
      </c>
      <c r="E146">
        <v>53850</v>
      </c>
      <c r="F146">
        <v>116</v>
      </c>
      <c r="G146" t="s">
        <v>126</v>
      </c>
      <c r="H146" t="s">
        <v>167</v>
      </c>
      <c r="I146" t="s">
        <v>45</v>
      </c>
      <c r="K146">
        <v>202504307939491</v>
      </c>
      <c r="L146">
        <v>2343300010453</v>
      </c>
      <c r="M146">
        <v>20250430</v>
      </c>
      <c r="N146" t="s">
        <v>195</v>
      </c>
      <c r="Q146" t="s">
        <v>47</v>
      </c>
      <c r="R146">
        <v>88848.8</v>
      </c>
      <c r="S146">
        <v>88848.8</v>
      </c>
      <c r="T146">
        <v>4247777</v>
      </c>
      <c r="U146">
        <v>233470236</v>
      </c>
      <c r="V146" t="s">
        <v>206</v>
      </c>
      <c r="W146" t="s">
        <v>49</v>
      </c>
      <c r="X146" t="s">
        <v>117</v>
      </c>
      <c r="Y146" t="s">
        <v>51</v>
      </c>
      <c r="Z146">
        <v>1696</v>
      </c>
      <c r="AH146">
        <v>0</v>
      </c>
      <c r="AI146">
        <v>202504</v>
      </c>
      <c r="AJ146" t="s">
        <v>114</v>
      </c>
      <c r="AK146">
        <v>1</v>
      </c>
      <c r="AL146">
        <v>1</v>
      </c>
      <c r="AM146">
        <v>4247777</v>
      </c>
      <c r="AN146">
        <v>1</v>
      </c>
      <c r="AO146">
        <v>0</v>
      </c>
      <c r="AP146" t="s">
        <v>3029</v>
      </c>
      <c r="AQ146" t="s">
        <v>3012</v>
      </c>
      <c r="AR146" t="s">
        <v>3030</v>
      </c>
      <c r="AS146" t="s">
        <v>3014</v>
      </c>
      <c r="AU146" t="s">
        <v>3014</v>
      </c>
    </row>
    <row r="147" spans="1:47" x14ac:dyDescent="0.35">
      <c r="A147">
        <v>337718</v>
      </c>
      <c r="B147" t="s">
        <v>178</v>
      </c>
      <c r="C147" t="s">
        <v>179</v>
      </c>
      <c r="D147" s="2">
        <v>45778</v>
      </c>
      <c r="E147">
        <v>53850</v>
      </c>
      <c r="F147">
        <v>119</v>
      </c>
      <c r="G147" t="s">
        <v>207</v>
      </c>
      <c r="H147" t="s">
        <v>167</v>
      </c>
      <c r="I147" t="s">
        <v>45</v>
      </c>
      <c r="K147">
        <v>202504307936565</v>
      </c>
      <c r="L147">
        <v>1193308874136</v>
      </c>
      <c r="M147">
        <v>20250430</v>
      </c>
      <c r="N147" t="s">
        <v>46</v>
      </c>
      <c r="P147" t="s">
        <v>51</v>
      </c>
      <c r="Q147" t="s">
        <v>47</v>
      </c>
      <c r="R147">
        <v>200678.35</v>
      </c>
      <c r="S147">
        <v>0</v>
      </c>
      <c r="T147">
        <v>585202</v>
      </c>
      <c r="U147" t="s">
        <v>208</v>
      </c>
      <c r="V147" t="s">
        <v>209</v>
      </c>
      <c r="W147" t="s">
        <v>187</v>
      </c>
      <c r="Y147" t="s">
        <v>51</v>
      </c>
      <c r="Z147">
        <v>900</v>
      </c>
      <c r="AH147">
        <v>0</v>
      </c>
      <c r="AI147">
        <v>202504</v>
      </c>
      <c r="AJ147" t="s">
        <v>52</v>
      </c>
      <c r="AK147">
        <v>0</v>
      </c>
      <c r="AL147">
        <v>1</v>
      </c>
      <c r="AO147">
        <v>0</v>
      </c>
      <c r="AP147" t="s">
        <v>3015</v>
      </c>
      <c r="AQ147" t="s">
        <v>3044</v>
      </c>
      <c r="AR147" t="s">
        <v>3045</v>
      </c>
      <c r="AS147" t="s">
        <v>3046</v>
      </c>
      <c r="AU147" t="s">
        <v>3046</v>
      </c>
    </row>
    <row r="148" spans="1:47" x14ac:dyDescent="0.35">
      <c r="A148">
        <v>337717</v>
      </c>
      <c r="B148" t="s">
        <v>178</v>
      </c>
      <c r="C148" t="s">
        <v>179</v>
      </c>
      <c r="D148" s="2">
        <v>45778</v>
      </c>
      <c r="E148">
        <v>53850</v>
      </c>
      <c r="F148">
        <v>102</v>
      </c>
      <c r="G148" t="s">
        <v>151</v>
      </c>
      <c r="H148" t="s">
        <v>167</v>
      </c>
      <c r="I148" t="s">
        <v>45</v>
      </c>
      <c r="K148">
        <v>202504307937013</v>
      </c>
      <c r="L148">
        <v>1503300001880</v>
      </c>
      <c r="M148">
        <v>20250430</v>
      </c>
      <c r="N148" t="s">
        <v>46</v>
      </c>
      <c r="P148" t="s">
        <v>51</v>
      </c>
      <c r="Q148" t="s">
        <v>47</v>
      </c>
      <c r="R148">
        <v>19850000</v>
      </c>
      <c r="S148">
        <v>0</v>
      </c>
      <c r="T148">
        <v>4597052</v>
      </c>
      <c r="U148">
        <v>6707270960</v>
      </c>
      <c r="V148" t="s">
        <v>161</v>
      </c>
      <c r="W148" t="s">
        <v>162</v>
      </c>
      <c r="X148" t="s">
        <v>210</v>
      </c>
      <c r="Y148" t="s">
        <v>51</v>
      </c>
      <c r="Z148">
        <v>1926</v>
      </c>
      <c r="AH148">
        <v>0</v>
      </c>
      <c r="AI148">
        <v>202504</v>
      </c>
      <c r="AJ148" t="s">
        <v>86</v>
      </c>
      <c r="AK148">
        <v>1</v>
      </c>
      <c r="AL148">
        <v>1</v>
      </c>
      <c r="AO148">
        <v>0</v>
      </c>
      <c r="AP148" t="s">
        <v>3015</v>
      </c>
      <c r="AQ148" t="s">
        <v>3040</v>
      </c>
      <c r="AR148" t="s">
        <v>3041</v>
      </c>
      <c r="AT148" t="s">
        <v>3017</v>
      </c>
      <c r="AU148" t="s">
        <v>3037</v>
      </c>
    </row>
    <row r="149" spans="1:47" x14ac:dyDescent="0.35">
      <c r="A149">
        <v>337716</v>
      </c>
      <c r="B149" t="s">
        <v>172</v>
      </c>
      <c r="C149" t="s">
        <v>173</v>
      </c>
      <c r="D149" s="2">
        <v>45778</v>
      </c>
      <c r="E149">
        <v>53850</v>
      </c>
      <c r="F149">
        <v>170</v>
      </c>
      <c r="G149" t="s">
        <v>211</v>
      </c>
      <c r="H149" t="s">
        <v>167</v>
      </c>
      <c r="I149" t="s">
        <v>45</v>
      </c>
      <c r="K149" t="s">
        <v>174</v>
      </c>
      <c r="L149">
        <v>1703306288421</v>
      </c>
      <c r="M149">
        <v>20250430</v>
      </c>
      <c r="N149" t="s">
        <v>175</v>
      </c>
      <c r="Q149" t="s">
        <v>47</v>
      </c>
      <c r="R149">
        <v>172095.9</v>
      </c>
      <c r="S149">
        <v>0</v>
      </c>
      <c r="T149">
        <v>4803929</v>
      </c>
      <c r="U149">
        <v>4829870726</v>
      </c>
      <c r="V149" t="s">
        <v>212</v>
      </c>
      <c r="W149" t="s">
        <v>49</v>
      </c>
      <c r="X149" t="s">
        <v>213</v>
      </c>
      <c r="Y149" t="s">
        <v>51</v>
      </c>
      <c r="Z149">
        <v>1696</v>
      </c>
      <c r="AH149">
        <v>0</v>
      </c>
      <c r="AI149">
        <v>202504</v>
      </c>
      <c r="AJ149" t="s">
        <v>86</v>
      </c>
      <c r="AK149">
        <v>1</v>
      </c>
      <c r="AL149">
        <v>1</v>
      </c>
      <c r="AO149">
        <v>1</v>
      </c>
      <c r="AP149" t="s">
        <v>3015</v>
      </c>
      <c r="AQ149" t="s">
        <v>3012</v>
      </c>
      <c r="AR149" t="s">
        <v>3016</v>
      </c>
      <c r="AT149" t="s">
        <v>3017</v>
      </c>
      <c r="AU149" t="s">
        <v>3018</v>
      </c>
    </row>
    <row r="150" spans="1:47" x14ac:dyDescent="0.35">
      <c r="A150">
        <v>337715</v>
      </c>
      <c r="B150" t="s">
        <v>214</v>
      </c>
      <c r="C150" t="s">
        <v>215</v>
      </c>
      <c r="D150" s="2">
        <v>45778</v>
      </c>
      <c r="E150">
        <v>53850</v>
      </c>
      <c r="F150">
        <v>131</v>
      </c>
      <c r="G150" t="s">
        <v>216</v>
      </c>
      <c r="H150" t="s">
        <v>167</v>
      </c>
      <c r="I150" t="s">
        <v>45</v>
      </c>
      <c r="K150">
        <v>202504307937387</v>
      </c>
      <c r="L150">
        <v>1313300004533</v>
      </c>
      <c r="M150">
        <v>20250430</v>
      </c>
      <c r="N150" t="s">
        <v>168</v>
      </c>
      <c r="P150" t="s">
        <v>217</v>
      </c>
      <c r="Q150" t="s">
        <v>47</v>
      </c>
      <c r="R150">
        <v>22912.5</v>
      </c>
      <c r="S150">
        <v>0</v>
      </c>
      <c r="T150">
        <v>3739148</v>
      </c>
      <c r="U150" t="s">
        <v>218</v>
      </c>
      <c r="V150" t="s">
        <v>219</v>
      </c>
      <c r="W150" t="s">
        <v>187</v>
      </c>
      <c r="Y150" t="s">
        <v>51</v>
      </c>
      <c r="AH150">
        <v>0</v>
      </c>
      <c r="AI150">
        <v>202504</v>
      </c>
      <c r="AJ150" t="s">
        <v>56</v>
      </c>
      <c r="AK150">
        <v>0</v>
      </c>
      <c r="AL150">
        <v>1</v>
      </c>
      <c r="AO150">
        <v>0</v>
      </c>
      <c r="AP150" t="s">
        <v>3015</v>
      </c>
      <c r="AQ150" t="s">
        <v>3044</v>
      </c>
      <c r="AR150" t="s">
        <v>3045</v>
      </c>
      <c r="AS150" t="s">
        <v>3046</v>
      </c>
      <c r="AU150" t="s">
        <v>3046</v>
      </c>
    </row>
    <row r="151" spans="1:47" x14ac:dyDescent="0.35">
      <c r="A151">
        <v>337714</v>
      </c>
      <c r="B151" t="s">
        <v>178</v>
      </c>
      <c r="C151" t="s">
        <v>179</v>
      </c>
      <c r="D151" s="2">
        <v>45778</v>
      </c>
      <c r="E151">
        <v>53850</v>
      </c>
      <c r="F151">
        <v>114</v>
      </c>
      <c r="G151" t="s">
        <v>188</v>
      </c>
      <c r="H151" t="s">
        <v>167</v>
      </c>
      <c r="I151" t="s">
        <v>45</v>
      </c>
      <c r="K151">
        <v>202504307938221</v>
      </c>
      <c r="L151">
        <v>1143306280636</v>
      </c>
      <c r="M151">
        <v>20250430</v>
      </c>
      <c r="N151" t="s">
        <v>220</v>
      </c>
      <c r="Q151" t="s">
        <v>170</v>
      </c>
      <c r="R151">
        <v>158006.29999999999</v>
      </c>
      <c r="S151">
        <v>0</v>
      </c>
      <c r="T151">
        <v>4658875</v>
      </c>
      <c r="U151">
        <v>3230890711</v>
      </c>
      <c r="V151" t="s">
        <v>189</v>
      </c>
      <c r="W151" t="s">
        <v>190</v>
      </c>
      <c r="X151" t="s">
        <v>131</v>
      </c>
      <c r="Y151" t="s">
        <v>51</v>
      </c>
      <c r="Z151">
        <v>870</v>
      </c>
      <c r="AH151">
        <v>0</v>
      </c>
      <c r="AI151">
        <v>202504</v>
      </c>
      <c r="AJ151" t="s">
        <v>56</v>
      </c>
      <c r="AK151">
        <v>0</v>
      </c>
      <c r="AL151">
        <v>1</v>
      </c>
      <c r="AM151">
        <v>4658875</v>
      </c>
      <c r="AN151">
        <v>1</v>
      </c>
      <c r="AO151">
        <v>0</v>
      </c>
      <c r="AP151" t="s">
        <v>3033</v>
      </c>
      <c r="AQ151" t="s">
        <v>3047</v>
      </c>
      <c r="AR151" t="s">
        <v>3048</v>
      </c>
      <c r="AS151" t="s">
        <v>3049</v>
      </c>
      <c r="AU151" t="s">
        <v>3049</v>
      </c>
    </row>
    <row r="152" spans="1:47" x14ac:dyDescent="0.35">
      <c r="A152">
        <v>337713</v>
      </c>
      <c r="B152" t="s">
        <v>172</v>
      </c>
      <c r="C152" t="s">
        <v>173</v>
      </c>
      <c r="D152" s="2">
        <v>45778</v>
      </c>
      <c r="E152">
        <v>53850</v>
      </c>
      <c r="F152">
        <v>104</v>
      </c>
      <c r="G152" t="s">
        <v>108</v>
      </c>
      <c r="H152" t="s">
        <v>167</v>
      </c>
      <c r="I152" t="s">
        <v>45</v>
      </c>
      <c r="K152" t="s">
        <v>174</v>
      </c>
      <c r="L152">
        <v>1043304173550</v>
      </c>
      <c r="M152">
        <v>20250430</v>
      </c>
      <c r="N152" t="s">
        <v>175</v>
      </c>
      <c r="Q152" t="s">
        <v>47</v>
      </c>
      <c r="R152">
        <v>222704.65</v>
      </c>
      <c r="S152">
        <v>0</v>
      </c>
      <c r="T152">
        <v>417355</v>
      </c>
      <c r="U152">
        <v>374690725</v>
      </c>
      <c r="V152" t="s">
        <v>109</v>
      </c>
      <c r="W152" t="s">
        <v>49</v>
      </c>
      <c r="X152" t="s">
        <v>110</v>
      </c>
      <c r="Y152" t="s">
        <v>51</v>
      </c>
      <c r="Z152">
        <v>1919</v>
      </c>
      <c r="AH152">
        <v>0</v>
      </c>
      <c r="AI152">
        <v>202504</v>
      </c>
      <c r="AJ152" t="s">
        <v>52</v>
      </c>
      <c r="AK152">
        <v>0</v>
      </c>
      <c r="AL152">
        <v>1</v>
      </c>
      <c r="AM152">
        <v>417355</v>
      </c>
      <c r="AN152">
        <v>1</v>
      </c>
      <c r="AO152">
        <v>1</v>
      </c>
      <c r="AP152" t="s">
        <v>3026</v>
      </c>
      <c r="AQ152" t="s">
        <v>3012</v>
      </c>
      <c r="AR152" t="s">
        <v>3027</v>
      </c>
      <c r="AS152" t="s">
        <v>3028</v>
      </c>
      <c r="AU152" t="s">
        <v>3028</v>
      </c>
    </row>
    <row r="153" spans="1:47" x14ac:dyDescent="0.35">
      <c r="A153">
        <v>337712</v>
      </c>
      <c r="B153" t="s">
        <v>193</v>
      </c>
      <c r="C153" t="s">
        <v>194</v>
      </c>
      <c r="D153" s="2">
        <v>45778</v>
      </c>
      <c r="E153">
        <v>53850</v>
      </c>
      <c r="F153">
        <v>268</v>
      </c>
      <c r="G153" t="s">
        <v>83</v>
      </c>
      <c r="H153" t="s">
        <v>167</v>
      </c>
      <c r="I153" t="s">
        <v>45</v>
      </c>
      <c r="K153" t="s">
        <v>174</v>
      </c>
      <c r="L153">
        <v>2683300010030</v>
      </c>
      <c r="M153">
        <v>20250430</v>
      </c>
      <c r="N153" t="s">
        <v>195</v>
      </c>
      <c r="Q153" t="s">
        <v>47</v>
      </c>
      <c r="R153">
        <v>42890</v>
      </c>
      <c r="S153">
        <v>42890</v>
      </c>
      <c r="T153">
        <v>4966939</v>
      </c>
      <c r="U153" t="s">
        <v>221</v>
      </c>
      <c r="V153" t="s">
        <v>222</v>
      </c>
      <c r="W153" t="s">
        <v>69</v>
      </c>
      <c r="X153" t="s">
        <v>55</v>
      </c>
      <c r="Y153" t="s">
        <v>51</v>
      </c>
      <c r="Z153">
        <v>1870</v>
      </c>
      <c r="AH153">
        <v>0</v>
      </c>
      <c r="AI153">
        <v>202504</v>
      </c>
      <c r="AJ153" t="s">
        <v>56</v>
      </c>
      <c r="AK153">
        <v>0</v>
      </c>
      <c r="AL153">
        <v>1</v>
      </c>
      <c r="AM153">
        <v>4966939</v>
      </c>
      <c r="AN153">
        <v>1</v>
      </c>
      <c r="AO153">
        <v>0</v>
      </c>
      <c r="AP153" t="s">
        <v>3015</v>
      </c>
      <c r="AQ153" t="s">
        <v>3021</v>
      </c>
      <c r="AR153" t="s">
        <v>3022</v>
      </c>
      <c r="AT153" t="s">
        <v>3017</v>
      </c>
      <c r="AU153" t="s">
        <v>3014</v>
      </c>
    </row>
    <row r="154" spans="1:47" x14ac:dyDescent="0.35">
      <c r="A154">
        <v>337711</v>
      </c>
      <c r="B154" t="s">
        <v>178</v>
      </c>
      <c r="C154" t="s">
        <v>179</v>
      </c>
      <c r="D154" s="2">
        <v>45778</v>
      </c>
      <c r="E154">
        <v>53850</v>
      </c>
      <c r="F154">
        <v>102</v>
      </c>
      <c r="G154" t="s">
        <v>151</v>
      </c>
      <c r="H154" t="s">
        <v>167</v>
      </c>
      <c r="I154" t="s">
        <v>45</v>
      </c>
      <c r="K154">
        <v>202504307938730</v>
      </c>
      <c r="L154">
        <v>1503300001880</v>
      </c>
      <c r="M154">
        <v>20250430</v>
      </c>
      <c r="N154" t="s">
        <v>223</v>
      </c>
      <c r="Q154" t="s">
        <v>170</v>
      </c>
      <c r="R154">
        <v>19800000</v>
      </c>
      <c r="S154">
        <v>0</v>
      </c>
      <c r="T154">
        <v>4597052</v>
      </c>
      <c r="U154">
        <v>6707270960</v>
      </c>
      <c r="V154" t="s">
        <v>161</v>
      </c>
      <c r="W154" t="s">
        <v>162</v>
      </c>
      <c r="X154" t="s">
        <v>210</v>
      </c>
      <c r="Y154" t="s">
        <v>51</v>
      </c>
      <c r="Z154">
        <v>1926</v>
      </c>
      <c r="AH154">
        <v>0</v>
      </c>
      <c r="AI154">
        <v>202504</v>
      </c>
      <c r="AJ154" t="s">
        <v>86</v>
      </c>
      <c r="AK154">
        <v>1</v>
      </c>
      <c r="AL154">
        <v>1</v>
      </c>
      <c r="AO154">
        <v>0</v>
      </c>
      <c r="AP154" t="s">
        <v>3015</v>
      </c>
      <c r="AQ154" t="s">
        <v>3040</v>
      </c>
      <c r="AR154" t="s">
        <v>3041</v>
      </c>
      <c r="AT154" t="s">
        <v>3017</v>
      </c>
      <c r="AU154" t="s">
        <v>3037</v>
      </c>
    </row>
    <row r="155" spans="1:47" x14ac:dyDescent="0.35">
      <c r="A155">
        <v>337710</v>
      </c>
      <c r="B155" t="s">
        <v>172</v>
      </c>
      <c r="C155" t="s">
        <v>173</v>
      </c>
      <c r="D155" s="2">
        <v>45778</v>
      </c>
      <c r="E155">
        <v>53850</v>
      </c>
      <c r="F155">
        <v>171</v>
      </c>
      <c r="G155" t="s">
        <v>198</v>
      </c>
      <c r="H155" t="s">
        <v>167</v>
      </c>
      <c r="I155" t="s">
        <v>45</v>
      </c>
      <c r="K155" t="s">
        <v>174</v>
      </c>
      <c r="L155">
        <v>1713305728950</v>
      </c>
      <c r="M155">
        <v>20250430</v>
      </c>
      <c r="N155" t="s">
        <v>195</v>
      </c>
      <c r="Q155" t="s">
        <v>47</v>
      </c>
      <c r="R155">
        <v>389092.8</v>
      </c>
      <c r="S155">
        <v>389092.8</v>
      </c>
      <c r="T155">
        <v>572895</v>
      </c>
      <c r="U155">
        <v>4161600723</v>
      </c>
      <c r="V155" t="s">
        <v>199</v>
      </c>
      <c r="W155" t="s">
        <v>49</v>
      </c>
      <c r="X155" t="s">
        <v>200</v>
      </c>
      <c r="Y155" t="s">
        <v>51</v>
      </c>
      <c r="Z155">
        <v>1903</v>
      </c>
      <c r="AH155">
        <v>0</v>
      </c>
      <c r="AI155">
        <v>202504</v>
      </c>
      <c r="AJ155" t="s">
        <v>56</v>
      </c>
      <c r="AK155">
        <v>0</v>
      </c>
      <c r="AL155">
        <v>1</v>
      </c>
      <c r="AM155">
        <v>572895</v>
      </c>
      <c r="AN155">
        <v>1</v>
      </c>
      <c r="AO155">
        <v>0</v>
      </c>
      <c r="AP155" t="s">
        <v>3015</v>
      </c>
      <c r="AQ155" t="s">
        <v>3012</v>
      </c>
      <c r="AR155" t="s">
        <v>3016</v>
      </c>
      <c r="AT155" t="s">
        <v>3017</v>
      </c>
      <c r="AU155" t="s">
        <v>3018</v>
      </c>
    </row>
    <row r="156" spans="1:47" x14ac:dyDescent="0.35">
      <c r="A156">
        <v>337709</v>
      </c>
      <c r="B156" t="s">
        <v>172</v>
      </c>
      <c r="C156" t="s">
        <v>173</v>
      </c>
      <c r="D156" s="2">
        <v>45778</v>
      </c>
      <c r="E156">
        <v>53850</v>
      </c>
      <c r="F156">
        <v>174</v>
      </c>
      <c r="G156" t="s">
        <v>224</v>
      </c>
      <c r="H156" t="s">
        <v>167</v>
      </c>
      <c r="I156" t="s">
        <v>45</v>
      </c>
      <c r="K156" t="s">
        <v>174</v>
      </c>
      <c r="L156">
        <v>1743302879671</v>
      </c>
      <c r="M156">
        <v>20250430</v>
      </c>
      <c r="N156" t="s">
        <v>175</v>
      </c>
      <c r="Q156" t="s">
        <v>47</v>
      </c>
      <c r="R156">
        <v>146840.25</v>
      </c>
      <c r="S156">
        <v>2500</v>
      </c>
      <c r="T156">
        <v>4866710</v>
      </c>
      <c r="U156">
        <v>265680728</v>
      </c>
      <c r="V156" t="s">
        <v>225</v>
      </c>
      <c r="W156" t="s">
        <v>49</v>
      </c>
      <c r="X156" t="s">
        <v>226</v>
      </c>
      <c r="Y156" t="s">
        <v>51</v>
      </c>
      <c r="Z156">
        <v>1058</v>
      </c>
      <c r="AH156">
        <v>0</v>
      </c>
      <c r="AI156">
        <v>202504</v>
      </c>
      <c r="AJ156" t="s">
        <v>52</v>
      </c>
      <c r="AK156">
        <v>0</v>
      </c>
      <c r="AL156">
        <v>1</v>
      </c>
      <c r="AO156">
        <v>1</v>
      </c>
      <c r="AP156" t="s">
        <v>3015</v>
      </c>
      <c r="AQ156" t="s">
        <v>3012</v>
      </c>
      <c r="AR156" t="s">
        <v>3016</v>
      </c>
      <c r="AT156" t="s">
        <v>3017</v>
      </c>
      <c r="AU156" t="s">
        <v>3018</v>
      </c>
    </row>
    <row r="157" spans="1:47" x14ac:dyDescent="0.35">
      <c r="A157">
        <v>337708</v>
      </c>
      <c r="B157" t="s">
        <v>172</v>
      </c>
      <c r="C157" t="s">
        <v>173</v>
      </c>
      <c r="D157" s="2">
        <v>45778</v>
      </c>
      <c r="E157">
        <v>53850</v>
      </c>
      <c r="F157">
        <v>129</v>
      </c>
      <c r="G157" t="s">
        <v>227</v>
      </c>
      <c r="H157" t="s">
        <v>167</v>
      </c>
      <c r="I157" t="s">
        <v>45</v>
      </c>
      <c r="K157" t="s">
        <v>174</v>
      </c>
      <c r="L157">
        <v>2343300010453</v>
      </c>
      <c r="M157">
        <v>20250430</v>
      </c>
      <c r="N157" t="s">
        <v>175</v>
      </c>
      <c r="Q157" t="s">
        <v>47</v>
      </c>
      <c r="R157">
        <v>121141.77</v>
      </c>
      <c r="S157">
        <v>0</v>
      </c>
      <c r="T157">
        <v>4247777</v>
      </c>
      <c r="U157">
        <v>233470236</v>
      </c>
      <c r="V157" t="s">
        <v>206</v>
      </c>
      <c r="W157" t="s">
        <v>49</v>
      </c>
      <c r="X157" t="s">
        <v>117</v>
      </c>
      <c r="Y157" t="s">
        <v>51</v>
      </c>
      <c r="Z157">
        <v>1696</v>
      </c>
      <c r="AH157">
        <v>0</v>
      </c>
      <c r="AI157">
        <v>202504</v>
      </c>
      <c r="AJ157" t="s">
        <v>114</v>
      </c>
      <c r="AK157">
        <v>1</v>
      </c>
      <c r="AL157">
        <v>1</v>
      </c>
      <c r="AM157">
        <v>4247777</v>
      </c>
      <c r="AN157">
        <v>1</v>
      </c>
      <c r="AO157">
        <v>1</v>
      </c>
      <c r="AP157" t="s">
        <v>3029</v>
      </c>
      <c r="AQ157" t="s">
        <v>3012</v>
      </c>
      <c r="AR157" t="s">
        <v>3030</v>
      </c>
      <c r="AS157" t="s">
        <v>3014</v>
      </c>
      <c r="AU157" t="s">
        <v>3014</v>
      </c>
    </row>
    <row r="158" spans="1:47" x14ac:dyDescent="0.35">
      <c r="A158">
        <v>337707</v>
      </c>
      <c r="B158" t="s">
        <v>214</v>
      </c>
      <c r="C158" t="s">
        <v>215</v>
      </c>
      <c r="D158" s="2">
        <v>45778</v>
      </c>
      <c r="E158">
        <v>53850</v>
      </c>
      <c r="F158">
        <v>131</v>
      </c>
      <c r="G158" t="s">
        <v>216</v>
      </c>
      <c r="H158" t="s">
        <v>167</v>
      </c>
      <c r="I158" t="s">
        <v>45</v>
      </c>
      <c r="K158">
        <v>202504307937387</v>
      </c>
      <c r="L158">
        <v>1313300004533</v>
      </c>
      <c r="M158">
        <v>20250430</v>
      </c>
      <c r="N158" t="s">
        <v>168</v>
      </c>
      <c r="P158" t="s">
        <v>217</v>
      </c>
      <c r="Q158" t="s">
        <v>47</v>
      </c>
      <c r="R158">
        <v>22912.5</v>
      </c>
      <c r="S158">
        <v>0</v>
      </c>
      <c r="T158">
        <v>3739153</v>
      </c>
      <c r="U158" t="s">
        <v>228</v>
      </c>
      <c r="V158" t="s">
        <v>229</v>
      </c>
      <c r="W158" t="s">
        <v>187</v>
      </c>
      <c r="Y158" t="s">
        <v>51</v>
      </c>
      <c r="AH158">
        <v>0</v>
      </c>
      <c r="AI158">
        <v>202504</v>
      </c>
      <c r="AJ158" t="s">
        <v>56</v>
      </c>
      <c r="AK158">
        <v>0</v>
      </c>
      <c r="AL158">
        <v>1</v>
      </c>
      <c r="AO158">
        <v>0</v>
      </c>
      <c r="AP158" t="s">
        <v>3015</v>
      </c>
      <c r="AQ158" t="s">
        <v>3044</v>
      </c>
      <c r="AR158" t="s">
        <v>3045</v>
      </c>
      <c r="AS158" t="s">
        <v>3046</v>
      </c>
      <c r="AU158" t="s">
        <v>3046</v>
      </c>
    </row>
    <row r="159" spans="1:47" x14ac:dyDescent="0.35">
      <c r="A159">
        <v>337706</v>
      </c>
      <c r="B159" t="s">
        <v>172</v>
      </c>
      <c r="C159" t="s">
        <v>173</v>
      </c>
      <c r="D159" s="2">
        <v>45778</v>
      </c>
      <c r="E159">
        <v>53850</v>
      </c>
      <c r="F159">
        <v>110</v>
      </c>
      <c r="G159" t="s">
        <v>230</v>
      </c>
      <c r="H159" t="s">
        <v>167</v>
      </c>
      <c r="I159" t="s">
        <v>45</v>
      </c>
      <c r="K159">
        <v>202504307940222</v>
      </c>
      <c r="L159">
        <v>1103306285126</v>
      </c>
      <c r="M159">
        <v>20250430</v>
      </c>
      <c r="N159" t="s">
        <v>231</v>
      </c>
      <c r="Q159" t="s">
        <v>47</v>
      </c>
      <c r="R159">
        <v>100000</v>
      </c>
      <c r="S159">
        <v>0</v>
      </c>
      <c r="T159">
        <v>483543</v>
      </c>
      <c r="U159" t="s">
        <v>232</v>
      </c>
      <c r="V159" t="s">
        <v>233</v>
      </c>
      <c r="W159" t="s">
        <v>69</v>
      </c>
      <c r="X159" t="s">
        <v>234</v>
      </c>
      <c r="Y159" t="s">
        <v>51</v>
      </c>
      <c r="Z159">
        <v>1072</v>
      </c>
      <c r="AH159">
        <v>0</v>
      </c>
      <c r="AI159">
        <v>202504</v>
      </c>
      <c r="AJ159" t="s">
        <v>56</v>
      </c>
      <c r="AK159">
        <v>0</v>
      </c>
      <c r="AL159">
        <v>1</v>
      </c>
      <c r="AO159">
        <v>0</v>
      </c>
      <c r="AP159" t="s">
        <v>3015</v>
      </c>
      <c r="AQ159" t="s">
        <v>3021</v>
      </c>
      <c r="AR159" t="s">
        <v>3022</v>
      </c>
      <c r="AT159" t="s">
        <v>3017</v>
      </c>
      <c r="AU159" t="s">
        <v>3014</v>
      </c>
    </row>
    <row r="160" spans="1:47" x14ac:dyDescent="0.35">
      <c r="A160">
        <v>337705</v>
      </c>
      <c r="B160" t="s">
        <v>178</v>
      </c>
      <c r="C160" t="s">
        <v>179</v>
      </c>
      <c r="D160" s="2">
        <v>45778</v>
      </c>
      <c r="E160">
        <v>53850</v>
      </c>
      <c r="F160">
        <v>185</v>
      </c>
      <c r="G160" t="s">
        <v>235</v>
      </c>
      <c r="H160" t="s">
        <v>167</v>
      </c>
      <c r="I160" t="s">
        <v>45</v>
      </c>
      <c r="K160">
        <v>202504307940590</v>
      </c>
      <c r="L160">
        <v>1873300110261</v>
      </c>
      <c r="M160">
        <v>20250430</v>
      </c>
      <c r="N160" t="s">
        <v>236</v>
      </c>
      <c r="P160" t="s">
        <v>51</v>
      </c>
      <c r="Q160" t="s">
        <v>170</v>
      </c>
      <c r="R160">
        <v>204000</v>
      </c>
      <c r="S160">
        <v>0</v>
      </c>
      <c r="T160">
        <v>4983089</v>
      </c>
      <c r="U160" t="s">
        <v>237</v>
      </c>
      <c r="V160" t="s">
        <v>238</v>
      </c>
      <c r="W160" t="s">
        <v>187</v>
      </c>
      <c r="Y160" t="s">
        <v>51</v>
      </c>
      <c r="Z160">
        <v>1351</v>
      </c>
      <c r="AH160">
        <v>0</v>
      </c>
      <c r="AI160">
        <v>202504</v>
      </c>
      <c r="AJ160" t="s">
        <v>86</v>
      </c>
      <c r="AK160">
        <v>1</v>
      </c>
      <c r="AL160">
        <v>1</v>
      </c>
      <c r="AO160">
        <v>0</v>
      </c>
      <c r="AP160" t="s">
        <v>3015</v>
      </c>
      <c r="AQ160" t="s">
        <v>3044</v>
      </c>
      <c r="AR160" t="s">
        <v>3045</v>
      </c>
      <c r="AS160" t="s">
        <v>3046</v>
      </c>
      <c r="AU160" t="s">
        <v>3046</v>
      </c>
    </row>
    <row r="161" spans="1:47" x14ac:dyDescent="0.35">
      <c r="A161">
        <v>337704</v>
      </c>
      <c r="B161" t="s">
        <v>178</v>
      </c>
      <c r="C161" t="s">
        <v>179</v>
      </c>
      <c r="D161" s="2">
        <v>45778</v>
      </c>
      <c r="E161">
        <v>53850</v>
      </c>
      <c r="F161">
        <v>125</v>
      </c>
      <c r="G161" t="s">
        <v>75</v>
      </c>
      <c r="H161" t="s">
        <v>167</v>
      </c>
      <c r="I161" t="s">
        <v>45</v>
      </c>
      <c r="K161">
        <v>202504307938437</v>
      </c>
      <c r="L161">
        <v>1253300010013</v>
      </c>
      <c r="M161">
        <v>20250430</v>
      </c>
      <c r="N161" t="s">
        <v>220</v>
      </c>
      <c r="Q161" t="s">
        <v>170</v>
      </c>
      <c r="R161">
        <v>498936.77</v>
      </c>
      <c r="S161">
        <v>0</v>
      </c>
      <c r="T161">
        <v>4167043</v>
      </c>
      <c r="U161">
        <v>269990636</v>
      </c>
      <c r="V161" t="s">
        <v>239</v>
      </c>
      <c r="W161" t="s">
        <v>49</v>
      </c>
      <c r="X161" t="s">
        <v>110</v>
      </c>
      <c r="Y161" t="s">
        <v>51</v>
      </c>
      <c r="Z161">
        <v>982</v>
      </c>
      <c r="AH161">
        <v>0</v>
      </c>
      <c r="AI161">
        <v>202504</v>
      </c>
      <c r="AJ161" t="s">
        <v>52</v>
      </c>
      <c r="AK161">
        <v>0</v>
      </c>
      <c r="AL161">
        <v>1</v>
      </c>
      <c r="AO161">
        <v>0</v>
      </c>
      <c r="AP161" t="s">
        <v>3026</v>
      </c>
      <c r="AQ161" t="s">
        <v>3012</v>
      </c>
      <c r="AR161" t="s">
        <v>3027</v>
      </c>
      <c r="AS161" t="s">
        <v>3028</v>
      </c>
      <c r="AU161" t="s">
        <v>3028</v>
      </c>
    </row>
    <row r="162" spans="1:47" x14ac:dyDescent="0.35">
      <c r="A162">
        <v>337703</v>
      </c>
      <c r="B162" t="s">
        <v>172</v>
      </c>
      <c r="C162" t="s">
        <v>173</v>
      </c>
      <c r="D162" s="2">
        <v>45778</v>
      </c>
      <c r="E162">
        <v>53850</v>
      </c>
      <c r="F162">
        <v>192</v>
      </c>
      <c r="G162" t="s">
        <v>66</v>
      </c>
      <c r="H162" t="s">
        <v>167</v>
      </c>
      <c r="I162" t="s">
        <v>45</v>
      </c>
      <c r="K162" t="s">
        <v>174</v>
      </c>
      <c r="L162">
        <v>1923300180351</v>
      </c>
      <c r="M162">
        <v>20250430</v>
      </c>
      <c r="N162" t="s">
        <v>81</v>
      </c>
      <c r="Q162" t="s">
        <v>47</v>
      </c>
      <c r="R162">
        <v>177163.9</v>
      </c>
      <c r="S162">
        <v>0</v>
      </c>
      <c r="T162">
        <v>4365602</v>
      </c>
      <c r="U162">
        <v>2514190731</v>
      </c>
      <c r="V162" t="s">
        <v>240</v>
      </c>
      <c r="W162" t="s">
        <v>49</v>
      </c>
      <c r="X162" t="s">
        <v>241</v>
      </c>
      <c r="Y162" t="s">
        <v>51</v>
      </c>
      <c r="Z162">
        <v>1066</v>
      </c>
      <c r="AH162">
        <v>0</v>
      </c>
      <c r="AI162">
        <v>202504</v>
      </c>
      <c r="AJ162" t="s">
        <v>52</v>
      </c>
      <c r="AK162">
        <v>0</v>
      </c>
      <c r="AL162">
        <v>1</v>
      </c>
      <c r="AO162">
        <v>0</v>
      </c>
      <c r="AP162" t="s">
        <v>3015</v>
      </c>
      <c r="AQ162" t="s">
        <v>3012</v>
      </c>
      <c r="AR162" t="s">
        <v>3016</v>
      </c>
      <c r="AT162" t="s">
        <v>3017</v>
      </c>
      <c r="AU162" t="s">
        <v>3018</v>
      </c>
    </row>
    <row r="163" spans="1:47" x14ac:dyDescent="0.35">
      <c r="A163">
        <v>337702</v>
      </c>
      <c r="B163" t="s">
        <v>178</v>
      </c>
      <c r="C163" t="s">
        <v>179</v>
      </c>
      <c r="D163" s="2">
        <v>45778</v>
      </c>
      <c r="E163">
        <v>53850</v>
      </c>
      <c r="F163">
        <v>102</v>
      </c>
      <c r="G163" t="s">
        <v>151</v>
      </c>
      <c r="H163" t="s">
        <v>167</v>
      </c>
      <c r="I163" t="s">
        <v>45</v>
      </c>
      <c r="K163">
        <v>202504307938729</v>
      </c>
      <c r="L163">
        <v>1503300001880</v>
      </c>
      <c r="M163">
        <v>20250430</v>
      </c>
      <c r="N163" t="s">
        <v>242</v>
      </c>
      <c r="Q163" t="s">
        <v>47</v>
      </c>
      <c r="R163">
        <v>19800000</v>
      </c>
      <c r="S163">
        <v>0</v>
      </c>
      <c r="T163">
        <v>4597052</v>
      </c>
      <c r="U163">
        <v>6707270960</v>
      </c>
      <c r="V163" t="s">
        <v>161</v>
      </c>
      <c r="W163" t="s">
        <v>162</v>
      </c>
      <c r="X163" t="s">
        <v>210</v>
      </c>
      <c r="Y163" t="s">
        <v>51</v>
      </c>
      <c r="Z163">
        <v>1926</v>
      </c>
      <c r="AH163">
        <v>0</v>
      </c>
      <c r="AI163">
        <v>202504</v>
      </c>
      <c r="AJ163" t="s">
        <v>86</v>
      </c>
      <c r="AK163">
        <v>1</v>
      </c>
      <c r="AL163">
        <v>1</v>
      </c>
      <c r="AO163">
        <v>0</v>
      </c>
      <c r="AP163" t="s">
        <v>3015</v>
      </c>
      <c r="AQ163" t="s">
        <v>3040</v>
      </c>
      <c r="AR163" t="s">
        <v>3041</v>
      </c>
      <c r="AT163" t="s">
        <v>3017</v>
      </c>
      <c r="AU163" t="s">
        <v>3037</v>
      </c>
    </row>
    <row r="164" spans="1:47" x14ac:dyDescent="0.35">
      <c r="A164">
        <v>337701</v>
      </c>
      <c r="B164" t="s">
        <v>164</v>
      </c>
      <c r="C164" t="s">
        <v>165</v>
      </c>
      <c r="D164" s="2">
        <v>45778</v>
      </c>
      <c r="E164">
        <v>53850</v>
      </c>
      <c r="F164">
        <v>132</v>
      </c>
      <c r="G164" t="s">
        <v>92</v>
      </c>
      <c r="H164" t="s">
        <v>167</v>
      </c>
      <c r="I164" t="s">
        <v>45</v>
      </c>
      <c r="K164" t="s">
        <v>243</v>
      </c>
      <c r="L164">
        <v>1323300003545</v>
      </c>
      <c r="M164">
        <v>20250430</v>
      </c>
      <c r="N164" t="s">
        <v>168</v>
      </c>
      <c r="P164" t="s">
        <v>244</v>
      </c>
      <c r="Q164" t="s">
        <v>170</v>
      </c>
      <c r="R164">
        <v>2000</v>
      </c>
      <c r="S164">
        <v>0</v>
      </c>
      <c r="T164">
        <v>4993626</v>
      </c>
      <c r="U164" t="s">
        <v>245</v>
      </c>
      <c r="V164" t="s">
        <v>246</v>
      </c>
      <c r="W164" t="s">
        <v>187</v>
      </c>
      <c r="Y164" t="s">
        <v>51</v>
      </c>
      <c r="Z164">
        <v>1628</v>
      </c>
      <c r="AH164">
        <v>0</v>
      </c>
      <c r="AI164">
        <v>202504</v>
      </c>
      <c r="AJ164" t="s">
        <v>119</v>
      </c>
      <c r="AK164">
        <v>1</v>
      </c>
      <c r="AL164">
        <v>1</v>
      </c>
      <c r="AO164">
        <v>0</v>
      </c>
      <c r="AP164" t="s">
        <v>3015</v>
      </c>
      <c r="AQ164" t="s">
        <v>3044</v>
      </c>
      <c r="AR164" t="s">
        <v>3045</v>
      </c>
      <c r="AS164" t="s">
        <v>3046</v>
      </c>
      <c r="AU164" t="s">
        <v>3046</v>
      </c>
    </row>
    <row r="165" spans="1:47" x14ac:dyDescent="0.35">
      <c r="A165">
        <v>337700</v>
      </c>
      <c r="B165" t="s">
        <v>172</v>
      </c>
      <c r="C165" t="s">
        <v>173</v>
      </c>
      <c r="D165" s="2">
        <v>45778</v>
      </c>
      <c r="E165">
        <v>53850</v>
      </c>
      <c r="F165">
        <v>116</v>
      </c>
      <c r="G165" t="s">
        <v>126</v>
      </c>
      <c r="H165" t="s">
        <v>167</v>
      </c>
      <c r="I165" t="s">
        <v>45</v>
      </c>
      <c r="K165">
        <v>202504307939491</v>
      </c>
      <c r="L165">
        <v>2343300010453</v>
      </c>
      <c r="M165">
        <v>20250430</v>
      </c>
      <c r="N165" t="s">
        <v>195</v>
      </c>
      <c r="Q165" t="s">
        <v>47</v>
      </c>
      <c r="R165">
        <v>88848.8</v>
      </c>
      <c r="S165">
        <v>88848.8</v>
      </c>
      <c r="T165">
        <v>4247777</v>
      </c>
      <c r="U165">
        <v>233470236</v>
      </c>
      <c r="V165" t="s">
        <v>206</v>
      </c>
      <c r="W165" t="s">
        <v>49</v>
      </c>
      <c r="X165" t="s">
        <v>117</v>
      </c>
      <c r="Y165" t="s">
        <v>51</v>
      </c>
      <c r="Z165">
        <v>1696</v>
      </c>
      <c r="AH165">
        <v>0</v>
      </c>
      <c r="AI165">
        <v>202504</v>
      </c>
      <c r="AJ165" t="s">
        <v>114</v>
      </c>
      <c r="AK165">
        <v>1</v>
      </c>
      <c r="AL165">
        <v>1</v>
      </c>
      <c r="AM165">
        <v>4247777</v>
      </c>
      <c r="AN165">
        <v>1</v>
      </c>
      <c r="AO165">
        <v>0</v>
      </c>
      <c r="AP165" t="s">
        <v>3029</v>
      </c>
      <c r="AQ165" t="s">
        <v>3012</v>
      </c>
      <c r="AR165" t="s">
        <v>3030</v>
      </c>
      <c r="AS165" t="s">
        <v>3014</v>
      </c>
      <c r="AU165" t="s">
        <v>3014</v>
      </c>
    </row>
    <row r="166" spans="1:47" x14ac:dyDescent="0.35">
      <c r="A166">
        <v>337699</v>
      </c>
      <c r="B166" t="s">
        <v>178</v>
      </c>
      <c r="C166" t="s">
        <v>179</v>
      </c>
      <c r="D166" s="2">
        <v>45778</v>
      </c>
      <c r="E166">
        <v>53850</v>
      </c>
      <c r="F166">
        <v>102</v>
      </c>
      <c r="G166" t="s">
        <v>151</v>
      </c>
      <c r="H166" t="s">
        <v>167</v>
      </c>
      <c r="I166" t="s">
        <v>45</v>
      </c>
      <c r="K166">
        <v>202504307936462</v>
      </c>
      <c r="L166">
        <v>1023305127300</v>
      </c>
      <c r="M166">
        <v>20250430</v>
      </c>
      <c r="N166" t="s">
        <v>46</v>
      </c>
      <c r="P166" t="s">
        <v>51</v>
      </c>
      <c r="Q166" t="s">
        <v>47</v>
      </c>
      <c r="R166">
        <v>700000</v>
      </c>
      <c r="S166">
        <v>0</v>
      </c>
      <c r="T166">
        <v>588978</v>
      </c>
      <c r="U166" t="s">
        <v>247</v>
      </c>
      <c r="V166" t="s">
        <v>248</v>
      </c>
      <c r="W166" t="s">
        <v>187</v>
      </c>
      <c r="Y166" t="s">
        <v>51</v>
      </c>
      <c r="Z166">
        <v>1335</v>
      </c>
      <c r="AH166">
        <v>0</v>
      </c>
      <c r="AI166">
        <v>202504</v>
      </c>
      <c r="AJ166" t="s">
        <v>119</v>
      </c>
      <c r="AK166">
        <v>1</v>
      </c>
      <c r="AL166">
        <v>1</v>
      </c>
      <c r="AO166">
        <v>0</v>
      </c>
      <c r="AP166" t="s">
        <v>3015</v>
      </c>
      <c r="AQ166" t="s">
        <v>3044</v>
      </c>
      <c r="AR166" t="s">
        <v>3045</v>
      </c>
      <c r="AS166" t="s">
        <v>3046</v>
      </c>
      <c r="AU166" t="s">
        <v>3046</v>
      </c>
    </row>
    <row r="167" spans="1:47" x14ac:dyDescent="0.35">
      <c r="A167">
        <v>337698</v>
      </c>
      <c r="B167" t="s">
        <v>178</v>
      </c>
      <c r="C167" t="s">
        <v>179</v>
      </c>
      <c r="D167" s="2">
        <v>45778</v>
      </c>
      <c r="E167">
        <v>53850</v>
      </c>
      <c r="F167">
        <v>192</v>
      </c>
      <c r="G167" t="s">
        <v>66</v>
      </c>
      <c r="H167" t="s">
        <v>167</v>
      </c>
      <c r="I167" t="s">
        <v>45</v>
      </c>
      <c r="K167">
        <v>202504307940632</v>
      </c>
      <c r="L167">
        <v>1923300183163</v>
      </c>
      <c r="M167">
        <v>20250430</v>
      </c>
      <c r="N167" t="s">
        <v>168</v>
      </c>
      <c r="P167" t="s">
        <v>249</v>
      </c>
      <c r="Q167" t="s">
        <v>170</v>
      </c>
      <c r="R167">
        <v>807716.46</v>
      </c>
      <c r="S167">
        <v>0</v>
      </c>
      <c r="T167">
        <v>4695944</v>
      </c>
      <c r="U167" t="s">
        <v>67</v>
      </c>
      <c r="V167" t="s">
        <v>68</v>
      </c>
      <c r="W167" t="s">
        <v>69</v>
      </c>
      <c r="X167" t="s">
        <v>70</v>
      </c>
      <c r="Y167" t="s">
        <v>51</v>
      </c>
      <c r="Z167">
        <v>481</v>
      </c>
      <c r="AH167">
        <v>0</v>
      </c>
      <c r="AI167">
        <v>202504</v>
      </c>
      <c r="AJ167" t="s">
        <v>56</v>
      </c>
      <c r="AK167">
        <v>0</v>
      </c>
      <c r="AL167">
        <v>1</v>
      </c>
      <c r="AM167">
        <v>4695944</v>
      </c>
      <c r="AN167">
        <v>1</v>
      </c>
      <c r="AO167">
        <v>0</v>
      </c>
      <c r="AP167" t="s">
        <v>3015</v>
      </c>
      <c r="AQ167" t="s">
        <v>3021</v>
      </c>
      <c r="AR167" t="s">
        <v>3022</v>
      </c>
      <c r="AT167" t="s">
        <v>3017</v>
      </c>
      <c r="AU167" t="s">
        <v>3014</v>
      </c>
    </row>
    <row r="168" spans="1:47" x14ac:dyDescent="0.35">
      <c r="A168">
        <v>337697</v>
      </c>
      <c r="B168" t="s">
        <v>193</v>
      </c>
      <c r="C168" t="s">
        <v>194</v>
      </c>
      <c r="D168" s="2">
        <v>45778</v>
      </c>
      <c r="E168">
        <v>53850</v>
      </c>
      <c r="F168">
        <v>108</v>
      </c>
      <c r="G168" t="s">
        <v>124</v>
      </c>
      <c r="H168" t="s">
        <v>167</v>
      </c>
      <c r="I168" t="s">
        <v>45</v>
      </c>
      <c r="K168" t="s">
        <v>174</v>
      </c>
      <c r="L168">
        <v>1083306291105</v>
      </c>
      <c r="M168">
        <v>20250430</v>
      </c>
      <c r="N168" t="s">
        <v>175</v>
      </c>
      <c r="Q168" t="s">
        <v>47</v>
      </c>
      <c r="R168">
        <v>69061.69</v>
      </c>
      <c r="S168">
        <v>63284.800000000003</v>
      </c>
      <c r="T168">
        <v>4227057</v>
      </c>
      <c r="U168">
        <v>4874620729</v>
      </c>
      <c r="V168" t="s">
        <v>250</v>
      </c>
      <c r="W168" t="s">
        <v>49</v>
      </c>
      <c r="X168" t="s">
        <v>62</v>
      </c>
      <c r="Y168" t="s">
        <v>51</v>
      </c>
      <c r="Z168">
        <v>1058</v>
      </c>
      <c r="AH168">
        <v>0</v>
      </c>
      <c r="AI168">
        <v>202504</v>
      </c>
      <c r="AJ168" t="s">
        <v>56</v>
      </c>
      <c r="AK168">
        <v>0</v>
      </c>
      <c r="AL168">
        <v>1</v>
      </c>
      <c r="AM168">
        <v>4227057</v>
      </c>
      <c r="AN168">
        <v>1</v>
      </c>
      <c r="AO168">
        <v>1</v>
      </c>
      <c r="AP168" t="s">
        <v>3015</v>
      </c>
      <c r="AQ168" t="s">
        <v>3012</v>
      </c>
      <c r="AR168" t="s">
        <v>3016</v>
      </c>
      <c r="AT168" t="s">
        <v>3017</v>
      </c>
      <c r="AU168" t="s">
        <v>3018</v>
      </c>
    </row>
    <row r="169" spans="1:47" x14ac:dyDescent="0.35">
      <c r="A169">
        <v>337696</v>
      </c>
      <c r="B169" t="s">
        <v>178</v>
      </c>
      <c r="C169" t="s">
        <v>179</v>
      </c>
      <c r="D169" s="2">
        <v>45778</v>
      </c>
      <c r="E169">
        <v>53850</v>
      </c>
      <c r="F169">
        <v>187</v>
      </c>
      <c r="G169" t="s">
        <v>251</v>
      </c>
      <c r="H169" t="s">
        <v>167</v>
      </c>
      <c r="I169" t="s">
        <v>45</v>
      </c>
      <c r="K169">
        <v>202504307935837</v>
      </c>
      <c r="L169">
        <v>999361870311</v>
      </c>
      <c r="M169">
        <v>20250430</v>
      </c>
      <c r="N169" t="s">
        <v>236</v>
      </c>
      <c r="P169" t="s">
        <v>51</v>
      </c>
      <c r="Q169" t="s">
        <v>170</v>
      </c>
      <c r="R169">
        <v>1431879.04</v>
      </c>
      <c r="S169">
        <v>0</v>
      </c>
      <c r="T169">
        <v>3004644</v>
      </c>
      <c r="U169">
        <v>80008750731</v>
      </c>
      <c r="V169" t="s">
        <v>252</v>
      </c>
      <c r="W169" t="s">
        <v>253</v>
      </c>
      <c r="Y169" t="s">
        <v>51</v>
      </c>
      <c r="Z169">
        <v>1627</v>
      </c>
      <c r="AH169">
        <v>0</v>
      </c>
      <c r="AI169">
        <v>202504</v>
      </c>
      <c r="AJ169" t="s">
        <v>52</v>
      </c>
      <c r="AK169">
        <v>0</v>
      </c>
      <c r="AL169">
        <v>1</v>
      </c>
      <c r="AO169">
        <v>0</v>
      </c>
      <c r="AP169" t="s">
        <v>3015</v>
      </c>
      <c r="AQ169" t="s">
        <v>3052</v>
      </c>
      <c r="AR169" t="s">
        <v>3053</v>
      </c>
      <c r="AS169" t="s">
        <v>3037</v>
      </c>
      <c r="AU169" t="s">
        <v>3037</v>
      </c>
    </row>
    <row r="170" spans="1:47" x14ac:dyDescent="0.35">
      <c r="A170">
        <v>337695</v>
      </c>
      <c r="B170" t="s">
        <v>164</v>
      </c>
      <c r="C170" t="s">
        <v>165</v>
      </c>
      <c r="D170" s="2">
        <v>45778</v>
      </c>
      <c r="E170">
        <v>53850</v>
      </c>
      <c r="F170">
        <v>118</v>
      </c>
      <c r="G170" t="s">
        <v>254</v>
      </c>
      <c r="H170" t="s">
        <v>167</v>
      </c>
      <c r="I170" t="s">
        <v>45</v>
      </c>
      <c r="K170">
        <v>202504307935442</v>
      </c>
      <c r="L170">
        <v>1183306279384</v>
      </c>
      <c r="M170">
        <v>20250430</v>
      </c>
      <c r="N170" t="s">
        <v>168</v>
      </c>
      <c r="P170" t="s">
        <v>255</v>
      </c>
      <c r="Q170" t="s">
        <v>170</v>
      </c>
      <c r="R170">
        <v>18000</v>
      </c>
      <c r="S170">
        <v>0</v>
      </c>
      <c r="T170">
        <v>4896093</v>
      </c>
      <c r="U170">
        <v>8070110724</v>
      </c>
      <c r="V170" t="s">
        <v>256</v>
      </c>
      <c r="W170" t="s">
        <v>49</v>
      </c>
      <c r="X170" t="s">
        <v>257</v>
      </c>
      <c r="Y170" t="s">
        <v>51</v>
      </c>
      <c r="Z170">
        <v>979</v>
      </c>
      <c r="AH170">
        <v>0</v>
      </c>
      <c r="AI170">
        <v>202504</v>
      </c>
      <c r="AJ170" t="s">
        <v>86</v>
      </c>
      <c r="AK170">
        <v>1</v>
      </c>
      <c r="AL170">
        <v>1</v>
      </c>
      <c r="AO170">
        <v>0</v>
      </c>
      <c r="AP170" t="s">
        <v>3015</v>
      </c>
      <c r="AQ170" t="s">
        <v>3012</v>
      </c>
      <c r="AR170" t="s">
        <v>3016</v>
      </c>
      <c r="AT170" t="s">
        <v>3017</v>
      </c>
      <c r="AU170" t="s">
        <v>3018</v>
      </c>
    </row>
    <row r="171" spans="1:47" x14ac:dyDescent="0.35">
      <c r="A171">
        <v>337694</v>
      </c>
      <c r="B171" t="s">
        <v>178</v>
      </c>
      <c r="C171" t="s">
        <v>179</v>
      </c>
      <c r="D171" s="2">
        <v>45778</v>
      </c>
      <c r="E171">
        <v>53850</v>
      </c>
      <c r="F171">
        <v>171</v>
      </c>
      <c r="G171" t="s">
        <v>198</v>
      </c>
      <c r="H171" t="s">
        <v>167</v>
      </c>
      <c r="I171" t="s">
        <v>45</v>
      </c>
      <c r="K171">
        <v>202504307938972</v>
      </c>
      <c r="L171">
        <v>1713302213842</v>
      </c>
      <c r="M171">
        <v>20250430</v>
      </c>
      <c r="N171" t="s">
        <v>258</v>
      </c>
      <c r="Q171" t="s">
        <v>170</v>
      </c>
      <c r="R171">
        <v>1435143.29</v>
      </c>
      <c r="S171">
        <v>0</v>
      </c>
      <c r="T171">
        <v>4148505</v>
      </c>
      <c r="U171">
        <v>5848860721</v>
      </c>
      <c r="V171" t="s">
        <v>259</v>
      </c>
      <c r="W171" t="s">
        <v>49</v>
      </c>
      <c r="X171" t="s">
        <v>260</v>
      </c>
      <c r="Y171" t="s">
        <v>51</v>
      </c>
      <c r="Z171">
        <v>1903</v>
      </c>
      <c r="AH171">
        <v>0</v>
      </c>
      <c r="AI171">
        <v>202504</v>
      </c>
      <c r="AJ171" t="s">
        <v>114</v>
      </c>
      <c r="AK171">
        <v>1</v>
      </c>
      <c r="AL171">
        <v>1</v>
      </c>
      <c r="AO171">
        <v>0</v>
      </c>
      <c r="AP171" t="s">
        <v>3015</v>
      </c>
      <c r="AQ171" t="s">
        <v>3012</v>
      </c>
      <c r="AR171" t="s">
        <v>3016</v>
      </c>
      <c r="AT171" t="s">
        <v>3017</v>
      </c>
      <c r="AU171" t="s">
        <v>3018</v>
      </c>
    </row>
    <row r="172" spans="1:47" x14ac:dyDescent="0.35">
      <c r="A172">
        <v>337693</v>
      </c>
      <c r="B172" t="s">
        <v>172</v>
      </c>
      <c r="C172" t="s">
        <v>173</v>
      </c>
      <c r="D172" s="2">
        <v>45778</v>
      </c>
      <c r="E172">
        <v>53850</v>
      </c>
      <c r="F172">
        <v>110</v>
      </c>
      <c r="G172" t="s">
        <v>230</v>
      </c>
      <c r="H172" t="s">
        <v>167</v>
      </c>
      <c r="I172" t="s">
        <v>45</v>
      </c>
      <c r="K172">
        <v>202504307940222</v>
      </c>
      <c r="L172">
        <v>1103306285126</v>
      </c>
      <c r="M172">
        <v>20250430</v>
      </c>
      <c r="N172" t="s">
        <v>231</v>
      </c>
      <c r="Q172" t="s">
        <v>47</v>
      </c>
      <c r="R172">
        <v>100000</v>
      </c>
      <c r="S172">
        <v>0</v>
      </c>
      <c r="T172">
        <v>522021</v>
      </c>
      <c r="U172" t="s">
        <v>261</v>
      </c>
      <c r="V172" t="s">
        <v>262</v>
      </c>
      <c r="W172" t="s">
        <v>69</v>
      </c>
      <c r="X172" t="s">
        <v>234</v>
      </c>
      <c r="Y172" t="s">
        <v>51</v>
      </c>
      <c r="Z172">
        <v>1928</v>
      </c>
      <c r="AH172">
        <v>0</v>
      </c>
      <c r="AI172">
        <v>202504</v>
      </c>
      <c r="AJ172" t="s">
        <v>86</v>
      </c>
      <c r="AK172">
        <v>1</v>
      </c>
      <c r="AL172">
        <v>1</v>
      </c>
      <c r="AO172">
        <v>0</v>
      </c>
      <c r="AP172" t="s">
        <v>3015</v>
      </c>
      <c r="AQ172" t="s">
        <v>3021</v>
      </c>
      <c r="AR172" t="s">
        <v>3022</v>
      </c>
      <c r="AT172" t="s">
        <v>3017</v>
      </c>
      <c r="AU172" t="s">
        <v>3014</v>
      </c>
    </row>
    <row r="173" spans="1:47" x14ac:dyDescent="0.35">
      <c r="A173">
        <v>337692</v>
      </c>
      <c r="B173" t="s">
        <v>164</v>
      </c>
      <c r="C173" t="s">
        <v>165</v>
      </c>
      <c r="D173" s="2">
        <v>45778</v>
      </c>
      <c r="E173">
        <v>53850</v>
      </c>
      <c r="F173">
        <v>157</v>
      </c>
      <c r="G173" t="s">
        <v>201</v>
      </c>
      <c r="H173" t="s">
        <v>167</v>
      </c>
      <c r="I173" t="s">
        <v>45</v>
      </c>
      <c r="K173" t="s">
        <v>202</v>
      </c>
      <c r="L173">
        <v>1573300000971</v>
      </c>
      <c r="M173">
        <v>20250430</v>
      </c>
      <c r="N173" t="s">
        <v>168</v>
      </c>
      <c r="P173" t="s">
        <v>203</v>
      </c>
      <c r="Q173" t="s">
        <v>47</v>
      </c>
      <c r="R173">
        <v>4036.26</v>
      </c>
      <c r="S173">
        <v>0</v>
      </c>
      <c r="T173">
        <v>4254772</v>
      </c>
      <c r="U173" t="s">
        <v>263</v>
      </c>
      <c r="V173" t="s">
        <v>264</v>
      </c>
      <c r="W173" t="s">
        <v>187</v>
      </c>
      <c r="Y173" t="s">
        <v>51</v>
      </c>
      <c r="AH173">
        <v>0</v>
      </c>
      <c r="AI173">
        <v>202504</v>
      </c>
      <c r="AJ173" t="s">
        <v>52</v>
      </c>
      <c r="AK173">
        <v>0</v>
      </c>
      <c r="AL173">
        <v>1</v>
      </c>
      <c r="AO173">
        <v>0</v>
      </c>
      <c r="AP173" t="s">
        <v>3015</v>
      </c>
      <c r="AQ173" t="s">
        <v>3044</v>
      </c>
      <c r="AR173" t="s">
        <v>3045</v>
      </c>
      <c r="AS173" t="s">
        <v>3046</v>
      </c>
      <c r="AU173" t="s">
        <v>3046</v>
      </c>
    </row>
    <row r="174" spans="1:47" x14ac:dyDescent="0.35">
      <c r="A174">
        <v>337691</v>
      </c>
      <c r="B174" t="s">
        <v>193</v>
      </c>
      <c r="C174" t="s">
        <v>194</v>
      </c>
      <c r="D174" s="2">
        <v>45778</v>
      </c>
      <c r="E174">
        <v>53850</v>
      </c>
      <c r="F174">
        <v>269</v>
      </c>
      <c r="G174" t="s">
        <v>265</v>
      </c>
      <c r="H174" t="s">
        <v>167</v>
      </c>
      <c r="I174" t="s">
        <v>45</v>
      </c>
      <c r="K174" t="s">
        <v>174</v>
      </c>
      <c r="L174">
        <v>2693300001614</v>
      </c>
      <c r="M174">
        <v>20250430</v>
      </c>
      <c r="N174" t="s">
        <v>266</v>
      </c>
      <c r="Q174" t="s">
        <v>47</v>
      </c>
      <c r="R174">
        <v>30300</v>
      </c>
      <c r="S174">
        <v>30300</v>
      </c>
      <c r="T174">
        <v>1695085</v>
      </c>
      <c r="U174" t="s">
        <v>267</v>
      </c>
      <c r="V174" t="s">
        <v>268</v>
      </c>
      <c r="W174" t="s">
        <v>69</v>
      </c>
      <c r="X174" t="s">
        <v>55</v>
      </c>
      <c r="Y174" t="s">
        <v>51</v>
      </c>
      <c r="Z174">
        <v>1805</v>
      </c>
      <c r="AH174">
        <v>0</v>
      </c>
      <c r="AI174">
        <v>202504</v>
      </c>
      <c r="AJ174" t="s">
        <v>56</v>
      </c>
      <c r="AK174">
        <v>0</v>
      </c>
      <c r="AL174">
        <v>1</v>
      </c>
      <c r="AM174">
        <v>1695085</v>
      </c>
      <c r="AN174">
        <v>1</v>
      </c>
      <c r="AO174">
        <v>0</v>
      </c>
      <c r="AP174" t="s">
        <v>3015</v>
      </c>
      <c r="AQ174" t="s">
        <v>3021</v>
      </c>
      <c r="AR174" t="s">
        <v>3022</v>
      </c>
      <c r="AT174" t="s">
        <v>3017</v>
      </c>
      <c r="AU174" t="s">
        <v>3014</v>
      </c>
    </row>
    <row r="175" spans="1:47" x14ac:dyDescent="0.35">
      <c r="A175">
        <v>337690</v>
      </c>
      <c r="B175" t="s">
        <v>178</v>
      </c>
      <c r="C175" t="s">
        <v>179</v>
      </c>
      <c r="D175" s="2">
        <v>45778</v>
      </c>
      <c r="E175">
        <v>53850</v>
      </c>
      <c r="F175">
        <v>122</v>
      </c>
      <c r="G175" t="s">
        <v>43</v>
      </c>
      <c r="H175" t="s">
        <v>167</v>
      </c>
      <c r="I175" t="s">
        <v>45</v>
      </c>
      <c r="K175">
        <v>202504307937213</v>
      </c>
      <c r="L175">
        <v>1223300001682</v>
      </c>
      <c r="M175">
        <v>20250430</v>
      </c>
      <c r="N175" t="s">
        <v>46</v>
      </c>
      <c r="P175" t="s">
        <v>51</v>
      </c>
      <c r="Q175" t="s">
        <v>47</v>
      </c>
      <c r="R175">
        <v>802613.71</v>
      </c>
      <c r="S175">
        <v>0</v>
      </c>
      <c r="T175">
        <v>3711207</v>
      </c>
      <c r="U175">
        <v>8825020723</v>
      </c>
      <c r="V175" t="s">
        <v>48</v>
      </c>
      <c r="W175" t="s">
        <v>49</v>
      </c>
      <c r="X175" t="s">
        <v>50</v>
      </c>
      <c r="Y175" t="s">
        <v>51</v>
      </c>
      <c r="Z175">
        <v>1696</v>
      </c>
      <c r="AH175">
        <v>0</v>
      </c>
      <c r="AI175">
        <v>202504</v>
      </c>
      <c r="AJ175" t="s">
        <v>52</v>
      </c>
      <c r="AK175">
        <v>0</v>
      </c>
      <c r="AL175">
        <v>1</v>
      </c>
      <c r="AO175">
        <v>0</v>
      </c>
      <c r="AP175" t="s">
        <v>3011</v>
      </c>
      <c r="AQ175" t="s">
        <v>3012</v>
      </c>
      <c r="AR175" t="s">
        <v>3013</v>
      </c>
      <c r="AS175" t="s">
        <v>3014</v>
      </c>
      <c r="AU175" t="s">
        <v>3014</v>
      </c>
    </row>
    <row r="176" spans="1:47" x14ac:dyDescent="0.35">
      <c r="A176">
        <v>337689</v>
      </c>
      <c r="B176" t="s">
        <v>172</v>
      </c>
      <c r="C176" t="s">
        <v>173</v>
      </c>
      <c r="D176" s="2">
        <v>45778</v>
      </c>
      <c r="E176">
        <v>53850</v>
      </c>
      <c r="F176">
        <v>104</v>
      </c>
      <c r="G176" t="s">
        <v>108</v>
      </c>
      <c r="H176" t="s">
        <v>167</v>
      </c>
      <c r="I176" t="s">
        <v>45</v>
      </c>
      <c r="K176">
        <v>202504307940137</v>
      </c>
      <c r="L176">
        <v>1043301449156</v>
      </c>
      <c r="M176">
        <v>20250430</v>
      </c>
      <c r="N176" t="s">
        <v>81</v>
      </c>
      <c r="Q176" t="s">
        <v>47</v>
      </c>
      <c r="R176">
        <v>145165.1</v>
      </c>
      <c r="S176">
        <v>0</v>
      </c>
      <c r="T176">
        <v>15014</v>
      </c>
      <c r="U176">
        <v>252860721</v>
      </c>
      <c r="V176" t="s">
        <v>269</v>
      </c>
      <c r="W176" t="s">
        <v>49</v>
      </c>
      <c r="X176" t="s">
        <v>177</v>
      </c>
      <c r="Y176" t="s">
        <v>51</v>
      </c>
      <c r="Z176">
        <v>1696</v>
      </c>
      <c r="AH176">
        <v>0</v>
      </c>
      <c r="AI176">
        <v>202504</v>
      </c>
      <c r="AJ176" t="s">
        <v>56</v>
      </c>
      <c r="AK176">
        <v>0</v>
      </c>
      <c r="AL176">
        <v>1</v>
      </c>
      <c r="AO176">
        <v>0</v>
      </c>
      <c r="AP176" t="s">
        <v>3015</v>
      </c>
      <c r="AQ176" t="s">
        <v>3012</v>
      </c>
      <c r="AR176" t="s">
        <v>3016</v>
      </c>
      <c r="AT176" t="s">
        <v>3017</v>
      </c>
      <c r="AU176" t="s">
        <v>3018</v>
      </c>
    </row>
    <row r="177" spans="1:47" x14ac:dyDescent="0.35">
      <c r="A177">
        <v>337688</v>
      </c>
      <c r="B177" t="s">
        <v>178</v>
      </c>
      <c r="C177" t="s">
        <v>179</v>
      </c>
      <c r="D177" s="2">
        <v>45778</v>
      </c>
      <c r="E177">
        <v>53850</v>
      </c>
      <c r="F177">
        <v>122</v>
      </c>
      <c r="G177" t="s">
        <v>43</v>
      </c>
      <c r="H177" t="s">
        <v>167</v>
      </c>
      <c r="I177" t="s">
        <v>45</v>
      </c>
      <c r="K177">
        <v>202504307936003</v>
      </c>
      <c r="L177">
        <v>1223300001682</v>
      </c>
      <c r="M177">
        <v>20250430</v>
      </c>
      <c r="N177" t="s">
        <v>236</v>
      </c>
      <c r="P177" t="s">
        <v>51</v>
      </c>
      <c r="Q177" t="s">
        <v>170</v>
      </c>
      <c r="R177">
        <v>1600000</v>
      </c>
      <c r="S177">
        <v>0</v>
      </c>
      <c r="T177">
        <v>3711207</v>
      </c>
      <c r="U177">
        <v>8825020723</v>
      </c>
      <c r="V177" t="s">
        <v>48</v>
      </c>
      <c r="W177" t="s">
        <v>49</v>
      </c>
      <c r="X177" t="s">
        <v>50</v>
      </c>
      <c r="Y177" t="s">
        <v>51</v>
      </c>
      <c r="Z177">
        <v>1696</v>
      </c>
      <c r="AH177">
        <v>0</v>
      </c>
      <c r="AI177">
        <v>202504</v>
      </c>
      <c r="AJ177" t="s">
        <v>52</v>
      </c>
      <c r="AK177">
        <v>0</v>
      </c>
      <c r="AL177">
        <v>1</v>
      </c>
      <c r="AO177">
        <v>0</v>
      </c>
      <c r="AP177" t="s">
        <v>3011</v>
      </c>
      <c r="AQ177" t="s">
        <v>3012</v>
      </c>
      <c r="AR177" t="s">
        <v>3013</v>
      </c>
      <c r="AS177" t="s">
        <v>3014</v>
      </c>
      <c r="AU177" t="s">
        <v>3014</v>
      </c>
    </row>
    <row r="178" spans="1:47" x14ac:dyDescent="0.35">
      <c r="A178">
        <v>337687</v>
      </c>
      <c r="B178" t="s">
        <v>172</v>
      </c>
      <c r="C178" t="s">
        <v>173</v>
      </c>
      <c r="D178" s="2">
        <v>45778</v>
      </c>
      <c r="E178">
        <v>53850</v>
      </c>
      <c r="F178">
        <v>161</v>
      </c>
      <c r="G178" t="s">
        <v>111</v>
      </c>
      <c r="H178" t="s">
        <v>167</v>
      </c>
      <c r="I178" t="s">
        <v>45</v>
      </c>
      <c r="K178" t="s">
        <v>174</v>
      </c>
      <c r="L178">
        <v>1613300029653</v>
      </c>
      <c r="M178">
        <v>20250430</v>
      </c>
      <c r="N178" t="s">
        <v>175</v>
      </c>
      <c r="Q178" t="s">
        <v>47</v>
      </c>
      <c r="R178">
        <v>270019.89</v>
      </c>
      <c r="S178">
        <v>0</v>
      </c>
      <c r="T178">
        <v>4088769</v>
      </c>
      <c r="U178">
        <v>5150120722</v>
      </c>
      <c r="V178" t="s">
        <v>270</v>
      </c>
      <c r="W178" t="s">
        <v>49</v>
      </c>
      <c r="X178" t="s">
        <v>110</v>
      </c>
      <c r="Y178" t="s">
        <v>51</v>
      </c>
      <c r="Z178">
        <v>1903</v>
      </c>
      <c r="AH178">
        <v>0</v>
      </c>
      <c r="AI178">
        <v>202504</v>
      </c>
      <c r="AJ178" t="s">
        <v>56</v>
      </c>
      <c r="AK178">
        <v>0</v>
      </c>
      <c r="AL178">
        <v>1</v>
      </c>
      <c r="AM178">
        <v>4088769</v>
      </c>
      <c r="AN178">
        <v>1</v>
      </c>
      <c r="AO178">
        <v>1</v>
      </c>
      <c r="AP178" t="s">
        <v>3026</v>
      </c>
      <c r="AQ178" t="s">
        <v>3012</v>
      </c>
      <c r="AR178" t="s">
        <v>3027</v>
      </c>
      <c r="AS178" t="s">
        <v>3028</v>
      </c>
      <c r="AU178" t="s">
        <v>3028</v>
      </c>
    </row>
    <row r="179" spans="1:47" x14ac:dyDescent="0.35">
      <c r="A179">
        <v>337686</v>
      </c>
      <c r="B179" t="s">
        <v>178</v>
      </c>
      <c r="C179" t="s">
        <v>179</v>
      </c>
      <c r="D179" s="2">
        <v>45778</v>
      </c>
      <c r="E179">
        <v>53850</v>
      </c>
      <c r="F179">
        <v>102</v>
      </c>
      <c r="G179" t="s">
        <v>151</v>
      </c>
      <c r="H179" t="s">
        <v>167</v>
      </c>
      <c r="I179" t="s">
        <v>45</v>
      </c>
      <c r="K179">
        <v>202504307935471</v>
      </c>
      <c r="L179">
        <v>1503300001880</v>
      </c>
      <c r="M179">
        <v>20250430</v>
      </c>
      <c r="N179" t="s">
        <v>236</v>
      </c>
      <c r="P179" t="s">
        <v>51</v>
      </c>
      <c r="Q179" t="s">
        <v>170</v>
      </c>
      <c r="R179">
        <v>19800000</v>
      </c>
      <c r="S179">
        <v>0</v>
      </c>
      <c r="T179">
        <v>4597052</v>
      </c>
      <c r="U179">
        <v>6707270960</v>
      </c>
      <c r="V179" t="s">
        <v>161</v>
      </c>
      <c r="W179" t="s">
        <v>162</v>
      </c>
      <c r="X179" t="s">
        <v>210</v>
      </c>
      <c r="Y179" t="s">
        <v>51</v>
      </c>
      <c r="Z179">
        <v>1926</v>
      </c>
      <c r="AH179">
        <v>0</v>
      </c>
      <c r="AI179">
        <v>202504</v>
      </c>
      <c r="AJ179" t="s">
        <v>86</v>
      </c>
      <c r="AK179">
        <v>1</v>
      </c>
      <c r="AL179">
        <v>1</v>
      </c>
      <c r="AO179">
        <v>0</v>
      </c>
      <c r="AP179" t="s">
        <v>3015</v>
      </c>
      <c r="AQ179" t="s">
        <v>3040</v>
      </c>
      <c r="AR179" t="s">
        <v>3041</v>
      </c>
      <c r="AT179" t="s">
        <v>3017</v>
      </c>
      <c r="AU179" t="s">
        <v>3037</v>
      </c>
    </row>
    <row r="180" spans="1:47" x14ac:dyDescent="0.35">
      <c r="A180">
        <v>337685</v>
      </c>
      <c r="B180" t="s">
        <v>178</v>
      </c>
      <c r="C180" t="s">
        <v>179</v>
      </c>
      <c r="D180" s="2">
        <v>45778</v>
      </c>
      <c r="E180">
        <v>53850</v>
      </c>
      <c r="F180">
        <v>129</v>
      </c>
      <c r="G180" t="s">
        <v>227</v>
      </c>
      <c r="H180" t="s">
        <v>167</v>
      </c>
      <c r="I180" t="s">
        <v>45</v>
      </c>
      <c r="K180">
        <v>202504307935568</v>
      </c>
      <c r="L180">
        <v>1293300002289</v>
      </c>
      <c r="M180">
        <v>20250430</v>
      </c>
      <c r="N180" t="s">
        <v>236</v>
      </c>
      <c r="P180" t="s">
        <v>51</v>
      </c>
      <c r="Q180" t="s">
        <v>170</v>
      </c>
      <c r="R180">
        <v>2013000</v>
      </c>
      <c r="S180">
        <v>0</v>
      </c>
      <c r="T180">
        <v>401846</v>
      </c>
      <c r="U180">
        <v>259270726</v>
      </c>
      <c r="V180" t="s">
        <v>271</v>
      </c>
      <c r="W180" t="s">
        <v>49</v>
      </c>
      <c r="X180" t="s">
        <v>272</v>
      </c>
      <c r="Y180" t="s">
        <v>51</v>
      </c>
      <c r="Z180">
        <v>1058</v>
      </c>
      <c r="AH180">
        <v>0</v>
      </c>
      <c r="AI180">
        <v>202504</v>
      </c>
      <c r="AJ180" t="s">
        <v>52</v>
      </c>
      <c r="AK180">
        <v>0</v>
      </c>
      <c r="AL180">
        <v>1</v>
      </c>
      <c r="AO180">
        <v>0</v>
      </c>
      <c r="AP180" t="s">
        <v>3015</v>
      </c>
      <c r="AQ180" t="s">
        <v>3012</v>
      </c>
      <c r="AR180" t="s">
        <v>3016</v>
      </c>
      <c r="AT180" t="s">
        <v>3017</v>
      </c>
      <c r="AU180" t="s">
        <v>3018</v>
      </c>
    </row>
    <row r="181" spans="1:47" x14ac:dyDescent="0.35">
      <c r="A181">
        <v>337684</v>
      </c>
      <c r="B181" t="s">
        <v>172</v>
      </c>
      <c r="C181" t="s">
        <v>173</v>
      </c>
      <c r="D181" s="2">
        <v>45778</v>
      </c>
      <c r="E181">
        <v>53850</v>
      </c>
      <c r="F181">
        <v>125</v>
      </c>
      <c r="G181" t="s">
        <v>75</v>
      </c>
      <c r="H181" t="s">
        <v>167</v>
      </c>
      <c r="I181" t="s">
        <v>45</v>
      </c>
      <c r="K181">
        <v>202504307940285</v>
      </c>
      <c r="L181">
        <v>1473300005289</v>
      </c>
      <c r="M181">
        <v>20250430</v>
      </c>
      <c r="N181" t="s">
        <v>81</v>
      </c>
      <c r="Q181" t="s">
        <v>47</v>
      </c>
      <c r="R181">
        <v>133800</v>
      </c>
      <c r="S181">
        <v>0</v>
      </c>
      <c r="T181">
        <v>4507156</v>
      </c>
      <c r="U181" t="s">
        <v>273</v>
      </c>
      <c r="V181" t="s">
        <v>274</v>
      </c>
      <c r="W181" t="s">
        <v>187</v>
      </c>
      <c r="Y181" t="s">
        <v>51</v>
      </c>
      <c r="AH181">
        <v>0</v>
      </c>
      <c r="AI181">
        <v>202504</v>
      </c>
      <c r="AJ181" t="s">
        <v>52</v>
      </c>
      <c r="AK181">
        <v>0</v>
      </c>
      <c r="AL181">
        <v>1</v>
      </c>
      <c r="AO181">
        <v>0</v>
      </c>
      <c r="AP181" t="s">
        <v>3015</v>
      </c>
      <c r="AQ181" t="s">
        <v>3044</v>
      </c>
      <c r="AR181" t="s">
        <v>3045</v>
      </c>
      <c r="AS181" t="s">
        <v>3046</v>
      </c>
      <c r="AU181" t="s">
        <v>3046</v>
      </c>
    </row>
    <row r="182" spans="1:47" x14ac:dyDescent="0.35">
      <c r="A182">
        <v>337683</v>
      </c>
      <c r="B182" t="s">
        <v>178</v>
      </c>
      <c r="C182" t="s">
        <v>179</v>
      </c>
      <c r="D182" s="2">
        <v>45778</v>
      </c>
      <c r="E182">
        <v>53850</v>
      </c>
      <c r="F182">
        <v>271</v>
      </c>
      <c r="G182" t="s">
        <v>275</v>
      </c>
      <c r="H182" t="s">
        <v>167</v>
      </c>
      <c r="I182" t="s">
        <v>45</v>
      </c>
      <c r="K182">
        <v>202504307940791</v>
      </c>
      <c r="L182">
        <v>2713300003700</v>
      </c>
      <c r="M182">
        <v>20250430</v>
      </c>
      <c r="N182" t="s">
        <v>220</v>
      </c>
      <c r="Q182" t="s">
        <v>170</v>
      </c>
      <c r="R182">
        <v>72553.42</v>
      </c>
      <c r="S182">
        <v>0</v>
      </c>
      <c r="T182">
        <v>1704434</v>
      </c>
      <c r="U182" t="s">
        <v>276</v>
      </c>
      <c r="V182" t="s">
        <v>277</v>
      </c>
      <c r="W182" t="s">
        <v>69</v>
      </c>
      <c r="X182" t="s">
        <v>131</v>
      </c>
      <c r="Y182" t="s">
        <v>51</v>
      </c>
      <c r="Z182">
        <v>1850</v>
      </c>
      <c r="AH182">
        <v>0</v>
      </c>
      <c r="AI182">
        <v>202504</v>
      </c>
      <c r="AJ182" t="s">
        <v>56</v>
      </c>
      <c r="AK182">
        <v>0</v>
      </c>
      <c r="AL182">
        <v>1</v>
      </c>
      <c r="AM182">
        <v>1704434</v>
      </c>
      <c r="AN182">
        <v>1</v>
      </c>
      <c r="AO182">
        <v>0</v>
      </c>
      <c r="AP182" t="s">
        <v>3033</v>
      </c>
      <c r="AQ182" t="s">
        <v>3021</v>
      </c>
      <c r="AR182" t="s">
        <v>3054</v>
      </c>
      <c r="AS182" t="s">
        <v>3055</v>
      </c>
      <c r="AU182" t="s">
        <v>3055</v>
      </c>
    </row>
    <row r="183" spans="1:47" x14ac:dyDescent="0.35">
      <c r="A183">
        <v>337682</v>
      </c>
      <c r="B183" t="s">
        <v>193</v>
      </c>
      <c r="C183" t="s">
        <v>194</v>
      </c>
      <c r="D183" s="2">
        <v>45778</v>
      </c>
      <c r="E183">
        <v>53850</v>
      </c>
      <c r="F183">
        <v>167</v>
      </c>
      <c r="G183" t="s">
        <v>278</v>
      </c>
      <c r="H183" t="s">
        <v>167</v>
      </c>
      <c r="I183" t="s">
        <v>45</v>
      </c>
      <c r="K183">
        <v>202504307938855</v>
      </c>
      <c r="L183">
        <v>1673301672849</v>
      </c>
      <c r="M183">
        <v>20250430</v>
      </c>
      <c r="N183" t="s">
        <v>195</v>
      </c>
      <c r="Q183" t="s">
        <v>47</v>
      </c>
      <c r="R183">
        <v>33210</v>
      </c>
      <c r="S183">
        <v>33210</v>
      </c>
      <c r="T183">
        <v>421715</v>
      </c>
      <c r="U183" t="s">
        <v>279</v>
      </c>
      <c r="V183" t="s">
        <v>280</v>
      </c>
      <c r="W183" t="s">
        <v>69</v>
      </c>
      <c r="X183" t="s">
        <v>55</v>
      </c>
      <c r="Y183" t="s">
        <v>51</v>
      </c>
      <c r="Z183">
        <v>1175</v>
      </c>
      <c r="AH183">
        <v>0</v>
      </c>
      <c r="AI183">
        <v>202504</v>
      </c>
      <c r="AJ183" t="s">
        <v>56</v>
      </c>
      <c r="AK183">
        <v>0</v>
      </c>
      <c r="AL183">
        <v>1</v>
      </c>
      <c r="AM183">
        <v>421715</v>
      </c>
      <c r="AN183">
        <v>1</v>
      </c>
      <c r="AO183">
        <v>0</v>
      </c>
      <c r="AP183" t="s">
        <v>3015</v>
      </c>
      <c r="AQ183" t="s">
        <v>3021</v>
      </c>
      <c r="AR183" t="s">
        <v>3022</v>
      </c>
      <c r="AT183" t="s">
        <v>3017</v>
      </c>
      <c r="AU183" t="s">
        <v>3014</v>
      </c>
    </row>
    <row r="184" spans="1:47" x14ac:dyDescent="0.35">
      <c r="A184">
        <v>337681</v>
      </c>
      <c r="B184" t="s">
        <v>178</v>
      </c>
      <c r="C184" t="s">
        <v>179</v>
      </c>
      <c r="D184" s="2">
        <v>45778</v>
      </c>
      <c r="E184">
        <v>53850</v>
      </c>
      <c r="F184">
        <v>119</v>
      </c>
      <c r="G184" t="s">
        <v>207</v>
      </c>
      <c r="H184" t="s">
        <v>167</v>
      </c>
      <c r="I184" t="s">
        <v>45</v>
      </c>
      <c r="K184">
        <v>202504307936565</v>
      </c>
      <c r="L184">
        <v>1193308874136</v>
      </c>
      <c r="M184">
        <v>20250430</v>
      </c>
      <c r="N184" t="s">
        <v>46</v>
      </c>
      <c r="P184" t="s">
        <v>51</v>
      </c>
      <c r="Q184" t="s">
        <v>47</v>
      </c>
      <c r="R184">
        <v>200678.35</v>
      </c>
      <c r="S184">
        <v>0</v>
      </c>
      <c r="T184">
        <v>4265205</v>
      </c>
      <c r="U184" t="s">
        <v>281</v>
      </c>
      <c r="V184" t="s">
        <v>282</v>
      </c>
      <c r="W184" t="s">
        <v>187</v>
      </c>
      <c r="Y184" t="s">
        <v>51</v>
      </c>
      <c r="Z184">
        <v>900</v>
      </c>
      <c r="AH184">
        <v>0</v>
      </c>
      <c r="AI184">
        <v>202504</v>
      </c>
      <c r="AJ184" t="s">
        <v>52</v>
      </c>
      <c r="AK184">
        <v>0</v>
      </c>
      <c r="AL184">
        <v>1</v>
      </c>
      <c r="AO184">
        <v>0</v>
      </c>
      <c r="AP184" t="s">
        <v>3015</v>
      </c>
      <c r="AQ184" t="s">
        <v>3044</v>
      </c>
      <c r="AR184" t="s">
        <v>3045</v>
      </c>
      <c r="AS184" t="s">
        <v>3046</v>
      </c>
      <c r="AU184" t="s">
        <v>3046</v>
      </c>
    </row>
    <row r="185" spans="1:47" x14ac:dyDescent="0.35">
      <c r="A185">
        <v>337680</v>
      </c>
      <c r="B185" t="s">
        <v>178</v>
      </c>
      <c r="C185" t="s">
        <v>179</v>
      </c>
      <c r="D185" s="2">
        <v>45778</v>
      </c>
      <c r="E185">
        <v>53850</v>
      </c>
      <c r="F185">
        <v>102</v>
      </c>
      <c r="G185" t="s">
        <v>151</v>
      </c>
      <c r="H185" t="s">
        <v>167</v>
      </c>
      <c r="I185" t="s">
        <v>45</v>
      </c>
      <c r="K185">
        <v>202504307938733</v>
      </c>
      <c r="L185">
        <v>1503300003188</v>
      </c>
      <c r="M185">
        <v>20250430</v>
      </c>
      <c r="N185" t="s">
        <v>242</v>
      </c>
      <c r="Q185" t="s">
        <v>47</v>
      </c>
      <c r="R185">
        <v>15000000</v>
      </c>
      <c r="S185">
        <v>0</v>
      </c>
      <c r="T185">
        <v>4269640</v>
      </c>
      <c r="U185">
        <v>4797080969</v>
      </c>
      <c r="V185" t="s">
        <v>152</v>
      </c>
      <c r="W185" t="s">
        <v>153</v>
      </c>
      <c r="X185" t="s">
        <v>210</v>
      </c>
      <c r="Y185" t="s">
        <v>51</v>
      </c>
      <c r="Z185">
        <v>1926</v>
      </c>
      <c r="AH185">
        <v>0</v>
      </c>
      <c r="AI185">
        <v>202504</v>
      </c>
      <c r="AJ185" t="s">
        <v>52</v>
      </c>
      <c r="AK185">
        <v>0</v>
      </c>
      <c r="AL185">
        <v>1</v>
      </c>
      <c r="AO185">
        <v>0</v>
      </c>
      <c r="AP185" t="s">
        <v>3015</v>
      </c>
      <c r="AQ185" t="s">
        <v>3035</v>
      </c>
      <c r="AR185" t="s">
        <v>3036</v>
      </c>
      <c r="AT185" t="s">
        <v>3017</v>
      </c>
      <c r="AU185" t="s">
        <v>3037</v>
      </c>
    </row>
    <row r="186" spans="1:47" x14ac:dyDescent="0.35">
      <c r="A186">
        <v>337679</v>
      </c>
      <c r="B186" t="s">
        <v>172</v>
      </c>
      <c r="C186" t="s">
        <v>173</v>
      </c>
      <c r="D186" s="2">
        <v>45778</v>
      </c>
      <c r="E186">
        <v>53850</v>
      </c>
      <c r="F186">
        <v>128</v>
      </c>
      <c r="G186" t="s">
        <v>94</v>
      </c>
      <c r="H186" t="s">
        <v>167</v>
      </c>
      <c r="I186" t="s">
        <v>45</v>
      </c>
      <c r="K186" t="s">
        <v>174</v>
      </c>
      <c r="L186">
        <v>1283300001665</v>
      </c>
      <c r="M186">
        <v>20250430</v>
      </c>
      <c r="N186" t="s">
        <v>175</v>
      </c>
      <c r="Q186" t="s">
        <v>47</v>
      </c>
      <c r="R186">
        <v>292793.88</v>
      </c>
      <c r="S186">
        <v>5980</v>
      </c>
      <c r="T186">
        <v>4254896</v>
      </c>
      <c r="U186">
        <v>6234730726</v>
      </c>
      <c r="V186" t="s">
        <v>95</v>
      </c>
      <c r="W186" t="s">
        <v>49</v>
      </c>
      <c r="X186" t="s">
        <v>96</v>
      </c>
      <c r="Y186" t="s">
        <v>51</v>
      </c>
      <c r="Z186">
        <v>1919</v>
      </c>
      <c r="AH186">
        <v>0</v>
      </c>
      <c r="AI186">
        <v>202504</v>
      </c>
      <c r="AJ186" t="s">
        <v>56</v>
      </c>
      <c r="AK186">
        <v>0</v>
      </c>
      <c r="AL186">
        <v>1</v>
      </c>
      <c r="AO186">
        <v>1</v>
      </c>
      <c r="AP186" t="s">
        <v>3015</v>
      </c>
      <c r="AQ186" t="s">
        <v>3012</v>
      </c>
      <c r="AR186" t="s">
        <v>3016</v>
      </c>
      <c r="AT186" t="s">
        <v>3017</v>
      </c>
      <c r="AU186" t="s">
        <v>3018</v>
      </c>
    </row>
    <row r="187" spans="1:47" x14ac:dyDescent="0.35">
      <c r="A187">
        <v>337678</v>
      </c>
      <c r="B187" t="s">
        <v>193</v>
      </c>
      <c r="C187" t="s">
        <v>194</v>
      </c>
      <c r="D187" s="2">
        <v>45778</v>
      </c>
      <c r="E187">
        <v>53850</v>
      </c>
      <c r="F187">
        <v>114</v>
      </c>
      <c r="G187" t="s">
        <v>188</v>
      </c>
      <c r="H187" t="s">
        <v>167</v>
      </c>
      <c r="I187" t="s">
        <v>45</v>
      </c>
      <c r="K187">
        <v>202504307940238</v>
      </c>
      <c r="L187">
        <v>1143306280621</v>
      </c>
      <c r="M187">
        <v>20250430</v>
      </c>
      <c r="N187" t="s">
        <v>266</v>
      </c>
      <c r="Q187" t="s">
        <v>47</v>
      </c>
      <c r="R187">
        <v>20950</v>
      </c>
      <c r="S187">
        <v>20950</v>
      </c>
      <c r="T187">
        <v>4658875</v>
      </c>
      <c r="U187">
        <v>3230890711</v>
      </c>
      <c r="V187" t="s">
        <v>189</v>
      </c>
      <c r="W187" t="s">
        <v>190</v>
      </c>
      <c r="X187" t="s">
        <v>131</v>
      </c>
      <c r="Y187" t="s">
        <v>51</v>
      </c>
      <c r="Z187">
        <v>870</v>
      </c>
      <c r="AH187">
        <v>0</v>
      </c>
      <c r="AI187">
        <v>202504</v>
      </c>
      <c r="AJ187" t="s">
        <v>56</v>
      </c>
      <c r="AK187">
        <v>0</v>
      </c>
      <c r="AL187">
        <v>1</v>
      </c>
      <c r="AM187">
        <v>4658875</v>
      </c>
      <c r="AN187">
        <v>1</v>
      </c>
      <c r="AO187">
        <v>0</v>
      </c>
      <c r="AP187" t="s">
        <v>3033</v>
      </c>
      <c r="AQ187" t="s">
        <v>3047</v>
      </c>
      <c r="AR187" t="s">
        <v>3048</v>
      </c>
      <c r="AS187" t="s">
        <v>3049</v>
      </c>
      <c r="AU187" t="s">
        <v>3049</v>
      </c>
    </row>
    <row r="188" spans="1:47" x14ac:dyDescent="0.35">
      <c r="A188">
        <v>337677</v>
      </c>
      <c r="B188" t="s">
        <v>172</v>
      </c>
      <c r="C188" t="s">
        <v>173</v>
      </c>
      <c r="D188" s="2">
        <v>45778</v>
      </c>
      <c r="E188">
        <v>53850</v>
      </c>
      <c r="F188">
        <v>110</v>
      </c>
      <c r="G188" t="s">
        <v>230</v>
      </c>
      <c r="H188" t="s">
        <v>167</v>
      </c>
      <c r="I188" t="s">
        <v>45</v>
      </c>
      <c r="K188">
        <v>202504307940222</v>
      </c>
      <c r="L188">
        <v>1103306285126</v>
      </c>
      <c r="M188">
        <v>20250430</v>
      </c>
      <c r="N188" t="s">
        <v>231</v>
      </c>
      <c r="Q188" t="s">
        <v>47</v>
      </c>
      <c r="R188">
        <v>100000</v>
      </c>
      <c r="S188">
        <v>0</v>
      </c>
      <c r="T188">
        <v>541812</v>
      </c>
      <c r="U188" t="s">
        <v>283</v>
      </c>
      <c r="V188" t="s">
        <v>284</v>
      </c>
      <c r="W188" t="s">
        <v>69</v>
      </c>
      <c r="X188" t="s">
        <v>234</v>
      </c>
      <c r="Y188" t="s">
        <v>51</v>
      </c>
      <c r="Z188">
        <v>1928</v>
      </c>
      <c r="AH188">
        <v>0</v>
      </c>
      <c r="AI188">
        <v>202504</v>
      </c>
      <c r="AJ188" t="s">
        <v>86</v>
      </c>
      <c r="AK188">
        <v>1</v>
      </c>
      <c r="AL188">
        <v>1</v>
      </c>
      <c r="AO188">
        <v>0</v>
      </c>
      <c r="AP188" t="s">
        <v>3015</v>
      </c>
      <c r="AQ188" t="s">
        <v>3021</v>
      </c>
      <c r="AR188" t="s">
        <v>3022</v>
      </c>
      <c r="AT188" t="s">
        <v>3017</v>
      </c>
      <c r="AU188" t="s">
        <v>3014</v>
      </c>
    </row>
    <row r="189" spans="1:47" x14ac:dyDescent="0.35">
      <c r="A189">
        <v>337676</v>
      </c>
      <c r="B189" t="s">
        <v>193</v>
      </c>
      <c r="C189" t="s">
        <v>194</v>
      </c>
      <c r="D189" s="2">
        <v>45778</v>
      </c>
      <c r="E189">
        <v>53850</v>
      </c>
      <c r="F189">
        <v>171</v>
      </c>
      <c r="G189" t="s">
        <v>198</v>
      </c>
      <c r="H189" t="s">
        <v>167</v>
      </c>
      <c r="I189" t="s">
        <v>45</v>
      </c>
      <c r="K189" t="s">
        <v>174</v>
      </c>
      <c r="L189">
        <v>1713302214147</v>
      </c>
      <c r="M189">
        <v>20250430</v>
      </c>
      <c r="N189" t="s">
        <v>195</v>
      </c>
      <c r="Q189" t="s">
        <v>47</v>
      </c>
      <c r="R189">
        <v>148915</v>
      </c>
      <c r="S189">
        <v>148915</v>
      </c>
      <c r="T189">
        <v>4199319</v>
      </c>
      <c r="U189">
        <v>6037810725</v>
      </c>
      <c r="V189" t="s">
        <v>285</v>
      </c>
      <c r="W189" t="s">
        <v>49</v>
      </c>
      <c r="X189" t="s">
        <v>200</v>
      </c>
      <c r="Y189" t="s">
        <v>51</v>
      </c>
      <c r="Z189">
        <v>1903</v>
      </c>
      <c r="AH189">
        <v>0</v>
      </c>
      <c r="AI189">
        <v>202504</v>
      </c>
      <c r="AJ189" t="s">
        <v>56</v>
      </c>
      <c r="AK189">
        <v>0</v>
      </c>
      <c r="AL189">
        <v>1</v>
      </c>
      <c r="AM189">
        <v>4199319</v>
      </c>
      <c r="AN189">
        <v>1</v>
      </c>
      <c r="AO189">
        <v>0</v>
      </c>
      <c r="AP189" t="s">
        <v>3015</v>
      </c>
      <c r="AQ189" t="s">
        <v>3012</v>
      </c>
      <c r="AR189" t="s">
        <v>3016</v>
      </c>
      <c r="AT189" t="s">
        <v>3017</v>
      </c>
      <c r="AU189" t="s">
        <v>3018</v>
      </c>
    </row>
    <row r="190" spans="1:47" x14ac:dyDescent="0.35">
      <c r="A190">
        <v>337675</v>
      </c>
      <c r="B190" t="s">
        <v>193</v>
      </c>
      <c r="C190" t="s">
        <v>194</v>
      </c>
      <c r="D190" s="2">
        <v>45778</v>
      </c>
      <c r="E190">
        <v>53850</v>
      </c>
      <c r="F190">
        <v>189</v>
      </c>
      <c r="G190" t="s">
        <v>286</v>
      </c>
      <c r="H190" t="s">
        <v>167</v>
      </c>
      <c r="I190" t="s">
        <v>45</v>
      </c>
      <c r="K190">
        <v>202504307940608</v>
      </c>
      <c r="L190">
        <v>1893300023546</v>
      </c>
      <c r="M190">
        <v>20250430</v>
      </c>
      <c r="N190" t="s">
        <v>266</v>
      </c>
      <c r="Q190" t="s">
        <v>47</v>
      </c>
      <c r="R190">
        <v>46445</v>
      </c>
      <c r="S190">
        <v>46445</v>
      </c>
      <c r="T190">
        <v>3064562</v>
      </c>
      <c r="U190" t="s">
        <v>287</v>
      </c>
      <c r="V190" t="s">
        <v>288</v>
      </c>
      <c r="W190" t="s">
        <v>69</v>
      </c>
      <c r="X190" t="s">
        <v>55</v>
      </c>
      <c r="Y190" t="s">
        <v>51</v>
      </c>
      <c r="Z190">
        <v>1620</v>
      </c>
      <c r="AH190">
        <v>0</v>
      </c>
      <c r="AI190">
        <v>202504</v>
      </c>
      <c r="AJ190" t="s">
        <v>56</v>
      </c>
      <c r="AK190">
        <v>0</v>
      </c>
      <c r="AL190">
        <v>1</v>
      </c>
      <c r="AM190">
        <v>3064562</v>
      </c>
      <c r="AN190">
        <v>1</v>
      </c>
      <c r="AO190">
        <v>0</v>
      </c>
      <c r="AP190" t="s">
        <v>3015</v>
      </c>
      <c r="AQ190" t="s">
        <v>3021</v>
      </c>
      <c r="AR190" t="s">
        <v>3022</v>
      </c>
      <c r="AT190" t="s">
        <v>3017</v>
      </c>
      <c r="AU190" t="s">
        <v>3014</v>
      </c>
    </row>
    <row r="191" spans="1:47" x14ac:dyDescent="0.35">
      <c r="A191">
        <v>337674</v>
      </c>
      <c r="B191" t="s">
        <v>178</v>
      </c>
      <c r="C191" t="s">
        <v>179</v>
      </c>
      <c r="D191" s="2">
        <v>45778</v>
      </c>
      <c r="E191">
        <v>53850</v>
      </c>
      <c r="F191">
        <v>119</v>
      </c>
      <c r="G191" t="s">
        <v>207</v>
      </c>
      <c r="H191" t="s">
        <v>167</v>
      </c>
      <c r="I191" t="s">
        <v>45</v>
      </c>
      <c r="K191">
        <v>202504307936565</v>
      </c>
      <c r="L191">
        <v>1193308874136</v>
      </c>
      <c r="M191">
        <v>20250430</v>
      </c>
      <c r="N191" t="s">
        <v>46</v>
      </c>
      <c r="P191" t="s">
        <v>51</v>
      </c>
      <c r="Q191" t="s">
        <v>47</v>
      </c>
      <c r="R191">
        <v>200678.35</v>
      </c>
      <c r="S191">
        <v>0</v>
      </c>
      <c r="T191">
        <v>4035703</v>
      </c>
      <c r="U191" t="s">
        <v>289</v>
      </c>
      <c r="V191" t="s">
        <v>290</v>
      </c>
      <c r="W191" t="s">
        <v>187</v>
      </c>
      <c r="Y191" t="s">
        <v>51</v>
      </c>
      <c r="AH191">
        <v>0</v>
      </c>
      <c r="AI191">
        <v>202504</v>
      </c>
      <c r="AJ191" t="s">
        <v>52</v>
      </c>
      <c r="AK191">
        <v>0</v>
      </c>
      <c r="AL191">
        <v>1</v>
      </c>
      <c r="AO191">
        <v>0</v>
      </c>
      <c r="AP191" t="s">
        <v>3015</v>
      </c>
      <c r="AQ191" t="s">
        <v>3044</v>
      </c>
      <c r="AR191" t="s">
        <v>3045</v>
      </c>
      <c r="AS191" t="s">
        <v>3046</v>
      </c>
      <c r="AU191" t="s">
        <v>3046</v>
      </c>
    </row>
    <row r="192" spans="1:47" x14ac:dyDescent="0.35">
      <c r="A192">
        <v>337673</v>
      </c>
      <c r="B192" t="s">
        <v>178</v>
      </c>
      <c r="C192" t="s">
        <v>179</v>
      </c>
      <c r="D192" s="2">
        <v>45778</v>
      </c>
      <c r="E192">
        <v>53850</v>
      </c>
      <c r="F192">
        <v>106</v>
      </c>
      <c r="G192" t="s">
        <v>291</v>
      </c>
      <c r="H192" t="s">
        <v>167</v>
      </c>
      <c r="I192" t="s">
        <v>45</v>
      </c>
      <c r="K192">
        <v>202504307936911</v>
      </c>
      <c r="L192">
        <v>1063304235350</v>
      </c>
      <c r="M192">
        <v>20250430</v>
      </c>
      <c r="N192" t="s">
        <v>46</v>
      </c>
      <c r="P192" t="s">
        <v>51</v>
      </c>
      <c r="Q192" t="s">
        <v>47</v>
      </c>
      <c r="R192">
        <v>216020.67</v>
      </c>
      <c r="S192">
        <v>0</v>
      </c>
      <c r="T192">
        <v>423535</v>
      </c>
      <c r="U192" t="s">
        <v>292</v>
      </c>
      <c r="V192" t="s">
        <v>293</v>
      </c>
      <c r="W192" t="s">
        <v>187</v>
      </c>
      <c r="Y192" t="s">
        <v>51</v>
      </c>
      <c r="Z192">
        <v>1464</v>
      </c>
      <c r="AH192">
        <v>0</v>
      </c>
      <c r="AI192">
        <v>202504</v>
      </c>
      <c r="AJ192" t="s">
        <v>86</v>
      </c>
      <c r="AK192">
        <v>1</v>
      </c>
      <c r="AL192">
        <v>1</v>
      </c>
      <c r="AO192">
        <v>0</v>
      </c>
      <c r="AP192" t="s">
        <v>3015</v>
      </c>
      <c r="AQ192" t="s">
        <v>3044</v>
      </c>
      <c r="AR192" t="s">
        <v>3045</v>
      </c>
      <c r="AS192" t="s">
        <v>3046</v>
      </c>
      <c r="AU192" t="s">
        <v>3046</v>
      </c>
    </row>
    <row r="193" spans="1:47" x14ac:dyDescent="0.35">
      <c r="A193">
        <v>337672</v>
      </c>
      <c r="B193" t="s">
        <v>193</v>
      </c>
      <c r="C193" t="s">
        <v>194</v>
      </c>
      <c r="D193" s="2">
        <v>45778</v>
      </c>
      <c r="E193">
        <v>53850</v>
      </c>
      <c r="F193">
        <v>104</v>
      </c>
      <c r="G193" t="s">
        <v>108</v>
      </c>
      <c r="H193" t="s">
        <v>167</v>
      </c>
      <c r="I193" t="s">
        <v>45</v>
      </c>
      <c r="K193">
        <v>202504307937986</v>
      </c>
      <c r="L193">
        <v>1043304260740</v>
      </c>
      <c r="M193">
        <v>20250430</v>
      </c>
      <c r="N193" t="s">
        <v>195</v>
      </c>
      <c r="Q193" t="s">
        <v>47</v>
      </c>
      <c r="R193">
        <v>25300</v>
      </c>
      <c r="S193">
        <v>25300</v>
      </c>
      <c r="T193">
        <v>426074</v>
      </c>
      <c r="U193" t="s">
        <v>294</v>
      </c>
      <c r="V193" t="s">
        <v>295</v>
      </c>
      <c r="W193" t="s">
        <v>69</v>
      </c>
      <c r="X193" t="s">
        <v>131</v>
      </c>
      <c r="Y193" t="s">
        <v>51</v>
      </c>
      <c r="Z193">
        <v>1946</v>
      </c>
      <c r="AH193">
        <v>0</v>
      </c>
      <c r="AI193">
        <v>202504</v>
      </c>
      <c r="AJ193" t="s">
        <v>56</v>
      </c>
      <c r="AK193">
        <v>0</v>
      </c>
      <c r="AL193">
        <v>1</v>
      </c>
      <c r="AM193">
        <v>426074</v>
      </c>
      <c r="AN193">
        <v>1</v>
      </c>
      <c r="AO193">
        <v>0</v>
      </c>
      <c r="AP193" t="s">
        <v>3033</v>
      </c>
      <c r="AQ193" t="s">
        <v>3021</v>
      </c>
      <c r="AR193" t="s">
        <v>3054</v>
      </c>
      <c r="AS193" t="s">
        <v>3055</v>
      </c>
      <c r="AU193" t="s">
        <v>3055</v>
      </c>
    </row>
    <row r="194" spans="1:47" x14ac:dyDescent="0.35">
      <c r="A194">
        <v>337671</v>
      </c>
      <c r="B194" t="s">
        <v>172</v>
      </c>
      <c r="C194" t="s">
        <v>173</v>
      </c>
      <c r="D194" s="2">
        <v>45778</v>
      </c>
      <c r="E194">
        <v>53850</v>
      </c>
      <c r="F194">
        <v>174</v>
      </c>
      <c r="G194" t="s">
        <v>224</v>
      </c>
      <c r="H194" t="s">
        <v>167</v>
      </c>
      <c r="I194" t="s">
        <v>45</v>
      </c>
      <c r="K194">
        <v>202504307940506</v>
      </c>
      <c r="L194">
        <v>1743302880504</v>
      </c>
      <c r="M194">
        <v>20250430</v>
      </c>
      <c r="N194" t="s">
        <v>231</v>
      </c>
      <c r="Q194" t="s">
        <v>47</v>
      </c>
      <c r="R194">
        <v>250000</v>
      </c>
      <c r="S194">
        <v>0</v>
      </c>
      <c r="T194">
        <v>4993511</v>
      </c>
      <c r="U194" t="s">
        <v>296</v>
      </c>
      <c r="V194" t="s">
        <v>297</v>
      </c>
      <c r="W194" t="s">
        <v>69</v>
      </c>
      <c r="X194" t="s">
        <v>50</v>
      </c>
      <c r="Y194" t="s">
        <v>51</v>
      </c>
      <c r="Z194">
        <v>720</v>
      </c>
      <c r="AH194">
        <v>0</v>
      </c>
      <c r="AI194">
        <v>202504</v>
      </c>
      <c r="AJ194" t="s">
        <v>52</v>
      </c>
      <c r="AK194">
        <v>0</v>
      </c>
      <c r="AL194">
        <v>1</v>
      </c>
      <c r="AO194">
        <v>0</v>
      </c>
      <c r="AP194" t="s">
        <v>3015</v>
      </c>
      <c r="AQ194" t="s">
        <v>3021</v>
      </c>
      <c r="AR194" t="s">
        <v>3022</v>
      </c>
      <c r="AT194" t="s">
        <v>3017</v>
      </c>
      <c r="AU194" t="s">
        <v>3014</v>
      </c>
    </row>
    <row r="195" spans="1:47" x14ac:dyDescent="0.35">
      <c r="A195">
        <v>337670</v>
      </c>
      <c r="B195" t="s">
        <v>172</v>
      </c>
      <c r="C195" t="s">
        <v>173</v>
      </c>
      <c r="D195" s="2">
        <v>45778</v>
      </c>
      <c r="E195">
        <v>53850</v>
      </c>
      <c r="F195">
        <v>108</v>
      </c>
      <c r="G195" t="s">
        <v>124</v>
      </c>
      <c r="H195" t="s">
        <v>167</v>
      </c>
      <c r="I195" t="s">
        <v>45</v>
      </c>
      <c r="K195" t="s">
        <v>174</v>
      </c>
      <c r="L195">
        <v>1083300011180</v>
      </c>
      <c r="M195">
        <v>20250430</v>
      </c>
      <c r="N195" t="s">
        <v>81</v>
      </c>
      <c r="Q195" t="s">
        <v>47</v>
      </c>
      <c r="R195">
        <v>115206.55</v>
      </c>
      <c r="S195">
        <v>0</v>
      </c>
      <c r="T195">
        <v>1118</v>
      </c>
      <c r="U195">
        <v>3246700722</v>
      </c>
      <c r="V195" t="s">
        <v>125</v>
      </c>
      <c r="W195" t="s">
        <v>49</v>
      </c>
      <c r="X195" t="s">
        <v>96</v>
      </c>
      <c r="Y195" t="s">
        <v>51</v>
      </c>
      <c r="Z195">
        <v>1058</v>
      </c>
      <c r="AH195">
        <v>0</v>
      </c>
      <c r="AI195">
        <v>202504</v>
      </c>
      <c r="AJ195" t="s">
        <v>52</v>
      </c>
      <c r="AK195">
        <v>0</v>
      </c>
      <c r="AL195">
        <v>1</v>
      </c>
      <c r="AO195">
        <v>0</v>
      </c>
      <c r="AP195" t="s">
        <v>3015</v>
      </c>
      <c r="AQ195" t="s">
        <v>3012</v>
      </c>
      <c r="AR195" t="s">
        <v>3016</v>
      </c>
      <c r="AT195" t="s">
        <v>3017</v>
      </c>
      <c r="AU195" t="s">
        <v>3018</v>
      </c>
    </row>
    <row r="196" spans="1:47" x14ac:dyDescent="0.35">
      <c r="A196">
        <v>337669</v>
      </c>
      <c r="B196" t="s">
        <v>164</v>
      </c>
      <c r="C196" t="s">
        <v>165</v>
      </c>
      <c r="D196" s="2">
        <v>45778</v>
      </c>
      <c r="E196">
        <v>53850</v>
      </c>
      <c r="F196">
        <v>116</v>
      </c>
      <c r="G196" t="s">
        <v>126</v>
      </c>
      <c r="H196" t="s">
        <v>167</v>
      </c>
      <c r="I196" t="s">
        <v>45</v>
      </c>
      <c r="K196">
        <v>202504307935590</v>
      </c>
      <c r="L196">
        <v>1163307621007</v>
      </c>
      <c r="M196">
        <v>20250430</v>
      </c>
      <c r="N196" t="s">
        <v>168</v>
      </c>
      <c r="P196" t="s">
        <v>203</v>
      </c>
      <c r="Q196" t="s">
        <v>170</v>
      </c>
      <c r="R196">
        <v>9666</v>
      </c>
      <c r="S196">
        <v>0</v>
      </c>
      <c r="T196">
        <v>4896552</v>
      </c>
      <c r="U196">
        <v>5890650723</v>
      </c>
      <c r="V196" t="s">
        <v>298</v>
      </c>
      <c r="W196" t="s">
        <v>49</v>
      </c>
      <c r="X196" t="s">
        <v>299</v>
      </c>
      <c r="Y196" t="s">
        <v>51</v>
      </c>
      <c r="Z196">
        <v>1919</v>
      </c>
      <c r="AH196">
        <v>0</v>
      </c>
      <c r="AI196">
        <v>202504</v>
      </c>
      <c r="AJ196" t="s">
        <v>119</v>
      </c>
      <c r="AK196">
        <v>1</v>
      </c>
      <c r="AL196">
        <v>1</v>
      </c>
      <c r="AO196">
        <v>0</v>
      </c>
      <c r="AP196" t="s">
        <v>3015</v>
      </c>
      <c r="AQ196" t="s">
        <v>3012</v>
      </c>
      <c r="AR196" t="s">
        <v>3016</v>
      </c>
      <c r="AT196" t="s">
        <v>3017</v>
      </c>
      <c r="AU196" t="s">
        <v>3018</v>
      </c>
    </row>
    <row r="197" spans="1:47" x14ac:dyDescent="0.35">
      <c r="A197">
        <v>337668</v>
      </c>
      <c r="B197" t="s">
        <v>172</v>
      </c>
      <c r="C197" t="s">
        <v>173</v>
      </c>
      <c r="D197" s="2">
        <v>45778</v>
      </c>
      <c r="E197">
        <v>53850</v>
      </c>
      <c r="F197">
        <v>171</v>
      </c>
      <c r="G197" t="s">
        <v>198</v>
      </c>
      <c r="H197" t="s">
        <v>167</v>
      </c>
      <c r="I197" t="s">
        <v>45</v>
      </c>
      <c r="K197" t="s">
        <v>174</v>
      </c>
      <c r="L197">
        <v>1713302214147</v>
      </c>
      <c r="M197">
        <v>20250430</v>
      </c>
      <c r="N197" t="s">
        <v>195</v>
      </c>
      <c r="Q197" t="s">
        <v>47</v>
      </c>
      <c r="R197">
        <v>148915</v>
      </c>
      <c r="S197">
        <v>148915</v>
      </c>
      <c r="T197">
        <v>4199319</v>
      </c>
      <c r="U197">
        <v>6037810725</v>
      </c>
      <c r="V197" t="s">
        <v>285</v>
      </c>
      <c r="W197" t="s">
        <v>49</v>
      </c>
      <c r="X197" t="s">
        <v>200</v>
      </c>
      <c r="Y197" t="s">
        <v>51</v>
      </c>
      <c r="Z197">
        <v>1903</v>
      </c>
      <c r="AH197">
        <v>0</v>
      </c>
      <c r="AI197">
        <v>202504</v>
      </c>
      <c r="AJ197" t="s">
        <v>56</v>
      </c>
      <c r="AK197">
        <v>0</v>
      </c>
      <c r="AL197">
        <v>1</v>
      </c>
      <c r="AM197">
        <v>4199319</v>
      </c>
      <c r="AN197">
        <v>1</v>
      </c>
      <c r="AO197">
        <v>0</v>
      </c>
      <c r="AP197" t="s">
        <v>3015</v>
      </c>
      <c r="AQ197" t="s">
        <v>3012</v>
      </c>
      <c r="AR197" t="s">
        <v>3016</v>
      </c>
      <c r="AT197" t="s">
        <v>3017</v>
      </c>
      <c r="AU197" t="s">
        <v>3018</v>
      </c>
    </row>
    <row r="198" spans="1:47" x14ac:dyDescent="0.35">
      <c r="A198">
        <v>337667</v>
      </c>
      <c r="B198" t="s">
        <v>178</v>
      </c>
      <c r="C198" t="s">
        <v>179</v>
      </c>
      <c r="D198" s="2">
        <v>45778</v>
      </c>
      <c r="E198">
        <v>53850</v>
      </c>
      <c r="F198">
        <v>102</v>
      </c>
      <c r="G198" t="s">
        <v>151</v>
      </c>
      <c r="H198" t="s">
        <v>167</v>
      </c>
      <c r="I198" t="s">
        <v>45</v>
      </c>
      <c r="K198">
        <v>202504307940079</v>
      </c>
      <c r="L198">
        <v>1503300003188</v>
      </c>
      <c r="M198">
        <v>20250430</v>
      </c>
      <c r="N198" t="s">
        <v>236</v>
      </c>
      <c r="P198" t="s">
        <v>51</v>
      </c>
      <c r="Q198" t="s">
        <v>170</v>
      </c>
      <c r="R198">
        <v>15500000</v>
      </c>
      <c r="S198">
        <v>0</v>
      </c>
      <c r="T198">
        <v>4269640</v>
      </c>
      <c r="U198">
        <v>4797080969</v>
      </c>
      <c r="V198" t="s">
        <v>152</v>
      </c>
      <c r="W198" t="s">
        <v>153</v>
      </c>
      <c r="X198" t="s">
        <v>210</v>
      </c>
      <c r="Y198" t="s">
        <v>51</v>
      </c>
      <c r="Z198">
        <v>1926</v>
      </c>
      <c r="AH198">
        <v>0</v>
      </c>
      <c r="AI198">
        <v>202504</v>
      </c>
      <c r="AJ198" t="s">
        <v>52</v>
      </c>
      <c r="AK198">
        <v>0</v>
      </c>
      <c r="AL198">
        <v>1</v>
      </c>
      <c r="AO198">
        <v>0</v>
      </c>
      <c r="AP198" t="s">
        <v>3015</v>
      </c>
      <c r="AQ198" t="s">
        <v>3035</v>
      </c>
      <c r="AR198" t="s">
        <v>3036</v>
      </c>
      <c r="AT198" t="s">
        <v>3017</v>
      </c>
      <c r="AU198" t="s">
        <v>3037</v>
      </c>
    </row>
    <row r="199" spans="1:47" x14ac:dyDescent="0.35">
      <c r="A199">
        <v>337666</v>
      </c>
      <c r="B199" t="s">
        <v>178</v>
      </c>
      <c r="C199" t="s">
        <v>179</v>
      </c>
      <c r="D199" s="2">
        <v>45778</v>
      </c>
      <c r="E199">
        <v>53850</v>
      </c>
      <c r="F199">
        <v>102</v>
      </c>
      <c r="G199" t="s">
        <v>151</v>
      </c>
      <c r="H199" t="s">
        <v>167</v>
      </c>
      <c r="I199" t="s">
        <v>45</v>
      </c>
      <c r="K199">
        <v>202504307938732</v>
      </c>
      <c r="L199">
        <v>1503300003188</v>
      </c>
      <c r="M199">
        <v>20250430</v>
      </c>
      <c r="N199" t="s">
        <v>223</v>
      </c>
      <c r="Q199" t="s">
        <v>170</v>
      </c>
      <c r="R199">
        <v>15000000</v>
      </c>
      <c r="S199">
        <v>0</v>
      </c>
      <c r="T199">
        <v>4269640</v>
      </c>
      <c r="U199">
        <v>4797080969</v>
      </c>
      <c r="V199" t="s">
        <v>152</v>
      </c>
      <c r="W199" t="s">
        <v>153</v>
      </c>
      <c r="X199" t="s">
        <v>210</v>
      </c>
      <c r="Y199" t="s">
        <v>51</v>
      </c>
      <c r="Z199">
        <v>1926</v>
      </c>
      <c r="AH199">
        <v>0</v>
      </c>
      <c r="AI199">
        <v>202504</v>
      </c>
      <c r="AJ199" t="s">
        <v>52</v>
      </c>
      <c r="AK199">
        <v>0</v>
      </c>
      <c r="AL199">
        <v>1</v>
      </c>
      <c r="AO199">
        <v>0</v>
      </c>
      <c r="AP199" t="s">
        <v>3015</v>
      </c>
      <c r="AQ199" t="s">
        <v>3035</v>
      </c>
      <c r="AR199" t="s">
        <v>3036</v>
      </c>
      <c r="AT199" t="s">
        <v>3017</v>
      </c>
      <c r="AU199" t="s">
        <v>3037</v>
      </c>
    </row>
    <row r="200" spans="1:47" x14ac:dyDescent="0.35">
      <c r="A200">
        <v>337665</v>
      </c>
      <c r="B200" t="s">
        <v>178</v>
      </c>
      <c r="C200" t="s">
        <v>179</v>
      </c>
      <c r="D200" s="2">
        <v>45778</v>
      </c>
      <c r="E200">
        <v>53850</v>
      </c>
      <c r="F200">
        <v>198</v>
      </c>
      <c r="G200" t="s">
        <v>300</v>
      </c>
      <c r="H200" t="s">
        <v>167</v>
      </c>
      <c r="I200" t="s">
        <v>45</v>
      </c>
      <c r="K200">
        <v>202504307939413</v>
      </c>
      <c r="L200">
        <v>1983300002331</v>
      </c>
      <c r="M200">
        <v>20250430</v>
      </c>
      <c r="N200" t="s">
        <v>220</v>
      </c>
      <c r="Q200" t="s">
        <v>170</v>
      </c>
      <c r="R200">
        <v>72583.91</v>
      </c>
      <c r="S200">
        <v>0</v>
      </c>
      <c r="T200">
        <v>4816138</v>
      </c>
      <c r="U200" t="s">
        <v>301</v>
      </c>
      <c r="V200" t="s">
        <v>302</v>
      </c>
      <c r="W200" t="s">
        <v>69</v>
      </c>
      <c r="X200" t="s">
        <v>131</v>
      </c>
      <c r="Y200" t="s">
        <v>51</v>
      </c>
      <c r="Z200">
        <v>844</v>
      </c>
      <c r="AH200">
        <v>0</v>
      </c>
      <c r="AI200">
        <v>202504</v>
      </c>
      <c r="AJ200" t="s">
        <v>56</v>
      </c>
      <c r="AK200">
        <v>0</v>
      </c>
      <c r="AL200">
        <v>1</v>
      </c>
      <c r="AM200">
        <v>4816138</v>
      </c>
      <c r="AN200">
        <v>1</v>
      </c>
      <c r="AO200">
        <v>0</v>
      </c>
      <c r="AP200" t="s">
        <v>3033</v>
      </c>
      <c r="AQ200" t="s">
        <v>3021</v>
      </c>
      <c r="AR200" t="s">
        <v>3054</v>
      </c>
      <c r="AS200" t="s">
        <v>3055</v>
      </c>
      <c r="AU200" t="s">
        <v>3055</v>
      </c>
    </row>
    <row r="201" spans="1:47" x14ac:dyDescent="0.35">
      <c r="A201">
        <v>337664</v>
      </c>
      <c r="B201" t="s">
        <v>178</v>
      </c>
      <c r="C201" t="s">
        <v>179</v>
      </c>
      <c r="D201" s="2">
        <v>45777</v>
      </c>
      <c r="E201">
        <v>53850</v>
      </c>
      <c r="F201">
        <v>105</v>
      </c>
      <c r="G201" t="s">
        <v>60</v>
      </c>
      <c r="H201" t="s">
        <v>167</v>
      </c>
      <c r="I201" t="s">
        <v>45</v>
      </c>
      <c r="K201">
        <v>202504307934036</v>
      </c>
      <c r="L201">
        <v>1053304343840</v>
      </c>
      <c r="M201">
        <v>20250430</v>
      </c>
      <c r="N201" t="s">
        <v>303</v>
      </c>
      <c r="Q201" t="s">
        <v>170</v>
      </c>
      <c r="R201">
        <v>427457.45</v>
      </c>
      <c r="S201">
        <v>0</v>
      </c>
      <c r="T201">
        <v>434384</v>
      </c>
      <c r="U201" t="s">
        <v>304</v>
      </c>
      <c r="V201" t="s">
        <v>305</v>
      </c>
      <c r="W201" t="s">
        <v>187</v>
      </c>
      <c r="Y201" t="s">
        <v>51</v>
      </c>
      <c r="Z201">
        <v>833</v>
      </c>
      <c r="AH201">
        <v>0</v>
      </c>
      <c r="AI201">
        <v>202504</v>
      </c>
      <c r="AJ201" t="s">
        <v>86</v>
      </c>
      <c r="AK201">
        <v>1</v>
      </c>
      <c r="AL201">
        <v>1</v>
      </c>
      <c r="AO201">
        <v>0</v>
      </c>
      <c r="AP201" t="s">
        <v>3015</v>
      </c>
      <c r="AQ201" t="s">
        <v>3044</v>
      </c>
      <c r="AR201" t="s">
        <v>3045</v>
      </c>
      <c r="AS201" t="s">
        <v>3046</v>
      </c>
      <c r="AU201" t="s">
        <v>3046</v>
      </c>
    </row>
    <row r="202" spans="1:47" x14ac:dyDescent="0.35">
      <c r="A202">
        <v>337663</v>
      </c>
      <c r="B202" t="s">
        <v>178</v>
      </c>
      <c r="C202" t="s">
        <v>179</v>
      </c>
      <c r="D202" s="2">
        <v>45777</v>
      </c>
      <c r="E202">
        <v>53850</v>
      </c>
      <c r="F202">
        <v>104</v>
      </c>
      <c r="G202" t="s">
        <v>108</v>
      </c>
      <c r="H202" t="s">
        <v>167</v>
      </c>
      <c r="I202" t="s">
        <v>45</v>
      </c>
      <c r="K202">
        <v>202504307934033</v>
      </c>
      <c r="L202">
        <v>1043301450345</v>
      </c>
      <c r="M202">
        <v>20250430</v>
      </c>
      <c r="N202" t="s">
        <v>303</v>
      </c>
      <c r="Q202" t="s">
        <v>170</v>
      </c>
      <c r="R202">
        <v>412290.63</v>
      </c>
      <c r="S202">
        <v>0</v>
      </c>
      <c r="T202">
        <v>448111</v>
      </c>
      <c r="U202" t="s">
        <v>306</v>
      </c>
      <c r="V202" t="s">
        <v>307</v>
      </c>
      <c r="W202" t="s">
        <v>187</v>
      </c>
      <c r="Y202" t="s">
        <v>51</v>
      </c>
      <c r="Z202">
        <v>1267</v>
      </c>
      <c r="AH202">
        <v>0</v>
      </c>
      <c r="AI202">
        <v>202504</v>
      </c>
      <c r="AJ202" t="s">
        <v>52</v>
      </c>
      <c r="AK202">
        <v>0</v>
      </c>
      <c r="AL202">
        <v>1</v>
      </c>
      <c r="AO202">
        <v>0</v>
      </c>
      <c r="AP202" t="s">
        <v>3015</v>
      </c>
      <c r="AQ202" t="s">
        <v>3044</v>
      </c>
      <c r="AR202" t="s">
        <v>3045</v>
      </c>
      <c r="AS202" t="s">
        <v>3046</v>
      </c>
      <c r="AU202" t="s">
        <v>3046</v>
      </c>
    </row>
    <row r="203" spans="1:47" x14ac:dyDescent="0.35">
      <c r="A203">
        <v>337662</v>
      </c>
      <c r="B203" t="s">
        <v>178</v>
      </c>
      <c r="C203" t="s">
        <v>179</v>
      </c>
      <c r="D203" s="2">
        <v>45777</v>
      </c>
      <c r="E203">
        <v>53850</v>
      </c>
      <c r="F203">
        <v>102</v>
      </c>
      <c r="G203" t="s">
        <v>151</v>
      </c>
      <c r="H203" t="s">
        <v>167</v>
      </c>
      <c r="I203" t="s">
        <v>45</v>
      </c>
      <c r="K203">
        <v>202504307934016</v>
      </c>
      <c r="L203">
        <v>1023301520020</v>
      </c>
      <c r="M203">
        <v>20250430</v>
      </c>
      <c r="N203" t="s">
        <v>303</v>
      </c>
      <c r="Q203" t="s">
        <v>170</v>
      </c>
      <c r="R203">
        <v>496585.69</v>
      </c>
      <c r="S203">
        <v>0</v>
      </c>
      <c r="T203">
        <v>152002</v>
      </c>
      <c r="U203" t="s">
        <v>308</v>
      </c>
      <c r="V203" t="s">
        <v>309</v>
      </c>
      <c r="W203" t="s">
        <v>187</v>
      </c>
      <c r="Y203" t="s">
        <v>51</v>
      </c>
      <c r="Z203">
        <v>1431</v>
      </c>
      <c r="AH203">
        <v>0</v>
      </c>
      <c r="AI203">
        <v>202504</v>
      </c>
      <c r="AJ203" t="s">
        <v>52</v>
      </c>
      <c r="AK203">
        <v>0</v>
      </c>
      <c r="AL203">
        <v>1</v>
      </c>
      <c r="AO203">
        <v>0</v>
      </c>
      <c r="AP203" t="s">
        <v>3015</v>
      </c>
      <c r="AQ203" t="s">
        <v>3044</v>
      </c>
      <c r="AR203" t="s">
        <v>3045</v>
      </c>
      <c r="AS203" t="s">
        <v>3046</v>
      </c>
      <c r="AU203" t="s">
        <v>3046</v>
      </c>
    </row>
    <row r="204" spans="1:47" x14ac:dyDescent="0.35">
      <c r="A204">
        <v>337661</v>
      </c>
      <c r="B204" t="s">
        <v>178</v>
      </c>
      <c r="C204" t="s">
        <v>179</v>
      </c>
      <c r="D204" s="2">
        <v>45777</v>
      </c>
      <c r="E204">
        <v>53850</v>
      </c>
      <c r="F204">
        <v>273</v>
      </c>
      <c r="G204" t="s">
        <v>133</v>
      </c>
      <c r="H204" t="s">
        <v>167</v>
      </c>
      <c r="I204" t="s">
        <v>45</v>
      </c>
      <c r="K204">
        <v>202504297932175</v>
      </c>
      <c r="L204">
        <v>2733300004156</v>
      </c>
      <c r="M204">
        <v>20250429</v>
      </c>
      <c r="N204" t="s">
        <v>310</v>
      </c>
      <c r="Q204" t="s">
        <v>170</v>
      </c>
      <c r="R204">
        <v>1244683.1299999999</v>
      </c>
      <c r="S204">
        <v>0</v>
      </c>
      <c r="T204">
        <v>1695938</v>
      </c>
      <c r="U204">
        <v>2232960159</v>
      </c>
      <c r="V204" t="s">
        <v>311</v>
      </c>
      <c r="W204" t="s">
        <v>49</v>
      </c>
      <c r="X204" t="s">
        <v>312</v>
      </c>
      <c r="Y204" t="s">
        <v>51</v>
      </c>
      <c r="Z204">
        <v>1856</v>
      </c>
      <c r="AH204">
        <v>0</v>
      </c>
      <c r="AI204">
        <v>202504</v>
      </c>
      <c r="AJ204" t="s">
        <v>52</v>
      </c>
      <c r="AK204">
        <v>0</v>
      </c>
      <c r="AL204">
        <v>1</v>
      </c>
      <c r="AO204">
        <v>0</v>
      </c>
      <c r="AP204" t="s">
        <v>3015</v>
      </c>
      <c r="AQ204" t="s">
        <v>3012</v>
      </c>
      <c r="AR204" t="s">
        <v>3016</v>
      </c>
      <c r="AT204" t="s">
        <v>3017</v>
      </c>
      <c r="AU204" t="s">
        <v>3018</v>
      </c>
    </row>
    <row r="205" spans="1:47" x14ac:dyDescent="0.35">
      <c r="A205">
        <v>337660</v>
      </c>
      <c r="B205" t="s">
        <v>193</v>
      </c>
      <c r="C205" t="s">
        <v>194</v>
      </c>
      <c r="D205" s="2">
        <v>45777</v>
      </c>
      <c r="E205">
        <v>53850</v>
      </c>
      <c r="F205">
        <v>102</v>
      </c>
      <c r="G205" t="s">
        <v>151</v>
      </c>
      <c r="H205" t="s">
        <v>167</v>
      </c>
      <c r="I205" t="s">
        <v>45</v>
      </c>
      <c r="K205" t="s">
        <v>313</v>
      </c>
      <c r="L205">
        <v>1023308723527</v>
      </c>
      <c r="M205">
        <v>20250429</v>
      </c>
      <c r="N205" t="s">
        <v>266</v>
      </c>
      <c r="Q205" t="s">
        <v>47</v>
      </c>
      <c r="R205">
        <v>16280</v>
      </c>
      <c r="S205">
        <v>16280</v>
      </c>
      <c r="T205">
        <v>4883007</v>
      </c>
      <c r="U205">
        <v>8028310723</v>
      </c>
      <c r="V205" t="s">
        <v>314</v>
      </c>
      <c r="W205" t="s">
        <v>190</v>
      </c>
      <c r="X205" t="s">
        <v>131</v>
      </c>
      <c r="Y205" t="s">
        <v>51</v>
      </c>
      <c r="Z205">
        <v>1949</v>
      </c>
      <c r="AH205">
        <v>0</v>
      </c>
      <c r="AI205">
        <v>202504</v>
      </c>
      <c r="AJ205" t="s">
        <v>119</v>
      </c>
      <c r="AK205">
        <v>1</v>
      </c>
      <c r="AL205">
        <v>1</v>
      </c>
      <c r="AM205">
        <v>4883007</v>
      </c>
      <c r="AN205">
        <v>1</v>
      </c>
      <c r="AO205">
        <v>0</v>
      </c>
      <c r="AP205" t="s">
        <v>3033</v>
      </c>
      <c r="AQ205" t="s">
        <v>3047</v>
      </c>
      <c r="AR205" t="s">
        <v>3048</v>
      </c>
      <c r="AS205" t="s">
        <v>3049</v>
      </c>
      <c r="AU205" t="s">
        <v>3049</v>
      </c>
    </row>
    <row r="206" spans="1:47" x14ac:dyDescent="0.35">
      <c r="A206">
        <v>337659</v>
      </c>
      <c r="B206" t="s">
        <v>178</v>
      </c>
      <c r="C206" t="s">
        <v>179</v>
      </c>
      <c r="D206" s="2">
        <v>45777</v>
      </c>
      <c r="E206">
        <v>53850</v>
      </c>
      <c r="F206">
        <v>178</v>
      </c>
      <c r="G206" t="s">
        <v>315</v>
      </c>
      <c r="H206" t="s">
        <v>167</v>
      </c>
      <c r="I206" t="s">
        <v>45</v>
      </c>
      <c r="K206">
        <v>202504297935055</v>
      </c>
      <c r="L206">
        <v>1783301004498</v>
      </c>
      <c r="M206">
        <v>20250429</v>
      </c>
      <c r="N206" t="s">
        <v>3136</v>
      </c>
      <c r="Q206" t="s">
        <v>170</v>
      </c>
      <c r="R206">
        <v>47140.45</v>
      </c>
      <c r="S206">
        <v>0</v>
      </c>
      <c r="T206">
        <v>4891240</v>
      </c>
      <c r="U206" t="s">
        <v>316</v>
      </c>
      <c r="V206" t="s">
        <v>317</v>
      </c>
      <c r="W206" t="s">
        <v>187</v>
      </c>
      <c r="Y206" t="s">
        <v>51</v>
      </c>
      <c r="Z206">
        <v>1936</v>
      </c>
      <c r="AH206">
        <v>0</v>
      </c>
      <c r="AI206">
        <v>202504</v>
      </c>
      <c r="AJ206" t="s">
        <v>52</v>
      </c>
      <c r="AK206">
        <v>0</v>
      </c>
      <c r="AL206">
        <v>1</v>
      </c>
      <c r="AO206">
        <v>1</v>
      </c>
      <c r="AP206" t="s">
        <v>3015</v>
      </c>
      <c r="AQ206" t="s">
        <v>3044</v>
      </c>
      <c r="AR206" t="s">
        <v>3045</v>
      </c>
      <c r="AS206" t="s">
        <v>3046</v>
      </c>
      <c r="AU206" t="s">
        <v>3046</v>
      </c>
    </row>
    <row r="207" spans="1:47" x14ac:dyDescent="0.35">
      <c r="A207">
        <v>337658</v>
      </c>
      <c r="B207" t="s">
        <v>178</v>
      </c>
      <c r="C207" t="s">
        <v>179</v>
      </c>
      <c r="D207" s="2">
        <v>45777</v>
      </c>
      <c r="E207">
        <v>53850</v>
      </c>
      <c r="F207">
        <v>182</v>
      </c>
      <c r="G207" t="s">
        <v>318</v>
      </c>
      <c r="H207" t="s">
        <v>167</v>
      </c>
      <c r="I207" t="s">
        <v>45</v>
      </c>
      <c r="K207" t="s">
        <v>319</v>
      </c>
      <c r="L207">
        <v>1825502404004</v>
      </c>
      <c r="M207">
        <v>20250429</v>
      </c>
      <c r="N207" t="s">
        <v>3136</v>
      </c>
      <c r="Q207" t="s">
        <v>47</v>
      </c>
      <c r="R207">
        <v>1110</v>
      </c>
      <c r="S207">
        <v>0</v>
      </c>
      <c r="T207">
        <v>623025</v>
      </c>
      <c r="U207" t="s">
        <v>320</v>
      </c>
      <c r="V207" t="s">
        <v>321</v>
      </c>
      <c r="W207" t="s">
        <v>187</v>
      </c>
      <c r="Y207" t="s">
        <v>51</v>
      </c>
      <c r="Z207">
        <v>619</v>
      </c>
      <c r="AH207">
        <v>0</v>
      </c>
      <c r="AI207">
        <v>202504</v>
      </c>
      <c r="AJ207" t="s">
        <v>86</v>
      </c>
      <c r="AK207">
        <v>1</v>
      </c>
      <c r="AL207">
        <v>1</v>
      </c>
      <c r="AO207">
        <v>1</v>
      </c>
      <c r="AP207" t="s">
        <v>3015</v>
      </c>
      <c r="AQ207" t="s">
        <v>3044</v>
      </c>
      <c r="AR207" t="s">
        <v>3045</v>
      </c>
      <c r="AS207" t="s">
        <v>3046</v>
      </c>
      <c r="AU207" t="s">
        <v>3046</v>
      </c>
    </row>
    <row r="208" spans="1:47" x14ac:dyDescent="0.35">
      <c r="A208">
        <v>337657</v>
      </c>
      <c r="B208" t="s">
        <v>214</v>
      </c>
      <c r="C208" t="s">
        <v>215</v>
      </c>
      <c r="D208" s="2">
        <v>45777</v>
      </c>
      <c r="E208">
        <v>53850</v>
      </c>
      <c r="F208">
        <v>140</v>
      </c>
      <c r="G208" t="s">
        <v>322</v>
      </c>
      <c r="H208" t="s">
        <v>167</v>
      </c>
      <c r="I208" t="s">
        <v>45</v>
      </c>
      <c r="K208">
        <v>202504297934891</v>
      </c>
      <c r="L208">
        <v>1403300004431</v>
      </c>
      <c r="M208">
        <v>20250429</v>
      </c>
      <c r="N208" t="s">
        <v>168</v>
      </c>
      <c r="P208" t="s">
        <v>217</v>
      </c>
      <c r="Q208" t="s">
        <v>170</v>
      </c>
      <c r="R208">
        <v>19000</v>
      </c>
      <c r="S208">
        <v>0</v>
      </c>
      <c r="T208">
        <v>3737491</v>
      </c>
      <c r="U208">
        <v>10184280963</v>
      </c>
      <c r="V208" t="s">
        <v>323</v>
      </c>
      <c r="W208" t="s">
        <v>49</v>
      </c>
      <c r="X208" t="s">
        <v>324</v>
      </c>
      <c r="Y208" t="s">
        <v>51</v>
      </c>
      <c r="Z208">
        <v>1403</v>
      </c>
      <c r="AH208">
        <v>0</v>
      </c>
      <c r="AI208">
        <v>202504</v>
      </c>
      <c r="AJ208" t="s">
        <v>52</v>
      </c>
      <c r="AK208">
        <v>0</v>
      </c>
      <c r="AL208">
        <v>1</v>
      </c>
      <c r="AO208">
        <v>0</v>
      </c>
      <c r="AP208" t="s">
        <v>3015</v>
      </c>
      <c r="AQ208" t="s">
        <v>3012</v>
      </c>
      <c r="AR208" t="s">
        <v>3016</v>
      </c>
      <c r="AT208" t="s">
        <v>3017</v>
      </c>
      <c r="AU208" t="s">
        <v>3018</v>
      </c>
    </row>
    <row r="209" spans="1:47" x14ac:dyDescent="0.35">
      <c r="A209">
        <v>337656</v>
      </c>
      <c r="B209" t="s">
        <v>172</v>
      </c>
      <c r="C209" t="s">
        <v>173</v>
      </c>
      <c r="D209" s="2">
        <v>45777</v>
      </c>
      <c r="E209">
        <v>53850</v>
      </c>
      <c r="F209">
        <v>103</v>
      </c>
      <c r="G209" t="s">
        <v>80</v>
      </c>
      <c r="H209" t="s">
        <v>167</v>
      </c>
      <c r="I209" t="s">
        <v>45</v>
      </c>
      <c r="K209">
        <v>202504297934722</v>
      </c>
      <c r="L209">
        <v>1033306986082</v>
      </c>
      <c r="M209">
        <v>20250429</v>
      </c>
      <c r="N209" t="s">
        <v>325</v>
      </c>
      <c r="Q209" t="s">
        <v>47</v>
      </c>
      <c r="R209">
        <v>141200</v>
      </c>
      <c r="S209">
        <v>0</v>
      </c>
      <c r="T209">
        <v>4055669</v>
      </c>
      <c r="U209" t="s">
        <v>326</v>
      </c>
      <c r="V209" t="s">
        <v>327</v>
      </c>
      <c r="W209" t="s">
        <v>187</v>
      </c>
      <c r="Y209" t="s">
        <v>51</v>
      </c>
      <c r="AH209">
        <v>0</v>
      </c>
      <c r="AI209">
        <v>202504</v>
      </c>
      <c r="AJ209" t="s">
        <v>86</v>
      </c>
      <c r="AK209">
        <v>1</v>
      </c>
      <c r="AL209">
        <v>1</v>
      </c>
      <c r="AO209">
        <v>0</v>
      </c>
      <c r="AP209" t="s">
        <v>3015</v>
      </c>
      <c r="AQ209" t="s">
        <v>3044</v>
      </c>
      <c r="AR209" t="s">
        <v>3045</v>
      </c>
      <c r="AS209" t="s">
        <v>3046</v>
      </c>
      <c r="AU209" t="s">
        <v>3046</v>
      </c>
    </row>
    <row r="210" spans="1:47" x14ac:dyDescent="0.35">
      <c r="A210">
        <v>337655</v>
      </c>
      <c r="B210" t="s">
        <v>193</v>
      </c>
      <c r="C210" t="s">
        <v>194</v>
      </c>
      <c r="D210" s="2">
        <v>45777</v>
      </c>
      <c r="E210">
        <v>53850</v>
      </c>
      <c r="F210">
        <v>110</v>
      </c>
      <c r="G210" t="s">
        <v>230</v>
      </c>
      <c r="H210" t="s">
        <v>167</v>
      </c>
      <c r="I210" t="s">
        <v>45</v>
      </c>
      <c r="K210" t="s">
        <v>313</v>
      </c>
      <c r="L210">
        <v>1103300093700</v>
      </c>
      <c r="M210">
        <v>20250429</v>
      </c>
      <c r="N210" t="s">
        <v>195</v>
      </c>
      <c r="Q210" t="s">
        <v>47</v>
      </c>
      <c r="R210">
        <v>32540</v>
      </c>
      <c r="S210">
        <v>32540</v>
      </c>
      <c r="T210">
        <v>4871243</v>
      </c>
      <c r="U210">
        <v>7961820722</v>
      </c>
      <c r="V210" t="s">
        <v>328</v>
      </c>
      <c r="W210" t="s">
        <v>190</v>
      </c>
      <c r="X210" t="s">
        <v>117</v>
      </c>
      <c r="Y210" t="s">
        <v>51</v>
      </c>
      <c r="Z210">
        <v>746</v>
      </c>
      <c r="AH210">
        <v>0</v>
      </c>
      <c r="AI210">
        <v>202504</v>
      </c>
      <c r="AJ210" t="s">
        <v>119</v>
      </c>
      <c r="AK210">
        <v>1</v>
      </c>
      <c r="AL210">
        <v>1</v>
      </c>
      <c r="AM210">
        <v>4871243</v>
      </c>
      <c r="AN210">
        <v>1</v>
      </c>
      <c r="AO210">
        <v>0</v>
      </c>
      <c r="AP210" t="s">
        <v>3015</v>
      </c>
      <c r="AQ210" t="s">
        <v>3047</v>
      </c>
      <c r="AR210" t="s">
        <v>3056</v>
      </c>
      <c r="AT210" t="s">
        <v>3017</v>
      </c>
      <c r="AU210" t="s">
        <v>3057</v>
      </c>
    </row>
    <row r="211" spans="1:47" x14ac:dyDescent="0.35">
      <c r="A211">
        <v>337654</v>
      </c>
      <c r="B211" t="s">
        <v>193</v>
      </c>
      <c r="C211" t="s">
        <v>194</v>
      </c>
      <c r="D211" s="2">
        <v>45777</v>
      </c>
      <c r="E211">
        <v>53850</v>
      </c>
      <c r="F211">
        <v>171</v>
      </c>
      <c r="G211" t="s">
        <v>198</v>
      </c>
      <c r="H211" t="s">
        <v>167</v>
      </c>
      <c r="I211" t="s">
        <v>45</v>
      </c>
      <c r="K211" t="s">
        <v>313</v>
      </c>
      <c r="L211">
        <v>1713305728950</v>
      </c>
      <c r="M211">
        <v>20250429</v>
      </c>
      <c r="N211" t="s">
        <v>195</v>
      </c>
      <c r="Q211" t="s">
        <v>47</v>
      </c>
      <c r="R211">
        <v>143475</v>
      </c>
      <c r="S211">
        <v>143475</v>
      </c>
      <c r="T211">
        <v>572895</v>
      </c>
      <c r="U211">
        <v>4161600723</v>
      </c>
      <c r="V211" t="s">
        <v>199</v>
      </c>
      <c r="W211" t="s">
        <v>49</v>
      </c>
      <c r="X211" t="s">
        <v>200</v>
      </c>
      <c r="Y211" t="s">
        <v>51</v>
      </c>
      <c r="Z211">
        <v>1903</v>
      </c>
      <c r="AH211">
        <v>0</v>
      </c>
      <c r="AI211">
        <v>202504</v>
      </c>
      <c r="AJ211" t="s">
        <v>56</v>
      </c>
      <c r="AK211">
        <v>0</v>
      </c>
      <c r="AL211">
        <v>1</v>
      </c>
      <c r="AM211">
        <v>572895</v>
      </c>
      <c r="AN211">
        <v>1</v>
      </c>
      <c r="AO211">
        <v>0</v>
      </c>
      <c r="AP211" t="s">
        <v>3015</v>
      </c>
      <c r="AQ211" t="s">
        <v>3012</v>
      </c>
      <c r="AR211" t="s">
        <v>3016</v>
      </c>
      <c r="AT211" t="s">
        <v>3017</v>
      </c>
      <c r="AU211" t="s">
        <v>3018</v>
      </c>
    </row>
    <row r="212" spans="1:47" x14ac:dyDescent="0.35">
      <c r="A212">
        <v>337653</v>
      </c>
      <c r="B212" t="s">
        <v>193</v>
      </c>
      <c r="C212" t="s">
        <v>194</v>
      </c>
      <c r="D212" s="2">
        <v>45777</v>
      </c>
      <c r="E212">
        <v>53850</v>
      </c>
      <c r="F212">
        <v>204</v>
      </c>
      <c r="G212" t="s">
        <v>329</v>
      </c>
      <c r="H212" t="s">
        <v>167</v>
      </c>
      <c r="I212" t="s">
        <v>45</v>
      </c>
      <c r="K212" t="s">
        <v>313</v>
      </c>
      <c r="L212">
        <v>2043300011647</v>
      </c>
      <c r="M212">
        <v>20250429</v>
      </c>
      <c r="N212" t="s">
        <v>266</v>
      </c>
      <c r="Q212" t="s">
        <v>47</v>
      </c>
      <c r="R212">
        <v>31990</v>
      </c>
      <c r="S212">
        <v>31990</v>
      </c>
      <c r="T212">
        <v>4635489</v>
      </c>
      <c r="U212">
        <v>2317850697</v>
      </c>
      <c r="V212" t="s">
        <v>330</v>
      </c>
      <c r="W212" t="s">
        <v>190</v>
      </c>
      <c r="X212" t="s">
        <v>131</v>
      </c>
      <c r="Y212" t="s">
        <v>51</v>
      </c>
      <c r="Z212">
        <v>1810</v>
      </c>
      <c r="AH212">
        <v>0</v>
      </c>
      <c r="AI212">
        <v>202504</v>
      </c>
      <c r="AJ212" t="s">
        <v>52</v>
      </c>
      <c r="AK212">
        <v>0</v>
      </c>
      <c r="AL212">
        <v>1</v>
      </c>
      <c r="AO212">
        <v>0</v>
      </c>
      <c r="AP212" t="s">
        <v>3033</v>
      </c>
      <c r="AQ212" t="s">
        <v>3047</v>
      </c>
      <c r="AR212" t="s">
        <v>3048</v>
      </c>
      <c r="AS212" t="s">
        <v>3049</v>
      </c>
      <c r="AU212" t="s">
        <v>3049</v>
      </c>
    </row>
    <row r="213" spans="1:47" x14ac:dyDescent="0.35">
      <c r="A213">
        <v>337652</v>
      </c>
      <c r="B213" t="s">
        <v>172</v>
      </c>
      <c r="C213" t="s">
        <v>173</v>
      </c>
      <c r="D213" s="2">
        <v>45777</v>
      </c>
      <c r="E213">
        <v>53850</v>
      </c>
      <c r="F213">
        <v>157</v>
      </c>
      <c r="G213" t="s">
        <v>201</v>
      </c>
      <c r="H213" t="s">
        <v>167</v>
      </c>
      <c r="I213" t="s">
        <v>45</v>
      </c>
      <c r="K213">
        <v>202504297934960</v>
      </c>
      <c r="L213">
        <v>1573300003602</v>
      </c>
      <c r="M213">
        <v>20250429</v>
      </c>
      <c r="N213" t="s">
        <v>325</v>
      </c>
      <c r="Q213" t="s">
        <v>47</v>
      </c>
      <c r="R213">
        <v>100736.21</v>
      </c>
      <c r="S213">
        <v>0</v>
      </c>
      <c r="T213">
        <v>3723388</v>
      </c>
      <c r="U213">
        <v>3720260714</v>
      </c>
      <c r="V213" t="s">
        <v>331</v>
      </c>
      <c r="W213" t="s">
        <v>332</v>
      </c>
      <c r="Y213" t="s">
        <v>51</v>
      </c>
      <c r="AH213">
        <v>0</v>
      </c>
      <c r="AI213">
        <v>202504</v>
      </c>
      <c r="AJ213" t="s">
        <v>56</v>
      </c>
      <c r="AK213">
        <v>0</v>
      </c>
      <c r="AL213">
        <v>1</v>
      </c>
      <c r="AO213">
        <v>0</v>
      </c>
      <c r="AP213" t="s">
        <v>3015</v>
      </c>
      <c r="AQ213" t="s">
        <v>3058</v>
      </c>
      <c r="AR213" t="s">
        <v>3059</v>
      </c>
      <c r="AS213" t="s">
        <v>3014</v>
      </c>
      <c r="AU213" t="s">
        <v>3014</v>
      </c>
    </row>
    <row r="214" spans="1:47" x14ac:dyDescent="0.35">
      <c r="A214">
        <v>337651</v>
      </c>
      <c r="B214" t="s">
        <v>333</v>
      </c>
      <c r="C214" t="s">
        <v>334</v>
      </c>
      <c r="D214" s="2">
        <v>45777</v>
      </c>
      <c r="E214">
        <v>53850</v>
      </c>
      <c r="F214">
        <v>99</v>
      </c>
      <c r="G214" t="s">
        <v>335</v>
      </c>
      <c r="H214" t="s">
        <v>167</v>
      </c>
      <c r="I214" t="s">
        <v>45</v>
      </c>
      <c r="K214" t="s">
        <v>336</v>
      </c>
      <c r="M214">
        <v>20250429</v>
      </c>
      <c r="N214" t="s">
        <v>3136</v>
      </c>
      <c r="Q214" t="s">
        <v>170</v>
      </c>
      <c r="R214">
        <v>4921.43</v>
      </c>
      <c r="S214">
        <v>0</v>
      </c>
      <c r="T214">
        <v>4130205</v>
      </c>
      <c r="U214" t="s">
        <v>337</v>
      </c>
      <c r="V214" t="s">
        <v>338</v>
      </c>
      <c r="W214" t="s">
        <v>187</v>
      </c>
      <c r="Y214" t="s">
        <v>51</v>
      </c>
      <c r="Z214">
        <v>826</v>
      </c>
      <c r="AH214">
        <v>0</v>
      </c>
      <c r="AI214">
        <v>202504</v>
      </c>
      <c r="AJ214" t="s">
        <v>86</v>
      </c>
      <c r="AK214">
        <v>1</v>
      </c>
      <c r="AL214">
        <v>0</v>
      </c>
      <c r="AO214">
        <v>1</v>
      </c>
      <c r="AP214" t="s">
        <v>3015</v>
      </c>
      <c r="AQ214" t="s">
        <v>3044</v>
      </c>
      <c r="AR214" t="s">
        <v>3045</v>
      </c>
      <c r="AS214" t="s">
        <v>3046</v>
      </c>
      <c r="AU214" t="s">
        <v>3046</v>
      </c>
    </row>
    <row r="215" spans="1:47" x14ac:dyDescent="0.35">
      <c r="A215">
        <v>337650</v>
      </c>
      <c r="B215" t="s">
        <v>214</v>
      </c>
      <c r="C215" t="s">
        <v>215</v>
      </c>
      <c r="D215" s="2">
        <v>45777</v>
      </c>
      <c r="E215">
        <v>53850</v>
      </c>
      <c r="F215">
        <v>148</v>
      </c>
      <c r="G215" t="s">
        <v>78</v>
      </c>
      <c r="H215" t="s">
        <v>167</v>
      </c>
      <c r="I215" t="s">
        <v>45</v>
      </c>
      <c r="K215">
        <v>202504297933922</v>
      </c>
      <c r="L215">
        <v>1483309514127</v>
      </c>
      <c r="M215">
        <v>20250429</v>
      </c>
      <c r="N215" t="s">
        <v>168</v>
      </c>
      <c r="P215" t="s">
        <v>339</v>
      </c>
      <c r="Q215" t="s">
        <v>47</v>
      </c>
      <c r="R215">
        <v>19600</v>
      </c>
      <c r="S215">
        <v>0</v>
      </c>
      <c r="T215">
        <v>3600630</v>
      </c>
      <c r="U215" t="s">
        <v>340</v>
      </c>
      <c r="V215" t="s">
        <v>341</v>
      </c>
      <c r="W215" t="s">
        <v>342</v>
      </c>
      <c r="X215" t="s">
        <v>343</v>
      </c>
      <c r="Y215" t="s">
        <v>51</v>
      </c>
      <c r="Z215">
        <v>1063</v>
      </c>
      <c r="AH215">
        <v>0</v>
      </c>
      <c r="AI215">
        <v>202504</v>
      </c>
      <c r="AJ215" t="s">
        <v>56</v>
      </c>
      <c r="AK215">
        <v>0</v>
      </c>
      <c r="AL215">
        <v>1</v>
      </c>
      <c r="AO215">
        <v>0</v>
      </c>
      <c r="AP215" t="s">
        <v>3015</v>
      </c>
      <c r="AQ215" t="s">
        <v>3060</v>
      </c>
      <c r="AR215" t="s">
        <v>3061</v>
      </c>
      <c r="AT215" t="s">
        <v>3017</v>
      </c>
      <c r="AU215" t="s">
        <v>3014</v>
      </c>
    </row>
    <row r="216" spans="1:47" x14ac:dyDescent="0.35">
      <c r="A216">
        <v>337649</v>
      </c>
      <c r="B216" t="s">
        <v>178</v>
      </c>
      <c r="C216" t="s">
        <v>179</v>
      </c>
      <c r="D216" s="2">
        <v>45777</v>
      </c>
      <c r="E216">
        <v>53850</v>
      </c>
      <c r="F216">
        <v>132</v>
      </c>
      <c r="G216" t="s">
        <v>92</v>
      </c>
      <c r="H216" t="s">
        <v>167</v>
      </c>
      <c r="I216" t="s">
        <v>45</v>
      </c>
      <c r="K216">
        <v>202504297934869</v>
      </c>
      <c r="L216">
        <v>1323300001832</v>
      </c>
      <c r="M216">
        <v>20250429</v>
      </c>
      <c r="N216" t="s">
        <v>344</v>
      </c>
      <c r="Q216" t="s">
        <v>170</v>
      </c>
      <c r="R216">
        <v>241080.41</v>
      </c>
      <c r="S216">
        <v>0</v>
      </c>
      <c r="T216">
        <v>4739352</v>
      </c>
      <c r="U216" t="s">
        <v>345</v>
      </c>
      <c r="V216" t="s">
        <v>346</v>
      </c>
      <c r="W216" t="s">
        <v>187</v>
      </c>
      <c r="Y216" t="s">
        <v>51</v>
      </c>
      <c r="Z216">
        <v>1959</v>
      </c>
      <c r="AH216">
        <v>0</v>
      </c>
      <c r="AI216">
        <v>202504</v>
      </c>
      <c r="AJ216" t="s">
        <v>119</v>
      </c>
      <c r="AK216">
        <v>1</v>
      </c>
      <c r="AL216">
        <v>1</v>
      </c>
      <c r="AO216">
        <v>0</v>
      </c>
      <c r="AP216" t="s">
        <v>3015</v>
      </c>
      <c r="AQ216" t="s">
        <v>3044</v>
      </c>
      <c r="AR216" t="s">
        <v>3045</v>
      </c>
      <c r="AS216" t="s">
        <v>3046</v>
      </c>
      <c r="AU216" t="s">
        <v>3046</v>
      </c>
    </row>
    <row r="217" spans="1:47" x14ac:dyDescent="0.35">
      <c r="A217">
        <v>337648</v>
      </c>
      <c r="B217" t="s">
        <v>193</v>
      </c>
      <c r="C217" t="s">
        <v>194</v>
      </c>
      <c r="D217" s="2">
        <v>45777</v>
      </c>
      <c r="E217">
        <v>53850</v>
      </c>
      <c r="F217">
        <v>114</v>
      </c>
      <c r="G217" t="s">
        <v>188</v>
      </c>
      <c r="H217" t="s">
        <v>167</v>
      </c>
      <c r="I217" t="s">
        <v>45</v>
      </c>
      <c r="K217">
        <v>202504297934801</v>
      </c>
      <c r="L217">
        <v>1143306280621</v>
      </c>
      <c r="M217">
        <v>20250429</v>
      </c>
      <c r="N217" t="s">
        <v>266</v>
      </c>
      <c r="Q217" t="s">
        <v>47</v>
      </c>
      <c r="R217">
        <v>55650</v>
      </c>
      <c r="S217">
        <v>55650</v>
      </c>
      <c r="T217">
        <v>4658875</v>
      </c>
      <c r="U217">
        <v>3230890711</v>
      </c>
      <c r="V217" t="s">
        <v>189</v>
      </c>
      <c r="W217" t="s">
        <v>190</v>
      </c>
      <c r="X217" t="s">
        <v>131</v>
      </c>
      <c r="Y217" t="s">
        <v>51</v>
      </c>
      <c r="Z217">
        <v>870</v>
      </c>
      <c r="AH217">
        <v>0</v>
      </c>
      <c r="AI217">
        <v>202504</v>
      </c>
      <c r="AJ217" t="s">
        <v>56</v>
      </c>
      <c r="AK217">
        <v>0</v>
      </c>
      <c r="AL217">
        <v>1</v>
      </c>
      <c r="AM217">
        <v>4658875</v>
      </c>
      <c r="AN217">
        <v>1</v>
      </c>
      <c r="AO217">
        <v>0</v>
      </c>
      <c r="AP217" t="s">
        <v>3033</v>
      </c>
      <c r="AQ217" t="s">
        <v>3047</v>
      </c>
      <c r="AR217" t="s">
        <v>3048</v>
      </c>
      <c r="AS217" t="s">
        <v>3049</v>
      </c>
      <c r="AU217" t="s">
        <v>3049</v>
      </c>
    </row>
    <row r="218" spans="1:47" x14ac:dyDescent="0.35">
      <c r="A218">
        <v>337647</v>
      </c>
      <c r="B218" t="s">
        <v>172</v>
      </c>
      <c r="C218" t="s">
        <v>173</v>
      </c>
      <c r="D218" s="2">
        <v>45777</v>
      </c>
      <c r="E218">
        <v>53850</v>
      </c>
      <c r="F218">
        <v>103</v>
      </c>
      <c r="G218" t="s">
        <v>80</v>
      </c>
      <c r="H218" t="s">
        <v>167</v>
      </c>
      <c r="I218" t="s">
        <v>45</v>
      </c>
      <c r="K218">
        <v>202504297934722</v>
      </c>
      <c r="L218">
        <v>1033306986082</v>
      </c>
      <c r="M218">
        <v>20250429</v>
      </c>
      <c r="N218" t="s">
        <v>325</v>
      </c>
      <c r="Q218" t="s">
        <v>47</v>
      </c>
      <c r="R218">
        <v>141200</v>
      </c>
      <c r="S218">
        <v>0</v>
      </c>
      <c r="T218">
        <v>87603</v>
      </c>
      <c r="U218" t="s">
        <v>347</v>
      </c>
      <c r="V218" t="s">
        <v>348</v>
      </c>
      <c r="W218" t="s">
        <v>187</v>
      </c>
      <c r="Y218" t="s">
        <v>51</v>
      </c>
      <c r="Z218">
        <v>1657</v>
      </c>
      <c r="AH218">
        <v>0</v>
      </c>
      <c r="AI218">
        <v>202504</v>
      </c>
      <c r="AJ218" t="s">
        <v>86</v>
      </c>
      <c r="AK218">
        <v>1</v>
      </c>
      <c r="AL218">
        <v>1</v>
      </c>
      <c r="AO218">
        <v>0</v>
      </c>
      <c r="AP218" t="s">
        <v>3015</v>
      </c>
      <c r="AQ218" t="s">
        <v>3044</v>
      </c>
      <c r="AR218" t="s">
        <v>3045</v>
      </c>
      <c r="AS218" t="s">
        <v>3046</v>
      </c>
      <c r="AU218" t="s">
        <v>3046</v>
      </c>
    </row>
    <row r="219" spans="1:47" x14ac:dyDescent="0.35">
      <c r="A219">
        <v>337646</v>
      </c>
      <c r="B219" t="s">
        <v>178</v>
      </c>
      <c r="C219" t="s">
        <v>179</v>
      </c>
      <c r="D219" s="2">
        <v>45777</v>
      </c>
      <c r="E219">
        <v>53850</v>
      </c>
      <c r="F219">
        <v>267</v>
      </c>
      <c r="G219" t="s">
        <v>349</v>
      </c>
      <c r="H219" t="s">
        <v>167</v>
      </c>
      <c r="I219" t="s">
        <v>45</v>
      </c>
      <c r="K219" t="s">
        <v>350</v>
      </c>
      <c r="L219">
        <v>2673300000887</v>
      </c>
      <c r="M219">
        <v>20250429</v>
      </c>
      <c r="N219" t="s">
        <v>3136</v>
      </c>
      <c r="Q219" t="s">
        <v>170</v>
      </c>
      <c r="R219">
        <v>2186.4499999999998</v>
      </c>
      <c r="S219">
        <v>0</v>
      </c>
      <c r="T219">
        <v>1642509</v>
      </c>
      <c r="U219" t="s">
        <v>351</v>
      </c>
      <c r="V219" t="s">
        <v>352</v>
      </c>
      <c r="W219" t="s">
        <v>187</v>
      </c>
      <c r="Y219" t="s">
        <v>51</v>
      </c>
      <c r="AH219">
        <v>0</v>
      </c>
      <c r="AI219">
        <v>202504</v>
      </c>
      <c r="AJ219" t="s">
        <v>86</v>
      </c>
      <c r="AK219">
        <v>1</v>
      </c>
      <c r="AL219">
        <v>1</v>
      </c>
      <c r="AO219">
        <v>1</v>
      </c>
      <c r="AP219" t="s">
        <v>3015</v>
      </c>
      <c r="AQ219" t="s">
        <v>3044</v>
      </c>
      <c r="AR219" t="s">
        <v>3045</v>
      </c>
      <c r="AS219" t="s">
        <v>3046</v>
      </c>
      <c r="AU219" t="s">
        <v>3046</v>
      </c>
    </row>
    <row r="220" spans="1:47" x14ac:dyDescent="0.35">
      <c r="A220">
        <v>337645</v>
      </c>
      <c r="B220" t="s">
        <v>353</v>
      </c>
      <c r="C220" t="s">
        <v>354</v>
      </c>
      <c r="D220" s="2">
        <v>45777</v>
      </c>
      <c r="E220">
        <v>53850</v>
      </c>
      <c r="F220">
        <v>140</v>
      </c>
      <c r="G220" t="s">
        <v>322</v>
      </c>
      <c r="H220" t="s">
        <v>167</v>
      </c>
      <c r="I220" t="s">
        <v>45</v>
      </c>
      <c r="K220">
        <v>202504297934892</v>
      </c>
      <c r="L220">
        <v>1403300004431</v>
      </c>
      <c r="M220">
        <v>20250429</v>
      </c>
      <c r="N220" t="s">
        <v>168</v>
      </c>
      <c r="P220" t="s">
        <v>217</v>
      </c>
      <c r="Q220" t="s">
        <v>170</v>
      </c>
      <c r="R220">
        <v>19000</v>
      </c>
      <c r="S220">
        <v>0</v>
      </c>
      <c r="T220">
        <v>3737491</v>
      </c>
      <c r="U220">
        <v>10184280963</v>
      </c>
      <c r="V220" t="s">
        <v>323</v>
      </c>
      <c r="W220" t="s">
        <v>49</v>
      </c>
      <c r="X220" t="s">
        <v>324</v>
      </c>
      <c r="Y220" t="s">
        <v>51</v>
      </c>
      <c r="Z220">
        <v>1403</v>
      </c>
      <c r="AH220">
        <v>0</v>
      </c>
      <c r="AI220">
        <v>202504</v>
      </c>
      <c r="AJ220" t="s">
        <v>52</v>
      </c>
      <c r="AK220">
        <v>0</v>
      </c>
      <c r="AL220">
        <v>1</v>
      </c>
      <c r="AO220">
        <v>0</v>
      </c>
      <c r="AP220" t="s">
        <v>3015</v>
      </c>
      <c r="AQ220" t="s">
        <v>3012</v>
      </c>
      <c r="AR220" t="s">
        <v>3016</v>
      </c>
      <c r="AT220" t="s">
        <v>3017</v>
      </c>
      <c r="AU220" t="s">
        <v>3018</v>
      </c>
    </row>
    <row r="221" spans="1:47" x14ac:dyDescent="0.35">
      <c r="A221">
        <v>337644</v>
      </c>
      <c r="B221" t="s">
        <v>178</v>
      </c>
      <c r="C221" t="s">
        <v>179</v>
      </c>
      <c r="D221" s="2">
        <v>45777</v>
      </c>
      <c r="E221">
        <v>53850</v>
      </c>
      <c r="F221">
        <v>103</v>
      </c>
      <c r="G221" t="s">
        <v>80</v>
      </c>
      <c r="H221" t="s">
        <v>167</v>
      </c>
      <c r="I221" t="s">
        <v>45</v>
      </c>
      <c r="K221">
        <v>202504297934709</v>
      </c>
      <c r="L221">
        <v>1033306986058</v>
      </c>
      <c r="M221">
        <v>20250429</v>
      </c>
      <c r="N221" t="s">
        <v>236</v>
      </c>
      <c r="P221" t="s">
        <v>51</v>
      </c>
      <c r="Q221" t="s">
        <v>170</v>
      </c>
      <c r="R221">
        <v>220000</v>
      </c>
      <c r="S221">
        <v>0</v>
      </c>
      <c r="T221">
        <v>3741825</v>
      </c>
      <c r="U221" t="s">
        <v>355</v>
      </c>
      <c r="V221" t="s">
        <v>356</v>
      </c>
      <c r="W221" t="s">
        <v>187</v>
      </c>
      <c r="Y221" t="s">
        <v>51</v>
      </c>
      <c r="Z221">
        <v>1224</v>
      </c>
      <c r="AH221">
        <v>0</v>
      </c>
      <c r="AI221">
        <v>202504</v>
      </c>
      <c r="AJ221" t="s">
        <v>86</v>
      </c>
      <c r="AK221">
        <v>1</v>
      </c>
      <c r="AL221">
        <v>1</v>
      </c>
      <c r="AO221">
        <v>0</v>
      </c>
      <c r="AP221" t="s">
        <v>3015</v>
      </c>
      <c r="AQ221" t="s">
        <v>3044</v>
      </c>
      <c r="AR221" t="s">
        <v>3045</v>
      </c>
      <c r="AS221" t="s">
        <v>3046</v>
      </c>
      <c r="AU221" t="s">
        <v>3046</v>
      </c>
    </row>
    <row r="222" spans="1:47" x14ac:dyDescent="0.35">
      <c r="A222">
        <v>337643</v>
      </c>
      <c r="B222" t="s">
        <v>178</v>
      </c>
      <c r="C222" t="s">
        <v>179</v>
      </c>
      <c r="D222" s="2">
        <v>45777</v>
      </c>
      <c r="E222">
        <v>53850</v>
      </c>
      <c r="F222">
        <v>103</v>
      </c>
      <c r="G222" t="s">
        <v>80</v>
      </c>
      <c r="H222" t="s">
        <v>167</v>
      </c>
      <c r="I222" t="s">
        <v>45</v>
      </c>
      <c r="K222">
        <v>202504297934164</v>
      </c>
      <c r="L222">
        <v>1033300209630</v>
      </c>
      <c r="M222">
        <v>20250429</v>
      </c>
      <c r="N222" t="s">
        <v>258</v>
      </c>
      <c r="Q222" t="s">
        <v>170</v>
      </c>
      <c r="R222">
        <v>300000</v>
      </c>
      <c r="S222">
        <v>0</v>
      </c>
      <c r="T222">
        <v>20963</v>
      </c>
      <c r="U222" t="s">
        <v>357</v>
      </c>
      <c r="V222" t="s">
        <v>358</v>
      </c>
      <c r="W222" t="s">
        <v>187</v>
      </c>
      <c r="Y222" t="s">
        <v>51</v>
      </c>
      <c r="AH222">
        <v>0</v>
      </c>
      <c r="AI222">
        <v>202504</v>
      </c>
      <c r="AJ222" t="s">
        <v>86</v>
      </c>
      <c r="AK222">
        <v>1</v>
      </c>
      <c r="AL222">
        <v>1</v>
      </c>
      <c r="AO222">
        <v>0</v>
      </c>
      <c r="AP222" t="s">
        <v>3015</v>
      </c>
      <c r="AQ222" t="s">
        <v>3044</v>
      </c>
      <c r="AR222" t="s">
        <v>3045</v>
      </c>
      <c r="AS222" t="s">
        <v>3046</v>
      </c>
      <c r="AU222" t="s">
        <v>3046</v>
      </c>
    </row>
    <row r="223" spans="1:47" x14ac:dyDescent="0.35">
      <c r="A223">
        <v>337642</v>
      </c>
      <c r="B223" t="s">
        <v>172</v>
      </c>
      <c r="C223" t="s">
        <v>173</v>
      </c>
      <c r="D223" s="2">
        <v>45777</v>
      </c>
      <c r="E223">
        <v>53850</v>
      </c>
      <c r="F223">
        <v>103</v>
      </c>
      <c r="G223" t="s">
        <v>80</v>
      </c>
      <c r="H223" t="s">
        <v>167</v>
      </c>
      <c r="I223" t="s">
        <v>45</v>
      </c>
      <c r="K223">
        <v>202504297934722</v>
      </c>
      <c r="L223">
        <v>1033306986082</v>
      </c>
      <c r="M223">
        <v>20250429</v>
      </c>
      <c r="N223" t="s">
        <v>325</v>
      </c>
      <c r="Q223" t="s">
        <v>47</v>
      </c>
      <c r="R223">
        <v>141200</v>
      </c>
      <c r="S223">
        <v>0</v>
      </c>
      <c r="T223">
        <v>557564</v>
      </c>
      <c r="U223" t="s">
        <v>359</v>
      </c>
      <c r="V223" t="s">
        <v>360</v>
      </c>
      <c r="W223" t="s">
        <v>187</v>
      </c>
      <c r="Y223" t="s">
        <v>51</v>
      </c>
      <c r="Z223">
        <v>515</v>
      </c>
      <c r="AH223">
        <v>0</v>
      </c>
      <c r="AI223">
        <v>202504</v>
      </c>
      <c r="AJ223" t="s">
        <v>86</v>
      </c>
      <c r="AK223">
        <v>1</v>
      </c>
      <c r="AL223">
        <v>1</v>
      </c>
      <c r="AO223">
        <v>0</v>
      </c>
      <c r="AP223" t="s">
        <v>3015</v>
      </c>
      <c r="AQ223" t="s">
        <v>3044</v>
      </c>
      <c r="AR223" t="s">
        <v>3045</v>
      </c>
      <c r="AS223" t="s">
        <v>3046</v>
      </c>
      <c r="AU223" t="s">
        <v>3046</v>
      </c>
    </row>
    <row r="224" spans="1:47" x14ac:dyDescent="0.35">
      <c r="A224">
        <v>337641</v>
      </c>
      <c r="B224" t="s">
        <v>178</v>
      </c>
      <c r="C224" t="s">
        <v>179</v>
      </c>
      <c r="D224" s="2">
        <v>45777</v>
      </c>
      <c r="E224">
        <v>53850</v>
      </c>
      <c r="F224">
        <v>259</v>
      </c>
      <c r="G224" t="s">
        <v>361</v>
      </c>
      <c r="H224" t="s">
        <v>167</v>
      </c>
      <c r="I224" t="s">
        <v>45</v>
      </c>
      <c r="K224">
        <v>202504297933563</v>
      </c>
      <c r="L224">
        <v>2593300001020</v>
      </c>
      <c r="M224">
        <v>20250429</v>
      </c>
      <c r="N224" t="s">
        <v>46</v>
      </c>
      <c r="P224" t="s">
        <v>51</v>
      </c>
      <c r="Q224" t="s">
        <v>47</v>
      </c>
      <c r="R224">
        <v>700000</v>
      </c>
      <c r="S224">
        <v>0</v>
      </c>
      <c r="T224">
        <v>4983845</v>
      </c>
      <c r="U224">
        <v>8480620726</v>
      </c>
      <c r="V224" t="s">
        <v>362</v>
      </c>
      <c r="W224" t="s">
        <v>49</v>
      </c>
      <c r="X224" t="s">
        <v>50</v>
      </c>
      <c r="Y224" t="s">
        <v>51</v>
      </c>
      <c r="Z224">
        <v>1058</v>
      </c>
      <c r="AH224">
        <v>0</v>
      </c>
      <c r="AI224">
        <v>202504</v>
      </c>
      <c r="AJ224" t="s">
        <v>52</v>
      </c>
      <c r="AK224">
        <v>0</v>
      </c>
      <c r="AL224">
        <v>1</v>
      </c>
      <c r="AO224">
        <v>0</v>
      </c>
      <c r="AP224" t="s">
        <v>3011</v>
      </c>
      <c r="AQ224" t="s">
        <v>3012</v>
      </c>
      <c r="AR224" t="s">
        <v>3013</v>
      </c>
      <c r="AS224" t="s">
        <v>3014</v>
      </c>
      <c r="AU224" t="s">
        <v>3014</v>
      </c>
    </row>
    <row r="225" spans="1:47" x14ac:dyDescent="0.35">
      <c r="A225">
        <v>337640</v>
      </c>
      <c r="B225" t="s">
        <v>172</v>
      </c>
      <c r="C225" t="s">
        <v>173</v>
      </c>
      <c r="D225" s="2">
        <v>45777</v>
      </c>
      <c r="E225">
        <v>53850</v>
      </c>
      <c r="F225">
        <v>171</v>
      </c>
      <c r="G225" t="s">
        <v>198</v>
      </c>
      <c r="H225" t="s">
        <v>167</v>
      </c>
      <c r="I225" t="s">
        <v>45</v>
      </c>
      <c r="K225" t="s">
        <v>313</v>
      </c>
      <c r="L225">
        <v>1713305728950</v>
      </c>
      <c r="M225">
        <v>20250429</v>
      </c>
      <c r="N225" t="s">
        <v>195</v>
      </c>
      <c r="Q225" t="s">
        <v>47</v>
      </c>
      <c r="R225">
        <v>143475</v>
      </c>
      <c r="S225">
        <v>143475</v>
      </c>
      <c r="T225">
        <v>572895</v>
      </c>
      <c r="U225">
        <v>4161600723</v>
      </c>
      <c r="V225" t="s">
        <v>199</v>
      </c>
      <c r="W225" t="s">
        <v>49</v>
      </c>
      <c r="X225" t="s">
        <v>200</v>
      </c>
      <c r="Y225" t="s">
        <v>51</v>
      </c>
      <c r="Z225">
        <v>1903</v>
      </c>
      <c r="AH225">
        <v>0</v>
      </c>
      <c r="AI225">
        <v>202504</v>
      </c>
      <c r="AJ225" t="s">
        <v>56</v>
      </c>
      <c r="AK225">
        <v>0</v>
      </c>
      <c r="AL225">
        <v>1</v>
      </c>
      <c r="AM225">
        <v>572895</v>
      </c>
      <c r="AN225">
        <v>1</v>
      </c>
      <c r="AO225">
        <v>0</v>
      </c>
      <c r="AP225" t="s">
        <v>3015</v>
      </c>
      <c r="AQ225" t="s">
        <v>3012</v>
      </c>
      <c r="AR225" t="s">
        <v>3016</v>
      </c>
      <c r="AT225" t="s">
        <v>3017</v>
      </c>
      <c r="AU225" t="s">
        <v>3018</v>
      </c>
    </row>
    <row r="226" spans="1:47" x14ac:dyDescent="0.35">
      <c r="A226">
        <v>337639</v>
      </c>
      <c r="B226" t="s">
        <v>172</v>
      </c>
      <c r="C226" t="s">
        <v>173</v>
      </c>
      <c r="D226" s="2">
        <v>45777</v>
      </c>
      <c r="E226">
        <v>53850</v>
      </c>
      <c r="F226">
        <v>175</v>
      </c>
      <c r="G226" t="s">
        <v>99</v>
      </c>
      <c r="H226" t="s">
        <v>167</v>
      </c>
      <c r="I226" t="s">
        <v>45</v>
      </c>
      <c r="K226">
        <v>202504297935046</v>
      </c>
      <c r="L226">
        <v>1753302203350</v>
      </c>
      <c r="M226">
        <v>20250429</v>
      </c>
      <c r="N226" t="s">
        <v>231</v>
      </c>
      <c r="Q226" t="s">
        <v>47</v>
      </c>
      <c r="R226">
        <v>111000</v>
      </c>
      <c r="S226">
        <v>0</v>
      </c>
      <c r="T226">
        <v>4844007</v>
      </c>
      <c r="U226">
        <v>1296320771</v>
      </c>
      <c r="V226" t="s">
        <v>363</v>
      </c>
      <c r="W226" t="s">
        <v>49</v>
      </c>
      <c r="X226" t="s">
        <v>364</v>
      </c>
      <c r="Y226" t="s">
        <v>51</v>
      </c>
      <c r="Z226">
        <v>936</v>
      </c>
      <c r="AH226">
        <v>0</v>
      </c>
      <c r="AI226">
        <v>202504</v>
      </c>
      <c r="AJ226" t="s">
        <v>86</v>
      </c>
      <c r="AK226">
        <v>1</v>
      </c>
      <c r="AL226">
        <v>1</v>
      </c>
      <c r="AO226">
        <v>0</v>
      </c>
      <c r="AP226" t="s">
        <v>3062</v>
      </c>
      <c r="AQ226" t="s">
        <v>3012</v>
      </c>
      <c r="AR226" t="s">
        <v>3063</v>
      </c>
      <c r="AS226" t="s">
        <v>3014</v>
      </c>
      <c r="AU226" t="s">
        <v>3014</v>
      </c>
    </row>
    <row r="227" spans="1:47" x14ac:dyDescent="0.35">
      <c r="A227">
        <v>337638</v>
      </c>
      <c r="B227" t="s">
        <v>193</v>
      </c>
      <c r="C227" t="s">
        <v>194</v>
      </c>
      <c r="D227" s="2">
        <v>45777</v>
      </c>
      <c r="E227">
        <v>53850</v>
      </c>
      <c r="F227">
        <v>116</v>
      </c>
      <c r="G227" t="s">
        <v>126</v>
      </c>
      <c r="H227" t="s">
        <v>167</v>
      </c>
      <c r="I227" t="s">
        <v>45</v>
      </c>
      <c r="K227">
        <v>202504297934570</v>
      </c>
      <c r="L227">
        <v>2343300010453</v>
      </c>
      <c r="M227">
        <v>20250429</v>
      </c>
      <c r="N227" t="s">
        <v>195</v>
      </c>
      <c r="Q227" t="s">
        <v>47</v>
      </c>
      <c r="R227">
        <v>57437</v>
      </c>
      <c r="S227">
        <v>57437</v>
      </c>
      <c r="T227">
        <v>4247777</v>
      </c>
      <c r="U227">
        <v>233470236</v>
      </c>
      <c r="V227" t="s">
        <v>206</v>
      </c>
      <c r="W227" t="s">
        <v>49</v>
      </c>
      <c r="X227" t="s">
        <v>117</v>
      </c>
      <c r="Y227" t="s">
        <v>51</v>
      </c>
      <c r="Z227">
        <v>1696</v>
      </c>
      <c r="AH227">
        <v>0</v>
      </c>
      <c r="AI227">
        <v>202504</v>
      </c>
      <c r="AJ227" t="s">
        <v>114</v>
      </c>
      <c r="AK227">
        <v>1</v>
      </c>
      <c r="AL227">
        <v>1</v>
      </c>
      <c r="AM227">
        <v>4247777</v>
      </c>
      <c r="AN227">
        <v>1</v>
      </c>
      <c r="AO227">
        <v>0</v>
      </c>
      <c r="AP227" t="s">
        <v>3029</v>
      </c>
      <c r="AQ227" t="s">
        <v>3012</v>
      </c>
      <c r="AR227" t="s">
        <v>3030</v>
      </c>
      <c r="AS227" t="s">
        <v>3014</v>
      </c>
      <c r="AU227" t="s">
        <v>3014</v>
      </c>
    </row>
    <row r="228" spans="1:47" x14ac:dyDescent="0.35">
      <c r="A228">
        <v>337637</v>
      </c>
      <c r="B228" t="s">
        <v>178</v>
      </c>
      <c r="C228" t="s">
        <v>179</v>
      </c>
      <c r="D228" s="2">
        <v>45777</v>
      </c>
      <c r="E228">
        <v>53850</v>
      </c>
      <c r="F228">
        <v>102</v>
      </c>
      <c r="G228" t="s">
        <v>151</v>
      </c>
      <c r="H228" t="s">
        <v>167</v>
      </c>
      <c r="I228" t="s">
        <v>45</v>
      </c>
      <c r="K228">
        <v>202504297933562</v>
      </c>
      <c r="L228">
        <v>1503300003188</v>
      </c>
      <c r="M228">
        <v>20250429</v>
      </c>
      <c r="N228" t="s">
        <v>46</v>
      </c>
      <c r="P228" t="s">
        <v>51</v>
      </c>
      <c r="Q228" t="s">
        <v>47</v>
      </c>
      <c r="R228">
        <v>15106000</v>
      </c>
      <c r="S228">
        <v>0</v>
      </c>
      <c r="T228">
        <v>4269640</v>
      </c>
      <c r="U228">
        <v>4797080969</v>
      </c>
      <c r="V228" t="s">
        <v>152</v>
      </c>
      <c r="W228" t="s">
        <v>153</v>
      </c>
      <c r="X228" t="s">
        <v>210</v>
      </c>
      <c r="Y228" t="s">
        <v>51</v>
      </c>
      <c r="Z228">
        <v>1926</v>
      </c>
      <c r="AH228">
        <v>0</v>
      </c>
      <c r="AI228">
        <v>202504</v>
      </c>
      <c r="AJ228" t="s">
        <v>52</v>
      </c>
      <c r="AK228">
        <v>0</v>
      </c>
      <c r="AL228">
        <v>1</v>
      </c>
      <c r="AO228">
        <v>0</v>
      </c>
      <c r="AP228" t="s">
        <v>3015</v>
      </c>
      <c r="AQ228" t="s">
        <v>3035</v>
      </c>
      <c r="AR228" t="s">
        <v>3036</v>
      </c>
      <c r="AT228" t="s">
        <v>3017</v>
      </c>
      <c r="AU228" t="s">
        <v>3037</v>
      </c>
    </row>
    <row r="229" spans="1:47" x14ac:dyDescent="0.35">
      <c r="A229">
        <v>337636</v>
      </c>
      <c r="B229" t="s">
        <v>193</v>
      </c>
      <c r="C229" t="s">
        <v>194</v>
      </c>
      <c r="D229" s="2">
        <v>45777</v>
      </c>
      <c r="E229">
        <v>53850</v>
      </c>
      <c r="F229">
        <v>102</v>
      </c>
      <c r="G229" t="s">
        <v>151</v>
      </c>
      <c r="H229" t="s">
        <v>167</v>
      </c>
      <c r="I229" t="s">
        <v>45</v>
      </c>
      <c r="K229" t="s">
        <v>313</v>
      </c>
      <c r="L229">
        <v>1023308722503</v>
      </c>
      <c r="M229">
        <v>20250429</v>
      </c>
      <c r="N229" t="s">
        <v>195</v>
      </c>
      <c r="Q229" t="s">
        <v>47</v>
      </c>
      <c r="R229">
        <v>47040</v>
      </c>
      <c r="S229">
        <v>47040</v>
      </c>
      <c r="T229">
        <v>413650</v>
      </c>
      <c r="U229">
        <v>3657230722</v>
      </c>
      <c r="V229" t="s">
        <v>196</v>
      </c>
      <c r="W229" t="s">
        <v>190</v>
      </c>
      <c r="X229" t="s">
        <v>197</v>
      </c>
      <c r="Y229" t="s">
        <v>51</v>
      </c>
      <c r="Z229">
        <v>1306</v>
      </c>
      <c r="AH229">
        <v>0</v>
      </c>
      <c r="AI229">
        <v>202504</v>
      </c>
      <c r="AJ229" t="s">
        <v>56</v>
      </c>
      <c r="AK229">
        <v>0</v>
      </c>
      <c r="AL229">
        <v>1</v>
      </c>
      <c r="AM229">
        <v>413650</v>
      </c>
      <c r="AN229">
        <v>1</v>
      </c>
      <c r="AO229">
        <v>0</v>
      </c>
      <c r="AP229" t="s">
        <v>3050</v>
      </c>
      <c r="AQ229" t="s">
        <v>3047</v>
      </c>
      <c r="AR229" t="s">
        <v>3051</v>
      </c>
      <c r="AS229" t="s">
        <v>3049</v>
      </c>
      <c r="AU229" t="s">
        <v>3049</v>
      </c>
    </row>
    <row r="230" spans="1:47" x14ac:dyDescent="0.35">
      <c r="A230">
        <v>337635</v>
      </c>
      <c r="B230" t="s">
        <v>164</v>
      </c>
      <c r="C230" t="s">
        <v>165</v>
      </c>
      <c r="D230" s="2">
        <v>45777</v>
      </c>
      <c r="E230">
        <v>53850</v>
      </c>
      <c r="F230">
        <v>121</v>
      </c>
      <c r="G230" t="s">
        <v>140</v>
      </c>
      <c r="H230" t="s">
        <v>167</v>
      </c>
      <c r="I230" t="s">
        <v>45</v>
      </c>
      <c r="K230" t="s">
        <v>365</v>
      </c>
      <c r="L230">
        <v>1213300010474</v>
      </c>
      <c r="M230">
        <v>20250429</v>
      </c>
      <c r="N230" t="s">
        <v>168</v>
      </c>
      <c r="P230" t="s">
        <v>203</v>
      </c>
      <c r="Q230" t="s">
        <v>47</v>
      </c>
      <c r="R230">
        <v>3052.3</v>
      </c>
      <c r="S230">
        <v>0</v>
      </c>
      <c r="T230">
        <v>4797139</v>
      </c>
      <c r="U230" t="s">
        <v>366</v>
      </c>
      <c r="V230" t="s">
        <v>367</v>
      </c>
      <c r="W230" t="s">
        <v>187</v>
      </c>
      <c r="Y230" t="s">
        <v>51</v>
      </c>
      <c r="Z230">
        <v>964</v>
      </c>
      <c r="AH230">
        <v>0</v>
      </c>
      <c r="AI230">
        <v>202504</v>
      </c>
      <c r="AJ230" t="s">
        <v>52</v>
      </c>
      <c r="AK230">
        <v>0</v>
      </c>
      <c r="AL230">
        <v>1</v>
      </c>
      <c r="AO230">
        <v>0</v>
      </c>
      <c r="AP230" t="s">
        <v>3015</v>
      </c>
      <c r="AQ230" t="s">
        <v>3044</v>
      </c>
      <c r="AR230" t="s">
        <v>3045</v>
      </c>
      <c r="AS230" t="s">
        <v>3046</v>
      </c>
      <c r="AU230" t="s">
        <v>3046</v>
      </c>
    </row>
    <row r="231" spans="1:47" x14ac:dyDescent="0.35">
      <c r="A231">
        <v>337634</v>
      </c>
      <c r="B231" t="s">
        <v>178</v>
      </c>
      <c r="C231" t="s">
        <v>179</v>
      </c>
      <c r="D231" s="2">
        <v>45777</v>
      </c>
      <c r="E231">
        <v>53850</v>
      </c>
      <c r="F231">
        <v>264</v>
      </c>
      <c r="G231" t="s">
        <v>71</v>
      </c>
      <c r="H231" t="s">
        <v>167</v>
      </c>
      <c r="I231" t="s">
        <v>45</v>
      </c>
      <c r="K231">
        <v>202504297933080</v>
      </c>
      <c r="L231">
        <v>2643300000392</v>
      </c>
      <c r="M231">
        <v>20250429</v>
      </c>
      <c r="N231" t="s">
        <v>46</v>
      </c>
      <c r="P231" t="s">
        <v>51</v>
      </c>
      <c r="Q231" t="s">
        <v>47</v>
      </c>
      <c r="R231">
        <v>711234.48</v>
      </c>
      <c r="S231">
        <v>0</v>
      </c>
      <c r="T231">
        <v>1632767</v>
      </c>
      <c r="U231">
        <v>1199090778</v>
      </c>
      <c r="V231" t="s">
        <v>368</v>
      </c>
      <c r="W231" t="s">
        <v>49</v>
      </c>
      <c r="X231" t="s">
        <v>364</v>
      </c>
      <c r="Y231" t="s">
        <v>51</v>
      </c>
      <c r="Z231">
        <v>1926</v>
      </c>
      <c r="AH231">
        <v>0</v>
      </c>
      <c r="AI231">
        <v>202504</v>
      </c>
      <c r="AJ231" t="s">
        <v>56</v>
      </c>
      <c r="AK231">
        <v>0</v>
      </c>
      <c r="AL231">
        <v>1</v>
      </c>
      <c r="AO231">
        <v>0</v>
      </c>
      <c r="AP231" t="s">
        <v>3062</v>
      </c>
      <c r="AQ231" t="s">
        <v>3012</v>
      </c>
      <c r="AR231" t="s">
        <v>3063</v>
      </c>
      <c r="AS231" t="s">
        <v>3014</v>
      </c>
      <c r="AU231" t="s">
        <v>3014</v>
      </c>
    </row>
    <row r="232" spans="1:47" x14ac:dyDescent="0.35">
      <c r="A232">
        <v>337633</v>
      </c>
      <c r="B232" t="s">
        <v>178</v>
      </c>
      <c r="C232" t="s">
        <v>179</v>
      </c>
      <c r="D232" s="2">
        <v>45777</v>
      </c>
      <c r="E232">
        <v>53850</v>
      </c>
      <c r="F232">
        <v>267</v>
      </c>
      <c r="G232" t="s">
        <v>349</v>
      </c>
      <c r="H232" t="s">
        <v>167</v>
      </c>
      <c r="I232" t="s">
        <v>45</v>
      </c>
      <c r="K232" t="s">
        <v>350</v>
      </c>
      <c r="L232">
        <v>2673300000887</v>
      </c>
      <c r="M232">
        <v>20250429</v>
      </c>
      <c r="N232" t="s">
        <v>3136</v>
      </c>
      <c r="Q232" t="s">
        <v>170</v>
      </c>
      <c r="R232">
        <v>2186.4499999999998</v>
      </c>
      <c r="S232">
        <v>0</v>
      </c>
      <c r="T232">
        <v>1642373</v>
      </c>
      <c r="U232" t="s">
        <v>369</v>
      </c>
      <c r="V232" t="s">
        <v>370</v>
      </c>
      <c r="W232" t="s">
        <v>187</v>
      </c>
      <c r="Y232" t="s">
        <v>51</v>
      </c>
      <c r="AH232">
        <v>0</v>
      </c>
      <c r="AI232">
        <v>202504</v>
      </c>
      <c r="AJ232" t="s">
        <v>86</v>
      </c>
      <c r="AK232">
        <v>1</v>
      </c>
      <c r="AL232">
        <v>1</v>
      </c>
      <c r="AO232">
        <v>1</v>
      </c>
      <c r="AP232" t="s">
        <v>3015</v>
      </c>
      <c r="AQ232" t="s">
        <v>3044</v>
      </c>
      <c r="AR232" t="s">
        <v>3045</v>
      </c>
      <c r="AS232" t="s">
        <v>3046</v>
      </c>
      <c r="AU232" t="s">
        <v>3046</v>
      </c>
    </row>
    <row r="233" spans="1:47" x14ac:dyDescent="0.35">
      <c r="A233">
        <v>337632</v>
      </c>
      <c r="B233" t="s">
        <v>193</v>
      </c>
      <c r="C233" t="s">
        <v>194</v>
      </c>
      <c r="D233" s="2">
        <v>45777</v>
      </c>
      <c r="E233">
        <v>53850</v>
      </c>
      <c r="F233">
        <v>118</v>
      </c>
      <c r="G233" t="s">
        <v>254</v>
      </c>
      <c r="H233" t="s">
        <v>167</v>
      </c>
      <c r="I233" t="s">
        <v>45</v>
      </c>
      <c r="K233">
        <v>202504297934826</v>
      </c>
      <c r="L233">
        <v>1183306276748</v>
      </c>
      <c r="M233">
        <v>20250429</v>
      </c>
      <c r="N233" t="s">
        <v>266</v>
      </c>
      <c r="Q233" t="s">
        <v>47</v>
      </c>
      <c r="R233">
        <v>31605</v>
      </c>
      <c r="S233">
        <v>31605</v>
      </c>
      <c r="T233">
        <v>490902</v>
      </c>
      <c r="U233" t="s">
        <v>371</v>
      </c>
      <c r="V233" t="s">
        <v>372</v>
      </c>
      <c r="W233" t="s">
        <v>69</v>
      </c>
      <c r="X233" t="s">
        <v>55</v>
      </c>
      <c r="Y233" t="s">
        <v>51</v>
      </c>
      <c r="Z233">
        <v>979</v>
      </c>
      <c r="AH233">
        <v>0</v>
      </c>
      <c r="AI233">
        <v>202504</v>
      </c>
      <c r="AJ233" t="s">
        <v>56</v>
      </c>
      <c r="AK233">
        <v>0</v>
      </c>
      <c r="AL233">
        <v>1</v>
      </c>
      <c r="AM233">
        <v>490902</v>
      </c>
      <c r="AN233">
        <v>1</v>
      </c>
      <c r="AO233">
        <v>0</v>
      </c>
      <c r="AP233" t="s">
        <v>3015</v>
      </c>
      <c r="AQ233" t="s">
        <v>3021</v>
      </c>
      <c r="AR233" t="s">
        <v>3022</v>
      </c>
      <c r="AT233" t="s">
        <v>3017</v>
      </c>
      <c r="AU233" t="s">
        <v>3014</v>
      </c>
    </row>
    <row r="234" spans="1:47" x14ac:dyDescent="0.35">
      <c r="A234">
        <v>337631</v>
      </c>
      <c r="B234" t="s">
        <v>178</v>
      </c>
      <c r="C234" t="s">
        <v>179</v>
      </c>
      <c r="D234" s="2">
        <v>45777</v>
      </c>
      <c r="E234">
        <v>53850</v>
      </c>
      <c r="F234">
        <v>178</v>
      </c>
      <c r="G234" t="s">
        <v>315</v>
      </c>
      <c r="H234" t="s">
        <v>167</v>
      </c>
      <c r="I234" t="s">
        <v>45</v>
      </c>
      <c r="K234">
        <v>202504297935055</v>
      </c>
      <c r="L234">
        <v>1783301004498</v>
      </c>
      <c r="M234">
        <v>20250429</v>
      </c>
      <c r="N234" t="s">
        <v>3136</v>
      </c>
      <c r="Q234" t="s">
        <v>170</v>
      </c>
      <c r="R234">
        <v>47140.45</v>
      </c>
      <c r="S234">
        <v>0</v>
      </c>
      <c r="T234">
        <v>4891241</v>
      </c>
      <c r="U234" t="s">
        <v>373</v>
      </c>
      <c r="V234" t="s">
        <v>374</v>
      </c>
      <c r="W234" t="s">
        <v>187</v>
      </c>
      <c r="Y234" t="s">
        <v>51</v>
      </c>
      <c r="Z234">
        <v>1936</v>
      </c>
      <c r="AH234">
        <v>0</v>
      </c>
      <c r="AI234">
        <v>202504</v>
      </c>
      <c r="AJ234" t="s">
        <v>52</v>
      </c>
      <c r="AK234">
        <v>0</v>
      </c>
      <c r="AL234">
        <v>1</v>
      </c>
      <c r="AO234">
        <v>1</v>
      </c>
      <c r="AP234" t="s">
        <v>3015</v>
      </c>
      <c r="AQ234" t="s">
        <v>3044</v>
      </c>
      <c r="AR234" t="s">
        <v>3045</v>
      </c>
      <c r="AS234" t="s">
        <v>3046</v>
      </c>
      <c r="AU234" t="s">
        <v>3046</v>
      </c>
    </row>
    <row r="235" spans="1:47" x14ac:dyDescent="0.35">
      <c r="A235">
        <v>337630</v>
      </c>
      <c r="B235" t="s">
        <v>172</v>
      </c>
      <c r="C235" t="s">
        <v>173</v>
      </c>
      <c r="D235" s="2">
        <v>45777</v>
      </c>
      <c r="E235">
        <v>53850</v>
      </c>
      <c r="F235">
        <v>141</v>
      </c>
      <c r="G235" t="s">
        <v>105</v>
      </c>
      <c r="H235" t="s">
        <v>167</v>
      </c>
      <c r="I235" t="s">
        <v>45</v>
      </c>
      <c r="K235" t="s">
        <v>313</v>
      </c>
      <c r="L235">
        <v>1413300002755</v>
      </c>
      <c r="M235">
        <v>20250429</v>
      </c>
      <c r="N235" t="s">
        <v>175</v>
      </c>
      <c r="Q235" t="s">
        <v>47</v>
      </c>
      <c r="R235">
        <v>94971.3</v>
      </c>
      <c r="S235">
        <v>15170</v>
      </c>
      <c r="T235">
        <v>4018687</v>
      </c>
      <c r="U235" t="s">
        <v>375</v>
      </c>
      <c r="V235" t="s">
        <v>376</v>
      </c>
      <c r="W235" t="s">
        <v>69</v>
      </c>
      <c r="X235" t="s">
        <v>70</v>
      </c>
      <c r="Y235" t="s">
        <v>51</v>
      </c>
      <c r="Z235">
        <v>862</v>
      </c>
      <c r="AH235">
        <v>0</v>
      </c>
      <c r="AI235">
        <v>202504</v>
      </c>
      <c r="AJ235" t="s">
        <v>56</v>
      </c>
      <c r="AK235">
        <v>0</v>
      </c>
      <c r="AL235">
        <v>1</v>
      </c>
      <c r="AM235">
        <v>4018687</v>
      </c>
      <c r="AN235">
        <v>1</v>
      </c>
      <c r="AO235">
        <v>1</v>
      </c>
      <c r="AP235" t="s">
        <v>3015</v>
      </c>
      <c r="AQ235" t="s">
        <v>3021</v>
      </c>
      <c r="AR235" t="s">
        <v>3022</v>
      </c>
      <c r="AT235" t="s">
        <v>3017</v>
      </c>
      <c r="AU235" t="s">
        <v>3014</v>
      </c>
    </row>
    <row r="236" spans="1:47" x14ac:dyDescent="0.35">
      <c r="A236">
        <v>337629</v>
      </c>
      <c r="B236" t="s">
        <v>178</v>
      </c>
      <c r="C236" t="s">
        <v>179</v>
      </c>
      <c r="D236" s="2">
        <v>45777</v>
      </c>
      <c r="E236">
        <v>53850</v>
      </c>
      <c r="F236">
        <v>119</v>
      </c>
      <c r="G236" t="s">
        <v>207</v>
      </c>
      <c r="H236" t="s">
        <v>167</v>
      </c>
      <c r="I236" t="s">
        <v>45</v>
      </c>
      <c r="K236">
        <v>202504297933416</v>
      </c>
      <c r="L236">
        <v>1193308873898</v>
      </c>
      <c r="M236">
        <v>20250429</v>
      </c>
      <c r="N236" t="s">
        <v>377</v>
      </c>
      <c r="Q236" t="s">
        <v>47</v>
      </c>
      <c r="R236">
        <v>156252.39000000001</v>
      </c>
      <c r="S236">
        <v>0</v>
      </c>
      <c r="T236">
        <v>4205399</v>
      </c>
      <c r="U236" t="s">
        <v>378</v>
      </c>
      <c r="V236" t="s">
        <v>379</v>
      </c>
      <c r="W236" t="s">
        <v>187</v>
      </c>
      <c r="Y236" t="s">
        <v>51</v>
      </c>
      <c r="Z236">
        <v>900</v>
      </c>
      <c r="AH236">
        <v>0</v>
      </c>
      <c r="AI236">
        <v>202504</v>
      </c>
      <c r="AJ236" t="s">
        <v>119</v>
      </c>
      <c r="AK236">
        <v>1</v>
      </c>
      <c r="AL236">
        <v>1</v>
      </c>
      <c r="AO236">
        <v>0</v>
      </c>
      <c r="AP236" t="s">
        <v>3015</v>
      </c>
      <c r="AQ236" t="s">
        <v>3044</v>
      </c>
      <c r="AR236" t="s">
        <v>3045</v>
      </c>
      <c r="AS236" t="s">
        <v>3046</v>
      </c>
      <c r="AU236" t="s">
        <v>3046</v>
      </c>
    </row>
    <row r="237" spans="1:47" x14ac:dyDescent="0.35">
      <c r="A237">
        <v>337628</v>
      </c>
      <c r="B237" t="s">
        <v>178</v>
      </c>
      <c r="C237" t="s">
        <v>179</v>
      </c>
      <c r="D237" s="2">
        <v>45777</v>
      </c>
      <c r="E237">
        <v>53850</v>
      </c>
      <c r="F237">
        <v>103</v>
      </c>
      <c r="G237" t="s">
        <v>80</v>
      </c>
      <c r="H237" t="s">
        <v>167</v>
      </c>
      <c r="I237" t="s">
        <v>45</v>
      </c>
      <c r="K237">
        <v>202504297933659</v>
      </c>
      <c r="L237">
        <v>1033306974262</v>
      </c>
      <c r="M237">
        <v>20250429</v>
      </c>
      <c r="N237" t="s">
        <v>46</v>
      </c>
      <c r="P237" t="s">
        <v>51</v>
      </c>
      <c r="Q237" t="s">
        <v>47</v>
      </c>
      <c r="R237">
        <v>800000</v>
      </c>
      <c r="S237">
        <v>0</v>
      </c>
      <c r="T237">
        <v>4679373</v>
      </c>
      <c r="U237">
        <v>3294040724</v>
      </c>
      <c r="V237" t="s">
        <v>380</v>
      </c>
      <c r="W237" t="s">
        <v>190</v>
      </c>
      <c r="X237" t="s">
        <v>381</v>
      </c>
      <c r="Y237" t="s">
        <v>51</v>
      </c>
      <c r="Z237">
        <v>1926</v>
      </c>
      <c r="AH237">
        <v>0</v>
      </c>
      <c r="AI237">
        <v>202504</v>
      </c>
      <c r="AJ237" t="s">
        <v>86</v>
      </c>
      <c r="AK237">
        <v>1</v>
      </c>
      <c r="AL237">
        <v>1</v>
      </c>
      <c r="AO237">
        <v>0</v>
      </c>
      <c r="AP237" t="s">
        <v>3015</v>
      </c>
      <c r="AQ237" t="s">
        <v>3047</v>
      </c>
      <c r="AR237" t="s">
        <v>3056</v>
      </c>
      <c r="AT237" t="s">
        <v>3017</v>
      </c>
      <c r="AU237" t="s">
        <v>3057</v>
      </c>
    </row>
    <row r="238" spans="1:47" x14ac:dyDescent="0.35">
      <c r="A238">
        <v>337627</v>
      </c>
      <c r="B238" t="s">
        <v>193</v>
      </c>
      <c r="C238" t="s">
        <v>194</v>
      </c>
      <c r="D238" s="2">
        <v>45777</v>
      </c>
      <c r="E238">
        <v>53850</v>
      </c>
      <c r="F238">
        <v>128</v>
      </c>
      <c r="G238" t="s">
        <v>94</v>
      </c>
      <c r="H238" t="s">
        <v>167</v>
      </c>
      <c r="I238" t="s">
        <v>45</v>
      </c>
      <c r="K238">
        <v>202504297934856</v>
      </c>
      <c r="L238">
        <v>1283300003941</v>
      </c>
      <c r="M238">
        <v>20250429</v>
      </c>
      <c r="N238" t="s">
        <v>266</v>
      </c>
      <c r="Q238" t="s">
        <v>47</v>
      </c>
      <c r="R238">
        <v>41180</v>
      </c>
      <c r="S238">
        <v>41180</v>
      </c>
      <c r="T238">
        <v>4916499</v>
      </c>
      <c r="U238" t="s">
        <v>382</v>
      </c>
      <c r="V238" t="s">
        <v>383</v>
      </c>
      <c r="W238" t="s">
        <v>69</v>
      </c>
      <c r="X238" t="s">
        <v>55</v>
      </c>
      <c r="Y238" t="s">
        <v>51</v>
      </c>
      <c r="Z238">
        <v>1166</v>
      </c>
      <c r="AH238">
        <v>0</v>
      </c>
      <c r="AI238">
        <v>202504</v>
      </c>
      <c r="AJ238" t="s">
        <v>56</v>
      </c>
      <c r="AK238">
        <v>0</v>
      </c>
      <c r="AL238">
        <v>1</v>
      </c>
      <c r="AM238">
        <v>4916499</v>
      </c>
      <c r="AN238">
        <v>1</v>
      </c>
      <c r="AO238">
        <v>0</v>
      </c>
      <c r="AP238" t="s">
        <v>3015</v>
      </c>
      <c r="AQ238" t="s">
        <v>3021</v>
      </c>
      <c r="AR238" t="s">
        <v>3022</v>
      </c>
      <c r="AT238" t="s">
        <v>3017</v>
      </c>
      <c r="AU238" t="s">
        <v>3014</v>
      </c>
    </row>
    <row r="239" spans="1:47" x14ac:dyDescent="0.35">
      <c r="A239">
        <v>337626</v>
      </c>
      <c r="B239" t="s">
        <v>353</v>
      </c>
      <c r="C239" t="s">
        <v>354</v>
      </c>
      <c r="D239" s="2">
        <v>45777</v>
      </c>
      <c r="E239">
        <v>53850</v>
      </c>
      <c r="F239">
        <v>140</v>
      </c>
      <c r="G239" t="s">
        <v>322</v>
      </c>
      <c r="H239" t="s">
        <v>167</v>
      </c>
      <c r="I239" t="s">
        <v>45</v>
      </c>
      <c r="K239">
        <v>202504297934895</v>
      </c>
      <c r="L239">
        <v>1403300004431</v>
      </c>
      <c r="M239">
        <v>20250429</v>
      </c>
      <c r="N239" t="s">
        <v>168</v>
      </c>
      <c r="P239" t="s">
        <v>217</v>
      </c>
      <c r="Q239" t="s">
        <v>170</v>
      </c>
      <c r="R239">
        <v>36000</v>
      </c>
      <c r="S239">
        <v>0</v>
      </c>
      <c r="T239">
        <v>3737491</v>
      </c>
      <c r="U239">
        <v>10184280963</v>
      </c>
      <c r="V239" t="s">
        <v>323</v>
      </c>
      <c r="W239" t="s">
        <v>49</v>
      </c>
      <c r="X239" t="s">
        <v>324</v>
      </c>
      <c r="Y239" t="s">
        <v>51</v>
      </c>
      <c r="Z239">
        <v>1403</v>
      </c>
      <c r="AH239">
        <v>0</v>
      </c>
      <c r="AI239">
        <v>202504</v>
      </c>
      <c r="AJ239" t="s">
        <v>52</v>
      </c>
      <c r="AK239">
        <v>0</v>
      </c>
      <c r="AL239">
        <v>1</v>
      </c>
      <c r="AO239">
        <v>0</v>
      </c>
      <c r="AP239" t="s">
        <v>3015</v>
      </c>
      <c r="AQ239" t="s">
        <v>3012</v>
      </c>
      <c r="AR239" t="s">
        <v>3016</v>
      </c>
      <c r="AT239" t="s">
        <v>3017</v>
      </c>
      <c r="AU239" t="s">
        <v>3018</v>
      </c>
    </row>
    <row r="240" spans="1:47" x14ac:dyDescent="0.35">
      <c r="A240">
        <v>337625</v>
      </c>
      <c r="B240" t="s">
        <v>193</v>
      </c>
      <c r="C240" t="s">
        <v>194</v>
      </c>
      <c r="D240" s="2">
        <v>45777</v>
      </c>
      <c r="E240">
        <v>53850</v>
      </c>
      <c r="F240">
        <v>273</v>
      </c>
      <c r="G240" t="s">
        <v>133</v>
      </c>
      <c r="H240" t="s">
        <v>167</v>
      </c>
      <c r="I240" t="s">
        <v>45</v>
      </c>
      <c r="K240" t="s">
        <v>313</v>
      </c>
      <c r="L240">
        <v>2733300001040</v>
      </c>
      <c r="M240">
        <v>20250429</v>
      </c>
      <c r="N240" t="s">
        <v>195</v>
      </c>
      <c r="Q240" t="s">
        <v>47</v>
      </c>
      <c r="R240">
        <v>49950</v>
      </c>
      <c r="S240">
        <v>49950</v>
      </c>
      <c r="T240">
        <v>1615776</v>
      </c>
      <c r="U240" t="s">
        <v>384</v>
      </c>
      <c r="V240" t="s">
        <v>385</v>
      </c>
      <c r="W240" t="s">
        <v>69</v>
      </c>
      <c r="X240" t="s">
        <v>55</v>
      </c>
      <c r="Y240" t="s">
        <v>51</v>
      </c>
      <c r="Z240">
        <v>1765</v>
      </c>
      <c r="AH240">
        <v>0</v>
      </c>
      <c r="AI240">
        <v>202504</v>
      </c>
      <c r="AJ240" t="s">
        <v>56</v>
      </c>
      <c r="AK240">
        <v>0</v>
      </c>
      <c r="AL240">
        <v>1</v>
      </c>
      <c r="AM240">
        <v>1615776</v>
      </c>
      <c r="AN240">
        <v>1</v>
      </c>
      <c r="AO240">
        <v>0</v>
      </c>
      <c r="AP240" t="s">
        <v>3015</v>
      </c>
      <c r="AQ240" t="s">
        <v>3021</v>
      </c>
      <c r="AR240" t="s">
        <v>3022</v>
      </c>
      <c r="AT240" t="s">
        <v>3017</v>
      </c>
      <c r="AU240" t="s">
        <v>3014</v>
      </c>
    </row>
    <row r="241" spans="1:47" x14ac:dyDescent="0.35">
      <c r="A241">
        <v>337624</v>
      </c>
      <c r="B241" t="s">
        <v>172</v>
      </c>
      <c r="C241" t="s">
        <v>173</v>
      </c>
      <c r="D241" s="2">
        <v>45777</v>
      </c>
      <c r="E241">
        <v>53850</v>
      </c>
      <c r="F241">
        <v>103</v>
      </c>
      <c r="G241" t="s">
        <v>80</v>
      </c>
      <c r="H241" t="s">
        <v>167</v>
      </c>
      <c r="I241" t="s">
        <v>45</v>
      </c>
      <c r="K241">
        <v>202504297934722</v>
      </c>
      <c r="L241">
        <v>1033306986082</v>
      </c>
      <c r="M241">
        <v>20250429</v>
      </c>
      <c r="N241" t="s">
        <v>325</v>
      </c>
      <c r="Q241" t="s">
        <v>47</v>
      </c>
      <c r="R241">
        <v>141200</v>
      </c>
      <c r="S241">
        <v>0</v>
      </c>
      <c r="T241">
        <v>4041365</v>
      </c>
      <c r="U241" t="s">
        <v>386</v>
      </c>
      <c r="V241" t="s">
        <v>387</v>
      </c>
      <c r="W241" t="s">
        <v>187</v>
      </c>
      <c r="Y241" t="s">
        <v>51</v>
      </c>
      <c r="AH241">
        <v>0</v>
      </c>
      <c r="AI241">
        <v>202504</v>
      </c>
      <c r="AJ241" t="s">
        <v>86</v>
      </c>
      <c r="AK241">
        <v>1</v>
      </c>
      <c r="AL241">
        <v>1</v>
      </c>
      <c r="AO241">
        <v>0</v>
      </c>
      <c r="AP241" t="s">
        <v>3015</v>
      </c>
      <c r="AQ241" t="s">
        <v>3044</v>
      </c>
      <c r="AR241" t="s">
        <v>3045</v>
      </c>
      <c r="AS241" t="s">
        <v>3046</v>
      </c>
      <c r="AU241" t="s">
        <v>3046</v>
      </c>
    </row>
    <row r="242" spans="1:47" x14ac:dyDescent="0.35">
      <c r="A242">
        <v>337623</v>
      </c>
      <c r="B242" t="s">
        <v>193</v>
      </c>
      <c r="C242" t="s">
        <v>194</v>
      </c>
      <c r="D242" s="2">
        <v>45777</v>
      </c>
      <c r="E242">
        <v>53850</v>
      </c>
      <c r="F242">
        <v>161</v>
      </c>
      <c r="G242" t="s">
        <v>111</v>
      </c>
      <c r="H242" t="s">
        <v>167</v>
      </c>
      <c r="I242" t="s">
        <v>45</v>
      </c>
      <c r="K242" t="s">
        <v>313</v>
      </c>
      <c r="L242">
        <v>1613300031333</v>
      </c>
      <c r="M242">
        <v>20250429</v>
      </c>
      <c r="N242" t="s">
        <v>175</v>
      </c>
      <c r="Q242" t="s">
        <v>47</v>
      </c>
      <c r="R242">
        <v>40000.800000000003</v>
      </c>
      <c r="S242">
        <v>35630</v>
      </c>
      <c r="T242">
        <v>511904</v>
      </c>
      <c r="U242" t="s">
        <v>388</v>
      </c>
      <c r="V242" t="s">
        <v>389</v>
      </c>
      <c r="W242" t="s">
        <v>69</v>
      </c>
      <c r="X242" t="s">
        <v>55</v>
      </c>
      <c r="Y242" t="s">
        <v>51</v>
      </c>
      <c r="Z242">
        <v>857</v>
      </c>
      <c r="AH242">
        <v>0</v>
      </c>
      <c r="AI242">
        <v>202504</v>
      </c>
      <c r="AJ242" t="s">
        <v>56</v>
      </c>
      <c r="AK242">
        <v>0</v>
      </c>
      <c r="AL242">
        <v>1</v>
      </c>
      <c r="AM242">
        <v>511904</v>
      </c>
      <c r="AN242">
        <v>1</v>
      </c>
      <c r="AO242">
        <v>1</v>
      </c>
      <c r="AP242" t="s">
        <v>3015</v>
      </c>
      <c r="AQ242" t="s">
        <v>3021</v>
      </c>
      <c r="AR242" t="s">
        <v>3022</v>
      </c>
      <c r="AT242" t="s">
        <v>3017</v>
      </c>
      <c r="AU242" t="s">
        <v>3014</v>
      </c>
    </row>
    <row r="243" spans="1:47" x14ac:dyDescent="0.35">
      <c r="A243">
        <v>337622</v>
      </c>
      <c r="B243" t="s">
        <v>353</v>
      </c>
      <c r="C243" t="s">
        <v>354</v>
      </c>
      <c r="D243" s="2">
        <v>45777</v>
      </c>
      <c r="E243">
        <v>53850</v>
      </c>
      <c r="F243">
        <v>140</v>
      </c>
      <c r="G243" t="s">
        <v>322</v>
      </c>
      <c r="H243" t="s">
        <v>167</v>
      </c>
      <c r="I243" t="s">
        <v>45</v>
      </c>
      <c r="K243">
        <v>202504297934891</v>
      </c>
      <c r="L243">
        <v>1403300004431</v>
      </c>
      <c r="M243">
        <v>20250429</v>
      </c>
      <c r="N243" t="s">
        <v>168</v>
      </c>
      <c r="P243" t="s">
        <v>217</v>
      </c>
      <c r="Q243" t="s">
        <v>170</v>
      </c>
      <c r="R243">
        <v>19000</v>
      </c>
      <c r="S243">
        <v>0</v>
      </c>
      <c r="T243">
        <v>3737491</v>
      </c>
      <c r="U243">
        <v>10184280963</v>
      </c>
      <c r="V243" t="s">
        <v>323</v>
      </c>
      <c r="W243" t="s">
        <v>49</v>
      </c>
      <c r="X243" t="s">
        <v>324</v>
      </c>
      <c r="Y243" t="s">
        <v>51</v>
      </c>
      <c r="Z243">
        <v>1403</v>
      </c>
      <c r="AH243">
        <v>0</v>
      </c>
      <c r="AI243">
        <v>202504</v>
      </c>
      <c r="AJ243" t="s">
        <v>52</v>
      </c>
      <c r="AK243">
        <v>0</v>
      </c>
      <c r="AL243">
        <v>1</v>
      </c>
      <c r="AO243">
        <v>0</v>
      </c>
      <c r="AP243" t="s">
        <v>3015</v>
      </c>
      <c r="AQ243" t="s">
        <v>3012</v>
      </c>
      <c r="AR243" t="s">
        <v>3016</v>
      </c>
      <c r="AT243" t="s">
        <v>3017</v>
      </c>
      <c r="AU243" t="s">
        <v>3018</v>
      </c>
    </row>
    <row r="244" spans="1:47" x14ac:dyDescent="0.35">
      <c r="A244">
        <v>337621</v>
      </c>
      <c r="B244" t="s">
        <v>178</v>
      </c>
      <c r="C244" t="s">
        <v>179</v>
      </c>
      <c r="D244" s="2">
        <v>45777</v>
      </c>
      <c r="E244">
        <v>53850</v>
      </c>
      <c r="F244">
        <v>102</v>
      </c>
      <c r="G244" t="s">
        <v>151</v>
      </c>
      <c r="H244" t="s">
        <v>167</v>
      </c>
      <c r="I244" t="s">
        <v>45</v>
      </c>
      <c r="K244">
        <v>202504297932144</v>
      </c>
      <c r="L244">
        <v>1503300003188</v>
      </c>
      <c r="M244">
        <v>20250429</v>
      </c>
      <c r="N244" t="s">
        <v>236</v>
      </c>
      <c r="P244" t="s">
        <v>51</v>
      </c>
      <c r="Q244" t="s">
        <v>170</v>
      </c>
      <c r="R244">
        <v>1200000</v>
      </c>
      <c r="S244">
        <v>0</v>
      </c>
      <c r="T244">
        <v>4269640</v>
      </c>
      <c r="U244">
        <v>4797080969</v>
      </c>
      <c r="V244" t="s">
        <v>152</v>
      </c>
      <c r="W244" t="s">
        <v>153</v>
      </c>
      <c r="X244" t="s">
        <v>210</v>
      </c>
      <c r="Y244" t="s">
        <v>51</v>
      </c>
      <c r="Z244">
        <v>1926</v>
      </c>
      <c r="AH244">
        <v>0</v>
      </c>
      <c r="AI244">
        <v>202504</v>
      </c>
      <c r="AJ244" t="s">
        <v>52</v>
      </c>
      <c r="AK244">
        <v>0</v>
      </c>
      <c r="AL244">
        <v>1</v>
      </c>
      <c r="AO244">
        <v>0</v>
      </c>
      <c r="AP244" t="s">
        <v>3015</v>
      </c>
      <c r="AQ244" t="s">
        <v>3035</v>
      </c>
      <c r="AR244" t="s">
        <v>3036</v>
      </c>
      <c r="AT244" t="s">
        <v>3017</v>
      </c>
      <c r="AU244" t="s">
        <v>3037</v>
      </c>
    </row>
    <row r="245" spans="1:47" x14ac:dyDescent="0.35">
      <c r="A245">
        <v>337620</v>
      </c>
      <c r="B245" t="s">
        <v>193</v>
      </c>
      <c r="C245" t="s">
        <v>194</v>
      </c>
      <c r="D245" s="2">
        <v>45777</v>
      </c>
      <c r="E245">
        <v>53850</v>
      </c>
      <c r="F245">
        <v>176</v>
      </c>
      <c r="G245" t="s">
        <v>390</v>
      </c>
      <c r="H245" t="s">
        <v>167</v>
      </c>
      <c r="I245" t="s">
        <v>45</v>
      </c>
      <c r="K245">
        <v>202504297935050</v>
      </c>
      <c r="L245">
        <v>1763300000837</v>
      </c>
      <c r="M245">
        <v>20250429</v>
      </c>
      <c r="N245" t="s">
        <v>266</v>
      </c>
      <c r="Q245" t="s">
        <v>47</v>
      </c>
      <c r="R245">
        <v>26000</v>
      </c>
      <c r="S245">
        <v>26000</v>
      </c>
      <c r="T245">
        <v>3403044</v>
      </c>
      <c r="U245" t="s">
        <v>391</v>
      </c>
      <c r="V245" t="s">
        <v>392</v>
      </c>
      <c r="W245" t="s">
        <v>69</v>
      </c>
      <c r="X245" t="s">
        <v>131</v>
      </c>
      <c r="Y245" t="s">
        <v>51</v>
      </c>
      <c r="Z245">
        <v>440</v>
      </c>
      <c r="AH245">
        <v>0</v>
      </c>
      <c r="AI245">
        <v>202504</v>
      </c>
      <c r="AJ245" t="s">
        <v>86</v>
      </c>
      <c r="AK245">
        <v>1</v>
      </c>
      <c r="AL245">
        <v>1</v>
      </c>
      <c r="AO245">
        <v>0</v>
      </c>
      <c r="AP245" t="s">
        <v>3033</v>
      </c>
      <c r="AQ245" t="s">
        <v>3021</v>
      </c>
      <c r="AR245" t="s">
        <v>3054</v>
      </c>
      <c r="AS245" t="s">
        <v>3055</v>
      </c>
      <c r="AU245" t="s">
        <v>3055</v>
      </c>
    </row>
    <row r="246" spans="1:47" x14ac:dyDescent="0.35">
      <c r="A246">
        <v>337619</v>
      </c>
      <c r="B246" t="s">
        <v>172</v>
      </c>
      <c r="C246" t="s">
        <v>173</v>
      </c>
      <c r="D246" s="2">
        <v>45777</v>
      </c>
      <c r="E246">
        <v>53850</v>
      </c>
      <c r="F246">
        <v>103</v>
      </c>
      <c r="G246" t="s">
        <v>80</v>
      </c>
      <c r="H246" t="s">
        <v>167</v>
      </c>
      <c r="I246" t="s">
        <v>45</v>
      </c>
      <c r="K246">
        <v>202504297934722</v>
      </c>
      <c r="L246">
        <v>1033306986082</v>
      </c>
      <c r="M246">
        <v>20250429</v>
      </c>
      <c r="N246" t="s">
        <v>325</v>
      </c>
      <c r="Q246" t="s">
        <v>47</v>
      </c>
      <c r="R246">
        <v>141200</v>
      </c>
      <c r="S246">
        <v>0</v>
      </c>
      <c r="T246">
        <v>606758</v>
      </c>
      <c r="U246" t="s">
        <v>393</v>
      </c>
      <c r="V246" t="s">
        <v>394</v>
      </c>
      <c r="W246" t="s">
        <v>187</v>
      </c>
      <c r="Y246" t="s">
        <v>51</v>
      </c>
      <c r="Z246">
        <v>1224</v>
      </c>
      <c r="AH246">
        <v>0</v>
      </c>
      <c r="AI246">
        <v>202504</v>
      </c>
      <c r="AJ246" t="s">
        <v>86</v>
      </c>
      <c r="AK246">
        <v>1</v>
      </c>
      <c r="AL246">
        <v>1</v>
      </c>
      <c r="AO246">
        <v>0</v>
      </c>
      <c r="AP246" t="s">
        <v>3015</v>
      </c>
      <c r="AQ246" t="s">
        <v>3044</v>
      </c>
      <c r="AR246" t="s">
        <v>3045</v>
      </c>
      <c r="AS246" t="s">
        <v>3046</v>
      </c>
      <c r="AU246" t="s">
        <v>3046</v>
      </c>
    </row>
    <row r="247" spans="1:47" x14ac:dyDescent="0.35">
      <c r="A247">
        <v>337618</v>
      </c>
      <c r="B247" t="s">
        <v>178</v>
      </c>
      <c r="C247" t="s">
        <v>179</v>
      </c>
      <c r="D247" s="2">
        <v>45777</v>
      </c>
      <c r="E247">
        <v>53850</v>
      </c>
      <c r="F247">
        <v>175</v>
      </c>
      <c r="G247" t="s">
        <v>99</v>
      </c>
      <c r="H247" t="s">
        <v>167</v>
      </c>
      <c r="I247" t="s">
        <v>45</v>
      </c>
      <c r="K247">
        <v>202504297933367</v>
      </c>
      <c r="L247">
        <v>1753302202252</v>
      </c>
      <c r="M247">
        <v>20250429</v>
      </c>
      <c r="N247" t="s">
        <v>46</v>
      </c>
      <c r="P247" t="s">
        <v>51</v>
      </c>
      <c r="Q247" t="s">
        <v>47</v>
      </c>
      <c r="R247">
        <v>1232440</v>
      </c>
      <c r="S247">
        <v>0</v>
      </c>
      <c r="T247">
        <v>611756</v>
      </c>
      <c r="U247" t="s">
        <v>395</v>
      </c>
      <c r="V247" t="s">
        <v>396</v>
      </c>
      <c r="W247" t="s">
        <v>69</v>
      </c>
      <c r="X247" t="s">
        <v>397</v>
      </c>
      <c r="Y247" t="s">
        <v>51</v>
      </c>
      <c r="Z247">
        <v>1110</v>
      </c>
      <c r="AH247">
        <v>0</v>
      </c>
      <c r="AI247">
        <v>202504</v>
      </c>
      <c r="AJ247" t="s">
        <v>56</v>
      </c>
      <c r="AK247">
        <v>0</v>
      </c>
      <c r="AL247">
        <v>1</v>
      </c>
      <c r="AO247">
        <v>0</v>
      </c>
      <c r="AP247" t="s">
        <v>3015</v>
      </c>
      <c r="AQ247" t="s">
        <v>3021</v>
      </c>
      <c r="AR247" t="s">
        <v>3022</v>
      </c>
      <c r="AT247" t="s">
        <v>3017</v>
      </c>
      <c r="AU247" t="s">
        <v>3014</v>
      </c>
    </row>
    <row r="248" spans="1:47" x14ac:dyDescent="0.35">
      <c r="A248">
        <v>337617</v>
      </c>
      <c r="B248" t="s">
        <v>214</v>
      </c>
      <c r="C248" t="s">
        <v>215</v>
      </c>
      <c r="D248" s="2">
        <v>45777</v>
      </c>
      <c r="E248">
        <v>53850</v>
      </c>
      <c r="F248">
        <v>226</v>
      </c>
      <c r="G248" t="s">
        <v>129</v>
      </c>
      <c r="H248" t="s">
        <v>167</v>
      </c>
      <c r="I248" t="s">
        <v>45</v>
      </c>
      <c r="K248">
        <v>202504297933683</v>
      </c>
      <c r="L248">
        <v>2263300010593</v>
      </c>
      <c r="M248">
        <v>20250429</v>
      </c>
      <c r="N248" t="s">
        <v>168</v>
      </c>
      <c r="P248" t="s">
        <v>217</v>
      </c>
      <c r="Q248" t="s">
        <v>47</v>
      </c>
      <c r="R248">
        <v>30000</v>
      </c>
      <c r="S248">
        <v>0</v>
      </c>
      <c r="T248">
        <v>4530242</v>
      </c>
      <c r="U248" t="s">
        <v>398</v>
      </c>
      <c r="V248" t="s">
        <v>399</v>
      </c>
      <c r="W248" t="s">
        <v>187</v>
      </c>
      <c r="Y248" t="s">
        <v>51</v>
      </c>
      <c r="Z248">
        <v>1932</v>
      </c>
      <c r="AH248">
        <v>0</v>
      </c>
      <c r="AI248">
        <v>202504</v>
      </c>
      <c r="AJ248" t="s">
        <v>86</v>
      </c>
      <c r="AK248">
        <v>1</v>
      </c>
      <c r="AL248">
        <v>1</v>
      </c>
      <c r="AO248">
        <v>0</v>
      </c>
      <c r="AP248" t="s">
        <v>3015</v>
      </c>
      <c r="AQ248" t="s">
        <v>3044</v>
      </c>
      <c r="AR248" t="s">
        <v>3045</v>
      </c>
      <c r="AS248" t="s">
        <v>3046</v>
      </c>
      <c r="AU248" t="s">
        <v>3046</v>
      </c>
    </row>
    <row r="249" spans="1:47" x14ac:dyDescent="0.35">
      <c r="A249">
        <v>337616</v>
      </c>
      <c r="B249" t="s">
        <v>172</v>
      </c>
      <c r="C249" t="s">
        <v>173</v>
      </c>
      <c r="D249" s="2">
        <v>45777</v>
      </c>
      <c r="E249">
        <v>53850</v>
      </c>
      <c r="F249">
        <v>141</v>
      </c>
      <c r="G249" t="s">
        <v>105</v>
      </c>
      <c r="H249" t="s">
        <v>167</v>
      </c>
      <c r="I249" t="s">
        <v>45</v>
      </c>
      <c r="K249">
        <v>202504297934899</v>
      </c>
      <c r="L249">
        <v>1413300000129</v>
      </c>
      <c r="M249">
        <v>20250429</v>
      </c>
      <c r="N249" t="s">
        <v>231</v>
      </c>
      <c r="Q249" t="s">
        <v>47</v>
      </c>
      <c r="R249">
        <v>168000</v>
      </c>
      <c r="S249">
        <v>0</v>
      </c>
      <c r="T249">
        <v>4183509</v>
      </c>
      <c r="U249" t="s">
        <v>400</v>
      </c>
      <c r="V249" t="s">
        <v>401</v>
      </c>
      <c r="W249" t="s">
        <v>69</v>
      </c>
      <c r="X249" t="s">
        <v>402</v>
      </c>
      <c r="Y249" t="s">
        <v>51</v>
      </c>
      <c r="Z249">
        <v>862</v>
      </c>
      <c r="AH249">
        <v>0</v>
      </c>
      <c r="AI249">
        <v>202504</v>
      </c>
      <c r="AJ249" t="s">
        <v>52</v>
      </c>
      <c r="AK249">
        <v>0</v>
      </c>
      <c r="AL249">
        <v>1</v>
      </c>
      <c r="AO249">
        <v>0</v>
      </c>
      <c r="AP249" t="s">
        <v>3015</v>
      </c>
      <c r="AQ249" t="s">
        <v>3021</v>
      </c>
      <c r="AR249" t="s">
        <v>3022</v>
      </c>
      <c r="AT249" t="s">
        <v>3017</v>
      </c>
      <c r="AU249" t="s">
        <v>3014</v>
      </c>
    </row>
    <row r="250" spans="1:47" x14ac:dyDescent="0.35">
      <c r="A250">
        <v>337615</v>
      </c>
      <c r="B250" t="s">
        <v>214</v>
      </c>
      <c r="C250" t="s">
        <v>215</v>
      </c>
      <c r="D250" s="2">
        <v>45777</v>
      </c>
      <c r="E250">
        <v>53850</v>
      </c>
      <c r="F250">
        <v>140</v>
      </c>
      <c r="G250" t="s">
        <v>322</v>
      </c>
      <c r="H250" t="s">
        <v>167</v>
      </c>
      <c r="I250" t="s">
        <v>45</v>
      </c>
      <c r="K250">
        <v>202504297934895</v>
      </c>
      <c r="L250">
        <v>1403300004431</v>
      </c>
      <c r="M250">
        <v>20250429</v>
      </c>
      <c r="N250" t="s">
        <v>168</v>
      </c>
      <c r="P250" t="s">
        <v>217</v>
      </c>
      <c r="Q250" t="s">
        <v>170</v>
      </c>
      <c r="R250">
        <v>36000</v>
      </c>
      <c r="S250">
        <v>0</v>
      </c>
      <c r="T250">
        <v>3737491</v>
      </c>
      <c r="U250">
        <v>10184280963</v>
      </c>
      <c r="V250" t="s">
        <v>323</v>
      </c>
      <c r="W250" t="s">
        <v>49</v>
      </c>
      <c r="X250" t="s">
        <v>324</v>
      </c>
      <c r="Y250" t="s">
        <v>51</v>
      </c>
      <c r="Z250">
        <v>1403</v>
      </c>
      <c r="AH250">
        <v>0</v>
      </c>
      <c r="AI250">
        <v>202504</v>
      </c>
      <c r="AJ250" t="s">
        <v>52</v>
      </c>
      <c r="AK250">
        <v>0</v>
      </c>
      <c r="AL250">
        <v>1</v>
      </c>
      <c r="AO250">
        <v>0</v>
      </c>
      <c r="AP250" t="s">
        <v>3015</v>
      </c>
      <c r="AQ250" t="s">
        <v>3012</v>
      </c>
      <c r="AR250" t="s">
        <v>3016</v>
      </c>
      <c r="AT250" t="s">
        <v>3017</v>
      </c>
      <c r="AU250" t="s">
        <v>3018</v>
      </c>
    </row>
    <row r="251" spans="1:47" x14ac:dyDescent="0.35">
      <c r="A251">
        <v>337614</v>
      </c>
      <c r="B251" t="s">
        <v>172</v>
      </c>
      <c r="C251" t="s">
        <v>173</v>
      </c>
      <c r="D251" s="2">
        <v>45777</v>
      </c>
      <c r="E251">
        <v>53850</v>
      </c>
      <c r="F251">
        <v>102</v>
      </c>
      <c r="G251" t="s">
        <v>151</v>
      </c>
      <c r="H251" t="s">
        <v>167</v>
      </c>
      <c r="I251" t="s">
        <v>45</v>
      </c>
      <c r="K251" t="s">
        <v>313</v>
      </c>
      <c r="L251">
        <v>1023308723724</v>
      </c>
      <c r="M251">
        <v>20250429</v>
      </c>
      <c r="N251" t="s">
        <v>175</v>
      </c>
      <c r="Q251" t="s">
        <v>47</v>
      </c>
      <c r="R251">
        <v>304550</v>
      </c>
      <c r="S251">
        <v>4250</v>
      </c>
      <c r="T251">
        <v>4892368</v>
      </c>
      <c r="U251">
        <v>8073540729</v>
      </c>
      <c r="V251" t="s">
        <v>403</v>
      </c>
      <c r="W251" t="s">
        <v>404</v>
      </c>
      <c r="X251" t="s">
        <v>70</v>
      </c>
      <c r="Y251" t="s">
        <v>51</v>
      </c>
      <c r="Z251">
        <v>1443</v>
      </c>
      <c r="AH251">
        <v>0</v>
      </c>
      <c r="AI251">
        <v>202504</v>
      </c>
      <c r="AJ251" t="s">
        <v>52</v>
      </c>
      <c r="AK251">
        <v>0</v>
      </c>
      <c r="AL251">
        <v>1</v>
      </c>
      <c r="AO251">
        <v>1</v>
      </c>
      <c r="AP251" t="s">
        <v>3015</v>
      </c>
      <c r="AQ251" t="s">
        <v>3064</v>
      </c>
      <c r="AR251" t="s">
        <v>3065</v>
      </c>
      <c r="AT251" t="s">
        <v>3017</v>
      </c>
      <c r="AU251" t="s">
        <v>3057</v>
      </c>
    </row>
    <row r="252" spans="1:47" x14ac:dyDescent="0.35">
      <c r="A252">
        <v>337613</v>
      </c>
      <c r="B252" t="s">
        <v>178</v>
      </c>
      <c r="C252" t="s">
        <v>179</v>
      </c>
      <c r="D252" s="2">
        <v>45777</v>
      </c>
      <c r="E252">
        <v>53850</v>
      </c>
      <c r="F252">
        <v>131</v>
      </c>
      <c r="G252" t="s">
        <v>216</v>
      </c>
      <c r="H252" t="s">
        <v>167</v>
      </c>
      <c r="I252" t="s">
        <v>45</v>
      </c>
      <c r="K252" t="s">
        <v>405</v>
      </c>
      <c r="L252">
        <v>1313300001607</v>
      </c>
      <c r="M252">
        <v>20250429</v>
      </c>
      <c r="N252" t="s">
        <v>3136</v>
      </c>
      <c r="Q252" t="s">
        <v>170</v>
      </c>
      <c r="R252">
        <v>4921.43</v>
      </c>
      <c r="S252">
        <v>0</v>
      </c>
      <c r="T252">
        <v>4130205</v>
      </c>
      <c r="U252" t="s">
        <v>337</v>
      </c>
      <c r="V252" t="s">
        <v>338</v>
      </c>
      <c r="W252" t="s">
        <v>187</v>
      </c>
      <c r="Y252" t="s">
        <v>51</v>
      </c>
      <c r="Z252">
        <v>826</v>
      </c>
      <c r="AH252">
        <v>0</v>
      </c>
      <c r="AI252">
        <v>202504</v>
      </c>
      <c r="AJ252" t="s">
        <v>86</v>
      </c>
      <c r="AK252">
        <v>1</v>
      </c>
      <c r="AL252">
        <v>1</v>
      </c>
      <c r="AO252">
        <v>1</v>
      </c>
      <c r="AP252" t="s">
        <v>3015</v>
      </c>
      <c r="AQ252" t="s">
        <v>3044</v>
      </c>
      <c r="AR252" t="s">
        <v>3045</v>
      </c>
      <c r="AS252" t="s">
        <v>3046</v>
      </c>
      <c r="AU252" t="s">
        <v>3046</v>
      </c>
    </row>
    <row r="253" spans="1:47" x14ac:dyDescent="0.35">
      <c r="A253">
        <v>337612</v>
      </c>
      <c r="B253" t="s">
        <v>178</v>
      </c>
      <c r="C253" t="s">
        <v>179</v>
      </c>
      <c r="D253" s="2">
        <v>45777</v>
      </c>
      <c r="E253">
        <v>53850</v>
      </c>
      <c r="F253">
        <v>103</v>
      </c>
      <c r="G253" t="s">
        <v>80</v>
      </c>
      <c r="H253" t="s">
        <v>167</v>
      </c>
      <c r="I253" t="s">
        <v>45</v>
      </c>
      <c r="K253">
        <v>202504297934709</v>
      </c>
      <c r="L253">
        <v>1033306986058</v>
      </c>
      <c r="M253">
        <v>20250429</v>
      </c>
      <c r="N253" t="s">
        <v>236</v>
      </c>
      <c r="P253" t="s">
        <v>51</v>
      </c>
      <c r="Q253" t="s">
        <v>170</v>
      </c>
      <c r="R253">
        <v>220000</v>
      </c>
      <c r="S253">
        <v>0</v>
      </c>
      <c r="T253">
        <v>3741812</v>
      </c>
      <c r="U253" t="s">
        <v>406</v>
      </c>
      <c r="V253" t="s">
        <v>407</v>
      </c>
      <c r="W253" t="s">
        <v>187</v>
      </c>
      <c r="Y253" t="s">
        <v>51</v>
      </c>
      <c r="Z253">
        <v>1224</v>
      </c>
      <c r="AH253">
        <v>0</v>
      </c>
      <c r="AI253">
        <v>202504</v>
      </c>
      <c r="AJ253" t="s">
        <v>86</v>
      </c>
      <c r="AK253">
        <v>1</v>
      </c>
      <c r="AL253">
        <v>1</v>
      </c>
      <c r="AO253">
        <v>0</v>
      </c>
      <c r="AP253" t="s">
        <v>3015</v>
      </c>
      <c r="AQ253" t="s">
        <v>3044</v>
      </c>
      <c r="AR253" t="s">
        <v>3045</v>
      </c>
      <c r="AS253" t="s">
        <v>3046</v>
      </c>
      <c r="AU253" t="s">
        <v>3046</v>
      </c>
    </row>
    <row r="254" spans="1:47" x14ac:dyDescent="0.35">
      <c r="A254">
        <v>337611</v>
      </c>
      <c r="B254" t="s">
        <v>214</v>
      </c>
      <c r="C254" t="s">
        <v>215</v>
      </c>
      <c r="D254" s="2">
        <v>45777</v>
      </c>
      <c r="E254">
        <v>53850</v>
      </c>
      <c r="F254">
        <v>140</v>
      </c>
      <c r="G254" t="s">
        <v>322</v>
      </c>
      <c r="H254" t="s">
        <v>167</v>
      </c>
      <c r="I254" t="s">
        <v>45</v>
      </c>
      <c r="K254">
        <v>202504297934892</v>
      </c>
      <c r="L254">
        <v>1403300004431</v>
      </c>
      <c r="M254">
        <v>20250429</v>
      </c>
      <c r="N254" t="s">
        <v>168</v>
      </c>
      <c r="P254" t="s">
        <v>217</v>
      </c>
      <c r="Q254" t="s">
        <v>170</v>
      </c>
      <c r="R254">
        <v>19000</v>
      </c>
      <c r="S254">
        <v>0</v>
      </c>
      <c r="T254">
        <v>3737491</v>
      </c>
      <c r="U254">
        <v>10184280963</v>
      </c>
      <c r="V254" t="s">
        <v>323</v>
      </c>
      <c r="W254" t="s">
        <v>49</v>
      </c>
      <c r="X254" t="s">
        <v>324</v>
      </c>
      <c r="Y254" t="s">
        <v>51</v>
      </c>
      <c r="Z254">
        <v>1403</v>
      </c>
      <c r="AH254">
        <v>0</v>
      </c>
      <c r="AI254">
        <v>202504</v>
      </c>
      <c r="AJ254" t="s">
        <v>52</v>
      </c>
      <c r="AK254">
        <v>0</v>
      </c>
      <c r="AL254">
        <v>1</v>
      </c>
      <c r="AO254">
        <v>0</v>
      </c>
      <c r="AP254" t="s">
        <v>3015</v>
      </c>
      <c r="AQ254" t="s">
        <v>3012</v>
      </c>
      <c r="AR254" t="s">
        <v>3016</v>
      </c>
      <c r="AT254" t="s">
        <v>3017</v>
      </c>
      <c r="AU254" t="s">
        <v>3018</v>
      </c>
    </row>
    <row r="255" spans="1:47" x14ac:dyDescent="0.35">
      <c r="A255">
        <v>337610</v>
      </c>
      <c r="B255" t="s">
        <v>172</v>
      </c>
      <c r="C255" t="s">
        <v>173</v>
      </c>
      <c r="D255" s="2">
        <v>45777</v>
      </c>
      <c r="E255">
        <v>53850</v>
      </c>
      <c r="F255">
        <v>114</v>
      </c>
      <c r="G255" t="s">
        <v>188</v>
      </c>
      <c r="H255" t="s">
        <v>167</v>
      </c>
      <c r="I255" t="s">
        <v>45</v>
      </c>
      <c r="K255">
        <v>202504297934801</v>
      </c>
      <c r="L255">
        <v>1143306280621</v>
      </c>
      <c r="M255">
        <v>20250429</v>
      </c>
      <c r="N255" t="s">
        <v>266</v>
      </c>
      <c r="Q255" t="s">
        <v>47</v>
      </c>
      <c r="R255">
        <v>55650</v>
      </c>
      <c r="S255">
        <v>55650</v>
      </c>
      <c r="T255">
        <v>4658875</v>
      </c>
      <c r="U255">
        <v>3230890711</v>
      </c>
      <c r="V255" t="s">
        <v>189</v>
      </c>
      <c r="W255" t="s">
        <v>190</v>
      </c>
      <c r="X255" t="s">
        <v>131</v>
      </c>
      <c r="Y255" t="s">
        <v>51</v>
      </c>
      <c r="Z255">
        <v>870</v>
      </c>
      <c r="AH255">
        <v>0</v>
      </c>
      <c r="AI255">
        <v>202504</v>
      </c>
      <c r="AJ255" t="s">
        <v>56</v>
      </c>
      <c r="AK255">
        <v>0</v>
      </c>
      <c r="AL255">
        <v>1</v>
      </c>
      <c r="AM255">
        <v>4658875</v>
      </c>
      <c r="AN255">
        <v>1</v>
      </c>
      <c r="AO255">
        <v>0</v>
      </c>
      <c r="AP255" t="s">
        <v>3033</v>
      </c>
      <c r="AQ255" t="s">
        <v>3047</v>
      </c>
      <c r="AR255" t="s">
        <v>3048</v>
      </c>
      <c r="AS255" t="s">
        <v>3049</v>
      </c>
      <c r="AU255" t="s">
        <v>3049</v>
      </c>
    </row>
    <row r="256" spans="1:47" x14ac:dyDescent="0.35">
      <c r="A256">
        <v>337609</v>
      </c>
      <c r="B256" t="s">
        <v>178</v>
      </c>
      <c r="C256" t="s">
        <v>179</v>
      </c>
      <c r="D256" s="2">
        <v>45777</v>
      </c>
      <c r="E256">
        <v>53850</v>
      </c>
      <c r="F256">
        <v>286</v>
      </c>
      <c r="G256" t="s">
        <v>408</v>
      </c>
      <c r="H256" t="s">
        <v>167</v>
      </c>
      <c r="I256" t="s">
        <v>45</v>
      </c>
      <c r="K256">
        <v>202504297935255</v>
      </c>
      <c r="L256">
        <v>2863300013572</v>
      </c>
      <c r="M256">
        <v>20250429</v>
      </c>
      <c r="N256" t="s">
        <v>3136</v>
      </c>
      <c r="Q256" t="s">
        <v>170</v>
      </c>
      <c r="R256">
        <v>53361.62</v>
      </c>
      <c r="S256">
        <v>0</v>
      </c>
      <c r="T256">
        <v>1630096</v>
      </c>
      <c r="U256" t="s">
        <v>409</v>
      </c>
      <c r="V256" t="s">
        <v>410</v>
      </c>
      <c r="W256" t="s">
        <v>187</v>
      </c>
      <c r="Y256" t="s">
        <v>51</v>
      </c>
      <c r="Z256">
        <v>1248</v>
      </c>
      <c r="AH256">
        <v>0</v>
      </c>
      <c r="AI256">
        <v>202504</v>
      </c>
      <c r="AJ256" t="s">
        <v>52</v>
      </c>
      <c r="AK256">
        <v>0</v>
      </c>
      <c r="AL256">
        <v>1</v>
      </c>
      <c r="AO256">
        <v>1</v>
      </c>
      <c r="AP256" t="s">
        <v>3015</v>
      </c>
      <c r="AQ256" t="s">
        <v>3044</v>
      </c>
      <c r="AR256" t="s">
        <v>3045</v>
      </c>
      <c r="AS256" t="s">
        <v>3046</v>
      </c>
      <c r="AU256" t="s">
        <v>3046</v>
      </c>
    </row>
    <row r="257" spans="1:47" x14ac:dyDescent="0.35">
      <c r="A257">
        <v>337608</v>
      </c>
      <c r="B257" t="s">
        <v>193</v>
      </c>
      <c r="C257" t="s">
        <v>194</v>
      </c>
      <c r="D257" s="2">
        <v>45777</v>
      </c>
      <c r="E257">
        <v>53850</v>
      </c>
      <c r="F257">
        <v>120</v>
      </c>
      <c r="G257" t="s">
        <v>411</v>
      </c>
      <c r="H257" t="s">
        <v>167</v>
      </c>
      <c r="I257" t="s">
        <v>45</v>
      </c>
      <c r="K257" t="s">
        <v>313</v>
      </c>
      <c r="L257">
        <v>1203300001670</v>
      </c>
      <c r="M257">
        <v>20250429</v>
      </c>
      <c r="N257" t="s">
        <v>175</v>
      </c>
      <c r="Q257" t="s">
        <v>47</v>
      </c>
      <c r="R257">
        <v>68335</v>
      </c>
      <c r="S257">
        <v>67135</v>
      </c>
      <c r="T257">
        <v>4510434</v>
      </c>
      <c r="U257">
        <v>6789440721</v>
      </c>
      <c r="V257" t="s">
        <v>412</v>
      </c>
      <c r="W257" t="s">
        <v>190</v>
      </c>
      <c r="X257" t="s">
        <v>413</v>
      </c>
      <c r="Y257" t="s">
        <v>51</v>
      </c>
      <c r="Z257">
        <v>1640</v>
      </c>
      <c r="AH257">
        <v>0</v>
      </c>
      <c r="AI257">
        <v>202504</v>
      </c>
      <c r="AJ257" t="s">
        <v>119</v>
      </c>
      <c r="AK257">
        <v>1</v>
      </c>
      <c r="AL257">
        <v>1</v>
      </c>
      <c r="AM257">
        <v>4510434</v>
      </c>
      <c r="AN257">
        <v>1</v>
      </c>
      <c r="AO257">
        <v>1</v>
      </c>
      <c r="AP257" t="s">
        <v>3015</v>
      </c>
      <c r="AQ257" t="s">
        <v>3047</v>
      </c>
      <c r="AR257" t="s">
        <v>3056</v>
      </c>
      <c r="AT257" t="s">
        <v>3017</v>
      </c>
      <c r="AU257" t="s">
        <v>3057</v>
      </c>
    </row>
    <row r="258" spans="1:47" x14ac:dyDescent="0.35">
      <c r="A258">
        <v>337607</v>
      </c>
      <c r="B258" t="s">
        <v>333</v>
      </c>
      <c r="C258" t="s">
        <v>334</v>
      </c>
      <c r="D258" s="2">
        <v>45777</v>
      </c>
      <c r="E258">
        <v>53850</v>
      </c>
      <c r="F258">
        <v>286</v>
      </c>
      <c r="G258" t="s">
        <v>408</v>
      </c>
      <c r="H258" t="s">
        <v>167</v>
      </c>
      <c r="I258" t="s">
        <v>45</v>
      </c>
      <c r="K258">
        <v>202504297935254</v>
      </c>
      <c r="M258">
        <v>20250429</v>
      </c>
      <c r="N258" t="s">
        <v>3136</v>
      </c>
      <c r="Q258" t="s">
        <v>170</v>
      </c>
      <c r="R258">
        <v>53361.62</v>
      </c>
      <c r="S258">
        <v>0</v>
      </c>
      <c r="T258">
        <v>1630096</v>
      </c>
      <c r="U258" t="s">
        <v>409</v>
      </c>
      <c r="V258" t="s">
        <v>410</v>
      </c>
      <c r="W258" t="s">
        <v>187</v>
      </c>
      <c r="Y258" t="s">
        <v>51</v>
      </c>
      <c r="Z258">
        <v>1248</v>
      </c>
      <c r="AH258">
        <v>0</v>
      </c>
      <c r="AI258">
        <v>202504</v>
      </c>
      <c r="AJ258" t="s">
        <v>52</v>
      </c>
      <c r="AK258">
        <v>0</v>
      </c>
      <c r="AL258">
        <v>0</v>
      </c>
      <c r="AO258">
        <v>1</v>
      </c>
      <c r="AP258" t="s">
        <v>3015</v>
      </c>
      <c r="AQ258" t="s">
        <v>3044</v>
      </c>
      <c r="AR258" t="s">
        <v>3045</v>
      </c>
      <c r="AS258" t="s">
        <v>3046</v>
      </c>
      <c r="AU258" t="s">
        <v>3046</v>
      </c>
    </row>
    <row r="259" spans="1:47" x14ac:dyDescent="0.35">
      <c r="A259">
        <v>337606</v>
      </c>
      <c r="B259" t="s">
        <v>178</v>
      </c>
      <c r="C259" t="s">
        <v>179</v>
      </c>
      <c r="D259" s="2">
        <v>45777</v>
      </c>
      <c r="E259">
        <v>53850</v>
      </c>
      <c r="F259">
        <v>273</v>
      </c>
      <c r="G259" t="s">
        <v>133</v>
      </c>
      <c r="H259" t="s">
        <v>167</v>
      </c>
      <c r="I259" t="s">
        <v>45</v>
      </c>
      <c r="K259">
        <v>202504297932757</v>
      </c>
      <c r="L259">
        <v>2733300004156</v>
      </c>
      <c r="M259">
        <v>20250429</v>
      </c>
      <c r="N259" t="s">
        <v>46</v>
      </c>
      <c r="P259" t="s">
        <v>51</v>
      </c>
      <c r="Q259" t="s">
        <v>47</v>
      </c>
      <c r="R259">
        <v>1600000</v>
      </c>
      <c r="S259">
        <v>0</v>
      </c>
      <c r="T259">
        <v>1695938</v>
      </c>
      <c r="U259">
        <v>2232960159</v>
      </c>
      <c r="V259" t="s">
        <v>311</v>
      </c>
      <c r="W259" t="s">
        <v>49</v>
      </c>
      <c r="X259" t="s">
        <v>312</v>
      </c>
      <c r="Y259" t="s">
        <v>51</v>
      </c>
      <c r="Z259">
        <v>1856</v>
      </c>
      <c r="AH259">
        <v>0</v>
      </c>
      <c r="AI259">
        <v>202504</v>
      </c>
      <c r="AJ259" t="s">
        <v>52</v>
      </c>
      <c r="AK259">
        <v>0</v>
      </c>
      <c r="AL259">
        <v>1</v>
      </c>
      <c r="AO259">
        <v>0</v>
      </c>
      <c r="AP259" t="s">
        <v>3015</v>
      </c>
      <c r="AQ259" t="s">
        <v>3012</v>
      </c>
      <c r="AR259" t="s">
        <v>3016</v>
      </c>
      <c r="AT259" t="s">
        <v>3017</v>
      </c>
      <c r="AU259" t="s">
        <v>3018</v>
      </c>
    </row>
    <row r="260" spans="1:47" x14ac:dyDescent="0.35">
      <c r="A260">
        <v>337605</v>
      </c>
      <c r="B260" t="s">
        <v>214</v>
      </c>
      <c r="C260" t="s">
        <v>215</v>
      </c>
      <c r="D260" s="2">
        <v>45776</v>
      </c>
      <c r="E260">
        <v>53850</v>
      </c>
      <c r="F260">
        <v>102</v>
      </c>
      <c r="G260" t="s">
        <v>151</v>
      </c>
      <c r="H260" t="s">
        <v>167</v>
      </c>
      <c r="I260" t="s">
        <v>45</v>
      </c>
      <c r="K260">
        <v>202504287929927</v>
      </c>
      <c r="L260">
        <v>1023308727640</v>
      </c>
      <c r="M260">
        <v>20250428</v>
      </c>
      <c r="N260" t="s">
        <v>168</v>
      </c>
      <c r="P260" t="s">
        <v>414</v>
      </c>
      <c r="Q260" t="s">
        <v>47</v>
      </c>
      <c r="R260">
        <v>31215</v>
      </c>
      <c r="S260">
        <v>0</v>
      </c>
      <c r="T260">
        <v>3728814</v>
      </c>
      <c r="U260">
        <v>5509200720</v>
      </c>
      <c r="V260" t="s">
        <v>415</v>
      </c>
      <c r="W260" t="s">
        <v>49</v>
      </c>
      <c r="X260" t="s">
        <v>257</v>
      </c>
      <c r="Y260" t="s">
        <v>51</v>
      </c>
      <c r="Z260">
        <v>739</v>
      </c>
      <c r="AH260">
        <v>0</v>
      </c>
      <c r="AI260">
        <v>202504</v>
      </c>
      <c r="AJ260" t="s">
        <v>86</v>
      </c>
      <c r="AK260">
        <v>1</v>
      </c>
      <c r="AL260">
        <v>1</v>
      </c>
      <c r="AO260">
        <v>0</v>
      </c>
      <c r="AP260" t="s">
        <v>3015</v>
      </c>
      <c r="AQ260" t="s">
        <v>3012</v>
      </c>
      <c r="AR260" t="s">
        <v>3016</v>
      </c>
      <c r="AT260" t="s">
        <v>3017</v>
      </c>
      <c r="AU260" t="s">
        <v>3018</v>
      </c>
    </row>
    <row r="261" spans="1:47" x14ac:dyDescent="0.35">
      <c r="A261">
        <v>337604</v>
      </c>
      <c r="B261" t="s">
        <v>178</v>
      </c>
      <c r="C261" t="s">
        <v>179</v>
      </c>
      <c r="D261" s="2">
        <v>45776</v>
      </c>
      <c r="E261">
        <v>53850</v>
      </c>
      <c r="F261">
        <v>125</v>
      </c>
      <c r="G261" t="s">
        <v>75</v>
      </c>
      <c r="H261" t="s">
        <v>167</v>
      </c>
      <c r="I261" t="s">
        <v>45</v>
      </c>
      <c r="K261">
        <v>202504287930608</v>
      </c>
      <c r="L261">
        <v>1253300001106</v>
      </c>
      <c r="M261">
        <v>20250428</v>
      </c>
      <c r="N261" t="s">
        <v>416</v>
      </c>
      <c r="Q261" t="s">
        <v>170</v>
      </c>
      <c r="R261">
        <v>600000</v>
      </c>
      <c r="S261">
        <v>0</v>
      </c>
      <c r="T261">
        <v>4519282</v>
      </c>
      <c r="U261">
        <v>6193171219</v>
      </c>
      <c r="V261" t="s">
        <v>417</v>
      </c>
      <c r="W261" t="s">
        <v>49</v>
      </c>
      <c r="X261" t="s">
        <v>418</v>
      </c>
      <c r="Y261" t="s">
        <v>51</v>
      </c>
      <c r="Z261">
        <v>982</v>
      </c>
      <c r="AH261">
        <v>0</v>
      </c>
      <c r="AI261">
        <v>202504</v>
      </c>
      <c r="AJ261" t="s">
        <v>52</v>
      </c>
      <c r="AK261">
        <v>0</v>
      </c>
      <c r="AL261">
        <v>1</v>
      </c>
      <c r="AO261">
        <v>0</v>
      </c>
      <c r="AP261" t="s">
        <v>3066</v>
      </c>
      <c r="AQ261" t="s">
        <v>3012</v>
      </c>
      <c r="AR261" t="s">
        <v>3067</v>
      </c>
      <c r="AS261" t="s">
        <v>3014</v>
      </c>
      <c r="AU261" t="s">
        <v>3014</v>
      </c>
    </row>
    <row r="262" spans="1:47" x14ac:dyDescent="0.35">
      <c r="A262">
        <v>337603</v>
      </c>
      <c r="B262" t="s">
        <v>178</v>
      </c>
      <c r="C262" t="s">
        <v>179</v>
      </c>
      <c r="D262" s="2">
        <v>45776</v>
      </c>
      <c r="E262">
        <v>53850</v>
      </c>
      <c r="F262">
        <v>188</v>
      </c>
      <c r="G262" t="s">
        <v>419</v>
      </c>
      <c r="H262" t="s">
        <v>167</v>
      </c>
      <c r="I262" t="s">
        <v>45</v>
      </c>
      <c r="K262">
        <v>202504287930935</v>
      </c>
      <c r="L262">
        <v>1883300028081</v>
      </c>
      <c r="M262">
        <v>20250428</v>
      </c>
      <c r="N262" t="s">
        <v>416</v>
      </c>
      <c r="Q262" t="s">
        <v>170</v>
      </c>
      <c r="R262">
        <v>500000</v>
      </c>
      <c r="S262">
        <v>0</v>
      </c>
      <c r="T262">
        <v>3001543</v>
      </c>
      <c r="U262">
        <v>943900738</v>
      </c>
      <c r="V262" t="s">
        <v>420</v>
      </c>
      <c r="W262" t="s">
        <v>49</v>
      </c>
      <c r="X262" t="s">
        <v>421</v>
      </c>
      <c r="Y262" t="s">
        <v>51</v>
      </c>
      <c r="Z262">
        <v>1627</v>
      </c>
      <c r="AH262">
        <v>0</v>
      </c>
      <c r="AI262">
        <v>202504</v>
      </c>
      <c r="AJ262" t="s">
        <v>52</v>
      </c>
      <c r="AK262">
        <v>0</v>
      </c>
      <c r="AL262">
        <v>1</v>
      </c>
      <c r="AM262">
        <v>3001543</v>
      </c>
      <c r="AN262">
        <v>1</v>
      </c>
      <c r="AO262">
        <v>0</v>
      </c>
      <c r="AP262" t="s">
        <v>3015</v>
      </c>
      <c r="AQ262" t="s">
        <v>3012</v>
      </c>
      <c r="AR262" t="s">
        <v>3016</v>
      </c>
      <c r="AT262" t="s">
        <v>3017</v>
      </c>
      <c r="AU262" t="s">
        <v>3018</v>
      </c>
    </row>
    <row r="263" spans="1:47" x14ac:dyDescent="0.35">
      <c r="A263">
        <v>337602</v>
      </c>
      <c r="B263" t="s">
        <v>193</v>
      </c>
      <c r="C263" t="s">
        <v>194</v>
      </c>
      <c r="D263" s="2">
        <v>45776</v>
      </c>
      <c r="E263">
        <v>53850</v>
      </c>
      <c r="F263">
        <v>181</v>
      </c>
      <c r="G263" t="s">
        <v>180</v>
      </c>
      <c r="H263" t="s">
        <v>167</v>
      </c>
      <c r="I263" t="s">
        <v>45</v>
      </c>
      <c r="K263">
        <v>202504287931658</v>
      </c>
      <c r="L263">
        <v>1813301029924</v>
      </c>
      <c r="M263">
        <v>20250428</v>
      </c>
      <c r="N263" t="s">
        <v>266</v>
      </c>
      <c r="Q263" t="s">
        <v>47</v>
      </c>
      <c r="R263">
        <v>32480</v>
      </c>
      <c r="S263">
        <v>32480</v>
      </c>
      <c r="T263">
        <v>4948468</v>
      </c>
      <c r="U263" t="s">
        <v>422</v>
      </c>
      <c r="V263" t="s">
        <v>423</v>
      </c>
      <c r="W263" t="s">
        <v>69</v>
      </c>
      <c r="X263" t="s">
        <v>55</v>
      </c>
      <c r="Y263" t="s">
        <v>51</v>
      </c>
      <c r="Z263">
        <v>1943</v>
      </c>
      <c r="AH263">
        <v>0</v>
      </c>
      <c r="AI263">
        <v>202504</v>
      </c>
      <c r="AJ263" t="s">
        <v>119</v>
      </c>
      <c r="AK263">
        <v>1</v>
      </c>
      <c r="AL263">
        <v>1</v>
      </c>
      <c r="AM263">
        <v>4948468</v>
      </c>
      <c r="AN263">
        <v>1</v>
      </c>
      <c r="AO263">
        <v>0</v>
      </c>
      <c r="AP263" t="s">
        <v>3015</v>
      </c>
      <c r="AQ263" t="s">
        <v>3021</v>
      </c>
      <c r="AR263" t="s">
        <v>3022</v>
      </c>
      <c r="AT263" t="s">
        <v>3017</v>
      </c>
      <c r="AU263" t="s">
        <v>3014</v>
      </c>
    </row>
    <row r="264" spans="1:47" x14ac:dyDescent="0.35">
      <c r="A264">
        <v>337601</v>
      </c>
      <c r="B264" t="s">
        <v>193</v>
      </c>
      <c r="C264" t="s">
        <v>194</v>
      </c>
      <c r="D264" s="2">
        <v>45776</v>
      </c>
      <c r="E264">
        <v>53850</v>
      </c>
      <c r="F264">
        <v>170</v>
      </c>
      <c r="G264" t="s">
        <v>211</v>
      </c>
      <c r="H264" t="s">
        <v>167</v>
      </c>
      <c r="I264" t="s">
        <v>45</v>
      </c>
      <c r="K264" t="s">
        <v>424</v>
      </c>
      <c r="L264">
        <v>1703300000428</v>
      </c>
      <c r="M264">
        <v>20250428</v>
      </c>
      <c r="N264" t="s">
        <v>195</v>
      </c>
      <c r="Q264" t="s">
        <v>47</v>
      </c>
      <c r="R264">
        <v>50000</v>
      </c>
      <c r="S264">
        <v>50000</v>
      </c>
      <c r="T264">
        <v>4833134</v>
      </c>
      <c r="U264">
        <v>7323170725</v>
      </c>
      <c r="V264" t="s">
        <v>425</v>
      </c>
      <c r="W264" t="s">
        <v>49</v>
      </c>
      <c r="X264" t="s">
        <v>413</v>
      </c>
      <c r="Y264" t="s">
        <v>51</v>
      </c>
      <c r="Z264">
        <v>694</v>
      </c>
      <c r="AH264">
        <v>0</v>
      </c>
      <c r="AI264">
        <v>202504</v>
      </c>
      <c r="AJ264" t="s">
        <v>56</v>
      </c>
      <c r="AK264">
        <v>0</v>
      </c>
      <c r="AL264">
        <v>1</v>
      </c>
      <c r="AM264">
        <v>4833134</v>
      </c>
      <c r="AN264">
        <v>1</v>
      </c>
      <c r="AO264">
        <v>0</v>
      </c>
      <c r="AP264" t="s">
        <v>3015</v>
      </c>
      <c r="AQ264" t="s">
        <v>3012</v>
      </c>
      <c r="AR264" t="s">
        <v>3016</v>
      </c>
      <c r="AT264" t="s">
        <v>3017</v>
      </c>
      <c r="AU264" t="s">
        <v>3018</v>
      </c>
    </row>
    <row r="265" spans="1:47" x14ac:dyDescent="0.35">
      <c r="A265">
        <v>337600</v>
      </c>
      <c r="B265" t="s">
        <v>172</v>
      </c>
      <c r="C265" t="s">
        <v>173</v>
      </c>
      <c r="D265" s="2">
        <v>45776</v>
      </c>
      <c r="E265">
        <v>53850</v>
      </c>
      <c r="F265">
        <v>102</v>
      </c>
      <c r="G265" t="s">
        <v>151</v>
      </c>
      <c r="H265" t="s">
        <v>167</v>
      </c>
      <c r="I265" t="s">
        <v>45</v>
      </c>
      <c r="K265" t="s">
        <v>424</v>
      </c>
      <c r="L265">
        <v>1023300660520</v>
      </c>
      <c r="M265">
        <v>20250428</v>
      </c>
      <c r="N265" t="s">
        <v>175</v>
      </c>
      <c r="Q265" t="s">
        <v>47</v>
      </c>
      <c r="R265">
        <v>104142</v>
      </c>
      <c r="S265">
        <v>48830</v>
      </c>
      <c r="T265">
        <v>66052</v>
      </c>
      <c r="U265">
        <v>398110726</v>
      </c>
      <c r="V265" t="s">
        <v>426</v>
      </c>
      <c r="W265" t="s">
        <v>49</v>
      </c>
      <c r="X265" t="s">
        <v>59</v>
      </c>
      <c r="Y265" t="s">
        <v>51</v>
      </c>
      <c r="Z265">
        <v>1203</v>
      </c>
      <c r="AH265">
        <v>0</v>
      </c>
      <c r="AI265">
        <v>202504</v>
      </c>
      <c r="AJ265" t="s">
        <v>119</v>
      </c>
      <c r="AK265">
        <v>1</v>
      </c>
      <c r="AL265">
        <v>1</v>
      </c>
      <c r="AM265">
        <v>66052</v>
      </c>
      <c r="AN265">
        <v>1</v>
      </c>
      <c r="AO265">
        <v>1</v>
      </c>
      <c r="AP265" t="s">
        <v>3015</v>
      </c>
      <c r="AQ265" t="s">
        <v>3012</v>
      </c>
      <c r="AR265" t="s">
        <v>3016</v>
      </c>
      <c r="AT265" t="s">
        <v>3017</v>
      </c>
      <c r="AU265" t="s">
        <v>3018</v>
      </c>
    </row>
    <row r="266" spans="1:47" x14ac:dyDescent="0.35">
      <c r="A266">
        <v>337599</v>
      </c>
      <c r="B266" t="s">
        <v>164</v>
      </c>
      <c r="C266" t="s">
        <v>165</v>
      </c>
      <c r="D266" s="2">
        <v>45776</v>
      </c>
      <c r="E266">
        <v>53850</v>
      </c>
      <c r="F266">
        <v>274</v>
      </c>
      <c r="G266" t="s">
        <v>427</v>
      </c>
      <c r="H266" t="s">
        <v>167</v>
      </c>
      <c r="I266" t="s">
        <v>45</v>
      </c>
      <c r="K266" t="s">
        <v>428</v>
      </c>
      <c r="L266">
        <v>2743300000272</v>
      </c>
      <c r="M266">
        <v>20250428</v>
      </c>
      <c r="N266" t="s">
        <v>168</v>
      </c>
      <c r="P266" t="s">
        <v>255</v>
      </c>
      <c r="Q266" t="s">
        <v>47</v>
      </c>
      <c r="R266">
        <v>2173.56</v>
      </c>
      <c r="S266">
        <v>0</v>
      </c>
      <c r="T266">
        <v>1622875</v>
      </c>
      <c r="U266">
        <v>1689300695</v>
      </c>
      <c r="V266" t="s">
        <v>429</v>
      </c>
      <c r="W266" t="s">
        <v>49</v>
      </c>
      <c r="X266" t="s">
        <v>430</v>
      </c>
      <c r="Y266" t="s">
        <v>51</v>
      </c>
      <c r="Z266">
        <v>1413</v>
      </c>
      <c r="AH266">
        <v>0</v>
      </c>
      <c r="AI266">
        <v>202504</v>
      </c>
      <c r="AJ266" t="s">
        <v>52</v>
      </c>
      <c r="AK266">
        <v>0</v>
      </c>
      <c r="AL266">
        <v>1</v>
      </c>
      <c r="AO266">
        <v>0</v>
      </c>
      <c r="AP266" t="s">
        <v>3015</v>
      </c>
      <c r="AQ266" t="s">
        <v>3012</v>
      </c>
      <c r="AR266" t="s">
        <v>3016</v>
      </c>
      <c r="AT266" t="s">
        <v>3017</v>
      </c>
      <c r="AU266" t="s">
        <v>3018</v>
      </c>
    </row>
    <row r="267" spans="1:47" x14ac:dyDescent="0.35">
      <c r="A267">
        <v>337598</v>
      </c>
      <c r="B267" t="s">
        <v>178</v>
      </c>
      <c r="C267" t="s">
        <v>179</v>
      </c>
      <c r="D267" s="2">
        <v>45776</v>
      </c>
      <c r="E267">
        <v>53850</v>
      </c>
      <c r="F267">
        <v>226</v>
      </c>
      <c r="G267" t="s">
        <v>129</v>
      </c>
      <c r="H267" t="s">
        <v>167</v>
      </c>
      <c r="I267" t="s">
        <v>45</v>
      </c>
      <c r="K267">
        <v>202504287931770</v>
      </c>
      <c r="L267">
        <v>2263300011941</v>
      </c>
      <c r="M267">
        <v>20250428</v>
      </c>
      <c r="N267" t="s">
        <v>3136</v>
      </c>
      <c r="Q267" t="s">
        <v>170</v>
      </c>
      <c r="R267">
        <v>12994.01</v>
      </c>
      <c r="S267">
        <v>0</v>
      </c>
      <c r="T267">
        <v>3713253</v>
      </c>
      <c r="U267">
        <v>8840260726</v>
      </c>
      <c r="V267" t="s">
        <v>431</v>
      </c>
      <c r="W267" t="s">
        <v>190</v>
      </c>
      <c r="X267" t="s">
        <v>432</v>
      </c>
      <c r="Y267" t="s">
        <v>51</v>
      </c>
      <c r="Z267">
        <v>1932</v>
      </c>
      <c r="AH267">
        <v>0</v>
      </c>
      <c r="AI267">
        <v>202504</v>
      </c>
      <c r="AJ267" t="s">
        <v>86</v>
      </c>
      <c r="AK267">
        <v>1</v>
      </c>
      <c r="AL267">
        <v>1</v>
      </c>
      <c r="AO267">
        <v>1</v>
      </c>
      <c r="AP267" t="s">
        <v>3068</v>
      </c>
      <c r="AQ267" t="s">
        <v>3047</v>
      </c>
      <c r="AR267" t="s">
        <v>3069</v>
      </c>
      <c r="AS267" t="s">
        <v>3018</v>
      </c>
      <c r="AU267" t="s">
        <v>3018</v>
      </c>
    </row>
    <row r="268" spans="1:47" x14ac:dyDescent="0.35">
      <c r="A268">
        <v>337597</v>
      </c>
      <c r="B268" t="s">
        <v>193</v>
      </c>
      <c r="C268" t="s">
        <v>194</v>
      </c>
      <c r="D268" s="2">
        <v>45776</v>
      </c>
      <c r="E268">
        <v>53850</v>
      </c>
      <c r="F268">
        <v>175</v>
      </c>
      <c r="G268" t="s">
        <v>99</v>
      </c>
      <c r="H268" t="s">
        <v>167</v>
      </c>
      <c r="I268" t="s">
        <v>45</v>
      </c>
      <c r="K268" t="s">
        <v>424</v>
      </c>
      <c r="L268">
        <v>1753302203127</v>
      </c>
      <c r="M268">
        <v>20250428</v>
      </c>
      <c r="N268" t="s">
        <v>175</v>
      </c>
      <c r="Q268" t="s">
        <v>47</v>
      </c>
      <c r="R268">
        <v>115615.55</v>
      </c>
      <c r="S268">
        <v>47710</v>
      </c>
      <c r="T268">
        <v>4160138</v>
      </c>
      <c r="U268">
        <v>484200779</v>
      </c>
      <c r="V268" t="s">
        <v>100</v>
      </c>
      <c r="W268" t="s">
        <v>49</v>
      </c>
      <c r="X268" t="s">
        <v>101</v>
      </c>
      <c r="Y268" t="s">
        <v>51</v>
      </c>
      <c r="Z268">
        <v>739</v>
      </c>
      <c r="AH268">
        <v>0</v>
      </c>
      <c r="AI268">
        <v>202504</v>
      </c>
      <c r="AJ268" t="s">
        <v>86</v>
      </c>
      <c r="AK268">
        <v>1</v>
      </c>
      <c r="AL268">
        <v>1</v>
      </c>
      <c r="AM268">
        <v>4160138</v>
      </c>
      <c r="AN268">
        <v>1</v>
      </c>
      <c r="AO268">
        <v>1</v>
      </c>
      <c r="AP268" t="s">
        <v>3015</v>
      </c>
      <c r="AQ268" t="s">
        <v>3012</v>
      </c>
      <c r="AR268" t="s">
        <v>3016</v>
      </c>
      <c r="AT268" t="s">
        <v>3017</v>
      </c>
      <c r="AU268" t="s">
        <v>3018</v>
      </c>
    </row>
    <row r="269" spans="1:47" x14ac:dyDescent="0.35">
      <c r="A269">
        <v>337596</v>
      </c>
      <c r="B269" t="s">
        <v>164</v>
      </c>
      <c r="C269" t="s">
        <v>165</v>
      </c>
      <c r="D269" s="2">
        <v>45776</v>
      </c>
      <c r="E269">
        <v>53850</v>
      </c>
      <c r="F269">
        <v>282</v>
      </c>
      <c r="G269" t="s">
        <v>433</v>
      </c>
      <c r="H269" t="s">
        <v>167</v>
      </c>
      <c r="I269" t="s">
        <v>45</v>
      </c>
      <c r="K269" t="s">
        <v>434</v>
      </c>
      <c r="L269">
        <v>2823300001773</v>
      </c>
      <c r="M269">
        <v>20250428</v>
      </c>
      <c r="N269" t="s">
        <v>168</v>
      </c>
      <c r="P269" t="s">
        <v>435</v>
      </c>
      <c r="Q269" t="s">
        <v>47</v>
      </c>
      <c r="R269">
        <v>3000</v>
      </c>
      <c r="S269">
        <v>0</v>
      </c>
      <c r="T269">
        <v>1669726</v>
      </c>
      <c r="U269" t="s">
        <v>436</v>
      </c>
      <c r="V269" t="s">
        <v>437</v>
      </c>
      <c r="W269" t="s">
        <v>187</v>
      </c>
      <c r="Y269" t="s">
        <v>51</v>
      </c>
      <c r="Z269">
        <v>1802</v>
      </c>
      <c r="AH269">
        <v>0</v>
      </c>
      <c r="AI269">
        <v>202504</v>
      </c>
      <c r="AJ269" t="s">
        <v>52</v>
      </c>
      <c r="AK269">
        <v>0</v>
      </c>
      <c r="AL269">
        <v>1</v>
      </c>
      <c r="AO269">
        <v>0</v>
      </c>
      <c r="AP269" t="s">
        <v>3015</v>
      </c>
      <c r="AQ269" t="s">
        <v>3044</v>
      </c>
      <c r="AR269" t="s">
        <v>3045</v>
      </c>
      <c r="AS269" t="s">
        <v>3046</v>
      </c>
      <c r="AU269" t="s">
        <v>3046</v>
      </c>
    </row>
    <row r="270" spans="1:47" x14ac:dyDescent="0.35">
      <c r="A270">
        <v>337595</v>
      </c>
      <c r="B270" t="s">
        <v>193</v>
      </c>
      <c r="C270" t="s">
        <v>194</v>
      </c>
      <c r="D270" s="2">
        <v>45776</v>
      </c>
      <c r="E270">
        <v>53850</v>
      </c>
      <c r="F270">
        <v>187</v>
      </c>
      <c r="G270" t="s">
        <v>251</v>
      </c>
      <c r="H270" t="s">
        <v>167</v>
      </c>
      <c r="I270" t="s">
        <v>45</v>
      </c>
      <c r="K270" t="s">
        <v>424</v>
      </c>
      <c r="L270">
        <v>1873300105200</v>
      </c>
      <c r="M270">
        <v>20250428</v>
      </c>
      <c r="N270" t="s">
        <v>195</v>
      </c>
      <c r="Q270" t="s">
        <v>47</v>
      </c>
      <c r="R270">
        <v>35920</v>
      </c>
      <c r="S270">
        <v>35920</v>
      </c>
      <c r="T270">
        <v>4158777</v>
      </c>
      <c r="U270">
        <v>2370460731</v>
      </c>
      <c r="V270" t="s">
        <v>438</v>
      </c>
      <c r="W270" t="s">
        <v>49</v>
      </c>
      <c r="X270" t="s">
        <v>117</v>
      </c>
      <c r="Y270" t="s">
        <v>51</v>
      </c>
      <c r="Z270">
        <v>1627</v>
      </c>
      <c r="AH270">
        <v>0</v>
      </c>
      <c r="AI270">
        <v>202504</v>
      </c>
      <c r="AJ270" t="s">
        <v>56</v>
      </c>
      <c r="AK270">
        <v>0</v>
      </c>
      <c r="AL270">
        <v>1</v>
      </c>
      <c r="AM270">
        <v>4158777</v>
      </c>
      <c r="AN270">
        <v>1</v>
      </c>
      <c r="AO270">
        <v>0</v>
      </c>
      <c r="AP270" t="s">
        <v>3029</v>
      </c>
      <c r="AQ270" t="s">
        <v>3012</v>
      </c>
      <c r="AR270" t="s">
        <v>3030</v>
      </c>
      <c r="AS270" t="s">
        <v>3014</v>
      </c>
      <c r="AU270" t="s">
        <v>3014</v>
      </c>
    </row>
    <row r="271" spans="1:47" x14ac:dyDescent="0.35">
      <c r="A271">
        <v>337594</v>
      </c>
      <c r="B271" t="s">
        <v>193</v>
      </c>
      <c r="C271" t="s">
        <v>194</v>
      </c>
      <c r="D271" s="2">
        <v>45776</v>
      </c>
      <c r="E271">
        <v>53850</v>
      </c>
      <c r="F271">
        <v>171</v>
      </c>
      <c r="G271" t="s">
        <v>198</v>
      </c>
      <c r="H271" t="s">
        <v>167</v>
      </c>
      <c r="I271" t="s">
        <v>45</v>
      </c>
      <c r="K271" t="s">
        <v>424</v>
      </c>
      <c r="L271">
        <v>1713305728950</v>
      </c>
      <c r="M271">
        <v>20250428</v>
      </c>
      <c r="N271" t="s">
        <v>195</v>
      </c>
      <c r="Q271" t="s">
        <v>47</v>
      </c>
      <c r="R271">
        <v>318875.83</v>
      </c>
      <c r="S271">
        <v>318875.83</v>
      </c>
      <c r="T271">
        <v>572895</v>
      </c>
      <c r="U271">
        <v>4161600723</v>
      </c>
      <c r="V271" t="s">
        <v>199</v>
      </c>
      <c r="W271" t="s">
        <v>49</v>
      </c>
      <c r="X271" t="s">
        <v>200</v>
      </c>
      <c r="Y271" t="s">
        <v>51</v>
      </c>
      <c r="Z271">
        <v>1903</v>
      </c>
      <c r="AH271">
        <v>0</v>
      </c>
      <c r="AI271">
        <v>202504</v>
      </c>
      <c r="AJ271" t="s">
        <v>56</v>
      </c>
      <c r="AK271">
        <v>0</v>
      </c>
      <c r="AL271">
        <v>1</v>
      </c>
      <c r="AM271">
        <v>572895</v>
      </c>
      <c r="AN271">
        <v>1</v>
      </c>
      <c r="AO271">
        <v>0</v>
      </c>
      <c r="AP271" t="s">
        <v>3015</v>
      </c>
      <c r="AQ271" t="s">
        <v>3012</v>
      </c>
      <c r="AR271" t="s">
        <v>3016</v>
      </c>
      <c r="AT271" t="s">
        <v>3017</v>
      </c>
      <c r="AU271" t="s">
        <v>3018</v>
      </c>
    </row>
    <row r="272" spans="1:47" x14ac:dyDescent="0.35">
      <c r="A272">
        <v>337593</v>
      </c>
      <c r="B272" t="s">
        <v>172</v>
      </c>
      <c r="C272" t="s">
        <v>173</v>
      </c>
      <c r="D272" s="2">
        <v>45776</v>
      </c>
      <c r="E272">
        <v>53850</v>
      </c>
      <c r="F272">
        <v>267</v>
      </c>
      <c r="G272" t="s">
        <v>349</v>
      </c>
      <c r="H272" t="s">
        <v>167</v>
      </c>
      <c r="I272" t="s">
        <v>45</v>
      </c>
      <c r="K272">
        <v>202504287931837</v>
      </c>
      <c r="L272">
        <v>2673300003600</v>
      </c>
      <c r="M272">
        <v>20250428</v>
      </c>
      <c r="N272" t="s">
        <v>266</v>
      </c>
      <c r="Q272" t="s">
        <v>47</v>
      </c>
      <c r="R272">
        <v>115000</v>
      </c>
      <c r="S272">
        <v>115000</v>
      </c>
      <c r="T272">
        <v>1705101</v>
      </c>
      <c r="U272">
        <v>2896870793</v>
      </c>
      <c r="V272" t="s">
        <v>439</v>
      </c>
      <c r="W272" t="s">
        <v>190</v>
      </c>
      <c r="X272" t="s">
        <v>200</v>
      </c>
      <c r="Y272" t="s">
        <v>51</v>
      </c>
      <c r="Z272">
        <v>1878</v>
      </c>
      <c r="AH272">
        <v>0</v>
      </c>
      <c r="AI272">
        <v>202504</v>
      </c>
      <c r="AJ272" t="s">
        <v>56</v>
      </c>
      <c r="AK272">
        <v>0</v>
      </c>
      <c r="AL272">
        <v>1</v>
      </c>
      <c r="AM272">
        <v>1705101</v>
      </c>
      <c r="AN272">
        <v>1</v>
      </c>
      <c r="AO272">
        <v>0</v>
      </c>
      <c r="AP272" t="s">
        <v>3015</v>
      </c>
      <c r="AQ272" t="s">
        <v>3047</v>
      </c>
      <c r="AR272" t="s">
        <v>3056</v>
      </c>
      <c r="AT272" t="s">
        <v>3017</v>
      </c>
      <c r="AU272" t="s">
        <v>3057</v>
      </c>
    </row>
    <row r="273" spans="1:47" x14ac:dyDescent="0.35">
      <c r="A273">
        <v>337592</v>
      </c>
      <c r="B273" t="s">
        <v>193</v>
      </c>
      <c r="C273" t="s">
        <v>194</v>
      </c>
      <c r="D273" s="2">
        <v>45776</v>
      </c>
      <c r="E273">
        <v>53850</v>
      </c>
      <c r="F273">
        <v>286</v>
      </c>
      <c r="G273" t="s">
        <v>408</v>
      </c>
      <c r="H273" t="s">
        <v>167</v>
      </c>
      <c r="I273" t="s">
        <v>45</v>
      </c>
      <c r="K273">
        <v>202504287931915</v>
      </c>
      <c r="L273">
        <v>2863300003329</v>
      </c>
      <c r="M273">
        <v>20250428</v>
      </c>
      <c r="N273" t="s">
        <v>266</v>
      </c>
      <c r="Q273" t="s">
        <v>47</v>
      </c>
      <c r="R273">
        <v>16000</v>
      </c>
      <c r="S273">
        <v>16000</v>
      </c>
      <c r="T273">
        <v>1629520</v>
      </c>
      <c r="U273" t="s">
        <v>440</v>
      </c>
      <c r="V273" t="s">
        <v>441</v>
      </c>
      <c r="W273" t="s">
        <v>69</v>
      </c>
      <c r="X273" t="s">
        <v>131</v>
      </c>
      <c r="Y273" t="s">
        <v>51</v>
      </c>
      <c r="Z273">
        <v>1841</v>
      </c>
      <c r="AH273">
        <v>0</v>
      </c>
      <c r="AI273">
        <v>202504</v>
      </c>
      <c r="AJ273" t="s">
        <v>56</v>
      </c>
      <c r="AK273">
        <v>0</v>
      </c>
      <c r="AL273">
        <v>1</v>
      </c>
      <c r="AM273">
        <v>1629520</v>
      </c>
      <c r="AN273">
        <v>1</v>
      </c>
      <c r="AO273">
        <v>0</v>
      </c>
      <c r="AP273" t="s">
        <v>3033</v>
      </c>
      <c r="AQ273" t="s">
        <v>3021</v>
      </c>
      <c r="AR273" t="s">
        <v>3054</v>
      </c>
      <c r="AS273" t="s">
        <v>3055</v>
      </c>
      <c r="AU273" t="s">
        <v>3055</v>
      </c>
    </row>
    <row r="274" spans="1:47" x14ac:dyDescent="0.35">
      <c r="A274">
        <v>337591</v>
      </c>
      <c r="B274" t="s">
        <v>178</v>
      </c>
      <c r="C274" t="s">
        <v>179</v>
      </c>
      <c r="D274" s="2">
        <v>45776</v>
      </c>
      <c r="E274">
        <v>53850</v>
      </c>
      <c r="F274">
        <v>116</v>
      </c>
      <c r="G274" t="s">
        <v>126</v>
      </c>
      <c r="H274" t="s">
        <v>167</v>
      </c>
      <c r="I274" t="s">
        <v>45</v>
      </c>
      <c r="K274">
        <v>202504287931355</v>
      </c>
      <c r="L274">
        <v>1163307623534</v>
      </c>
      <c r="M274">
        <v>20250428</v>
      </c>
      <c r="N274" t="s">
        <v>236</v>
      </c>
      <c r="Q274" t="s">
        <v>170</v>
      </c>
      <c r="R274">
        <v>357884.01</v>
      </c>
      <c r="S274">
        <v>0</v>
      </c>
      <c r="T274">
        <v>455877</v>
      </c>
      <c r="U274" t="s">
        <v>442</v>
      </c>
      <c r="V274" t="s">
        <v>443</v>
      </c>
      <c r="W274" t="s">
        <v>187</v>
      </c>
      <c r="Y274" t="s">
        <v>51</v>
      </c>
      <c r="Z274">
        <v>733</v>
      </c>
      <c r="AH274">
        <v>0</v>
      </c>
      <c r="AI274">
        <v>202504</v>
      </c>
      <c r="AJ274" t="s">
        <v>86</v>
      </c>
      <c r="AK274">
        <v>1</v>
      </c>
      <c r="AL274">
        <v>1</v>
      </c>
      <c r="AO274">
        <v>0</v>
      </c>
      <c r="AP274" t="s">
        <v>3015</v>
      </c>
      <c r="AQ274" t="s">
        <v>3044</v>
      </c>
      <c r="AR274" t="s">
        <v>3045</v>
      </c>
      <c r="AS274" t="s">
        <v>3046</v>
      </c>
      <c r="AU274" t="s">
        <v>3046</v>
      </c>
    </row>
    <row r="275" spans="1:47" x14ac:dyDescent="0.35">
      <c r="A275">
        <v>337590</v>
      </c>
      <c r="B275" t="s">
        <v>193</v>
      </c>
      <c r="C275" t="s">
        <v>194</v>
      </c>
      <c r="D275" s="2">
        <v>45776</v>
      </c>
      <c r="E275">
        <v>53850</v>
      </c>
      <c r="F275">
        <v>104</v>
      </c>
      <c r="G275" t="s">
        <v>108</v>
      </c>
      <c r="H275" t="s">
        <v>167</v>
      </c>
      <c r="I275" t="s">
        <v>45</v>
      </c>
      <c r="K275" t="s">
        <v>424</v>
      </c>
      <c r="L275">
        <v>1043305922900</v>
      </c>
      <c r="M275">
        <v>20250428</v>
      </c>
      <c r="N275" t="s">
        <v>195</v>
      </c>
      <c r="Q275" t="s">
        <v>47</v>
      </c>
      <c r="R275">
        <v>34080</v>
      </c>
      <c r="S275">
        <v>34080</v>
      </c>
      <c r="T275">
        <v>592290</v>
      </c>
      <c r="U275" t="s">
        <v>444</v>
      </c>
      <c r="V275" t="s">
        <v>445</v>
      </c>
      <c r="W275" t="s">
        <v>69</v>
      </c>
      <c r="X275" t="s">
        <v>446</v>
      </c>
      <c r="Y275" t="s">
        <v>51</v>
      </c>
      <c r="Z275">
        <v>1902</v>
      </c>
      <c r="AH275">
        <v>0</v>
      </c>
      <c r="AI275">
        <v>202504</v>
      </c>
      <c r="AJ275" t="s">
        <v>56</v>
      </c>
      <c r="AK275">
        <v>0</v>
      </c>
      <c r="AL275">
        <v>1</v>
      </c>
      <c r="AM275">
        <v>592290</v>
      </c>
      <c r="AN275">
        <v>1</v>
      </c>
      <c r="AO275">
        <v>0</v>
      </c>
      <c r="AP275" t="s">
        <v>3015</v>
      </c>
      <c r="AQ275" t="s">
        <v>3021</v>
      </c>
      <c r="AR275" t="s">
        <v>3022</v>
      </c>
      <c r="AT275" t="s">
        <v>3017</v>
      </c>
      <c r="AU275" t="s">
        <v>3014</v>
      </c>
    </row>
    <row r="276" spans="1:47" x14ac:dyDescent="0.35">
      <c r="A276">
        <v>337589</v>
      </c>
      <c r="B276" t="s">
        <v>193</v>
      </c>
      <c r="C276" t="s">
        <v>194</v>
      </c>
      <c r="D276" s="2">
        <v>45776</v>
      </c>
      <c r="E276">
        <v>53850</v>
      </c>
      <c r="F276">
        <v>114</v>
      </c>
      <c r="G276" t="s">
        <v>188</v>
      </c>
      <c r="H276" t="s">
        <v>167</v>
      </c>
      <c r="I276" t="s">
        <v>45</v>
      </c>
      <c r="K276">
        <v>202504287931330</v>
      </c>
      <c r="L276">
        <v>1143306280621</v>
      </c>
      <c r="M276">
        <v>20250428</v>
      </c>
      <c r="N276" t="s">
        <v>266</v>
      </c>
      <c r="Q276" t="s">
        <v>47</v>
      </c>
      <c r="R276">
        <v>52250</v>
      </c>
      <c r="S276">
        <v>52250</v>
      </c>
      <c r="T276">
        <v>4658875</v>
      </c>
      <c r="U276">
        <v>3230890711</v>
      </c>
      <c r="V276" t="s">
        <v>189</v>
      </c>
      <c r="W276" t="s">
        <v>190</v>
      </c>
      <c r="X276" t="s">
        <v>131</v>
      </c>
      <c r="Y276" t="s">
        <v>51</v>
      </c>
      <c r="Z276">
        <v>870</v>
      </c>
      <c r="AH276">
        <v>0</v>
      </c>
      <c r="AI276">
        <v>202504</v>
      </c>
      <c r="AJ276" t="s">
        <v>56</v>
      </c>
      <c r="AK276">
        <v>0</v>
      </c>
      <c r="AL276">
        <v>1</v>
      </c>
      <c r="AM276">
        <v>4658875</v>
      </c>
      <c r="AN276">
        <v>1</v>
      </c>
      <c r="AO276">
        <v>0</v>
      </c>
      <c r="AP276" t="s">
        <v>3033</v>
      </c>
      <c r="AQ276" t="s">
        <v>3047</v>
      </c>
      <c r="AR276" t="s">
        <v>3048</v>
      </c>
      <c r="AS276" t="s">
        <v>3049</v>
      </c>
      <c r="AU276" t="s">
        <v>3049</v>
      </c>
    </row>
    <row r="277" spans="1:47" x14ac:dyDescent="0.35">
      <c r="A277">
        <v>337588</v>
      </c>
      <c r="B277" t="s">
        <v>193</v>
      </c>
      <c r="C277" t="s">
        <v>194</v>
      </c>
      <c r="D277" s="2">
        <v>45776</v>
      </c>
      <c r="E277">
        <v>53850</v>
      </c>
      <c r="F277">
        <v>261</v>
      </c>
      <c r="G277" t="s">
        <v>136</v>
      </c>
      <c r="H277" t="s">
        <v>167</v>
      </c>
      <c r="I277" t="s">
        <v>45</v>
      </c>
      <c r="K277" t="s">
        <v>424</v>
      </c>
      <c r="L277">
        <v>2613300010513</v>
      </c>
      <c r="M277">
        <v>20250428</v>
      </c>
      <c r="N277" t="s">
        <v>266</v>
      </c>
      <c r="Q277" t="s">
        <v>47</v>
      </c>
      <c r="R277">
        <v>15550</v>
      </c>
      <c r="S277">
        <v>15550</v>
      </c>
      <c r="T277">
        <v>1614111</v>
      </c>
      <c r="U277" t="s">
        <v>447</v>
      </c>
      <c r="V277" t="s">
        <v>448</v>
      </c>
      <c r="W277" t="s">
        <v>69</v>
      </c>
      <c r="X277" t="s">
        <v>131</v>
      </c>
      <c r="Y277" t="s">
        <v>51</v>
      </c>
      <c r="Z277">
        <v>1782</v>
      </c>
      <c r="AH277">
        <v>0</v>
      </c>
      <c r="AI277">
        <v>202504</v>
      </c>
      <c r="AJ277" t="s">
        <v>56</v>
      </c>
      <c r="AK277">
        <v>0</v>
      </c>
      <c r="AL277">
        <v>1</v>
      </c>
      <c r="AM277">
        <v>1614111</v>
      </c>
      <c r="AN277">
        <v>1</v>
      </c>
      <c r="AO277">
        <v>0</v>
      </c>
      <c r="AP277" t="s">
        <v>3033</v>
      </c>
      <c r="AQ277" t="s">
        <v>3021</v>
      </c>
      <c r="AR277" t="s">
        <v>3054</v>
      </c>
      <c r="AS277" t="s">
        <v>3055</v>
      </c>
      <c r="AU277" t="s">
        <v>3055</v>
      </c>
    </row>
    <row r="278" spans="1:47" x14ac:dyDescent="0.35">
      <c r="A278">
        <v>337587</v>
      </c>
      <c r="B278" t="s">
        <v>172</v>
      </c>
      <c r="C278" t="s">
        <v>173</v>
      </c>
      <c r="D278" s="2">
        <v>45776</v>
      </c>
      <c r="E278">
        <v>53850</v>
      </c>
      <c r="F278">
        <v>171</v>
      </c>
      <c r="G278" t="s">
        <v>198</v>
      </c>
      <c r="H278" t="s">
        <v>167</v>
      </c>
      <c r="I278" t="s">
        <v>45</v>
      </c>
      <c r="K278" t="s">
        <v>424</v>
      </c>
      <c r="L278">
        <v>1713305728950</v>
      </c>
      <c r="M278">
        <v>20250428</v>
      </c>
      <c r="N278" t="s">
        <v>195</v>
      </c>
      <c r="Q278" t="s">
        <v>47</v>
      </c>
      <c r="R278">
        <v>318875.83</v>
      </c>
      <c r="S278">
        <v>318875.83</v>
      </c>
      <c r="T278">
        <v>572895</v>
      </c>
      <c r="U278">
        <v>4161600723</v>
      </c>
      <c r="V278" t="s">
        <v>199</v>
      </c>
      <c r="W278" t="s">
        <v>49</v>
      </c>
      <c r="X278" t="s">
        <v>200</v>
      </c>
      <c r="Y278" t="s">
        <v>51</v>
      </c>
      <c r="Z278">
        <v>1903</v>
      </c>
      <c r="AH278">
        <v>0</v>
      </c>
      <c r="AI278">
        <v>202504</v>
      </c>
      <c r="AJ278" t="s">
        <v>56</v>
      </c>
      <c r="AK278">
        <v>0</v>
      </c>
      <c r="AL278">
        <v>1</v>
      </c>
      <c r="AM278">
        <v>572895</v>
      </c>
      <c r="AN278">
        <v>1</v>
      </c>
      <c r="AO278">
        <v>0</v>
      </c>
      <c r="AP278" t="s">
        <v>3015</v>
      </c>
      <c r="AQ278" t="s">
        <v>3012</v>
      </c>
      <c r="AR278" t="s">
        <v>3016</v>
      </c>
      <c r="AT278" t="s">
        <v>3017</v>
      </c>
      <c r="AU278" t="s">
        <v>3018</v>
      </c>
    </row>
    <row r="279" spans="1:47" x14ac:dyDescent="0.35">
      <c r="A279">
        <v>337586</v>
      </c>
      <c r="B279" t="s">
        <v>164</v>
      </c>
      <c r="C279" t="s">
        <v>165</v>
      </c>
      <c r="D279" s="2">
        <v>45776</v>
      </c>
      <c r="E279">
        <v>53850</v>
      </c>
      <c r="F279">
        <v>149</v>
      </c>
      <c r="G279" t="s">
        <v>449</v>
      </c>
      <c r="H279" t="s">
        <v>167</v>
      </c>
      <c r="I279" t="s">
        <v>45</v>
      </c>
      <c r="K279">
        <v>202504287929757</v>
      </c>
      <c r="L279">
        <v>1493300663564</v>
      </c>
      <c r="M279">
        <v>20250428</v>
      </c>
      <c r="N279" t="s">
        <v>168</v>
      </c>
      <c r="P279" t="s">
        <v>255</v>
      </c>
      <c r="Q279" t="s">
        <v>47</v>
      </c>
      <c r="R279">
        <v>5600</v>
      </c>
      <c r="S279">
        <v>0</v>
      </c>
      <c r="T279">
        <v>4851736</v>
      </c>
      <c r="U279">
        <v>8243781211</v>
      </c>
      <c r="V279" t="s">
        <v>450</v>
      </c>
      <c r="W279" t="s">
        <v>49</v>
      </c>
      <c r="X279" t="s">
        <v>451</v>
      </c>
      <c r="Y279" t="s">
        <v>51</v>
      </c>
      <c r="Z279">
        <v>1256</v>
      </c>
      <c r="AH279">
        <v>0</v>
      </c>
      <c r="AI279">
        <v>202504</v>
      </c>
      <c r="AJ279" t="s">
        <v>52</v>
      </c>
      <c r="AK279">
        <v>0</v>
      </c>
      <c r="AL279">
        <v>1</v>
      </c>
      <c r="AO279">
        <v>0</v>
      </c>
      <c r="AP279" t="s">
        <v>3015</v>
      </c>
      <c r="AQ279" t="s">
        <v>3012</v>
      </c>
      <c r="AR279" t="s">
        <v>3016</v>
      </c>
      <c r="AT279" t="s">
        <v>3017</v>
      </c>
      <c r="AU279" t="s">
        <v>3018</v>
      </c>
    </row>
    <row r="280" spans="1:47" x14ac:dyDescent="0.35">
      <c r="A280">
        <v>337585</v>
      </c>
      <c r="B280" t="s">
        <v>193</v>
      </c>
      <c r="C280" t="s">
        <v>194</v>
      </c>
      <c r="D280" s="2">
        <v>45776</v>
      </c>
      <c r="E280">
        <v>53850</v>
      </c>
      <c r="F280">
        <v>129</v>
      </c>
      <c r="G280" t="s">
        <v>227</v>
      </c>
      <c r="H280" t="s">
        <v>167</v>
      </c>
      <c r="I280" t="s">
        <v>45</v>
      </c>
      <c r="K280" t="s">
        <v>424</v>
      </c>
      <c r="L280">
        <v>1293300003039</v>
      </c>
      <c r="M280">
        <v>20250428</v>
      </c>
      <c r="N280" t="s">
        <v>175</v>
      </c>
      <c r="Q280" t="s">
        <v>47</v>
      </c>
      <c r="R280">
        <v>19550</v>
      </c>
      <c r="S280">
        <v>15550</v>
      </c>
      <c r="T280">
        <v>3737984</v>
      </c>
      <c r="U280" t="s">
        <v>452</v>
      </c>
      <c r="V280" t="s">
        <v>453</v>
      </c>
      <c r="W280" t="s">
        <v>187</v>
      </c>
      <c r="Y280" t="s">
        <v>51</v>
      </c>
      <c r="Z280">
        <v>1355</v>
      </c>
      <c r="AH280">
        <v>0</v>
      </c>
      <c r="AI280">
        <v>202504</v>
      </c>
      <c r="AJ280" t="s">
        <v>52</v>
      </c>
      <c r="AK280">
        <v>0</v>
      </c>
      <c r="AL280">
        <v>1</v>
      </c>
      <c r="AO280">
        <v>1</v>
      </c>
      <c r="AP280" t="s">
        <v>3015</v>
      </c>
      <c r="AQ280" t="s">
        <v>3044</v>
      </c>
      <c r="AR280" t="s">
        <v>3045</v>
      </c>
      <c r="AS280" t="s">
        <v>3046</v>
      </c>
      <c r="AU280" t="s">
        <v>3046</v>
      </c>
    </row>
    <row r="281" spans="1:47" x14ac:dyDescent="0.35">
      <c r="A281">
        <v>337584</v>
      </c>
      <c r="B281" t="s">
        <v>178</v>
      </c>
      <c r="C281" t="s">
        <v>179</v>
      </c>
      <c r="D281" s="2">
        <v>45776</v>
      </c>
      <c r="E281">
        <v>53850</v>
      </c>
      <c r="F281">
        <v>182</v>
      </c>
      <c r="G281" t="s">
        <v>318</v>
      </c>
      <c r="H281" t="s">
        <v>167</v>
      </c>
      <c r="I281" t="s">
        <v>45</v>
      </c>
      <c r="K281">
        <v>202504287929073</v>
      </c>
      <c r="L281">
        <v>1823300072312</v>
      </c>
      <c r="M281">
        <v>20250428</v>
      </c>
      <c r="N281" t="s">
        <v>46</v>
      </c>
      <c r="P281" t="s">
        <v>51</v>
      </c>
      <c r="Q281" t="s">
        <v>47</v>
      </c>
      <c r="R281">
        <v>1215648.51</v>
      </c>
      <c r="S281">
        <v>0</v>
      </c>
      <c r="T281">
        <v>3072878</v>
      </c>
      <c r="U281">
        <v>333580736</v>
      </c>
      <c r="V281" t="s">
        <v>454</v>
      </c>
      <c r="W281" t="s">
        <v>49</v>
      </c>
      <c r="X281" t="s">
        <v>421</v>
      </c>
      <c r="Y281" t="s">
        <v>51</v>
      </c>
      <c r="Z281">
        <v>1627</v>
      </c>
      <c r="AH281">
        <v>0</v>
      </c>
      <c r="AI281">
        <v>202504</v>
      </c>
      <c r="AJ281" t="s">
        <v>52</v>
      </c>
      <c r="AK281">
        <v>0</v>
      </c>
      <c r="AL281">
        <v>1</v>
      </c>
      <c r="AO281">
        <v>0</v>
      </c>
      <c r="AP281" t="s">
        <v>3015</v>
      </c>
      <c r="AQ281" t="s">
        <v>3012</v>
      </c>
      <c r="AR281" t="s">
        <v>3016</v>
      </c>
      <c r="AT281" t="s">
        <v>3017</v>
      </c>
      <c r="AU281" t="s">
        <v>3018</v>
      </c>
    </row>
    <row r="282" spans="1:47" x14ac:dyDescent="0.35">
      <c r="A282">
        <v>337583</v>
      </c>
      <c r="B282" t="s">
        <v>172</v>
      </c>
      <c r="C282" t="s">
        <v>173</v>
      </c>
      <c r="D282" s="2">
        <v>45776</v>
      </c>
      <c r="E282">
        <v>53850</v>
      </c>
      <c r="F282">
        <v>182</v>
      </c>
      <c r="G282" t="s">
        <v>318</v>
      </c>
      <c r="H282" t="s">
        <v>167</v>
      </c>
      <c r="I282" t="s">
        <v>45</v>
      </c>
      <c r="K282" t="s">
        <v>424</v>
      </c>
      <c r="L282">
        <v>1823300169301</v>
      </c>
      <c r="M282">
        <v>20250428</v>
      </c>
      <c r="N282" t="s">
        <v>195</v>
      </c>
      <c r="Q282" t="s">
        <v>47</v>
      </c>
      <c r="R282">
        <v>45865</v>
      </c>
      <c r="S282">
        <v>45865</v>
      </c>
      <c r="T282">
        <v>4284957</v>
      </c>
      <c r="U282" t="s">
        <v>455</v>
      </c>
      <c r="V282" t="s">
        <v>456</v>
      </c>
      <c r="W282" t="s">
        <v>69</v>
      </c>
      <c r="X282" t="s">
        <v>197</v>
      </c>
      <c r="Y282" t="s">
        <v>51</v>
      </c>
      <c r="Z282">
        <v>1656</v>
      </c>
      <c r="AH282">
        <v>0</v>
      </c>
      <c r="AI282">
        <v>202504</v>
      </c>
      <c r="AJ282" t="s">
        <v>56</v>
      </c>
      <c r="AK282">
        <v>0</v>
      </c>
      <c r="AL282">
        <v>1</v>
      </c>
      <c r="AM282">
        <v>4284957</v>
      </c>
      <c r="AN282">
        <v>1</v>
      </c>
      <c r="AO282">
        <v>0</v>
      </c>
      <c r="AP282" t="s">
        <v>3050</v>
      </c>
      <c r="AQ282" t="s">
        <v>3021</v>
      </c>
      <c r="AR282" t="s">
        <v>3070</v>
      </c>
      <c r="AS282" t="s">
        <v>3055</v>
      </c>
      <c r="AU282" t="s">
        <v>3055</v>
      </c>
    </row>
    <row r="283" spans="1:47" x14ac:dyDescent="0.35">
      <c r="A283">
        <v>337582</v>
      </c>
      <c r="B283" t="s">
        <v>172</v>
      </c>
      <c r="C283" t="s">
        <v>173</v>
      </c>
      <c r="D283" s="2">
        <v>45776</v>
      </c>
      <c r="E283">
        <v>53850</v>
      </c>
      <c r="F283">
        <v>116</v>
      </c>
      <c r="G283" t="s">
        <v>126</v>
      </c>
      <c r="H283" t="s">
        <v>167</v>
      </c>
      <c r="I283" t="s">
        <v>45</v>
      </c>
      <c r="K283">
        <v>202504287931022</v>
      </c>
      <c r="L283">
        <v>2343300010453</v>
      </c>
      <c r="M283">
        <v>20250428</v>
      </c>
      <c r="N283" t="s">
        <v>195</v>
      </c>
      <c r="Q283" t="s">
        <v>47</v>
      </c>
      <c r="R283">
        <v>91109.1</v>
      </c>
      <c r="S283">
        <v>91109.1</v>
      </c>
      <c r="T283">
        <v>4247777</v>
      </c>
      <c r="U283">
        <v>233470236</v>
      </c>
      <c r="V283" t="s">
        <v>206</v>
      </c>
      <c r="W283" t="s">
        <v>49</v>
      </c>
      <c r="X283" t="s">
        <v>117</v>
      </c>
      <c r="Y283" t="s">
        <v>51</v>
      </c>
      <c r="Z283">
        <v>1696</v>
      </c>
      <c r="AH283">
        <v>0</v>
      </c>
      <c r="AI283">
        <v>202504</v>
      </c>
      <c r="AJ283" t="s">
        <v>114</v>
      </c>
      <c r="AK283">
        <v>1</v>
      </c>
      <c r="AL283">
        <v>1</v>
      </c>
      <c r="AM283">
        <v>4247777</v>
      </c>
      <c r="AN283">
        <v>1</v>
      </c>
      <c r="AO283">
        <v>0</v>
      </c>
      <c r="AP283" t="s">
        <v>3029</v>
      </c>
      <c r="AQ283" t="s">
        <v>3012</v>
      </c>
      <c r="AR283" t="s">
        <v>3030</v>
      </c>
      <c r="AS283" t="s">
        <v>3014</v>
      </c>
      <c r="AU283" t="s">
        <v>3014</v>
      </c>
    </row>
    <row r="284" spans="1:47" x14ac:dyDescent="0.35">
      <c r="A284">
        <v>337581</v>
      </c>
      <c r="B284" t="s">
        <v>193</v>
      </c>
      <c r="C284" t="s">
        <v>194</v>
      </c>
      <c r="D284" s="2">
        <v>45776</v>
      </c>
      <c r="E284">
        <v>53850</v>
      </c>
      <c r="F284">
        <v>108</v>
      </c>
      <c r="G284" t="s">
        <v>124</v>
      </c>
      <c r="H284" t="s">
        <v>167</v>
      </c>
      <c r="I284" t="s">
        <v>45</v>
      </c>
      <c r="K284" t="s">
        <v>424</v>
      </c>
      <c r="L284">
        <v>1083305200700</v>
      </c>
      <c r="M284">
        <v>20250428</v>
      </c>
      <c r="N284" t="s">
        <v>175</v>
      </c>
      <c r="Q284" t="s">
        <v>47</v>
      </c>
      <c r="R284">
        <v>37702.19</v>
      </c>
      <c r="S284">
        <v>29730</v>
      </c>
      <c r="T284">
        <v>520070</v>
      </c>
      <c r="U284">
        <v>4357120726</v>
      </c>
      <c r="V284" t="s">
        <v>457</v>
      </c>
      <c r="W284" t="s">
        <v>49</v>
      </c>
      <c r="X284" t="s">
        <v>110</v>
      </c>
      <c r="Y284" t="s">
        <v>51</v>
      </c>
      <c r="Z284">
        <v>1058</v>
      </c>
      <c r="AH284">
        <v>0</v>
      </c>
      <c r="AI284">
        <v>202504</v>
      </c>
      <c r="AJ284" t="s">
        <v>52</v>
      </c>
      <c r="AK284">
        <v>0</v>
      </c>
      <c r="AL284">
        <v>1</v>
      </c>
      <c r="AM284">
        <v>520070</v>
      </c>
      <c r="AN284">
        <v>1</v>
      </c>
      <c r="AO284">
        <v>1</v>
      </c>
      <c r="AP284" t="s">
        <v>3026</v>
      </c>
      <c r="AQ284" t="s">
        <v>3012</v>
      </c>
      <c r="AR284" t="s">
        <v>3027</v>
      </c>
      <c r="AS284" t="s">
        <v>3028</v>
      </c>
      <c r="AU284" t="s">
        <v>3028</v>
      </c>
    </row>
    <row r="285" spans="1:47" x14ac:dyDescent="0.35">
      <c r="A285">
        <v>337580</v>
      </c>
      <c r="B285" t="s">
        <v>164</v>
      </c>
      <c r="C285" t="s">
        <v>165</v>
      </c>
      <c r="D285" s="2">
        <v>45776</v>
      </c>
      <c r="E285">
        <v>53850</v>
      </c>
      <c r="F285">
        <v>111</v>
      </c>
      <c r="G285" t="s">
        <v>458</v>
      </c>
      <c r="H285" t="s">
        <v>167</v>
      </c>
      <c r="I285" t="s">
        <v>45</v>
      </c>
      <c r="K285">
        <v>202504287927960</v>
      </c>
      <c r="L285">
        <v>1113305626850</v>
      </c>
      <c r="M285">
        <v>20250428</v>
      </c>
      <c r="N285" t="s">
        <v>168</v>
      </c>
      <c r="P285" t="s">
        <v>169</v>
      </c>
      <c r="Q285" t="s">
        <v>170</v>
      </c>
      <c r="R285">
        <v>5000</v>
      </c>
      <c r="S285">
        <v>0</v>
      </c>
      <c r="T285">
        <v>562685</v>
      </c>
      <c r="U285" t="s">
        <v>459</v>
      </c>
      <c r="V285" t="s">
        <v>460</v>
      </c>
      <c r="W285" t="s">
        <v>187</v>
      </c>
      <c r="Y285" t="s">
        <v>51</v>
      </c>
      <c r="Z285">
        <v>593</v>
      </c>
      <c r="AH285">
        <v>0</v>
      </c>
      <c r="AI285">
        <v>202504</v>
      </c>
      <c r="AJ285" t="s">
        <v>119</v>
      </c>
      <c r="AK285">
        <v>1</v>
      </c>
      <c r="AL285">
        <v>1</v>
      </c>
      <c r="AO285">
        <v>0</v>
      </c>
      <c r="AP285" t="s">
        <v>3015</v>
      </c>
      <c r="AQ285" t="s">
        <v>3044</v>
      </c>
      <c r="AR285" t="s">
        <v>3045</v>
      </c>
      <c r="AS285" t="s">
        <v>3046</v>
      </c>
      <c r="AU285" t="s">
        <v>3046</v>
      </c>
    </row>
    <row r="286" spans="1:47" x14ac:dyDescent="0.35">
      <c r="A286">
        <v>337579</v>
      </c>
      <c r="B286" t="s">
        <v>178</v>
      </c>
      <c r="C286" t="s">
        <v>179</v>
      </c>
      <c r="D286" s="2">
        <v>45776</v>
      </c>
      <c r="E286">
        <v>53850</v>
      </c>
      <c r="F286">
        <v>109</v>
      </c>
      <c r="G286" t="s">
        <v>89</v>
      </c>
      <c r="H286" t="s">
        <v>167</v>
      </c>
      <c r="I286" t="s">
        <v>45</v>
      </c>
      <c r="K286">
        <v>202504287929578</v>
      </c>
      <c r="L286">
        <v>1093305187350</v>
      </c>
      <c r="M286">
        <v>20250428</v>
      </c>
      <c r="N286" t="s">
        <v>46</v>
      </c>
      <c r="P286" t="s">
        <v>51</v>
      </c>
      <c r="Q286" t="s">
        <v>47</v>
      </c>
      <c r="R286">
        <v>258955.49</v>
      </c>
      <c r="S286">
        <v>0</v>
      </c>
      <c r="T286">
        <v>518731</v>
      </c>
      <c r="U286" t="s">
        <v>461</v>
      </c>
      <c r="V286" t="s">
        <v>462</v>
      </c>
      <c r="W286" t="s">
        <v>187</v>
      </c>
      <c r="Y286" t="s">
        <v>51</v>
      </c>
      <c r="Z286">
        <v>778</v>
      </c>
      <c r="AH286">
        <v>0</v>
      </c>
      <c r="AI286">
        <v>202504</v>
      </c>
      <c r="AJ286" t="s">
        <v>86</v>
      </c>
      <c r="AK286">
        <v>1</v>
      </c>
      <c r="AL286">
        <v>1</v>
      </c>
      <c r="AO286">
        <v>0</v>
      </c>
      <c r="AP286" t="s">
        <v>3015</v>
      </c>
      <c r="AQ286" t="s">
        <v>3044</v>
      </c>
      <c r="AR286" t="s">
        <v>3045</v>
      </c>
      <c r="AS286" t="s">
        <v>3046</v>
      </c>
      <c r="AU286" t="s">
        <v>3046</v>
      </c>
    </row>
    <row r="287" spans="1:47" x14ac:dyDescent="0.35">
      <c r="A287">
        <v>337578</v>
      </c>
      <c r="B287" t="s">
        <v>172</v>
      </c>
      <c r="C287" t="s">
        <v>173</v>
      </c>
      <c r="D287" s="2">
        <v>45776</v>
      </c>
      <c r="E287">
        <v>53850</v>
      </c>
      <c r="F287">
        <v>171</v>
      </c>
      <c r="G287" t="s">
        <v>198</v>
      </c>
      <c r="H287" t="s">
        <v>167</v>
      </c>
      <c r="I287" t="s">
        <v>45</v>
      </c>
      <c r="K287" t="s">
        <v>424</v>
      </c>
      <c r="L287">
        <v>1713302214147</v>
      </c>
      <c r="M287">
        <v>20250428</v>
      </c>
      <c r="N287" t="s">
        <v>195</v>
      </c>
      <c r="Q287" t="s">
        <v>47</v>
      </c>
      <c r="R287">
        <v>125250.24000000001</v>
      </c>
      <c r="S287">
        <v>125250.24000000001</v>
      </c>
      <c r="T287">
        <v>4199319</v>
      </c>
      <c r="U287">
        <v>6037810725</v>
      </c>
      <c r="V287" t="s">
        <v>285</v>
      </c>
      <c r="W287" t="s">
        <v>49</v>
      </c>
      <c r="X287" t="s">
        <v>200</v>
      </c>
      <c r="Y287" t="s">
        <v>51</v>
      </c>
      <c r="Z287">
        <v>1903</v>
      </c>
      <c r="AH287">
        <v>0</v>
      </c>
      <c r="AI287">
        <v>202504</v>
      </c>
      <c r="AJ287" t="s">
        <v>56</v>
      </c>
      <c r="AK287">
        <v>0</v>
      </c>
      <c r="AL287">
        <v>1</v>
      </c>
      <c r="AM287">
        <v>4199319</v>
      </c>
      <c r="AN287">
        <v>1</v>
      </c>
      <c r="AO287">
        <v>0</v>
      </c>
      <c r="AP287" t="s">
        <v>3015</v>
      </c>
      <c r="AQ287" t="s">
        <v>3012</v>
      </c>
      <c r="AR287" t="s">
        <v>3016</v>
      </c>
      <c r="AT287" t="s">
        <v>3017</v>
      </c>
      <c r="AU287" t="s">
        <v>3018</v>
      </c>
    </row>
    <row r="288" spans="1:47" x14ac:dyDescent="0.35">
      <c r="A288">
        <v>337577</v>
      </c>
      <c r="B288" t="s">
        <v>164</v>
      </c>
      <c r="C288" t="s">
        <v>165</v>
      </c>
      <c r="D288" s="2">
        <v>45776</v>
      </c>
      <c r="E288">
        <v>53850</v>
      </c>
      <c r="F288">
        <v>148</v>
      </c>
      <c r="G288" t="s">
        <v>78</v>
      </c>
      <c r="H288" t="s">
        <v>167</v>
      </c>
      <c r="I288" t="s">
        <v>45</v>
      </c>
      <c r="K288">
        <v>202504287928198</v>
      </c>
      <c r="L288">
        <v>1483300004308</v>
      </c>
      <c r="M288">
        <v>20250428</v>
      </c>
      <c r="N288" t="s">
        <v>168</v>
      </c>
      <c r="P288" t="s">
        <v>169</v>
      </c>
      <c r="Q288" t="s">
        <v>170</v>
      </c>
      <c r="R288">
        <v>27282.26</v>
      </c>
      <c r="S288">
        <v>0</v>
      </c>
      <c r="T288">
        <v>4898674</v>
      </c>
      <c r="U288">
        <v>2936580642</v>
      </c>
      <c r="V288" t="s">
        <v>79</v>
      </c>
      <c r="W288" t="s">
        <v>49</v>
      </c>
      <c r="X288" t="s">
        <v>59</v>
      </c>
      <c r="Y288" t="s">
        <v>51</v>
      </c>
      <c r="Z288">
        <v>1063</v>
      </c>
      <c r="AH288">
        <v>0</v>
      </c>
      <c r="AI288">
        <v>202504</v>
      </c>
      <c r="AJ288" t="s">
        <v>56</v>
      </c>
      <c r="AK288">
        <v>0</v>
      </c>
      <c r="AL288">
        <v>1</v>
      </c>
      <c r="AO288">
        <v>0</v>
      </c>
      <c r="AP288" t="s">
        <v>3015</v>
      </c>
      <c r="AQ288" t="s">
        <v>3012</v>
      </c>
      <c r="AR288" t="s">
        <v>3016</v>
      </c>
      <c r="AT288" t="s">
        <v>3017</v>
      </c>
      <c r="AU288" t="s">
        <v>3018</v>
      </c>
    </row>
    <row r="289" spans="1:47" x14ac:dyDescent="0.35">
      <c r="A289">
        <v>337576</v>
      </c>
      <c r="B289" t="s">
        <v>178</v>
      </c>
      <c r="C289" t="s">
        <v>179</v>
      </c>
      <c r="D289" s="2">
        <v>45776</v>
      </c>
      <c r="E289">
        <v>53850</v>
      </c>
      <c r="F289">
        <v>187</v>
      </c>
      <c r="G289" t="s">
        <v>251</v>
      </c>
      <c r="H289" t="s">
        <v>167</v>
      </c>
      <c r="I289" t="s">
        <v>45</v>
      </c>
      <c r="K289">
        <v>202504287931146</v>
      </c>
      <c r="L289">
        <v>1873300111029</v>
      </c>
      <c r="M289">
        <v>20250428</v>
      </c>
      <c r="N289" t="s">
        <v>3136</v>
      </c>
      <c r="Q289" t="s">
        <v>170</v>
      </c>
      <c r="R289">
        <v>9232.3799999999992</v>
      </c>
      <c r="S289">
        <v>0</v>
      </c>
      <c r="T289">
        <v>4433326</v>
      </c>
      <c r="U289" t="s">
        <v>463</v>
      </c>
      <c r="V289" t="s">
        <v>464</v>
      </c>
      <c r="W289" t="s">
        <v>187</v>
      </c>
      <c r="Y289" t="s">
        <v>51</v>
      </c>
      <c r="Z289">
        <v>1162</v>
      </c>
      <c r="AH289">
        <v>0</v>
      </c>
      <c r="AI289">
        <v>202504</v>
      </c>
      <c r="AJ289" t="s">
        <v>86</v>
      </c>
      <c r="AK289">
        <v>1</v>
      </c>
      <c r="AL289">
        <v>1</v>
      </c>
      <c r="AO289">
        <v>1</v>
      </c>
      <c r="AP289" t="s">
        <v>3015</v>
      </c>
      <c r="AQ289" t="s">
        <v>3044</v>
      </c>
      <c r="AR289" t="s">
        <v>3045</v>
      </c>
      <c r="AS289" t="s">
        <v>3046</v>
      </c>
      <c r="AU289" t="s">
        <v>3046</v>
      </c>
    </row>
    <row r="290" spans="1:47" x14ac:dyDescent="0.35">
      <c r="A290">
        <v>337575</v>
      </c>
      <c r="B290" t="s">
        <v>172</v>
      </c>
      <c r="C290" t="s">
        <v>173</v>
      </c>
      <c r="D290" s="2">
        <v>45776</v>
      </c>
      <c r="E290">
        <v>53850</v>
      </c>
      <c r="F290">
        <v>128</v>
      </c>
      <c r="G290" t="s">
        <v>94</v>
      </c>
      <c r="H290" t="s">
        <v>167</v>
      </c>
      <c r="I290" t="s">
        <v>45</v>
      </c>
      <c r="K290" t="s">
        <v>424</v>
      </c>
      <c r="L290">
        <v>1283300001665</v>
      </c>
      <c r="M290">
        <v>20250428</v>
      </c>
      <c r="N290" t="s">
        <v>175</v>
      </c>
      <c r="Q290" t="s">
        <v>47</v>
      </c>
      <c r="R290">
        <v>117381.44</v>
      </c>
      <c r="S290">
        <v>2070</v>
      </c>
      <c r="T290">
        <v>4254896</v>
      </c>
      <c r="U290">
        <v>6234730726</v>
      </c>
      <c r="V290" t="s">
        <v>95</v>
      </c>
      <c r="W290" t="s">
        <v>49</v>
      </c>
      <c r="X290" t="s">
        <v>96</v>
      </c>
      <c r="Y290" t="s">
        <v>51</v>
      </c>
      <c r="Z290">
        <v>1919</v>
      </c>
      <c r="AH290">
        <v>0</v>
      </c>
      <c r="AI290">
        <v>202504</v>
      </c>
      <c r="AJ290" t="s">
        <v>56</v>
      </c>
      <c r="AK290">
        <v>0</v>
      </c>
      <c r="AL290">
        <v>1</v>
      </c>
      <c r="AO290">
        <v>1</v>
      </c>
      <c r="AP290" t="s">
        <v>3015</v>
      </c>
      <c r="AQ290" t="s">
        <v>3012</v>
      </c>
      <c r="AR290" t="s">
        <v>3016</v>
      </c>
      <c r="AT290" t="s">
        <v>3017</v>
      </c>
      <c r="AU290" t="s">
        <v>3018</v>
      </c>
    </row>
    <row r="291" spans="1:47" x14ac:dyDescent="0.35">
      <c r="A291">
        <v>337574</v>
      </c>
      <c r="B291" t="s">
        <v>178</v>
      </c>
      <c r="C291" t="s">
        <v>179</v>
      </c>
      <c r="D291" s="2">
        <v>45776</v>
      </c>
      <c r="E291">
        <v>53850</v>
      </c>
      <c r="F291">
        <v>102</v>
      </c>
      <c r="G291" t="s">
        <v>151</v>
      </c>
      <c r="H291" t="s">
        <v>167</v>
      </c>
      <c r="I291" t="s">
        <v>45</v>
      </c>
      <c r="K291">
        <v>202504287931193</v>
      </c>
      <c r="L291">
        <v>1023308725742</v>
      </c>
      <c r="M291">
        <v>20250428</v>
      </c>
      <c r="N291" t="s">
        <v>3136</v>
      </c>
      <c r="Q291" t="s">
        <v>170</v>
      </c>
      <c r="R291">
        <v>28072.05</v>
      </c>
      <c r="S291">
        <v>0</v>
      </c>
      <c r="T291">
        <v>4032133</v>
      </c>
      <c r="U291" t="s">
        <v>465</v>
      </c>
      <c r="V291" t="s">
        <v>466</v>
      </c>
      <c r="W291" t="s">
        <v>187</v>
      </c>
      <c r="Y291" t="s">
        <v>51</v>
      </c>
      <c r="AH291">
        <v>0</v>
      </c>
      <c r="AI291">
        <v>202504</v>
      </c>
      <c r="AJ291" t="s">
        <v>86</v>
      </c>
      <c r="AK291">
        <v>1</v>
      </c>
      <c r="AL291">
        <v>1</v>
      </c>
      <c r="AO291">
        <v>1</v>
      </c>
      <c r="AP291" t="s">
        <v>3015</v>
      </c>
      <c r="AQ291" t="s">
        <v>3044</v>
      </c>
      <c r="AR291" t="s">
        <v>3045</v>
      </c>
      <c r="AS291" t="s">
        <v>3046</v>
      </c>
      <c r="AU291" t="s">
        <v>3046</v>
      </c>
    </row>
    <row r="292" spans="1:47" x14ac:dyDescent="0.35">
      <c r="A292">
        <v>337573</v>
      </c>
      <c r="B292" t="s">
        <v>193</v>
      </c>
      <c r="C292" t="s">
        <v>194</v>
      </c>
      <c r="D292" s="2">
        <v>45776</v>
      </c>
      <c r="E292">
        <v>53850</v>
      </c>
      <c r="F292">
        <v>268</v>
      </c>
      <c r="G292" t="s">
        <v>83</v>
      </c>
      <c r="H292" t="s">
        <v>167</v>
      </c>
      <c r="I292" t="s">
        <v>45</v>
      </c>
      <c r="K292">
        <v>202504287931098</v>
      </c>
      <c r="L292">
        <v>2683300010030</v>
      </c>
      <c r="M292">
        <v>20250428</v>
      </c>
      <c r="N292" t="s">
        <v>195</v>
      </c>
      <c r="Q292" t="s">
        <v>47</v>
      </c>
      <c r="R292">
        <v>34495</v>
      </c>
      <c r="S292">
        <v>34495</v>
      </c>
      <c r="T292">
        <v>4966939</v>
      </c>
      <c r="U292" t="s">
        <v>221</v>
      </c>
      <c r="V292" t="s">
        <v>222</v>
      </c>
      <c r="W292" t="s">
        <v>69</v>
      </c>
      <c r="X292" t="s">
        <v>55</v>
      </c>
      <c r="Y292" t="s">
        <v>51</v>
      </c>
      <c r="Z292">
        <v>1870</v>
      </c>
      <c r="AH292">
        <v>0</v>
      </c>
      <c r="AI292">
        <v>202504</v>
      </c>
      <c r="AJ292" t="s">
        <v>56</v>
      </c>
      <c r="AK292">
        <v>0</v>
      </c>
      <c r="AL292">
        <v>1</v>
      </c>
      <c r="AM292">
        <v>4966939</v>
      </c>
      <c r="AN292">
        <v>1</v>
      </c>
      <c r="AO292">
        <v>0</v>
      </c>
      <c r="AP292" t="s">
        <v>3015</v>
      </c>
      <c r="AQ292" t="s">
        <v>3021</v>
      </c>
      <c r="AR292" t="s">
        <v>3022</v>
      </c>
      <c r="AT292" t="s">
        <v>3017</v>
      </c>
      <c r="AU292" t="s">
        <v>3014</v>
      </c>
    </row>
    <row r="293" spans="1:47" x14ac:dyDescent="0.35">
      <c r="A293">
        <v>337572</v>
      </c>
      <c r="B293" t="s">
        <v>164</v>
      </c>
      <c r="C293" t="s">
        <v>165</v>
      </c>
      <c r="D293" s="2">
        <v>45776</v>
      </c>
      <c r="E293">
        <v>53850</v>
      </c>
      <c r="F293">
        <v>141</v>
      </c>
      <c r="G293" t="s">
        <v>105</v>
      </c>
      <c r="H293" t="s">
        <v>167</v>
      </c>
      <c r="I293" t="s">
        <v>45</v>
      </c>
      <c r="K293" t="s">
        <v>467</v>
      </c>
      <c r="L293">
        <v>1413300003851</v>
      </c>
      <c r="M293">
        <v>20250428</v>
      </c>
      <c r="N293" t="s">
        <v>168</v>
      </c>
      <c r="P293" t="s">
        <v>203</v>
      </c>
      <c r="Q293" t="s">
        <v>47</v>
      </c>
      <c r="R293">
        <v>1540</v>
      </c>
      <c r="S293">
        <v>0</v>
      </c>
      <c r="T293">
        <v>4983258</v>
      </c>
      <c r="U293">
        <v>5224520758</v>
      </c>
      <c r="V293" t="s">
        <v>468</v>
      </c>
      <c r="W293" t="s">
        <v>49</v>
      </c>
      <c r="X293" t="s">
        <v>241</v>
      </c>
      <c r="Y293" t="s">
        <v>51</v>
      </c>
      <c r="Z293">
        <v>862</v>
      </c>
      <c r="AH293">
        <v>0</v>
      </c>
      <c r="AI293">
        <v>202504</v>
      </c>
      <c r="AJ293" t="s">
        <v>86</v>
      </c>
      <c r="AK293">
        <v>1</v>
      </c>
      <c r="AL293">
        <v>1</v>
      </c>
      <c r="AO293">
        <v>0</v>
      </c>
      <c r="AP293" t="s">
        <v>3015</v>
      </c>
      <c r="AQ293" t="s">
        <v>3012</v>
      </c>
      <c r="AR293" t="s">
        <v>3016</v>
      </c>
      <c r="AT293" t="s">
        <v>3017</v>
      </c>
      <c r="AU293" t="s">
        <v>3018</v>
      </c>
    </row>
    <row r="294" spans="1:47" x14ac:dyDescent="0.35">
      <c r="A294">
        <v>337571</v>
      </c>
      <c r="B294" t="s">
        <v>172</v>
      </c>
      <c r="C294" t="s">
        <v>173</v>
      </c>
      <c r="D294" s="2">
        <v>45776</v>
      </c>
      <c r="E294">
        <v>53850</v>
      </c>
      <c r="F294">
        <v>116</v>
      </c>
      <c r="G294" t="s">
        <v>126</v>
      </c>
      <c r="H294" t="s">
        <v>167</v>
      </c>
      <c r="I294" t="s">
        <v>45</v>
      </c>
      <c r="K294" t="s">
        <v>424</v>
      </c>
      <c r="L294">
        <v>1163307623465</v>
      </c>
      <c r="M294">
        <v>20250428</v>
      </c>
      <c r="N294" t="s">
        <v>175</v>
      </c>
      <c r="Q294" t="s">
        <v>47</v>
      </c>
      <c r="R294">
        <v>140000</v>
      </c>
      <c r="S294">
        <v>0</v>
      </c>
      <c r="T294">
        <v>3738297</v>
      </c>
      <c r="U294">
        <v>8684570727</v>
      </c>
      <c r="V294" t="s">
        <v>469</v>
      </c>
      <c r="W294" t="s">
        <v>49</v>
      </c>
      <c r="X294" t="s">
        <v>364</v>
      </c>
      <c r="Y294" t="s">
        <v>51</v>
      </c>
      <c r="Z294">
        <v>739</v>
      </c>
      <c r="AH294">
        <v>0</v>
      </c>
      <c r="AI294">
        <v>202504</v>
      </c>
      <c r="AJ294" t="s">
        <v>86</v>
      </c>
      <c r="AK294">
        <v>1</v>
      </c>
      <c r="AL294">
        <v>1</v>
      </c>
      <c r="AO294">
        <v>1</v>
      </c>
      <c r="AP294" t="s">
        <v>3062</v>
      </c>
      <c r="AQ294" t="s">
        <v>3012</v>
      </c>
      <c r="AR294" t="s">
        <v>3063</v>
      </c>
      <c r="AS294" t="s">
        <v>3014</v>
      </c>
      <c r="AU294" t="s">
        <v>3014</v>
      </c>
    </row>
    <row r="295" spans="1:47" x14ac:dyDescent="0.35">
      <c r="A295">
        <v>337570</v>
      </c>
      <c r="B295" t="s">
        <v>193</v>
      </c>
      <c r="C295" t="s">
        <v>194</v>
      </c>
      <c r="D295" s="2">
        <v>45776</v>
      </c>
      <c r="E295">
        <v>53850</v>
      </c>
      <c r="F295">
        <v>116</v>
      </c>
      <c r="G295" t="s">
        <v>126</v>
      </c>
      <c r="H295" t="s">
        <v>167</v>
      </c>
      <c r="I295" t="s">
        <v>45</v>
      </c>
      <c r="K295">
        <v>202504287931022</v>
      </c>
      <c r="L295">
        <v>2343300010453</v>
      </c>
      <c r="M295">
        <v>20250428</v>
      </c>
      <c r="N295" t="s">
        <v>195</v>
      </c>
      <c r="Q295" t="s">
        <v>47</v>
      </c>
      <c r="R295">
        <v>91109.1</v>
      </c>
      <c r="S295">
        <v>91109.1</v>
      </c>
      <c r="T295">
        <v>4247777</v>
      </c>
      <c r="U295">
        <v>233470236</v>
      </c>
      <c r="V295" t="s">
        <v>206</v>
      </c>
      <c r="W295" t="s">
        <v>49</v>
      </c>
      <c r="X295" t="s">
        <v>117</v>
      </c>
      <c r="Y295" t="s">
        <v>51</v>
      </c>
      <c r="Z295">
        <v>1696</v>
      </c>
      <c r="AH295">
        <v>0</v>
      </c>
      <c r="AI295">
        <v>202504</v>
      </c>
      <c r="AJ295" t="s">
        <v>114</v>
      </c>
      <c r="AK295">
        <v>1</v>
      </c>
      <c r="AL295">
        <v>1</v>
      </c>
      <c r="AM295">
        <v>4247777</v>
      </c>
      <c r="AN295">
        <v>1</v>
      </c>
      <c r="AO295">
        <v>0</v>
      </c>
      <c r="AP295" t="s">
        <v>3029</v>
      </c>
      <c r="AQ295" t="s">
        <v>3012</v>
      </c>
      <c r="AR295" t="s">
        <v>3030</v>
      </c>
      <c r="AS295" t="s">
        <v>3014</v>
      </c>
      <c r="AU295" t="s">
        <v>3014</v>
      </c>
    </row>
    <row r="296" spans="1:47" x14ac:dyDescent="0.35">
      <c r="A296">
        <v>337569</v>
      </c>
      <c r="B296" t="s">
        <v>193</v>
      </c>
      <c r="C296" t="s">
        <v>194</v>
      </c>
      <c r="D296" s="2">
        <v>45776</v>
      </c>
      <c r="E296">
        <v>53850</v>
      </c>
      <c r="F296">
        <v>108</v>
      </c>
      <c r="G296" t="s">
        <v>124</v>
      </c>
      <c r="H296" t="s">
        <v>167</v>
      </c>
      <c r="I296" t="s">
        <v>45</v>
      </c>
      <c r="K296">
        <v>202504287931281</v>
      </c>
      <c r="L296">
        <v>1083306291105</v>
      </c>
      <c r="M296">
        <v>20250428</v>
      </c>
      <c r="N296" t="s">
        <v>266</v>
      </c>
      <c r="Q296" t="s">
        <v>47</v>
      </c>
      <c r="R296">
        <v>99707.55</v>
      </c>
      <c r="S296">
        <v>99707.55</v>
      </c>
      <c r="T296">
        <v>4227057</v>
      </c>
      <c r="U296">
        <v>4874620729</v>
      </c>
      <c r="V296" t="s">
        <v>250</v>
      </c>
      <c r="W296" t="s">
        <v>49</v>
      </c>
      <c r="X296" t="s">
        <v>62</v>
      </c>
      <c r="Y296" t="s">
        <v>51</v>
      </c>
      <c r="Z296">
        <v>1058</v>
      </c>
      <c r="AH296">
        <v>0</v>
      </c>
      <c r="AI296">
        <v>202504</v>
      </c>
      <c r="AJ296" t="s">
        <v>56</v>
      </c>
      <c r="AK296">
        <v>0</v>
      </c>
      <c r="AL296">
        <v>1</v>
      </c>
      <c r="AM296">
        <v>4227057</v>
      </c>
      <c r="AN296">
        <v>1</v>
      </c>
      <c r="AO296">
        <v>0</v>
      </c>
      <c r="AP296" t="s">
        <v>3015</v>
      </c>
      <c r="AQ296" t="s">
        <v>3012</v>
      </c>
      <c r="AR296" t="s">
        <v>3016</v>
      </c>
      <c r="AT296" t="s">
        <v>3017</v>
      </c>
      <c r="AU296" t="s">
        <v>3018</v>
      </c>
    </row>
    <row r="297" spans="1:47" x14ac:dyDescent="0.35">
      <c r="A297">
        <v>337568</v>
      </c>
      <c r="B297" t="s">
        <v>193</v>
      </c>
      <c r="C297" t="s">
        <v>194</v>
      </c>
      <c r="D297" s="2">
        <v>45776</v>
      </c>
      <c r="E297">
        <v>53850</v>
      </c>
      <c r="F297">
        <v>175</v>
      </c>
      <c r="G297" t="s">
        <v>99</v>
      </c>
      <c r="H297" t="s">
        <v>167</v>
      </c>
      <c r="I297" t="s">
        <v>45</v>
      </c>
      <c r="K297" t="s">
        <v>424</v>
      </c>
      <c r="L297">
        <v>1753302203965</v>
      </c>
      <c r="M297">
        <v>20250428</v>
      </c>
      <c r="N297" t="s">
        <v>195</v>
      </c>
      <c r="Q297" t="s">
        <v>47</v>
      </c>
      <c r="R297">
        <v>44660</v>
      </c>
      <c r="S297">
        <v>44660</v>
      </c>
      <c r="T297">
        <v>4932268</v>
      </c>
      <c r="U297">
        <v>1360580771</v>
      </c>
      <c r="V297" t="s">
        <v>470</v>
      </c>
      <c r="W297" t="s">
        <v>49</v>
      </c>
      <c r="X297" t="s">
        <v>197</v>
      </c>
      <c r="Y297" t="s">
        <v>51</v>
      </c>
      <c r="Z297">
        <v>1110</v>
      </c>
      <c r="AH297">
        <v>0</v>
      </c>
      <c r="AI297">
        <v>202504</v>
      </c>
      <c r="AJ297" t="s">
        <v>56</v>
      </c>
      <c r="AK297">
        <v>0</v>
      </c>
      <c r="AL297">
        <v>1</v>
      </c>
      <c r="AM297">
        <v>4932268</v>
      </c>
      <c r="AN297">
        <v>1</v>
      </c>
      <c r="AO297">
        <v>0</v>
      </c>
      <c r="AP297" t="s">
        <v>3050</v>
      </c>
      <c r="AQ297" t="s">
        <v>3012</v>
      </c>
      <c r="AR297" t="s">
        <v>3071</v>
      </c>
      <c r="AS297" t="s">
        <v>3028</v>
      </c>
      <c r="AU297" t="s">
        <v>3028</v>
      </c>
    </row>
    <row r="298" spans="1:47" x14ac:dyDescent="0.35">
      <c r="A298">
        <v>337567</v>
      </c>
      <c r="B298" t="s">
        <v>193</v>
      </c>
      <c r="C298" t="s">
        <v>194</v>
      </c>
      <c r="D298" s="2">
        <v>45776</v>
      </c>
      <c r="E298">
        <v>53850</v>
      </c>
      <c r="F298">
        <v>102</v>
      </c>
      <c r="G298" t="s">
        <v>151</v>
      </c>
      <c r="H298" t="s">
        <v>167</v>
      </c>
      <c r="I298" t="s">
        <v>45</v>
      </c>
      <c r="K298">
        <v>202504287930374</v>
      </c>
      <c r="L298">
        <v>1023308722503</v>
      </c>
      <c r="M298">
        <v>20250428</v>
      </c>
      <c r="N298" t="s">
        <v>195</v>
      </c>
      <c r="Q298" t="s">
        <v>47</v>
      </c>
      <c r="R298">
        <v>17300</v>
      </c>
      <c r="S298">
        <v>17300</v>
      </c>
      <c r="T298">
        <v>413650</v>
      </c>
      <c r="U298">
        <v>3657230722</v>
      </c>
      <c r="V298" t="s">
        <v>196</v>
      </c>
      <c r="W298" t="s">
        <v>190</v>
      </c>
      <c r="X298" t="s">
        <v>197</v>
      </c>
      <c r="Y298" t="s">
        <v>51</v>
      </c>
      <c r="Z298">
        <v>1306</v>
      </c>
      <c r="AH298">
        <v>0</v>
      </c>
      <c r="AI298">
        <v>202504</v>
      </c>
      <c r="AJ298" t="s">
        <v>56</v>
      </c>
      <c r="AK298">
        <v>0</v>
      </c>
      <c r="AL298">
        <v>1</v>
      </c>
      <c r="AM298">
        <v>413650</v>
      </c>
      <c r="AN298">
        <v>1</v>
      </c>
      <c r="AO298">
        <v>0</v>
      </c>
      <c r="AP298" t="s">
        <v>3050</v>
      </c>
      <c r="AQ298" t="s">
        <v>3047</v>
      </c>
      <c r="AR298" t="s">
        <v>3051</v>
      </c>
      <c r="AS298" t="s">
        <v>3049</v>
      </c>
      <c r="AU298" t="s">
        <v>3049</v>
      </c>
    </row>
    <row r="299" spans="1:47" x14ac:dyDescent="0.35">
      <c r="A299">
        <v>337566</v>
      </c>
      <c r="B299" t="s">
        <v>471</v>
      </c>
      <c r="C299" t="s">
        <v>472</v>
      </c>
      <c r="D299" s="2">
        <v>45776</v>
      </c>
      <c r="E299">
        <v>53850</v>
      </c>
      <c r="F299">
        <v>199</v>
      </c>
      <c r="G299" t="s">
        <v>473</v>
      </c>
      <c r="H299" t="s">
        <v>167</v>
      </c>
      <c r="I299" t="s">
        <v>45</v>
      </c>
      <c r="K299">
        <v>202504287929879</v>
      </c>
      <c r="L299">
        <v>1993300003021</v>
      </c>
      <c r="M299">
        <v>20250428</v>
      </c>
      <c r="N299" t="s">
        <v>168</v>
      </c>
      <c r="P299" t="s">
        <v>474</v>
      </c>
      <c r="Q299" t="s">
        <v>47</v>
      </c>
      <c r="R299">
        <v>17037.900000000001</v>
      </c>
      <c r="S299">
        <v>0</v>
      </c>
      <c r="T299">
        <v>4946318</v>
      </c>
      <c r="U299">
        <v>2571200746</v>
      </c>
      <c r="V299" t="s">
        <v>475</v>
      </c>
      <c r="W299" t="s">
        <v>476</v>
      </c>
      <c r="X299" t="s">
        <v>241</v>
      </c>
      <c r="Y299" t="s">
        <v>255</v>
      </c>
      <c r="Z299">
        <v>639</v>
      </c>
      <c r="AH299">
        <v>0</v>
      </c>
      <c r="AI299">
        <v>202504</v>
      </c>
      <c r="AJ299" t="s">
        <v>56</v>
      </c>
      <c r="AK299">
        <v>0</v>
      </c>
      <c r="AL299">
        <v>1</v>
      </c>
      <c r="AO299">
        <v>0</v>
      </c>
      <c r="AP299" t="s">
        <v>3015</v>
      </c>
      <c r="AQ299" t="s">
        <v>3072</v>
      </c>
      <c r="AR299" t="s">
        <v>3073</v>
      </c>
      <c r="AT299" t="s">
        <v>3017</v>
      </c>
      <c r="AU299" t="s">
        <v>3057</v>
      </c>
    </row>
    <row r="300" spans="1:47" x14ac:dyDescent="0.35">
      <c r="A300">
        <v>337565</v>
      </c>
      <c r="B300" t="s">
        <v>193</v>
      </c>
      <c r="C300" t="s">
        <v>194</v>
      </c>
      <c r="D300" s="2">
        <v>45776</v>
      </c>
      <c r="E300">
        <v>53850</v>
      </c>
      <c r="F300">
        <v>171</v>
      </c>
      <c r="G300" t="s">
        <v>198</v>
      </c>
      <c r="H300" t="s">
        <v>167</v>
      </c>
      <c r="I300" t="s">
        <v>45</v>
      </c>
      <c r="K300" t="s">
        <v>424</v>
      </c>
      <c r="L300">
        <v>1713302214147</v>
      </c>
      <c r="M300">
        <v>20250428</v>
      </c>
      <c r="N300" t="s">
        <v>195</v>
      </c>
      <c r="Q300" t="s">
        <v>47</v>
      </c>
      <c r="R300">
        <v>125250.24000000001</v>
      </c>
      <c r="S300">
        <v>125250.24000000001</v>
      </c>
      <c r="T300">
        <v>4199319</v>
      </c>
      <c r="U300">
        <v>6037810725</v>
      </c>
      <c r="V300" t="s">
        <v>285</v>
      </c>
      <c r="W300" t="s">
        <v>49</v>
      </c>
      <c r="X300" t="s">
        <v>200</v>
      </c>
      <c r="Y300" t="s">
        <v>51</v>
      </c>
      <c r="Z300">
        <v>1903</v>
      </c>
      <c r="AH300">
        <v>0</v>
      </c>
      <c r="AI300">
        <v>202504</v>
      </c>
      <c r="AJ300" t="s">
        <v>56</v>
      </c>
      <c r="AK300">
        <v>0</v>
      </c>
      <c r="AL300">
        <v>1</v>
      </c>
      <c r="AM300">
        <v>4199319</v>
      </c>
      <c r="AN300">
        <v>1</v>
      </c>
      <c r="AO300">
        <v>0</v>
      </c>
      <c r="AP300" t="s">
        <v>3015</v>
      </c>
      <c r="AQ300" t="s">
        <v>3012</v>
      </c>
      <c r="AR300" t="s">
        <v>3016</v>
      </c>
      <c r="AT300" t="s">
        <v>3017</v>
      </c>
      <c r="AU300" t="s">
        <v>3018</v>
      </c>
    </row>
    <row r="301" spans="1:47" x14ac:dyDescent="0.35">
      <c r="A301">
        <v>337564</v>
      </c>
      <c r="B301" t="s">
        <v>178</v>
      </c>
      <c r="C301" t="s">
        <v>179</v>
      </c>
      <c r="D301" s="2">
        <v>45776</v>
      </c>
      <c r="E301">
        <v>53850</v>
      </c>
      <c r="F301">
        <v>116</v>
      </c>
      <c r="G301" t="s">
        <v>126</v>
      </c>
      <c r="H301" t="s">
        <v>167</v>
      </c>
      <c r="I301" t="s">
        <v>45</v>
      </c>
      <c r="K301">
        <v>202504287931355</v>
      </c>
      <c r="L301">
        <v>1163307623534</v>
      </c>
      <c r="M301">
        <v>20250428</v>
      </c>
      <c r="N301" t="s">
        <v>236</v>
      </c>
      <c r="Q301" t="s">
        <v>170</v>
      </c>
      <c r="R301">
        <v>357884.01</v>
      </c>
      <c r="S301">
        <v>0</v>
      </c>
      <c r="T301">
        <v>4811851</v>
      </c>
      <c r="U301" t="s">
        <v>477</v>
      </c>
      <c r="V301" t="s">
        <v>478</v>
      </c>
      <c r="W301" t="s">
        <v>187</v>
      </c>
      <c r="Y301" t="s">
        <v>51</v>
      </c>
      <c r="Z301">
        <v>733</v>
      </c>
      <c r="AH301">
        <v>0</v>
      </c>
      <c r="AI301">
        <v>202504</v>
      </c>
      <c r="AJ301" t="s">
        <v>86</v>
      </c>
      <c r="AK301">
        <v>1</v>
      </c>
      <c r="AL301">
        <v>1</v>
      </c>
      <c r="AO301">
        <v>0</v>
      </c>
      <c r="AP301" t="s">
        <v>3015</v>
      </c>
      <c r="AQ301" t="s">
        <v>3044</v>
      </c>
      <c r="AR301" t="s">
        <v>3045</v>
      </c>
      <c r="AS301" t="s">
        <v>3046</v>
      </c>
      <c r="AU301" t="s">
        <v>3046</v>
      </c>
    </row>
    <row r="302" spans="1:47" x14ac:dyDescent="0.35">
      <c r="A302">
        <v>337563</v>
      </c>
      <c r="B302" t="s">
        <v>193</v>
      </c>
      <c r="C302" t="s">
        <v>194</v>
      </c>
      <c r="D302" s="2">
        <v>45776</v>
      </c>
      <c r="E302">
        <v>53850</v>
      </c>
      <c r="F302">
        <v>118</v>
      </c>
      <c r="G302" t="s">
        <v>254</v>
      </c>
      <c r="H302" t="s">
        <v>167</v>
      </c>
      <c r="I302" t="s">
        <v>45</v>
      </c>
      <c r="K302">
        <v>202504287930373</v>
      </c>
      <c r="L302">
        <v>1023308722503</v>
      </c>
      <c r="M302">
        <v>20250428</v>
      </c>
      <c r="N302" t="s">
        <v>195</v>
      </c>
      <c r="Q302" t="s">
        <v>47</v>
      </c>
      <c r="R302">
        <v>27550</v>
      </c>
      <c r="S302">
        <v>27550</v>
      </c>
      <c r="T302">
        <v>413650</v>
      </c>
      <c r="U302">
        <v>3657230722</v>
      </c>
      <c r="V302" t="s">
        <v>196</v>
      </c>
      <c r="W302" t="s">
        <v>190</v>
      </c>
      <c r="X302" t="s">
        <v>197</v>
      </c>
      <c r="Y302" t="s">
        <v>51</v>
      </c>
      <c r="Z302">
        <v>1306</v>
      </c>
      <c r="AH302">
        <v>0</v>
      </c>
      <c r="AI302">
        <v>202504</v>
      </c>
      <c r="AJ302" t="s">
        <v>56</v>
      </c>
      <c r="AK302">
        <v>0</v>
      </c>
      <c r="AL302">
        <v>1</v>
      </c>
      <c r="AM302">
        <v>413650</v>
      </c>
      <c r="AN302">
        <v>1</v>
      </c>
      <c r="AO302">
        <v>0</v>
      </c>
      <c r="AP302" t="s">
        <v>3050</v>
      </c>
      <c r="AQ302" t="s">
        <v>3047</v>
      </c>
      <c r="AR302" t="s">
        <v>3051</v>
      </c>
      <c r="AS302" t="s">
        <v>3049</v>
      </c>
      <c r="AU302" t="s">
        <v>3049</v>
      </c>
    </row>
    <row r="303" spans="1:47" x14ac:dyDescent="0.35">
      <c r="A303">
        <v>337562</v>
      </c>
      <c r="B303" t="s">
        <v>178</v>
      </c>
      <c r="C303" t="s">
        <v>179</v>
      </c>
      <c r="D303" s="2">
        <v>45776</v>
      </c>
      <c r="E303">
        <v>53850</v>
      </c>
      <c r="F303">
        <v>102</v>
      </c>
      <c r="G303" t="s">
        <v>151</v>
      </c>
      <c r="H303" t="s">
        <v>167</v>
      </c>
      <c r="I303" t="s">
        <v>45</v>
      </c>
      <c r="K303">
        <v>202504287931193</v>
      </c>
      <c r="L303">
        <v>1023308725742</v>
      </c>
      <c r="M303">
        <v>20250428</v>
      </c>
      <c r="N303" t="s">
        <v>3136</v>
      </c>
      <c r="Q303" t="s">
        <v>170</v>
      </c>
      <c r="R303">
        <v>28072.05</v>
      </c>
      <c r="S303">
        <v>0</v>
      </c>
      <c r="T303">
        <v>501137</v>
      </c>
      <c r="U303" t="s">
        <v>479</v>
      </c>
      <c r="V303" t="s">
        <v>480</v>
      </c>
      <c r="W303" t="s">
        <v>187</v>
      </c>
      <c r="Y303" t="s">
        <v>51</v>
      </c>
      <c r="Z303">
        <v>1648</v>
      </c>
      <c r="AH303">
        <v>0</v>
      </c>
      <c r="AI303">
        <v>202504</v>
      </c>
      <c r="AJ303" t="s">
        <v>86</v>
      </c>
      <c r="AK303">
        <v>1</v>
      </c>
      <c r="AL303">
        <v>1</v>
      </c>
      <c r="AO303">
        <v>1</v>
      </c>
      <c r="AP303" t="s">
        <v>3015</v>
      </c>
      <c r="AQ303" t="s">
        <v>3044</v>
      </c>
      <c r="AR303" t="s">
        <v>3045</v>
      </c>
      <c r="AS303" t="s">
        <v>3046</v>
      </c>
      <c r="AU303" t="s">
        <v>3046</v>
      </c>
    </row>
    <row r="304" spans="1:47" x14ac:dyDescent="0.35">
      <c r="A304">
        <v>337561</v>
      </c>
      <c r="B304" t="s">
        <v>178</v>
      </c>
      <c r="C304" t="s">
        <v>179</v>
      </c>
      <c r="D304" s="2">
        <v>45776</v>
      </c>
      <c r="E304">
        <v>53850</v>
      </c>
      <c r="F304">
        <v>109</v>
      </c>
      <c r="G304" t="s">
        <v>89</v>
      </c>
      <c r="H304" t="s">
        <v>167</v>
      </c>
      <c r="I304" t="s">
        <v>45</v>
      </c>
      <c r="K304">
        <v>202504287929578</v>
      </c>
      <c r="L304">
        <v>1093305187350</v>
      </c>
      <c r="M304">
        <v>20250428</v>
      </c>
      <c r="N304" t="s">
        <v>46</v>
      </c>
      <c r="P304" t="s">
        <v>51</v>
      </c>
      <c r="Q304" t="s">
        <v>47</v>
      </c>
      <c r="R304">
        <v>258955.49</v>
      </c>
      <c r="S304">
        <v>0</v>
      </c>
      <c r="T304">
        <v>518734</v>
      </c>
      <c r="U304" t="s">
        <v>481</v>
      </c>
      <c r="V304" t="s">
        <v>482</v>
      </c>
      <c r="W304" t="s">
        <v>187</v>
      </c>
      <c r="Y304" t="s">
        <v>51</v>
      </c>
      <c r="AH304">
        <v>0</v>
      </c>
      <c r="AI304">
        <v>202504</v>
      </c>
      <c r="AJ304" t="s">
        <v>86</v>
      </c>
      <c r="AK304">
        <v>1</v>
      </c>
      <c r="AL304">
        <v>1</v>
      </c>
      <c r="AO304">
        <v>0</v>
      </c>
      <c r="AP304" t="s">
        <v>3015</v>
      </c>
      <c r="AQ304" t="s">
        <v>3044</v>
      </c>
      <c r="AR304" t="s">
        <v>3045</v>
      </c>
      <c r="AS304" t="s">
        <v>3046</v>
      </c>
      <c r="AU304" t="s">
        <v>3046</v>
      </c>
    </row>
    <row r="305" spans="1:47" x14ac:dyDescent="0.35">
      <c r="A305">
        <v>337560</v>
      </c>
      <c r="B305" t="s">
        <v>214</v>
      </c>
      <c r="C305" t="s">
        <v>215</v>
      </c>
      <c r="D305" s="2">
        <v>45776</v>
      </c>
      <c r="E305">
        <v>53850</v>
      </c>
      <c r="F305">
        <v>118</v>
      </c>
      <c r="G305" t="s">
        <v>254</v>
      </c>
      <c r="H305" t="s">
        <v>167</v>
      </c>
      <c r="I305" t="s">
        <v>45</v>
      </c>
      <c r="K305">
        <v>202504287929917</v>
      </c>
      <c r="L305">
        <v>1181208800020</v>
      </c>
      <c r="M305">
        <v>20250428</v>
      </c>
      <c r="N305" t="s">
        <v>168</v>
      </c>
      <c r="P305" t="s">
        <v>483</v>
      </c>
      <c r="Q305" t="s">
        <v>170</v>
      </c>
      <c r="R305">
        <v>26659.09</v>
      </c>
      <c r="S305">
        <v>0</v>
      </c>
      <c r="T305">
        <v>4237439</v>
      </c>
      <c r="U305">
        <v>5982410721</v>
      </c>
      <c r="V305" t="s">
        <v>484</v>
      </c>
      <c r="W305" t="s">
        <v>49</v>
      </c>
      <c r="X305" t="s">
        <v>65</v>
      </c>
      <c r="Y305" t="s">
        <v>51</v>
      </c>
      <c r="Z305">
        <v>1203</v>
      </c>
      <c r="AH305">
        <v>0</v>
      </c>
      <c r="AI305">
        <v>202504</v>
      </c>
      <c r="AJ305" t="s">
        <v>52</v>
      </c>
      <c r="AK305">
        <v>0</v>
      </c>
      <c r="AL305">
        <v>1</v>
      </c>
      <c r="AO305">
        <v>0</v>
      </c>
      <c r="AP305" t="s">
        <v>3019</v>
      </c>
      <c r="AQ305" t="s">
        <v>3012</v>
      </c>
      <c r="AR305" t="s">
        <v>3020</v>
      </c>
      <c r="AS305" t="s">
        <v>3014</v>
      </c>
      <c r="AU305" t="s">
        <v>3014</v>
      </c>
    </row>
    <row r="306" spans="1:47" x14ac:dyDescent="0.35">
      <c r="A306">
        <v>337559</v>
      </c>
      <c r="B306" t="s">
        <v>178</v>
      </c>
      <c r="C306" t="s">
        <v>179</v>
      </c>
      <c r="D306" s="2">
        <v>45776</v>
      </c>
      <c r="E306">
        <v>53850</v>
      </c>
      <c r="F306">
        <v>188</v>
      </c>
      <c r="G306" t="s">
        <v>419</v>
      </c>
      <c r="H306" t="s">
        <v>167</v>
      </c>
      <c r="I306" t="s">
        <v>45</v>
      </c>
      <c r="K306">
        <v>202504287929072</v>
      </c>
      <c r="L306">
        <v>1883300028081</v>
      </c>
      <c r="M306">
        <v>20250428</v>
      </c>
      <c r="N306" t="s">
        <v>46</v>
      </c>
      <c r="P306" t="s">
        <v>51</v>
      </c>
      <c r="Q306" t="s">
        <v>47</v>
      </c>
      <c r="R306">
        <v>2106494.65</v>
      </c>
      <c r="S306">
        <v>0</v>
      </c>
      <c r="T306">
        <v>3001543</v>
      </c>
      <c r="U306">
        <v>943900738</v>
      </c>
      <c r="V306" t="s">
        <v>420</v>
      </c>
      <c r="W306" t="s">
        <v>49</v>
      </c>
      <c r="X306" t="s">
        <v>421</v>
      </c>
      <c r="Y306" t="s">
        <v>51</v>
      </c>
      <c r="Z306">
        <v>1627</v>
      </c>
      <c r="AH306">
        <v>0</v>
      </c>
      <c r="AI306">
        <v>202504</v>
      </c>
      <c r="AJ306" t="s">
        <v>52</v>
      </c>
      <c r="AK306">
        <v>0</v>
      </c>
      <c r="AL306">
        <v>1</v>
      </c>
      <c r="AM306">
        <v>3001543</v>
      </c>
      <c r="AN306">
        <v>1</v>
      </c>
      <c r="AO306">
        <v>0</v>
      </c>
      <c r="AP306" t="s">
        <v>3015</v>
      </c>
      <c r="AQ306" t="s">
        <v>3012</v>
      </c>
      <c r="AR306" t="s">
        <v>3016</v>
      </c>
      <c r="AT306" t="s">
        <v>3017</v>
      </c>
      <c r="AU306" t="s">
        <v>3018</v>
      </c>
    </row>
    <row r="307" spans="1:47" x14ac:dyDescent="0.35">
      <c r="A307">
        <v>337558</v>
      </c>
      <c r="B307" t="s">
        <v>193</v>
      </c>
      <c r="C307" t="s">
        <v>194</v>
      </c>
      <c r="D307" s="2">
        <v>45776</v>
      </c>
      <c r="E307">
        <v>53850</v>
      </c>
      <c r="F307">
        <v>182</v>
      </c>
      <c r="G307" t="s">
        <v>318</v>
      </c>
      <c r="H307" t="s">
        <v>167</v>
      </c>
      <c r="I307" t="s">
        <v>45</v>
      </c>
      <c r="K307" t="s">
        <v>424</v>
      </c>
      <c r="L307">
        <v>1823300169301</v>
      </c>
      <c r="M307">
        <v>20250428</v>
      </c>
      <c r="N307" t="s">
        <v>195</v>
      </c>
      <c r="Q307" t="s">
        <v>47</v>
      </c>
      <c r="R307">
        <v>45865</v>
      </c>
      <c r="S307">
        <v>45865</v>
      </c>
      <c r="T307">
        <v>4284957</v>
      </c>
      <c r="U307" t="s">
        <v>455</v>
      </c>
      <c r="V307" t="s">
        <v>456</v>
      </c>
      <c r="W307" t="s">
        <v>69</v>
      </c>
      <c r="X307" t="s">
        <v>197</v>
      </c>
      <c r="Y307" t="s">
        <v>51</v>
      </c>
      <c r="Z307">
        <v>1656</v>
      </c>
      <c r="AH307">
        <v>0</v>
      </c>
      <c r="AI307">
        <v>202504</v>
      </c>
      <c r="AJ307" t="s">
        <v>56</v>
      </c>
      <c r="AK307">
        <v>0</v>
      </c>
      <c r="AL307">
        <v>1</v>
      </c>
      <c r="AM307">
        <v>4284957</v>
      </c>
      <c r="AN307">
        <v>1</v>
      </c>
      <c r="AO307">
        <v>0</v>
      </c>
      <c r="AP307" t="s">
        <v>3050</v>
      </c>
      <c r="AQ307" t="s">
        <v>3021</v>
      </c>
      <c r="AR307" t="s">
        <v>3070</v>
      </c>
      <c r="AS307" t="s">
        <v>3055</v>
      </c>
      <c r="AU307" t="s">
        <v>3055</v>
      </c>
    </row>
    <row r="308" spans="1:47" x14ac:dyDescent="0.35">
      <c r="A308">
        <v>337557</v>
      </c>
      <c r="B308" t="s">
        <v>193</v>
      </c>
      <c r="C308" t="s">
        <v>194</v>
      </c>
      <c r="D308" s="2">
        <v>45776</v>
      </c>
      <c r="E308">
        <v>53850</v>
      </c>
      <c r="F308">
        <v>102</v>
      </c>
      <c r="G308" t="s">
        <v>151</v>
      </c>
      <c r="H308" t="s">
        <v>167</v>
      </c>
      <c r="I308" t="s">
        <v>45</v>
      </c>
      <c r="K308" t="s">
        <v>424</v>
      </c>
      <c r="L308">
        <v>1023300660520</v>
      </c>
      <c r="M308">
        <v>20250428</v>
      </c>
      <c r="N308" t="s">
        <v>175</v>
      </c>
      <c r="Q308" t="s">
        <v>47</v>
      </c>
      <c r="R308">
        <v>104142</v>
      </c>
      <c r="S308">
        <v>48830</v>
      </c>
      <c r="T308">
        <v>66052</v>
      </c>
      <c r="U308">
        <v>398110726</v>
      </c>
      <c r="V308" t="s">
        <v>426</v>
      </c>
      <c r="W308" t="s">
        <v>49</v>
      </c>
      <c r="X308" t="s">
        <v>59</v>
      </c>
      <c r="Y308" t="s">
        <v>51</v>
      </c>
      <c r="Z308">
        <v>1203</v>
      </c>
      <c r="AH308">
        <v>0</v>
      </c>
      <c r="AI308">
        <v>202504</v>
      </c>
      <c r="AJ308" t="s">
        <v>119</v>
      </c>
      <c r="AK308">
        <v>1</v>
      </c>
      <c r="AL308">
        <v>1</v>
      </c>
      <c r="AM308">
        <v>66052</v>
      </c>
      <c r="AN308">
        <v>1</v>
      </c>
      <c r="AO308">
        <v>1</v>
      </c>
      <c r="AP308" t="s">
        <v>3015</v>
      </c>
      <c r="AQ308" t="s">
        <v>3012</v>
      </c>
      <c r="AR308" t="s">
        <v>3016</v>
      </c>
      <c r="AT308" t="s">
        <v>3017</v>
      </c>
      <c r="AU308" t="s">
        <v>3018</v>
      </c>
    </row>
    <row r="309" spans="1:47" x14ac:dyDescent="0.35">
      <c r="A309">
        <v>337556</v>
      </c>
      <c r="B309" t="s">
        <v>193</v>
      </c>
      <c r="C309" t="s">
        <v>194</v>
      </c>
      <c r="D309" s="2">
        <v>45776</v>
      </c>
      <c r="E309">
        <v>53850</v>
      </c>
      <c r="F309">
        <v>102</v>
      </c>
      <c r="G309" t="s">
        <v>151</v>
      </c>
      <c r="H309" t="s">
        <v>167</v>
      </c>
      <c r="I309" t="s">
        <v>45</v>
      </c>
      <c r="K309" t="s">
        <v>424</v>
      </c>
      <c r="L309">
        <v>1023308720537</v>
      </c>
      <c r="M309">
        <v>20250428</v>
      </c>
      <c r="N309" t="s">
        <v>195</v>
      </c>
      <c r="Q309" t="s">
        <v>47</v>
      </c>
      <c r="R309">
        <v>45160</v>
      </c>
      <c r="S309">
        <v>45160</v>
      </c>
      <c r="T309">
        <v>4653840</v>
      </c>
      <c r="U309">
        <v>7052850729</v>
      </c>
      <c r="V309" t="s">
        <v>485</v>
      </c>
      <c r="W309" t="s">
        <v>49</v>
      </c>
      <c r="X309" t="s">
        <v>200</v>
      </c>
      <c r="Y309" t="s">
        <v>51</v>
      </c>
      <c r="Z309">
        <v>979</v>
      </c>
      <c r="AH309">
        <v>0</v>
      </c>
      <c r="AI309">
        <v>202504</v>
      </c>
      <c r="AJ309" t="s">
        <v>52</v>
      </c>
      <c r="AK309">
        <v>0</v>
      </c>
      <c r="AL309">
        <v>1</v>
      </c>
      <c r="AM309">
        <v>4653840</v>
      </c>
      <c r="AN309">
        <v>1</v>
      </c>
      <c r="AO309">
        <v>0</v>
      </c>
      <c r="AP309" t="s">
        <v>3015</v>
      </c>
      <c r="AQ309" t="s">
        <v>3012</v>
      </c>
      <c r="AR309" t="s">
        <v>3016</v>
      </c>
      <c r="AT309" t="s">
        <v>3017</v>
      </c>
      <c r="AU309" t="s">
        <v>3018</v>
      </c>
    </row>
    <row r="310" spans="1:47" x14ac:dyDescent="0.35">
      <c r="A310">
        <v>337555</v>
      </c>
      <c r="B310" t="s">
        <v>193</v>
      </c>
      <c r="C310" t="s">
        <v>194</v>
      </c>
      <c r="D310" s="2">
        <v>45776</v>
      </c>
      <c r="E310">
        <v>53850</v>
      </c>
      <c r="F310">
        <v>259</v>
      </c>
      <c r="G310" t="s">
        <v>361</v>
      </c>
      <c r="H310" t="s">
        <v>167</v>
      </c>
      <c r="I310" t="s">
        <v>45</v>
      </c>
      <c r="K310" t="s">
        <v>424</v>
      </c>
      <c r="L310">
        <v>2593300000146</v>
      </c>
      <c r="M310">
        <v>20250428</v>
      </c>
      <c r="N310" t="s">
        <v>195</v>
      </c>
      <c r="Q310" t="s">
        <v>47</v>
      </c>
      <c r="R310">
        <v>50990</v>
      </c>
      <c r="S310">
        <v>50990</v>
      </c>
      <c r="T310">
        <v>4574357</v>
      </c>
      <c r="U310">
        <v>5690380729</v>
      </c>
      <c r="V310" t="s">
        <v>486</v>
      </c>
      <c r="W310" t="s">
        <v>49</v>
      </c>
      <c r="X310" t="s">
        <v>117</v>
      </c>
      <c r="Y310" t="s">
        <v>51</v>
      </c>
      <c r="Z310">
        <v>1058</v>
      </c>
      <c r="AH310">
        <v>0</v>
      </c>
      <c r="AI310">
        <v>202504</v>
      </c>
      <c r="AJ310" t="s">
        <v>56</v>
      </c>
      <c r="AK310">
        <v>0</v>
      </c>
      <c r="AL310">
        <v>1</v>
      </c>
      <c r="AM310">
        <v>4574357</v>
      </c>
      <c r="AN310">
        <v>1</v>
      </c>
      <c r="AO310">
        <v>0</v>
      </c>
      <c r="AP310" t="s">
        <v>3029</v>
      </c>
      <c r="AQ310" t="s">
        <v>3012</v>
      </c>
      <c r="AR310" t="s">
        <v>3030</v>
      </c>
      <c r="AS310" t="s">
        <v>3014</v>
      </c>
      <c r="AU310" t="s">
        <v>3014</v>
      </c>
    </row>
    <row r="311" spans="1:47" x14ac:dyDescent="0.35">
      <c r="A311">
        <v>337554</v>
      </c>
      <c r="B311" t="s">
        <v>333</v>
      </c>
      <c r="C311" t="s">
        <v>334</v>
      </c>
      <c r="D311" s="2">
        <v>45776</v>
      </c>
      <c r="E311">
        <v>53850</v>
      </c>
      <c r="F311">
        <v>99</v>
      </c>
      <c r="G311" t="s">
        <v>335</v>
      </c>
      <c r="H311" t="s">
        <v>167</v>
      </c>
      <c r="I311" t="s">
        <v>45</v>
      </c>
      <c r="K311">
        <v>202504287931147</v>
      </c>
      <c r="M311">
        <v>20250428</v>
      </c>
      <c r="N311" t="s">
        <v>3136</v>
      </c>
      <c r="Q311" t="s">
        <v>170</v>
      </c>
      <c r="R311">
        <v>9232.3799999999992</v>
      </c>
      <c r="S311">
        <v>0</v>
      </c>
      <c r="T311">
        <v>4433326</v>
      </c>
      <c r="U311" t="s">
        <v>463</v>
      </c>
      <c r="V311" t="s">
        <v>464</v>
      </c>
      <c r="W311" t="s">
        <v>187</v>
      </c>
      <c r="Y311" t="s">
        <v>51</v>
      </c>
      <c r="Z311">
        <v>1162</v>
      </c>
      <c r="AH311">
        <v>0</v>
      </c>
      <c r="AI311">
        <v>202504</v>
      </c>
      <c r="AJ311" t="s">
        <v>86</v>
      </c>
      <c r="AK311">
        <v>1</v>
      </c>
      <c r="AL311">
        <v>0</v>
      </c>
      <c r="AO311">
        <v>1</v>
      </c>
      <c r="AP311" t="s">
        <v>3015</v>
      </c>
      <c r="AQ311" t="s">
        <v>3044</v>
      </c>
      <c r="AR311" t="s">
        <v>3045</v>
      </c>
      <c r="AS311" t="s">
        <v>3046</v>
      </c>
      <c r="AU311" t="s">
        <v>3046</v>
      </c>
    </row>
    <row r="312" spans="1:47" x14ac:dyDescent="0.35">
      <c r="A312">
        <v>337553</v>
      </c>
      <c r="B312" t="s">
        <v>193</v>
      </c>
      <c r="C312" t="s">
        <v>194</v>
      </c>
      <c r="D312" s="2">
        <v>45776</v>
      </c>
      <c r="E312">
        <v>53850</v>
      </c>
      <c r="F312">
        <v>267</v>
      </c>
      <c r="G312" t="s">
        <v>349</v>
      </c>
      <c r="H312" t="s">
        <v>167</v>
      </c>
      <c r="I312" t="s">
        <v>45</v>
      </c>
      <c r="K312">
        <v>202504287931837</v>
      </c>
      <c r="L312">
        <v>2673300003600</v>
      </c>
      <c r="M312">
        <v>20250428</v>
      </c>
      <c r="N312" t="s">
        <v>266</v>
      </c>
      <c r="Q312" t="s">
        <v>47</v>
      </c>
      <c r="R312">
        <v>115000</v>
      </c>
      <c r="S312">
        <v>115000</v>
      </c>
      <c r="T312">
        <v>1705101</v>
      </c>
      <c r="U312">
        <v>2896870793</v>
      </c>
      <c r="V312" t="s">
        <v>439</v>
      </c>
      <c r="W312" t="s">
        <v>190</v>
      </c>
      <c r="X312" t="s">
        <v>200</v>
      </c>
      <c r="Y312" t="s">
        <v>51</v>
      </c>
      <c r="Z312">
        <v>1878</v>
      </c>
      <c r="AH312">
        <v>0</v>
      </c>
      <c r="AI312">
        <v>202504</v>
      </c>
      <c r="AJ312" t="s">
        <v>56</v>
      </c>
      <c r="AK312">
        <v>0</v>
      </c>
      <c r="AL312">
        <v>1</v>
      </c>
      <c r="AM312">
        <v>1705101</v>
      </c>
      <c r="AN312">
        <v>1</v>
      </c>
      <c r="AO312">
        <v>0</v>
      </c>
      <c r="AP312" t="s">
        <v>3015</v>
      </c>
      <c r="AQ312" t="s">
        <v>3047</v>
      </c>
      <c r="AR312" t="s">
        <v>3056</v>
      </c>
      <c r="AT312" t="s">
        <v>3017</v>
      </c>
      <c r="AU312" t="s">
        <v>3057</v>
      </c>
    </row>
    <row r="313" spans="1:47" x14ac:dyDescent="0.35">
      <c r="A313">
        <v>337552</v>
      </c>
      <c r="B313" t="s">
        <v>178</v>
      </c>
      <c r="C313" t="s">
        <v>179</v>
      </c>
      <c r="D313" s="2">
        <v>45776</v>
      </c>
      <c r="E313">
        <v>53850</v>
      </c>
      <c r="F313">
        <v>125</v>
      </c>
      <c r="G313" t="s">
        <v>75</v>
      </c>
      <c r="H313" t="s">
        <v>167</v>
      </c>
      <c r="I313" t="s">
        <v>45</v>
      </c>
      <c r="K313">
        <v>202504287928675</v>
      </c>
      <c r="L313">
        <v>1253300001106</v>
      </c>
      <c r="M313">
        <v>20250428</v>
      </c>
      <c r="N313" t="s">
        <v>46</v>
      </c>
      <c r="P313" t="s">
        <v>51</v>
      </c>
      <c r="Q313" t="s">
        <v>47</v>
      </c>
      <c r="R313">
        <v>690234.02</v>
      </c>
      <c r="S313">
        <v>0</v>
      </c>
      <c r="T313">
        <v>4519282</v>
      </c>
      <c r="U313">
        <v>6193171219</v>
      </c>
      <c r="V313" t="s">
        <v>417</v>
      </c>
      <c r="W313" t="s">
        <v>49</v>
      </c>
      <c r="X313" t="s">
        <v>418</v>
      </c>
      <c r="Y313" t="s">
        <v>51</v>
      </c>
      <c r="Z313">
        <v>982</v>
      </c>
      <c r="AH313">
        <v>0</v>
      </c>
      <c r="AI313">
        <v>202504</v>
      </c>
      <c r="AJ313" t="s">
        <v>52</v>
      </c>
      <c r="AK313">
        <v>0</v>
      </c>
      <c r="AL313">
        <v>1</v>
      </c>
      <c r="AO313">
        <v>0</v>
      </c>
      <c r="AP313" t="s">
        <v>3066</v>
      </c>
      <c r="AQ313" t="s">
        <v>3012</v>
      </c>
      <c r="AR313" t="s">
        <v>3067</v>
      </c>
      <c r="AS313" t="s">
        <v>3014</v>
      </c>
      <c r="AU313" t="s">
        <v>3014</v>
      </c>
    </row>
    <row r="314" spans="1:47" x14ac:dyDescent="0.35">
      <c r="A314">
        <v>337551</v>
      </c>
      <c r="B314" t="s">
        <v>193</v>
      </c>
      <c r="C314" t="s">
        <v>194</v>
      </c>
      <c r="D314" s="2">
        <v>45776</v>
      </c>
      <c r="E314">
        <v>53850</v>
      </c>
      <c r="F314">
        <v>129</v>
      </c>
      <c r="G314" t="s">
        <v>227</v>
      </c>
      <c r="H314" t="s">
        <v>167</v>
      </c>
      <c r="I314" t="s">
        <v>45</v>
      </c>
      <c r="K314" t="s">
        <v>424</v>
      </c>
      <c r="L314">
        <v>1293300003039</v>
      </c>
      <c r="M314">
        <v>20250428</v>
      </c>
      <c r="N314" t="s">
        <v>175</v>
      </c>
      <c r="Q314" t="s">
        <v>47</v>
      </c>
      <c r="R314">
        <v>19550</v>
      </c>
      <c r="S314">
        <v>15550</v>
      </c>
      <c r="T314">
        <v>3734755</v>
      </c>
      <c r="U314" t="s">
        <v>487</v>
      </c>
      <c r="V314" t="s">
        <v>488</v>
      </c>
      <c r="W314" t="s">
        <v>187</v>
      </c>
      <c r="Y314" t="s">
        <v>51</v>
      </c>
      <c r="Z314">
        <v>1355</v>
      </c>
      <c r="AH314">
        <v>0</v>
      </c>
      <c r="AI314">
        <v>202504</v>
      </c>
      <c r="AJ314" t="s">
        <v>52</v>
      </c>
      <c r="AK314">
        <v>0</v>
      </c>
      <c r="AL314">
        <v>1</v>
      </c>
      <c r="AO314">
        <v>1</v>
      </c>
      <c r="AP314" t="s">
        <v>3015</v>
      </c>
      <c r="AQ314" t="s">
        <v>3044</v>
      </c>
      <c r="AR314" t="s">
        <v>3045</v>
      </c>
      <c r="AS314" t="s">
        <v>3046</v>
      </c>
      <c r="AU314" t="s">
        <v>3046</v>
      </c>
    </row>
    <row r="315" spans="1:47" x14ac:dyDescent="0.35">
      <c r="A315">
        <v>337550</v>
      </c>
      <c r="B315" t="s">
        <v>172</v>
      </c>
      <c r="C315" t="s">
        <v>173</v>
      </c>
      <c r="D315" s="2">
        <v>45776</v>
      </c>
      <c r="E315">
        <v>53850</v>
      </c>
      <c r="F315">
        <v>170</v>
      </c>
      <c r="G315" t="s">
        <v>211</v>
      </c>
      <c r="H315" t="s">
        <v>167</v>
      </c>
      <c r="I315" t="s">
        <v>45</v>
      </c>
      <c r="K315">
        <v>202504287931605</v>
      </c>
      <c r="L315">
        <v>1703306290965</v>
      </c>
      <c r="M315">
        <v>20250428</v>
      </c>
      <c r="N315" t="s">
        <v>231</v>
      </c>
      <c r="Q315" t="s">
        <v>47</v>
      </c>
      <c r="R315">
        <v>172400</v>
      </c>
      <c r="S315">
        <v>0</v>
      </c>
      <c r="T315">
        <v>3734846</v>
      </c>
      <c r="U315">
        <v>8512530729</v>
      </c>
      <c r="V315" t="s">
        <v>489</v>
      </c>
      <c r="W315" t="s">
        <v>49</v>
      </c>
      <c r="X315" t="s">
        <v>364</v>
      </c>
      <c r="Y315" t="s">
        <v>51</v>
      </c>
      <c r="Z315">
        <v>1920</v>
      </c>
      <c r="AH315">
        <v>0</v>
      </c>
      <c r="AI315">
        <v>202504</v>
      </c>
      <c r="AJ315" t="s">
        <v>86</v>
      </c>
      <c r="AK315">
        <v>1</v>
      </c>
      <c r="AL315">
        <v>1</v>
      </c>
      <c r="AO315">
        <v>0</v>
      </c>
      <c r="AP315" t="s">
        <v>3062</v>
      </c>
      <c r="AQ315" t="s">
        <v>3012</v>
      </c>
      <c r="AR315" t="s">
        <v>3063</v>
      </c>
      <c r="AS315" t="s">
        <v>3014</v>
      </c>
      <c r="AU315" t="s">
        <v>3014</v>
      </c>
    </row>
    <row r="316" spans="1:47" x14ac:dyDescent="0.35">
      <c r="A316">
        <v>337549</v>
      </c>
      <c r="B316" t="s">
        <v>172</v>
      </c>
      <c r="C316" t="s">
        <v>173</v>
      </c>
      <c r="D316" s="2">
        <v>45776</v>
      </c>
      <c r="E316">
        <v>53850</v>
      </c>
      <c r="F316">
        <v>129</v>
      </c>
      <c r="G316" t="s">
        <v>227</v>
      </c>
      <c r="H316" t="s">
        <v>167</v>
      </c>
      <c r="I316" t="s">
        <v>45</v>
      </c>
      <c r="K316">
        <v>202504287931405</v>
      </c>
      <c r="L316">
        <v>2343300010453</v>
      </c>
      <c r="M316">
        <v>20250428</v>
      </c>
      <c r="N316" t="s">
        <v>81</v>
      </c>
      <c r="Q316" t="s">
        <v>47</v>
      </c>
      <c r="R316">
        <v>89149.25</v>
      </c>
      <c r="S316">
        <v>0</v>
      </c>
      <c r="T316">
        <v>4247777</v>
      </c>
      <c r="U316">
        <v>233470236</v>
      </c>
      <c r="V316" t="s">
        <v>206</v>
      </c>
      <c r="W316" t="s">
        <v>49</v>
      </c>
      <c r="X316" t="s">
        <v>117</v>
      </c>
      <c r="Y316" t="s">
        <v>51</v>
      </c>
      <c r="Z316">
        <v>1696</v>
      </c>
      <c r="AH316">
        <v>0</v>
      </c>
      <c r="AI316">
        <v>202504</v>
      </c>
      <c r="AJ316" t="s">
        <v>114</v>
      </c>
      <c r="AK316">
        <v>1</v>
      </c>
      <c r="AL316">
        <v>1</v>
      </c>
      <c r="AM316">
        <v>4247777</v>
      </c>
      <c r="AN316">
        <v>1</v>
      </c>
      <c r="AO316">
        <v>0</v>
      </c>
      <c r="AP316" t="s">
        <v>3029</v>
      </c>
      <c r="AQ316" t="s">
        <v>3012</v>
      </c>
      <c r="AR316" t="s">
        <v>3030</v>
      </c>
      <c r="AS316" t="s">
        <v>3014</v>
      </c>
      <c r="AU316" t="s">
        <v>3014</v>
      </c>
    </row>
    <row r="317" spans="1:47" x14ac:dyDescent="0.35">
      <c r="A317">
        <v>337548</v>
      </c>
      <c r="B317" t="s">
        <v>172</v>
      </c>
      <c r="C317" t="s">
        <v>173</v>
      </c>
      <c r="D317" s="2">
        <v>45776</v>
      </c>
      <c r="E317">
        <v>53850</v>
      </c>
      <c r="F317">
        <v>161</v>
      </c>
      <c r="G317" t="s">
        <v>111</v>
      </c>
      <c r="H317" t="s">
        <v>167</v>
      </c>
      <c r="I317" t="s">
        <v>45</v>
      </c>
      <c r="K317" t="s">
        <v>424</v>
      </c>
      <c r="L317">
        <v>1613300029653</v>
      </c>
      <c r="M317">
        <v>20250428</v>
      </c>
      <c r="N317" t="s">
        <v>175</v>
      </c>
      <c r="Q317" t="s">
        <v>47</v>
      </c>
      <c r="R317">
        <v>79891.56</v>
      </c>
      <c r="S317">
        <v>10100</v>
      </c>
      <c r="T317">
        <v>4088769</v>
      </c>
      <c r="U317">
        <v>5150120722</v>
      </c>
      <c r="V317" t="s">
        <v>270</v>
      </c>
      <c r="W317" t="s">
        <v>49</v>
      </c>
      <c r="X317" t="s">
        <v>110</v>
      </c>
      <c r="Y317" t="s">
        <v>51</v>
      </c>
      <c r="Z317">
        <v>1903</v>
      </c>
      <c r="AH317">
        <v>0</v>
      </c>
      <c r="AI317">
        <v>202504</v>
      </c>
      <c r="AJ317" t="s">
        <v>56</v>
      </c>
      <c r="AK317">
        <v>0</v>
      </c>
      <c r="AL317">
        <v>1</v>
      </c>
      <c r="AM317">
        <v>4088769</v>
      </c>
      <c r="AN317">
        <v>1</v>
      </c>
      <c r="AO317">
        <v>1</v>
      </c>
      <c r="AP317" t="s">
        <v>3026</v>
      </c>
      <c r="AQ317" t="s">
        <v>3012</v>
      </c>
      <c r="AR317" t="s">
        <v>3027</v>
      </c>
      <c r="AS317" t="s">
        <v>3028</v>
      </c>
      <c r="AU317" t="s">
        <v>3028</v>
      </c>
    </row>
    <row r="318" spans="1:47" x14ac:dyDescent="0.35">
      <c r="A318">
        <v>337547</v>
      </c>
      <c r="B318" t="s">
        <v>172</v>
      </c>
      <c r="C318" t="s">
        <v>173</v>
      </c>
      <c r="D318" s="2">
        <v>45776</v>
      </c>
      <c r="E318">
        <v>53850</v>
      </c>
      <c r="F318">
        <v>175</v>
      </c>
      <c r="G318" t="s">
        <v>99</v>
      </c>
      <c r="H318" t="s">
        <v>167</v>
      </c>
      <c r="I318" t="s">
        <v>45</v>
      </c>
      <c r="K318" t="s">
        <v>424</v>
      </c>
      <c r="L318">
        <v>1753302203127</v>
      </c>
      <c r="M318">
        <v>20250428</v>
      </c>
      <c r="N318" t="s">
        <v>175</v>
      </c>
      <c r="Q318" t="s">
        <v>47</v>
      </c>
      <c r="R318">
        <v>115615.55</v>
      </c>
      <c r="S318">
        <v>47710</v>
      </c>
      <c r="T318">
        <v>4160138</v>
      </c>
      <c r="U318">
        <v>484200779</v>
      </c>
      <c r="V318" t="s">
        <v>100</v>
      </c>
      <c r="W318" t="s">
        <v>49</v>
      </c>
      <c r="X318" t="s">
        <v>101</v>
      </c>
      <c r="Y318" t="s">
        <v>51</v>
      </c>
      <c r="Z318">
        <v>739</v>
      </c>
      <c r="AH318">
        <v>0</v>
      </c>
      <c r="AI318">
        <v>202504</v>
      </c>
      <c r="AJ318" t="s">
        <v>86</v>
      </c>
      <c r="AK318">
        <v>1</v>
      </c>
      <c r="AL318">
        <v>1</v>
      </c>
      <c r="AM318">
        <v>4160138</v>
      </c>
      <c r="AN318">
        <v>1</v>
      </c>
      <c r="AO318">
        <v>1</v>
      </c>
      <c r="AP318" t="s">
        <v>3015</v>
      </c>
      <c r="AQ318" t="s">
        <v>3012</v>
      </c>
      <c r="AR318" t="s">
        <v>3016</v>
      </c>
      <c r="AT318" t="s">
        <v>3017</v>
      </c>
      <c r="AU318" t="s">
        <v>3018</v>
      </c>
    </row>
    <row r="319" spans="1:47" x14ac:dyDescent="0.35">
      <c r="A319">
        <v>337546</v>
      </c>
      <c r="B319" t="s">
        <v>193</v>
      </c>
      <c r="C319" t="s">
        <v>194</v>
      </c>
      <c r="D319" s="2">
        <v>45776</v>
      </c>
      <c r="E319">
        <v>53850</v>
      </c>
      <c r="F319">
        <v>117</v>
      </c>
      <c r="G319" t="s">
        <v>490</v>
      </c>
      <c r="H319" t="s">
        <v>167</v>
      </c>
      <c r="I319" t="s">
        <v>45</v>
      </c>
      <c r="K319" t="s">
        <v>491</v>
      </c>
      <c r="L319">
        <v>1173300538726</v>
      </c>
      <c r="M319">
        <v>20250427</v>
      </c>
      <c r="N319" t="s">
        <v>195</v>
      </c>
      <c r="Q319" t="s">
        <v>47</v>
      </c>
      <c r="R319">
        <v>36380</v>
      </c>
      <c r="S319">
        <v>36380</v>
      </c>
      <c r="T319">
        <v>4784989</v>
      </c>
      <c r="U319">
        <v>1269590772</v>
      </c>
      <c r="V319" t="s">
        <v>492</v>
      </c>
      <c r="W319" t="s">
        <v>49</v>
      </c>
      <c r="X319" t="s">
        <v>413</v>
      </c>
      <c r="Y319" t="s">
        <v>51</v>
      </c>
      <c r="Z319">
        <v>1926</v>
      </c>
      <c r="AH319">
        <v>0</v>
      </c>
      <c r="AI319">
        <v>202504</v>
      </c>
      <c r="AJ319" t="s">
        <v>56</v>
      </c>
      <c r="AK319">
        <v>0</v>
      </c>
      <c r="AL319">
        <v>1</v>
      </c>
      <c r="AM319">
        <v>4784989</v>
      </c>
      <c r="AN319">
        <v>1</v>
      </c>
      <c r="AO319">
        <v>0</v>
      </c>
      <c r="AP319" t="s">
        <v>3015</v>
      </c>
      <c r="AQ319" t="s">
        <v>3012</v>
      </c>
      <c r="AR319" t="s">
        <v>3016</v>
      </c>
      <c r="AT319" t="s">
        <v>3017</v>
      </c>
      <c r="AU319" t="s">
        <v>3018</v>
      </c>
    </row>
    <row r="320" spans="1:47" x14ac:dyDescent="0.35">
      <c r="A320">
        <v>337545</v>
      </c>
      <c r="B320" t="s">
        <v>193</v>
      </c>
      <c r="C320" t="s">
        <v>194</v>
      </c>
      <c r="D320" s="2">
        <v>45776</v>
      </c>
      <c r="E320">
        <v>53850</v>
      </c>
      <c r="F320">
        <v>102</v>
      </c>
      <c r="G320" t="s">
        <v>151</v>
      </c>
      <c r="H320" t="s">
        <v>167</v>
      </c>
      <c r="I320" t="s">
        <v>45</v>
      </c>
      <c r="K320" t="s">
        <v>493</v>
      </c>
      <c r="L320">
        <v>1023308722503</v>
      </c>
      <c r="M320">
        <v>20250425</v>
      </c>
      <c r="N320" t="s">
        <v>195</v>
      </c>
      <c r="Q320" t="s">
        <v>47</v>
      </c>
      <c r="R320">
        <v>42260</v>
      </c>
      <c r="S320">
        <v>42260</v>
      </c>
      <c r="T320">
        <v>413650</v>
      </c>
      <c r="U320">
        <v>3657230722</v>
      </c>
      <c r="V320" t="s">
        <v>196</v>
      </c>
      <c r="W320" t="s">
        <v>190</v>
      </c>
      <c r="X320" t="s">
        <v>197</v>
      </c>
      <c r="Y320" t="s">
        <v>51</v>
      </c>
      <c r="Z320">
        <v>1306</v>
      </c>
      <c r="AH320">
        <v>0</v>
      </c>
      <c r="AI320">
        <v>202504</v>
      </c>
      <c r="AJ320" t="s">
        <v>56</v>
      </c>
      <c r="AK320">
        <v>0</v>
      </c>
      <c r="AL320">
        <v>1</v>
      </c>
      <c r="AM320">
        <v>413650</v>
      </c>
      <c r="AN320">
        <v>1</v>
      </c>
      <c r="AO320">
        <v>0</v>
      </c>
      <c r="AP320" t="s">
        <v>3050</v>
      </c>
      <c r="AQ320" t="s">
        <v>3047</v>
      </c>
      <c r="AR320" t="s">
        <v>3051</v>
      </c>
      <c r="AS320" t="s">
        <v>3049</v>
      </c>
      <c r="AU320" t="s">
        <v>3049</v>
      </c>
    </row>
    <row r="321" spans="1:47" x14ac:dyDescent="0.35">
      <c r="A321">
        <v>337544</v>
      </c>
      <c r="B321" t="s">
        <v>214</v>
      </c>
      <c r="C321" t="s">
        <v>215</v>
      </c>
      <c r="D321" s="2">
        <v>45776</v>
      </c>
      <c r="E321">
        <v>53850</v>
      </c>
      <c r="F321">
        <v>109</v>
      </c>
      <c r="G321" t="s">
        <v>89</v>
      </c>
      <c r="H321" t="s">
        <v>167</v>
      </c>
      <c r="I321" t="s">
        <v>45</v>
      </c>
      <c r="K321">
        <v>202504257929903</v>
      </c>
      <c r="L321">
        <v>1093306672844</v>
      </c>
      <c r="M321">
        <v>20250425</v>
      </c>
      <c r="N321" t="s">
        <v>168</v>
      </c>
      <c r="P321" t="s">
        <v>217</v>
      </c>
      <c r="Q321" t="s">
        <v>47</v>
      </c>
      <c r="R321">
        <v>20740</v>
      </c>
      <c r="S321">
        <v>0</v>
      </c>
      <c r="T321">
        <v>440311</v>
      </c>
      <c r="U321">
        <v>3550290724</v>
      </c>
      <c r="V321" t="s">
        <v>90</v>
      </c>
      <c r="W321" t="s">
        <v>49</v>
      </c>
      <c r="X321" t="s">
        <v>91</v>
      </c>
      <c r="Y321" t="s">
        <v>51</v>
      </c>
      <c r="Z321">
        <v>1903</v>
      </c>
      <c r="AH321">
        <v>0</v>
      </c>
      <c r="AI321">
        <v>202504</v>
      </c>
      <c r="AJ321" t="s">
        <v>56</v>
      </c>
      <c r="AK321">
        <v>0</v>
      </c>
      <c r="AL321">
        <v>1</v>
      </c>
      <c r="AM321">
        <v>440311</v>
      </c>
      <c r="AN321">
        <v>1</v>
      </c>
      <c r="AO321">
        <v>0</v>
      </c>
      <c r="AP321" t="s">
        <v>1100</v>
      </c>
      <c r="AQ321" t="s">
        <v>3012</v>
      </c>
      <c r="AR321" t="s">
        <v>3023</v>
      </c>
      <c r="AS321" t="s">
        <v>3014</v>
      </c>
      <c r="AU321" t="s">
        <v>3014</v>
      </c>
    </row>
    <row r="322" spans="1:47" x14ac:dyDescent="0.35">
      <c r="A322">
        <v>337543</v>
      </c>
      <c r="B322" t="s">
        <v>164</v>
      </c>
      <c r="C322" t="s">
        <v>165</v>
      </c>
      <c r="D322" s="2">
        <v>45776</v>
      </c>
      <c r="E322">
        <v>53850</v>
      </c>
      <c r="F322">
        <v>284</v>
      </c>
      <c r="G322" t="s">
        <v>184</v>
      </c>
      <c r="H322" t="s">
        <v>167</v>
      </c>
      <c r="I322" t="s">
        <v>45</v>
      </c>
      <c r="K322">
        <v>202504247931905</v>
      </c>
      <c r="L322">
        <v>2843300001332</v>
      </c>
      <c r="M322">
        <v>20250424</v>
      </c>
      <c r="N322" t="s">
        <v>168</v>
      </c>
      <c r="P322" t="s">
        <v>255</v>
      </c>
      <c r="Q322" t="s">
        <v>170</v>
      </c>
      <c r="R322">
        <v>10350</v>
      </c>
      <c r="S322">
        <v>0</v>
      </c>
      <c r="T322">
        <v>1620921</v>
      </c>
      <c r="U322" t="s">
        <v>494</v>
      </c>
      <c r="V322" t="s">
        <v>495</v>
      </c>
      <c r="W322" t="s">
        <v>342</v>
      </c>
      <c r="X322" t="s">
        <v>364</v>
      </c>
      <c r="Y322" t="s">
        <v>51</v>
      </c>
      <c r="Z322">
        <v>1826</v>
      </c>
      <c r="AH322">
        <v>0</v>
      </c>
      <c r="AI322">
        <v>202504</v>
      </c>
      <c r="AJ322" t="s">
        <v>56</v>
      </c>
      <c r="AK322">
        <v>0</v>
      </c>
      <c r="AL322">
        <v>1</v>
      </c>
      <c r="AO322">
        <v>0</v>
      </c>
      <c r="AP322" t="s">
        <v>3015</v>
      </c>
      <c r="AQ322" t="s">
        <v>3060</v>
      </c>
      <c r="AR322" t="s">
        <v>3061</v>
      </c>
      <c r="AT322" t="s">
        <v>3017</v>
      </c>
      <c r="AU322" t="s">
        <v>3014</v>
      </c>
    </row>
    <row r="323" spans="1:47" x14ac:dyDescent="0.35">
      <c r="A323">
        <v>337542</v>
      </c>
      <c r="B323" t="s">
        <v>164</v>
      </c>
      <c r="C323" t="s">
        <v>165</v>
      </c>
      <c r="D323" s="2">
        <v>45776</v>
      </c>
      <c r="E323">
        <v>53850</v>
      </c>
      <c r="F323">
        <v>109</v>
      </c>
      <c r="G323" t="s">
        <v>89</v>
      </c>
      <c r="H323" t="s">
        <v>167</v>
      </c>
      <c r="I323" t="s">
        <v>45</v>
      </c>
      <c r="K323">
        <v>202504237927974</v>
      </c>
      <c r="L323">
        <v>1093306672844</v>
      </c>
      <c r="M323">
        <v>20250423</v>
      </c>
      <c r="N323" t="s">
        <v>168</v>
      </c>
      <c r="P323" t="s">
        <v>255</v>
      </c>
      <c r="Q323" t="s">
        <v>170</v>
      </c>
      <c r="R323">
        <v>5100</v>
      </c>
      <c r="S323">
        <v>0</v>
      </c>
      <c r="T323">
        <v>440311</v>
      </c>
      <c r="U323">
        <v>3550290724</v>
      </c>
      <c r="V323" t="s">
        <v>90</v>
      </c>
      <c r="W323" t="s">
        <v>49</v>
      </c>
      <c r="X323" t="s">
        <v>91</v>
      </c>
      <c r="Y323" t="s">
        <v>51</v>
      </c>
      <c r="Z323">
        <v>1903</v>
      </c>
      <c r="AH323">
        <v>0</v>
      </c>
      <c r="AI323">
        <v>202504</v>
      </c>
      <c r="AJ323" t="s">
        <v>56</v>
      </c>
      <c r="AK323">
        <v>0</v>
      </c>
      <c r="AL323">
        <v>1</v>
      </c>
      <c r="AM323">
        <v>440311</v>
      </c>
      <c r="AN323">
        <v>1</v>
      </c>
      <c r="AO323">
        <v>0</v>
      </c>
      <c r="AP323" t="s">
        <v>1100</v>
      </c>
      <c r="AQ323" t="s">
        <v>3012</v>
      </c>
      <c r="AR323" t="s">
        <v>3023</v>
      </c>
      <c r="AS323" t="s">
        <v>3014</v>
      </c>
      <c r="AU323" t="s">
        <v>3014</v>
      </c>
    </row>
    <row r="324" spans="1:47" x14ac:dyDescent="0.35">
      <c r="A324">
        <v>337541</v>
      </c>
      <c r="B324" t="s">
        <v>172</v>
      </c>
      <c r="C324" t="s">
        <v>173</v>
      </c>
      <c r="D324" s="2">
        <v>45772</v>
      </c>
      <c r="E324">
        <v>53850</v>
      </c>
      <c r="F324">
        <v>109</v>
      </c>
      <c r="G324" t="s">
        <v>89</v>
      </c>
      <c r="H324" t="s">
        <v>167</v>
      </c>
      <c r="I324" t="s">
        <v>45</v>
      </c>
      <c r="K324" t="s">
        <v>496</v>
      </c>
      <c r="L324">
        <v>1093306677188</v>
      </c>
      <c r="M324">
        <v>20250424</v>
      </c>
      <c r="N324" t="s">
        <v>231</v>
      </c>
      <c r="Q324" t="s">
        <v>47</v>
      </c>
      <c r="R324">
        <v>224800</v>
      </c>
      <c r="S324">
        <v>0</v>
      </c>
      <c r="T324">
        <v>3724794</v>
      </c>
      <c r="U324">
        <v>6790530726</v>
      </c>
      <c r="V324" t="s">
        <v>497</v>
      </c>
      <c r="W324" t="s">
        <v>49</v>
      </c>
      <c r="X324" t="s">
        <v>364</v>
      </c>
      <c r="Y324" t="s">
        <v>51</v>
      </c>
      <c r="Z324">
        <v>502</v>
      </c>
      <c r="AH324">
        <v>0</v>
      </c>
      <c r="AI324">
        <v>202504</v>
      </c>
      <c r="AJ324" t="s">
        <v>86</v>
      </c>
      <c r="AK324">
        <v>1</v>
      </c>
      <c r="AL324">
        <v>1</v>
      </c>
      <c r="AO324">
        <v>0</v>
      </c>
      <c r="AP324" t="s">
        <v>3062</v>
      </c>
      <c r="AQ324" t="s">
        <v>3012</v>
      </c>
      <c r="AR324" t="s">
        <v>3063</v>
      </c>
      <c r="AS324" t="s">
        <v>3014</v>
      </c>
      <c r="AU324" t="s">
        <v>3014</v>
      </c>
    </row>
    <row r="325" spans="1:47" x14ac:dyDescent="0.35">
      <c r="A325">
        <v>337540</v>
      </c>
      <c r="B325" t="s">
        <v>193</v>
      </c>
      <c r="C325" t="s">
        <v>194</v>
      </c>
      <c r="D325" s="2">
        <v>45772</v>
      </c>
      <c r="E325">
        <v>53850</v>
      </c>
      <c r="F325">
        <v>195</v>
      </c>
      <c r="G325" t="s">
        <v>498</v>
      </c>
      <c r="H325" t="s">
        <v>167</v>
      </c>
      <c r="I325" t="s">
        <v>45</v>
      </c>
      <c r="K325" t="s">
        <v>496</v>
      </c>
      <c r="L325">
        <v>1953300026976</v>
      </c>
      <c r="M325">
        <v>20250424</v>
      </c>
      <c r="N325" t="s">
        <v>195</v>
      </c>
      <c r="Q325" t="s">
        <v>47</v>
      </c>
      <c r="R325">
        <v>75200</v>
      </c>
      <c r="S325">
        <v>75200</v>
      </c>
      <c r="T325">
        <v>4081785</v>
      </c>
      <c r="U325" t="s">
        <v>499</v>
      </c>
      <c r="V325" t="s">
        <v>500</v>
      </c>
      <c r="W325" t="s">
        <v>69</v>
      </c>
      <c r="X325" t="s">
        <v>501</v>
      </c>
      <c r="Y325" t="s">
        <v>51</v>
      </c>
      <c r="Z325">
        <v>938</v>
      </c>
      <c r="AH325">
        <v>0</v>
      </c>
      <c r="AI325">
        <v>202504</v>
      </c>
      <c r="AJ325" t="s">
        <v>56</v>
      </c>
      <c r="AK325">
        <v>0</v>
      </c>
      <c r="AL325">
        <v>1</v>
      </c>
      <c r="AM325">
        <v>4081785</v>
      </c>
      <c r="AN325">
        <v>1</v>
      </c>
      <c r="AO325">
        <v>0</v>
      </c>
      <c r="AP325" t="s">
        <v>3015</v>
      </c>
      <c r="AQ325" t="s">
        <v>3021</v>
      </c>
      <c r="AR325" t="s">
        <v>3022</v>
      </c>
      <c r="AT325" t="s">
        <v>3017</v>
      </c>
      <c r="AU325" t="s">
        <v>3014</v>
      </c>
    </row>
    <row r="326" spans="1:47" x14ac:dyDescent="0.35">
      <c r="A326">
        <v>337539</v>
      </c>
      <c r="B326" t="s">
        <v>172</v>
      </c>
      <c r="C326" t="s">
        <v>173</v>
      </c>
      <c r="D326" s="2">
        <v>45772</v>
      </c>
      <c r="E326">
        <v>53850</v>
      </c>
      <c r="F326">
        <v>108</v>
      </c>
      <c r="G326" t="s">
        <v>124</v>
      </c>
      <c r="H326" t="s">
        <v>167</v>
      </c>
      <c r="I326" t="s">
        <v>45</v>
      </c>
      <c r="K326" t="s">
        <v>496</v>
      </c>
      <c r="L326">
        <v>1083300011180</v>
      </c>
      <c r="M326">
        <v>20250424</v>
      </c>
      <c r="N326" t="s">
        <v>175</v>
      </c>
      <c r="Q326" t="s">
        <v>47</v>
      </c>
      <c r="R326">
        <v>170925.18</v>
      </c>
      <c r="S326">
        <v>0</v>
      </c>
      <c r="T326">
        <v>1118</v>
      </c>
      <c r="U326">
        <v>3246700722</v>
      </c>
      <c r="V326" t="s">
        <v>125</v>
      </c>
      <c r="W326" t="s">
        <v>49</v>
      </c>
      <c r="X326" t="s">
        <v>96</v>
      </c>
      <c r="Y326" t="s">
        <v>51</v>
      </c>
      <c r="Z326">
        <v>1058</v>
      </c>
      <c r="AH326">
        <v>0</v>
      </c>
      <c r="AI326">
        <v>202504</v>
      </c>
      <c r="AJ326" t="s">
        <v>52</v>
      </c>
      <c r="AK326">
        <v>0</v>
      </c>
      <c r="AL326">
        <v>1</v>
      </c>
      <c r="AO326">
        <v>1</v>
      </c>
      <c r="AP326" t="s">
        <v>3015</v>
      </c>
      <c r="AQ326" t="s">
        <v>3012</v>
      </c>
      <c r="AR326" t="s">
        <v>3016</v>
      </c>
      <c r="AT326" t="s">
        <v>3017</v>
      </c>
      <c r="AU326" t="s">
        <v>3018</v>
      </c>
    </row>
    <row r="327" spans="1:47" x14ac:dyDescent="0.35">
      <c r="A327">
        <v>337538</v>
      </c>
      <c r="B327" t="s">
        <v>172</v>
      </c>
      <c r="C327" t="s">
        <v>173</v>
      </c>
      <c r="D327" s="2">
        <v>45772</v>
      </c>
      <c r="E327">
        <v>53850</v>
      </c>
      <c r="F327">
        <v>171</v>
      </c>
      <c r="G327" t="s">
        <v>198</v>
      </c>
      <c r="H327" t="s">
        <v>167</v>
      </c>
      <c r="I327" t="s">
        <v>45</v>
      </c>
      <c r="K327" t="s">
        <v>496</v>
      </c>
      <c r="L327">
        <v>1713302214147</v>
      </c>
      <c r="M327">
        <v>20250424</v>
      </c>
      <c r="N327" t="s">
        <v>195</v>
      </c>
      <c r="Q327" t="s">
        <v>47</v>
      </c>
      <c r="R327">
        <v>219015</v>
      </c>
      <c r="S327">
        <v>219015</v>
      </c>
      <c r="T327">
        <v>4199319</v>
      </c>
      <c r="U327">
        <v>6037810725</v>
      </c>
      <c r="V327" t="s">
        <v>285</v>
      </c>
      <c r="W327" t="s">
        <v>49</v>
      </c>
      <c r="X327" t="s">
        <v>200</v>
      </c>
      <c r="Y327" t="s">
        <v>51</v>
      </c>
      <c r="Z327">
        <v>1903</v>
      </c>
      <c r="AH327">
        <v>0</v>
      </c>
      <c r="AI327">
        <v>202504</v>
      </c>
      <c r="AJ327" t="s">
        <v>56</v>
      </c>
      <c r="AK327">
        <v>0</v>
      </c>
      <c r="AL327">
        <v>1</v>
      </c>
      <c r="AM327">
        <v>4199319</v>
      </c>
      <c r="AN327">
        <v>1</v>
      </c>
      <c r="AO327">
        <v>0</v>
      </c>
      <c r="AP327" t="s">
        <v>3015</v>
      </c>
      <c r="AQ327" t="s">
        <v>3012</v>
      </c>
      <c r="AR327" t="s">
        <v>3016</v>
      </c>
      <c r="AT327" t="s">
        <v>3017</v>
      </c>
      <c r="AU327" t="s">
        <v>3018</v>
      </c>
    </row>
    <row r="328" spans="1:47" x14ac:dyDescent="0.35">
      <c r="A328">
        <v>337537</v>
      </c>
      <c r="B328" t="s">
        <v>193</v>
      </c>
      <c r="C328" t="s">
        <v>194</v>
      </c>
      <c r="D328" s="2">
        <v>45772</v>
      </c>
      <c r="E328">
        <v>53850</v>
      </c>
      <c r="F328">
        <v>264</v>
      </c>
      <c r="G328" t="s">
        <v>71</v>
      </c>
      <c r="H328" t="s">
        <v>167</v>
      </c>
      <c r="I328" t="s">
        <v>45</v>
      </c>
      <c r="K328" t="s">
        <v>496</v>
      </c>
      <c r="L328">
        <v>2643300002171</v>
      </c>
      <c r="M328">
        <v>20250424</v>
      </c>
      <c r="N328" t="s">
        <v>195</v>
      </c>
      <c r="Q328" t="s">
        <v>47</v>
      </c>
      <c r="R328">
        <v>34000</v>
      </c>
      <c r="S328">
        <v>34000</v>
      </c>
      <c r="T328">
        <v>1705273</v>
      </c>
      <c r="U328">
        <v>1112900772</v>
      </c>
      <c r="V328" t="s">
        <v>502</v>
      </c>
      <c r="W328" t="s">
        <v>190</v>
      </c>
      <c r="X328" t="s">
        <v>131</v>
      </c>
      <c r="Y328" t="s">
        <v>51</v>
      </c>
      <c r="Z328">
        <v>936</v>
      </c>
      <c r="AH328">
        <v>0</v>
      </c>
      <c r="AI328">
        <v>202504</v>
      </c>
      <c r="AJ328" t="s">
        <v>52</v>
      </c>
      <c r="AK328">
        <v>0</v>
      </c>
      <c r="AL328">
        <v>1</v>
      </c>
      <c r="AM328">
        <v>1705273</v>
      </c>
      <c r="AN328">
        <v>1</v>
      </c>
      <c r="AO328">
        <v>0</v>
      </c>
      <c r="AP328" t="s">
        <v>3033</v>
      </c>
      <c r="AQ328" t="s">
        <v>3047</v>
      </c>
      <c r="AR328" t="s">
        <v>3048</v>
      </c>
      <c r="AS328" t="s">
        <v>3049</v>
      </c>
      <c r="AU328" t="s">
        <v>3049</v>
      </c>
    </row>
    <row r="329" spans="1:47" x14ac:dyDescent="0.35">
      <c r="A329">
        <v>337536</v>
      </c>
      <c r="B329" t="s">
        <v>193</v>
      </c>
      <c r="C329" t="s">
        <v>194</v>
      </c>
      <c r="D329" s="2">
        <v>45772</v>
      </c>
      <c r="E329">
        <v>53850</v>
      </c>
      <c r="F329">
        <v>171</v>
      </c>
      <c r="G329" t="s">
        <v>198</v>
      </c>
      <c r="H329" t="s">
        <v>167</v>
      </c>
      <c r="I329" t="s">
        <v>45</v>
      </c>
      <c r="K329" t="s">
        <v>496</v>
      </c>
      <c r="L329">
        <v>1713305728950</v>
      </c>
      <c r="M329">
        <v>20250424</v>
      </c>
      <c r="N329" t="s">
        <v>195</v>
      </c>
      <c r="Q329" t="s">
        <v>47</v>
      </c>
      <c r="R329">
        <v>515709.15</v>
      </c>
      <c r="S329">
        <v>515709.15</v>
      </c>
      <c r="T329">
        <v>572895</v>
      </c>
      <c r="U329">
        <v>4161600723</v>
      </c>
      <c r="V329" t="s">
        <v>199</v>
      </c>
      <c r="W329" t="s">
        <v>49</v>
      </c>
      <c r="X329" t="s">
        <v>200</v>
      </c>
      <c r="Y329" t="s">
        <v>51</v>
      </c>
      <c r="Z329">
        <v>1903</v>
      </c>
      <c r="AH329">
        <v>0</v>
      </c>
      <c r="AI329">
        <v>202504</v>
      </c>
      <c r="AJ329" t="s">
        <v>56</v>
      </c>
      <c r="AK329">
        <v>0</v>
      </c>
      <c r="AL329">
        <v>1</v>
      </c>
      <c r="AM329">
        <v>572895</v>
      </c>
      <c r="AN329">
        <v>1</v>
      </c>
      <c r="AO329">
        <v>0</v>
      </c>
      <c r="AP329" t="s">
        <v>3015</v>
      </c>
      <c r="AQ329" t="s">
        <v>3012</v>
      </c>
      <c r="AR329" t="s">
        <v>3016</v>
      </c>
      <c r="AT329" t="s">
        <v>3017</v>
      </c>
      <c r="AU329" t="s">
        <v>3018</v>
      </c>
    </row>
    <row r="330" spans="1:47" x14ac:dyDescent="0.35">
      <c r="A330">
        <v>337535</v>
      </c>
      <c r="B330" t="s">
        <v>193</v>
      </c>
      <c r="C330" t="s">
        <v>194</v>
      </c>
      <c r="D330" s="2">
        <v>45772</v>
      </c>
      <c r="E330">
        <v>53850</v>
      </c>
      <c r="F330">
        <v>116</v>
      </c>
      <c r="G330" t="s">
        <v>126</v>
      </c>
      <c r="H330" t="s">
        <v>167</v>
      </c>
      <c r="I330" t="s">
        <v>45</v>
      </c>
      <c r="K330">
        <v>202504247924393</v>
      </c>
      <c r="L330">
        <v>2343300010453</v>
      </c>
      <c r="M330">
        <v>20250424</v>
      </c>
      <c r="N330" t="s">
        <v>195</v>
      </c>
      <c r="Q330" t="s">
        <v>47</v>
      </c>
      <c r="R330">
        <v>181575.3</v>
      </c>
      <c r="S330">
        <v>181575.3</v>
      </c>
      <c r="T330">
        <v>4247777</v>
      </c>
      <c r="U330">
        <v>233470236</v>
      </c>
      <c r="V330" t="s">
        <v>206</v>
      </c>
      <c r="W330" t="s">
        <v>49</v>
      </c>
      <c r="X330" t="s">
        <v>117</v>
      </c>
      <c r="Y330" t="s">
        <v>51</v>
      </c>
      <c r="Z330">
        <v>1696</v>
      </c>
      <c r="AH330">
        <v>0</v>
      </c>
      <c r="AI330">
        <v>202504</v>
      </c>
      <c r="AJ330" t="s">
        <v>114</v>
      </c>
      <c r="AK330">
        <v>1</v>
      </c>
      <c r="AL330">
        <v>1</v>
      </c>
      <c r="AM330">
        <v>4247777</v>
      </c>
      <c r="AN330">
        <v>1</v>
      </c>
      <c r="AO330">
        <v>0</v>
      </c>
      <c r="AP330" t="s">
        <v>3029</v>
      </c>
      <c r="AQ330" t="s">
        <v>3012</v>
      </c>
      <c r="AR330" t="s">
        <v>3030</v>
      </c>
      <c r="AS330" t="s">
        <v>3014</v>
      </c>
      <c r="AU330" t="s">
        <v>3014</v>
      </c>
    </row>
    <row r="331" spans="1:47" x14ac:dyDescent="0.35">
      <c r="A331">
        <v>337534</v>
      </c>
      <c r="B331" t="s">
        <v>178</v>
      </c>
      <c r="C331" t="s">
        <v>179</v>
      </c>
      <c r="D331" s="2">
        <v>45772</v>
      </c>
      <c r="E331">
        <v>53850</v>
      </c>
      <c r="F331">
        <v>264</v>
      </c>
      <c r="G331" t="s">
        <v>71</v>
      </c>
      <c r="H331" t="s">
        <v>167</v>
      </c>
      <c r="I331" t="s">
        <v>45</v>
      </c>
      <c r="K331">
        <v>202504247922607</v>
      </c>
      <c r="L331">
        <v>2643300002152</v>
      </c>
      <c r="M331">
        <v>20250424</v>
      </c>
      <c r="N331" t="s">
        <v>46</v>
      </c>
      <c r="P331" t="s">
        <v>51</v>
      </c>
      <c r="Q331" t="s">
        <v>47</v>
      </c>
      <c r="R331">
        <v>76381.53</v>
      </c>
      <c r="S331">
        <v>0</v>
      </c>
      <c r="T331">
        <v>1700966</v>
      </c>
      <c r="U331" t="s">
        <v>503</v>
      </c>
      <c r="V331" t="s">
        <v>504</v>
      </c>
      <c r="W331" t="s">
        <v>69</v>
      </c>
      <c r="X331" t="s">
        <v>131</v>
      </c>
      <c r="Y331" t="s">
        <v>51</v>
      </c>
      <c r="Z331">
        <v>1851</v>
      </c>
      <c r="AH331">
        <v>0</v>
      </c>
      <c r="AI331">
        <v>202504</v>
      </c>
      <c r="AJ331" t="s">
        <v>56</v>
      </c>
      <c r="AK331">
        <v>0</v>
      </c>
      <c r="AL331">
        <v>1</v>
      </c>
      <c r="AM331">
        <v>1700966</v>
      </c>
      <c r="AN331">
        <v>1</v>
      </c>
      <c r="AO331">
        <v>0</v>
      </c>
      <c r="AP331" t="s">
        <v>3033</v>
      </c>
      <c r="AQ331" t="s">
        <v>3021</v>
      </c>
      <c r="AR331" t="s">
        <v>3054</v>
      </c>
      <c r="AS331" t="s">
        <v>3055</v>
      </c>
      <c r="AU331" t="s">
        <v>3055</v>
      </c>
    </row>
    <row r="332" spans="1:47" x14ac:dyDescent="0.35">
      <c r="A332">
        <v>337533</v>
      </c>
      <c r="B332" t="s">
        <v>178</v>
      </c>
      <c r="C332" t="s">
        <v>179</v>
      </c>
      <c r="D332" s="2">
        <v>45772</v>
      </c>
      <c r="E332">
        <v>53850</v>
      </c>
      <c r="F332">
        <v>277</v>
      </c>
      <c r="G332" t="s">
        <v>505</v>
      </c>
      <c r="H332" t="s">
        <v>167</v>
      </c>
      <c r="I332" t="s">
        <v>45</v>
      </c>
      <c r="K332">
        <v>202504247924972</v>
      </c>
      <c r="L332">
        <v>2773300000865</v>
      </c>
      <c r="M332">
        <v>20250424</v>
      </c>
      <c r="N332" t="s">
        <v>3136</v>
      </c>
      <c r="Q332" t="s">
        <v>170</v>
      </c>
      <c r="R332">
        <v>15562.96</v>
      </c>
      <c r="S332">
        <v>0</v>
      </c>
      <c r="T332">
        <v>1676449</v>
      </c>
      <c r="U332" t="s">
        <v>506</v>
      </c>
      <c r="V332" t="s">
        <v>507</v>
      </c>
      <c r="W332" t="s">
        <v>187</v>
      </c>
      <c r="Y332" t="s">
        <v>51</v>
      </c>
      <c r="AH332">
        <v>0</v>
      </c>
      <c r="AI332">
        <v>202504</v>
      </c>
      <c r="AJ332" t="s">
        <v>52</v>
      </c>
      <c r="AK332">
        <v>0</v>
      </c>
      <c r="AL332">
        <v>1</v>
      </c>
      <c r="AO332">
        <v>1</v>
      </c>
      <c r="AP332" t="s">
        <v>3015</v>
      </c>
      <c r="AQ332" t="s">
        <v>3044</v>
      </c>
      <c r="AR332" t="s">
        <v>3045</v>
      </c>
      <c r="AS332" t="s">
        <v>3046</v>
      </c>
      <c r="AU332" t="s">
        <v>3046</v>
      </c>
    </row>
    <row r="333" spans="1:47" x14ac:dyDescent="0.35">
      <c r="A333">
        <v>337532</v>
      </c>
      <c r="B333" t="s">
        <v>193</v>
      </c>
      <c r="C333" t="s">
        <v>194</v>
      </c>
      <c r="D333" s="2">
        <v>45772</v>
      </c>
      <c r="E333">
        <v>53850</v>
      </c>
      <c r="F333">
        <v>171</v>
      </c>
      <c r="G333" t="s">
        <v>198</v>
      </c>
      <c r="H333" t="s">
        <v>167</v>
      </c>
      <c r="I333" t="s">
        <v>45</v>
      </c>
      <c r="K333" t="s">
        <v>496</v>
      </c>
      <c r="L333">
        <v>1713302214147</v>
      </c>
      <c r="M333">
        <v>20250424</v>
      </c>
      <c r="N333" t="s">
        <v>195</v>
      </c>
      <c r="Q333" t="s">
        <v>47</v>
      </c>
      <c r="R333">
        <v>219015</v>
      </c>
      <c r="S333">
        <v>219015</v>
      </c>
      <c r="T333">
        <v>4199319</v>
      </c>
      <c r="U333">
        <v>6037810725</v>
      </c>
      <c r="V333" t="s">
        <v>285</v>
      </c>
      <c r="W333" t="s">
        <v>49</v>
      </c>
      <c r="X333" t="s">
        <v>200</v>
      </c>
      <c r="Y333" t="s">
        <v>51</v>
      </c>
      <c r="Z333">
        <v>1903</v>
      </c>
      <c r="AH333">
        <v>0</v>
      </c>
      <c r="AI333">
        <v>202504</v>
      </c>
      <c r="AJ333" t="s">
        <v>56</v>
      </c>
      <c r="AK333">
        <v>0</v>
      </c>
      <c r="AL333">
        <v>1</v>
      </c>
      <c r="AM333">
        <v>4199319</v>
      </c>
      <c r="AN333">
        <v>1</v>
      </c>
      <c r="AO333">
        <v>0</v>
      </c>
      <c r="AP333" t="s">
        <v>3015</v>
      </c>
      <c r="AQ333" t="s">
        <v>3012</v>
      </c>
      <c r="AR333" t="s">
        <v>3016</v>
      </c>
      <c r="AT333" t="s">
        <v>3017</v>
      </c>
      <c r="AU333" t="s">
        <v>3018</v>
      </c>
    </row>
    <row r="334" spans="1:47" x14ac:dyDescent="0.35">
      <c r="A334">
        <v>337531</v>
      </c>
      <c r="B334" t="s">
        <v>193</v>
      </c>
      <c r="C334" t="s">
        <v>194</v>
      </c>
      <c r="D334" s="2">
        <v>45772</v>
      </c>
      <c r="E334">
        <v>53850</v>
      </c>
      <c r="F334">
        <v>192</v>
      </c>
      <c r="G334" t="s">
        <v>66</v>
      </c>
      <c r="H334" t="s">
        <v>167</v>
      </c>
      <c r="I334" t="s">
        <v>45</v>
      </c>
      <c r="K334">
        <v>202504247924354</v>
      </c>
      <c r="L334">
        <v>1923300179529</v>
      </c>
      <c r="M334">
        <v>20250424</v>
      </c>
      <c r="N334" t="s">
        <v>195</v>
      </c>
      <c r="Q334" t="s">
        <v>47</v>
      </c>
      <c r="R334">
        <v>15230</v>
      </c>
      <c r="S334">
        <v>15230</v>
      </c>
      <c r="T334">
        <v>4198198</v>
      </c>
      <c r="U334">
        <v>1934960731</v>
      </c>
      <c r="V334" t="s">
        <v>508</v>
      </c>
      <c r="W334" t="s">
        <v>190</v>
      </c>
      <c r="X334" t="s">
        <v>131</v>
      </c>
      <c r="Y334" t="s">
        <v>51</v>
      </c>
      <c r="Z334">
        <v>1066</v>
      </c>
      <c r="AH334">
        <v>0</v>
      </c>
      <c r="AI334">
        <v>202504</v>
      </c>
      <c r="AJ334" t="s">
        <v>52</v>
      </c>
      <c r="AK334">
        <v>0</v>
      </c>
      <c r="AL334">
        <v>1</v>
      </c>
      <c r="AM334">
        <v>4198198</v>
      </c>
      <c r="AN334">
        <v>1</v>
      </c>
      <c r="AO334">
        <v>0</v>
      </c>
      <c r="AP334" t="s">
        <v>3033</v>
      </c>
      <c r="AQ334" t="s">
        <v>3047</v>
      </c>
      <c r="AR334" t="s">
        <v>3048</v>
      </c>
      <c r="AS334" t="s">
        <v>3049</v>
      </c>
      <c r="AU334" t="s">
        <v>3049</v>
      </c>
    </row>
    <row r="335" spans="1:47" x14ac:dyDescent="0.35">
      <c r="A335">
        <v>337530</v>
      </c>
      <c r="B335" t="s">
        <v>178</v>
      </c>
      <c r="C335" t="s">
        <v>179</v>
      </c>
      <c r="D335" s="2">
        <v>45772</v>
      </c>
      <c r="E335">
        <v>53850</v>
      </c>
      <c r="F335">
        <v>277</v>
      </c>
      <c r="G335" t="s">
        <v>505</v>
      </c>
      <c r="H335" t="s">
        <v>167</v>
      </c>
      <c r="I335" t="s">
        <v>45</v>
      </c>
      <c r="K335">
        <v>202504247924972</v>
      </c>
      <c r="L335">
        <v>2773300000865</v>
      </c>
      <c r="M335">
        <v>20250424</v>
      </c>
      <c r="N335" t="s">
        <v>3136</v>
      </c>
      <c r="Q335" t="s">
        <v>170</v>
      </c>
      <c r="R335">
        <v>15562.96</v>
      </c>
      <c r="S335">
        <v>0</v>
      </c>
      <c r="T335">
        <v>1676448</v>
      </c>
      <c r="U335" t="s">
        <v>509</v>
      </c>
      <c r="V335" t="s">
        <v>510</v>
      </c>
      <c r="W335" t="s">
        <v>187</v>
      </c>
      <c r="Y335" t="s">
        <v>51</v>
      </c>
      <c r="Z335">
        <v>1790</v>
      </c>
      <c r="AH335">
        <v>0</v>
      </c>
      <c r="AI335">
        <v>202504</v>
      </c>
      <c r="AJ335" t="s">
        <v>52</v>
      </c>
      <c r="AK335">
        <v>0</v>
      </c>
      <c r="AL335">
        <v>1</v>
      </c>
      <c r="AO335">
        <v>1</v>
      </c>
      <c r="AP335" t="s">
        <v>3015</v>
      </c>
      <c r="AQ335" t="s">
        <v>3044</v>
      </c>
      <c r="AR335" t="s">
        <v>3045</v>
      </c>
      <c r="AS335" t="s">
        <v>3046</v>
      </c>
      <c r="AU335" t="s">
        <v>3046</v>
      </c>
    </row>
    <row r="336" spans="1:47" x14ac:dyDescent="0.35">
      <c r="A336">
        <v>337529</v>
      </c>
      <c r="B336" t="s">
        <v>214</v>
      </c>
      <c r="C336" t="s">
        <v>215</v>
      </c>
      <c r="D336" s="2">
        <v>45772</v>
      </c>
      <c r="E336">
        <v>53850</v>
      </c>
      <c r="F336">
        <v>149</v>
      </c>
      <c r="G336" t="s">
        <v>449</v>
      </c>
      <c r="H336" t="s">
        <v>167</v>
      </c>
      <c r="I336" t="s">
        <v>45</v>
      </c>
      <c r="K336">
        <v>202504247923757</v>
      </c>
      <c r="L336">
        <v>1493300664435</v>
      </c>
      <c r="M336">
        <v>20250424</v>
      </c>
      <c r="N336" t="s">
        <v>168</v>
      </c>
      <c r="P336" t="s">
        <v>511</v>
      </c>
      <c r="Q336" t="s">
        <v>47</v>
      </c>
      <c r="R336">
        <v>58685</v>
      </c>
      <c r="S336">
        <v>0</v>
      </c>
      <c r="T336">
        <v>4957449</v>
      </c>
      <c r="U336">
        <v>7480511216</v>
      </c>
      <c r="V336" t="s">
        <v>512</v>
      </c>
      <c r="W336" t="s">
        <v>49</v>
      </c>
      <c r="X336" t="s">
        <v>110</v>
      </c>
      <c r="Y336" t="s">
        <v>51</v>
      </c>
      <c r="Z336">
        <v>1256</v>
      </c>
      <c r="AH336">
        <v>0</v>
      </c>
      <c r="AI336">
        <v>202504</v>
      </c>
      <c r="AJ336" t="s">
        <v>56</v>
      </c>
      <c r="AK336">
        <v>0</v>
      </c>
      <c r="AL336">
        <v>1</v>
      </c>
      <c r="AO336">
        <v>0</v>
      </c>
      <c r="AP336" t="s">
        <v>3026</v>
      </c>
      <c r="AQ336" t="s">
        <v>3012</v>
      </c>
      <c r="AR336" t="s">
        <v>3027</v>
      </c>
      <c r="AS336" t="s">
        <v>3028</v>
      </c>
      <c r="AU336" t="s">
        <v>3028</v>
      </c>
    </row>
    <row r="337" spans="1:47" x14ac:dyDescent="0.35">
      <c r="A337">
        <v>337528</v>
      </c>
      <c r="B337" t="s">
        <v>178</v>
      </c>
      <c r="C337" t="s">
        <v>179</v>
      </c>
      <c r="D337" s="2">
        <v>45772</v>
      </c>
      <c r="E337">
        <v>53850</v>
      </c>
      <c r="F337">
        <v>109</v>
      </c>
      <c r="G337" t="s">
        <v>89</v>
      </c>
      <c r="H337" t="s">
        <v>167</v>
      </c>
      <c r="I337" t="s">
        <v>45</v>
      </c>
      <c r="K337">
        <v>202504247924602</v>
      </c>
      <c r="L337">
        <v>1093306667463</v>
      </c>
      <c r="M337">
        <v>20250424</v>
      </c>
      <c r="N337" t="s">
        <v>236</v>
      </c>
      <c r="P337" t="s">
        <v>51</v>
      </c>
      <c r="Q337" t="s">
        <v>170</v>
      </c>
      <c r="R337">
        <v>231724</v>
      </c>
      <c r="S337">
        <v>0</v>
      </c>
      <c r="T337">
        <v>4039788</v>
      </c>
      <c r="U337" t="s">
        <v>513</v>
      </c>
      <c r="V337" t="s">
        <v>514</v>
      </c>
      <c r="W337" t="s">
        <v>187</v>
      </c>
      <c r="Y337" t="s">
        <v>51</v>
      </c>
      <c r="Z337">
        <v>507</v>
      </c>
      <c r="AH337">
        <v>0</v>
      </c>
      <c r="AI337">
        <v>202504</v>
      </c>
      <c r="AJ337" t="s">
        <v>86</v>
      </c>
      <c r="AK337">
        <v>1</v>
      </c>
      <c r="AL337">
        <v>1</v>
      </c>
      <c r="AO337">
        <v>0</v>
      </c>
      <c r="AP337" t="s">
        <v>3015</v>
      </c>
      <c r="AQ337" t="s">
        <v>3044</v>
      </c>
      <c r="AR337" t="s">
        <v>3045</v>
      </c>
      <c r="AS337" t="s">
        <v>3046</v>
      </c>
      <c r="AU337" t="s">
        <v>3046</v>
      </c>
    </row>
    <row r="338" spans="1:47" x14ac:dyDescent="0.35">
      <c r="A338">
        <v>337527</v>
      </c>
      <c r="B338" t="s">
        <v>193</v>
      </c>
      <c r="C338" t="s">
        <v>194</v>
      </c>
      <c r="D338" s="2">
        <v>45772</v>
      </c>
      <c r="E338">
        <v>53850</v>
      </c>
      <c r="F338">
        <v>269</v>
      </c>
      <c r="G338" t="s">
        <v>265</v>
      </c>
      <c r="H338" t="s">
        <v>167</v>
      </c>
      <c r="I338" t="s">
        <v>45</v>
      </c>
      <c r="K338" t="s">
        <v>496</v>
      </c>
      <c r="L338">
        <v>2693300001614</v>
      </c>
      <c r="M338">
        <v>20250424</v>
      </c>
      <c r="N338" t="s">
        <v>266</v>
      </c>
      <c r="Q338" t="s">
        <v>47</v>
      </c>
      <c r="R338">
        <v>36490</v>
      </c>
      <c r="S338">
        <v>36490</v>
      </c>
      <c r="T338">
        <v>1695085</v>
      </c>
      <c r="U338" t="s">
        <v>267</v>
      </c>
      <c r="V338" t="s">
        <v>268</v>
      </c>
      <c r="W338" t="s">
        <v>69</v>
      </c>
      <c r="X338" t="s">
        <v>55</v>
      </c>
      <c r="Y338" t="s">
        <v>51</v>
      </c>
      <c r="Z338">
        <v>1805</v>
      </c>
      <c r="AH338">
        <v>0</v>
      </c>
      <c r="AI338">
        <v>202504</v>
      </c>
      <c r="AJ338" t="s">
        <v>56</v>
      </c>
      <c r="AK338">
        <v>0</v>
      </c>
      <c r="AL338">
        <v>1</v>
      </c>
      <c r="AM338">
        <v>1695085</v>
      </c>
      <c r="AN338">
        <v>1</v>
      </c>
      <c r="AO338">
        <v>0</v>
      </c>
      <c r="AP338" t="s">
        <v>3015</v>
      </c>
      <c r="AQ338" t="s">
        <v>3021</v>
      </c>
      <c r="AR338" t="s">
        <v>3022</v>
      </c>
      <c r="AT338" t="s">
        <v>3017</v>
      </c>
      <c r="AU338" t="s">
        <v>3014</v>
      </c>
    </row>
    <row r="339" spans="1:47" x14ac:dyDescent="0.35">
      <c r="A339">
        <v>337526</v>
      </c>
      <c r="B339" t="s">
        <v>333</v>
      </c>
      <c r="C339" t="s">
        <v>334</v>
      </c>
      <c r="D339" s="2">
        <v>45772</v>
      </c>
      <c r="E339">
        <v>53850</v>
      </c>
      <c r="F339">
        <v>154</v>
      </c>
      <c r="G339" t="s">
        <v>53</v>
      </c>
      <c r="H339" t="s">
        <v>167</v>
      </c>
      <c r="I339" t="s">
        <v>45</v>
      </c>
      <c r="K339">
        <v>202504247924747</v>
      </c>
      <c r="M339">
        <v>20250424</v>
      </c>
      <c r="N339" t="s">
        <v>515</v>
      </c>
      <c r="Q339" t="s">
        <v>170</v>
      </c>
      <c r="R339">
        <v>83039.679999999993</v>
      </c>
      <c r="S339">
        <v>0</v>
      </c>
      <c r="T339">
        <v>4837667</v>
      </c>
      <c r="U339" t="s">
        <v>516</v>
      </c>
      <c r="V339" t="s">
        <v>517</v>
      </c>
      <c r="W339" t="s">
        <v>187</v>
      </c>
      <c r="Y339" t="s">
        <v>51</v>
      </c>
      <c r="AH339">
        <v>0</v>
      </c>
      <c r="AI339">
        <v>202504</v>
      </c>
      <c r="AJ339" t="s">
        <v>52</v>
      </c>
      <c r="AK339">
        <v>0</v>
      </c>
      <c r="AL339">
        <v>0</v>
      </c>
      <c r="AO339">
        <v>0</v>
      </c>
      <c r="AP339" t="s">
        <v>3015</v>
      </c>
      <c r="AQ339" t="s">
        <v>3044</v>
      </c>
      <c r="AR339" t="s">
        <v>3045</v>
      </c>
      <c r="AS339" t="s">
        <v>3046</v>
      </c>
      <c r="AU339" t="s">
        <v>3046</v>
      </c>
    </row>
    <row r="340" spans="1:47" x14ac:dyDescent="0.35">
      <c r="A340">
        <v>337525</v>
      </c>
      <c r="B340" t="s">
        <v>214</v>
      </c>
      <c r="C340" t="s">
        <v>215</v>
      </c>
      <c r="D340" s="2">
        <v>45772</v>
      </c>
      <c r="E340">
        <v>53850</v>
      </c>
      <c r="F340">
        <v>268</v>
      </c>
      <c r="G340" t="s">
        <v>83</v>
      </c>
      <c r="H340" t="s">
        <v>167</v>
      </c>
      <c r="I340" t="s">
        <v>45</v>
      </c>
      <c r="K340">
        <v>202504247923765</v>
      </c>
      <c r="L340">
        <v>2683300002200</v>
      </c>
      <c r="M340">
        <v>20250424</v>
      </c>
      <c r="N340" t="s">
        <v>168</v>
      </c>
      <c r="P340" t="s">
        <v>518</v>
      </c>
      <c r="Q340" t="s">
        <v>47</v>
      </c>
      <c r="R340">
        <v>66000</v>
      </c>
      <c r="S340">
        <v>0</v>
      </c>
      <c r="T340">
        <v>1634613</v>
      </c>
      <c r="U340">
        <v>3489270797</v>
      </c>
      <c r="V340" t="s">
        <v>519</v>
      </c>
      <c r="W340" t="s">
        <v>49</v>
      </c>
      <c r="X340" t="s">
        <v>364</v>
      </c>
      <c r="Y340" t="s">
        <v>51</v>
      </c>
      <c r="Z340">
        <v>1852</v>
      </c>
      <c r="AH340">
        <v>0</v>
      </c>
      <c r="AI340">
        <v>202504</v>
      </c>
      <c r="AJ340" t="s">
        <v>86</v>
      </c>
      <c r="AK340">
        <v>1</v>
      </c>
      <c r="AL340">
        <v>1</v>
      </c>
      <c r="AO340">
        <v>0</v>
      </c>
      <c r="AP340" t="s">
        <v>3062</v>
      </c>
      <c r="AQ340" t="s">
        <v>3012</v>
      </c>
      <c r="AR340" t="s">
        <v>3063</v>
      </c>
      <c r="AS340" t="s">
        <v>3014</v>
      </c>
      <c r="AU340" t="s">
        <v>3014</v>
      </c>
    </row>
    <row r="341" spans="1:47" x14ac:dyDescent="0.35">
      <c r="A341">
        <v>337524</v>
      </c>
      <c r="B341" t="s">
        <v>178</v>
      </c>
      <c r="C341" t="s">
        <v>179</v>
      </c>
      <c r="D341" s="2">
        <v>45772</v>
      </c>
      <c r="E341">
        <v>53850</v>
      </c>
      <c r="F341">
        <v>105</v>
      </c>
      <c r="G341" t="s">
        <v>60</v>
      </c>
      <c r="H341" t="s">
        <v>167</v>
      </c>
      <c r="I341" t="s">
        <v>45</v>
      </c>
      <c r="K341">
        <v>202504247922074</v>
      </c>
      <c r="L341">
        <v>1053306287103</v>
      </c>
      <c r="M341">
        <v>20250424</v>
      </c>
      <c r="N341" t="s">
        <v>236</v>
      </c>
      <c r="P341" t="s">
        <v>51</v>
      </c>
      <c r="Q341" t="s">
        <v>170</v>
      </c>
      <c r="R341">
        <v>1500000</v>
      </c>
      <c r="S341">
        <v>0</v>
      </c>
      <c r="T341">
        <v>4263360</v>
      </c>
      <c r="U341">
        <v>5982300724</v>
      </c>
      <c r="V341" t="s">
        <v>61</v>
      </c>
      <c r="W341" t="s">
        <v>49</v>
      </c>
      <c r="X341" t="s">
        <v>62</v>
      </c>
      <c r="Y341" t="s">
        <v>51</v>
      </c>
      <c r="Z341">
        <v>1058</v>
      </c>
      <c r="AH341">
        <v>0</v>
      </c>
      <c r="AI341">
        <v>202504</v>
      </c>
      <c r="AJ341" t="s">
        <v>56</v>
      </c>
      <c r="AK341">
        <v>0</v>
      </c>
      <c r="AL341">
        <v>1</v>
      </c>
      <c r="AO341">
        <v>0</v>
      </c>
      <c r="AP341" t="s">
        <v>3015</v>
      </c>
      <c r="AQ341" t="s">
        <v>3012</v>
      </c>
      <c r="AR341" t="s">
        <v>3016</v>
      </c>
      <c r="AT341" t="s">
        <v>3017</v>
      </c>
      <c r="AU341" t="s">
        <v>3018</v>
      </c>
    </row>
    <row r="342" spans="1:47" x14ac:dyDescent="0.35">
      <c r="A342">
        <v>337523</v>
      </c>
      <c r="B342" t="s">
        <v>214</v>
      </c>
      <c r="C342" t="s">
        <v>215</v>
      </c>
      <c r="D342" s="2">
        <v>45772</v>
      </c>
      <c r="E342">
        <v>53850</v>
      </c>
      <c r="F342">
        <v>108</v>
      </c>
      <c r="G342" t="s">
        <v>124</v>
      </c>
      <c r="H342" t="s">
        <v>167</v>
      </c>
      <c r="I342" t="s">
        <v>45</v>
      </c>
      <c r="K342">
        <v>202504247923749</v>
      </c>
      <c r="L342">
        <v>1081204983779</v>
      </c>
      <c r="M342">
        <v>20250424</v>
      </c>
      <c r="N342" t="s">
        <v>168</v>
      </c>
      <c r="P342" t="s">
        <v>520</v>
      </c>
      <c r="Q342" t="s">
        <v>170</v>
      </c>
      <c r="R342">
        <v>204044.7</v>
      </c>
      <c r="S342">
        <v>0</v>
      </c>
      <c r="T342">
        <v>4983779</v>
      </c>
      <c r="U342">
        <v>5371200725</v>
      </c>
      <c r="V342" t="s">
        <v>521</v>
      </c>
      <c r="W342" t="s">
        <v>49</v>
      </c>
      <c r="X342" t="s">
        <v>128</v>
      </c>
      <c r="Y342" t="s">
        <v>51</v>
      </c>
      <c r="Z342">
        <v>1058</v>
      </c>
      <c r="AH342">
        <v>0</v>
      </c>
      <c r="AI342">
        <v>202504</v>
      </c>
      <c r="AJ342" t="s">
        <v>52</v>
      </c>
      <c r="AK342">
        <v>0</v>
      </c>
      <c r="AL342">
        <v>1</v>
      </c>
      <c r="AO342">
        <v>0</v>
      </c>
      <c r="AP342" t="s">
        <v>3015</v>
      </c>
      <c r="AQ342" t="s">
        <v>3012</v>
      </c>
      <c r="AR342" t="s">
        <v>3016</v>
      </c>
      <c r="AT342" t="s">
        <v>3017</v>
      </c>
      <c r="AU342" t="s">
        <v>3018</v>
      </c>
    </row>
    <row r="343" spans="1:47" x14ac:dyDescent="0.35">
      <c r="A343">
        <v>337522</v>
      </c>
      <c r="B343" t="s">
        <v>193</v>
      </c>
      <c r="C343" t="s">
        <v>194</v>
      </c>
      <c r="D343" s="2">
        <v>45772</v>
      </c>
      <c r="E343">
        <v>53850</v>
      </c>
      <c r="F343">
        <v>114</v>
      </c>
      <c r="G343" t="s">
        <v>188</v>
      </c>
      <c r="H343" t="s">
        <v>167</v>
      </c>
      <c r="I343" t="s">
        <v>45</v>
      </c>
      <c r="K343">
        <v>202504247924631</v>
      </c>
      <c r="L343">
        <v>1143306280621</v>
      </c>
      <c r="M343">
        <v>20250424</v>
      </c>
      <c r="N343" t="s">
        <v>266</v>
      </c>
      <c r="Q343" t="s">
        <v>47</v>
      </c>
      <c r="R343">
        <v>54300</v>
      </c>
      <c r="S343">
        <v>54300</v>
      </c>
      <c r="T343">
        <v>4658875</v>
      </c>
      <c r="U343">
        <v>3230890711</v>
      </c>
      <c r="V343" t="s">
        <v>189</v>
      </c>
      <c r="W343" t="s">
        <v>190</v>
      </c>
      <c r="X343" t="s">
        <v>131</v>
      </c>
      <c r="Y343" t="s">
        <v>51</v>
      </c>
      <c r="Z343">
        <v>870</v>
      </c>
      <c r="AH343">
        <v>0</v>
      </c>
      <c r="AI343">
        <v>202504</v>
      </c>
      <c r="AJ343" t="s">
        <v>56</v>
      </c>
      <c r="AK343">
        <v>0</v>
      </c>
      <c r="AL343">
        <v>1</v>
      </c>
      <c r="AM343">
        <v>4658875</v>
      </c>
      <c r="AN343">
        <v>1</v>
      </c>
      <c r="AO343">
        <v>0</v>
      </c>
      <c r="AP343" t="s">
        <v>3033</v>
      </c>
      <c r="AQ343" t="s">
        <v>3047</v>
      </c>
      <c r="AR343" t="s">
        <v>3048</v>
      </c>
      <c r="AS343" t="s">
        <v>3049</v>
      </c>
      <c r="AU343" t="s">
        <v>3049</v>
      </c>
    </row>
    <row r="344" spans="1:47" x14ac:dyDescent="0.35">
      <c r="A344">
        <v>337521</v>
      </c>
      <c r="B344" t="s">
        <v>193</v>
      </c>
      <c r="C344" t="s">
        <v>194</v>
      </c>
      <c r="D344" s="2">
        <v>45772</v>
      </c>
      <c r="E344">
        <v>53850</v>
      </c>
      <c r="F344">
        <v>131</v>
      </c>
      <c r="G344" t="s">
        <v>216</v>
      </c>
      <c r="H344" t="s">
        <v>167</v>
      </c>
      <c r="I344" t="s">
        <v>45</v>
      </c>
      <c r="K344">
        <v>202504247924141</v>
      </c>
      <c r="L344">
        <v>1313300002205</v>
      </c>
      <c r="M344">
        <v>20250424</v>
      </c>
      <c r="N344" t="s">
        <v>195</v>
      </c>
      <c r="Q344" t="s">
        <v>47</v>
      </c>
      <c r="R344">
        <v>29000</v>
      </c>
      <c r="S344">
        <v>29000</v>
      </c>
      <c r="T344">
        <v>4055163</v>
      </c>
      <c r="U344" t="s">
        <v>522</v>
      </c>
      <c r="V344" t="s">
        <v>523</v>
      </c>
      <c r="W344" t="s">
        <v>69</v>
      </c>
      <c r="X344" t="s">
        <v>131</v>
      </c>
      <c r="Y344" t="s">
        <v>51</v>
      </c>
      <c r="Z344">
        <v>915</v>
      </c>
      <c r="AH344">
        <v>0</v>
      </c>
      <c r="AI344">
        <v>202504</v>
      </c>
      <c r="AJ344" t="s">
        <v>56</v>
      </c>
      <c r="AK344">
        <v>0</v>
      </c>
      <c r="AL344">
        <v>1</v>
      </c>
      <c r="AM344">
        <v>4055163</v>
      </c>
      <c r="AN344">
        <v>1</v>
      </c>
      <c r="AO344">
        <v>0</v>
      </c>
      <c r="AP344" t="s">
        <v>3033</v>
      </c>
      <c r="AQ344" t="s">
        <v>3021</v>
      </c>
      <c r="AR344" t="s">
        <v>3054</v>
      </c>
      <c r="AS344" t="s">
        <v>3055</v>
      </c>
      <c r="AU344" t="s">
        <v>3055</v>
      </c>
    </row>
    <row r="345" spans="1:47" x14ac:dyDescent="0.35">
      <c r="A345">
        <v>337520</v>
      </c>
      <c r="B345" t="s">
        <v>214</v>
      </c>
      <c r="C345" t="s">
        <v>215</v>
      </c>
      <c r="D345" s="2">
        <v>45772</v>
      </c>
      <c r="E345">
        <v>53850</v>
      </c>
      <c r="F345">
        <v>270</v>
      </c>
      <c r="G345" t="s">
        <v>524</v>
      </c>
      <c r="H345" t="s">
        <v>167</v>
      </c>
      <c r="I345" t="s">
        <v>45</v>
      </c>
      <c r="K345">
        <v>202504247924954</v>
      </c>
      <c r="L345">
        <v>2703300000347</v>
      </c>
      <c r="M345">
        <v>20250424</v>
      </c>
      <c r="N345" t="s">
        <v>168</v>
      </c>
      <c r="P345" t="s">
        <v>217</v>
      </c>
      <c r="Q345" t="s">
        <v>170</v>
      </c>
      <c r="R345">
        <v>20000</v>
      </c>
      <c r="S345">
        <v>0</v>
      </c>
      <c r="T345">
        <v>1610246</v>
      </c>
      <c r="U345">
        <v>328280698</v>
      </c>
      <c r="V345" t="s">
        <v>525</v>
      </c>
      <c r="W345" t="s">
        <v>49</v>
      </c>
      <c r="X345" t="s">
        <v>364</v>
      </c>
      <c r="Y345" t="s">
        <v>51</v>
      </c>
      <c r="Z345">
        <v>1413</v>
      </c>
      <c r="AH345">
        <v>0</v>
      </c>
      <c r="AI345">
        <v>202504</v>
      </c>
      <c r="AJ345" t="s">
        <v>56</v>
      </c>
      <c r="AK345">
        <v>0</v>
      </c>
      <c r="AL345">
        <v>1</v>
      </c>
      <c r="AO345">
        <v>0</v>
      </c>
      <c r="AP345" t="s">
        <v>3062</v>
      </c>
      <c r="AQ345" t="s">
        <v>3012</v>
      </c>
      <c r="AR345" t="s">
        <v>3063</v>
      </c>
      <c r="AS345" t="s">
        <v>3014</v>
      </c>
      <c r="AU345" t="s">
        <v>3014</v>
      </c>
    </row>
    <row r="346" spans="1:47" x14ac:dyDescent="0.35">
      <c r="A346">
        <v>337519</v>
      </c>
      <c r="B346" t="s">
        <v>193</v>
      </c>
      <c r="C346" t="s">
        <v>194</v>
      </c>
      <c r="D346" s="2">
        <v>45772</v>
      </c>
      <c r="E346">
        <v>53850</v>
      </c>
      <c r="F346">
        <v>264</v>
      </c>
      <c r="G346" t="s">
        <v>71</v>
      </c>
      <c r="H346" t="s">
        <v>167</v>
      </c>
      <c r="I346" t="s">
        <v>45</v>
      </c>
      <c r="K346">
        <v>202504247924412</v>
      </c>
      <c r="L346">
        <v>2643300010604</v>
      </c>
      <c r="M346">
        <v>20250424</v>
      </c>
      <c r="N346" t="s">
        <v>195</v>
      </c>
      <c r="Q346" t="s">
        <v>47</v>
      </c>
      <c r="R346">
        <v>19500</v>
      </c>
      <c r="S346">
        <v>19500</v>
      </c>
      <c r="T346">
        <v>3730784</v>
      </c>
      <c r="U346">
        <v>1347980771</v>
      </c>
      <c r="V346" t="s">
        <v>526</v>
      </c>
      <c r="W346" t="s">
        <v>190</v>
      </c>
      <c r="X346" t="s">
        <v>131</v>
      </c>
      <c r="Y346" t="s">
        <v>51</v>
      </c>
      <c r="Z346">
        <v>1851</v>
      </c>
      <c r="AH346">
        <v>0</v>
      </c>
      <c r="AI346">
        <v>202504</v>
      </c>
      <c r="AJ346" t="s">
        <v>56</v>
      </c>
      <c r="AK346">
        <v>0</v>
      </c>
      <c r="AL346">
        <v>1</v>
      </c>
      <c r="AM346">
        <v>3730784</v>
      </c>
      <c r="AN346">
        <v>1</v>
      </c>
      <c r="AO346">
        <v>0</v>
      </c>
      <c r="AP346" t="s">
        <v>3033</v>
      </c>
      <c r="AQ346" t="s">
        <v>3047</v>
      </c>
      <c r="AR346" t="s">
        <v>3048</v>
      </c>
      <c r="AS346" t="s">
        <v>3049</v>
      </c>
      <c r="AU346" t="s">
        <v>3049</v>
      </c>
    </row>
    <row r="347" spans="1:47" x14ac:dyDescent="0.35">
      <c r="A347">
        <v>337518</v>
      </c>
      <c r="B347" t="s">
        <v>164</v>
      </c>
      <c r="C347" t="s">
        <v>165</v>
      </c>
      <c r="D347" s="2">
        <v>45772</v>
      </c>
      <c r="E347">
        <v>53850</v>
      </c>
      <c r="F347">
        <v>187</v>
      </c>
      <c r="G347" t="s">
        <v>251</v>
      </c>
      <c r="H347" t="s">
        <v>167</v>
      </c>
      <c r="I347" t="s">
        <v>45</v>
      </c>
      <c r="K347" t="s">
        <v>527</v>
      </c>
      <c r="L347">
        <v>1873300102696</v>
      </c>
      <c r="M347">
        <v>20250424</v>
      </c>
      <c r="N347" t="s">
        <v>168</v>
      </c>
      <c r="P347" t="s">
        <v>255</v>
      </c>
      <c r="Q347" t="s">
        <v>47</v>
      </c>
      <c r="R347">
        <v>3876.1</v>
      </c>
      <c r="S347">
        <v>0</v>
      </c>
      <c r="T347">
        <v>4000559</v>
      </c>
      <c r="U347">
        <v>2099160737</v>
      </c>
      <c r="V347" t="s">
        <v>528</v>
      </c>
      <c r="W347" t="s">
        <v>49</v>
      </c>
      <c r="X347" t="s">
        <v>117</v>
      </c>
      <c r="Y347" t="s">
        <v>51</v>
      </c>
      <c r="Z347">
        <v>1627</v>
      </c>
      <c r="AH347">
        <v>0</v>
      </c>
      <c r="AI347">
        <v>202504</v>
      </c>
      <c r="AJ347" t="s">
        <v>56</v>
      </c>
      <c r="AK347">
        <v>0</v>
      </c>
      <c r="AL347">
        <v>1</v>
      </c>
      <c r="AO347">
        <v>0</v>
      </c>
      <c r="AP347" t="s">
        <v>3029</v>
      </c>
      <c r="AQ347" t="s">
        <v>3012</v>
      </c>
      <c r="AR347" t="s">
        <v>3030</v>
      </c>
      <c r="AS347" t="s">
        <v>3014</v>
      </c>
      <c r="AU347" t="s">
        <v>3014</v>
      </c>
    </row>
    <row r="348" spans="1:47" x14ac:dyDescent="0.35">
      <c r="A348">
        <v>337517</v>
      </c>
      <c r="B348" t="s">
        <v>178</v>
      </c>
      <c r="C348" t="s">
        <v>179</v>
      </c>
      <c r="D348" s="2">
        <v>45772</v>
      </c>
      <c r="E348">
        <v>53850</v>
      </c>
      <c r="F348">
        <v>109</v>
      </c>
      <c r="G348" t="s">
        <v>89</v>
      </c>
      <c r="H348" t="s">
        <v>167</v>
      </c>
      <c r="I348" t="s">
        <v>45</v>
      </c>
      <c r="K348">
        <v>202504247924602</v>
      </c>
      <c r="L348">
        <v>1093306667463</v>
      </c>
      <c r="M348">
        <v>20250424</v>
      </c>
      <c r="N348" t="s">
        <v>236</v>
      </c>
      <c r="P348" t="s">
        <v>51</v>
      </c>
      <c r="Q348" t="s">
        <v>170</v>
      </c>
      <c r="R348">
        <v>231724</v>
      </c>
      <c r="S348">
        <v>0</v>
      </c>
      <c r="T348">
        <v>4039786</v>
      </c>
      <c r="U348" t="s">
        <v>529</v>
      </c>
      <c r="V348" t="s">
        <v>530</v>
      </c>
      <c r="W348" t="s">
        <v>187</v>
      </c>
      <c r="Y348" t="s">
        <v>51</v>
      </c>
      <c r="Z348">
        <v>507</v>
      </c>
      <c r="AH348">
        <v>0</v>
      </c>
      <c r="AI348">
        <v>202504</v>
      </c>
      <c r="AJ348" t="s">
        <v>86</v>
      </c>
      <c r="AK348">
        <v>1</v>
      </c>
      <c r="AL348">
        <v>1</v>
      </c>
      <c r="AO348">
        <v>0</v>
      </c>
      <c r="AP348" t="s">
        <v>3015</v>
      </c>
      <c r="AQ348" t="s">
        <v>3044</v>
      </c>
      <c r="AR348" t="s">
        <v>3045</v>
      </c>
      <c r="AS348" t="s">
        <v>3046</v>
      </c>
      <c r="AU348" t="s">
        <v>3046</v>
      </c>
    </row>
    <row r="349" spans="1:47" x14ac:dyDescent="0.35">
      <c r="A349">
        <v>337516</v>
      </c>
      <c r="B349" t="s">
        <v>193</v>
      </c>
      <c r="C349" t="s">
        <v>194</v>
      </c>
      <c r="D349" s="2">
        <v>45772</v>
      </c>
      <c r="E349">
        <v>53850</v>
      </c>
      <c r="F349">
        <v>277</v>
      </c>
      <c r="G349" t="s">
        <v>505</v>
      </c>
      <c r="H349" t="s">
        <v>167</v>
      </c>
      <c r="I349" t="s">
        <v>45</v>
      </c>
      <c r="K349">
        <v>202504247924976</v>
      </c>
      <c r="L349">
        <v>2773300000386</v>
      </c>
      <c r="M349">
        <v>20250424</v>
      </c>
      <c r="N349" t="s">
        <v>266</v>
      </c>
      <c r="Q349" t="s">
        <v>47</v>
      </c>
      <c r="R349">
        <v>37500</v>
      </c>
      <c r="S349">
        <v>37500</v>
      </c>
      <c r="T349">
        <v>1625701</v>
      </c>
      <c r="U349">
        <v>1746700697</v>
      </c>
      <c r="V349" t="s">
        <v>531</v>
      </c>
      <c r="W349" t="s">
        <v>49</v>
      </c>
      <c r="X349" t="s">
        <v>200</v>
      </c>
      <c r="Y349" t="s">
        <v>51</v>
      </c>
      <c r="Z349">
        <v>1387</v>
      </c>
      <c r="AH349">
        <v>0</v>
      </c>
      <c r="AI349">
        <v>202504</v>
      </c>
      <c r="AJ349" t="s">
        <v>52</v>
      </c>
      <c r="AK349">
        <v>0</v>
      </c>
      <c r="AL349">
        <v>1</v>
      </c>
      <c r="AO349">
        <v>0</v>
      </c>
      <c r="AP349" t="s">
        <v>3015</v>
      </c>
      <c r="AQ349" t="s">
        <v>3012</v>
      </c>
      <c r="AR349" t="s">
        <v>3016</v>
      </c>
      <c r="AT349" t="s">
        <v>3017</v>
      </c>
      <c r="AU349" t="s">
        <v>3018</v>
      </c>
    </row>
    <row r="350" spans="1:47" x14ac:dyDescent="0.35">
      <c r="A350">
        <v>337515</v>
      </c>
      <c r="B350" t="s">
        <v>164</v>
      </c>
      <c r="C350" t="s">
        <v>165</v>
      </c>
      <c r="D350" s="2">
        <v>45772</v>
      </c>
      <c r="E350">
        <v>53850</v>
      </c>
      <c r="F350">
        <v>282</v>
      </c>
      <c r="G350" t="s">
        <v>433</v>
      </c>
      <c r="H350" t="s">
        <v>167</v>
      </c>
      <c r="I350" t="s">
        <v>45</v>
      </c>
      <c r="K350">
        <v>202504247923683</v>
      </c>
      <c r="L350">
        <v>2823300010180</v>
      </c>
      <c r="M350">
        <v>20250424</v>
      </c>
      <c r="N350" t="s">
        <v>168</v>
      </c>
      <c r="P350" t="s">
        <v>255</v>
      </c>
      <c r="Q350" t="s">
        <v>47</v>
      </c>
      <c r="R350">
        <v>5243.56</v>
      </c>
      <c r="S350">
        <v>0</v>
      </c>
      <c r="T350">
        <v>4993694</v>
      </c>
      <c r="U350">
        <v>2776730695</v>
      </c>
      <c r="V350" t="s">
        <v>532</v>
      </c>
      <c r="W350" t="s">
        <v>49</v>
      </c>
      <c r="X350" t="s">
        <v>213</v>
      </c>
      <c r="Y350" t="s">
        <v>51</v>
      </c>
      <c r="Z350">
        <v>1829</v>
      </c>
      <c r="AH350">
        <v>0</v>
      </c>
      <c r="AI350">
        <v>202504</v>
      </c>
      <c r="AJ350" t="s">
        <v>52</v>
      </c>
      <c r="AK350">
        <v>0</v>
      </c>
      <c r="AL350">
        <v>1</v>
      </c>
      <c r="AO350">
        <v>0</v>
      </c>
      <c r="AP350" t="s">
        <v>3015</v>
      </c>
      <c r="AQ350" t="s">
        <v>3012</v>
      </c>
      <c r="AR350" t="s">
        <v>3016</v>
      </c>
      <c r="AT350" t="s">
        <v>3017</v>
      </c>
      <c r="AU350" t="s">
        <v>3018</v>
      </c>
    </row>
    <row r="351" spans="1:47" x14ac:dyDescent="0.35">
      <c r="A351">
        <v>337514</v>
      </c>
      <c r="B351" t="s">
        <v>178</v>
      </c>
      <c r="C351" t="s">
        <v>179</v>
      </c>
      <c r="D351" s="2">
        <v>45772</v>
      </c>
      <c r="E351">
        <v>53850</v>
      </c>
      <c r="F351">
        <v>181</v>
      </c>
      <c r="G351" t="s">
        <v>180</v>
      </c>
      <c r="H351" t="s">
        <v>167</v>
      </c>
      <c r="I351" t="s">
        <v>45</v>
      </c>
      <c r="K351">
        <v>202504247923117</v>
      </c>
      <c r="L351">
        <v>1813300010280</v>
      </c>
      <c r="M351">
        <v>20250424</v>
      </c>
      <c r="N351" t="s">
        <v>46</v>
      </c>
      <c r="P351" t="s">
        <v>51</v>
      </c>
      <c r="Q351" t="s">
        <v>47</v>
      </c>
      <c r="R351">
        <v>1200000</v>
      </c>
      <c r="S351">
        <v>0</v>
      </c>
      <c r="T351">
        <v>4788366</v>
      </c>
      <c r="U351">
        <v>674460720</v>
      </c>
      <c r="V351" t="s">
        <v>533</v>
      </c>
      <c r="W351" t="s">
        <v>49</v>
      </c>
      <c r="X351" t="s">
        <v>234</v>
      </c>
      <c r="Y351" t="s">
        <v>51</v>
      </c>
      <c r="Z351">
        <v>1903</v>
      </c>
      <c r="AH351">
        <v>0</v>
      </c>
      <c r="AI351">
        <v>202504</v>
      </c>
      <c r="AJ351" t="s">
        <v>119</v>
      </c>
      <c r="AK351">
        <v>1</v>
      </c>
      <c r="AL351">
        <v>1</v>
      </c>
      <c r="AO351">
        <v>0</v>
      </c>
      <c r="AP351" t="s">
        <v>3015</v>
      </c>
      <c r="AQ351" t="s">
        <v>3012</v>
      </c>
      <c r="AR351" t="s">
        <v>3016</v>
      </c>
      <c r="AT351" t="s">
        <v>3017</v>
      </c>
      <c r="AU351" t="s">
        <v>3018</v>
      </c>
    </row>
    <row r="352" spans="1:47" x14ac:dyDescent="0.35">
      <c r="A352">
        <v>337513</v>
      </c>
      <c r="B352" t="s">
        <v>172</v>
      </c>
      <c r="C352" t="s">
        <v>173</v>
      </c>
      <c r="D352" s="2">
        <v>45772</v>
      </c>
      <c r="E352">
        <v>53850</v>
      </c>
      <c r="F352">
        <v>116</v>
      </c>
      <c r="G352" t="s">
        <v>126</v>
      </c>
      <c r="H352" t="s">
        <v>167</v>
      </c>
      <c r="I352" t="s">
        <v>45</v>
      </c>
      <c r="K352">
        <v>202504247924393</v>
      </c>
      <c r="L352">
        <v>2343300010453</v>
      </c>
      <c r="M352">
        <v>20250424</v>
      </c>
      <c r="N352" t="s">
        <v>195</v>
      </c>
      <c r="Q352" t="s">
        <v>47</v>
      </c>
      <c r="R352">
        <v>181575.3</v>
      </c>
      <c r="S352">
        <v>181575.3</v>
      </c>
      <c r="T352">
        <v>4247777</v>
      </c>
      <c r="U352">
        <v>233470236</v>
      </c>
      <c r="V352" t="s">
        <v>206</v>
      </c>
      <c r="W352" t="s">
        <v>49</v>
      </c>
      <c r="X352" t="s">
        <v>117</v>
      </c>
      <c r="Y352" t="s">
        <v>51</v>
      </c>
      <c r="Z352">
        <v>1696</v>
      </c>
      <c r="AH352">
        <v>0</v>
      </c>
      <c r="AI352">
        <v>202504</v>
      </c>
      <c r="AJ352" t="s">
        <v>114</v>
      </c>
      <c r="AK352">
        <v>1</v>
      </c>
      <c r="AL352">
        <v>1</v>
      </c>
      <c r="AM352">
        <v>4247777</v>
      </c>
      <c r="AN352">
        <v>1</v>
      </c>
      <c r="AO352">
        <v>0</v>
      </c>
      <c r="AP352" t="s">
        <v>3029</v>
      </c>
      <c r="AQ352" t="s">
        <v>3012</v>
      </c>
      <c r="AR352" t="s">
        <v>3030</v>
      </c>
      <c r="AS352" t="s">
        <v>3014</v>
      </c>
      <c r="AU352" t="s">
        <v>3014</v>
      </c>
    </row>
    <row r="353" spans="1:47" x14ac:dyDescent="0.35">
      <c r="A353">
        <v>337512</v>
      </c>
      <c r="B353" t="s">
        <v>333</v>
      </c>
      <c r="C353" t="s">
        <v>334</v>
      </c>
      <c r="D353" s="2">
        <v>45772</v>
      </c>
      <c r="E353">
        <v>53850</v>
      </c>
      <c r="F353">
        <v>154</v>
      </c>
      <c r="G353" t="s">
        <v>53</v>
      </c>
      <c r="H353" t="s">
        <v>167</v>
      </c>
      <c r="I353" t="s">
        <v>45</v>
      </c>
      <c r="K353">
        <v>202504247924746</v>
      </c>
      <c r="M353">
        <v>20250424</v>
      </c>
      <c r="N353" t="s">
        <v>515</v>
      </c>
      <c r="Q353" t="s">
        <v>170</v>
      </c>
      <c r="R353">
        <v>16000</v>
      </c>
      <c r="S353">
        <v>0</v>
      </c>
      <c r="T353">
        <v>4837667</v>
      </c>
      <c r="U353" t="s">
        <v>516</v>
      </c>
      <c r="V353" t="s">
        <v>517</v>
      </c>
      <c r="W353" t="s">
        <v>187</v>
      </c>
      <c r="Y353" t="s">
        <v>51</v>
      </c>
      <c r="AH353">
        <v>0</v>
      </c>
      <c r="AI353">
        <v>202504</v>
      </c>
      <c r="AJ353" t="s">
        <v>52</v>
      </c>
      <c r="AK353">
        <v>0</v>
      </c>
      <c r="AL353">
        <v>0</v>
      </c>
      <c r="AO353">
        <v>0</v>
      </c>
      <c r="AP353" t="s">
        <v>3015</v>
      </c>
      <c r="AQ353" t="s">
        <v>3044</v>
      </c>
      <c r="AR353" t="s">
        <v>3045</v>
      </c>
      <c r="AS353" t="s">
        <v>3046</v>
      </c>
      <c r="AU353" t="s">
        <v>3046</v>
      </c>
    </row>
    <row r="354" spans="1:47" x14ac:dyDescent="0.35">
      <c r="A354">
        <v>337511</v>
      </c>
      <c r="B354" t="s">
        <v>164</v>
      </c>
      <c r="C354" t="s">
        <v>165</v>
      </c>
      <c r="D354" s="2">
        <v>45772</v>
      </c>
      <c r="E354">
        <v>53850</v>
      </c>
      <c r="F354">
        <v>149</v>
      </c>
      <c r="G354" t="s">
        <v>449</v>
      </c>
      <c r="H354" t="s">
        <v>167</v>
      </c>
      <c r="I354" t="s">
        <v>45</v>
      </c>
      <c r="K354">
        <v>202504247923480</v>
      </c>
      <c r="L354">
        <v>1493300663564</v>
      </c>
      <c r="M354">
        <v>20250424</v>
      </c>
      <c r="N354" t="s">
        <v>168</v>
      </c>
      <c r="P354" t="s">
        <v>255</v>
      </c>
      <c r="Q354" t="s">
        <v>47</v>
      </c>
      <c r="R354">
        <v>17286</v>
      </c>
      <c r="S354">
        <v>0</v>
      </c>
      <c r="T354">
        <v>4851736</v>
      </c>
      <c r="U354">
        <v>8243781211</v>
      </c>
      <c r="V354" t="s">
        <v>450</v>
      </c>
      <c r="W354" t="s">
        <v>49</v>
      </c>
      <c r="X354" t="s">
        <v>451</v>
      </c>
      <c r="Y354" t="s">
        <v>51</v>
      </c>
      <c r="Z354">
        <v>1256</v>
      </c>
      <c r="AH354">
        <v>0</v>
      </c>
      <c r="AI354">
        <v>202504</v>
      </c>
      <c r="AJ354" t="s">
        <v>52</v>
      </c>
      <c r="AK354">
        <v>0</v>
      </c>
      <c r="AL354">
        <v>1</v>
      </c>
      <c r="AO354">
        <v>0</v>
      </c>
      <c r="AP354" t="s">
        <v>3015</v>
      </c>
      <c r="AQ354" t="s">
        <v>3012</v>
      </c>
      <c r="AR354" t="s">
        <v>3016</v>
      </c>
      <c r="AT354" t="s">
        <v>3017</v>
      </c>
      <c r="AU354" t="s">
        <v>3018</v>
      </c>
    </row>
    <row r="355" spans="1:47" x14ac:dyDescent="0.35">
      <c r="A355">
        <v>337510</v>
      </c>
      <c r="B355" t="s">
        <v>178</v>
      </c>
      <c r="C355" t="s">
        <v>179</v>
      </c>
      <c r="D355" s="2">
        <v>45772</v>
      </c>
      <c r="E355">
        <v>53850</v>
      </c>
      <c r="F355">
        <v>187</v>
      </c>
      <c r="G355" t="s">
        <v>251</v>
      </c>
      <c r="H355" t="s">
        <v>167</v>
      </c>
      <c r="I355" t="s">
        <v>45</v>
      </c>
      <c r="K355">
        <v>202504247922522</v>
      </c>
      <c r="L355">
        <v>999361870311</v>
      </c>
      <c r="M355">
        <v>20250424</v>
      </c>
      <c r="N355" t="s">
        <v>236</v>
      </c>
      <c r="P355" t="s">
        <v>51</v>
      </c>
      <c r="Q355" t="s">
        <v>170</v>
      </c>
      <c r="R355">
        <v>1362805.46</v>
      </c>
      <c r="S355">
        <v>0</v>
      </c>
      <c r="T355">
        <v>3004644</v>
      </c>
      <c r="U355">
        <v>80008750731</v>
      </c>
      <c r="V355" t="s">
        <v>252</v>
      </c>
      <c r="W355" t="s">
        <v>253</v>
      </c>
      <c r="Y355" t="s">
        <v>51</v>
      </c>
      <c r="Z355">
        <v>1627</v>
      </c>
      <c r="AH355">
        <v>0</v>
      </c>
      <c r="AI355">
        <v>202504</v>
      </c>
      <c r="AJ355" t="s">
        <v>52</v>
      </c>
      <c r="AK355">
        <v>0</v>
      </c>
      <c r="AL355">
        <v>1</v>
      </c>
      <c r="AO355">
        <v>0</v>
      </c>
      <c r="AP355" t="s">
        <v>3015</v>
      </c>
      <c r="AQ355" t="s">
        <v>3052</v>
      </c>
      <c r="AR355" t="s">
        <v>3053</v>
      </c>
      <c r="AS355" t="s">
        <v>3037</v>
      </c>
      <c r="AU355" t="s">
        <v>3037</v>
      </c>
    </row>
    <row r="356" spans="1:47" x14ac:dyDescent="0.35">
      <c r="A356">
        <v>337509</v>
      </c>
      <c r="B356" t="s">
        <v>172</v>
      </c>
      <c r="C356" t="s">
        <v>173</v>
      </c>
      <c r="D356" s="2">
        <v>45772</v>
      </c>
      <c r="E356">
        <v>53850</v>
      </c>
      <c r="F356">
        <v>171</v>
      </c>
      <c r="G356" t="s">
        <v>198</v>
      </c>
      <c r="H356" t="s">
        <v>167</v>
      </c>
      <c r="I356" t="s">
        <v>45</v>
      </c>
      <c r="K356" t="s">
        <v>496</v>
      </c>
      <c r="L356">
        <v>1713305728950</v>
      </c>
      <c r="M356">
        <v>20250424</v>
      </c>
      <c r="N356" t="s">
        <v>195</v>
      </c>
      <c r="Q356" t="s">
        <v>47</v>
      </c>
      <c r="R356">
        <v>515709.15</v>
      </c>
      <c r="S356">
        <v>515709.15</v>
      </c>
      <c r="T356">
        <v>572895</v>
      </c>
      <c r="U356">
        <v>4161600723</v>
      </c>
      <c r="V356" t="s">
        <v>199</v>
      </c>
      <c r="W356" t="s">
        <v>49</v>
      </c>
      <c r="X356" t="s">
        <v>200</v>
      </c>
      <c r="Y356" t="s">
        <v>51</v>
      </c>
      <c r="Z356">
        <v>1903</v>
      </c>
      <c r="AH356">
        <v>0</v>
      </c>
      <c r="AI356">
        <v>202504</v>
      </c>
      <c r="AJ356" t="s">
        <v>56</v>
      </c>
      <c r="AK356">
        <v>0</v>
      </c>
      <c r="AL356">
        <v>1</v>
      </c>
      <c r="AM356">
        <v>572895</v>
      </c>
      <c r="AN356">
        <v>1</v>
      </c>
      <c r="AO356">
        <v>0</v>
      </c>
      <c r="AP356" t="s">
        <v>3015</v>
      </c>
      <c r="AQ356" t="s">
        <v>3012</v>
      </c>
      <c r="AR356" t="s">
        <v>3016</v>
      </c>
      <c r="AT356" t="s">
        <v>3017</v>
      </c>
      <c r="AU356" t="s">
        <v>3018</v>
      </c>
    </row>
    <row r="357" spans="1:47" x14ac:dyDescent="0.35">
      <c r="A357">
        <v>337508</v>
      </c>
      <c r="B357" t="s">
        <v>193</v>
      </c>
      <c r="C357" t="s">
        <v>194</v>
      </c>
      <c r="D357" s="2">
        <v>45772</v>
      </c>
      <c r="E357">
        <v>53850</v>
      </c>
      <c r="F357">
        <v>174</v>
      </c>
      <c r="G357" t="s">
        <v>224</v>
      </c>
      <c r="H357" t="s">
        <v>167</v>
      </c>
      <c r="I357" t="s">
        <v>45</v>
      </c>
      <c r="K357" t="s">
        <v>496</v>
      </c>
      <c r="L357">
        <v>1743302879903</v>
      </c>
      <c r="M357">
        <v>20250424</v>
      </c>
      <c r="N357" t="s">
        <v>175</v>
      </c>
      <c r="Q357" t="s">
        <v>47</v>
      </c>
      <c r="R357">
        <v>43275.58</v>
      </c>
      <c r="S357">
        <v>41100</v>
      </c>
      <c r="T357">
        <v>4928259</v>
      </c>
      <c r="U357">
        <v>8287320728</v>
      </c>
      <c r="V357" t="s">
        <v>534</v>
      </c>
      <c r="W357" t="s">
        <v>49</v>
      </c>
      <c r="X357" t="s">
        <v>117</v>
      </c>
      <c r="Y357" t="s">
        <v>51</v>
      </c>
      <c r="Z357">
        <v>448</v>
      </c>
      <c r="AH357">
        <v>0</v>
      </c>
      <c r="AI357">
        <v>202504</v>
      </c>
      <c r="AJ357" t="s">
        <v>52</v>
      </c>
      <c r="AK357">
        <v>0</v>
      </c>
      <c r="AL357">
        <v>1</v>
      </c>
      <c r="AM357">
        <v>4928259</v>
      </c>
      <c r="AN357">
        <v>1</v>
      </c>
      <c r="AO357">
        <v>1</v>
      </c>
      <c r="AP357" t="s">
        <v>3029</v>
      </c>
      <c r="AQ357" t="s">
        <v>3012</v>
      </c>
      <c r="AR357" t="s">
        <v>3030</v>
      </c>
      <c r="AS357" t="s">
        <v>3014</v>
      </c>
      <c r="AU357" t="s">
        <v>3014</v>
      </c>
    </row>
    <row r="358" spans="1:47" x14ac:dyDescent="0.35">
      <c r="A358">
        <v>337507</v>
      </c>
      <c r="B358" t="s">
        <v>164</v>
      </c>
      <c r="C358" t="s">
        <v>165</v>
      </c>
      <c r="D358" s="2">
        <v>45771</v>
      </c>
      <c r="E358">
        <v>53850</v>
      </c>
      <c r="F358">
        <v>116</v>
      </c>
      <c r="G358" t="s">
        <v>126</v>
      </c>
      <c r="H358" t="s">
        <v>167</v>
      </c>
      <c r="I358" t="s">
        <v>45</v>
      </c>
      <c r="K358" t="s">
        <v>535</v>
      </c>
      <c r="L358">
        <v>1423300308490</v>
      </c>
      <c r="M358">
        <v>20250423</v>
      </c>
      <c r="N358" t="s">
        <v>168</v>
      </c>
      <c r="P358" t="s">
        <v>435</v>
      </c>
      <c r="Q358" t="s">
        <v>170</v>
      </c>
      <c r="R358">
        <v>3150</v>
      </c>
      <c r="S358">
        <v>0</v>
      </c>
      <c r="T358">
        <v>4793312</v>
      </c>
      <c r="U358">
        <v>2314700747</v>
      </c>
      <c r="V358" t="s">
        <v>536</v>
      </c>
      <c r="W358" t="s">
        <v>49</v>
      </c>
      <c r="X358" t="s">
        <v>451</v>
      </c>
      <c r="Y358" t="s">
        <v>51</v>
      </c>
      <c r="Z358">
        <v>417</v>
      </c>
      <c r="AH358">
        <v>0</v>
      </c>
      <c r="AI358">
        <v>202504</v>
      </c>
      <c r="AJ358" t="s">
        <v>86</v>
      </c>
      <c r="AK358">
        <v>1</v>
      </c>
      <c r="AL358">
        <v>1</v>
      </c>
      <c r="AO358">
        <v>0</v>
      </c>
      <c r="AP358" t="s">
        <v>3015</v>
      </c>
      <c r="AQ358" t="s">
        <v>3012</v>
      </c>
      <c r="AR358" t="s">
        <v>3016</v>
      </c>
      <c r="AT358" t="s">
        <v>3017</v>
      </c>
      <c r="AU358" t="s">
        <v>3018</v>
      </c>
    </row>
    <row r="359" spans="1:47" x14ac:dyDescent="0.35">
      <c r="A359">
        <v>337506</v>
      </c>
      <c r="B359" t="s">
        <v>193</v>
      </c>
      <c r="C359" t="s">
        <v>194</v>
      </c>
      <c r="D359" s="2">
        <v>45771</v>
      </c>
      <c r="E359">
        <v>53850</v>
      </c>
      <c r="F359">
        <v>148</v>
      </c>
      <c r="G359" t="s">
        <v>78</v>
      </c>
      <c r="H359" t="s">
        <v>167</v>
      </c>
      <c r="I359" t="s">
        <v>45</v>
      </c>
      <c r="K359">
        <v>202504237921632</v>
      </c>
      <c r="L359">
        <v>1483300010620</v>
      </c>
      <c r="M359">
        <v>20250423</v>
      </c>
      <c r="N359" t="s">
        <v>266</v>
      </c>
      <c r="Q359" t="s">
        <v>47</v>
      </c>
      <c r="R359">
        <v>21610</v>
      </c>
      <c r="S359">
        <v>21610</v>
      </c>
      <c r="T359">
        <v>4247284</v>
      </c>
      <c r="U359" t="s">
        <v>537</v>
      </c>
      <c r="V359" t="s">
        <v>538</v>
      </c>
      <c r="W359" t="s">
        <v>69</v>
      </c>
      <c r="X359" t="s">
        <v>131</v>
      </c>
      <c r="Y359" t="s">
        <v>51</v>
      </c>
      <c r="Z359">
        <v>1063</v>
      </c>
      <c r="AH359">
        <v>0</v>
      </c>
      <c r="AI359">
        <v>202504</v>
      </c>
      <c r="AJ359" t="s">
        <v>56</v>
      </c>
      <c r="AK359">
        <v>0</v>
      </c>
      <c r="AL359">
        <v>1</v>
      </c>
      <c r="AM359">
        <v>4247284</v>
      </c>
      <c r="AN359">
        <v>1</v>
      </c>
      <c r="AO359">
        <v>0</v>
      </c>
      <c r="AP359" t="s">
        <v>3033</v>
      </c>
      <c r="AQ359" t="s">
        <v>3021</v>
      </c>
      <c r="AR359" t="s">
        <v>3054</v>
      </c>
      <c r="AS359" t="s">
        <v>3055</v>
      </c>
      <c r="AU359" t="s">
        <v>3055</v>
      </c>
    </row>
    <row r="360" spans="1:47" x14ac:dyDescent="0.35">
      <c r="A360">
        <v>337505</v>
      </c>
      <c r="B360" t="s">
        <v>178</v>
      </c>
      <c r="C360" t="s">
        <v>179</v>
      </c>
      <c r="D360" s="2">
        <v>45771</v>
      </c>
      <c r="E360">
        <v>53850</v>
      </c>
      <c r="F360">
        <v>145</v>
      </c>
      <c r="G360" t="s">
        <v>115</v>
      </c>
      <c r="H360" t="s">
        <v>167</v>
      </c>
      <c r="I360" t="s">
        <v>45</v>
      </c>
      <c r="K360">
        <v>202504237920074</v>
      </c>
      <c r="L360">
        <v>1453300002438</v>
      </c>
      <c r="M360">
        <v>20250423</v>
      </c>
      <c r="N360" t="s">
        <v>46</v>
      </c>
      <c r="P360" t="s">
        <v>51</v>
      </c>
      <c r="Q360" t="s">
        <v>47</v>
      </c>
      <c r="R360">
        <v>855151.57</v>
      </c>
      <c r="S360">
        <v>0</v>
      </c>
      <c r="T360">
        <v>4700611</v>
      </c>
      <c r="U360">
        <v>2837290614</v>
      </c>
      <c r="V360" t="s">
        <v>539</v>
      </c>
      <c r="W360" t="s">
        <v>49</v>
      </c>
      <c r="X360" t="s">
        <v>540</v>
      </c>
      <c r="Y360" t="s">
        <v>51</v>
      </c>
      <c r="Z360">
        <v>1256</v>
      </c>
      <c r="AH360">
        <v>0</v>
      </c>
      <c r="AI360">
        <v>202504</v>
      </c>
      <c r="AJ360" t="s">
        <v>56</v>
      </c>
      <c r="AK360">
        <v>0</v>
      </c>
      <c r="AL360">
        <v>1</v>
      </c>
      <c r="AO360">
        <v>0</v>
      </c>
      <c r="AP360" t="s">
        <v>3074</v>
      </c>
      <c r="AQ360" t="s">
        <v>3012</v>
      </c>
      <c r="AR360" t="s">
        <v>3075</v>
      </c>
      <c r="AS360" t="s">
        <v>3014</v>
      </c>
      <c r="AU360" t="s">
        <v>3014</v>
      </c>
    </row>
    <row r="361" spans="1:47" x14ac:dyDescent="0.35">
      <c r="A361">
        <v>337504</v>
      </c>
      <c r="B361" t="s">
        <v>178</v>
      </c>
      <c r="C361" t="s">
        <v>179</v>
      </c>
      <c r="D361" s="2">
        <v>45771</v>
      </c>
      <c r="E361">
        <v>53850</v>
      </c>
      <c r="F361">
        <v>109</v>
      </c>
      <c r="G361" t="s">
        <v>89</v>
      </c>
      <c r="H361" t="s">
        <v>167</v>
      </c>
      <c r="I361" t="s">
        <v>45</v>
      </c>
      <c r="K361">
        <v>202504237918846</v>
      </c>
      <c r="L361">
        <v>1093306672844</v>
      </c>
      <c r="M361">
        <v>20250423</v>
      </c>
      <c r="N361" t="s">
        <v>236</v>
      </c>
      <c r="P361" t="s">
        <v>51</v>
      </c>
      <c r="Q361" t="s">
        <v>170</v>
      </c>
      <c r="R361">
        <v>700000</v>
      </c>
      <c r="S361">
        <v>0</v>
      </c>
      <c r="T361">
        <v>440311</v>
      </c>
      <c r="U361">
        <v>3550290724</v>
      </c>
      <c r="V361" t="s">
        <v>90</v>
      </c>
      <c r="W361" t="s">
        <v>49</v>
      </c>
      <c r="X361" t="s">
        <v>91</v>
      </c>
      <c r="Y361" t="s">
        <v>51</v>
      </c>
      <c r="Z361">
        <v>1903</v>
      </c>
      <c r="AH361">
        <v>0</v>
      </c>
      <c r="AI361">
        <v>202504</v>
      </c>
      <c r="AJ361" t="s">
        <v>56</v>
      </c>
      <c r="AK361">
        <v>0</v>
      </c>
      <c r="AL361">
        <v>1</v>
      </c>
      <c r="AM361">
        <v>440311</v>
      </c>
      <c r="AN361">
        <v>1</v>
      </c>
      <c r="AO361">
        <v>0</v>
      </c>
      <c r="AP361" t="s">
        <v>1100</v>
      </c>
      <c r="AQ361" t="s">
        <v>3012</v>
      </c>
      <c r="AR361" t="s">
        <v>3023</v>
      </c>
      <c r="AS361" t="s">
        <v>3014</v>
      </c>
      <c r="AU361" t="s">
        <v>3014</v>
      </c>
    </row>
    <row r="362" spans="1:47" x14ac:dyDescent="0.35">
      <c r="A362">
        <v>337503</v>
      </c>
      <c r="B362" t="s">
        <v>164</v>
      </c>
      <c r="C362" t="s">
        <v>165</v>
      </c>
      <c r="D362" s="2">
        <v>45771</v>
      </c>
      <c r="E362">
        <v>53850</v>
      </c>
      <c r="F362">
        <v>128</v>
      </c>
      <c r="G362" t="s">
        <v>94</v>
      </c>
      <c r="H362" t="s">
        <v>167</v>
      </c>
      <c r="I362" t="s">
        <v>45</v>
      </c>
      <c r="K362">
        <v>202504237920557</v>
      </c>
      <c r="L362">
        <v>1283300002423</v>
      </c>
      <c r="M362">
        <v>20250423</v>
      </c>
      <c r="N362" t="s">
        <v>168</v>
      </c>
      <c r="P362" t="s">
        <v>435</v>
      </c>
      <c r="Q362" t="s">
        <v>47</v>
      </c>
      <c r="R362">
        <v>12310.16</v>
      </c>
      <c r="S362">
        <v>0</v>
      </c>
      <c r="T362">
        <v>4582492</v>
      </c>
      <c r="U362" t="s">
        <v>541</v>
      </c>
      <c r="V362" t="s">
        <v>542</v>
      </c>
      <c r="W362" t="s">
        <v>187</v>
      </c>
      <c r="Y362" t="s">
        <v>51</v>
      </c>
      <c r="Z362">
        <v>726</v>
      </c>
      <c r="AH362">
        <v>0</v>
      </c>
      <c r="AI362">
        <v>202504</v>
      </c>
      <c r="AJ362" t="s">
        <v>52</v>
      </c>
      <c r="AK362">
        <v>0</v>
      </c>
      <c r="AL362">
        <v>1</v>
      </c>
      <c r="AO362">
        <v>0</v>
      </c>
      <c r="AP362" t="s">
        <v>3015</v>
      </c>
      <c r="AQ362" t="s">
        <v>3044</v>
      </c>
      <c r="AR362" t="s">
        <v>3045</v>
      </c>
      <c r="AS362" t="s">
        <v>3046</v>
      </c>
      <c r="AU362" t="s">
        <v>3046</v>
      </c>
    </row>
    <row r="363" spans="1:47" x14ac:dyDescent="0.35">
      <c r="A363">
        <v>337502</v>
      </c>
      <c r="B363" t="s">
        <v>178</v>
      </c>
      <c r="C363" t="s">
        <v>179</v>
      </c>
      <c r="D363" s="2">
        <v>45771</v>
      </c>
      <c r="E363">
        <v>53850</v>
      </c>
      <c r="F363">
        <v>111</v>
      </c>
      <c r="G363" t="s">
        <v>458</v>
      </c>
      <c r="H363" t="s">
        <v>167</v>
      </c>
      <c r="I363" t="s">
        <v>45</v>
      </c>
      <c r="K363">
        <v>202504237921508</v>
      </c>
      <c r="L363">
        <v>1113304874720</v>
      </c>
      <c r="M363">
        <v>20250423</v>
      </c>
      <c r="N363" t="s">
        <v>3136</v>
      </c>
      <c r="Q363" t="s">
        <v>170</v>
      </c>
      <c r="R363">
        <v>29683.38</v>
      </c>
      <c r="S363">
        <v>0</v>
      </c>
      <c r="T363">
        <v>487472</v>
      </c>
      <c r="U363" t="s">
        <v>543</v>
      </c>
      <c r="V363" t="s">
        <v>544</v>
      </c>
      <c r="W363" t="s">
        <v>187</v>
      </c>
      <c r="Y363" t="s">
        <v>51</v>
      </c>
      <c r="Z363">
        <v>593</v>
      </c>
      <c r="AH363">
        <v>0</v>
      </c>
      <c r="AI363">
        <v>202504</v>
      </c>
      <c r="AJ363" t="s">
        <v>86</v>
      </c>
      <c r="AK363">
        <v>1</v>
      </c>
      <c r="AL363">
        <v>1</v>
      </c>
      <c r="AO363">
        <v>1</v>
      </c>
      <c r="AP363" t="s">
        <v>3015</v>
      </c>
      <c r="AQ363" t="s">
        <v>3044</v>
      </c>
      <c r="AR363" t="s">
        <v>3045</v>
      </c>
      <c r="AS363" t="s">
        <v>3046</v>
      </c>
      <c r="AU363" t="s">
        <v>3046</v>
      </c>
    </row>
    <row r="364" spans="1:47" x14ac:dyDescent="0.35">
      <c r="A364">
        <v>337501</v>
      </c>
      <c r="B364" t="s">
        <v>193</v>
      </c>
      <c r="C364" t="s">
        <v>194</v>
      </c>
      <c r="D364" s="2">
        <v>45771</v>
      </c>
      <c r="E364">
        <v>53850</v>
      </c>
      <c r="F364">
        <v>116</v>
      </c>
      <c r="G364" t="s">
        <v>126</v>
      </c>
      <c r="H364" t="s">
        <v>167</v>
      </c>
      <c r="I364" t="s">
        <v>45</v>
      </c>
      <c r="K364">
        <v>202504237921281</v>
      </c>
      <c r="L364">
        <v>2343300010453</v>
      </c>
      <c r="M364">
        <v>20250423</v>
      </c>
      <c r="N364" t="s">
        <v>195</v>
      </c>
      <c r="Q364" t="s">
        <v>47</v>
      </c>
      <c r="R364">
        <v>192737.85</v>
      </c>
      <c r="S364">
        <v>192737.85</v>
      </c>
      <c r="T364">
        <v>4247777</v>
      </c>
      <c r="U364">
        <v>233470236</v>
      </c>
      <c r="V364" t="s">
        <v>206</v>
      </c>
      <c r="W364" t="s">
        <v>49</v>
      </c>
      <c r="X364" t="s">
        <v>117</v>
      </c>
      <c r="Y364" t="s">
        <v>51</v>
      </c>
      <c r="Z364">
        <v>1696</v>
      </c>
      <c r="AH364">
        <v>0</v>
      </c>
      <c r="AI364">
        <v>202504</v>
      </c>
      <c r="AJ364" t="s">
        <v>114</v>
      </c>
      <c r="AK364">
        <v>1</v>
      </c>
      <c r="AL364">
        <v>1</v>
      </c>
      <c r="AM364">
        <v>4247777</v>
      </c>
      <c r="AN364">
        <v>1</v>
      </c>
      <c r="AO364">
        <v>0</v>
      </c>
      <c r="AP364" t="s">
        <v>3029</v>
      </c>
      <c r="AQ364" t="s">
        <v>3012</v>
      </c>
      <c r="AR364" t="s">
        <v>3030</v>
      </c>
      <c r="AS364" t="s">
        <v>3014</v>
      </c>
      <c r="AU364" t="s">
        <v>3014</v>
      </c>
    </row>
    <row r="365" spans="1:47" x14ac:dyDescent="0.35">
      <c r="A365">
        <v>337500</v>
      </c>
      <c r="B365" t="s">
        <v>178</v>
      </c>
      <c r="C365" t="s">
        <v>179</v>
      </c>
      <c r="D365" s="2">
        <v>45771</v>
      </c>
      <c r="E365">
        <v>53850</v>
      </c>
      <c r="F365">
        <v>120</v>
      </c>
      <c r="G365" t="s">
        <v>411</v>
      </c>
      <c r="H365" t="s">
        <v>167</v>
      </c>
      <c r="I365" t="s">
        <v>45</v>
      </c>
      <c r="K365">
        <v>202504237919164</v>
      </c>
      <c r="L365">
        <v>1203300002401</v>
      </c>
      <c r="M365">
        <v>20250423</v>
      </c>
      <c r="N365" t="s">
        <v>310</v>
      </c>
      <c r="Q365" t="s">
        <v>170</v>
      </c>
      <c r="R365">
        <v>3639390.24</v>
      </c>
      <c r="S365">
        <v>0</v>
      </c>
      <c r="T365">
        <v>613876</v>
      </c>
      <c r="U365">
        <v>574290722</v>
      </c>
      <c r="V365" t="s">
        <v>545</v>
      </c>
      <c r="W365" t="s">
        <v>546</v>
      </c>
      <c r="X365" t="s">
        <v>421</v>
      </c>
      <c r="Y365" t="s">
        <v>51</v>
      </c>
      <c r="Z365">
        <v>1058</v>
      </c>
      <c r="AH365">
        <v>0</v>
      </c>
      <c r="AI365">
        <v>202504</v>
      </c>
      <c r="AJ365" t="s">
        <v>56</v>
      </c>
      <c r="AK365">
        <v>0</v>
      </c>
      <c r="AL365">
        <v>1</v>
      </c>
      <c r="AM365">
        <v>613876</v>
      </c>
      <c r="AN365">
        <v>1</v>
      </c>
      <c r="AO365">
        <v>0</v>
      </c>
      <c r="AP365" t="s">
        <v>3015</v>
      </c>
      <c r="AQ365" t="s">
        <v>3076</v>
      </c>
      <c r="AR365" t="s">
        <v>3077</v>
      </c>
      <c r="AT365" t="s">
        <v>3017</v>
      </c>
      <c r="AU365" t="s">
        <v>3014</v>
      </c>
    </row>
    <row r="366" spans="1:47" x14ac:dyDescent="0.35">
      <c r="A366">
        <v>337499</v>
      </c>
      <c r="B366" t="s">
        <v>193</v>
      </c>
      <c r="C366" t="s">
        <v>194</v>
      </c>
      <c r="D366" s="2">
        <v>45771</v>
      </c>
      <c r="E366">
        <v>53850</v>
      </c>
      <c r="F366">
        <v>102</v>
      </c>
      <c r="G366" t="s">
        <v>151</v>
      </c>
      <c r="H366" t="s">
        <v>167</v>
      </c>
      <c r="I366" t="s">
        <v>45</v>
      </c>
      <c r="K366">
        <v>202504237920856</v>
      </c>
      <c r="L366">
        <v>1023308722503</v>
      </c>
      <c r="M366">
        <v>20250423</v>
      </c>
      <c r="N366" t="s">
        <v>195</v>
      </c>
      <c r="Q366" t="s">
        <v>47</v>
      </c>
      <c r="R366">
        <v>32400</v>
      </c>
      <c r="S366">
        <v>32400</v>
      </c>
      <c r="T366">
        <v>413650</v>
      </c>
      <c r="U366">
        <v>3657230722</v>
      </c>
      <c r="V366" t="s">
        <v>196</v>
      </c>
      <c r="W366" t="s">
        <v>190</v>
      </c>
      <c r="X366" t="s">
        <v>197</v>
      </c>
      <c r="Y366" t="s">
        <v>51</v>
      </c>
      <c r="Z366">
        <v>1306</v>
      </c>
      <c r="AH366">
        <v>0</v>
      </c>
      <c r="AI366">
        <v>202504</v>
      </c>
      <c r="AJ366" t="s">
        <v>56</v>
      </c>
      <c r="AK366">
        <v>0</v>
      </c>
      <c r="AL366">
        <v>1</v>
      </c>
      <c r="AM366">
        <v>413650</v>
      </c>
      <c r="AN366">
        <v>1</v>
      </c>
      <c r="AO366">
        <v>0</v>
      </c>
      <c r="AP366" t="s">
        <v>3050</v>
      </c>
      <c r="AQ366" t="s">
        <v>3047</v>
      </c>
      <c r="AR366" t="s">
        <v>3051</v>
      </c>
      <c r="AS366" t="s">
        <v>3049</v>
      </c>
      <c r="AU366" t="s">
        <v>3049</v>
      </c>
    </row>
    <row r="367" spans="1:47" x14ac:dyDescent="0.35">
      <c r="A367">
        <v>337498</v>
      </c>
      <c r="B367" t="s">
        <v>172</v>
      </c>
      <c r="C367" t="s">
        <v>173</v>
      </c>
      <c r="D367" s="2">
        <v>45771</v>
      </c>
      <c r="E367">
        <v>53850</v>
      </c>
      <c r="F367">
        <v>116</v>
      </c>
      <c r="G367" t="s">
        <v>126</v>
      </c>
      <c r="H367" t="s">
        <v>167</v>
      </c>
      <c r="I367" t="s">
        <v>45</v>
      </c>
      <c r="K367">
        <v>202504237921281</v>
      </c>
      <c r="L367">
        <v>2343300010453</v>
      </c>
      <c r="M367">
        <v>20250423</v>
      </c>
      <c r="N367" t="s">
        <v>195</v>
      </c>
      <c r="Q367" t="s">
        <v>47</v>
      </c>
      <c r="R367">
        <v>192737.85</v>
      </c>
      <c r="S367">
        <v>192737.85</v>
      </c>
      <c r="T367">
        <v>4247777</v>
      </c>
      <c r="U367">
        <v>233470236</v>
      </c>
      <c r="V367" t="s">
        <v>206</v>
      </c>
      <c r="W367" t="s">
        <v>49</v>
      </c>
      <c r="X367" t="s">
        <v>117</v>
      </c>
      <c r="Y367" t="s">
        <v>51</v>
      </c>
      <c r="Z367">
        <v>1696</v>
      </c>
      <c r="AH367">
        <v>0</v>
      </c>
      <c r="AI367">
        <v>202504</v>
      </c>
      <c r="AJ367" t="s">
        <v>114</v>
      </c>
      <c r="AK367">
        <v>1</v>
      </c>
      <c r="AL367">
        <v>1</v>
      </c>
      <c r="AM367">
        <v>4247777</v>
      </c>
      <c r="AN367">
        <v>1</v>
      </c>
      <c r="AO367">
        <v>0</v>
      </c>
      <c r="AP367" t="s">
        <v>3029</v>
      </c>
      <c r="AQ367" t="s">
        <v>3012</v>
      </c>
      <c r="AR367" t="s">
        <v>3030</v>
      </c>
      <c r="AS367" t="s">
        <v>3014</v>
      </c>
      <c r="AU367" t="s">
        <v>3014</v>
      </c>
    </row>
    <row r="368" spans="1:47" x14ac:dyDescent="0.35">
      <c r="A368">
        <v>337497</v>
      </c>
      <c r="B368" t="s">
        <v>193</v>
      </c>
      <c r="C368" t="s">
        <v>194</v>
      </c>
      <c r="D368" s="2">
        <v>45771</v>
      </c>
      <c r="E368">
        <v>53850</v>
      </c>
      <c r="F368">
        <v>170</v>
      </c>
      <c r="G368" t="s">
        <v>211</v>
      </c>
      <c r="H368" t="s">
        <v>167</v>
      </c>
      <c r="I368" t="s">
        <v>45</v>
      </c>
      <c r="K368" t="s">
        <v>547</v>
      </c>
      <c r="L368">
        <v>1703300000472</v>
      </c>
      <c r="M368">
        <v>20250423</v>
      </c>
      <c r="N368" t="s">
        <v>195</v>
      </c>
      <c r="Q368" t="s">
        <v>47</v>
      </c>
      <c r="R368">
        <v>37370</v>
      </c>
      <c r="S368">
        <v>37370</v>
      </c>
      <c r="T368">
        <v>4846015</v>
      </c>
      <c r="U368">
        <v>7840200724</v>
      </c>
      <c r="V368" t="s">
        <v>548</v>
      </c>
      <c r="W368" t="s">
        <v>49</v>
      </c>
      <c r="X368" t="s">
        <v>55</v>
      </c>
      <c r="Y368" t="s">
        <v>51</v>
      </c>
      <c r="Z368">
        <v>1920</v>
      </c>
      <c r="AH368">
        <v>0</v>
      </c>
      <c r="AI368">
        <v>202504</v>
      </c>
      <c r="AJ368" t="s">
        <v>86</v>
      </c>
      <c r="AK368">
        <v>1</v>
      </c>
      <c r="AL368">
        <v>1</v>
      </c>
      <c r="AM368">
        <v>4846015</v>
      </c>
      <c r="AN368">
        <v>1</v>
      </c>
      <c r="AO368">
        <v>0</v>
      </c>
      <c r="AP368" t="s">
        <v>3015</v>
      </c>
      <c r="AQ368" t="s">
        <v>3012</v>
      </c>
      <c r="AR368" t="s">
        <v>3016</v>
      </c>
      <c r="AT368" t="s">
        <v>3017</v>
      </c>
      <c r="AU368" t="s">
        <v>3018</v>
      </c>
    </row>
    <row r="369" spans="1:47" x14ac:dyDescent="0.35">
      <c r="A369">
        <v>337496</v>
      </c>
      <c r="B369" t="s">
        <v>333</v>
      </c>
      <c r="C369" t="s">
        <v>334</v>
      </c>
      <c r="D369" s="2">
        <v>45771</v>
      </c>
      <c r="E369">
        <v>53850</v>
      </c>
      <c r="F369">
        <v>99</v>
      </c>
      <c r="G369" t="s">
        <v>335</v>
      </c>
      <c r="H369" t="s">
        <v>167</v>
      </c>
      <c r="I369" t="s">
        <v>45</v>
      </c>
      <c r="K369">
        <v>202504237921385</v>
      </c>
      <c r="M369">
        <v>20250423</v>
      </c>
      <c r="N369" t="s">
        <v>3136</v>
      </c>
      <c r="Q369" t="s">
        <v>170</v>
      </c>
      <c r="R369">
        <v>66486.850000000006</v>
      </c>
      <c r="S369">
        <v>0</v>
      </c>
      <c r="T369">
        <v>187762</v>
      </c>
      <c r="U369" t="s">
        <v>549</v>
      </c>
      <c r="V369" t="s">
        <v>550</v>
      </c>
      <c r="W369" t="s">
        <v>187</v>
      </c>
      <c r="Y369" t="s">
        <v>51</v>
      </c>
      <c r="Z369">
        <v>1648</v>
      </c>
      <c r="AH369">
        <v>0</v>
      </c>
      <c r="AI369">
        <v>202504</v>
      </c>
      <c r="AJ369" t="s">
        <v>86</v>
      </c>
      <c r="AK369">
        <v>1</v>
      </c>
      <c r="AL369">
        <v>0</v>
      </c>
      <c r="AO369">
        <v>1</v>
      </c>
      <c r="AP369" t="s">
        <v>3015</v>
      </c>
      <c r="AQ369" t="s">
        <v>3044</v>
      </c>
      <c r="AR369" t="s">
        <v>3045</v>
      </c>
      <c r="AS369" t="s">
        <v>3046</v>
      </c>
      <c r="AU369" t="s">
        <v>3046</v>
      </c>
    </row>
    <row r="370" spans="1:47" x14ac:dyDescent="0.35">
      <c r="A370">
        <v>337495</v>
      </c>
      <c r="B370" t="s">
        <v>178</v>
      </c>
      <c r="C370" t="s">
        <v>179</v>
      </c>
      <c r="D370" s="2">
        <v>45771</v>
      </c>
      <c r="E370">
        <v>53850</v>
      </c>
      <c r="F370">
        <v>136</v>
      </c>
      <c r="G370" t="s">
        <v>551</v>
      </c>
      <c r="H370" t="s">
        <v>167</v>
      </c>
      <c r="I370" t="s">
        <v>45</v>
      </c>
      <c r="K370">
        <v>202504237920559</v>
      </c>
      <c r="L370">
        <v>1363300003325</v>
      </c>
      <c r="M370">
        <v>20250423</v>
      </c>
      <c r="N370" t="s">
        <v>552</v>
      </c>
      <c r="Q370" t="s">
        <v>170</v>
      </c>
      <c r="R370">
        <v>2200000</v>
      </c>
      <c r="S370">
        <v>0</v>
      </c>
      <c r="T370">
        <v>4395683</v>
      </c>
      <c r="U370">
        <v>2036760037</v>
      </c>
      <c r="V370" t="s">
        <v>553</v>
      </c>
      <c r="W370" t="s">
        <v>49</v>
      </c>
      <c r="X370" t="s">
        <v>554</v>
      </c>
      <c r="Y370" t="s">
        <v>51</v>
      </c>
      <c r="Z370">
        <v>1627</v>
      </c>
      <c r="AH370">
        <v>0</v>
      </c>
      <c r="AI370">
        <v>202504</v>
      </c>
      <c r="AJ370" t="s">
        <v>56</v>
      </c>
      <c r="AK370">
        <v>0</v>
      </c>
      <c r="AL370">
        <v>1</v>
      </c>
      <c r="AO370">
        <v>0</v>
      </c>
      <c r="AP370" t="s">
        <v>3015</v>
      </c>
      <c r="AQ370" t="s">
        <v>3012</v>
      </c>
      <c r="AR370" t="s">
        <v>3016</v>
      </c>
      <c r="AT370" t="s">
        <v>3017</v>
      </c>
      <c r="AU370" t="s">
        <v>3018</v>
      </c>
    </row>
    <row r="371" spans="1:47" x14ac:dyDescent="0.35">
      <c r="A371">
        <v>337494</v>
      </c>
      <c r="B371" t="s">
        <v>172</v>
      </c>
      <c r="C371" t="s">
        <v>173</v>
      </c>
      <c r="D371" s="2">
        <v>45771</v>
      </c>
      <c r="E371">
        <v>53850</v>
      </c>
      <c r="F371">
        <v>171</v>
      </c>
      <c r="G371" t="s">
        <v>198</v>
      </c>
      <c r="H371" t="s">
        <v>167</v>
      </c>
      <c r="I371" t="s">
        <v>45</v>
      </c>
      <c r="K371" t="s">
        <v>547</v>
      </c>
      <c r="L371">
        <v>1713305728950</v>
      </c>
      <c r="M371">
        <v>20250423</v>
      </c>
      <c r="N371" t="s">
        <v>195</v>
      </c>
      <c r="Q371" t="s">
        <v>47</v>
      </c>
      <c r="R371">
        <v>205860</v>
      </c>
      <c r="S371">
        <v>205860</v>
      </c>
      <c r="T371">
        <v>572895</v>
      </c>
      <c r="U371">
        <v>4161600723</v>
      </c>
      <c r="V371" t="s">
        <v>199</v>
      </c>
      <c r="W371" t="s">
        <v>49</v>
      </c>
      <c r="X371" t="s">
        <v>200</v>
      </c>
      <c r="Y371" t="s">
        <v>51</v>
      </c>
      <c r="Z371">
        <v>1903</v>
      </c>
      <c r="AH371">
        <v>0</v>
      </c>
      <c r="AI371">
        <v>202504</v>
      </c>
      <c r="AJ371" t="s">
        <v>56</v>
      </c>
      <c r="AK371">
        <v>0</v>
      </c>
      <c r="AL371">
        <v>1</v>
      </c>
      <c r="AM371">
        <v>572895</v>
      </c>
      <c r="AN371">
        <v>1</v>
      </c>
      <c r="AO371">
        <v>0</v>
      </c>
      <c r="AP371" t="s">
        <v>3015</v>
      </c>
      <c r="AQ371" t="s">
        <v>3012</v>
      </c>
      <c r="AR371" t="s">
        <v>3016</v>
      </c>
      <c r="AT371" t="s">
        <v>3017</v>
      </c>
      <c r="AU371" t="s">
        <v>3018</v>
      </c>
    </row>
    <row r="372" spans="1:47" x14ac:dyDescent="0.35">
      <c r="A372">
        <v>337493</v>
      </c>
      <c r="B372" t="s">
        <v>193</v>
      </c>
      <c r="C372" t="s">
        <v>194</v>
      </c>
      <c r="D372" s="2">
        <v>45771</v>
      </c>
      <c r="E372">
        <v>53850</v>
      </c>
      <c r="F372">
        <v>264</v>
      </c>
      <c r="G372" t="s">
        <v>71</v>
      </c>
      <c r="H372" t="s">
        <v>167</v>
      </c>
      <c r="I372" t="s">
        <v>45</v>
      </c>
      <c r="K372">
        <v>202504237921820</v>
      </c>
      <c r="L372">
        <v>2643300002172</v>
      </c>
      <c r="M372">
        <v>20250423</v>
      </c>
      <c r="N372" t="s">
        <v>266</v>
      </c>
      <c r="Q372" t="s">
        <v>47</v>
      </c>
      <c r="R372">
        <v>25000</v>
      </c>
      <c r="S372">
        <v>25000</v>
      </c>
      <c r="T372">
        <v>1695675</v>
      </c>
      <c r="U372" t="s">
        <v>555</v>
      </c>
      <c r="V372" t="s">
        <v>556</v>
      </c>
      <c r="W372" t="s">
        <v>69</v>
      </c>
      <c r="X372" t="s">
        <v>131</v>
      </c>
      <c r="Y372" t="s">
        <v>51</v>
      </c>
      <c r="Z372">
        <v>1851</v>
      </c>
      <c r="AH372">
        <v>0</v>
      </c>
      <c r="AI372">
        <v>202504</v>
      </c>
      <c r="AJ372" t="s">
        <v>56</v>
      </c>
      <c r="AK372">
        <v>0</v>
      </c>
      <c r="AL372">
        <v>1</v>
      </c>
      <c r="AM372">
        <v>1695675</v>
      </c>
      <c r="AN372">
        <v>1</v>
      </c>
      <c r="AO372">
        <v>0</v>
      </c>
      <c r="AP372" t="s">
        <v>3033</v>
      </c>
      <c r="AQ372" t="s">
        <v>3021</v>
      </c>
      <c r="AR372" t="s">
        <v>3054</v>
      </c>
      <c r="AS372" t="s">
        <v>3055</v>
      </c>
      <c r="AU372" t="s">
        <v>3055</v>
      </c>
    </row>
    <row r="373" spans="1:47" x14ac:dyDescent="0.35">
      <c r="A373">
        <v>337492</v>
      </c>
      <c r="B373" t="s">
        <v>193</v>
      </c>
      <c r="C373" t="s">
        <v>194</v>
      </c>
      <c r="D373" s="2">
        <v>45771</v>
      </c>
      <c r="E373">
        <v>53850</v>
      </c>
      <c r="F373">
        <v>284</v>
      </c>
      <c r="G373" t="s">
        <v>184</v>
      </c>
      <c r="H373" t="s">
        <v>167</v>
      </c>
      <c r="I373" t="s">
        <v>45</v>
      </c>
      <c r="K373" t="s">
        <v>547</v>
      </c>
      <c r="L373">
        <v>2843300001336</v>
      </c>
      <c r="M373">
        <v>20250423</v>
      </c>
      <c r="N373" t="s">
        <v>175</v>
      </c>
      <c r="Q373" t="s">
        <v>47</v>
      </c>
      <c r="R373">
        <v>55676.17</v>
      </c>
      <c r="S373">
        <v>51000</v>
      </c>
      <c r="T373">
        <v>1684901</v>
      </c>
      <c r="U373">
        <v>2403010693</v>
      </c>
      <c r="V373" t="s">
        <v>557</v>
      </c>
      <c r="W373" t="s">
        <v>49</v>
      </c>
      <c r="X373" t="s">
        <v>299</v>
      </c>
      <c r="Y373" t="s">
        <v>51</v>
      </c>
      <c r="Z373">
        <v>1767</v>
      </c>
      <c r="AH373">
        <v>0</v>
      </c>
      <c r="AI373">
        <v>202504</v>
      </c>
      <c r="AJ373" t="s">
        <v>56</v>
      </c>
      <c r="AK373">
        <v>0</v>
      </c>
      <c r="AL373">
        <v>1</v>
      </c>
      <c r="AO373">
        <v>1</v>
      </c>
      <c r="AP373" t="s">
        <v>3015</v>
      </c>
      <c r="AQ373" t="s">
        <v>3012</v>
      </c>
      <c r="AR373" t="s">
        <v>3016</v>
      </c>
      <c r="AT373" t="s">
        <v>3017</v>
      </c>
      <c r="AU373" t="s">
        <v>3018</v>
      </c>
    </row>
    <row r="374" spans="1:47" x14ac:dyDescent="0.35">
      <c r="A374">
        <v>337491</v>
      </c>
      <c r="B374" t="s">
        <v>172</v>
      </c>
      <c r="C374" t="s">
        <v>173</v>
      </c>
      <c r="D374" s="2">
        <v>45771</v>
      </c>
      <c r="E374">
        <v>53850</v>
      </c>
      <c r="F374">
        <v>108</v>
      </c>
      <c r="G374" t="s">
        <v>124</v>
      </c>
      <c r="H374" t="s">
        <v>167</v>
      </c>
      <c r="I374" t="s">
        <v>45</v>
      </c>
      <c r="K374" t="s">
        <v>547</v>
      </c>
      <c r="L374">
        <v>1083306291105</v>
      </c>
      <c r="M374">
        <v>20250423</v>
      </c>
      <c r="N374" t="s">
        <v>175</v>
      </c>
      <c r="Q374" t="s">
        <v>47</v>
      </c>
      <c r="R374">
        <v>134580.47</v>
      </c>
      <c r="S374">
        <v>118883.45</v>
      </c>
      <c r="T374">
        <v>4227057</v>
      </c>
      <c r="U374">
        <v>4874620729</v>
      </c>
      <c r="V374" t="s">
        <v>250</v>
      </c>
      <c r="W374" t="s">
        <v>49</v>
      </c>
      <c r="X374" t="s">
        <v>62</v>
      </c>
      <c r="Y374" t="s">
        <v>51</v>
      </c>
      <c r="Z374">
        <v>1058</v>
      </c>
      <c r="AH374">
        <v>0</v>
      </c>
      <c r="AI374">
        <v>202504</v>
      </c>
      <c r="AJ374" t="s">
        <v>56</v>
      </c>
      <c r="AK374">
        <v>0</v>
      </c>
      <c r="AL374">
        <v>1</v>
      </c>
      <c r="AM374">
        <v>4227057</v>
      </c>
      <c r="AN374">
        <v>1</v>
      </c>
      <c r="AO374">
        <v>1</v>
      </c>
      <c r="AP374" t="s">
        <v>3015</v>
      </c>
      <c r="AQ374" t="s">
        <v>3012</v>
      </c>
      <c r="AR374" t="s">
        <v>3016</v>
      </c>
      <c r="AT374" t="s">
        <v>3017</v>
      </c>
      <c r="AU374" t="s">
        <v>3018</v>
      </c>
    </row>
    <row r="375" spans="1:47" x14ac:dyDescent="0.35">
      <c r="A375">
        <v>337490</v>
      </c>
      <c r="B375" t="s">
        <v>178</v>
      </c>
      <c r="C375" t="s">
        <v>179</v>
      </c>
      <c r="D375" s="2">
        <v>45771</v>
      </c>
      <c r="E375">
        <v>53850</v>
      </c>
      <c r="F375">
        <v>132</v>
      </c>
      <c r="G375" t="s">
        <v>92</v>
      </c>
      <c r="H375" t="s">
        <v>167</v>
      </c>
      <c r="I375" t="s">
        <v>45</v>
      </c>
      <c r="K375" t="s">
        <v>558</v>
      </c>
      <c r="L375">
        <v>1323300003316</v>
      </c>
      <c r="M375">
        <v>20250423</v>
      </c>
      <c r="N375" t="s">
        <v>3136</v>
      </c>
      <c r="Q375" t="s">
        <v>170</v>
      </c>
      <c r="R375">
        <v>2713.36</v>
      </c>
      <c r="S375">
        <v>0</v>
      </c>
      <c r="T375">
        <v>4974520</v>
      </c>
      <c r="U375" t="s">
        <v>559</v>
      </c>
      <c r="V375" t="s">
        <v>560</v>
      </c>
      <c r="W375" t="s">
        <v>187</v>
      </c>
      <c r="Y375" t="s">
        <v>51</v>
      </c>
      <c r="Z375">
        <v>1628</v>
      </c>
      <c r="AH375">
        <v>0</v>
      </c>
      <c r="AI375">
        <v>202504</v>
      </c>
      <c r="AJ375" t="s">
        <v>86</v>
      </c>
      <c r="AK375">
        <v>1</v>
      </c>
      <c r="AL375">
        <v>1</v>
      </c>
      <c r="AO375">
        <v>1</v>
      </c>
      <c r="AP375" t="s">
        <v>3015</v>
      </c>
      <c r="AQ375" t="s">
        <v>3044</v>
      </c>
      <c r="AR375" t="s">
        <v>3045</v>
      </c>
      <c r="AS375" t="s">
        <v>3046</v>
      </c>
      <c r="AU375" t="s">
        <v>3046</v>
      </c>
    </row>
    <row r="376" spans="1:47" x14ac:dyDescent="0.35">
      <c r="A376">
        <v>337489</v>
      </c>
      <c r="B376" t="s">
        <v>193</v>
      </c>
      <c r="C376" t="s">
        <v>194</v>
      </c>
      <c r="D376" s="2">
        <v>45771</v>
      </c>
      <c r="E376">
        <v>53850</v>
      </c>
      <c r="F376">
        <v>189</v>
      </c>
      <c r="G376" t="s">
        <v>286</v>
      </c>
      <c r="H376" t="s">
        <v>167</v>
      </c>
      <c r="I376" t="s">
        <v>45</v>
      </c>
      <c r="K376">
        <v>202504237921758</v>
      </c>
      <c r="L376">
        <v>1893300023546</v>
      </c>
      <c r="M376">
        <v>20250423</v>
      </c>
      <c r="N376" t="s">
        <v>266</v>
      </c>
      <c r="Q376" t="s">
        <v>47</v>
      </c>
      <c r="R376">
        <v>52440</v>
      </c>
      <c r="S376">
        <v>52440</v>
      </c>
      <c r="T376">
        <v>3064562</v>
      </c>
      <c r="U376" t="s">
        <v>287</v>
      </c>
      <c r="V376" t="s">
        <v>288</v>
      </c>
      <c r="W376" t="s">
        <v>69</v>
      </c>
      <c r="X376" t="s">
        <v>55</v>
      </c>
      <c r="Y376" t="s">
        <v>51</v>
      </c>
      <c r="Z376">
        <v>1620</v>
      </c>
      <c r="AH376">
        <v>0</v>
      </c>
      <c r="AI376">
        <v>202504</v>
      </c>
      <c r="AJ376" t="s">
        <v>56</v>
      </c>
      <c r="AK376">
        <v>0</v>
      </c>
      <c r="AL376">
        <v>1</v>
      </c>
      <c r="AM376">
        <v>3064562</v>
      </c>
      <c r="AN376">
        <v>1</v>
      </c>
      <c r="AO376">
        <v>0</v>
      </c>
      <c r="AP376" t="s">
        <v>3015</v>
      </c>
      <c r="AQ376" t="s">
        <v>3021</v>
      </c>
      <c r="AR376" t="s">
        <v>3022</v>
      </c>
      <c r="AT376" t="s">
        <v>3017</v>
      </c>
      <c r="AU376" t="s">
        <v>3014</v>
      </c>
    </row>
    <row r="377" spans="1:47" x14ac:dyDescent="0.35">
      <c r="A377">
        <v>337488</v>
      </c>
      <c r="B377" t="s">
        <v>214</v>
      </c>
      <c r="C377" t="s">
        <v>215</v>
      </c>
      <c r="D377" s="2">
        <v>45771</v>
      </c>
      <c r="E377">
        <v>53850</v>
      </c>
      <c r="F377">
        <v>261</v>
      </c>
      <c r="G377" t="s">
        <v>136</v>
      </c>
      <c r="H377" t="s">
        <v>167</v>
      </c>
      <c r="I377" t="s">
        <v>45</v>
      </c>
      <c r="K377">
        <v>202504237920255</v>
      </c>
      <c r="L377">
        <v>2613300000045</v>
      </c>
      <c r="M377">
        <v>20250423</v>
      </c>
      <c r="N377" t="s">
        <v>168</v>
      </c>
      <c r="P377" t="s">
        <v>217</v>
      </c>
      <c r="Q377" t="s">
        <v>47</v>
      </c>
      <c r="R377">
        <v>40000</v>
      </c>
      <c r="S377">
        <v>0</v>
      </c>
      <c r="T377">
        <v>1600482</v>
      </c>
      <c r="U377" t="s">
        <v>561</v>
      </c>
      <c r="V377" t="s">
        <v>562</v>
      </c>
      <c r="W377" t="s">
        <v>187</v>
      </c>
      <c r="Y377" t="s">
        <v>51</v>
      </c>
      <c r="Z377">
        <v>1886</v>
      </c>
      <c r="AH377">
        <v>0</v>
      </c>
      <c r="AI377">
        <v>202504</v>
      </c>
      <c r="AJ377" t="s">
        <v>56</v>
      </c>
      <c r="AK377">
        <v>0</v>
      </c>
      <c r="AL377">
        <v>1</v>
      </c>
      <c r="AO377">
        <v>0</v>
      </c>
      <c r="AP377" t="s">
        <v>3015</v>
      </c>
      <c r="AQ377" t="s">
        <v>3044</v>
      </c>
      <c r="AR377" t="s">
        <v>3045</v>
      </c>
      <c r="AS377" t="s">
        <v>3046</v>
      </c>
      <c r="AU377" t="s">
        <v>3046</v>
      </c>
    </row>
    <row r="378" spans="1:47" x14ac:dyDescent="0.35">
      <c r="A378">
        <v>337487</v>
      </c>
      <c r="B378" t="s">
        <v>193</v>
      </c>
      <c r="C378" t="s">
        <v>194</v>
      </c>
      <c r="D378" s="2">
        <v>45771</v>
      </c>
      <c r="E378">
        <v>53850</v>
      </c>
      <c r="F378">
        <v>171</v>
      </c>
      <c r="G378" t="s">
        <v>198</v>
      </c>
      <c r="H378" t="s">
        <v>167</v>
      </c>
      <c r="I378" t="s">
        <v>45</v>
      </c>
      <c r="K378" t="s">
        <v>547</v>
      </c>
      <c r="L378">
        <v>1713305728950</v>
      </c>
      <c r="M378">
        <v>20250423</v>
      </c>
      <c r="N378" t="s">
        <v>195</v>
      </c>
      <c r="Q378" t="s">
        <v>47</v>
      </c>
      <c r="R378">
        <v>205860</v>
      </c>
      <c r="S378">
        <v>205860</v>
      </c>
      <c r="T378">
        <v>572895</v>
      </c>
      <c r="U378">
        <v>4161600723</v>
      </c>
      <c r="V378" t="s">
        <v>199</v>
      </c>
      <c r="W378" t="s">
        <v>49</v>
      </c>
      <c r="X378" t="s">
        <v>200</v>
      </c>
      <c r="Y378" t="s">
        <v>51</v>
      </c>
      <c r="Z378">
        <v>1903</v>
      </c>
      <c r="AH378">
        <v>0</v>
      </c>
      <c r="AI378">
        <v>202504</v>
      </c>
      <c r="AJ378" t="s">
        <v>56</v>
      </c>
      <c r="AK378">
        <v>0</v>
      </c>
      <c r="AL378">
        <v>1</v>
      </c>
      <c r="AM378">
        <v>572895</v>
      </c>
      <c r="AN378">
        <v>1</v>
      </c>
      <c r="AO378">
        <v>0</v>
      </c>
      <c r="AP378" t="s">
        <v>3015</v>
      </c>
      <c r="AQ378" t="s">
        <v>3012</v>
      </c>
      <c r="AR378" t="s">
        <v>3016</v>
      </c>
      <c r="AT378" t="s">
        <v>3017</v>
      </c>
      <c r="AU378" t="s">
        <v>3018</v>
      </c>
    </row>
    <row r="379" spans="1:47" x14ac:dyDescent="0.35">
      <c r="A379">
        <v>337486</v>
      </c>
      <c r="B379" t="s">
        <v>172</v>
      </c>
      <c r="C379" t="s">
        <v>173</v>
      </c>
      <c r="D379" s="2">
        <v>45771</v>
      </c>
      <c r="E379">
        <v>53850</v>
      </c>
      <c r="F379">
        <v>108</v>
      </c>
      <c r="G379" t="s">
        <v>124</v>
      </c>
      <c r="H379" t="s">
        <v>167</v>
      </c>
      <c r="I379" t="s">
        <v>45</v>
      </c>
      <c r="K379" t="s">
        <v>547</v>
      </c>
      <c r="L379">
        <v>1083300011180</v>
      </c>
      <c r="M379">
        <v>20250423</v>
      </c>
      <c r="N379" t="s">
        <v>175</v>
      </c>
      <c r="Q379" t="s">
        <v>47</v>
      </c>
      <c r="R379">
        <v>108046.93</v>
      </c>
      <c r="S379">
        <v>1050</v>
      </c>
      <c r="T379">
        <v>1118</v>
      </c>
      <c r="U379">
        <v>3246700722</v>
      </c>
      <c r="V379" t="s">
        <v>125</v>
      </c>
      <c r="W379" t="s">
        <v>49</v>
      </c>
      <c r="X379" t="s">
        <v>96</v>
      </c>
      <c r="Y379" t="s">
        <v>51</v>
      </c>
      <c r="Z379">
        <v>1058</v>
      </c>
      <c r="AH379">
        <v>0</v>
      </c>
      <c r="AI379">
        <v>202504</v>
      </c>
      <c r="AJ379" t="s">
        <v>52</v>
      </c>
      <c r="AK379">
        <v>0</v>
      </c>
      <c r="AL379">
        <v>1</v>
      </c>
      <c r="AO379">
        <v>1</v>
      </c>
      <c r="AP379" t="s">
        <v>3015</v>
      </c>
      <c r="AQ379" t="s">
        <v>3012</v>
      </c>
      <c r="AR379" t="s">
        <v>3016</v>
      </c>
      <c r="AT379" t="s">
        <v>3017</v>
      </c>
      <c r="AU379" t="s">
        <v>3018</v>
      </c>
    </row>
    <row r="380" spans="1:47" x14ac:dyDescent="0.35">
      <c r="A380">
        <v>337485</v>
      </c>
      <c r="B380" t="s">
        <v>178</v>
      </c>
      <c r="C380" t="s">
        <v>179</v>
      </c>
      <c r="D380" s="2">
        <v>45771</v>
      </c>
      <c r="E380">
        <v>53850</v>
      </c>
      <c r="F380">
        <v>145</v>
      </c>
      <c r="G380" t="s">
        <v>115</v>
      </c>
      <c r="H380" t="s">
        <v>167</v>
      </c>
      <c r="I380" t="s">
        <v>45</v>
      </c>
      <c r="K380">
        <v>202504237920083</v>
      </c>
      <c r="L380">
        <v>1453300002438</v>
      </c>
      <c r="M380">
        <v>20250423</v>
      </c>
      <c r="N380" t="s">
        <v>46</v>
      </c>
      <c r="P380" t="s">
        <v>51</v>
      </c>
      <c r="Q380" t="s">
        <v>47</v>
      </c>
      <c r="R380">
        <v>758642.93</v>
      </c>
      <c r="S380">
        <v>0</v>
      </c>
      <c r="T380">
        <v>4700611</v>
      </c>
      <c r="U380">
        <v>2837290614</v>
      </c>
      <c r="V380" t="s">
        <v>539</v>
      </c>
      <c r="W380" t="s">
        <v>49</v>
      </c>
      <c r="X380" t="s">
        <v>540</v>
      </c>
      <c r="Y380" t="s">
        <v>51</v>
      </c>
      <c r="Z380">
        <v>1256</v>
      </c>
      <c r="AH380">
        <v>0</v>
      </c>
      <c r="AI380">
        <v>202504</v>
      </c>
      <c r="AJ380" t="s">
        <v>56</v>
      </c>
      <c r="AK380">
        <v>0</v>
      </c>
      <c r="AL380">
        <v>1</v>
      </c>
      <c r="AO380">
        <v>0</v>
      </c>
      <c r="AP380" t="s">
        <v>3074</v>
      </c>
      <c r="AQ380" t="s">
        <v>3012</v>
      </c>
      <c r="AR380" t="s">
        <v>3075</v>
      </c>
      <c r="AS380" t="s">
        <v>3014</v>
      </c>
      <c r="AU380" t="s">
        <v>3014</v>
      </c>
    </row>
    <row r="381" spans="1:47" x14ac:dyDescent="0.35">
      <c r="A381">
        <v>337484</v>
      </c>
      <c r="B381" t="s">
        <v>172</v>
      </c>
      <c r="C381" t="s">
        <v>173</v>
      </c>
      <c r="D381" s="2">
        <v>45771</v>
      </c>
      <c r="E381">
        <v>53850</v>
      </c>
      <c r="F381">
        <v>268</v>
      </c>
      <c r="G381" t="s">
        <v>83</v>
      </c>
      <c r="H381" t="s">
        <v>167</v>
      </c>
      <c r="I381" t="s">
        <v>45</v>
      </c>
      <c r="K381">
        <v>202504237921843</v>
      </c>
      <c r="L381">
        <v>2683300010911</v>
      </c>
      <c r="M381">
        <v>20250423</v>
      </c>
      <c r="N381" t="s">
        <v>81</v>
      </c>
      <c r="Q381" t="s">
        <v>47</v>
      </c>
      <c r="R381">
        <v>150500</v>
      </c>
      <c r="S381">
        <v>0</v>
      </c>
      <c r="T381">
        <v>3743523</v>
      </c>
      <c r="U381" t="s">
        <v>563</v>
      </c>
      <c r="V381" t="s">
        <v>564</v>
      </c>
      <c r="W381" t="s">
        <v>187</v>
      </c>
      <c r="Y381" t="s">
        <v>51</v>
      </c>
      <c r="Z381">
        <v>1757</v>
      </c>
      <c r="AH381">
        <v>0</v>
      </c>
      <c r="AI381">
        <v>202504</v>
      </c>
      <c r="AJ381" t="s">
        <v>86</v>
      </c>
      <c r="AK381">
        <v>1</v>
      </c>
      <c r="AL381">
        <v>1</v>
      </c>
      <c r="AO381">
        <v>0</v>
      </c>
      <c r="AP381" t="s">
        <v>3015</v>
      </c>
      <c r="AQ381" t="s">
        <v>3044</v>
      </c>
      <c r="AR381" t="s">
        <v>3045</v>
      </c>
      <c r="AS381" t="s">
        <v>3046</v>
      </c>
      <c r="AU381" t="s">
        <v>3046</v>
      </c>
    </row>
    <row r="382" spans="1:47" x14ac:dyDescent="0.35">
      <c r="A382">
        <v>337483</v>
      </c>
      <c r="B382" t="s">
        <v>193</v>
      </c>
      <c r="C382" t="s">
        <v>194</v>
      </c>
      <c r="D382" s="2">
        <v>45771</v>
      </c>
      <c r="E382">
        <v>53850</v>
      </c>
      <c r="F382">
        <v>268</v>
      </c>
      <c r="G382" t="s">
        <v>83</v>
      </c>
      <c r="H382" t="s">
        <v>167</v>
      </c>
      <c r="I382" t="s">
        <v>45</v>
      </c>
      <c r="K382" t="s">
        <v>547</v>
      </c>
      <c r="L382">
        <v>2683300006744</v>
      </c>
      <c r="M382">
        <v>20250423</v>
      </c>
      <c r="N382" t="s">
        <v>195</v>
      </c>
      <c r="Q382" t="s">
        <v>47</v>
      </c>
      <c r="R382">
        <v>25090</v>
      </c>
      <c r="S382">
        <v>25090</v>
      </c>
      <c r="T382">
        <v>1705200</v>
      </c>
      <c r="U382" t="s">
        <v>565</v>
      </c>
      <c r="V382" t="s">
        <v>566</v>
      </c>
      <c r="W382" t="s">
        <v>69</v>
      </c>
      <c r="X382" t="s">
        <v>131</v>
      </c>
      <c r="Y382" t="s">
        <v>51</v>
      </c>
      <c r="Z382">
        <v>1757</v>
      </c>
      <c r="AH382">
        <v>0</v>
      </c>
      <c r="AI382">
        <v>202504</v>
      </c>
      <c r="AJ382" t="s">
        <v>56</v>
      </c>
      <c r="AK382">
        <v>0</v>
      </c>
      <c r="AL382">
        <v>1</v>
      </c>
      <c r="AM382">
        <v>1705200</v>
      </c>
      <c r="AN382">
        <v>1</v>
      </c>
      <c r="AO382">
        <v>0</v>
      </c>
      <c r="AP382" t="s">
        <v>3033</v>
      </c>
      <c r="AQ382" t="s">
        <v>3021</v>
      </c>
      <c r="AR382" t="s">
        <v>3054</v>
      </c>
      <c r="AS382" t="s">
        <v>3055</v>
      </c>
      <c r="AU382" t="s">
        <v>3055</v>
      </c>
    </row>
    <row r="383" spans="1:47" x14ac:dyDescent="0.35">
      <c r="A383">
        <v>337482</v>
      </c>
      <c r="B383" t="s">
        <v>172</v>
      </c>
      <c r="C383" t="s">
        <v>173</v>
      </c>
      <c r="D383" s="2">
        <v>45771</v>
      </c>
      <c r="E383">
        <v>53850</v>
      </c>
      <c r="F383">
        <v>196</v>
      </c>
      <c r="G383" t="s">
        <v>567</v>
      </c>
      <c r="H383" t="s">
        <v>167</v>
      </c>
      <c r="I383" t="s">
        <v>45</v>
      </c>
      <c r="K383">
        <v>202504237921785</v>
      </c>
      <c r="L383">
        <v>1963302350399</v>
      </c>
      <c r="M383">
        <v>20250423</v>
      </c>
      <c r="N383" t="s">
        <v>81</v>
      </c>
      <c r="Q383" t="s">
        <v>47</v>
      </c>
      <c r="R383">
        <v>137474.39000000001</v>
      </c>
      <c r="S383">
        <v>0</v>
      </c>
      <c r="T383">
        <v>4054312</v>
      </c>
      <c r="U383" t="s">
        <v>568</v>
      </c>
      <c r="V383" t="s">
        <v>569</v>
      </c>
      <c r="W383" t="s">
        <v>69</v>
      </c>
      <c r="X383" t="s">
        <v>234</v>
      </c>
      <c r="Y383" t="s">
        <v>51</v>
      </c>
      <c r="Z383">
        <v>1911</v>
      </c>
      <c r="AH383">
        <v>0</v>
      </c>
      <c r="AI383">
        <v>202504</v>
      </c>
      <c r="AJ383" t="s">
        <v>56</v>
      </c>
      <c r="AK383">
        <v>0</v>
      </c>
      <c r="AL383">
        <v>1</v>
      </c>
      <c r="AO383">
        <v>0</v>
      </c>
      <c r="AP383" t="s">
        <v>3015</v>
      </c>
      <c r="AQ383" t="s">
        <v>3021</v>
      </c>
      <c r="AR383" t="s">
        <v>3022</v>
      </c>
      <c r="AT383" t="s">
        <v>3017</v>
      </c>
      <c r="AU383" t="s">
        <v>3014</v>
      </c>
    </row>
    <row r="384" spans="1:47" x14ac:dyDescent="0.35">
      <c r="A384">
        <v>337481</v>
      </c>
      <c r="B384" t="s">
        <v>172</v>
      </c>
      <c r="C384" t="s">
        <v>173</v>
      </c>
      <c r="D384" s="2">
        <v>45771</v>
      </c>
      <c r="E384">
        <v>53850</v>
      </c>
      <c r="F384">
        <v>121</v>
      </c>
      <c r="G384" t="s">
        <v>140</v>
      </c>
      <c r="H384" t="s">
        <v>167</v>
      </c>
      <c r="I384" t="s">
        <v>45</v>
      </c>
      <c r="K384" t="s">
        <v>547</v>
      </c>
      <c r="L384">
        <v>1213300002600</v>
      </c>
      <c r="M384">
        <v>20250423</v>
      </c>
      <c r="N384" t="s">
        <v>175</v>
      </c>
      <c r="Q384" t="s">
        <v>47</v>
      </c>
      <c r="R384">
        <v>641011.26</v>
      </c>
      <c r="S384">
        <v>0</v>
      </c>
      <c r="T384">
        <v>4939345</v>
      </c>
      <c r="U384">
        <v>5754810728</v>
      </c>
      <c r="V384" t="s">
        <v>570</v>
      </c>
      <c r="W384" t="s">
        <v>49</v>
      </c>
      <c r="X384" t="s">
        <v>117</v>
      </c>
      <c r="Y384" t="s">
        <v>51</v>
      </c>
      <c r="Z384">
        <v>1058</v>
      </c>
      <c r="AH384">
        <v>0</v>
      </c>
      <c r="AI384">
        <v>202504</v>
      </c>
      <c r="AJ384" t="s">
        <v>114</v>
      </c>
      <c r="AK384">
        <v>1</v>
      </c>
      <c r="AL384">
        <v>1</v>
      </c>
      <c r="AO384">
        <v>1</v>
      </c>
      <c r="AP384" t="s">
        <v>3029</v>
      </c>
      <c r="AQ384" t="s">
        <v>3012</v>
      </c>
      <c r="AR384" t="s">
        <v>3030</v>
      </c>
      <c r="AS384" t="s">
        <v>3014</v>
      </c>
      <c r="AU384" t="s">
        <v>3014</v>
      </c>
    </row>
    <row r="385" spans="1:47" x14ac:dyDescent="0.35">
      <c r="A385">
        <v>337480</v>
      </c>
      <c r="B385" t="s">
        <v>164</v>
      </c>
      <c r="C385" t="s">
        <v>165</v>
      </c>
      <c r="D385" s="2">
        <v>45771</v>
      </c>
      <c r="E385">
        <v>53850</v>
      </c>
      <c r="F385">
        <v>128</v>
      </c>
      <c r="G385" t="s">
        <v>94</v>
      </c>
      <c r="H385" t="s">
        <v>167</v>
      </c>
      <c r="I385" t="s">
        <v>45</v>
      </c>
      <c r="K385">
        <v>202504237920557</v>
      </c>
      <c r="L385">
        <v>1283300002423</v>
      </c>
      <c r="M385">
        <v>20250423</v>
      </c>
      <c r="N385" t="s">
        <v>168</v>
      </c>
      <c r="P385" t="s">
        <v>435</v>
      </c>
      <c r="Q385" t="s">
        <v>47</v>
      </c>
      <c r="R385">
        <v>12310.16</v>
      </c>
      <c r="S385">
        <v>0</v>
      </c>
      <c r="T385">
        <v>4582488</v>
      </c>
      <c r="U385" t="s">
        <v>571</v>
      </c>
      <c r="V385" t="s">
        <v>572</v>
      </c>
      <c r="W385" t="s">
        <v>187</v>
      </c>
      <c r="Y385" t="s">
        <v>51</v>
      </c>
      <c r="Z385">
        <v>726</v>
      </c>
      <c r="AH385">
        <v>0</v>
      </c>
      <c r="AI385">
        <v>202504</v>
      </c>
      <c r="AJ385" t="s">
        <v>114</v>
      </c>
      <c r="AK385">
        <v>1</v>
      </c>
      <c r="AL385">
        <v>1</v>
      </c>
      <c r="AO385">
        <v>0</v>
      </c>
      <c r="AP385" t="s">
        <v>3015</v>
      </c>
      <c r="AQ385" t="s">
        <v>3044</v>
      </c>
      <c r="AR385" t="s">
        <v>3045</v>
      </c>
      <c r="AS385" t="s">
        <v>3046</v>
      </c>
      <c r="AU385" t="s">
        <v>3046</v>
      </c>
    </row>
    <row r="386" spans="1:47" x14ac:dyDescent="0.35">
      <c r="A386">
        <v>337479</v>
      </c>
      <c r="B386" t="s">
        <v>178</v>
      </c>
      <c r="C386" t="s">
        <v>179</v>
      </c>
      <c r="D386" s="2">
        <v>45771</v>
      </c>
      <c r="E386">
        <v>53850</v>
      </c>
      <c r="F386">
        <v>102</v>
      </c>
      <c r="G386" t="s">
        <v>151</v>
      </c>
      <c r="H386" t="s">
        <v>167</v>
      </c>
      <c r="I386" t="s">
        <v>45</v>
      </c>
      <c r="K386">
        <v>202504237921384</v>
      </c>
      <c r="L386">
        <v>1023308726498</v>
      </c>
      <c r="M386">
        <v>20250423</v>
      </c>
      <c r="N386" t="s">
        <v>3136</v>
      </c>
      <c r="Q386" t="s">
        <v>170</v>
      </c>
      <c r="R386">
        <v>66486.850000000006</v>
      </c>
      <c r="S386">
        <v>0</v>
      </c>
      <c r="T386">
        <v>187762</v>
      </c>
      <c r="U386" t="s">
        <v>549</v>
      </c>
      <c r="V386" t="s">
        <v>550</v>
      </c>
      <c r="W386" t="s">
        <v>187</v>
      </c>
      <c r="Y386" t="s">
        <v>51</v>
      </c>
      <c r="Z386">
        <v>1648</v>
      </c>
      <c r="AH386">
        <v>0</v>
      </c>
      <c r="AI386">
        <v>202504</v>
      </c>
      <c r="AJ386" t="s">
        <v>86</v>
      </c>
      <c r="AK386">
        <v>1</v>
      </c>
      <c r="AL386">
        <v>1</v>
      </c>
      <c r="AO386">
        <v>1</v>
      </c>
      <c r="AP386" t="s">
        <v>3015</v>
      </c>
      <c r="AQ386" t="s">
        <v>3044</v>
      </c>
      <c r="AR386" t="s">
        <v>3045</v>
      </c>
      <c r="AS386" t="s">
        <v>3046</v>
      </c>
      <c r="AU386" t="s">
        <v>3046</v>
      </c>
    </row>
    <row r="387" spans="1:47" x14ac:dyDescent="0.35">
      <c r="A387">
        <v>337478</v>
      </c>
      <c r="B387" t="s">
        <v>193</v>
      </c>
      <c r="C387" t="s">
        <v>194</v>
      </c>
      <c r="D387" s="2">
        <v>45771</v>
      </c>
      <c r="E387">
        <v>53850</v>
      </c>
      <c r="F387">
        <v>171</v>
      </c>
      <c r="G387" t="s">
        <v>198</v>
      </c>
      <c r="H387" t="s">
        <v>167</v>
      </c>
      <c r="I387" t="s">
        <v>45</v>
      </c>
      <c r="K387" t="s">
        <v>547</v>
      </c>
      <c r="L387">
        <v>1713302214147</v>
      </c>
      <c r="M387">
        <v>20250423</v>
      </c>
      <c r="N387" t="s">
        <v>195</v>
      </c>
      <c r="Q387" t="s">
        <v>47</v>
      </c>
      <c r="R387">
        <v>39245</v>
      </c>
      <c r="S387">
        <v>39245</v>
      </c>
      <c r="T387">
        <v>4199319</v>
      </c>
      <c r="U387">
        <v>6037810725</v>
      </c>
      <c r="V387" t="s">
        <v>285</v>
      </c>
      <c r="W387" t="s">
        <v>49</v>
      </c>
      <c r="X387" t="s">
        <v>200</v>
      </c>
      <c r="Y387" t="s">
        <v>51</v>
      </c>
      <c r="Z387">
        <v>1903</v>
      </c>
      <c r="AH387">
        <v>0</v>
      </c>
      <c r="AI387">
        <v>202504</v>
      </c>
      <c r="AJ387" t="s">
        <v>56</v>
      </c>
      <c r="AK387">
        <v>0</v>
      </c>
      <c r="AL387">
        <v>1</v>
      </c>
      <c r="AM387">
        <v>4199319</v>
      </c>
      <c r="AN387">
        <v>1</v>
      </c>
      <c r="AO387">
        <v>0</v>
      </c>
      <c r="AP387" t="s">
        <v>3015</v>
      </c>
      <c r="AQ387" t="s">
        <v>3012</v>
      </c>
      <c r="AR387" t="s">
        <v>3016</v>
      </c>
      <c r="AT387" t="s">
        <v>3017</v>
      </c>
      <c r="AU387" t="s">
        <v>3018</v>
      </c>
    </row>
    <row r="388" spans="1:47" x14ac:dyDescent="0.35">
      <c r="A388">
        <v>337477</v>
      </c>
      <c r="B388" t="s">
        <v>178</v>
      </c>
      <c r="C388" t="s">
        <v>179</v>
      </c>
      <c r="D388" s="2">
        <v>45771</v>
      </c>
      <c r="E388">
        <v>53850</v>
      </c>
      <c r="F388">
        <v>105</v>
      </c>
      <c r="G388" t="s">
        <v>60</v>
      </c>
      <c r="H388" t="s">
        <v>167</v>
      </c>
      <c r="I388" t="s">
        <v>45</v>
      </c>
      <c r="K388">
        <v>202504237920443</v>
      </c>
      <c r="L388">
        <v>1053306287103</v>
      </c>
      <c r="M388">
        <v>20250423</v>
      </c>
      <c r="N388" t="s">
        <v>46</v>
      </c>
      <c r="P388" t="s">
        <v>51</v>
      </c>
      <c r="Q388" t="s">
        <v>47</v>
      </c>
      <c r="R388">
        <v>1572927.57</v>
      </c>
      <c r="S388">
        <v>0</v>
      </c>
      <c r="T388">
        <v>4263360</v>
      </c>
      <c r="U388">
        <v>5982300724</v>
      </c>
      <c r="V388" t="s">
        <v>61</v>
      </c>
      <c r="W388" t="s">
        <v>49</v>
      </c>
      <c r="X388" t="s">
        <v>62</v>
      </c>
      <c r="Y388" t="s">
        <v>51</v>
      </c>
      <c r="Z388">
        <v>1058</v>
      </c>
      <c r="AH388">
        <v>0</v>
      </c>
      <c r="AI388">
        <v>202504</v>
      </c>
      <c r="AJ388" t="s">
        <v>56</v>
      </c>
      <c r="AK388">
        <v>0</v>
      </c>
      <c r="AL388">
        <v>1</v>
      </c>
      <c r="AO388">
        <v>0</v>
      </c>
      <c r="AP388" t="s">
        <v>3015</v>
      </c>
      <c r="AQ388" t="s">
        <v>3012</v>
      </c>
      <c r="AR388" t="s">
        <v>3016</v>
      </c>
      <c r="AT388" t="s">
        <v>3017</v>
      </c>
      <c r="AU388" t="s">
        <v>3018</v>
      </c>
    </row>
    <row r="389" spans="1:47" x14ac:dyDescent="0.35">
      <c r="A389">
        <v>337476</v>
      </c>
      <c r="B389" t="s">
        <v>164</v>
      </c>
      <c r="C389" t="s">
        <v>165</v>
      </c>
      <c r="D389" s="2">
        <v>45771</v>
      </c>
      <c r="E389">
        <v>53850</v>
      </c>
      <c r="F389">
        <v>109</v>
      </c>
      <c r="G389" t="s">
        <v>89</v>
      </c>
      <c r="H389" t="s">
        <v>167</v>
      </c>
      <c r="I389" t="s">
        <v>45</v>
      </c>
      <c r="K389" t="s">
        <v>573</v>
      </c>
      <c r="L389">
        <v>1093306673192</v>
      </c>
      <c r="M389">
        <v>20250423</v>
      </c>
      <c r="N389" t="s">
        <v>168</v>
      </c>
      <c r="P389" t="s">
        <v>255</v>
      </c>
      <c r="Q389" t="s">
        <v>47</v>
      </c>
      <c r="R389">
        <v>1555.03</v>
      </c>
      <c r="S389">
        <v>0</v>
      </c>
      <c r="T389">
        <v>4184352</v>
      </c>
      <c r="U389" t="s">
        <v>574</v>
      </c>
      <c r="V389" t="s">
        <v>575</v>
      </c>
      <c r="W389" t="s">
        <v>69</v>
      </c>
      <c r="X389" t="s">
        <v>70</v>
      </c>
      <c r="Y389" t="s">
        <v>51</v>
      </c>
      <c r="Z389">
        <v>1107</v>
      </c>
      <c r="AH389">
        <v>0</v>
      </c>
      <c r="AI389">
        <v>202504</v>
      </c>
      <c r="AJ389" t="s">
        <v>86</v>
      </c>
      <c r="AK389">
        <v>1</v>
      </c>
      <c r="AL389">
        <v>1</v>
      </c>
      <c r="AO389">
        <v>0</v>
      </c>
      <c r="AP389" t="s">
        <v>3015</v>
      </c>
      <c r="AQ389" t="s">
        <v>3021</v>
      </c>
      <c r="AR389" t="s">
        <v>3022</v>
      </c>
      <c r="AT389" t="s">
        <v>3017</v>
      </c>
      <c r="AU389" t="s">
        <v>3014</v>
      </c>
    </row>
    <row r="390" spans="1:47" x14ac:dyDescent="0.35">
      <c r="A390">
        <v>337475</v>
      </c>
      <c r="B390" t="s">
        <v>178</v>
      </c>
      <c r="C390" t="s">
        <v>179</v>
      </c>
      <c r="D390" s="2">
        <v>45771</v>
      </c>
      <c r="E390">
        <v>53850</v>
      </c>
      <c r="F390">
        <v>187</v>
      </c>
      <c r="G390" t="s">
        <v>251</v>
      </c>
      <c r="H390" t="s">
        <v>167</v>
      </c>
      <c r="I390" t="s">
        <v>45</v>
      </c>
      <c r="K390">
        <v>202504237919231</v>
      </c>
      <c r="L390">
        <v>999361870311</v>
      </c>
      <c r="M390">
        <v>20250423</v>
      </c>
      <c r="N390" t="s">
        <v>310</v>
      </c>
      <c r="Q390" t="s">
        <v>170</v>
      </c>
      <c r="R390">
        <v>1277706.6399999999</v>
      </c>
      <c r="S390">
        <v>0</v>
      </c>
      <c r="T390">
        <v>3004644</v>
      </c>
      <c r="U390">
        <v>80008750731</v>
      </c>
      <c r="V390" t="s">
        <v>252</v>
      </c>
      <c r="W390" t="s">
        <v>253</v>
      </c>
      <c r="Y390" t="s">
        <v>51</v>
      </c>
      <c r="Z390">
        <v>1627</v>
      </c>
      <c r="AH390">
        <v>0</v>
      </c>
      <c r="AI390">
        <v>202504</v>
      </c>
      <c r="AJ390" t="s">
        <v>52</v>
      </c>
      <c r="AK390">
        <v>0</v>
      </c>
      <c r="AL390">
        <v>1</v>
      </c>
      <c r="AO390">
        <v>0</v>
      </c>
      <c r="AP390" t="s">
        <v>3015</v>
      </c>
      <c r="AQ390" t="s">
        <v>3052</v>
      </c>
      <c r="AR390" t="s">
        <v>3053</v>
      </c>
      <c r="AS390" t="s">
        <v>3037</v>
      </c>
      <c r="AU390" t="s">
        <v>3037</v>
      </c>
    </row>
    <row r="391" spans="1:47" x14ac:dyDescent="0.35">
      <c r="A391">
        <v>337474</v>
      </c>
      <c r="B391" t="s">
        <v>164</v>
      </c>
      <c r="C391" t="s">
        <v>165</v>
      </c>
      <c r="D391" s="2">
        <v>45771</v>
      </c>
      <c r="E391">
        <v>53850</v>
      </c>
      <c r="F391">
        <v>114</v>
      </c>
      <c r="G391" t="s">
        <v>188</v>
      </c>
      <c r="H391" t="s">
        <v>167</v>
      </c>
      <c r="I391" t="s">
        <v>45</v>
      </c>
      <c r="K391" t="s">
        <v>576</v>
      </c>
      <c r="L391">
        <v>1143300001238</v>
      </c>
      <c r="M391">
        <v>20250423</v>
      </c>
      <c r="N391" t="s">
        <v>168</v>
      </c>
      <c r="P391" t="s">
        <v>255</v>
      </c>
      <c r="Q391" t="s">
        <v>47</v>
      </c>
      <c r="R391">
        <v>4000</v>
      </c>
      <c r="S391">
        <v>0</v>
      </c>
      <c r="T391">
        <v>4747564</v>
      </c>
      <c r="U391" t="s">
        <v>577</v>
      </c>
      <c r="V391" t="s">
        <v>578</v>
      </c>
      <c r="W391" t="s">
        <v>187</v>
      </c>
      <c r="Y391" t="s">
        <v>51</v>
      </c>
      <c r="Z391">
        <v>804</v>
      </c>
      <c r="AH391">
        <v>0</v>
      </c>
      <c r="AI391">
        <v>202504</v>
      </c>
      <c r="AJ391" t="s">
        <v>52</v>
      </c>
      <c r="AK391">
        <v>0</v>
      </c>
      <c r="AL391">
        <v>1</v>
      </c>
      <c r="AO391">
        <v>0</v>
      </c>
      <c r="AP391" t="s">
        <v>3015</v>
      </c>
      <c r="AQ391" t="s">
        <v>3044</v>
      </c>
      <c r="AR391" t="s">
        <v>3045</v>
      </c>
      <c r="AS391" t="s">
        <v>3046</v>
      </c>
      <c r="AU391" t="s">
        <v>3046</v>
      </c>
    </row>
    <row r="392" spans="1:47" x14ac:dyDescent="0.35">
      <c r="A392">
        <v>337473</v>
      </c>
      <c r="B392" t="s">
        <v>193</v>
      </c>
      <c r="C392" t="s">
        <v>194</v>
      </c>
      <c r="D392" s="2">
        <v>45771</v>
      </c>
      <c r="E392">
        <v>53850</v>
      </c>
      <c r="F392">
        <v>268</v>
      </c>
      <c r="G392" t="s">
        <v>83</v>
      </c>
      <c r="H392" t="s">
        <v>167</v>
      </c>
      <c r="I392" t="s">
        <v>45</v>
      </c>
      <c r="K392">
        <v>202504237921339</v>
      </c>
      <c r="L392">
        <v>2683300006671</v>
      </c>
      <c r="M392">
        <v>20250423</v>
      </c>
      <c r="N392" t="s">
        <v>195</v>
      </c>
      <c r="Q392" t="s">
        <v>47</v>
      </c>
      <c r="R392">
        <v>28060</v>
      </c>
      <c r="S392">
        <v>28060</v>
      </c>
      <c r="T392">
        <v>1704716</v>
      </c>
      <c r="U392">
        <v>3109600795</v>
      </c>
      <c r="V392" t="s">
        <v>579</v>
      </c>
      <c r="W392" t="s">
        <v>580</v>
      </c>
      <c r="X392" t="s">
        <v>131</v>
      </c>
      <c r="Y392" t="s">
        <v>51</v>
      </c>
      <c r="Z392">
        <v>1891</v>
      </c>
      <c r="AH392">
        <v>0</v>
      </c>
      <c r="AI392">
        <v>202504</v>
      </c>
      <c r="AJ392" t="s">
        <v>52</v>
      </c>
      <c r="AK392">
        <v>0</v>
      </c>
      <c r="AL392">
        <v>1</v>
      </c>
      <c r="AO392">
        <v>0</v>
      </c>
      <c r="AP392" t="s">
        <v>3033</v>
      </c>
      <c r="AQ392" t="s">
        <v>3078</v>
      </c>
      <c r="AR392" t="s">
        <v>3079</v>
      </c>
      <c r="AS392" t="s">
        <v>3049</v>
      </c>
      <c r="AU392" t="s">
        <v>3049</v>
      </c>
    </row>
    <row r="393" spans="1:47" x14ac:dyDescent="0.35">
      <c r="A393">
        <v>337472</v>
      </c>
      <c r="B393" t="s">
        <v>193</v>
      </c>
      <c r="C393" t="s">
        <v>194</v>
      </c>
      <c r="D393" s="2">
        <v>45771</v>
      </c>
      <c r="E393">
        <v>53850</v>
      </c>
      <c r="F393">
        <v>108</v>
      </c>
      <c r="G393" t="s">
        <v>124</v>
      </c>
      <c r="H393" t="s">
        <v>167</v>
      </c>
      <c r="I393" t="s">
        <v>45</v>
      </c>
      <c r="K393" t="s">
        <v>547</v>
      </c>
      <c r="L393">
        <v>1083306291105</v>
      </c>
      <c r="M393">
        <v>20250423</v>
      </c>
      <c r="N393" t="s">
        <v>175</v>
      </c>
      <c r="Q393" t="s">
        <v>47</v>
      </c>
      <c r="R393">
        <v>134580.47</v>
      </c>
      <c r="S393">
        <v>118883.45</v>
      </c>
      <c r="T393">
        <v>4227057</v>
      </c>
      <c r="U393">
        <v>4874620729</v>
      </c>
      <c r="V393" t="s">
        <v>250</v>
      </c>
      <c r="W393" t="s">
        <v>49</v>
      </c>
      <c r="X393" t="s">
        <v>62</v>
      </c>
      <c r="Y393" t="s">
        <v>51</v>
      </c>
      <c r="Z393">
        <v>1058</v>
      </c>
      <c r="AH393">
        <v>0</v>
      </c>
      <c r="AI393">
        <v>202504</v>
      </c>
      <c r="AJ393" t="s">
        <v>56</v>
      </c>
      <c r="AK393">
        <v>0</v>
      </c>
      <c r="AL393">
        <v>1</v>
      </c>
      <c r="AM393">
        <v>4227057</v>
      </c>
      <c r="AN393">
        <v>1</v>
      </c>
      <c r="AO393">
        <v>1</v>
      </c>
      <c r="AP393" t="s">
        <v>3015</v>
      </c>
      <c r="AQ393" t="s">
        <v>3012</v>
      </c>
      <c r="AR393" t="s">
        <v>3016</v>
      </c>
      <c r="AT393" t="s">
        <v>3017</v>
      </c>
      <c r="AU393" t="s">
        <v>3018</v>
      </c>
    </row>
    <row r="394" spans="1:47" x14ac:dyDescent="0.35">
      <c r="A394">
        <v>337471</v>
      </c>
      <c r="B394" t="s">
        <v>178</v>
      </c>
      <c r="C394" t="s">
        <v>179</v>
      </c>
      <c r="D394" s="2">
        <v>45771</v>
      </c>
      <c r="E394">
        <v>53850</v>
      </c>
      <c r="F394">
        <v>187</v>
      </c>
      <c r="G394" t="s">
        <v>251</v>
      </c>
      <c r="H394" t="s">
        <v>167</v>
      </c>
      <c r="I394" t="s">
        <v>45</v>
      </c>
      <c r="K394" t="s">
        <v>581</v>
      </c>
      <c r="L394">
        <v>1873300109486</v>
      </c>
      <c r="M394">
        <v>20250423</v>
      </c>
      <c r="N394" t="s">
        <v>3136</v>
      </c>
      <c r="Q394" t="s">
        <v>170</v>
      </c>
      <c r="R394">
        <v>2276.12</v>
      </c>
      <c r="S394">
        <v>0</v>
      </c>
      <c r="T394">
        <v>4141023</v>
      </c>
      <c r="U394" t="s">
        <v>582</v>
      </c>
      <c r="V394" t="s">
        <v>583</v>
      </c>
      <c r="W394" t="s">
        <v>187</v>
      </c>
      <c r="Y394" t="s">
        <v>51</v>
      </c>
      <c r="Z394">
        <v>1162</v>
      </c>
      <c r="AH394">
        <v>0</v>
      </c>
      <c r="AI394">
        <v>202504</v>
      </c>
      <c r="AJ394" t="s">
        <v>86</v>
      </c>
      <c r="AK394">
        <v>1</v>
      </c>
      <c r="AL394">
        <v>1</v>
      </c>
      <c r="AO394">
        <v>1</v>
      </c>
      <c r="AP394" t="s">
        <v>3015</v>
      </c>
      <c r="AQ394" t="s">
        <v>3044</v>
      </c>
      <c r="AR394" t="s">
        <v>3045</v>
      </c>
      <c r="AS394" t="s">
        <v>3046</v>
      </c>
      <c r="AU394" t="s">
        <v>3046</v>
      </c>
    </row>
    <row r="395" spans="1:47" x14ac:dyDescent="0.35">
      <c r="A395">
        <v>337470</v>
      </c>
      <c r="B395" t="s">
        <v>193</v>
      </c>
      <c r="C395" t="s">
        <v>194</v>
      </c>
      <c r="D395" s="2">
        <v>45771</v>
      </c>
      <c r="E395">
        <v>53850</v>
      </c>
      <c r="F395">
        <v>105</v>
      </c>
      <c r="G395" t="s">
        <v>60</v>
      </c>
      <c r="H395" t="s">
        <v>167</v>
      </c>
      <c r="I395" t="s">
        <v>45</v>
      </c>
      <c r="K395" t="s">
        <v>584</v>
      </c>
      <c r="L395">
        <v>1053306295097</v>
      </c>
      <c r="M395">
        <v>20250422</v>
      </c>
      <c r="N395" t="s">
        <v>175</v>
      </c>
      <c r="Q395" t="s">
        <v>47</v>
      </c>
      <c r="R395">
        <v>64173.440000000002</v>
      </c>
      <c r="S395">
        <v>37540</v>
      </c>
      <c r="T395">
        <v>3722060</v>
      </c>
      <c r="U395">
        <v>6848960727</v>
      </c>
      <c r="V395" t="s">
        <v>585</v>
      </c>
      <c r="W395" t="s">
        <v>49</v>
      </c>
      <c r="X395" t="s">
        <v>62</v>
      </c>
      <c r="Y395" t="s">
        <v>51</v>
      </c>
      <c r="Z395">
        <v>1058</v>
      </c>
      <c r="AH395">
        <v>0</v>
      </c>
      <c r="AI395">
        <v>202504</v>
      </c>
      <c r="AJ395" t="s">
        <v>56</v>
      </c>
      <c r="AK395">
        <v>0</v>
      </c>
      <c r="AL395">
        <v>1</v>
      </c>
      <c r="AM395">
        <v>3722060</v>
      </c>
      <c r="AN395">
        <v>1</v>
      </c>
      <c r="AO395">
        <v>1</v>
      </c>
      <c r="AP395" t="s">
        <v>3015</v>
      </c>
      <c r="AQ395" t="s">
        <v>3012</v>
      </c>
      <c r="AR395" t="s">
        <v>3016</v>
      </c>
      <c r="AT395" t="s">
        <v>3017</v>
      </c>
      <c r="AU395" t="s">
        <v>3018</v>
      </c>
    </row>
    <row r="396" spans="1:47" x14ac:dyDescent="0.35">
      <c r="A396">
        <v>337469</v>
      </c>
      <c r="B396" t="s">
        <v>193</v>
      </c>
      <c r="C396" t="s">
        <v>194</v>
      </c>
      <c r="D396" s="2">
        <v>45770</v>
      </c>
      <c r="E396">
        <v>53850</v>
      </c>
      <c r="F396">
        <v>167</v>
      </c>
      <c r="G396" t="s">
        <v>278</v>
      </c>
      <c r="H396" t="s">
        <v>167</v>
      </c>
      <c r="I396" t="s">
        <v>45</v>
      </c>
      <c r="K396" t="s">
        <v>584</v>
      </c>
      <c r="L396">
        <v>1033306967935</v>
      </c>
      <c r="M396">
        <v>20250422</v>
      </c>
      <c r="N396" t="s">
        <v>175</v>
      </c>
      <c r="Q396" t="s">
        <v>47</v>
      </c>
      <c r="R396">
        <v>60930.91</v>
      </c>
      <c r="S396">
        <v>35800</v>
      </c>
      <c r="T396">
        <v>155052</v>
      </c>
      <c r="U396">
        <v>2563580725</v>
      </c>
      <c r="V396" t="s">
        <v>82</v>
      </c>
      <c r="W396" t="s">
        <v>49</v>
      </c>
      <c r="X396" t="s">
        <v>59</v>
      </c>
      <c r="Y396" t="s">
        <v>51</v>
      </c>
      <c r="Z396">
        <v>1926</v>
      </c>
      <c r="AH396">
        <v>0</v>
      </c>
      <c r="AI396">
        <v>202504</v>
      </c>
      <c r="AJ396" t="s">
        <v>56</v>
      </c>
      <c r="AK396">
        <v>0</v>
      </c>
      <c r="AL396">
        <v>1</v>
      </c>
      <c r="AM396">
        <v>155052</v>
      </c>
      <c r="AN396">
        <v>1</v>
      </c>
      <c r="AO396">
        <v>1</v>
      </c>
      <c r="AP396" t="s">
        <v>3015</v>
      </c>
      <c r="AQ396" t="s">
        <v>3012</v>
      </c>
      <c r="AR396" t="s">
        <v>3016</v>
      </c>
      <c r="AT396" t="s">
        <v>3017</v>
      </c>
      <c r="AU396" t="s">
        <v>3018</v>
      </c>
    </row>
    <row r="397" spans="1:47" x14ac:dyDescent="0.35">
      <c r="A397">
        <v>337468</v>
      </c>
      <c r="B397" t="s">
        <v>193</v>
      </c>
      <c r="C397" t="s">
        <v>194</v>
      </c>
      <c r="D397" s="2">
        <v>45770</v>
      </c>
      <c r="E397">
        <v>53850</v>
      </c>
      <c r="F397">
        <v>102</v>
      </c>
      <c r="G397" t="s">
        <v>151</v>
      </c>
      <c r="H397" t="s">
        <v>167</v>
      </c>
      <c r="I397" t="s">
        <v>45</v>
      </c>
      <c r="K397" t="s">
        <v>584</v>
      </c>
      <c r="L397">
        <v>1023308722071</v>
      </c>
      <c r="M397">
        <v>20250422</v>
      </c>
      <c r="N397" t="s">
        <v>175</v>
      </c>
      <c r="Q397" t="s">
        <v>47</v>
      </c>
      <c r="R397">
        <v>46380</v>
      </c>
      <c r="S397">
        <v>41630</v>
      </c>
      <c r="T397">
        <v>194802</v>
      </c>
      <c r="U397">
        <v>3151820721</v>
      </c>
      <c r="V397" t="s">
        <v>586</v>
      </c>
      <c r="W397" t="s">
        <v>49</v>
      </c>
      <c r="X397" t="s">
        <v>131</v>
      </c>
      <c r="Y397" t="s">
        <v>51</v>
      </c>
      <c r="Z397">
        <v>1203</v>
      </c>
      <c r="AH397">
        <v>0</v>
      </c>
      <c r="AI397">
        <v>202504</v>
      </c>
      <c r="AJ397" t="s">
        <v>86</v>
      </c>
      <c r="AK397">
        <v>1</v>
      </c>
      <c r="AL397">
        <v>1</v>
      </c>
      <c r="AM397">
        <v>194802</v>
      </c>
      <c r="AN397">
        <v>1</v>
      </c>
      <c r="AO397">
        <v>1</v>
      </c>
      <c r="AP397" t="s">
        <v>3033</v>
      </c>
      <c r="AQ397" t="s">
        <v>3012</v>
      </c>
      <c r="AR397" t="s">
        <v>3034</v>
      </c>
      <c r="AS397" t="s">
        <v>3014</v>
      </c>
      <c r="AU397" t="s">
        <v>3014</v>
      </c>
    </row>
    <row r="398" spans="1:47" x14ac:dyDescent="0.35">
      <c r="A398">
        <v>337467</v>
      </c>
      <c r="B398" t="s">
        <v>178</v>
      </c>
      <c r="C398" t="s">
        <v>179</v>
      </c>
      <c r="D398" s="2">
        <v>45770</v>
      </c>
      <c r="E398">
        <v>53850</v>
      </c>
      <c r="F398">
        <v>129</v>
      </c>
      <c r="G398" t="s">
        <v>227</v>
      </c>
      <c r="H398" t="s">
        <v>167</v>
      </c>
      <c r="I398" t="s">
        <v>45</v>
      </c>
      <c r="K398">
        <v>202504227915901</v>
      </c>
      <c r="L398">
        <v>1293300002289</v>
      </c>
      <c r="M398">
        <v>20250422</v>
      </c>
      <c r="N398" t="s">
        <v>46</v>
      </c>
      <c r="P398" t="s">
        <v>51</v>
      </c>
      <c r="Q398" t="s">
        <v>47</v>
      </c>
      <c r="R398">
        <v>1500000</v>
      </c>
      <c r="S398">
        <v>0</v>
      </c>
      <c r="T398">
        <v>401846</v>
      </c>
      <c r="U398">
        <v>259270726</v>
      </c>
      <c r="V398" t="s">
        <v>271</v>
      </c>
      <c r="W398" t="s">
        <v>49</v>
      </c>
      <c r="X398" t="s">
        <v>272</v>
      </c>
      <c r="Y398" t="s">
        <v>51</v>
      </c>
      <c r="Z398">
        <v>1058</v>
      </c>
      <c r="AH398">
        <v>0</v>
      </c>
      <c r="AI398">
        <v>202504</v>
      </c>
      <c r="AJ398" t="s">
        <v>52</v>
      </c>
      <c r="AK398">
        <v>0</v>
      </c>
      <c r="AL398">
        <v>1</v>
      </c>
      <c r="AO398">
        <v>0</v>
      </c>
      <c r="AP398" t="s">
        <v>3015</v>
      </c>
      <c r="AQ398" t="s">
        <v>3012</v>
      </c>
      <c r="AR398" t="s">
        <v>3016</v>
      </c>
      <c r="AT398" t="s">
        <v>3017</v>
      </c>
      <c r="AU398" t="s">
        <v>3018</v>
      </c>
    </row>
    <row r="399" spans="1:47" x14ac:dyDescent="0.35">
      <c r="A399">
        <v>337466</v>
      </c>
      <c r="B399" t="s">
        <v>172</v>
      </c>
      <c r="C399" t="s">
        <v>173</v>
      </c>
      <c r="D399" s="2">
        <v>45770</v>
      </c>
      <c r="E399">
        <v>53850</v>
      </c>
      <c r="F399">
        <v>128</v>
      </c>
      <c r="G399" t="s">
        <v>94</v>
      </c>
      <c r="H399" t="s">
        <v>167</v>
      </c>
      <c r="I399" t="s">
        <v>45</v>
      </c>
      <c r="K399" t="s">
        <v>584</v>
      </c>
      <c r="L399">
        <v>1093306672844</v>
      </c>
      <c r="M399">
        <v>20250422</v>
      </c>
      <c r="N399" t="s">
        <v>175</v>
      </c>
      <c r="Q399" t="s">
        <v>47</v>
      </c>
      <c r="R399">
        <v>90324.160000000003</v>
      </c>
      <c r="S399">
        <v>16000</v>
      </c>
      <c r="T399">
        <v>440311</v>
      </c>
      <c r="U399">
        <v>3550290724</v>
      </c>
      <c r="V399" t="s">
        <v>90</v>
      </c>
      <c r="W399" t="s">
        <v>49</v>
      </c>
      <c r="X399" t="s">
        <v>91</v>
      </c>
      <c r="Y399" t="s">
        <v>51</v>
      </c>
      <c r="Z399">
        <v>1903</v>
      </c>
      <c r="AH399">
        <v>0</v>
      </c>
      <c r="AI399">
        <v>202504</v>
      </c>
      <c r="AJ399" t="s">
        <v>56</v>
      </c>
      <c r="AK399">
        <v>0</v>
      </c>
      <c r="AL399">
        <v>1</v>
      </c>
      <c r="AM399">
        <v>440311</v>
      </c>
      <c r="AN399">
        <v>1</v>
      </c>
      <c r="AO399">
        <v>1</v>
      </c>
      <c r="AP399" t="s">
        <v>1100</v>
      </c>
      <c r="AQ399" t="s">
        <v>3012</v>
      </c>
      <c r="AR399" t="s">
        <v>3023</v>
      </c>
      <c r="AS399" t="s">
        <v>3014</v>
      </c>
      <c r="AU399" t="s">
        <v>3014</v>
      </c>
    </row>
    <row r="400" spans="1:47" x14ac:dyDescent="0.35">
      <c r="A400">
        <v>337465</v>
      </c>
      <c r="B400" t="s">
        <v>193</v>
      </c>
      <c r="C400" t="s">
        <v>194</v>
      </c>
      <c r="D400" s="2">
        <v>45770</v>
      </c>
      <c r="E400">
        <v>53850</v>
      </c>
      <c r="F400">
        <v>267</v>
      </c>
      <c r="G400" t="s">
        <v>349</v>
      </c>
      <c r="H400" t="s">
        <v>167</v>
      </c>
      <c r="I400" t="s">
        <v>45</v>
      </c>
      <c r="K400">
        <v>202504227918583</v>
      </c>
      <c r="L400">
        <v>2673300003600</v>
      </c>
      <c r="M400">
        <v>20250422</v>
      </c>
      <c r="N400" t="s">
        <v>266</v>
      </c>
      <c r="Q400" t="s">
        <v>47</v>
      </c>
      <c r="R400">
        <v>134000</v>
      </c>
      <c r="S400">
        <v>134000</v>
      </c>
      <c r="T400">
        <v>1705101</v>
      </c>
      <c r="U400">
        <v>2896870793</v>
      </c>
      <c r="V400" t="s">
        <v>439</v>
      </c>
      <c r="W400" t="s">
        <v>190</v>
      </c>
      <c r="X400" t="s">
        <v>200</v>
      </c>
      <c r="Y400" t="s">
        <v>51</v>
      </c>
      <c r="Z400">
        <v>1878</v>
      </c>
      <c r="AH400">
        <v>0</v>
      </c>
      <c r="AI400">
        <v>202504</v>
      </c>
      <c r="AJ400" t="s">
        <v>56</v>
      </c>
      <c r="AK400">
        <v>0</v>
      </c>
      <c r="AL400">
        <v>1</v>
      </c>
      <c r="AM400">
        <v>1705101</v>
      </c>
      <c r="AN400">
        <v>1</v>
      </c>
      <c r="AO400">
        <v>0</v>
      </c>
      <c r="AP400" t="s">
        <v>3015</v>
      </c>
      <c r="AQ400" t="s">
        <v>3047</v>
      </c>
      <c r="AR400" t="s">
        <v>3056</v>
      </c>
      <c r="AT400" t="s">
        <v>3017</v>
      </c>
      <c r="AU400" t="s">
        <v>3057</v>
      </c>
    </row>
    <row r="401" spans="1:47" x14ac:dyDescent="0.35">
      <c r="A401">
        <v>337464</v>
      </c>
      <c r="B401" t="s">
        <v>178</v>
      </c>
      <c r="C401" t="s">
        <v>179</v>
      </c>
      <c r="D401" s="2">
        <v>45770</v>
      </c>
      <c r="E401">
        <v>53850</v>
      </c>
      <c r="F401">
        <v>279</v>
      </c>
      <c r="G401" t="s">
        <v>587</v>
      </c>
      <c r="H401" t="s">
        <v>167</v>
      </c>
      <c r="I401" t="s">
        <v>45</v>
      </c>
      <c r="K401" t="s">
        <v>588</v>
      </c>
      <c r="L401">
        <v>2793300001771</v>
      </c>
      <c r="M401">
        <v>20250422</v>
      </c>
      <c r="N401" t="s">
        <v>3136</v>
      </c>
      <c r="Q401" t="s">
        <v>170</v>
      </c>
      <c r="R401">
        <v>2006.41</v>
      </c>
      <c r="S401">
        <v>0</v>
      </c>
      <c r="T401">
        <v>1693514</v>
      </c>
      <c r="U401">
        <v>2688340690</v>
      </c>
      <c r="V401" t="s">
        <v>589</v>
      </c>
      <c r="W401" t="s">
        <v>190</v>
      </c>
      <c r="X401" t="s">
        <v>590</v>
      </c>
      <c r="Y401" t="s">
        <v>51</v>
      </c>
      <c r="Z401">
        <v>1786</v>
      </c>
      <c r="AH401">
        <v>0</v>
      </c>
      <c r="AI401">
        <v>202504</v>
      </c>
      <c r="AJ401" t="s">
        <v>52</v>
      </c>
      <c r="AK401">
        <v>0</v>
      </c>
      <c r="AL401">
        <v>1</v>
      </c>
      <c r="AO401">
        <v>1</v>
      </c>
      <c r="AP401" t="s">
        <v>3015</v>
      </c>
      <c r="AQ401" t="s">
        <v>3047</v>
      </c>
      <c r="AR401" t="s">
        <v>3056</v>
      </c>
      <c r="AT401" t="s">
        <v>3017</v>
      </c>
      <c r="AU401" t="s">
        <v>3057</v>
      </c>
    </row>
    <row r="402" spans="1:47" x14ac:dyDescent="0.35">
      <c r="A402">
        <v>337463</v>
      </c>
      <c r="B402" t="s">
        <v>178</v>
      </c>
      <c r="C402" t="s">
        <v>179</v>
      </c>
      <c r="D402" s="2">
        <v>45770</v>
      </c>
      <c r="E402">
        <v>53850</v>
      </c>
      <c r="F402">
        <v>117</v>
      </c>
      <c r="G402" t="s">
        <v>490</v>
      </c>
      <c r="H402" t="s">
        <v>167</v>
      </c>
      <c r="I402" t="s">
        <v>45</v>
      </c>
      <c r="K402">
        <v>202504227916745</v>
      </c>
      <c r="L402">
        <v>1173300538670</v>
      </c>
      <c r="M402">
        <v>20250422</v>
      </c>
      <c r="N402" t="s">
        <v>46</v>
      </c>
      <c r="P402" t="s">
        <v>51</v>
      </c>
      <c r="Q402" t="s">
        <v>47</v>
      </c>
      <c r="R402">
        <v>349192.69</v>
      </c>
      <c r="S402">
        <v>0</v>
      </c>
      <c r="T402">
        <v>4645325</v>
      </c>
      <c r="U402" t="s">
        <v>591</v>
      </c>
      <c r="V402" t="s">
        <v>592</v>
      </c>
      <c r="W402" t="s">
        <v>187</v>
      </c>
      <c r="Y402" t="s">
        <v>51</v>
      </c>
      <c r="Z402">
        <v>1772</v>
      </c>
      <c r="AH402">
        <v>0</v>
      </c>
      <c r="AI402">
        <v>202504</v>
      </c>
      <c r="AJ402" t="s">
        <v>86</v>
      </c>
      <c r="AK402">
        <v>1</v>
      </c>
      <c r="AL402">
        <v>1</v>
      </c>
      <c r="AO402">
        <v>0</v>
      </c>
      <c r="AP402" t="s">
        <v>3015</v>
      </c>
      <c r="AQ402" t="s">
        <v>3044</v>
      </c>
      <c r="AR402" t="s">
        <v>3045</v>
      </c>
      <c r="AS402" t="s">
        <v>3046</v>
      </c>
      <c r="AU402" t="s">
        <v>3046</v>
      </c>
    </row>
    <row r="403" spans="1:47" x14ac:dyDescent="0.35">
      <c r="A403">
        <v>337462</v>
      </c>
      <c r="B403" t="s">
        <v>172</v>
      </c>
      <c r="C403" t="s">
        <v>173</v>
      </c>
      <c r="D403" s="2">
        <v>45770</v>
      </c>
      <c r="E403">
        <v>53850</v>
      </c>
      <c r="F403">
        <v>165</v>
      </c>
      <c r="G403" t="s">
        <v>593</v>
      </c>
      <c r="H403" t="s">
        <v>167</v>
      </c>
      <c r="I403" t="s">
        <v>45</v>
      </c>
      <c r="K403">
        <v>202504227918373</v>
      </c>
      <c r="L403">
        <v>1653300628564</v>
      </c>
      <c r="M403">
        <v>20250422</v>
      </c>
      <c r="N403" t="s">
        <v>81</v>
      </c>
      <c r="Q403" t="s">
        <v>47</v>
      </c>
      <c r="R403">
        <v>236000</v>
      </c>
      <c r="S403">
        <v>0</v>
      </c>
      <c r="T403">
        <v>4798342</v>
      </c>
      <c r="U403">
        <v>2195870718</v>
      </c>
      <c r="V403" t="s">
        <v>594</v>
      </c>
      <c r="W403" t="s">
        <v>49</v>
      </c>
      <c r="X403" t="s">
        <v>595</v>
      </c>
      <c r="Y403" t="s">
        <v>51</v>
      </c>
      <c r="Z403">
        <v>870</v>
      </c>
      <c r="AH403">
        <v>0</v>
      </c>
      <c r="AI403">
        <v>202504</v>
      </c>
      <c r="AJ403" t="s">
        <v>52</v>
      </c>
      <c r="AK403">
        <v>0</v>
      </c>
      <c r="AL403">
        <v>1</v>
      </c>
      <c r="AO403">
        <v>0</v>
      </c>
      <c r="AP403" t="s">
        <v>3015</v>
      </c>
      <c r="AQ403" t="s">
        <v>3012</v>
      </c>
      <c r="AR403" t="s">
        <v>3016</v>
      </c>
      <c r="AT403" t="s">
        <v>3017</v>
      </c>
      <c r="AU403" t="s">
        <v>3018</v>
      </c>
    </row>
    <row r="404" spans="1:47" x14ac:dyDescent="0.35">
      <c r="A404">
        <v>337461</v>
      </c>
      <c r="B404" t="s">
        <v>164</v>
      </c>
      <c r="C404" t="s">
        <v>165</v>
      </c>
      <c r="D404" s="2">
        <v>45770</v>
      </c>
      <c r="E404">
        <v>53850</v>
      </c>
      <c r="F404">
        <v>270</v>
      </c>
      <c r="G404" t="s">
        <v>524</v>
      </c>
      <c r="H404" t="s">
        <v>167</v>
      </c>
      <c r="I404" t="s">
        <v>45</v>
      </c>
      <c r="K404">
        <v>202504227917030</v>
      </c>
      <c r="L404">
        <v>2703300010883</v>
      </c>
      <c r="M404">
        <v>20250422</v>
      </c>
      <c r="N404" t="s">
        <v>168</v>
      </c>
      <c r="P404" t="s">
        <v>244</v>
      </c>
      <c r="Q404" t="s">
        <v>47</v>
      </c>
      <c r="R404">
        <v>5000.01</v>
      </c>
      <c r="S404">
        <v>0</v>
      </c>
      <c r="T404">
        <v>3741718</v>
      </c>
      <c r="U404">
        <v>2347470680</v>
      </c>
      <c r="V404" t="s">
        <v>596</v>
      </c>
      <c r="W404" t="s">
        <v>49</v>
      </c>
      <c r="X404" t="s">
        <v>597</v>
      </c>
      <c r="Y404" t="s">
        <v>51</v>
      </c>
      <c r="Z404">
        <v>1560</v>
      </c>
      <c r="AH404">
        <v>0</v>
      </c>
      <c r="AI404">
        <v>202504</v>
      </c>
      <c r="AJ404" t="s">
        <v>56</v>
      </c>
      <c r="AK404">
        <v>0</v>
      </c>
      <c r="AL404">
        <v>1</v>
      </c>
      <c r="AO404">
        <v>0</v>
      </c>
      <c r="AP404" t="s">
        <v>3015</v>
      </c>
      <c r="AQ404" t="s">
        <v>3012</v>
      </c>
      <c r="AR404" t="s">
        <v>3016</v>
      </c>
      <c r="AT404" t="s">
        <v>3017</v>
      </c>
      <c r="AU404" t="s">
        <v>3018</v>
      </c>
    </row>
    <row r="405" spans="1:47" x14ac:dyDescent="0.35">
      <c r="A405">
        <v>337460</v>
      </c>
      <c r="B405" t="s">
        <v>178</v>
      </c>
      <c r="C405" t="s">
        <v>179</v>
      </c>
      <c r="D405" s="2">
        <v>45770</v>
      </c>
      <c r="E405">
        <v>53850</v>
      </c>
      <c r="F405">
        <v>103</v>
      </c>
      <c r="G405" t="s">
        <v>80</v>
      </c>
      <c r="H405" t="s">
        <v>167</v>
      </c>
      <c r="I405" t="s">
        <v>45</v>
      </c>
      <c r="K405">
        <v>202504227918100</v>
      </c>
      <c r="L405">
        <v>1033306974008</v>
      </c>
      <c r="M405">
        <v>20250422</v>
      </c>
      <c r="N405" t="s">
        <v>3136</v>
      </c>
      <c r="Q405" t="s">
        <v>170</v>
      </c>
      <c r="R405">
        <v>7562.53</v>
      </c>
      <c r="S405">
        <v>0</v>
      </c>
      <c r="T405">
        <v>4562541</v>
      </c>
      <c r="U405" t="s">
        <v>598</v>
      </c>
      <c r="V405" t="s">
        <v>599</v>
      </c>
      <c r="W405" t="s">
        <v>187</v>
      </c>
      <c r="Y405" t="s">
        <v>51</v>
      </c>
      <c r="Z405">
        <v>1099</v>
      </c>
      <c r="AH405">
        <v>0</v>
      </c>
      <c r="AI405">
        <v>202504</v>
      </c>
      <c r="AJ405" t="s">
        <v>119</v>
      </c>
      <c r="AK405">
        <v>1</v>
      </c>
      <c r="AL405">
        <v>1</v>
      </c>
      <c r="AO405">
        <v>1</v>
      </c>
      <c r="AP405" t="s">
        <v>3015</v>
      </c>
      <c r="AQ405" t="s">
        <v>3044</v>
      </c>
      <c r="AR405" t="s">
        <v>3045</v>
      </c>
      <c r="AS405" t="s">
        <v>3046</v>
      </c>
      <c r="AU405" t="s">
        <v>3046</v>
      </c>
    </row>
    <row r="406" spans="1:47" x14ac:dyDescent="0.35">
      <c r="A406">
        <v>337459</v>
      </c>
      <c r="B406" t="s">
        <v>193</v>
      </c>
      <c r="C406" t="s">
        <v>194</v>
      </c>
      <c r="D406" s="2">
        <v>45770</v>
      </c>
      <c r="E406">
        <v>53850</v>
      </c>
      <c r="F406">
        <v>114</v>
      </c>
      <c r="G406" t="s">
        <v>188</v>
      </c>
      <c r="H406" t="s">
        <v>167</v>
      </c>
      <c r="I406" t="s">
        <v>45</v>
      </c>
      <c r="K406" t="s">
        <v>584</v>
      </c>
      <c r="L406">
        <v>1143306280621</v>
      </c>
      <c r="M406">
        <v>20250422</v>
      </c>
      <c r="N406" t="s">
        <v>266</v>
      </c>
      <c r="Q406" t="s">
        <v>47</v>
      </c>
      <c r="R406">
        <v>61530</v>
      </c>
      <c r="S406">
        <v>61530</v>
      </c>
      <c r="T406">
        <v>4658875</v>
      </c>
      <c r="U406">
        <v>3230890711</v>
      </c>
      <c r="V406" t="s">
        <v>189</v>
      </c>
      <c r="W406" t="s">
        <v>190</v>
      </c>
      <c r="X406" t="s">
        <v>131</v>
      </c>
      <c r="Y406" t="s">
        <v>51</v>
      </c>
      <c r="Z406">
        <v>870</v>
      </c>
      <c r="AH406">
        <v>0</v>
      </c>
      <c r="AI406">
        <v>202504</v>
      </c>
      <c r="AJ406" t="s">
        <v>56</v>
      </c>
      <c r="AK406">
        <v>0</v>
      </c>
      <c r="AL406">
        <v>1</v>
      </c>
      <c r="AM406">
        <v>4658875</v>
      </c>
      <c r="AN406">
        <v>1</v>
      </c>
      <c r="AO406">
        <v>0</v>
      </c>
      <c r="AP406" t="s">
        <v>3033</v>
      </c>
      <c r="AQ406" t="s">
        <v>3047</v>
      </c>
      <c r="AR406" t="s">
        <v>3048</v>
      </c>
      <c r="AS406" t="s">
        <v>3049</v>
      </c>
      <c r="AU406" t="s">
        <v>3049</v>
      </c>
    </row>
    <row r="407" spans="1:47" x14ac:dyDescent="0.35">
      <c r="A407">
        <v>337458</v>
      </c>
      <c r="B407" t="s">
        <v>193</v>
      </c>
      <c r="C407" t="s">
        <v>194</v>
      </c>
      <c r="D407" s="2">
        <v>45770</v>
      </c>
      <c r="E407">
        <v>53850</v>
      </c>
      <c r="F407">
        <v>182</v>
      </c>
      <c r="G407" t="s">
        <v>318</v>
      </c>
      <c r="H407" t="s">
        <v>167</v>
      </c>
      <c r="I407" t="s">
        <v>45</v>
      </c>
      <c r="K407" t="s">
        <v>584</v>
      </c>
      <c r="L407">
        <v>1873300105200</v>
      </c>
      <c r="M407">
        <v>20250422</v>
      </c>
      <c r="N407" t="s">
        <v>175</v>
      </c>
      <c r="Q407" t="s">
        <v>47</v>
      </c>
      <c r="R407">
        <v>35051.42</v>
      </c>
      <c r="S407">
        <v>31520</v>
      </c>
      <c r="T407">
        <v>4158777</v>
      </c>
      <c r="U407">
        <v>2370460731</v>
      </c>
      <c r="V407" t="s">
        <v>438</v>
      </c>
      <c r="W407" t="s">
        <v>49</v>
      </c>
      <c r="X407" t="s">
        <v>117</v>
      </c>
      <c r="Y407" t="s">
        <v>51</v>
      </c>
      <c r="Z407">
        <v>1627</v>
      </c>
      <c r="AH407">
        <v>0</v>
      </c>
      <c r="AI407">
        <v>202504</v>
      </c>
      <c r="AJ407" t="s">
        <v>56</v>
      </c>
      <c r="AK407">
        <v>0</v>
      </c>
      <c r="AL407">
        <v>1</v>
      </c>
      <c r="AM407">
        <v>4158777</v>
      </c>
      <c r="AN407">
        <v>1</v>
      </c>
      <c r="AO407">
        <v>1</v>
      </c>
      <c r="AP407" t="s">
        <v>3029</v>
      </c>
      <c r="AQ407" t="s">
        <v>3012</v>
      </c>
      <c r="AR407" t="s">
        <v>3030</v>
      </c>
      <c r="AS407" t="s">
        <v>3014</v>
      </c>
      <c r="AU407" t="s">
        <v>3014</v>
      </c>
    </row>
    <row r="408" spans="1:47" x14ac:dyDescent="0.35">
      <c r="A408">
        <v>337457</v>
      </c>
      <c r="B408" t="s">
        <v>172</v>
      </c>
      <c r="C408" t="s">
        <v>173</v>
      </c>
      <c r="D408" s="2">
        <v>45770</v>
      </c>
      <c r="E408">
        <v>53850</v>
      </c>
      <c r="F408">
        <v>114</v>
      </c>
      <c r="G408" t="s">
        <v>188</v>
      </c>
      <c r="H408" t="s">
        <v>167</v>
      </c>
      <c r="I408" t="s">
        <v>45</v>
      </c>
      <c r="K408" t="s">
        <v>584</v>
      </c>
      <c r="L408">
        <v>1143306280621</v>
      </c>
      <c r="M408">
        <v>20250422</v>
      </c>
      <c r="N408" t="s">
        <v>266</v>
      </c>
      <c r="Q408" t="s">
        <v>47</v>
      </c>
      <c r="R408">
        <v>61530</v>
      </c>
      <c r="S408">
        <v>61530</v>
      </c>
      <c r="T408">
        <v>4658875</v>
      </c>
      <c r="U408">
        <v>3230890711</v>
      </c>
      <c r="V408" t="s">
        <v>189</v>
      </c>
      <c r="W408" t="s">
        <v>190</v>
      </c>
      <c r="X408" t="s">
        <v>131</v>
      </c>
      <c r="Y408" t="s">
        <v>51</v>
      </c>
      <c r="Z408">
        <v>870</v>
      </c>
      <c r="AH408">
        <v>0</v>
      </c>
      <c r="AI408">
        <v>202504</v>
      </c>
      <c r="AJ408" t="s">
        <v>56</v>
      </c>
      <c r="AK408">
        <v>0</v>
      </c>
      <c r="AL408">
        <v>1</v>
      </c>
      <c r="AM408">
        <v>4658875</v>
      </c>
      <c r="AN408">
        <v>1</v>
      </c>
      <c r="AO408">
        <v>0</v>
      </c>
      <c r="AP408" t="s">
        <v>3033</v>
      </c>
      <c r="AQ408" t="s">
        <v>3047</v>
      </c>
      <c r="AR408" t="s">
        <v>3048</v>
      </c>
      <c r="AS408" t="s">
        <v>3049</v>
      </c>
      <c r="AU408" t="s">
        <v>3049</v>
      </c>
    </row>
    <row r="409" spans="1:47" x14ac:dyDescent="0.35">
      <c r="A409">
        <v>337456</v>
      </c>
      <c r="B409" t="s">
        <v>178</v>
      </c>
      <c r="C409" t="s">
        <v>179</v>
      </c>
      <c r="D409" s="2">
        <v>45770</v>
      </c>
      <c r="E409">
        <v>53850</v>
      </c>
      <c r="F409">
        <v>117</v>
      </c>
      <c r="G409" t="s">
        <v>490</v>
      </c>
      <c r="H409" t="s">
        <v>167</v>
      </c>
      <c r="I409" t="s">
        <v>45</v>
      </c>
      <c r="K409">
        <v>202504227916745</v>
      </c>
      <c r="L409">
        <v>1173300538670</v>
      </c>
      <c r="M409">
        <v>20250422</v>
      </c>
      <c r="N409" t="s">
        <v>46</v>
      </c>
      <c r="P409" t="s">
        <v>51</v>
      </c>
      <c r="Q409" t="s">
        <v>47</v>
      </c>
      <c r="R409">
        <v>349192.69</v>
      </c>
      <c r="S409">
        <v>0</v>
      </c>
      <c r="T409">
        <v>4035187</v>
      </c>
      <c r="U409" t="s">
        <v>600</v>
      </c>
      <c r="V409" t="s">
        <v>601</v>
      </c>
      <c r="W409" t="s">
        <v>187</v>
      </c>
      <c r="Y409" t="s">
        <v>51</v>
      </c>
      <c r="Z409">
        <v>1772</v>
      </c>
      <c r="AH409">
        <v>0</v>
      </c>
      <c r="AI409">
        <v>202504</v>
      </c>
      <c r="AJ409" t="s">
        <v>56</v>
      </c>
      <c r="AK409">
        <v>0</v>
      </c>
      <c r="AL409">
        <v>1</v>
      </c>
      <c r="AO409">
        <v>0</v>
      </c>
      <c r="AP409" t="s">
        <v>3015</v>
      </c>
      <c r="AQ409" t="s">
        <v>3044</v>
      </c>
      <c r="AR409" t="s">
        <v>3045</v>
      </c>
      <c r="AS409" t="s">
        <v>3046</v>
      </c>
      <c r="AU409" t="s">
        <v>3046</v>
      </c>
    </row>
    <row r="410" spans="1:47" x14ac:dyDescent="0.35">
      <c r="A410">
        <v>337455</v>
      </c>
      <c r="B410" t="s">
        <v>172</v>
      </c>
      <c r="C410" t="s">
        <v>173</v>
      </c>
      <c r="D410" s="2">
        <v>45770</v>
      </c>
      <c r="E410">
        <v>53850</v>
      </c>
      <c r="F410">
        <v>121</v>
      </c>
      <c r="G410" t="s">
        <v>140</v>
      </c>
      <c r="H410" t="s">
        <v>167</v>
      </c>
      <c r="I410" t="s">
        <v>45</v>
      </c>
      <c r="K410">
        <v>202504227918223</v>
      </c>
      <c r="L410">
        <v>1733300001396</v>
      </c>
      <c r="M410">
        <v>20250422</v>
      </c>
      <c r="N410" t="s">
        <v>231</v>
      </c>
      <c r="Q410" t="s">
        <v>47</v>
      </c>
      <c r="R410">
        <v>227000</v>
      </c>
      <c r="S410">
        <v>0</v>
      </c>
      <c r="T410">
        <v>4287458</v>
      </c>
      <c r="U410" t="s">
        <v>602</v>
      </c>
      <c r="V410" t="s">
        <v>603</v>
      </c>
      <c r="W410" t="s">
        <v>187</v>
      </c>
      <c r="Y410" t="s">
        <v>51</v>
      </c>
      <c r="Z410">
        <v>1530</v>
      </c>
      <c r="AH410">
        <v>0</v>
      </c>
      <c r="AI410">
        <v>202504</v>
      </c>
      <c r="AJ410" t="s">
        <v>52</v>
      </c>
      <c r="AK410">
        <v>0</v>
      </c>
      <c r="AL410">
        <v>1</v>
      </c>
      <c r="AO410">
        <v>0</v>
      </c>
      <c r="AP410" t="s">
        <v>3015</v>
      </c>
      <c r="AQ410" t="s">
        <v>3044</v>
      </c>
      <c r="AR410" t="s">
        <v>3045</v>
      </c>
      <c r="AS410" t="s">
        <v>3046</v>
      </c>
      <c r="AU410" t="s">
        <v>3046</v>
      </c>
    </row>
    <row r="411" spans="1:47" x14ac:dyDescent="0.35">
      <c r="A411">
        <v>337454</v>
      </c>
      <c r="B411" t="s">
        <v>178</v>
      </c>
      <c r="C411" t="s">
        <v>179</v>
      </c>
      <c r="D411" s="2">
        <v>45770</v>
      </c>
      <c r="E411">
        <v>53850</v>
      </c>
      <c r="F411">
        <v>279</v>
      </c>
      <c r="G411" t="s">
        <v>587</v>
      </c>
      <c r="H411" t="s">
        <v>167</v>
      </c>
      <c r="I411" t="s">
        <v>45</v>
      </c>
      <c r="K411">
        <v>202504227918653</v>
      </c>
      <c r="L411">
        <v>2793300000731</v>
      </c>
      <c r="M411">
        <v>20250422</v>
      </c>
      <c r="N411" t="s">
        <v>3136</v>
      </c>
      <c r="Q411" t="s">
        <v>170</v>
      </c>
      <c r="R411">
        <v>8882.2099999999991</v>
      </c>
      <c r="S411">
        <v>0</v>
      </c>
      <c r="T411">
        <v>1668170</v>
      </c>
      <c r="U411" t="s">
        <v>604</v>
      </c>
      <c r="V411" t="s">
        <v>605</v>
      </c>
      <c r="W411" t="s">
        <v>187</v>
      </c>
      <c r="Y411" t="s">
        <v>51</v>
      </c>
      <c r="Z411">
        <v>1821</v>
      </c>
      <c r="AH411">
        <v>0</v>
      </c>
      <c r="AI411">
        <v>202504</v>
      </c>
      <c r="AJ411" t="s">
        <v>52</v>
      </c>
      <c r="AK411">
        <v>0</v>
      </c>
      <c r="AL411">
        <v>1</v>
      </c>
      <c r="AO411">
        <v>1</v>
      </c>
      <c r="AP411" t="s">
        <v>3015</v>
      </c>
      <c r="AQ411" t="s">
        <v>3044</v>
      </c>
      <c r="AR411" t="s">
        <v>3045</v>
      </c>
      <c r="AS411" t="s">
        <v>3046</v>
      </c>
      <c r="AU411" t="s">
        <v>3046</v>
      </c>
    </row>
    <row r="412" spans="1:47" x14ac:dyDescent="0.35">
      <c r="A412">
        <v>337453</v>
      </c>
      <c r="B412" t="s">
        <v>333</v>
      </c>
      <c r="C412" t="s">
        <v>334</v>
      </c>
      <c r="D412" s="2">
        <v>45770</v>
      </c>
      <c r="E412">
        <v>53850</v>
      </c>
      <c r="F412">
        <v>99</v>
      </c>
      <c r="G412" t="s">
        <v>335</v>
      </c>
      <c r="H412" t="s">
        <v>167</v>
      </c>
      <c r="I412" t="s">
        <v>45</v>
      </c>
      <c r="K412">
        <v>202504227918060</v>
      </c>
      <c r="M412">
        <v>20250422</v>
      </c>
      <c r="N412" t="s">
        <v>3136</v>
      </c>
      <c r="Q412" t="s">
        <v>170</v>
      </c>
      <c r="R412">
        <v>11241.66</v>
      </c>
      <c r="S412">
        <v>0</v>
      </c>
      <c r="T412">
        <v>4034244</v>
      </c>
      <c r="U412" t="s">
        <v>606</v>
      </c>
      <c r="V412" t="s">
        <v>607</v>
      </c>
      <c r="W412" t="s">
        <v>187</v>
      </c>
      <c r="Y412" t="s">
        <v>51</v>
      </c>
      <c r="Z412">
        <v>451</v>
      </c>
      <c r="AH412">
        <v>0</v>
      </c>
      <c r="AI412">
        <v>202504</v>
      </c>
      <c r="AJ412" t="s">
        <v>86</v>
      </c>
      <c r="AK412">
        <v>1</v>
      </c>
      <c r="AL412">
        <v>0</v>
      </c>
      <c r="AO412">
        <v>1</v>
      </c>
      <c r="AP412" t="s">
        <v>3015</v>
      </c>
      <c r="AQ412" t="s">
        <v>3044</v>
      </c>
      <c r="AR412" t="s">
        <v>3045</v>
      </c>
      <c r="AS412" t="s">
        <v>3046</v>
      </c>
      <c r="AU412" t="s">
        <v>3046</v>
      </c>
    </row>
    <row r="413" spans="1:47" x14ac:dyDescent="0.35">
      <c r="A413">
        <v>337452</v>
      </c>
      <c r="B413" t="s">
        <v>193</v>
      </c>
      <c r="C413" t="s">
        <v>194</v>
      </c>
      <c r="D413" s="2">
        <v>45770</v>
      </c>
      <c r="E413">
        <v>53850</v>
      </c>
      <c r="F413">
        <v>182</v>
      </c>
      <c r="G413" t="s">
        <v>318</v>
      </c>
      <c r="H413" t="s">
        <v>167</v>
      </c>
      <c r="I413" t="s">
        <v>45</v>
      </c>
      <c r="K413">
        <v>202504227917765</v>
      </c>
      <c r="L413">
        <v>1823300169301</v>
      </c>
      <c r="M413">
        <v>20250422</v>
      </c>
      <c r="N413" t="s">
        <v>195</v>
      </c>
      <c r="Q413" t="s">
        <v>47</v>
      </c>
      <c r="R413">
        <v>21090</v>
      </c>
      <c r="S413">
        <v>21090</v>
      </c>
      <c r="T413">
        <v>4284957</v>
      </c>
      <c r="U413" t="s">
        <v>455</v>
      </c>
      <c r="V413" t="s">
        <v>456</v>
      </c>
      <c r="W413" t="s">
        <v>69</v>
      </c>
      <c r="X413" t="s">
        <v>197</v>
      </c>
      <c r="Y413" t="s">
        <v>51</v>
      </c>
      <c r="Z413">
        <v>1656</v>
      </c>
      <c r="AH413">
        <v>0</v>
      </c>
      <c r="AI413">
        <v>202504</v>
      </c>
      <c r="AJ413" t="s">
        <v>56</v>
      </c>
      <c r="AK413">
        <v>0</v>
      </c>
      <c r="AL413">
        <v>1</v>
      </c>
      <c r="AM413">
        <v>4284957</v>
      </c>
      <c r="AN413">
        <v>1</v>
      </c>
      <c r="AO413">
        <v>0</v>
      </c>
      <c r="AP413" t="s">
        <v>3050</v>
      </c>
      <c r="AQ413" t="s">
        <v>3021</v>
      </c>
      <c r="AR413" t="s">
        <v>3070</v>
      </c>
      <c r="AS413" t="s">
        <v>3055</v>
      </c>
      <c r="AU413" t="s">
        <v>3055</v>
      </c>
    </row>
    <row r="414" spans="1:47" x14ac:dyDescent="0.35">
      <c r="A414">
        <v>337451</v>
      </c>
      <c r="B414" t="s">
        <v>178</v>
      </c>
      <c r="C414" t="s">
        <v>179</v>
      </c>
      <c r="D414" s="2">
        <v>45770</v>
      </c>
      <c r="E414">
        <v>53850</v>
      </c>
      <c r="F414">
        <v>167</v>
      </c>
      <c r="G414" t="s">
        <v>278</v>
      </c>
      <c r="H414" t="s">
        <v>167</v>
      </c>
      <c r="I414" t="s">
        <v>45</v>
      </c>
      <c r="K414">
        <v>202504227918059</v>
      </c>
      <c r="L414">
        <v>1673300000962</v>
      </c>
      <c r="M414">
        <v>20250422</v>
      </c>
      <c r="N414" t="s">
        <v>3136</v>
      </c>
      <c r="Q414" t="s">
        <v>170</v>
      </c>
      <c r="R414">
        <v>11241.66</v>
      </c>
      <c r="S414">
        <v>0</v>
      </c>
      <c r="T414">
        <v>4755229</v>
      </c>
      <c r="U414" t="s">
        <v>608</v>
      </c>
      <c r="V414" t="s">
        <v>609</v>
      </c>
      <c r="W414" t="s">
        <v>187</v>
      </c>
      <c r="Y414" t="s">
        <v>51</v>
      </c>
      <c r="Z414">
        <v>451</v>
      </c>
      <c r="AH414">
        <v>0</v>
      </c>
      <c r="AI414">
        <v>202504</v>
      </c>
      <c r="AJ414" t="s">
        <v>86</v>
      </c>
      <c r="AK414">
        <v>1</v>
      </c>
      <c r="AL414">
        <v>1</v>
      </c>
      <c r="AO414">
        <v>1</v>
      </c>
      <c r="AP414" t="s">
        <v>3015</v>
      </c>
      <c r="AQ414" t="s">
        <v>3044</v>
      </c>
      <c r="AR414" t="s">
        <v>3045</v>
      </c>
      <c r="AS414" t="s">
        <v>3046</v>
      </c>
      <c r="AU414" t="s">
        <v>3046</v>
      </c>
    </row>
    <row r="415" spans="1:47" x14ac:dyDescent="0.35">
      <c r="A415">
        <v>337450</v>
      </c>
      <c r="B415" t="s">
        <v>172</v>
      </c>
      <c r="C415" t="s">
        <v>173</v>
      </c>
      <c r="D415" s="2">
        <v>45770</v>
      </c>
      <c r="E415">
        <v>53850</v>
      </c>
      <c r="F415">
        <v>182</v>
      </c>
      <c r="G415" t="s">
        <v>318</v>
      </c>
      <c r="H415" t="s">
        <v>167</v>
      </c>
      <c r="I415" t="s">
        <v>45</v>
      </c>
      <c r="K415">
        <v>202504227918470</v>
      </c>
      <c r="L415">
        <v>1823300174370</v>
      </c>
      <c r="M415">
        <v>20250422</v>
      </c>
      <c r="N415" t="s">
        <v>231</v>
      </c>
      <c r="Q415" t="s">
        <v>47</v>
      </c>
      <c r="R415">
        <v>300000</v>
      </c>
      <c r="S415">
        <v>0</v>
      </c>
      <c r="T415">
        <v>4981499</v>
      </c>
      <c r="U415">
        <v>80221830583</v>
      </c>
      <c r="V415" t="s">
        <v>610</v>
      </c>
      <c r="W415" t="s">
        <v>49</v>
      </c>
      <c r="X415" t="s">
        <v>611</v>
      </c>
      <c r="Y415" t="s">
        <v>51</v>
      </c>
      <c r="Z415">
        <v>1101</v>
      </c>
      <c r="AH415">
        <v>0</v>
      </c>
      <c r="AI415">
        <v>202504</v>
      </c>
      <c r="AJ415" t="s">
        <v>86</v>
      </c>
      <c r="AK415">
        <v>1</v>
      </c>
      <c r="AL415">
        <v>1</v>
      </c>
      <c r="AO415">
        <v>0</v>
      </c>
      <c r="AP415" t="s">
        <v>3015</v>
      </c>
      <c r="AQ415" t="s">
        <v>3012</v>
      </c>
      <c r="AR415" t="s">
        <v>3016</v>
      </c>
      <c r="AT415" t="s">
        <v>3017</v>
      </c>
      <c r="AU415" t="s">
        <v>3018</v>
      </c>
    </row>
    <row r="416" spans="1:47" x14ac:dyDescent="0.35">
      <c r="A416">
        <v>337449</v>
      </c>
      <c r="B416" t="s">
        <v>172</v>
      </c>
      <c r="C416" t="s">
        <v>173</v>
      </c>
      <c r="D416" s="2">
        <v>45770</v>
      </c>
      <c r="E416">
        <v>53850</v>
      </c>
      <c r="F416">
        <v>102</v>
      </c>
      <c r="G416" t="s">
        <v>151</v>
      </c>
      <c r="H416" t="s">
        <v>167</v>
      </c>
      <c r="I416" t="s">
        <v>45</v>
      </c>
      <c r="K416" t="s">
        <v>584</v>
      </c>
      <c r="L416">
        <v>1023300660520</v>
      </c>
      <c r="M416">
        <v>20250422</v>
      </c>
      <c r="N416" t="s">
        <v>175</v>
      </c>
      <c r="Q416" t="s">
        <v>47</v>
      </c>
      <c r="R416">
        <v>193321.85</v>
      </c>
      <c r="S416">
        <v>49770</v>
      </c>
      <c r="T416">
        <v>66052</v>
      </c>
      <c r="U416">
        <v>398110726</v>
      </c>
      <c r="V416" t="s">
        <v>426</v>
      </c>
      <c r="W416" t="s">
        <v>49</v>
      </c>
      <c r="X416" t="s">
        <v>59</v>
      </c>
      <c r="Y416" t="s">
        <v>51</v>
      </c>
      <c r="Z416">
        <v>1203</v>
      </c>
      <c r="AH416">
        <v>0</v>
      </c>
      <c r="AI416">
        <v>202504</v>
      </c>
      <c r="AJ416" t="s">
        <v>119</v>
      </c>
      <c r="AK416">
        <v>1</v>
      </c>
      <c r="AL416">
        <v>1</v>
      </c>
      <c r="AM416">
        <v>66052</v>
      </c>
      <c r="AN416">
        <v>1</v>
      </c>
      <c r="AO416">
        <v>1</v>
      </c>
      <c r="AP416" t="s">
        <v>3015</v>
      </c>
      <c r="AQ416" t="s">
        <v>3012</v>
      </c>
      <c r="AR416" t="s">
        <v>3016</v>
      </c>
      <c r="AT416" t="s">
        <v>3017</v>
      </c>
      <c r="AU416" t="s">
        <v>3018</v>
      </c>
    </row>
    <row r="417" spans="1:47" x14ac:dyDescent="0.35">
      <c r="A417">
        <v>337448</v>
      </c>
      <c r="B417" t="s">
        <v>178</v>
      </c>
      <c r="C417" t="s">
        <v>179</v>
      </c>
      <c r="D417" s="2">
        <v>45770</v>
      </c>
      <c r="E417">
        <v>53850</v>
      </c>
      <c r="F417">
        <v>187</v>
      </c>
      <c r="G417" t="s">
        <v>251</v>
      </c>
      <c r="H417" t="s">
        <v>167</v>
      </c>
      <c r="I417" t="s">
        <v>45</v>
      </c>
      <c r="K417">
        <v>202504227915242</v>
      </c>
      <c r="L417">
        <v>999361870311</v>
      </c>
      <c r="M417">
        <v>20250422</v>
      </c>
      <c r="N417" t="s">
        <v>236</v>
      </c>
      <c r="P417" t="s">
        <v>51</v>
      </c>
      <c r="Q417" t="s">
        <v>170</v>
      </c>
      <c r="R417">
        <v>2852357.3</v>
      </c>
      <c r="S417">
        <v>0</v>
      </c>
      <c r="T417">
        <v>3004644</v>
      </c>
      <c r="U417">
        <v>80008750731</v>
      </c>
      <c r="V417" t="s">
        <v>252</v>
      </c>
      <c r="W417" t="s">
        <v>253</v>
      </c>
      <c r="Y417" t="s">
        <v>51</v>
      </c>
      <c r="Z417">
        <v>1627</v>
      </c>
      <c r="AH417">
        <v>0</v>
      </c>
      <c r="AI417">
        <v>202504</v>
      </c>
      <c r="AJ417" t="s">
        <v>52</v>
      </c>
      <c r="AK417">
        <v>0</v>
      </c>
      <c r="AL417">
        <v>1</v>
      </c>
      <c r="AO417">
        <v>0</v>
      </c>
      <c r="AP417" t="s">
        <v>3015</v>
      </c>
      <c r="AQ417" t="s">
        <v>3052</v>
      </c>
      <c r="AR417" t="s">
        <v>3053</v>
      </c>
      <c r="AS417" t="s">
        <v>3037</v>
      </c>
      <c r="AU417" t="s">
        <v>3037</v>
      </c>
    </row>
    <row r="418" spans="1:47" x14ac:dyDescent="0.35">
      <c r="A418">
        <v>337447</v>
      </c>
      <c r="B418" t="s">
        <v>193</v>
      </c>
      <c r="C418" t="s">
        <v>194</v>
      </c>
      <c r="D418" s="2">
        <v>45770</v>
      </c>
      <c r="E418">
        <v>53850</v>
      </c>
      <c r="F418">
        <v>104</v>
      </c>
      <c r="G418" t="s">
        <v>108</v>
      </c>
      <c r="H418" t="s">
        <v>167</v>
      </c>
      <c r="I418" t="s">
        <v>45</v>
      </c>
      <c r="K418" t="s">
        <v>584</v>
      </c>
      <c r="L418">
        <v>1043305922900</v>
      </c>
      <c r="M418">
        <v>20250422</v>
      </c>
      <c r="N418" t="s">
        <v>175</v>
      </c>
      <c r="Q418" t="s">
        <v>47</v>
      </c>
      <c r="R418">
        <v>36212.660000000003</v>
      </c>
      <c r="S418">
        <v>33550</v>
      </c>
      <c r="T418">
        <v>592290</v>
      </c>
      <c r="U418" t="s">
        <v>444</v>
      </c>
      <c r="V418" t="s">
        <v>445</v>
      </c>
      <c r="W418" t="s">
        <v>69</v>
      </c>
      <c r="X418" t="s">
        <v>446</v>
      </c>
      <c r="Y418" t="s">
        <v>51</v>
      </c>
      <c r="Z418">
        <v>1902</v>
      </c>
      <c r="AH418">
        <v>0</v>
      </c>
      <c r="AI418">
        <v>202504</v>
      </c>
      <c r="AJ418" t="s">
        <v>56</v>
      </c>
      <c r="AK418">
        <v>0</v>
      </c>
      <c r="AL418">
        <v>1</v>
      </c>
      <c r="AM418">
        <v>592290</v>
      </c>
      <c r="AN418">
        <v>1</v>
      </c>
      <c r="AO418">
        <v>1</v>
      </c>
      <c r="AP418" t="s">
        <v>3015</v>
      </c>
      <c r="AQ418" t="s">
        <v>3021</v>
      </c>
      <c r="AR418" t="s">
        <v>3022</v>
      </c>
      <c r="AT418" t="s">
        <v>3017</v>
      </c>
      <c r="AU418" t="s">
        <v>3014</v>
      </c>
    </row>
    <row r="419" spans="1:47" x14ac:dyDescent="0.35">
      <c r="A419">
        <v>337446</v>
      </c>
      <c r="B419" t="s">
        <v>214</v>
      </c>
      <c r="C419" t="s">
        <v>215</v>
      </c>
      <c r="D419" s="2">
        <v>45770</v>
      </c>
      <c r="E419">
        <v>53850</v>
      </c>
      <c r="F419">
        <v>122</v>
      </c>
      <c r="G419" t="s">
        <v>43</v>
      </c>
      <c r="H419" t="s">
        <v>167</v>
      </c>
      <c r="I419" t="s">
        <v>45</v>
      </c>
      <c r="K419">
        <v>202504227915508</v>
      </c>
      <c r="L419">
        <v>1223300001682</v>
      </c>
      <c r="M419">
        <v>20250422</v>
      </c>
      <c r="N419" t="s">
        <v>168</v>
      </c>
      <c r="P419" t="s">
        <v>217</v>
      </c>
      <c r="Q419" t="s">
        <v>170</v>
      </c>
      <c r="R419">
        <v>35057.5</v>
      </c>
      <c r="S419">
        <v>0</v>
      </c>
      <c r="T419">
        <v>3711207</v>
      </c>
      <c r="U419">
        <v>8825020723</v>
      </c>
      <c r="V419" t="s">
        <v>48</v>
      </c>
      <c r="W419" t="s">
        <v>49</v>
      </c>
      <c r="X419" t="s">
        <v>50</v>
      </c>
      <c r="Y419" t="s">
        <v>51</v>
      </c>
      <c r="Z419">
        <v>1696</v>
      </c>
      <c r="AH419">
        <v>0</v>
      </c>
      <c r="AI419">
        <v>202504</v>
      </c>
      <c r="AJ419" t="s">
        <v>52</v>
      </c>
      <c r="AK419">
        <v>0</v>
      </c>
      <c r="AL419">
        <v>1</v>
      </c>
      <c r="AO419">
        <v>0</v>
      </c>
      <c r="AP419" t="s">
        <v>3011</v>
      </c>
      <c r="AQ419" t="s">
        <v>3012</v>
      </c>
      <c r="AR419" t="s">
        <v>3013</v>
      </c>
      <c r="AS419" t="s">
        <v>3014</v>
      </c>
      <c r="AU419" t="s">
        <v>3014</v>
      </c>
    </row>
    <row r="420" spans="1:47" x14ac:dyDescent="0.35">
      <c r="A420">
        <v>337445</v>
      </c>
      <c r="B420" t="s">
        <v>172</v>
      </c>
      <c r="C420" t="s">
        <v>173</v>
      </c>
      <c r="D420" s="2">
        <v>45770</v>
      </c>
      <c r="E420">
        <v>53850</v>
      </c>
      <c r="F420">
        <v>121</v>
      </c>
      <c r="G420" t="s">
        <v>140</v>
      </c>
      <c r="H420" t="s">
        <v>167</v>
      </c>
      <c r="I420" t="s">
        <v>45</v>
      </c>
      <c r="K420">
        <v>202504227918223</v>
      </c>
      <c r="L420">
        <v>1733300001396</v>
      </c>
      <c r="M420">
        <v>20250422</v>
      </c>
      <c r="N420" t="s">
        <v>231</v>
      </c>
      <c r="Q420" t="s">
        <v>47</v>
      </c>
      <c r="R420">
        <v>227000</v>
      </c>
      <c r="S420">
        <v>0</v>
      </c>
      <c r="T420">
        <v>4144053</v>
      </c>
      <c r="U420" t="s">
        <v>612</v>
      </c>
      <c r="V420" t="s">
        <v>613</v>
      </c>
      <c r="W420" t="s">
        <v>69</v>
      </c>
      <c r="X420" t="s">
        <v>234</v>
      </c>
      <c r="Y420" t="s">
        <v>51</v>
      </c>
      <c r="Z420">
        <v>1530</v>
      </c>
      <c r="AH420">
        <v>0</v>
      </c>
      <c r="AI420">
        <v>202504</v>
      </c>
      <c r="AJ420" t="s">
        <v>52</v>
      </c>
      <c r="AK420">
        <v>0</v>
      </c>
      <c r="AL420">
        <v>1</v>
      </c>
      <c r="AO420">
        <v>0</v>
      </c>
      <c r="AP420" t="s">
        <v>3015</v>
      </c>
      <c r="AQ420" t="s">
        <v>3021</v>
      </c>
      <c r="AR420" t="s">
        <v>3022</v>
      </c>
      <c r="AT420" t="s">
        <v>3017</v>
      </c>
      <c r="AU420" t="s">
        <v>3014</v>
      </c>
    </row>
    <row r="421" spans="1:47" x14ac:dyDescent="0.35">
      <c r="A421">
        <v>337444</v>
      </c>
      <c r="B421" t="s">
        <v>164</v>
      </c>
      <c r="C421" t="s">
        <v>165</v>
      </c>
      <c r="D421" s="2">
        <v>45770</v>
      </c>
      <c r="E421">
        <v>53850</v>
      </c>
      <c r="F421">
        <v>270</v>
      </c>
      <c r="G421" t="s">
        <v>524</v>
      </c>
      <c r="H421" t="s">
        <v>167</v>
      </c>
      <c r="I421" t="s">
        <v>45</v>
      </c>
      <c r="K421">
        <v>202504227917031</v>
      </c>
      <c r="L421">
        <v>2703300010883</v>
      </c>
      <c r="M421">
        <v>20250422</v>
      </c>
      <c r="N421" t="s">
        <v>168</v>
      </c>
      <c r="P421" t="s">
        <v>244</v>
      </c>
      <c r="Q421" t="s">
        <v>47</v>
      </c>
      <c r="R421">
        <v>5000.01</v>
      </c>
      <c r="S421">
        <v>0</v>
      </c>
      <c r="T421">
        <v>3741718</v>
      </c>
      <c r="U421">
        <v>2347470680</v>
      </c>
      <c r="V421" t="s">
        <v>596</v>
      </c>
      <c r="W421" t="s">
        <v>49</v>
      </c>
      <c r="X421" t="s">
        <v>597</v>
      </c>
      <c r="Y421" t="s">
        <v>51</v>
      </c>
      <c r="Z421">
        <v>1560</v>
      </c>
      <c r="AH421">
        <v>0</v>
      </c>
      <c r="AI421">
        <v>202504</v>
      </c>
      <c r="AJ421" t="s">
        <v>56</v>
      </c>
      <c r="AK421">
        <v>0</v>
      </c>
      <c r="AL421">
        <v>1</v>
      </c>
      <c r="AO421">
        <v>0</v>
      </c>
      <c r="AP421" t="s">
        <v>3015</v>
      </c>
      <c r="AQ421" t="s">
        <v>3012</v>
      </c>
      <c r="AR421" t="s">
        <v>3016</v>
      </c>
      <c r="AT421" t="s">
        <v>3017</v>
      </c>
      <c r="AU421" t="s">
        <v>3018</v>
      </c>
    </row>
    <row r="422" spans="1:47" x14ac:dyDescent="0.35">
      <c r="A422">
        <v>337443</v>
      </c>
      <c r="B422" t="s">
        <v>178</v>
      </c>
      <c r="C422" t="s">
        <v>179</v>
      </c>
      <c r="D422" s="2">
        <v>45770</v>
      </c>
      <c r="E422">
        <v>53850</v>
      </c>
      <c r="F422">
        <v>137</v>
      </c>
      <c r="G422" t="s">
        <v>166</v>
      </c>
      <c r="H422" t="s">
        <v>167</v>
      </c>
      <c r="I422" t="s">
        <v>45</v>
      </c>
      <c r="K422">
        <v>202504227916919</v>
      </c>
      <c r="L422">
        <v>1373304102457</v>
      </c>
      <c r="M422">
        <v>20250422</v>
      </c>
      <c r="N422" t="s">
        <v>46</v>
      </c>
      <c r="P422" t="s">
        <v>51</v>
      </c>
      <c r="Q422" t="s">
        <v>47</v>
      </c>
      <c r="R422">
        <v>390167.62</v>
      </c>
      <c r="S422">
        <v>0</v>
      </c>
      <c r="T422">
        <v>1003291</v>
      </c>
      <c r="U422" t="s">
        <v>614</v>
      </c>
      <c r="V422" t="s">
        <v>615</v>
      </c>
      <c r="W422" t="s">
        <v>187</v>
      </c>
      <c r="Y422" t="s">
        <v>51</v>
      </c>
      <c r="Z422">
        <v>1867</v>
      </c>
      <c r="AH422">
        <v>0</v>
      </c>
      <c r="AI422">
        <v>202504</v>
      </c>
      <c r="AJ422" t="s">
        <v>56</v>
      </c>
      <c r="AK422">
        <v>0</v>
      </c>
      <c r="AL422">
        <v>1</v>
      </c>
      <c r="AO422">
        <v>0</v>
      </c>
      <c r="AP422" t="s">
        <v>3015</v>
      </c>
      <c r="AQ422" t="s">
        <v>3044</v>
      </c>
      <c r="AR422" t="s">
        <v>3045</v>
      </c>
      <c r="AS422" t="s">
        <v>3046</v>
      </c>
      <c r="AU422" t="s">
        <v>3046</v>
      </c>
    </row>
    <row r="423" spans="1:47" x14ac:dyDescent="0.35">
      <c r="A423">
        <v>337442</v>
      </c>
      <c r="B423" t="s">
        <v>178</v>
      </c>
      <c r="C423" t="s">
        <v>179</v>
      </c>
      <c r="D423" s="2">
        <v>45770</v>
      </c>
      <c r="E423">
        <v>53850</v>
      </c>
      <c r="F423">
        <v>168</v>
      </c>
      <c r="G423" t="s">
        <v>616</v>
      </c>
      <c r="H423" t="s">
        <v>167</v>
      </c>
      <c r="I423" t="s">
        <v>45</v>
      </c>
      <c r="K423">
        <v>202504227918393</v>
      </c>
      <c r="L423">
        <v>1683306276775</v>
      </c>
      <c r="M423">
        <v>20250422</v>
      </c>
      <c r="N423" t="s">
        <v>3136</v>
      </c>
      <c r="Q423" t="s">
        <v>170</v>
      </c>
      <c r="R423">
        <v>50379.92</v>
      </c>
      <c r="S423">
        <v>0</v>
      </c>
      <c r="T423">
        <v>105145</v>
      </c>
      <c r="U423" t="s">
        <v>617</v>
      </c>
      <c r="V423" t="s">
        <v>618</v>
      </c>
      <c r="W423" t="s">
        <v>187</v>
      </c>
      <c r="Y423" t="s">
        <v>51</v>
      </c>
      <c r="Z423">
        <v>1316</v>
      </c>
      <c r="AH423">
        <v>0</v>
      </c>
      <c r="AI423">
        <v>202504</v>
      </c>
      <c r="AJ423" t="s">
        <v>86</v>
      </c>
      <c r="AK423">
        <v>1</v>
      </c>
      <c r="AL423">
        <v>1</v>
      </c>
      <c r="AO423">
        <v>1</v>
      </c>
      <c r="AP423" t="s">
        <v>3015</v>
      </c>
      <c r="AQ423" t="s">
        <v>3044</v>
      </c>
      <c r="AR423" t="s">
        <v>3045</v>
      </c>
      <c r="AS423" t="s">
        <v>3046</v>
      </c>
      <c r="AU423" t="s">
        <v>3046</v>
      </c>
    </row>
    <row r="424" spans="1:47" x14ac:dyDescent="0.35">
      <c r="A424">
        <v>337441</v>
      </c>
      <c r="B424" t="s">
        <v>164</v>
      </c>
      <c r="C424" t="s">
        <v>165</v>
      </c>
      <c r="D424" s="2">
        <v>45770</v>
      </c>
      <c r="E424">
        <v>53850</v>
      </c>
      <c r="F424">
        <v>226</v>
      </c>
      <c r="G424" t="s">
        <v>129</v>
      </c>
      <c r="H424" t="s">
        <v>167</v>
      </c>
      <c r="I424" t="s">
        <v>45</v>
      </c>
      <c r="K424">
        <v>202504227916558</v>
      </c>
      <c r="L424">
        <v>1163307619285</v>
      </c>
      <c r="M424">
        <v>20250422</v>
      </c>
      <c r="N424" t="s">
        <v>168</v>
      </c>
      <c r="P424" t="s">
        <v>255</v>
      </c>
      <c r="Q424" t="s">
        <v>47</v>
      </c>
      <c r="R424">
        <v>13000</v>
      </c>
      <c r="S424">
        <v>0</v>
      </c>
      <c r="T424">
        <v>4709685</v>
      </c>
      <c r="U424">
        <v>6911480728</v>
      </c>
      <c r="V424" t="s">
        <v>619</v>
      </c>
      <c r="W424" t="s">
        <v>620</v>
      </c>
      <c r="X424" t="s">
        <v>621</v>
      </c>
      <c r="Y424" t="s">
        <v>51</v>
      </c>
      <c r="Z424">
        <v>1932</v>
      </c>
      <c r="AH424">
        <v>0</v>
      </c>
      <c r="AI424">
        <v>202504</v>
      </c>
      <c r="AJ424" t="s">
        <v>114</v>
      </c>
      <c r="AK424">
        <v>1</v>
      </c>
      <c r="AL424">
        <v>1</v>
      </c>
      <c r="AO424">
        <v>0</v>
      </c>
      <c r="AP424" t="s">
        <v>3015</v>
      </c>
      <c r="AQ424" t="s">
        <v>3080</v>
      </c>
      <c r="AR424" t="s">
        <v>3081</v>
      </c>
      <c r="AT424" t="s">
        <v>3017</v>
      </c>
      <c r="AU424" t="s">
        <v>3057</v>
      </c>
    </row>
    <row r="425" spans="1:47" x14ac:dyDescent="0.35">
      <c r="A425">
        <v>337440</v>
      </c>
      <c r="B425" t="s">
        <v>178</v>
      </c>
      <c r="C425" t="s">
        <v>179</v>
      </c>
      <c r="D425" s="2">
        <v>45770</v>
      </c>
      <c r="E425">
        <v>53850</v>
      </c>
      <c r="F425">
        <v>168</v>
      </c>
      <c r="G425" t="s">
        <v>616</v>
      </c>
      <c r="H425" t="s">
        <v>167</v>
      </c>
      <c r="I425" t="s">
        <v>45</v>
      </c>
      <c r="K425">
        <v>202504227918393</v>
      </c>
      <c r="L425">
        <v>1683306276775</v>
      </c>
      <c r="M425">
        <v>20250422</v>
      </c>
      <c r="N425" t="s">
        <v>3136</v>
      </c>
      <c r="Q425" t="s">
        <v>170</v>
      </c>
      <c r="R425">
        <v>50379.92</v>
      </c>
      <c r="S425">
        <v>0</v>
      </c>
      <c r="T425">
        <v>4874375</v>
      </c>
      <c r="U425" t="s">
        <v>622</v>
      </c>
      <c r="V425" t="s">
        <v>623</v>
      </c>
      <c r="W425" t="s">
        <v>187</v>
      </c>
      <c r="Y425" t="s">
        <v>51</v>
      </c>
      <c r="Z425">
        <v>1316</v>
      </c>
      <c r="AH425">
        <v>0</v>
      </c>
      <c r="AI425">
        <v>202504</v>
      </c>
      <c r="AJ425" t="s">
        <v>86</v>
      </c>
      <c r="AK425">
        <v>1</v>
      </c>
      <c r="AL425">
        <v>1</v>
      </c>
      <c r="AO425">
        <v>1</v>
      </c>
      <c r="AP425" t="s">
        <v>3015</v>
      </c>
      <c r="AQ425" t="s">
        <v>3044</v>
      </c>
      <c r="AR425" t="s">
        <v>3045</v>
      </c>
      <c r="AS425" t="s">
        <v>3046</v>
      </c>
      <c r="AU425" t="s">
        <v>3046</v>
      </c>
    </row>
    <row r="426" spans="1:47" x14ac:dyDescent="0.35">
      <c r="A426">
        <v>337439</v>
      </c>
      <c r="B426" t="s">
        <v>193</v>
      </c>
      <c r="C426" t="s">
        <v>194</v>
      </c>
      <c r="D426" s="2">
        <v>45770</v>
      </c>
      <c r="E426">
        <v>53850</v>
      </c>
      <c r="F426">
        <v>161</v>
      </c>
      <c r="G426" t="s">
        <v>111</v>
      </c>
      <c r="H426" t="s">
        <v>167</v>
      </c>
      <c r="I426" t="s">
        <v>45</v>
      </c>
      <c r="K426" t="s">
        <v>584</v>
      </c>
      <c r="L426">
        <v>1613300031333</v>
      </c>
      <c r="M426">
        <v>20250422</v>
      </c>
      <c r="N426" t="s">
        <v>175</v>
      </c>
      <c r="Q426" t="s">
        <v>47</v>
      </c>
      <c r="R426">
        <v>35402.15</v>
      </c>
      <c r="S426">
        <v>31770</v>
      </c>
      <c r="T426">
        <v>511904</v>
      </c>
      <c r="U426" t="s">
        <v>388</v>
      </c>
      <c r="V426" t="s">
        <v>389</v>
      </c>
      <c r="W426" t="s">
        <v>69</v>
      </c>
      <c r="X426" t="s">
        <v>55</v>
      </c>
      <c r="Y426" t="s">
        <v>51</v>
      </c>
      <c r="Z426">
        <v>857</v>
      </c>
      <c r="AH426">
        <v>0</v>
      </c>
      <c r="AI426">
        <v>202504</v>
      </c>
      <c r="AJ426" t="s">
        <v>56</v>
      </c>
      <c r="AK426">
        <v>0</v>
      </c>
      <c r="AL426">
        <v>1</v>
      </c>
      <c r="AM426">
        <v>511904</v>
      </c>
      <c r="AN426">
        <v>1</v>
      </c>
      <c r="AO426">
        <v>1</v>
      </c>
      <c r="AP426" t="s">
        <v>3015</v>
      </c>
      <c r="AQ426" t="s">
        <v>3021</v>
      </c>
      <c r="AR426" t="s">
        <v>3022</v>
      </c>
      <c r="AT426" t="s">
        <v>3017</v>
      </c>
      <c r="AU426" t="s">
        <v>3014</v>
      </c>
    </row>
    <row r="427" spans="1:47" x14ac:dyDescent="0.35">
      <c r="A427">
        <v>337438</v>
      </c>
      <c r="B427" t="s">
        <v>172</v>
      </c>
      <c r="C427" t="s">
        <v>173</v>
      </c>
      <c r="D427" s="2">
        <v>45770</v>
      </c>
      <c r="E427">
        <v>53850</v>
      </c>
      <c r="F427">
        <v>128</v>
      </c>
      <c r="G427" t="s">
        <v>94</v>
      </c>
      <c r="H427" t="s">
        <v>167</v>
      </c>
      <c r="I427" t="s">
        <v>45</v>
      </c>
      <c r="K427" t="s">
        <v>584</v>
      </c>
      <c r="L427">
        <v>1283300001665</v>
      </c>
      <c r="M427">
        <v>20250422</v>
      </c>
      <c r="N427" t="s">
        <v>175</v>
      </c>
      <c r="Q427" t="s">
        <v>47</v>
      </c>
      <c r="R427">
        <v>162810.71</v>
      </c>
      <c r="S427">
        <v>0</v>
      </c>
      <c r="T427">
        <v>4254896</v>
      </c>
      <c r="U427">
        <v>6234730726</v>
      </c>
      <c r="V427" t="s">
        <v>95</v>
      </c>
      <c r="W427" t="s">
        <v>49</v>
      </c>
      <c r="X427" t="s">
        <v>96</v>
      </c>
      <c r="Y427" t="s">
        <v>51</v>
      </c>
      <c r="Z427">
        <v>1919</v>
      </c>
      <c r="AH427">
        <v>0</v>
      </c>
      <c r="AI427">
        <v>202504</v>
      </c>
      <c r="AJ427" t="s">
        <v>56</v>
      </c>
      <c r="AK427">
        <v>0</v>
      </c>
      <c r="AL427">
        <v>1</v>
      </c>
      <c r="AO427">
        <v>1</v>
      </c>
      <c r="AP427" t="s">
        <v>3015</v>
      </c>
      <c r="AQ427" t="s">
        <v>3012</v>
      </c>
      <c r="AR427" t="s">
        <v>3016</v>
      </c>
      <c r="AT427" t="s">
        <v>3017</v>
      </c>
      <c r="AU427" t="s">
        <v>3018</v>
      </c>
    </row>
    <row r="428" spans="1:47" x14ac:dyDescent="0.35">
      <c r="A428">
        <v>337437</v>
      </c>
      <c r="B428" t="s">
        <v>193</v>
      </c>
      <c r="C428" t="s">
        <v>194</v>
      </c>
      <c r="D428" s="2">
        <v>45770</v>
      </c>
      <c r="E428">
        <v>53850</v>
      </c>
      <c r="F428">
        <v>102</v>
      </c>
      <c r="G428" t="s">
        <v>151</v>
      </c>
      <c r="H428" t="s">
        <v>167</v>
      </c>
      <c r="I428" t="s">
        <v>45</v>
      </c>
      <c r="K428" t="s">
        <v>584</v>
      </c>
      <c r="L428">
        <v>1023308720537</v>
      </c>
      <c r="M428">
        <v>20250422</v>
      </c>
      <c r="N428" t="s">
        <v>195</v>
      </c>
      <c r="Q428" t="s">
        <v>47</v>
      </c>
      <c r="R428">
        <v>61360</v>
      </c>
      <c r="S428">
        <v>61360</v>
      </c>
      <c r="T428">
        <v>4653840</v>
      </c>
      <c r="U428">
        <v>7052850729</v>
      </c>
      <c r="V428" t="s">
        <v>485</v>
      </c>
      <c r="W428" t="s">
        <v>49</v>
      </c>
      <c r="X428" t="s">
        <v>200</v>
      </c>
      <c r="Y428" t="s">
        <v>51</v>
      </c>
      <c r="Z428">
        <v>979</v>
      </c>
      <c r="AH428">
        <v>0</v>
      </c>
      <c r="AI428">
        <v>202504</v>
      </c>
      <c r="AJ428" t="s">
        <v>52</v>
      </c>
      <c r="AK428">
        <v>0</v>
      </c>
      <c r="AL428">
        <v>1</v>
      </c>
      <c r="AM428">
        <v>4653840</v>
      </c>
      <c r="AN428">
        <v>1</v>
      </c>
      <c r="AO428">
        <v>0</v>
      </c>
      <c r="AP428" t="s">
        <v>3015</v>
      </c>
      <c r="AQ428" t="s">
        <v>3012</v>
      </c>
      <c r="AR428" t="s">
        <v>3016</v>
      </c>
      <c r="AT428" t="s">
        <v>3017</v>
      </c>
      <c r="AU428" t="s">
        <v>3018</v>
      </c>
    </row>
    <row r="429" spans="1:47" x14ac:dyDescent="0.35">
      <c r="A429">
        <v>337436</v>
      </c>
      <c r="B429" t="s">
        <v>178</v>
      </c>
      <c r="C429" t="s">
        <v>179</v>
      </c>
      <c r="D429" s="2">
        <v>45770</v>
      </c>
      <c r="E429">
        <v>53850</v>
      </c>
      <c r="F429">
        <v>169</v>
      </c>
      <c r="G429" t="s">
        <v>57</v>
      </c>
      <c r="H429" t="s">
        <v>167</v>
      </c>
      <c r="I429" t="s">
        <v>45</v>
      </c>
      <c r="K429">
        <v>202504227918396</v>
      </c>
      <c r="L429">
        <v>1693302223267</v>
      </c>
      <c r="M429">
        <v>20250422</v>
      </c>
      <c r="N429" t="s">
        <v>236</v>
      </c>
      <c r="P429" t="s">
        <v>51</v>
      </c>
      <c r="Q429" t="s">
        <v>170</v>
      </c>
      <c r="R429">
        <v>250000</v>
      </c>
      <c r="S429">
        <v>0</v>
      </c>
      <c r="T429">
        <v>4254594</v>
      </c>
      <c r="U429" t="s">
        <v>624</v>
      </c>
      <c r="V429" t="s">
        <v>625</v>
      </c>
      <c r="W429" t="s">
        <v>187</v>
      </c>
      <c r="Y429" t="s">
        <v>51</v>
      </c>
      <c r="Z429">
        <v>1352</v>
      </c>
      <c r="AH429">
        <v>0</v>
      </c>
      <c r="AI429">
        <v>202504</v>
      </c>
      <c r="AJ429" t="s">
        <v>86</v>
      </c>
      <c r="AK429">
        <v>1</v>
      </c>
      <c r="AL429">
        <v>1</v>
      </c>
      <c r="AO429">
        <v>0</v>
      </c>
      <c r="AP429" t="s">
        <v>3015</v>
      </c>
      <c r="AQ429" t="s">
        <v>3044</v>
      </c>
      <c r="AR429" t="s">
        <v>3045</v>
      </c>
      <c r="AS429" t="s">
        <v>3046</v>
      </c>
      <c r="AU429" t="s">
        <v>3046</v>
      </c>
    </row>
    <row r="430" spans="1:47" x14ac:dyDescent="0.35">
      <c r="A430">
        <v>337435</v>
      </c>
      <c r="B430" t="s">
        <v>172</v>
      </c>
      <c r="C430" t="s">
        <v>173</v>
      </c>
      <c r="D430" s="2">
        <v>45770</v>
      </c>
      <c r="E430">
        <v>53850</v>
      </c>
      <c r="F430">
        <v>267</v>
      </c>
      <c r="G430" t="s">
        <v>349</v>
      </c>
      <c r="H430" t="s">
        <v>167</v>
      </c>
      <c r="I430" t="s">
        <v>45</v>
      </c>
      <c r="K430">
        <v>202504227918583</v>
      </c>
      <c r="L430">
        <v>2673300003600</v>
      </c>
      <c r="M430">
        <v>20250422</v>
      </c>
      <c r="N430" t="s">
        <v>266</v>
      </c>
      <c r="Q430" t="s">
        <v>47</v>
      </c>
      <c r="R430">
        <v>134000</v>
      </c>
      <c r="S430">
        <v>134000</v>
      </c>
      <c r="T430">
        <v>1705101</v>
      </c>
      <c r="U430">
        <v>2896870793</v>
      </c>
      <c r="V430" t="s">
        <v>439</v>
      </c>
      <c r="W430" t="s">
        <v>190</v>
      </c>
      <c r="X430" t="s">
        <v>200</v>
      </c>
      <c r="Y430" t="s">
        <v>51</v>
      </c>
      <c r="Z430">
        <v>1878</v>
      </c>
      <c r="AH430">
        <v>0</v>
      </c>
      <c r="AI430">
        <v>202504</v>
      </c>
      <c r="AJ430" t="s">
        <v>56</v>
      </c>
      <c r="AK430">
        <v>0</v>
      </c>
      <c r="AL430">
        <v>1</v>
      </c>
      <c r="AM430">
        <v>1705101</v>
      </c>
      <c r="AN430">
        <v>1</v>
      </c>
      <c r="AO430">
        <v>0</v>
      </c>
      <c r="AP430" t="s">
        <v>3015</v>
      </c>
      <c r="AQ430" t="s">
        <v>3047</v>
      </c>
      <c r="AR430" t="s">
        <v>3056</v>
      </c>
      <c r="AT430" t="s">
        <v>3017</v>
      </c>
      <c r="AU430" t="s">
        <v>3057</v>
      </c>
    </row>
    <row r="431" spans="1:47" x14ac:dyDescent="0.35">
      <c r="A431">
        <v>337434</v>
      </c>
      <c r="B431" t="s">
        <v>178</v>
      </c>
      <c r="C431" t="s">
        <v>179</v>
      </c>
      <c r="D431" s="2">
        <v>45770</v>
      </c>
      <c r="E431">
        <v>53850</v>
      </c>
      <c r="F431">
        <v>109</v>
      </c>
      <c r="G431" t="s">
        <v>89</v>
      </c>
      <c r="H431" t="s">
        <v>167</v>
      </c>
      <c r="I431" t="s">
        <v>45</v>
      </c>
      <c r="K431">
        <v>202504227917396</v>
      </c>
      <c r="L431">
        <v>1093306677156</v>
      </c>
      <c r="M431">
        <v>20250422</v>
      </c>
      <c r="N431" t="s">
        <v>258</v>
      </c>
      <c r="Q431" t="s">
        <v>170</v>
      </c>
      <c r="R431">
        <v>250000</v>
      </c>
      <c r="S431">
        <v>0</v>
      </c>
      <c r="T431">
        <v>455840</v>
      </c>
      <c r="U431" t="s">
        <v>626</v>
      </c>
      <c r="V431" t="s">
        <v>627</v>
      </c>
      <c r="W431" t="s">
        <v>187</v>
      </c>
      <c r="Y431" t="s">
        <v>51</v>
      </c>
      <c r="Z431">
        <v>507</v>
      </c>
      <c r="AH431">
        <v>0</v>
      </c>
      <c r="AI431">
        <v>202504</v>
      </c>
      <c r="AJ431" t="s">
        <v>86</v>
      </c>
      <c r="AK431">
        <v>1</v>
      </c>
      <c r="AL431">
        <v>1</v>
      </c>
      <c r="AO431">
        <v>0</v>
      </c>
      <c r="AP431" t="s">
        <v>3015</v>
      </c>
      <c r="AQ431" t="s">
        <v>3044</v>
      </c>
      <c r="AR431" t="s">
        <v>3045</v>
      </c>
      <c r="AS431" t="s">
        <v>3046</v>
      </c>
      <c r="AU431" t="s">
        <v>3046</v>
      </c>
    </row>
    <row r="432" spans="1:47" x14ac:dyDescent="0.35">
      <c r="A432">
        <v>337433</v>
      </c>
      <c r="B432" t="s">
        <v>178</v>
      </c>
      <c r="C432" t="s">
        <v>179</v>
      </c>
      <c r="D432" s="2">
        <v>45770</v>
      </c>
      <c r="E432">
        <v>53850</v>
      </c>
      <c r="F432">
        <v>169</v>
      </c>
      <c r="G432" t="s">
        <v>57</v>
      </c>
      <c r="H432" t="s">
        <v>167</v>
      </c>
      <c r="I432" t="s">
        <v>45</v>
      </c>
      <c r="K432">
        <v>202504227918396</v>
      </c>
      <c r="L432">
        <v>1693302223267</v>
      </c>
      <c r="M432">
        <v>20250422</v>
      </c>
      <c r="N432" t="s">
        <v>236</v>
      </c>
      <c r="P432" t="s">
        <v>51</v>
      </c>
      <c r="Q432" t="s">
        <v>170</v>
      </c>
      <c r="R432">
        <v>250000</v>
      </c>
      <c r="S432">
        <v>0</v>
      </c>
      <c r="T432">
        <v>4254593</v>
      </c>
      <c r="U432" t="s">
        <v>628</v>
      </c>
      <c r="V432" t="s">
        <v>629</v>
      </c>
      <c r="W432" t="s">
        <v>187</v>
      </c>
      <c r="Y432" t="s">
        <v>51</v>
      </c>
      <c r="Z432">
        <v>1352</v>
      </c>
      <c r="AH432">
        <v>0</v>
      </c>
      <c r="AI432">
        <v>202504</v>
      </c>
      <c r="AJ432" t="s">
        <v>86</v>
      </c>
      <c r="AK432">
        <v>1</v>
      </c>
      <c r="AL432">
        <v>1</v>
      </c>
      <c r="AO432">
        <v>0</v>
      </c>
      <c r="AP432" t="s">
        <v>3015</v>
      </c>
      <c r="AQ432" t="s">
        <v>3044</v>
      </c>
      <c r="AR432" t="s">
        <v>3045</v>
      </c>
      <c r="AS432" t="s">
        <v>3046</v>
      </c>
      <c r="AU432" t="s">
        <v>3046</v>
      </c>
    </row>
    <row r="433" spans="1:47" x14ac:dyDescent="0.35">
      <c r="A433">
        <v>337432</v>
      </c>
      <c r="B433" t="s">
        <v>193</v>
      </c>
      <c r="C433" t="s">
        <v>194</v>
      </c>
      <c r="D433" s="2">
        <v>45770</v>
      </c>
      <c r="E433">
        <v>53850</v>
      </c>
      <c r="F433">
        <v>175</v>
      </c>
      <c r="G433" t="s">
        <v>99</v>
      </c>
      <c r="H433" t="s">
        <v>167</v>
      </c>
      <c r="I433" t="s">
        <v>45</v>
      </c>
      <c r="K433" t="s">
        <v>584</v>
      </c>
      <c r="L433">
        <v>1753302203965</v>
      </c>
      <c r="M433">
        <v>20250422</v>
      </c>
      <c r="N433" t="s">
        <v>195</v>
      </c>
      <c r="Q433" t="s">
        <v>47</v>
      </c>
      <c r="R433">
        <v>30690</v>
      </c>
      <c r="S433">
        <v>30690</v>
      </c>
      <c r="T433">
        <v>4932268</v>
      </c>
      <c r="U433">
        <v>1360580771</v>
      </c>
      <c r="V433" t="s">
        <v>470</v>
      </c>
      <c r="W433" t="s">
        <v>49</v>
      </c>
      <c r="X433" t="s">
        <v>197</v>
      </c>
      <c r="Y433" t="s">
        <v>51</v>
      </c>
      <c r="Z433">
        <v>1110</v>
      </c>
      <c r="AH433">
        <v>0</v>
      </c>
      <c r="AI433">
        <v>202504</v>
      </c>
      <c r="AJ433" t="s">
        <v>56</v>
      </c>
      <c r="AK433">
        <v>0</v>
      </c>
      <c r="AL433">
        <v>1</v>
      </c>
      <c r="AM433">
        <v>4932268</v>
      </c>
      <c r="AN433">
        <v>1</v>
      </c>
      <c r="AO433">
        <v>0</v>
      </c>
      <c r="AP433" t="s">
        <v>3050</v>
      </c>
      <c r="AQ433" t="s">
        <v>3012</v>
      </c>
      <c r="AR433" t="s">
        <v>3071</v>
      </c>
      <c r="AS433" t="s">
        <v>3028</v>
      </c>
      <c r="AU433" t="s">
        <v>3028</v>
      </c>
    </row>
    <row r="434" spans="1:47" x14ac:dyDescent="0.35">
      <c r="A434">
        <v>337431</v>
      </c>
      <c r="B434" t="s">
        <v>193</v>
      </c>
      <c r="C434" t="s">
        <v>194</v>
      </c>
      <c r="D434" s="2">
        <v>45770</v>
      </c>
      <c r="E434">
        <v>53850</v>
      </c>
      <c r="F434">
        <v>102</v>
      </c>
      <c r="G434" t="s">
        <v>151</v>
      </c>
      <c r="H434" t="s">
        <v>167</v>
      </c>
      <c r="I434" t="s">
        <v>45</v>
      </c>
      <c r="K434" t="s">
        <v>584</v>
      </c>
      <c r="L434">
        <v>1023300660520</v>
      </c>
      <c r="M434">
        <v>20250422</v>
      </c>
      <c r="N434" t="s">
        <v>175</v>
      </c>
      <c r="Q434" t="s">
        <v>47</v>
      </c>
      <c r="R434">
        <v>193321.85</v>
      </c>
      <c r="S434">
        <v>49770</v>
      </c>
      <c r="T434">
        <v>66052</v>
      </c>
      <c r="U434">
        <v>398110726</v>
      </c>
      <c r="V434" t="s">
        <v>426</v>
      </c>
      <c r="W434" t="s">
        <v>49</v>
      </c>
      <c r="X434" t="s">
        <v>59</v>
      </c>
      <c r="Y434" t="s">
        <v>51</v>
      </c>
      <c r="Z434">
        <v>1203</v>
      </c>
      <c r="AH434">
        <v>0</v>
      </c>
      <c r="AI434">
        <v>202504</v>
      </c>
      <c r="AJ434" t="s">
        <v>119</v>
      </c>
      <c r="AK434">
        <v>1</v>
      </c>
      <c r="AL434">
        <v>1</v>
      </c>
      <c r="AM434">
        <v>66052</v>
      </c>
      <c r="AN434">
        <v>1</v>
      </c>
      <c r="AO434">
        <v>1</v>
      </c>
      <c r="AP434" t="s">
        <v>3015</v>
      </c>
      <c r="AQ434" t="s">
        <v>3012</v>
      </c>
      <c r="AR434" t="s">
        <v>3016</v>
      </c>
      <c r="AT434" t="s">
        <v>3017</v>
      </c>
      <c r="AU434" t="s">
        <v>3018</v>
      </c>
    </row>
    <row r="435" spans="1:47" x14ac:dyDescent="0.35">
      <c r="A435">
        <v>337430</v>
      </c>
      <c r="B435" t="s">
        <v>178</v>
      </c>
      <c r="C435" t="s">
        <v>179</v>
      </c>
      <c r="D435" s="2">
        <v>45770</v>
      </c>
      <c r="E435">
        <v>53850</v>
      </c>
      <c r="F435">
        <v>279</v>
      </c>
      <c r="G435" t="s">
        <v>587</v>
      </c>
      <c r="H435" t="s">
        <v>167</v>
      </c>
      <c r="I435" t="s">
        <v>45</v>
      </c>
      <c r="K435">
        <v>202504227918653</v>
      </c>
      <c r="L435">
        <v>2793300000731</v>
      </c>
      <c r="M435">
        <v>20250422</v>
      </c>
      <c r="N435" t="s">
        <v>3136</v>
      </c>
      <c r="Q435" t="s">
        <v>170</v>
      </c>
      <c r="R435">
        <v>8882.2099999999991</v>
      </c>
      <c r="S435">
        <v>0</v>
      </c>
      <c r="T435">
        <v>1668422</v>
      </c>
      <c r="U435" t="s">
        <v>630</v>
      </c>
      <c r="V435" t="s">
        <v>631</v>
      </c>
      <c r="W435" t="s">
        <v>187</v>
      </c>
      <c r="Y435" t="s">
        <v>51</v>
      </c>
      <c r="AH435">
        <v>0</v>
      </c>
      <c r="AI435">
        <v>202504</v>
      </c>
      <c r="AJ435" t="s">
        <v>52</v>
      </c>
      <c r="AK435">
        <v>0</v>
      </c>
      <c r="AL435">
        <v>1</v>
      </c>
      <c r="AO435">
        <v>1</v>
      </c>
      <c r="AP435" t="s">
        <v>3015</v>
      </c>
      <c r="AQ435" t="s">
        <v>3044</v>
      </c>
      <c r="AR435" t="s">
        <v>3045</v>
      </c>
      <c r="AS435" t="s">
        <v>3046</v>
      </c>
      <c r="AU435" t="s">
        <v>3046</v>
      </c>
    </row>
    <row r="436" spans="1:47" x14ac:dyDescent="0.35">
      <c r="A436">
        <v>337429</v>
      </c>
      <c r="B436" t="s">
        <v>164</v>
      </c>
      <c r="C436" t="s">
        <v>165</v>
      </c>
      <c r="D436" s="2">
        <v>45770</v>
      </c>
      <c r="E436">
        <v>53850</v>
      </c>
      <c r="F436">
        <v>105</v>
      </c>
      <c r="G436" t="s">
        <v>60</v>
      </c>
      <c r="H436" t="s">
        <v>167</v>
      </c>
      <c r="I436" t="s">
        <v>45</v>
      </c>
      <c r="K436">
        <v>202504227917018</v>
      </c>
      <c r="L436">
        <v>1053306286871</v>
      </c>
      <c r="M436">
        <v>20250422</v>
      </c>
      <c r="N436" t="s">
        <v>168</v>
      </c>
      <c r="P436" t="s">
        <v>435</v>
      </c>
      <c r="Q436" t="s">
        <v>47</v>
      </c>
      <c r="R436">
        <v>5642.5</v>
      </c>
      <c r="S436">
        <v>0</v>
      </c>
      <c r="T436">
        <v>4269425</v>
      </c>
      <c r="U436">
        <v>4938290725</v>
      </c>
      <c r="V436" t="s">
        <v>632</v>
      </c>
      <c r="W436" t="s">
        <v>620</v>
      </c>
      <c r="X436" t="s">
        <v>85</v>
      </c>
      <c r="Y436" t="s">
        <v>51</v>
      </c>
      <c r="Z436">
        <v>1947</v>
      </c>
      <c r="AH436">
        <v>0</v>
      </c>
      <c r="AI436">
        <v>202504</v>
      </c>
      <c r="AJ436" t="s">
        <v>119</v>
      </c>
      <c r="AK436">
        <v>1</v>
      </c>
      <c r="AL436">
        <v>1</v>
      </c>
      <c r="AO436">
        <v>0</v>
      </c>
      <c r="AP436" t="s">
        <v>3015</v>
      </c>
      <c r="AQ436" t="s">
        <v>3080</v>
      </c>
      <c r="AR436" t="s">
        <v>3081</v>
      </c>
      <c r="AT436" t="s">
        <v>3017</v>
      </c>
      <c r="AU436" t="s">
        <v>3057</v>
      </c>
    </row>
    <row r="437" spans="1:47" x14ac:dyDescent="0.35">
      <c r="A437">
        <v>337428</v>
      </c>
      <c r="B437" t="s">
        <v>333</v>
      </c>
      <c r="C437" t="s">
        <v>334</v>
      </c>
      <c r="D437" s="2">
        <v>45770</v>
      </c>
      <c r="E437">
        <v>53850</v>
      </c>
      <c r="F437">
        <v>99</v>
      </c>
      <c r="G437" t="s">
        <v>335</v>
      </c>
      <c r="H437" t="s">
        <v>167</v>
      </c>
      <c r="I437" t="s">
        <v>45</v>
      </c>
      <c r="K437">
        <v>202504227918060</v>
      </c>
      <c r="M437">
        <v>20250422</v>
      </c>
      <c r="N437" t="s">
        <v>3136</v>
      </c>
      <c r="Q437" t="s">
        <v>170</v>
      </c>
      <c r="R437">
        <v>11241.66</v>
      </c>
      <c r="S437">
        <v>0</v>
      </c>
      <c r="T437">
        <v>4755229</v>
      </c>
      <c r="U437" t="s">
        <v>608</v>
      </c>
      <c r="V437" t="s">
        <v>609</v>
      </c>
      <c r="W437" t="s">
        <v>187</v>
      </c>
      <c r="Y437" t="s">
        <v>51</v>
      </c>
      <c r="Z437">
        <v>451</v>
      </c>
      <c r="AH437">
        <v>0</v>
      </c>
      <c r="AI437">
        <v>202504</v>
      </c>
      <c r="AJ437" t="s">
        <v>86</v>
      </c>
      <c r="AK437">
        <v>1</v>
      </c>
      <c r="AL437">
        <v>0</v>
      </c>
      <c r="AO437">
        <v>1</v>
      </c>
      <c r="AP437" t="s">
        <v>3015</v>
      </c>
      <c r="AQ437" t="s">
        <v>3044</v>
      </c>
      <c r="AR437" t="s">
        <v>3045</v>
      </c>
      <c r="AS437" t="s">
        <v>3046</v>
      </c>
      <c r="AU437" t="s">
        <v>3046</v>
      </c>
    </row>
    <row r="438" spans="1:47" x14ac:dyDescent="0.35">
      <c r="A438">
        <v>337427</v>
      </c>
      <c r="B438" t="s">
        <v>178</v>
      </c>
      <c r="C438" t="s">
        <v>179</v>
      </c>
      <c r="D438" s="2">
        <v>45770</v>
      </c>
      <c r="E438">
        <v>53850</v>
      </c>
      <c r="F438">
        <v>102</v>
      </c>
      <c r="G438" t="s">
        <v>151</v>
      </c>
      <c r="H438" t="s">
        <v>167</v>
      </c>
      <c r="I438" t="s">
        <v>45</v>
      </c>
      <c r="K438">
        <v>202504227915512</v>
      </c>
      <c r="L438">
        <v>1023308727913</v>
      </c>
      <c r="M438">
        <v>20250422</v>
      </c>
      <c r="N438" t="s">
        <v>633</v>
      </c>
      <c r="P438" t="s">
        <v>51</v>
      </c>
      <c r="Q438" t="s">
        <v>170</v>
      </c>
      <c r="R438">
        <v>2500000</v>
      </c>
      <c r="S438">
        <v>0</v>
      </c>
      <c r="T438">
        <v>413202</v>
      </c>
      <c r="U438">
        <v>454840778</v>
      </c>
      <c r="V438" t="s">
        <v>634</v>
      </c>
      <c r="W438" t="s">
        <v>49</v>
      </c>
      <c r="X438" t="s">
        <v>364</v>
      </c>
      <c r="Y438" t="s">
        <v>51</v>
      </c>
      <c r="Z438">
        <v>1203</v>
      </c>
      <c r="AH438">
        <v>0</v>
      </c>
      <c r="AI438">
        <v>202504</v>
      </c>
      <c r="AJ438" t="s">
        <v>56</v>
      </c>
      <c r="AK438">
        <v>0</v>
      </c>
      <c r="AL438">
        <v>1</v>
      </c>
      <c r="AO438">
        <v>0</v>
      </c>
      <c r="AP438" t="s">
        <v>3062</v>
      </c>
      <c r="AQ438" t="s">
        <v>3012</v>
      </c>
      <c r="AR438" t="s">
        <v>3063</v>
      </c>
      <c r="AS438" t="s">
        <v>3014</v>
      </c>
      <c r="AU438" t="s">
        <v>3014</v>
      </c>
    </row>
    <row r="439" spans="1:47" x14ac:dyDescent="0.35">
      <c r="A439">
        <v>337426</v>
      </c>
      <c r="B439" t="s">
        <v>164</v>
      </c>
      <c r="C439" t="s">
        <v>165</v>
      </c>
      <c r="D439" s="2">
        <v>45770</v>
      </c>
      <c r="E439">
        <v>53850</v>
      </c>
      <c r="F439">
        <v>187</v>
      </c>
      <c r="G439" t="s">
        <v>251</v>
      </c>
      <c r="H439" t="s">
        <v>167</v>
      </c>
      <c r="I439" t="s">
        <v>45</v>
      </c>
      <c r="K439" t="s">
        <v>635</v>
      </c>
      <c r="L439">
        <v>1873300102696</v>
      </c>
      <c r="M439">
        <v>20250422</v>
      </c>
      <c r="N439" t="s">
        <v>168</v>
      </c>
      <c r="P439" t="s">
        <v>255</v>
      </c>
      <c r="Q439" t="s">
        <v>47</v>
      </c>
      <c r="R439">
        <v>2738.46</v>
      </c>
      <c r="S439">
        <v>0</v>
      </c>
      <c r="T439">
        <v>4000559</v>
      </c>
      <c r="U439">
        <v>2099160737</v>
      </c>
      <c r="V439" t="s">
        <v>528</v>
      </c>
      <c r="W439" t="s">
        <v>49</v>
      </c>
      <c r="X439" t="s">
        <v>117</v>
      </c>
      <c r="Y439" t="s">
        <v>51</v>
      </c>
      <c r="Z439">
        <v>1627</v>
      </c>
      <c r="AH439">
        <v>0</v>
      </c>
      <c r="AI439">
        <v>202504</v>
      </c>
      <c r="AJ439" t="s">
        <v>56</v>
      </c>
      <c r="AK439">
        <v>0</v>
      </c>
      <c r="AL439">
        <v>1</v>
      </c>
      <c r="AO439">
        <v>0</v>
      </c>
      <c r="AP439" t="s">
        <v>3029</v>
      </c>
      <c r="AQ439" t="s">
        <v>3012</v>
      </c>
      <c r="AR439" t="s">
        <v>3030</v>
      </c>
      <c r="AS439" t="s">
        <v>3014</v>
      </c>
      <c r="AU439" t="s">
        <v>3014</v>
      </c>
    </row>
    <row r="440" spans="1:47" x14ac:dyDescent="0.35">
      <c r="A440">
        <v>337425</v>
      </c>
      <c r="B440" t="s">
        <v>178</v>
      </c>
      <c r="C440" t="s">
        <v>179</v>
      </c>
      <c r="D440" s="2">
        <v>45770</v>
      </c>
      <c r="E440">
        <v>53850</v>
      </c>
      <c r="F440">
        <v>167</v>
      </c>
      <c r="G440" t="s">
        <v>278</v>
      </c>
      <c r="H440" t="s">
        <v>167</v>
      </c>
      <c r="I440" t="s">
        <v>45</v>
      </c>
      <c r="K440">
        <v>202504227918059</v>
      </c>
      <c r="L440">
        <v>1673300000962</v>
      </c>
      <c r="M440">
        <v>20250422</v>
      </c>
      <c r="N440" t="s">
        <v>3136</v>
      </c>
      <c r="Q440" t="s">
        <v>170</v>
      </c>
      <c r="R440">
        <v>11241.66</v>
      </c>
      <c r="S440">
        <v>0</v>
      </c>
      <c r="T440">
        <v>4034244</v>
      </c>
      <c r="U440" t="s">
        <v>606</v>
      </c>
      <c r="V440" t="s">
        <v>607</v>
      </c>
      <c r="W440" t="s">
        <v>187</v>
      </c>
      <c r="Y440" t="s">
        <v>51</v>
      </c>
      <c r="Z440">
        <v>451</v>
      </c>
      <c r="AH440">
        <v>0</v>
      </c>
      <c r="AI440">
        <v>202504</v>
      </c>
      <c r="AJ440" t="s">
        <v>86</v>
      </c>
      <c r="AK440">
        <v>1</v>
      </c>
      <c r="AL440">
        <v>1</v>
      </c>
      <c r="AO440">
        <v>1</v>
      </c>
      <c r="AP440" t="s">
        <v>3015</v>
      </c>
      <c r="AQ440" t="s">
        <v>3044</v>
      </c>
      <c r="AR440" t="s">
        <v>3045</v>
      </c>
      <c r="AS440" t="s">
        <v>3046</v>
      </c>
      <c r="AU440" t="s">
        <v>3046</v>
      </c>
    </row>
    <row r="441" spans="1:47" x14ac:dyDescent="0.35">
      <c r="A441">
        <v>337424</v>
      </c>
      <c r="B441" t="s">
        <v>172</v>
      </c>
      <c r="C441" t="s">
        <v>173</v>
      </c>
      <c r="D441" s="2">
        <v>45770</v>
      </c>
      <c r="E441">
        <v>53850</v>
      </c>
      <c r="F441">
        <v>175</v>
      </c>
      <c r="G441" t="s">
        <v>99</v>
      </c>
      <c r="H441" t="s">
        <v>167</v>
      </c>
      <c r="I441" t="s">
        <v>45</v>
      </c>
      <c r="K441" t="s">
        <v>584</v>
      </c>
      <c r="L441">
        <v>1753302203127</v>
      </c>
      <c r="M441">
        <v>20250422</v>
      </c>
      <c r="N441" t="s">
        <v>175</v>
      </c>
      <c r="Q441" t="s">
        <v>47</v>
      </c>
      <c r="R441">
        <v>108027.24</v>
      </c>
      <c r="S441">
        <v>25145</v>
      </c>
      <c r="T441">
        <v>4160138</v>
      </c>
      <c r="U441">
        <v>484200779</v>
      </c>
      <c r="V441" t="s">
        <v>100</v>
      </c>
      <c r="W441" t="s">
        <v>49</v>
      </c>
      <c r="X441" t="s">
        <v>101</v>
      </c>
      <c r="Y441" t="s">
        <v>51</v>
      </c>
      <c r="Z441">
        <v>739</v>
      </c>
      <c r="AH441">
        <v>0</v>
      </c>
      <c r="AI441">
        <v>202504</v>
      </c>
      <c r="AJ441" t="s">
        <v>86</v>
      </c>
      <c r="AK441">
        <v>1</v>
      </c>
      <c r="AL441">
        <v>1</v>
      </c>
      <c r="AM441">
        <v>4160138</v>
      </c>
      <c r="AN441">
        <v>1</v>
      </c>
      <c r="AO441">
        <v>1</v>
      </c>
      <c r="AP441" t="s">
        <v>3015</v>
      </c>
      <c r="AQ441" t="s">
        <v>3012</v>
      </c>
      <c r="AR441" t="s">
        <v>3016</v>
      </c>
      <c r="AT441" t="s">
        <v>3017</v>
      </c>
      <c r="AU441" t="s">
        <v>3018</v>
      </c>
    </row>
    <row r="442" spans="1:47" x14ac:dyDescent="0.35">
      <c r="A442">
        <v>337423</v>
      </c>
      <c r="B442" t="s">
        <v>178</v>
      </c>
      <c r="C442" t="s">
        <v>179</v>
      </c>
      <c r="D442" s="2">
        <v>45770</v>
      </c>
      <c r="E442">
        <v>53850</v>
      </c>
      <c r="F442">
        <v>109</v>
      </c>
      <c r="G442" t="s">
        <v>89</v>
      </c>
      <c r="H442" t="s">
        <v>167</v>
      </c>
      <c r="I442" t="s">
        <v>45</v>
      </c>
      <c r="K442">
        <v>202504227917396</v>
      </c>
      <c r="L442">
        <v>1093306677156</v>
      </c>
      <c r="M442">
        <v>20250422</v>
      </c>
      <c r="N442" t="s">
        <v>258</v>
      </c>
      <c r="Q442" t="s">
        <v>170</v>
      </c>
      <c r="R442">
        <v>250000</v>
      </c>
      <c r="S442">
        <v>0</v>
      </c>
      <c r="T442">
        <v>9339</v>
      </c>
      <c r="U442" t="s">
        <v>636</v>
      </c>
      <c r="V442" t="s">
        <v>637</v>
      </c>
      <c r="W442" t="s">
        <v>187</v>
      </c>
      <c r="Y442" t="s">
        <v>51</v>
      </c>
      <c r="Z442">
        <v>507</v>
      </c>
      <c r="AH442">
        <v>0</v>
      </c>
      <c r="AI442">
        <v>202504</v>
      </c>
      <c r="AJ442" t="s">
        <v>86</v>
      </c>
      <c r="AK442">
        <v>1</v>
      </c>
      <c r="AL442">
        <v>1</v>
      </c>
      <c r="AO442">
        <v>0</v>
      </c>
      <c r="AP442" t="s">
        <v>3015</v>
      </c>
      <c r="AQ442" t="s">
        <v>3044</v>
      </c>
      <c r="AR442" t="s">
        <v>3045</v>
      </c>
      <c r="AS442" t="s">
        <v>3046</v>
      </c>
      <c r="AU442" t="s">
        <v>3046</v>
      </c>
    </row>
    <row r="443" spans="1:47" x14ac:dyDescent="0.35">
      <c r="A443">
        <v>337422</v>
      </c>
      <c r="B443" t="s">
        <v>178</v>
      </c>
      <c r="C443" t="s">
        <v>179</v>
      </c>
      <c r="D443" s="2">
        <v>45770</v>
      </c>
      <c r="E443">
        <v>53850</v>
      </c>
      <c r="F443">
        <v>103</v>
      </c>
      <c r="G443" t="s">
        <v>80</v>
      </c>
      <c r="H443" t="s">
        <v>167</v>
      </c>
      <c r="I443" t="s">
        <v>45</v>
      </c>
      <c r="K443">
        <v>202504227918100</v>
      </c>
      <c r="L443">
        <v>1033306974008</v>
      </c>
      <c r="M443">
        <v>20250422</v>
      </c>
      <c r="N443" t="s">
        <v>3136</v>
      </c>
      <c r="Q443" t="s">
        <v>170</v>
      </c>
      <c r="R443">
        <v>7562.53</v>
      </c>
      <c r="S443">
        <v>0</v>
      </c>
      <c r="T443">
        <v>4336032</v>
      </c>
      <c r="U443" t="s">
        <v>638</v>
      </c>
      <c r="V443" t="s">
        <v>639</v>
      </c>
      <c r="W443" t="s">
        <v>187</v>
      </c>
      <c r="Y443" t="s">
        <v>51</v>
      </c>
      <c r="AH443">
        <v>0</v>
      </c>
      <c r="AI443">
        <v>202504</v>
      </c>
      <c r="AJ443" t="s">
        <v>86</v>
      </c>
      <c r="AK443">
        <v>1</v>
      </c>
      <c r="AL443">
        <v>1</v>
      </c>
      <c r="AO443">
        <v>1</v>
      </c>
      <c r="AP443" t="s">
        <v>3015</v>
      </c>
      <c r="AQ443" t="s">
        <v>3044</v>
      </c>
      <c r="AR443" t="s">
        <v>3045</v>
      </c>
      <c r="AS443" t="s">
        <v>3046</v>
      </c>
      <c r="AU443" t="s">
        <v>3046</v>
      </c>
    </row>
    <row r="444" spans="1:47" x14ac:dyDescent="0.35">
      <c r="A444">
        <v>337421</v>
      </c>
      <c r="B444" t="s">
        <v>193</v>
      </c>
      <c r="C444" t="s">
        <v>194</v>
      </c>
      <c r="D444" s="2">
        <v>45770</v>
      </c>
      <c r="E444">
        <v>53850</v>
      </c>
      <c r="F444">
        <v>267</v>
      </c>
      <c r="G444" t="s">
        <v>349</v>
      </c>
      <c r="H444" t="s">
        <v>167</v>
      </c>
      <c r="I444" t="s">
        <v>45</v>
      </c>
      <c r="K444" t="s">
        <v>640</v>
      </c>
      <c r="L444">
        <v>2673300000258</v>
      </c>
      <c r="M444">
        <v>20250421</v>
      </c>
      <c r="N444" t="s">
        <v>195</v>
      </c>
      <c r="Q444" t="s">
        <v>47</v>
      </c>
      <c r="R444">
        <v>37320</v>
      </c>
      <c r="S444">
        <v>37320</v>
      </c>
      <c r="T444">
        <v>1616725</v>
      </c>
      <c r="U444">
        <v>2694030798</v>
      </c>
      <c r="V444" t="s">
        <v>641</v>
      </c>
      <c r="W444" t="s">
        <v>49</v>
      </c>
      <c r="X444" t="s">
        <v>200</v>
      </c>
      <c r="Y444" t="s">
        <v>51</v>
      </c>
      <c r="Z444">
        <v>1878</v>
      </c>
      <c r="AH444">
        <v>0</v>
      </c>
      <c r="AI444">
        <v>202504</v>
      </c>
      <c r="AJ444" t="s">
        <v>56</v>
      </c>
      <c r="AK444">
        <v>0</v>
      </c>
      <c r="AL444">
        <v>1</v>
      </c>
      <c r="AM444">
        <v>1616725</v>
      </c>
      <c r="AN444">
        <v>1</v>
      </c>
      <c r="AO444">
        <v>0</v>
      </c>
      <c r="AP444" t="s">
        <v>3015</v>
      </c>
      <c r="AQ444" t="s">
        <v>3012</v>
      </c>
      <c r="AR444" t="s">
        <v>3016</v>
      </c>
      <c r="AT444" t="s">
        <v>3017</v>
      </c>
      <c r="AU444" t="s">
        <v>3018</v>
      </c>
    </row>
    <row r="445" spans="1:47" x14ac:dyDescent="0.35">
      <c r="A445">
        <v>337420</v>
      </c>
      <c r="B445" t="s">
        <v>193</v>
      </c>
      <c r="C445" t="s">
        <v>194</v>
      </c>
      <c r="D445" s="2">
        <v>45770</v>
      </c>
      <c r="E445">
        <v>53850</v>
      </c>
      <c r="F445">
        <v>117</v>
      </c>
      <c r="G445" t="s">
        <v>490</v>
      </c>
      <c r="H445" t="s">
        <v>167</v>
      </c>
      <c r="I445" t="s">
        <v>45</v>
      </c>
      <c r="K445" t="s">
        <v>640</v>
      </c>
      <c r="L445">
        <v>1173300538726</v>
      </c>
      <c r="M445">
        <v>20250421</v>
      </c>
      <c r="N445" t="s">
        <v>195</v>
      </c>
      <c r="Q445" t="s">
        <v>47</v>
      </c>
      <c r="R445">
        <v>51345</v>
      </c>
      <c r="S445">
        <v>51345</v>
      </c>
      <c r="T445">
        <v>4784989</v>
      </c>
      <c r="U445">
        <v>1269590772</v>
      </c>
      <c r="V445" t="s">
        <v>492</v>
      </c>
      <c r="W445" t="s">
        <v>49</v>
      </c>
      <c r="X445" t="s">
        <v>413</v>
      </c>
      <c r="Y445" t="s">
        <v>51</v>
      </c>
      <c r="Z445">
        <v>1926</v>
      </c>
      <c r="AH445">
        <v>0</v>
      </c>
      <c r="AI445">
        <v>202504</v>
      </c>
      <c r="AJ445" t="s">
        <v>56</v>
      </c>
      <c r="AK445">
        <v>0</v>
      </c>
      <c r="AL445">
        <v>1</v>
      </c>
      <c r="AM445">
        <v>4784989</v>
      </c>
      <c r="AN445">
        <v>1</v>
      </c>
      <c r="AO445">
        <v>0</v>
      </c>
      <c r="AP445" t="s">
        <v>3015</v>
      </c>
      <c r="AQ445" t="s">
        <v>3012</v>
      </c>
      <c r="AR445" t="s">
        <v>3016</v>
      </c>
      <c r="AT445" t="s">
        <v>3017</v>
      </c>
      <c r="AU445" t="s">
        <v>3018</v>
      </c>
    </row>
    <row r="446" spans="1:47" x14ac:dyDescent="0.35">
      <c r="A446">
        <v>337419</v>
      </c>
      <c r="B446" t="s">
        <v>193</v>
      </c>
      <c r="C446" t="s">
        <v>194</v>
      </c>
      <c r="D446" s="2">
        <v>45770</v>
      </c>
      <c r="E446">
        <v>53850</v>
      </c>
      <c r="F446">
        <v>128</v>
      </c>
      <c r="G446" t="s">
        <v>94</v>
      </c>
      <c r="H446" t="s">
        <v>167</v>
      </c>
      <c r="I446" t="s">
        <v>45</v>
      </c>
      <c r="K446" t="s">
        <v>642</v>
      </c>
      <c r="L446">
        <v>1283300003941</v>
      </c>
      <c r="M446">
        <v>20250419</v>
      </c>
      <c r="N446" t="s">
        <v>195</v>
      </c>
      <c r="Q446" t="s">
        <v>47</v>
      </c>
      <c r="R446">
        <v>41510</v>
      </c>
      <c r="S446">
        <v>41510</v>
      </c>
      <c r="T446">
        <v>4916499</v>
      </c>
      <c r="U446" t="s">
        <v>382</v>
      </c>
      <c r="V446" t="s">
        <v>383</v>
      </c>
      <c r="W446" t="s">
        <v>69</v>
      </c>
      <c r="X446" t="s">
        <v>55</v>
      </c>
      <c r="Y446" t="s">
        <v>51</v>
      </c>
      <c r="Z446">
        <v>1166</v>
      </c>
      <c r="AH446">
        <v>0</v>
      </c>
      <c r="AI446">
        <v>202504</v>
      </c>
      <c r="AJ446" t="s">
        <v>56</v>
      </c>
      <c r="AK446">
        <v>0</v>
      </c>
      <c r="AL446">
        <v>1</v>
      </c>
      <c r="AM446">
        <v>4916499</v>
      </c>
      <c r="AN446">
        <v>1</v>
      </c>
      <c r="AO446">
        <v>0</v>
      </c>
      <c r="AP446" t="s">
        <v>3015</v>
      </c>
      <c r="AQ446" t="s">
        <v>3021</v>
      </c>
      <c r="AR446" t="s">
        <v>3022</v>
      </c>
      <c r="AT446" t="s">
        <v>3017</v>
      </c>
      <c r="AU446" t="s">
        <v>3014</v>
      </c>
    </row>
    <row r="447" spans="1:47" x14ac:dyDescent="0.35">
      <c r="A447">
        <v>337418</v>
      </c>
      <c r="B447" t="s">
        <v>193</v>
      </c>
      <c r="C447" t="s">
        <v>194</v>
      </c>
      <c r="D447" s="2">
        <v>45770</v>
      </c>
      <c r="E447">
        <v>53850</v>
      </c>
      <c r="F447">
        <v>102</v>
      </c>
      <c r="G447" t="s">
        <v>151</v>
      </c>
      <c r="H447" t="s">
        <v>167</v>
      </c>
      <c r="I447" t="s">
        <v>45</v>
      </c>
      <c r="K447">
        <v>202504197917177</v>
      </c>
      <c r="L447">
        <v>1023308722503</v>
      </c>
      <c r="M447">
        <v>20250419</v>
      </c>
      <c r="N447" t="s">
        <v>195</v>
      </c>
      <c r="Q447" t="s">
        <v>47</v>
      </c>
      <c r="R447">
        <v>24410</v>
      </c>
      <c r="S447">
        <v>24410</v>
      </c>
      <c r="T447">
        <v>413650</v>
      </c>
      <c r="U447">
        <v>3657230722</v>
      </c>
      <c r="V447" t="s">
        <v>196</v>
      </c>
      <c r="W447" t="s">
        <v>190</v>
      </c>
      <c r="X447" t="s">
        <v>197</v>
      </c>
      <c r="Y447" t="s">
        <v>51</v>
      </c>
      <c r="Z447">
        <v>1306</v>
      </c>
      <c r="AH447">
        <v>0</v>
      </c>
      <c r="AI447">
        <v>202504</v>
      </c>
      <c r="AJ447" t="s">
        <v>56</v>
      </c>
      <c r="AK447">
        <v>0</v>
      </c>
      <c r="AL447">
        <v>1</v>
      </c>
      <c r="AM447">
        <v>413650</v>
      </c>
      <c r="AN447">
        <v>1</v>
      </c>
      <c r="AO447">
        <v>0</v>
      </c>
      <c r="AP447" t="s">
        <v>3050</v>
      </c>
      <c r="AQ447" t="s">
        <v>3047</v>
      </c>
      <c r="AR447" t="s">
        <v>3051</v>
      </c>
      <c r="AS447" t="s">
        <v>3049</v>
      </c>
      <c r="AU447" t="s">
        <v>3049</v>
      </c>
    </row>
    <row r="448" spans="1:47" x14ac:dyDescent="0.35">
      <c r="A448">
        <v>337417</v>
      </c>
      <c r="B448" t="s">
        <v>193</v>
      </c>
      <c r="C448" t="s">
        <v>194</v>
      </c>
      <c r="D448" s="2">
        <v>45770</v>
      </c>
      <c r="E448">
        <v>53850</v>
      </c>
      <c r="F448">
        <v>110</v>
      </c>
      <c r="G448" t="s">
        <v>230</v>
      </c>
      <c r="H448" t="s">
        <v>167</v>
      </c>
      <c r="I448" t="s">
        <v>45</v>
      </c>
      <c r="K448" t="s">
        <v>642</v>
      </c>
      <c r="L448">
        <v>2263300011854</v>
      </c>
      <c r="M448">
        <v>20250419</v>
      </c>
      <c r="N448" t="s">
        <v>195</v>
      </c>
      <c r="Q448" t="s">
        <v>47</v>
      </c>
      <c r="R448">
        <v>36215</v>
      </c>
      <c r="S448">
        <v>36215</v>
      </c>
      <c r="T448">
        <v>3708070</v>
      </c>
      <c r="U448">
        <v>8755330720</v>
      </c>
      <c r="V448" t="s">
        <v>643</v>
      </c>
      <c r="W448" t="s">
        <v>49</v>
      </c>
      <c r="X448" t="s">
        <v>200</v>
      </c>
      <c r="Y448" t="s">
        <v>51</v>
      </c>
      <c r="Z448">
        <v>1932</v>
      </c>
      <c r="AH448">
        <v>0</v>
      </c>
      <c r="AI448">
        <v>202504</v>
      </c>
      <c r="AJ448" t="s">
        <v>56</v>
      </c>
      <c r="AK448">
        <v>0</v>
      </c>
      <c r="AL448">
        <v>1</v>
      </c>
      <c r="AM448">
        <v>3708070</v>
      </c>
      <c r="AN448">
        <v>1</v>
      </c>
      <c r="AO448">
        <v>0</v>
      </c>
      <c r="AP448" t="s">
        <v>3015</v>
      </c>
      <c r="AQ448" t="s">
        <v>3012</v>
      </c>
      <c r="AR448" t="s">
        <v>3016</v>
      </c>
      <c r="AT448" t="s">
        <v>3017</v>
      </c>
      <c r="AU448" t="s">
        <v>3018</v>
      </c>
    </row>
    <row r="449" spans="1:47" x14ac:dyDescent="0.35">
      <c r="A449">
        <v>337416</v>
      </c>
      <c r="B449" t="s">
        <v>193</v>
      </c>
      <c r="C449" t="s">
        <v>194</v>
      </c>
      <c r="D449" s="2">
        <v>45770</v>
      </c>
      <c r="E449">
        <v>53850</v>
      </c>
      <c r="F449">
        <v>286</v>
      </c>
      <c r="G449" t="s">
        <v>408</v>
      </c>
      <c r="H449" t="s">
        <v>167</v>
      </c>
      <c r="I449" t="s">
        <v>45</v>
      </c>
      <c r="K449">
        <v>202504197917222</v>
      </c>
      <c r="L449">
        <v>2863300002878</v>
      </c>
      <c r="M449">
        <v>20250419</v>
      </c>
      <c r="N449" t="s">
        <v>195</v>
      </c>
      <c r="Q449" t="s">
        <v>47</v>
      </c>
      <c r="R449">
        <v>19260</v>
      </c>
      <c r="S449">
        <v>19260</v>
      </c>
      <c r="T449">
        <v>1686425</v>
      </c>
      <c r="U449">
        <v>2629680691</v>
      </c>
      <c r="V449" t="s">
        <v>644</v>
      </c>
      <c r="W449" t="s">
        <v>190</v>
      </c>
      <c r="X449" t="s">
        <v>131</v>
      </c>
      <c r="Y449" t="s">
        <v>51</v>
      </c>
      <c r="Z449">
        <v>1767</v>
      </c>
      <c r="AH449">
        <v>0</v>
      </c>
      <c r="AI449">
        <v>202504</v>
      </c>
      <c r="AJ449" t="s">
        <v>52</v>
      </c>
      <c r="AK449">
        <v>0</v>
      </c>
      <c r="AL449">
        <v>1</v>
      </c>
      <c r="AO449">
        <v>0</v>
      </c>
      <c r="AP449" t="s">
        <v>3033</v>
      </c>
      <c r="AQ449" t="s">
        <v>3047</v>
      </c>
      <c r="AR449" t="s">
        <v>3048</v>
      </c>
      <c r="AS449" t="s">
        <v>3049</v>
      </c>
      <c r="AU449" t="s">
        <v>3049</v>
      </c>
    </row>
    <row r="450" spans="1:47" x14ac:dyDescent="0.35">
      <c r="A450">
        <v>337415</v>
      </c>
      <c r="B450" t="s">
        <v>164</v>
      </c>
      <c r="C450" t="s">
        <v>165</v>
      </c>
      <c r="D450" s="2">
        <v>45770</v>
      </c>
      <c r="E450">
        <v>53850</v>
      </c>
      <c r="F450">
        <v>109</v>
      </c>
      <c r="G450" t="s">
        <v>89</v>
      </c>
      <c r="H450" t="s">
        <v>167</v>
      </c>
      <c r="I450" t="s">
        <v>45</v>
      </c>
      <c r="K450" t="s">
        <v>645</v>
      </c>
      <c r="L450">
        <v>1093306672844</v>
      </c>
      <c r="M450">
        <v>20250418</v>
      </c>
      <c r="N450" t="s">
        <v>168</v>
      </c>
      <c r="P450" t="s">
        <v>169</v>
      </c>
      <c r="Q450" t="s">
        <v>170</v>
      </c>
      <c r="R450">
        <v>1500</v>
      </c>
      <c r="S450">
        <v>0</v>
      </c>
      <c r="T450">
        <v>440311</v>
      </c>
      <c r="U450">
        <v>3550290724</v>
      </c>
      <c r="V450" t="s">
        <v>90</v>
      </c>
      <c r="W450" t="s">
        <v>49</v>
      </c>
      <c r="X450" t="s">
        <v>91</v>
      </c>
      <c r="Y450" t="s">
        <v>51</v>
      </c>
      <c r="Z450">
        <v>1903</v>
      </c>
      <c r="AH450">
        <v>0</v>
      </c>
      <c r="AI450">
        <v>202504</v>
      </c>
      <c r="AJ450" t="s">
        <v>56</v>
      </c>
      <c r="AK450">
        <v>0</v>
      </c>
      <c r="AL450">
        <v>1</v>
      </c>
      <c r="AM450">
        <v>440311</v>
      </c>
      <c r="AN450">
        <v>1</v>
      </c>
      <c r="AO450">
        <v>0</v>
      </c>
      <c r="AP450" t="s">
        <v>1100</v>
      </c>
      <c r="AQ450" t="s">
        <v>3012</v>
      </c>
      <c r="AR450" t="s">
        <v>3023</v>
      </c>
      <c r="AS450" t="s">
        <v>3014</v>
      </c>
      <c r="AU450" t="s">
        <v>3014</v>
      </c>
    </row>
    <row r="451" spans="1:47" x14ac:dyDescent="0.35">
      <c r="A451">
        <v>337414</v>
      </c>
      <c r="B451" t="s">
        <v>178</v>
      </c>
      <c r="C451" t="s">
        <v>179</v>
      </c>
      <c r="D451" s="2">
        <v>45770</v>
      </c>
      <c r="E451">
        <v>53850</v>
      </c>
      <c r="F451">
        <v>117</v>
      </c>
      <c r="G451" t="s">
        <v>490</v>
      </c>
      <c r="H451" t="s">
        <v>167</v>
      </c>
      <c r="I451" t="s">
        <v>45</v>
      </c>
      <c r="K451">
        <v>202504187917140</v>
      </c>
      <c r="L451">
        <v>1170050027918</v>
      </c>
      <c r="M451">
        <v>20250418</v>
      </c>
      <c r="N451" t="s">
        <v>646</v>
      </c>
      <c r="Q451" t="s">
        <v>170</v>
      </c>
      <c r="R451">
        <v>402992.09</v>
      </c>
      <c r="S451">
        <v>0</v>
      </c>
      <c r="T451">
        <v>4035187</v>
      </c>
      <c r="U451" t="s">
        <v>600</v>
      </c>
      <c r="V451" t="s">
        <v>601</v>
      </c>
      <c r="W451" t="s">
        <v>187</v>
      </c>
      <c r="Y451" t="s">
        <v>51</v>
      </c>
      <c r="Z451">
        <v>1772</v>
      </c>
      <c r="AH451">
        <v>0</v>
      </c>
      <c r="AI451">
        <v>202504</v>
      </c>
      <c r="AJ451" t="s">
        <v>56</v>
      </c>
      <c r="AK451">
        <v>0</v>
      </c>
      <c r="AL451">
        <v>1</v>
      </c>
      <c r="AO451">
        <v>0</v>
      </c>
      <c r="AP451" t="s">
        <v>3015</v>
      </c>
      <c r="AQ451" t="s">
        <v>3044</v>
      </c>
      <c r="AR451" t="s">
        <v>3045</v>
      </c>
      <c r="AS451" t="s">
        <v>3046</v>
      </c>
      <c r="AU451" t="s">
        <v>3046</v>
      </c>
    </row>
    <row r="452" spans="1:47" x14ac:dyDescent="0.35">
      <c r="A452">
        <v>337413</v>
      </c>
      <c r="B452" t="s">
        <v>193</v>
      </c>
      <c r="C452" t="s">
        <v>194</v>
      </c>
      <c r="D452" s="2">
        <v>45770</v>
      </c>
      <c r="E452">
        <v>53850</v>
      </c>
      <c r="F452">
        <v>102</v>
      </c>
      <c r="G452" t="s">
        <v>151</v>
      </c>
      <c r="H452" t="s">
        <v>167</v>
      </c>
      <c r="I452" t="s">
        <v>45</v>
      </c>
      <c r="K452" t="s">
        <v>647</v>
      </c>
      <c r="L452">
        <v>1023308723527</v>
      </c>
      <c r="M452">
        <v>20250417</v>
      </c>
      <c r="N452" t="s">
        <v>195</v>
      </c>
      <c r="Q452" t="s">
        <v>47</v>
      </c>
      <c r="R452">
        <v>20410</v>
      </c>
      <c r="S452">
        <v>20410</v>
      </c>
      <c r="T452">
        <v>4883007</v>
      </c>
      <c r="U452">
        <v>8028310723</v>
      </c>
      <c r="V452" t="s">
        <v>314</v>
      </c>
      <c r="W452" t="s">
        <v>190</v>
      </c>
      <c r="X452" t="s">
        <v>131</v>
      </c>
      <c r="Y452" t="s">
        <v>51</v>
      </c>
      <c r="Z452">
        <v>1949</v>
      </c>
      <c r="AH452">
        <v>0</v>
      </c>
      <c r="AI452">
        <v>202504</v>
      </c>
      <c r="AJ452" t="s">
        <v>119</v>
      </c>
      <c r="AK452">
        <v>1</v>
      </c>
      <c r="AL452">
        <v>1</v>
      </c>
      <c r="AM452">
        <v>4883007</v>
      </c>
      <c r="AN452">
        <v>1</v>
      </c>
      <c r="AO452">
        <v>0</v>
      </c>
      <c r="AP452" t="s">
        <v>3033</v>
      </c>
      <c r="AQ452" t="s">
        <v>3047</v>
      </c>
      <c r="AR452" t="s">
        <v>3048</v>
      </c>
      <c r="AS452" t="s">
        <v>3049</v>
      </c>
      <c r="AU452" t="s">
        <v>3049</v>
      </c>
    </row>
    <row r="453" spans="1:47" x14ac:dyDescent="0.35">
      <c r="A453">
        <v>337412</v>
      </c>
      <c r="B453" t="s">
        <v>164</v>
      </c>
      <c r="C453" t="s">
        <v>165</v>
      </c>
      <c r="D453" s="2">
        <v>45770</v>
      </c>
      <c r="E453">
        <v>53850</v>
      </c>
      <c r="F453">
        <v>109</v>
      </c>
      <c r="G453" t="s">
        <v>89</v>
      </c>
      <c r="H453" t="s">
        <v>167</v>
      </c>
      <c r="I453" t="s">
        <v>45</v>
      </c>
      <c r="K453">
        <v>202504177914865</v>
      </c>
      <c r="L453">
        <v>1093306672844</v>
      </c>
      <c r="M453">
        <v>20250417</v>
      </c>
      <c r="N453" t="s">
        <v>168</v>
      </c>
      <c r="P453" t="s">
        <v>255</v>
      </c>
      <c r="Q453" t="s">
        <v>170</v>
      </c>
      <c r="R453">
        <v>34300</v>
      </c>
      <c r="S453">
        <v>0</v>
      </c>
      <c r="T453">
        <v>440311</v>
      </c>
      <c r="U453">
        <v>3550290724</v>
      </c>
      <c r="V453" t="s">
        <v>90</v>
      </c>
      <c r="W453" t="s">
        <v>49</v>
      </c>
      <c r="X453" t="s">
        <v>91</v>
      </c>
      <c r="Y453" t="s">
        <v>51</v>
      </c>
      <c r="Z453">
        <v>1903</v>
      </c>
      <c r="AH453">
        <v>0</v>
      </c>
      <c r="AI453">
        <v>202504</v>
      </c>
      <c r="AJ453" t="s">
        <v>56</v>
      </c>
      <c r="AK453">
        <v>0</v>
      </c>
      <c r="AL453">
        <v>1</v>
      </c>
      <c r="AM453">
        <v>440311</v>
      </c>
      <c r="AN453">
        <v>1</v>
      </c>
      <c r="AO453">
        <v>0</v>
      </c>
      <c r="AP453" t="s">
        <v>1100</v>
      </c>
      <c r="AQ453" t="s">
        <v>3012</v>
      </c>
      <c r="AR453" t="s">
        <v>3023</v>
      </c>
      <c r="AS453" t="s">
        <v>3014</v>
      </c>
      <c r="AU453" t="s">
        <v>3014</v>
      </c>
    </row>
    <row r="454" spans="1:47" x14ac:dyDescent="0.35">
      <c r="A454">
        <v>337411</v>
      </c>
      <c r="B454" t="s">
        <v>193</v>
      </c>
      <c r="C454" t="s">
        <v>194</v>
      </c>
      <c r="D454" s="2">
        <v>45766</v>
      </c>
      <c r="E454">
        <v>53850</v>
      </c>
      <c r="F454">
        <v>171</v>
      </c>
      <c r="G454" t="s">
        <v>198</v>
      </c>
      <c r="H454" t="s">
        <v>167</v>
      </c>
      <c r="I454" t="s">
        <v>45</v>
      </c>
      <c r="K454">
        <v>202504187910119</v>
      </c>
      <c r="L454">
        <v>1713302217121</v>
      </c>
      <c r="M454">
        <v>20250418</v>
      </c>
      <c r="N454" t="s">
        <v>266</v>
      </c>
      <c r="Q454" t="s">
        <v>47</v>
      </c>
      <c r="R454">
        <v>33480</v>
      </c>
      <c r="S454">
        <v>33480</v>
      </c>
      <c r="T454">
        <v>4100525</v>
      </c>
      <c r="U454" t="s">
        <v>648</v>
      </c>
      <c r="V454" t="s">
        <v>649</v>
      </c>
      <c r="W454" t="s">
        <v>342</v>
      </c>
      <c r="X454" t="s">
        <v>597</v>
      </c>
      <c r="Y454" t="s">
        <v>51</v>
      </c>
      <c r="Z454">
        <v>732</v>
      </c>
      <c r="AH454">
        <v>0</v>
      </c>
      <c r="AI454">
        <v>202504</v>
      </c>
      <c r="AJ454" t="s">
        <v>119</v>
      </c>
      <c r="AK454">
        <v>1</v>
      </c>
      <c r="AL454">
        <v>1</v>
      </c>
      <c r="AM454">
        <v>4100525</v>
      </c>
      <c r="AN454">
        <v>1</v>
      </c>
      <c r="AO454">
        <v>0</v>
      </c>
      <c r="AP454" t="s">
        <v>3015</v>
      </c>
      <c r="AQ454" t="s">
        <v>3060</v>
      </c>
      <c r="AR454" t="s">
        <v>3061</v>
      </c>
      <c r="AT454" t="s">
        <v>3017</v>
      </c>
      <c r="AU454" t="s">
        <v>3014</v>
      </c>
    </row>
    <row r="455" spans="1:47" x14ac:dyDescent="0.35">
      <c r="A455">
        <v>337410</v>
      </c>
      <c r="B455" t="s">
        <v>172</v>
      </c>
      <c r="C455" t="s">
        <v>173</v>
      </c>
      <c r="D455" s="2">
        <v>45766</v>
      </c>
      <c r="E455">
        <v>53850</v>
      </c>
      <c r="F455">
        <v>171</v>
      </c>
      <c r="G455" t="s">
        <v>198</v>
      </c>
      <c r="H455" t="s">
        <v>167</v>
      </c>
      <c r="I455" t="s">
        <v>45</v>
      </c>
      <c r="K455" t="s">
        <v>650</v>
      </c>
      <c r="L455">
        <v>1713305728950</v>
      </c>
      <c r="M455">
        <v>20250418</v>
      </c>
      <c r="N455" t="s">
        <v>195</v>
      </c>
      <c r="Q455" t="s">
        <v>47</v>
      </c>
      <c r="R455">
        <v>356959.45</v>
      </c>
      <c r="S455">
        <v>356959.45</v>
      </c>
      <c r="T455">
        <v>572895</v>
      </c>
      <c r="U455">
        <v>4161600723</v>
      </c>
      <c r="V455" t="s">
        <v>199</v>
      </c>
      <c r="W455" t="s">
        <v>49</v>
      </c>
      <c r="X455" t="s">
        <v>200</v>
      </c>
      <c r="Y455" t="s">
        <v>51</v>
      </c>
      <c r="Z455">
        <v>1903</v>
      </c>
      <c r="AH455">
        <v>0</v>
      </c>
      <c r="AI455">
        <v>202504</v>
      </c>
      <c r="AJ455" t="s">
        <v>56</v>
      </c>
      <c r="AK455">
        <v>0</v>
      </c>
      <c r="AL455">
        <v>1</v>
      </c>
      <c r="AM455">
        <v>572895</v>
      </c>
      <c r="AN455">
        <v>1</v>
      </c>
      <c r="AO455">
        <v>0</v>
      </c>
      <c r="AP455" t="s">
        <v>3015</v>
      </c>
      <c r="AQ455" t="s">
        <v>3012</v>
      </c>
      <c r="AR455" t="s">
        <v>3016</v>
      </c>
      <c r="AT455" t="s">
        <v>3017</v>
      </c>
      <c r="AU455" t="s">
        <v>3018</v>
      </c>
    </row>
    <row r="456" spans="1:47" x14ac:dyDescent="0.35">
      <c r="A456">
        <v>337409</v>
      </c>
      <c r="B456" t="s">
        <v>172</v>
      </c>
      <c r="C456" t="s">
        <v>173</v>
      </c>
      <c r="D456" s="2">
        <v>45766</v>
      </c>
      <c r="E456">
        <v>53850</v>
      </c>
      <c r="F456">
        <v>164</v>
      </c>
      <c r="G456" t="s">
        <v>651</v>
      </c>
      <c r="H456" t="s">
        <v>167</v>
      </c>
      <c r="I456" t="s">
        <v>45</v>
      </c>
      <c r="K456">
        <v>202504187910080</v>
      </c>
      <c r="L456">
        <v>1643300370890</v>
      </c>
      <c r="M456">
        <v>20250418</v>
      </c>
      <c r="N456" t="s">
        <v>231</v>
      </c>
      <c r="Q456" t="s">
        <v>47</v>
      </c>
      <c r="R456">
        <v>130000</v>
      </c>
      <c r="S456">
        <v>0</v>
      </c>
      <c r="T456">
        <v>810024</v>
      </c>
      <c r="U456" t="s">
        <v>652</v>
      </c>
      <c r="V456" t="s">
        <v>653</v>
      </c>
      <c r="W456" t="s">
        <v>187</v>
      </c>
      <c r="Y456" t="s">
        <v>51</v>
      </c>
      <c r="Z456">
        <v>793</v>
      </c>
      <c r="AH456">
        <v>0</v>
      </c>
      <c r="AI456">
        <v>202504</v>
      </c>
      <c r="AJ456" t="s">
        <v>119</v>
      </c>
      <c r="AK456">
        <v>1</v>
      </c>
      <c r="AL456">
        <v>1</v>
      </c>
      <c r="AO456">
        <v>0</v>
      </c>
      <c r="AP456" t="s">
        <v>3015</v>
      </c>
      <c r="AQ456" t="s">
        <v>3044</v>
      </c>
      <c r="AR456" t="s">
        <v>3045</v>
      </c>
      <c r="AS456" t="s">
        <v>3046</v>
      </c>
      <c r="AU456" t="s">
        <v>3046</v>
      </c>
    </row>
    <row r="457" spans="1:47" x14ac:dyDescent="0.35">
      <c r="A457">
        <v>337408</v>
      </c>
      <c r="B457" t="s">
        <v>193</v>
      </c>
      <c r="C457" t="s">
        <v>194</v>
      </c>
      <c r="D457" s="2">
        <v>45766</v>
      </c>
      <c r="E457">
        <v>53850</v>
      </c>
      <c r="F457">
        <v>171</v>
      </c>
      <c r="G457" t="s">
        <v>198</v>
      </c>
      <c r="H457" t="s">
        <v>167</v>
      </c>
      <c r="I457" t="s">
        <v>45</v>
      </c>
      <c r="K457" t="s">
        <v>650</v>
      </c>
      <c r="L457">
        <v>1713305728950</v>
      </c>
      <c r="M457">
        <v>20250418</v>
      </c>
      <c r="N457" t="s">
        <v>195</v>
      </c>
      <c r="Q457" t="s">
        <v>47</v>
      </c>
      <c r="R457">
        <v>356959.45</v>
      </c>
      <c r="S457">
        <v>356959.45</v>
      </c>
      <c r="T457">
        <v>572895</v>
      </c>
      <c r="U457">
        <v>4161600723</v>
      </c>
      <c r="V457" t="s">
        <v>199</v>
      </c>
      <c r="W457" t="s">
        <v>49</v>
      </c>
      <c r="X457" t="s">
        <v>200</v>
      </c>
      <c r="Y457" t="s">
        <v>51</v>
      </c>
      <c r="Z457">
        <v>1903</v>
      </c>
      <c r="AH457">
        <v>0</v>
      </c>
      <c r="AI457">
        <v>202504</v>
      </c>
      <c r="AJ457" t="s">
        <v>56</v>
      </c>
      <c r="AK457">
        <v>0</v>
      </c>
      <c r="AL457">
        <v>1</v>
      </c>
      <c r="AM457">
        <v>572895</v>
      </c>
      <c r="AN457">
        <v>1</v>
      </c>
      <c r="AO457">
        <v>0</v>
      </c>
      <c r="AP457" t="s">
        <v>3015</v>
      </c>
      <c r="AQ457" t="s">
        <v>3012</v>
      </c>
      <c r="AR457" t="s">
        <v>3016</v>
      </c>
      <c r="AT457" t="s">
        <v>3017</v>
      </c>
      <c r="AU457" t="s">
        <v>3018</v>
      </c>
    </row>
    <row r="458" spans="1:47" x14ac:dyDescent="0.35">
      <c r="A458">
        <v>337407</v>
      </c>
      <c r="B458" t="s">
        <v>193</v>
      </c>
      <c r="C458" t="s">
        <v>194</v>
      </c>
      <c r="D458" s="2">
        <v>45766</v>
      </c>
      <c r="E458">
        <v>53850</v>
      </c>
      <c r="F458">
        <v>174</v>
      </c>
      <c r="G458" t="s">
        <v>224</v>
      </c>
      <c r="H458" t="s">
        <v>167</v>
      </c>
      <c r="I458" t="s">
        <v>45</v>
      </c>
      <c r="K458" t="s">
        <v>650</v>
      </c>
      <c r="L458">
        <v>1743302879903</v>
      </c>
      <c r="M458">
        <v>20250418</v>
      </c>
      <c r="N458" t="s">
        <v>175</v>
      </c>
      <c r="Q458" t="s">
        <v>47</v>
      </c>
      <c r="R458">
        <v>53935.14</v>
      </c>
      <c r="S458">
        <v>41000</v>
      </c>
      <c r="T458">
        <v>4928259</v>
      </c>
      <c r="U458">
        <v>8287320728</v>
      </c>
      <c r="V458" t="s">
        <v>534</v>
      </c>
      <c r="W458" t="s">
        <v>49</v>
      </c>
      <c r="X458" t="s">
        <v>117</v>
      </c>
      <c r="Y458" t="s">
        <v>51</v>
      </c>
      <c r="Z458">
        <v>448</v>
      </c>
      <c r="AH458">
        <v>0</v>
      </c>
      <c r="AI458">
        <v>202504</v>
      </c>
      <c r="AJ458" t="s">
        <v>52</v>
      </c>
      <c r="AK458">
        <v>0</v>
      </c>
      <c r="AL458">
        <v>1</v>
      </c>
      <c r="AM458">
        <v>4928259</v>
      </c>
      <c r="AN458">
        <v>1</v>
      </c>
      <c r="AO458">
        <v>1</v>
      </c>
      <c r="AP458" t="s">
        <v>3029</v>
      </c>
      <c r="AQ458" t="s">
        <v>3012</v>
      </c>
      <c r="AR458" t="s">
        <v>3030</v>
      </c>
      <c r="AS458" t="s">
        <v>3014</v>
      </c>
      <c r="AU458" t="s">
        <v>3014</v>
      </c>
    </row>
    <row r="459" spans="1:47" x14ac:dyDescent="0.35">
      <c r="A459">
        <v>337406</v>
      </c>
      <c r="B459" t="s">
        <v>178</v>
      </c>
      <c r="C459" t="s">
        <v>179</v>
      </c>
      <c r="D459" s="2">
        <v>45766</v>
      </c>
      <c r="E459">
        <v>53850</v>
      </c>
      <c r="F459">
        <v>143</v>
      </c>
      <c r="G459" t="s">
        <v>654</v>
      </c>
      <c r="H459" t="s">
        <v>167</v>
      </c>
      <c r="I459" t="s">
        <v>45</v>
      </c>
      <c r="K459">
        <v>202504187910037</v>
      </c>
      <c r="L459">
        <v>1423300308937</v>
      </c>
      <c r="M459">
        <v>20250418</v>
      </c>
      <c r="N459" t="s">
        <v>236</v>
      </c>
      <c r="P459" t="s">
        <v>51</v>
      </c>
      <c r="Q459" t="s">
        <v>170</v>
      </c>
      <c r="R459">
        <v>208650</v>
      </c>
      <c r="S459">
        <v>0</v>
      </c>
      <c r="T459">
        <v>4922771</v>
      </c>
      <c r="U459" t="s">
        <v>655</v>
      </c>
      <c r="V459" t="s">
        <v>656</v>
      </c>
      <c r="W459" t="s">
        <v>187</v>
      </c>
      <c r="Y459" t="s">
        <v>51</v>
      </c>
      <c r="Z459">
        <v>860</v>
      </c>
      <c r="AH459">
        <v>0</v>
      </c>
      <c r="AI459">
        <v>202504</v>
      </c>
      <c r="AJ459" t="s">
        <v>52</v>
      </c>
      <c r="AK459">
        <v>0</v>
      </c>
      <c r="AL459">
        <v>1</v>
      </c>
      <c r="AO459">
        <v>0</v>
      </c>
      <c r="AP459" t="s">
        <v>3015</v>
      </c>
      <c r="AQ459" t="s">
        <v>3044</v>
      </c>
      <c r="AR459" t="s">
        <v>3045</v>
      </c>
      <c r="AS459" t="s">
        <v>3046</v>
      </c>
      <c r="AU459" t="s">
        <v>3046</v>
      </c>
    </row>
    <row r="460" spans="1:47" x14ac:dyDescent="0.35">
      <c r="A460">
        <v>337405</v>
      </c>
      <c r="B460" t="s">
        <v>172</v>
      </c>
      <c r="C460" t="s">
        <v>173</v>
      </c>
      <c r="D460" s="2">
        <v>45766</v>
      </c>
      <c r="E460">
        <v>53850</v>
      </c>
      <c r="F460">
        <v>103</v>
      </c>
      <c r="G460" t="s">
        <v>80</v>
      </c>
      <c r="H460" t="s">
        <v>167</v>
      </c>
      <c r="I460" t="s">
        <v>45</v>
      </c>
      <c r="K460" t="s">
        <v>650</v>
      </c>
      <c r="L460">
        <v>1033306971100</v>
      </c>
      <c r="M460">
        <v>20250418</v>
      </c>
      <c r="N460" t="s">
        <v>175</v>
      </c>
      <c r="Q460" t="s">
        <v>47</v>
      </c>
      <c r="R460">
        <v>160000</v>
      </c>
      <c r="S460">
        <v>0</v>
      </c>
      <c r="T460">
        <v>557455</v>
      </c>
      <c r="U460" t="s">
        <v>657</v>
      </c>
      <c r="V460" t="s">
        <v>658</v>
      </c>
      <c r="W460" t="s">
        <v>187</v>
      </c>
      <c r="Y460" t="s">
        <v>51</v>
      </c>
      <c r="Z460">
        <v>1916</v>
      </c>
      <c r="AH460">
        <v>0</v>
      </c>
      <c r="AI460">
        <v>202504</v>
      </c>
      <c r="AJ460" t="s">
        <v>86</v>
      </c>
      <c r="AK460">
        <v>1</v>
      </c>
      <c r="AL460">
        <v>1</v>
      </c>
      <c r="AO460">
        <v>1</v>
      </c>
      <c r="AP460" t="s">
        <v>3015</v>
      </c>
      <c r="AQ460" t="s">
        <v>3044</v>
      </c>
      <c r="AR460" t="s">
        <v>3045</v>
      </c>
      <c r="AS460" t="s">
        <v>3046</v>
      </c>
      <c r="AU460" t="s">
        <v>3046</v>
      </c>
    </row>
    <row r="461" spans="1:47" x14ac:dyDescent="0.35">
      <c r="A461">
        <v>337404</v>
      </c>
      <c r="B461" t="s">
        <v>193</v>
      </c>
      <c r="C461" t="s">
        <v>194</v>
      </c>
      <c r="D461" s="2">
        <v>45766</v>
      </c>
      <c r="E461">
        <v>53850</v>
      </c>
      <c r="F461">
        <v>171</v>
      </c>
      <c r="G461" t="s">
        <v>198</v>
      </c>
      <c r="H461" t="s">
        <v>167</v>
      </c>
      <c r="I461" t="s">
        <v>45</v>
      </c>
      <c r="K461" t="s">
        <v>650</v>
      </c>
      <c r="L461">
        <v>1713302214147</v>
      </c>
      <c r="M461">
        <v>20250418</v>
      </c>
      <c r="N461" t="s">
        <v>195</v>
      </c>
      <c r="Q461" t="s">
        <v>47</v>
      </c>
      <c r="R461">
        <v>147260.07</v>
      </c>
      <c r="S461">
        <v>147260.07</v>
      </c>
      <c r="T461">
        <v>4199319</v>
      </c>
      <c r="U461">
        <v>6037810725</v>
      </c>
      <c r="V461" t="s">
        <v>285</v>
      </c>
      <c r="W461" t="s">
        <v>49</v>
      </c>
      <c r="X461" t="s">
        <v>200</v>
      </c>
      <c r="Y461" t="s">
        <v>51</v>
      </c>
      <c r="Z461">
        <v>1903</v>
      </c>
      <c r="AH461">
        <v>0</v>
      </c>
      <c r="AI461">
        <v>202504</v>
      </c>
      <c r="AJ461" t="s">
        <v>56</v>
      </c>
      <c r="AK461">
        <v>0</v>
      </c>
      <c r="AL461">
        <v>1</v>
      </c>
      <c r="AM461">
        <v>4199319</v>
      </c>
      <c r="AN461">
        <v>1</v>
      </c>
      <c r="AO461">
        <v>0</v>
      </c>
      <c r="AP461" t="s">
        <v>3015</v>
      </c>
      <c r="AQ461" t="s">
        <v>3012</v>
      </c>
      <c r="AR461" t="s">
        <v>3016</v>
      </c>
      <c r="AT461" t="s">
        <v>3017</v>
      </c>
      <c r="AU461" t="s">
        <v>3018</v>
      </c>
    </row>
    <row r="462" spans="1:47" x14ac:dyDescent="0.35">
      <c r="A462">
        <v>337403</v>
      </c>
      <c r="B462" t="s">
        <v>172</v>
      </c>
      <c r="C462" t="s">
        <v>173</v>
      </c>
      <c r="D462" s="2">
        <v>45766</v>
      </c>
      <c r="E462">
        <v>53850</v>
      </c>
      <c r="F462">
        <v>171</v>
      </c>
      <c r="G462" t="s">
        <v>198</v>
      </c>
      <c r="H462" t="s">
        <v>167</v>
      </c>
      <c r="I462" t="s">
        <v>45</v>
      </c>
      <c r="K462" t="s">
        <v>650</v>
      </c>
      <c r="L462">
        <v>1713302214147</v>
      </c>
      <c r="M462">
        <v>20250418</v>
      </c>
      <c r="N462" t="s">
        <v>195</v>
      </c>
      <c r="Q462" t="s">
        <v>47</v>
      </c>
      <c r="R462">
        <v>147260.07</v>
      </c>
      <c r="S462">
        <v>147260.07</v>
      </c>
      <c r="T462">
        <v>4199319</v>
      </c>
      <c r="U462">
        <v>6037810725</v>
      </c>
      <c r="V462" t="s">
        <v>285</v>
      </c>
      <c r="W462" t="s">
        <v>49</v>
      </c>
      <c r="X462" t="s">
        <v>200</v>
      </c>
      <c r="Y462" t="s">
        <v>51</v>
      </c>
      <c r="Z462">
        <v>1903</v>
      </c>
      <c r="AH462">
        <v>0</v>
      </c>
      <c r="AI462">
        <v>202504</v>
      </c>
      <c r="AJ462" t="s">
        <v>56</v>
      </c>
      <c r="AK462">
        <v>0</v>
      </c>
      <c r="AL462">
        <v>1</v>
      </c>
      <c r="AM462">
        <v>4199319</v>
      </c>
      <c r="AN462">
        <v>1</v>
      </c>
      <c r="AO462">
        <v>0</v>
      </c>
      <c r="AP462" t="s">
        <v>3015</v>
      </c>
      <c r="AQ462" t="s">
        <v>3012</v>
      </c>
      <c r="AR462" t="s">
        <v>3016</v>
      </c>
      <c r="AT462" t="s">
        <v>3017</v>
      </c>
      <c r="AU462" t="s">
        <v>3018</v>
      </c>
    </row>
    <row r="463" spans="1:47" x14ac:dyDescent="0.35">
      <c r="A463">
        <v>337402</v>
      </c>
      <c r="B463" t="s">
        <v>178</v>
      </c>
      <c r="C463" t="s">
        <v>179</v>
      </c>
      <c r="D463" s="2">
        <v>45766</v>
      </c>
      <c r="E463">
        <v>53850</v>
      </c>
      <c r="F463">
        <v>122</v>
      </c>
      <c r="G463" t="s">
        <v>43</v>
      </c>
      <c r="H463" t="s">
        <v>167</v>
      </c>
      <c r="I463" t="s">
        <v>45</v>
      </c>
      <c r="K463">
        <v>202504187909307</v>
      </c>
      <c r="L463">
        <v>1223300001682</v>
      </c>
      <c r="M463">
        <v>20250418</v>
      </c>
      <c r="N463" t="s">
        <v>659</v>
      </c>
      <c r="Q463" t="s">
        <v>170</v>
      </c>
      <c r="R463">
        <v>3299950.48</v>
      </c>
      <c r="S463">
        <v>0</v>
      </c>
      <c r="T463">
        <v>3711207</v>
      </c>
      <c r="U463">
        <v>8825020723</v>
      </c>
      <c r="V463" t="s">
        <v>48</v>
      </c>
      <c r="W463" t="s">
        <v>49</v>
      </c>
      <c r="X463" t="s">
        <v>50</v>
      </c>
      <c r="Y463" t="s">
        <v>51</v>
      </c>
      <c r="Z463">
        <v>1696</v>
      </c>
      <c r="AH463">
        <v>0</v>
      </c>
      <c r="AI463">
        <v>202504</v>
      </c>
      <c r="AJ463" t="s">
        <v>52</v>
      </c>
      <c r="AK463">
        <v>0</v>
      </c>
      <c r="AL463">
        <v>1</v>
      </c>
      <c r="AO463">
        <v>0</v>
      </c>
      <c r="AP463" t="s">
        <v>3011</v>
      </c>
      <c r="AQ463" t="s">
        <v>3012</v>
      </c>
      <c r="AR463" t="s">
        <v>3013</v>
      </c>
      <c r="AS463" t="s">
        <v>3014</v>
      </c>
      <c r="AU463" t="s">
        <v>3014</v>
      </c>
    </row>
    <row r="464" spans="1:47" x14ac:dyDescent="0.35">
      <c r="A464">
        <v>337401</v>
      </c>
      <c r="B464" t="s">
        <v>178</v>
      </c>
      <c r="C464" t="s">
        <v>179</v>
      </c>
      <c r="D464" s="2">
        <v>45766</v>
      </c>
      <c r="E464">
        <v>53850</v>
      </c>
      <c r="F464">
        <v>264</v>
      </c>
      <c r="G464" t="s">
        <v>71</v>
      </c>
      <c r="H464" t="s">
        <v>167</v>
      </c>
      <c r="I464" t="s">
        <v>45</v>
      </c>
      <c r="K464" t="s">
        <v>660</v>
      </c>
      <c r="L464">
        <v>2643300010660</v>
      </c>
      <c r="M464">
        <v>20250418</v>
      </c>
      <c r="N464" t="s">
        <v>3136</v>
      </c>
      <c r="Q464" t="s">
        <v>170</v>
      </c>
      <c r="R464">
        <v>4504.6099999999997</v>
      </c>
      <c r="S464">
        <v>0</v>
      </c>
      <c r="T464">
        <v>3740410</v>
      </c>
      <c r="U464" t="s">
        <v>661</v>
      </c>
      <c r="V464" t="s">
        <v>662</v>
      </c>
      <c r="W464" t="s">
        <v>187</v>
      </c>
      <c r="Y464" t="s">
        <v>51</v>
      </c>
      <c r="AH464">
        <v>0</v>
      </c>
      <c r="AI464">
        <v>202504</v>
      </c>
      <c r="AJ464" t="s">
        <v>86</v>
      </c>
      <c r="AK464">
        <v>1</v>
      </c>
      <c r="AL464">
        <v>1</v>
      </c>
      <c r="AO464">
        <v>1</v>
      </c>
      <c r="AP464" t="s">
        <v>3015</v>
      </c>
      <c r="AQ464" t="s">
        <v>3044</v>
      </c>
      <c r="AR464" t="s">
        <v>3045</v>
      </c>
      <c r="AS464" t="s">
        <v>3046</v>
      </c>
      <c r="AU464" t="s">
        <v>3046</v>
      </c>
    </row>
    <row r="465" spans="1:47" x14ac:dyDescent="0.35">
      <c r="A465">
        <v>337400</v>
      </c>
      <c r="B465" t="s">
        <v>178</v>
      </c>
      <c r="C465" t="s">
        <v>179</v>
      </c>
      <c r="D465" s="2">
        <v>45766</v>
      </c>
      <c r="E465">
        <v>53850</v>
      </c>
      <c r="F465">
        <v>171</v>
      </c>
      <c r="G465" t="s">
        <v>198</v>
      </c>
      <c r="H465" t="s">
        <v>167</v>
      </c>
      <c r="I465" t="s">
        <v>45</v>
      </c>
      <c r="K465">
        <v>202504187910116</v>
      </c>
      <c r="L465">
        <v>1713302213235</v>
      </c>
      <c r="M465">
        <v>20250418</v>
      </c>
      <c r="N465" t="s">
        <v>3136</v>
      </c>
      <c r="Q465" t="s">
        <v>170</v>
      </c>
      <c r="R465">
        <v>10138.19</v>
      </c>
      <c r="S465">
        <v>0</v>
      </c>
      <c r="T465">
        <v>4066625</v>
      </c>
      <c r="U465" t="s">
        <v>663</v>
      </c>
      <c r="V465" t="s">
        <v>664</v>
      </c>
      <c r="W465" t="s">
        <v>187</v>
      </c>
      <c r="Y465" t="s">
        <v>51</v>
      </c>
      <c r="Z465">
        <v>856</v>
      </c>
      <c r="AH465">
        <v>0</v>
      </c>
      <c r="AI465">
        <v>202504</v>
      </c>
      <c r="AJ465" t="s">
        <v>52</v>
      </c>
      <c r="AK465">
        <v>0</v>
      </c>
      <c r="AL465">
        <v>1</v>
      </c>
      <c r="AO465">
        <v>1</v>
      </c>
      <c r="AP465" t="s">
        <v>3015</v>
      </c>
      <c r="AQ465" t="s">
        <v>3044</v>
      </c>
      <c r="AR465" t="s">
        <v>3045</v>
      </c>
      <c r="AS465" t="s">
        <v>3046</v>
      </c>
      <c r="AU465" t="s">
        <v>3046</v>
      </c>
    </row>
    <row r="466" spans="1:47" x14ac:dyDescent="0.35">
      <c r="A466">
        <v>337399</v>
      </c>
      <c r="B466" t="s">
        <v>172</v>
      </c>
      <c r="C466" t="s">
        <v>173</v>
      </c>
      <c r="D466" s="2">
        <v>45766</v>
      </c>
      <c r="E466">
        <v>53850</v>
      </c>
      <c r="F466">
        <v>104</v>
      </c>
      <c r="G466" t="s">
        <v>108</v>
      </c>
      <c r="H466" t="s">
        <v>167</v>
      </c>
      <c r="I466" t="s">
        <v>45</v>
      </c>
      <c r="K466" t="s">
        <v>650</v>
      </c>
      <c r="L466">
        <v>1043309509217</v>
      </c>
      <c r="M466">
        <v>20250418</v>
      </c>
      <c r="N466" t="s">
        <v>195</v>
      </c>
      <c r="Q466" t="s">
        <v>47</v>
      </c>
      <c r="R466">
        <v>121800</v>
      </c>
      <c r="S466">
        <v>121800</v>
      </c>
      <c r="T466">
        <v>4323562</v>
      </c>
      <c r="U466" t="s">
        <v>665</v>
      </c>
      <c r="V466" t="s">
        <v>666</v>
      </c>
      <c r="W466" t="s">
        <v>69</v>
      </c>
      <c r="X466" t="s">
        <v>55</v>
      </c>
      <c r="Y466" t="s">
        <v>51</v>
      </c>
      <c r="Z466">
        <v>1401</v>
      </c>
      <c r="AH466">
        <v>0</v>
      </c>
      <c r="AI466">
        <v>202504</v>
      </c>
      <c r="AJ466" t="s">
        <v>56</v>
      </c>
      <c r="AK466">
        <v>0</v>
      </c>
      <c r="AL466">
        <v>1</v>
      </c>
      <c r="AM466">
        <v>4323562</v>
      </c>
      <c r="AN466">
        <v>1</v>
      </c>
      <c r="AO466">
        <v>0</v>
      </c>
      <c r="AP466" t="s">
        <v>3015</v>
      </c>
      <c r="AQ466" t="s">
        <v>3021</v>
      </c>
      <c r="AR466" t="s">
        <v>3022</v>
      </c>
      <c r="AT466" t="s">
        <v>3017</v>
      </c>
      <c r="AU466" t="s">
        <v>3014</v>
      </c>
    </row>
    <row r="467" spans="1:47" x14ac:dyDescent="0.35">
      <c r="A467">
        <v>337398</v>
      </c>
      <c r="B467" t="s">
        <v>172</v>
      </c>
      <c r="C467" t="s">
        <v>173</v>
      </c>
      <c r="D467" s="2">
        <v>45766</v>
      </c>
      <c r="E467">
        <v>53850</v>
      </c>
      <c r="F467">
        <v>103</v>
      </c>
      <c r="G467" t="s">
        <v>80</v>
      </c>
      <c r="H467" t="s">
        <v>167</v>
      </c>
      <c r="I467" t="s">
        <v>45</v>
      </c>
      <c r="K467" t="s">
        <v>650</v>
      </c>
      <c r="L467">
        <v>1033306971100</v>
      </c>
      <c r="M467">
        <v>20250418</v>
      </c>
      <c r="N467" t="s">
        <v>175</v>
      </c>
      <c r="Q467" t="s">
        <v>47</v>
      </c>
      <c r="R467">
        <v>160000</v>
      </c>
      <c r="S467">
        <v>0</v>
      </c>
      <c r="T467">
        <v>615551</v>
      </c>
      <c r="U467" t="s">
        <v>667</v>
      </c>
      <c r="V467" t="s">
        <v>668</v>
      </c>
      <c r="W467" t="s">
        <v>69</v>
      </c>
      <c r="X467" t="s">
        <v>123</v>
      </c>
      <c r="Y467" t="s">
        <v>51</v>
      </c>
      <c r="Z467">
        <v>1916</v>
      </c>
      <c r="AH467">
        <v>0</v>
      </c>
      <c r="AI467">
        <v>202504</v>
      </c>
      <c r="AJ467" t="s">
        <v>86</v>
      </c>
      <c r="AK467">
        <v>1</v>
      </c>
      <c r="AL467">
        <v>1</v>
      </c>
      <c r="AO467">
        <v>1</v>
      </c>
      <c r="AP467" t="s">
        <v>3015</v>
      </c>
      <c r="AQ467" t="s">
        <v>3021</v>
      </c>
      <c r="AR467" t="s">
        <v>3022</v>
      </c>
      <c r="AT467" t="s">
        <v>3017</v>
      </c>
      <c r="AU467" t="s">
        <v>3014</v>
      </c>
    </row>
    <row r="468" spans="1:47" x14ac:dyDescent="0.35">
      <c r="A468">
        <v>337397</v>
      </c>
      <c r="B468" t="s">
        <v>178</v>
      </c>
      <c r="C468" t="s">
        <v>179</v>
      </c>
      <c r="D468" s="2">
        <v>45766</v>
      </c>
      <c r="E468">
        <v>53850</v>
      </c>
      <c r="F468">
        <v>143</v>
      </c>
      <c r="G468" t="s">
        <v>654</v>
      </c>
      <c r="H468" t="s">
        <v>167</v>
      </c>
      <c r="I468" t="s">
        <v>45</v>
      </c>
      <c r="K468">
        <v>202504187910037</v>
      </c>
      <c r="L468">
        <v>1423300308937</v>
      </c>
      <c r="M468">
        <v>20250418</v>
      </c>
      <c r="N468" t="s">
        <v>236</v>
      </c>
      <c r="P468" t="s">
        <v>51</v>
      </c>
      <c r="Q468" t="s">
        <v>170</v>
      </c>
      <c r="R468">
        <v>208650</v>
      </c>
      <c r="S468">
        <v>0</v>
      </c>
      <c r="T468">
        <v>4922778</v>
      </c>
      <c r="U468" t="s">
        <v>669</v>
      </c>
      <c r="V468" t="s">
        <v>670</v>
      </c>
      <c r="W468" t="s">
        <v>187</v>
      </c>
      <c r="Y468" t="s">
        <v>51</v>
      </c>
      <c r="Z468">
        <v>655</v>
      </c>
      <c r="AH468">
        <v>0</v>
      </c>
      <c r="AI468">
        <v>202504</v>
      </c>
      <c r="AJ468" t="s">
        <v>86</v>
      </c>
      <c r="AK468">
        <v>1</v>
      </c>
      <c r="AL468">
        <v>1</v>
      </c>
      <c r="AO468">
        <v>0</v>
      </c>
      <c r="AP468" t="s">
        <v>3015</v>
      </c>
      <c r="AQ468" t="s">
        <v>3044</v>
      </c>
      <c r="AR468" t="s">
        <v>3045</v>
      </c>
      <c r="AS468" t="s">
        <v>3046</v>
      </c>
      <c r="AU468" t="s">
        <v>3046</v>
      </c>
    </row>
    <row r="469" spans="1:47" x14ac:dyDescent="0.35">
      <c r="A469">
        <v>337396</v>
      </c>
      <c r="B469" t="s">
        <v>178</v>
      </c>
      <c r="C469" t="s">
        <v>179</v>
      </c>
      <c r="D469" s="2">
        <v>45766</v>
      </c>
      <c r="E469">
        <v>53850</v>
      </c>
      <c r="F469">
        <v>132</v>
      </c>
      <c r="G469" t="s">
        <v>92</v>
      </c>
      <c r="H469" t="s">
        <v>167</v>
      </c>
      <c r="I469" t="s">
        <v>45</v>
      </c>
      <c r="K469">
        <v>202504187910004</v>
      </c>
      <c r="L469">
        <v>1323300001944</v>
      </c>
      <c r="M469">
        <v>20250418</v>
      </c>
      <c r="N469" t="s">
        <v>344</v>
      </c>
      <c r="Q469" t="s">
        <v>170</v>
      </c>
      <c r="R469">
        <v>329000</v>
      </c>
      <c r="S469">
        <v>0</v>
      </c>
      <c r="T469">
        <v>4730749</v>
      </c>
      <c r="U469" t="s">
        <v>671</v>
      </c>
      <c r="V469" t="s">
        <v>672</v>
      </c>
      <c r="W469" t="s">
        <v>187</v>
      </c>
      <c r="Y469" t="s">
        <v>51</v>
      </c>
      <c r="Z469">
        <v>873</v>
      </c>
      <c r="AH469">
        <v>0</v>
      </c>
      <c r="AI469">
        <v>202504</v>
      </c>
      <c r="AJ469" t="s">
        <v>119</v>
      </c>
      <c r="AK469">
        <v>1</v>
      </c>
      <c r="AL469">
        <v>1</v>
      </c>
      <c r="AO469">
        <v>0</v>
      </c>
      <c r="AP469" t="s">
        <v>3015</v>
      </c>
      <c r="AQ469" t="s">
        <v>3044</v>
      </c>
      <c r="AR469" t="s">
        <v>3045</v>
      </c>
      <c r="AS469" t="s">
        <v>3046</v>
      </c>
      <c r="AU469" t="s">
        <v>3046</v>
      </c>
    </row>
    <row r="470" spans="1:47" x14ac:dyDescent="0.35">
      <c r="A470">
        <v>337395</v>
      </c>
      <c r="B470" t="s">
        <v>178</v>
      </c>
      <c r="C470" t="s">
        <v>179</v>
      </c>
      <c r="D470" s="2">
        <v>45766</v>
      </c>
      <c r="E470">
        <v>53850</v>
      </c>
      <c r="F470">
        <v>121</v>
      </c>
      <c r="G470" t="s">
        <v>140</v>
      </c>
      <c r="H470" t="s">
        <v>167</v>
      </c>
      <c r="I470" t="s">
        <v>45</v>
      </c>
      <c r="K470">
        <v>202504187908967</v>
      </c>
      <c r="L470">
        <v>1213300002600</v>
      </c>
      <c r="M470">
        <v>20250418</v>
      </c>
      <c r="N470" t="s">
        <v>236</v>
      </c>
      <c r="P470" t="s">
        <v>51</v>
      </c>
      <c r="Q470" t="s">
        <v>170</v>
      </c>
      <c r="R470">
        <v>1000000</v>
      </c>
      <c r="S470">
        <v>0</v>
      </c>
      <c r="T470">
        <v>4939345</v>
      </c>
      <c r="U470">
        <v>5754810728</v>
      </c>
      <c r="V470" t="s">
        <v>570</v>
      </c>
      <c r="W470" t="s">
        <v>49</v>
      </c>
      <c r="X470" t="s">
        <v>117</v>
      </c>
      <c r="Y470" t="s">
        <v>51</v>
      </c>
      <c r="Z470">
        <v>1058</v>
      </c>
      <c r="AH470">
        <v>0</v>
      </c>
      <c r="AI470">
        <v>202504</v>
      </c>
      <c r="AJ470" t="s">
        <v>114</v>
      </c>
      <c r="AK470">
        <v>1</v>
      </c>
      <c r="AL470">
        <v>1</v>
      </c>
      <c r="AO470">
        <v>0</v>
      </c>
      <c r="AP470" t="s">
        <v>3029</v>
      </c>
      <c r="AQ470" t="s">
        <v>3012</v>
      </c>
      <c r="AR470" t="s">
        <v>3030</v>
      </c>
      <c r="AS470" t="s">
        <v>3014</v>
      </c>
      <c r="AU470" t="s">
        <v>3014</v>
      </c>
    </row>
    <row r="471" spans="1:47" x14ac:dyDescent="0.35">
      <c r="A471">
        <v>337394</v>
      </c>
      <c r="B471" t="s">
        <v>172</v>
      </c>
      <c r="C471" t="s">
        <v>173</v>
      </c>
      <c r="D471" s="2">
        <v>45766</v>
      </c>
      <c r="E471">
        <v>53850</v>
      </c>
      <c r="F471">
        <v>161</v>
      </c>
      <c r="G471" t="s">
        <v>111</v>
      </c>
      <c r="H471" t="s">
        <v>167</v>
      </c>
      <c r="I471" t="s">
        <v>45</v>
      </c>
      <c r="K471" t="s">
        <v>650</v>
      </c>
      <c r="L471">
        <v>1613300029653</v>
      </c>
      <c r="M471">
        <v>20250418</v>
      </c>
      <c r="N471" t="s">
        <v>175</v>
      </c>
      <c r="Q471" t="s">
        <v>47</v>
      </c>
      <c r="R471">
        <v>79937.08</v>
      </c>
      <c r="S471">
        <v>5000</v>
      </c>
      <c r="T471">
        <v>4088769</v>
      </c>
      <c r="U471">
        <v>5150120722</v>
      </c>
      <c r="V471" t="s">
        <v>270</v>
      </c>
      <c r="W471" t="s">
        <v>49</v>
      </c>
      <c r="X471" t="s">
        <v>110</v>
      </c>
      <c r="Y471" t="s">
        <v>51</v>
      </c>
      <c r="Z471">
        <v>1903</v>
      </c>
      <c r="AH471">
        <v>0</v>
      </c>
      <c r="AI471">
        <v>202504</v>
      </c>
      <c r="AJ471" t="s">
        <v>56</v>
      </c>
      <c r="AK471">
        <v>0</v>
      </c>
      <c r="AL471">
        <v>1</v>
      </c>
      <c r="AM471">
        <v>4088769</v>
      </c>
      <c r="AN471">
        <v>1</v>
      </c>
      <c r="AO471">
        <v>1</v>
      </c>
      <c r="AP471" t="s">
        <v>3026</v>
      </c>
      <c r="AQ471" t="s">
        <v>3012</v>
      </c>
      <c r="AR471" t="s">
        <v>3027</v>
      </c>
      <c r="AS471" t="s">
        <v>3028</v>
      </c>
      <c r="AU471" t="s">
        <v>3028</v>
      </c>
    </row>
    <row r="472" spans="1:47" x14ac:dyDescent="0.35">
      <c r="A472">
        <v>337393</v>
      </c>
      <c r="B472" t="s">
        <v>172</v>
      </c>
      <c r="C472" t="s">
        <v>173</v>
      </c>
      <c r="D472" s="2">
        <v>45766</v>
      </c>
      <c r="E472">
        <v>53850</v>
      </c>
      <c r="F472">
        <v>164</v>
      </c>
      <c r="G472" t="s">
        <v>651</v>
      </c>
      <c r="H472" t="s">
        <v>167</v>
      </c>
      <c r="I472" t="s">
        <v>45</v>
      </c>
      <c r="K472">
        <v>202504187910080</v>
      </c>
      <c r="L472">
        <v>1643300370890</v>
      </c>
      <c r="M472">
        <v>20250418</v>
      </c>
      <c r="N472" t="s">
        <v>231</v>
      </c>
      <c r="Q472" t="s">
        <v>47</v>
      </c>
      <c r="R472">
        <v>130000</v>
      </c>
      <c r="S472">
        <v>0</v>
      </c>
      <c r="T472">
        <v>811351</v>
      </c>
      <c r="U472" t="s">
        <v>673</v>
      </c>
      <c r="V472" t="s">
        <v>674</v>
      </c>
      <c r="W472" t="s">
        <v>187</v>
      </c>
      <c r="Y472" t="s">
        <v>51</v>
      </c>
      <c r="AH472">
        <v>0</v>
      </c>
      <c r="AI472">
        <v>202504</v>
      </c>
      <c r="AJ472" t="s">
        <v>56</v>
      </c>
      <c r="AK472">
        <v>0</v>
      </c>
      <c r="AL472">
        <v>1</v>
      </c>
      <c r="AO472">
        <v>0</v>
      </c>
      <c r="AP472" t="s">
        <v>3015</v>
      </c>
      <c r="AQ472" t="s">
        <v>3044</v>
      </c>
      <c r="AR472" t="s">
        <v>3045</v>
      </c>
      <c r="AS472" t="s">
        <v>3046</v>
      </c>
      <c r="AU472" t="s">
        <v>3046</v>
      </c>
    </row>
    <row r="473" spans="1:47" x14ac:dyDescent="0.35">
      <c r="A473">
        <v>337392</v>
      </c>
      <c r="B473" t="s">
        <v>178</v>
      </c>
      <c r="C473" t="s">
        <v>179</v>
      </c>
      <c r="D473" s="2">
        <v>45766</v>
      </c>
      <c r="E473">
        <v>53850</v>
      </c>
      <c r="F473">
        <v>192</v>
      </c>
      <c r="G473" t="s">
        <v>66</v>
      </c>
      <c r="H473" t="s">
        <v>167</v>
      </c>
      <c r="I473" t="s">
        <v>45</v>
      </c>
      <c r="K473">
        <v>202504187910166</v>
      </c>
      <c r="L473">
        <v>1923300183477</v>
      </c>
      <c r="M473">
        <v>20250418</v>
      </c>
      <c r="N473" t="s">
        <v>3136</v>
      </c>
      <c r="Q473" t="s">
        <v>170</v>
      </c>
      <c r="R473">
        <v>8442.5499999999993</v>
      </c>
      <c r="S473">
        <v>0</v>
      </c>
      <c r="T473">
        <v>4587104</v>
      </c>
      <c r="U473" t="s">
        <v>675</v>
      </c>
      <c r="V473" t="s">
        <v>676</v>
      </c>
      <c r="W473" t="s">
        <v>187</v>
      </c>
      <c r="Y473" t="s">
        <v>51</v>
      </c>
      <c r="Z473">
        <v>363</v>
      </c>
      <c r="AH473">
        <v>0</v>
      </c>
      <c r="AI473">
        <v>202504</v>
      </c>
      <c r="AJ473" t="s">
        <v>52</v>
      </c>
      <c r="AK473">
        <v>0</v>
      </c>
      <c r="AL473">
        <v>1</v>
      </c>
      <c r="AO473">
        <v>1</v>
      </c>
      <c r="AP473" t="s">
        <v>3015</v>
      </c>
      <c r="AQ473" t="s">
        <v>3044</v>
      </c>
      <c r="AR473" t="s">
        <v>3045</v>
      </c>
      <c r="AS473" t="s">
        <v>3046</v>
      </c>
      <c r="AU473" t="s">
        <v>3046</v>
      </c>
    </row>
    <row r="474" spans="1:47" x14ac:dyDescent="0.35">
      <c r="A474">
        <v>337391</v>
      </c>
      <c r="B474" t="s">
        <v>178</v>
      </c>
      <c r="C474" t="s">
        <v>179</v>
      </c>
      <c r="D474" s="2">
        <v>45766</v>
      </c>
      <c r="E474">
        <v>53850</v>
      </c>
      <c r="F474">
        <v>171</v>
      </c>
      <c r="G474" t="s">
        <v>198</v>
      </c>
      <c r="H474" t="s">
        <v>167</v>
      </c>
      <c r="I474" t="s">
        <v>45</v>
      </c>
      <c r="K474">
        <v>202504187910116</v>
      </c>
      <c r="L474">
        <v>1713302213235</v>
      </c>
      <c r="M474">
        <v>20250418</v>
      </c>
      <c r="N474" t="s">
        <v>3136</v>
      </c>
      <c r="Q474" t="s">
        <v>170</v>
      </c>
      <c r="R474">
        <v>10138.19</v>
      </c>
      <c r="S474">
        <v>0</v>
      </c>
      <c r="T474">
        <v>4063319</v>
      </c>
      <c r="U474" t="s">
        <v>677</v>
      </c>
      <c r="V474" t="s">
        <v>678</v>
      </c>
      <c r="W474" t="s">
        <v>187</v>
      </c>
      <c r="Y474" t="s">
        <v>51</v>
      </c>
      <c r="Z474">
        <v>856</v>
      </c>
      <c r="AH474">
        <v>0</v>
      </c>
      <c r="AI474">
        <v>202504</v>
      </c>
      <c r="AJ474" t="s">
        <v>52</v>
      </c>
      <c r="AK474">
        <v>0</v>
      </c>
      <c r="AL474">
        <v>1</v>
      </c>
      <c r="AO474">
        <v>1</v>
      </c>
      <c r="AP474" t="s">
        <v>3015</v>
      </c>
      <c r="AQ474" t="s">
        <v>3044</v>
      </c>
      <c r="AR474" t="s">
        <v>3045</v>
      </c>
      <c r="AS474" t="s">
        <v>3046</v>
      </c>
      <c r="AU474" t="s">
        <v>3046</v>
      </c>
    </row>
    <row r="475" spans="1:47" x14ac:dyDescent="0.35">
      <c r="A475">
        <v>337390</v>
      </c>
      <c r="B475" t="s">
        <v>178</v>
      </c>
      <c r="C475" t="s">
        <v>179</v>
      </c>
      <c r="D475" s="2">
        <v>45766</v>
      </c>
      <c r="E475">
        <v>53850</v>
      </c>
      <c r="F475">
        <v>192</v>
      </c>
      <c r="G475" t="s">
        <v>66</v>
      </c>
      <c r="H475" t="s">
        <v>167</v>
      </c>
      <c r="I475" t="s">
        <v>45</v>
      </c>
      <c r="K475">
        <v>202504187910166</v>
      </c>
      <c r="L475">
        <v>1923300183477</v>
      </c>
      <c r="M475">
        <v>20250418</v>
      </c>
      <c r="N475" t="s">
        <v>3136</v>
      </c>
      <c r="Q475" t="s">
        <v>170</v>
      </c>
      <c r="R475">
        <v>8442.5499999999993</v>
      </c>
      <c r="S475">
        <v>0</v>
      </c>
      <c r="T475">
        <v>3060699</v>
      </c>
      <c r="U475" t="s">
        <v>679</v>
      </c>
      <c r="V475" t="s">
        <v>680</v>
      </c>
      <c r="W475" t="s">
        <v>187</v>
      </c>
      <c r="Y475" t="s">
        <v>51</v>
      </c>
      <c r="Z475">
        <v>363</v>
      </c>
      <c r="AH475">
        <v>0</v>
      </c>
      <c r="AI475">
        <v>202504</v>
      </c>
      <c r="AJ475" t="s">
        <v>52</v>
      </c>
      <c r="AK475">
        <v>0</v>
      </c>
      <c r="AL475">
        <v>1</v>
      </c>
      <c r="AO475">
        <v>1</v>
      </c>
      <c r="AP475" t="s">
        <v>3015</v>
      </c>
      <c r="AQ475" t="s">
        <v>3044</v>
      </c>
      <c r="AR475" t="s">
        <v>3045</v>
      </c>
      <c r="AS475" t="s">
        <v>3046</v>
      </c>
      <c r="AU475" t="s">
        <v>3046</v>
      </c>
    </row>
    <row r="476" spans="1:47" x14ac:dyDescent="0.35">
      <c r="A476">
        <v>337389</v>
      </c>
      <c r="B476" t="s">
        <v>172</v>
      </c>
      <c r="C476" t="s">
        <v>173</v>
      </c>
      <c r="D476" s="2">
        <v>45766</v>
      </c>
      <c r="E476">
        <v>53850</v>
      </c>
      <c r="F476">
        <v>103</v>
      </c>
      <c r="G476" t="s">
        <v>80</v>
      </c>
      <c r="H476" t="s">
        <v>167</v>
      </c>
      <c r="I476" t="s">
        <v>45</v>
      </c>
      <c r="K476">
        <v>202504187909880</v>
      </c>
      <c r="L476">
        <v>1033306976386</v>
      </c>
      <c r="M476">
        <v>20250418</v>
      </c>
      <c r="N476" t="s">
        <v>325</v>
      </c>
      <c r="Q476" t="s">
        <v>47</v>
      </c>
      <c r="R476">
        <v>103334</v>
      </c>
      <c r="S476">
        <v>0</v>
      </c>
      <c r="T476">
        <v>609867</v>
      </c>
      <c r="U476" t="s">
        <v>681</v>
      </c>
      <c r="V476" t="s">
        <v>682</v>
      </c>
      <c r="W476" t="s">
        <v>187</v>
      </c>
      <c r="Y476" t="s">
        <v>51</v>
      </c>
      <c r="Z476">
        <v>407</v>
      </c>
      <c r="AH476">
        <v>0</v>
      </c>
      <c r="AI476">
        <v>202504</v>
      </c>
      <c r="AJ476" t="s">
        <v>86</v>
      </c>
      <c r="AK476">
        <v>1</v>
      </c>
      <c r="AL476">
        <v>1</v>
      </c>
      <c r="AO476">
        <v>0</v>
      </c>
      <c r="AP476" t="s">
        <v>3015</v>
      </c>
      <c r="AQ476" t="s">
        <v>3044</v>
      </c>
      <c r="AR476" t="s">
        <v>3045</v>
      </c>
      <c r="AS476" t="s">
        <v>3046</v>
      </c>
      <c r="AU476" t="s">
        <v>3046</v>
      </c>
    </row>
    <row r="477" spans="1:47" x14ac:dyDescent="0.35">
      <c r="A477">
        <v>337388</v>
      </c>
      <c r="B477" t="s">
        <v>164</v>
      </c>
      <c r="C477" t="s">
        <v>165</v>
      </c>
      <c r="D477" s="2">
        <v>45766</v>
      </c>
      <c r="E477">
        <v>53850</v>
      </c>
      <c r="F477">
        <v>103</v>
      </c>
      <c r="G477" t="s">
        <v>80</v>
      </c>
      <c r="H477" t="s">
        <v>167</v>
      </c>
      <c r="I477" t="s">
        <v>45</v>
      </c>
      <c r="K477" t="s">
        <v>683</v>
      </c>
      <c r="L477">
        <v>1033304289290</v>
      </c>
      <c r="M477">
        <v>20250418</v>
      </c>
      <c r="N477" t="s">
        <v>168</v>
      </c>
      <c r="P477" t="s">
        <v>255</v>
      </c>
      <c r="Q477" t="s">
        <v>170</v>
      </c>
      <c r="R477">
        <v>1990.6</v>
      </c>
      <c r="S477">
        <v>0</v>
      </c>
      <c r="T477">
        <v>428929</v>
      </c>
      <c r="U477">
        <v>3895840720</v>
      </c>
      <c r="V477" t="s">
        <v>684</v>
      </c>
      <c r="W477" t="s">
        <v>685</v>
      </c>
      <c r="X477" t="s">
        <v>686</v>
      </c>
      <c r="Y477" t="s">
        <v>51</v>
      </c>
      <c r="Z477">
        <v>1274</v>
      </c>
      <c r="AH477">
        <v>0</v>
      </c>
      <c r="AI477">
        <v>202504</v>
      </c>
      <c r="AJ477" t="s">
        <v>52</v>
      </c>
      <c r="AK477">
        <v>0</v>
      </c>
      <c r="AL477">
        <v>1</v>
      </c>
      <c r="AO477">
        <v>0</v>
      </c>
      <c r="AP477" t="s">
        <v>3015</v>
      </c>
      <c r="AQ477" t="s">
        <v>3082</v>
      </c>
      <c r="AR477" t="s">
        <v>3083</v>
      </c>
      <c r="AT477" t="s">
        <v>3017</v>
      </c>
      <c r="AU477" t="s">
        <v>3018</v>
      </c>
    </row>
    <row r="478" spans="1:47" x14ac:dyDescent="0.35">
      <c r="A478">
        <v>337387</v>
      </c>
      <c r="B478" t="s">
        <v>178</v>
      </c>
      <c r="C478" t="s">
        <v>179</v>
      </c>
      <c r="D478" s="2">
        <v>45766</v>
      </c>
      <c r="E478">
        <v>53850</v>
      </c>
      <c r="F478">
        <v>264</v>
      </c>
      <c r="G478" t="s">
        <v>71</v>
      </c>
      <c r="H478" t="s">
        <v>167</v>
      </c>
      <c r="I478" t="s">
        <v>45</v>
      </c>
      <c r="K478" t="s">
        <v>660</v>
      </c>
      <c r="L478">
        <v>2643300010660</v>
      </c>
      <c r="M478">
        <v>20250418</v>
      </c>
      <c r="N478" t="s">
        <v>3136</v>
      </c>
      <c r="Q478" t="s">
        <v>170</v>
      </c>
      <c r="R478">
        <v>4504.6099999999997</v>
      </c>
      <c r="S478">
        <v>0</v>
      </c>
      <c r="T478">
        <v>3740411</v>
      </c>
      <c r="U478" t="s">
        <v>687</v>
      </c>
      <c r="V478" t="s">
        <v>688</v>
      </c>
      <c r="W478" t="s">
        <v>187</v>
      </c>
      <c r="Y478" t="s">
        <v>51</v>
      </c>
      <c r="AH478">
        <v>0</v>
      </c>
      <c r="AI478">
        <v>202504</v>
      </c>
      <c r="AJ478" t="s">
        <v>86</v>
      </c>
      <c r="AK478">
        <v>1</v>
      </c>
      <c r="AL478">
        <v>1</v>
      </c>
      <c r="AO478">
        <v>1</v>
      </c>
      <c r="AP478" t="s">
        <v>3015</v>
      </c>
      <c r="AQ478" t="s">
        <v>3044</v>
      </c>
      <c r="AR478" t="s">
        <v>3045</v>
      </c>
      <c r="AS478" t="s">
        <v>3046</v>
      </c>
      <c r="AU478" t="s">
        <v>3046</v>
      </c>
    </row>
    <row r="479" spans="1:47" x14ac:dyDescent="0.35">
      <c r="A479">
        <v>337386</v>
      </c>
      <c r="B479" t="s">
        <v>178</v>
      </c>
      <c r="C479" t="s">
        <v>179</v>
      </c>
      <c r="D479" s="2">
        <v>45766</v>
      </c>
      <c r="E479">
        <v>53850</v>
      </c>
      <c r="F479">
        <v>264</v>
      </c>
      <c r="G479" t="s">
        <v>71</v>
      </c>
      <c r="H479" t="s">
        <v>167</v>
      </c>
      <c r="I479" t="s">
        <v>45</v>
      </c>
      <c r="K479" t="s">
        <v>660</v>
      </c>
      <c r="L479">
        <v>2643300010660</v>
      </c>
      <c r="M479">
        <v>20250418</v>
      </c>
      <c r="N479" t="s">
        <v>3136</v>
      </c>
      <c r="Q479" t="s">
        <v>170</v>
      </c>
      <c r="R479">
        <v>4504.6099999999997</v>
      </c>
      <c r="S479">
        <v>0</v>
      </c>
      <c r="T479">
        <v>3740414</v>
      </c>
      <c r="U479" t="s">
        <v>689</v>
      </c>
      <c r="V479" t="s">
        <v>690</v>
      </c>
      <c r="W479" t="s">
        <v>187</v>
      </c>
      <c r="Y479" t="s">
        <v>51</v>
      </c>
      <c r="AH479">
        <v>0</v>
      </c>
      <c r="AI479">
        <v>202504</v>
      </c>
      <c r="AJ479" t="s">
        <v>86</v>
      </c>
      <c r="AK479">
        <v>1</v>
      </c>
      <c r="AL479">
        <v>1</v>
      </c>
      <c r="AO479">
        <v>1</v>
      </c>
      <c r="AP479" t="s">
        <v>3015</v>
      </c>
      <c r="AQ479" t="s">
        <v>3044</v>
      </c>
      <c r="AR479" t="s">
        <v>3045</v>
      </c>
      <c r="AS479" t="s">
        <v>3046</v>
      </c>
      <c r="AU479" t="s">
        <v>3046</v>
      </c>
    </row>
    <row r="480" spans="1:47" x14ac:dyDescent="0.35">
      <c r="A480">
        <v>337385</v>
      </c>
      <c r="B480" t="s">
        <v>193</v>
      </c>
      <c r="C480" t="s">
        <v>194</v>
      </c>
      <c r="D480" s="2">
        <v>45766</v>
      </c>
      <c r="E480">
        <v>53850</v>
      </c>
      <c r="F480">
        <v>273</v>
      </c>
      <c r="G480" t="s">
        <v>133</v>
      </c>
      <c r="H480" t="s">
        <v>167</v>
      </c>
      <c r="I480" t="s">
        <v>45</v>
      </c>
      <c r="K480" t="s">
        <v>650</v>
      </c>
      <c r="L480">
        <v>2733300000498</v>
      </c>
      <c r="M480">
        <v>20250418</v>
      </c>
      <c r="N480" t="s">
        <v>195</v>
      </c>
      <c r="Q480" t="s">
        <v>47</v>
      </c>
      <c r="R480">
        <v>29070</v>
      </c>
      <c r="S480">
        <v>29070</v>
      </c>
      <c r="T480">
        <v>1617415</v>
      </c>
      <c r="U480">
        <v>2262360692</v>
      </c>
      <c r="V480" t="s">
        <v>691</v>
      </c>
      <c r="W480" t="s">
        <v>49</v>
      </c>
      <c r="X480" t="s">
        <v>197</v>
      </c>
      <c r="Y480" t="s">
        <v>51</v>
      </c>
      <c r="Z480">
        <v>1765</v>
      </c>
      <c r="AH480">
        <v>0</v>
      </c>
      <c r="AI480">
        <v>202504</v>
      </c>
      <c r="AJ480" t="s">
        <v>56</v>
      </c>
      <c r="AK480">
        <v>0</v>
      </c>
      <c r="AL480">
        <v>1</v>
      </c>
      <c r="AM480">
        <v>1617415</v>
      </c>
      <c r="AN480">
        <v>1</v>
      </c>
      <c r="AO480">
        <v>0</v>
      </c>
      <c r="AP480" t="s">
        <v>3050</v>
      </c>
      <c r="AQ480" t="s">
        <v>3012</v>
      </c>
      <c r="AR480" t="s">
        <v>3071</v>
      </c>
      <c r="AS480" t="s">
        <v>3028</v>
      </c>
      <c r="AU480" t="s">
        <v>3028</v>
      </c>
    </row>
    <row r="481" spans="1:47" x14ac:dyDescent="0.35">
      <c r="A481">
        <v>337384</v>
      </c>
      <c r="B481" t="s">
        <v>172</v>
      </c>
      <c r="C481" t="s">
        <v>173</v>
      </c>
      <c r="D481" s="2">
        <v>45766</v>
      </c>
      <c r="E481">
        <v>53850</v>
      </c>
      <c r="F481">
        <v>121</v>
      </c>
      <c r="G481" t="s">
        <v>140</v>
      </c>
      <c r="H481" t="s">
        <v>167</v>
      </c>
      <c r="I481" t="s">
        <v>45</v>
      </c>
      <c r="K481" t="s">
        <v>650</v>
      </c>
      <c r="L481">
        <v>1213300002600</v>
      </c>
      <c r="M481">
        <v>20250418</v>
      </c>
      <c r="N481" t="s">
        <v>175</v>
      </c>
      <c r="Q481" t="s">
        <v>47</v>
      </c>
      <c r="R481">
        <v>899373.62</v>
      </c>
      <c r="S481">
        <v>0</v>
      </c>
      <c r="T481">
        <v>4939345</v>
      </c>
      <c r="U481">
        <v>5754810728</v>
      </c>
      <c r="V481" t="s">
        <v>570</v>
      </c>
      <c r="W481" t="s">
        <v>49</v>
      </c>
      <c r="X481" t="s">
        <v>117</v>
      </c>
      <c r="Y481" t="s">
        <v>51</v>
      </c>
      <c r="Z481">
        <v>1058</v>
      </c>
      <c r="AH481">
        <v>0</v>
      </c>
      <c r="AI481">
        <v>202504</v>
      </c>
      <c r="AJ481" t="s">
        <v>114</v>
      </c>
      <c r="AK481">
        <v>1</v>
      </c>
      <c r="AL481">
        <v>1</v>
      </c>
      <c r="AO481">
        <v>1</v>
      </c>
      <c r="AP481" t="s">
        <v>3029</v>
      </c>
      <c r="AQ481" t="s">
        <v>3012</v>
      </c>
      <c r="AR481" t="s">
        <v>3030</v>
      </c>
      <c r="AS481" t="s">
        <v>3014</v>
      </c>
      <c r="AU481" t="s">
        <v>3014</v>
      </c>
    </row>
    <row r="482" spans="1:47" x14ac:dyDescent="0.35">
      <c r="A482">
        <v>337383</v>
      </c>
      <c r="B482" t="s">
        <v>193</v>
      </c>
      <c r="C482" t="s">
        <v>194</v>
      </c>
      <c r="D482" s="2">
        <v>45766</v>
      </c>
      <c r="E482">
        <v>53850</v>
      </c>
      <c r="F482">
        <v>104</v>
      </c>
      <c r="G482" t="s">
        <v>108</v>
      </c>
      <c r="H482" t="s">
        <v>167</v>
      </c>
      <c r="I482" t="s">
        <v>45</v>
      </c>
      <c r="K482" t="s">
        <v>650</v>
      </c>
      <c r="L482">
        <v>1043309509217</v>
      </c>
      <c r="M482">
        <v>20250418</v>
      </c>
      <c r="N482" t="s">
        <v>195</v>
      </c>
      <c r="Q482" t="s">
        <v>47</v>
      </c>
      <c r="R482">
        <v>121800</v>
      </c>
      <c r="S482">
        <v>121800</v>
      </c>
      <c r="T482">
        <v>4323562</v>
      </c>
      <c r="U482" t="s">
        <v>665</v>
      </c>
      <c r="V482" t="s">
        <v>666</v>
      </c>
      <c r="W482" t="s">
        <v>69</v>
      </c>
      <c r="X482" t="s">
        <v>55</v>
      </c>
      <c r="Y482" t="s">
        <v>51</v>
      </c>
      <c r="Z482">
        <v>1401</v>
      </c>
      <c r="AH482">
        <v>0</v>
      </c>
      <c r="AI482">
        <v>202504</v>
      </c>
      <c r="AJ482" t="s">
        <v>56</v>
      </c>
      <c r="AK482">
        <v>0</v>
      </c>
      <c r="AL482">
        <v>1</v>
      </c>
      <c r="AM482">
        <v>4323562</v>
      </c>
      <c r="AN482">
        <v>1</v>
      </c>
      <c r="AO482">
        <v>0</v>
      </c>
      <c r="AP482" t="s">
        <v>3015</v>
      </c>
      <c r="AQ482" t="s">
        <v>3021</v>
      </c>
      <c r="AR482" t="s">
        <v>3022</v>
      </c>
      <c r="AT482" t="s">
        <v>3017</v>
      </c>
      <c r="AU482" t="s">
        <v>3014</v>
      </c>
    </row>
    <row r="483" spans="1:47" x14ac:dyDescent="0.35">
      <c r="A483">
        <v>337382</v>
      </c>
      <c r="B483" t="s">
        <v>193</v>
      </c>
      <c r="C483" t="s">
        <v>194</v>
      </c>
      <c r="D483" s="2">
        <v>45766</v>
      </c>
      <c r="E483">
        <v>53850</v>
      </c>
      <c r="F483">
        <v>137</v>
      </c>
      <c r="G483" t="s">
        <v>166</v>
      </c>
      <c r="H483" t="s">
        <v>167</v>
      </c>
      <c r="I483" t="s">
        <v>45</v>
      </c>
      <c r="K483">
        <v>202504187910020</v>
      </c>
      <c r="L483">
        <v>1373304102703</v>
      </c>
      <c r="M483">
        <v>20250418</v>
      </c>
      <c r="N483" t="s">
        <v>266</v>
      </c>
      <c r="Q483" t="s">
        <v>47</v>
      </c>
      <c r="R483">
        <v>18000</v>
      </c>
      <c r="S483">
        <v>18000</v>
      </c>
      <c r="T483">
        <v>1001333</v>
      </c>
      <c r="U483" t="s">
        <v>692</v>
      </c>
      <c r="V483" t="s">
        <v>693</v>
      </c>
      <c r="W483" t="s">
        <v>69</v>
      </c>
      <c r="X483" t="s">
        <v>131</v>
      </c>
      <c r="Y483" t="s">
        <v>51</v>
      </c>
      <c r="Z483">
        <v>1867</v>
      </c>
      <c r="AH483">
        <v>0</v>
      </c>
      <c r="AI483">
        <v>202504</v>
      </c>
      <c r="AJ483" t="s">
        <v>56</v>
      </c>
      <c r="AK483">
        <v>0</v>
      </c>
      <c r="AL483">
        <v>1</v>
      </c>
      <c r="AM483">
        <v>1001333</v>
      </c>
      <c r="AN483">
        <v>1</v>
      </c>
      <c r="AO483">
        <v>0</v>
      </c>
      <c r="AP483" t="s">
        <v>3033</v>
      </c>
      <c r="AQ483" t="s">
        <v>3021</v>
      </c>
      <c r="AR483" t="s">
        <v>3054</v>
      </c>
      <c r="AS483" t="s">
        <v>3055</v>
      </c>
      <c r="AU483" t="s">
        <v>3055</v>
      </c>
    </row>
    <row r="484" spans="1:47" x14ac:dyDescent="0.35">
      <c r="A484">
        <v>337381</v>
      </c>
      <c r="B484" t="s">
        <v>193</v>
      </c>
      <c r="C484" t="s">
        <v>194</v>
      </c>
      <c r="D484" s="2">
        <v>45766</v>
      </c>
      <c r="E484">
        <v>53850</v>
      </c>
      <c r="F484">
        <v>114</v>
      </c>
      <c r="G484" t="s">
        <v>188</v>
      </c>
      <c r="H484" t="s">
        <v>167</v>
      </c>
      <c r="I484" t="s">
        <v>45</v>
      </c>
      <c r="K484">
        <v>202504187909962</v>
      </c>
      <c r="L484">
        <v>1143306280621</v>
      </c>
      <c r="M484">
        <v>20250418</v>
      </c>
      <c r="N484" t="s">
        <v>266</v>
      </c>
      <c r="Q484" t="s">
        <v>47</v>
      </c>
      <c r="R484">
        <v>28665</v>
      </c>
      <c r="S484">
        <v>28665</v>
      </c>
      <c r="T484">
        <v>4658875</v>
      </c>
      <c r="U484">
        <v>3230890711</v>
      </c>
      <c r="V484" t="s">
        <v>189</v>
      </c>
      <c r="W484" t="s">
        <v>190</v>
      </c>
      <c r="X484" t="s">
        <v>131</v>
      </c>
      <c r="Y484" t="s">
        <v>51</v>
      </c>
      <c r="Z484">
        <v>870</v>
      </c>
      <c r="AH484">
        <v>0</v>
      </c>
      <c r="AI484">
        <v>202504</v>
      </c>
      <c r="AJ484" t="s">
        <v>56</v>
      </c>
      <c r="AK484">
        <v>0</v>
      </c>
      <c r="AL484">
        <v>1</v>
      </c>
      <c r="AM484">
        <v>4658875</v>
      </c>
      <c r="AN484">
        <v>1</v>
      </c>
      <c r="AO484">
        <v>0</v>
      </c>
      <c r="AP484" t="s">
        <v>3033</v>
      </c>
      <c r="AQ484" t="s">
        <v>3047</v>
      </c>
      <c r="AR484" t="s">
        <v>3048</v>
      </c>
      <c r="AS484" t="s">
        <v>3049</v>
      </c>
      <c r="AU484" t="s">
        <v>3049</v>
      </c>
    </row>
    <row r="485" spans="1:47" x14ac:dyDescent="0.35">
      <c r="A485">
        <v>337380</v>
      </c>
      <c r="B485" t="s">
        <v>193</v>
      </c>
      <c r="C485" t="s">
        <v>194</v>
      </c>
      <c r="D485" s="2">
        <v>45765</v>
      </c>
      <c r="E485">
        <v>53850</v>
      </c>
      <c r="F485">
        <v>102</v>
      </c>
      <c r="G485" t="s">
        <v>151</v>
      </c>
      <c r="H485" t="s">
        <v>167</v>
      </c>
      <c r="I485" t="s">
        <v>45</v>
      </c>
      <c r="K485" t="s">
        <v>647</v>
      </c>
      <c r="L485">
        <v>1023308722503</v>
      </c>
      <c r="M485">
        <v>20250417</v>
      </c>
      <c r="N485" t="s">
        <v>195</v>
      </c>
      <c r="Q485" t="s">
        <v>47</v>
      </c>
      <c r="R485">
        <v>44050</v>
      </c>
      <c r="S485">
        <v>44050</v>
      </c>
      <c r="T485">
        <v>413650</v>
      </c>
      <c r="U485">
        <v>3657230722</v>
      </c>
      <c r="V485" t="s">
        <v>196</v>
      </c>
      <c r="W485" t="s">
        <v>190</v>
      </c>
      <c r="X485" t="s">
        <v>197</v>
      </c>
      <c r="Y485" t="s">
        <v>51</v>
      </c>
      <c r="Z485">
        <v>1306</v>
      </c>
      <c r="AH485">
        <v>0</v>
      </c>
      <c r="AI485">
        <v>202504</v>
      </c>
      <c r="AJ485" t="s">
        <v>56</v>
      </c>
      <c r="AK485">
        <v>0</v>
      </c>
      <c r="AL485">
        <v>1</v>
      </c>
      <c r="AM485">
        <v>413650</v>
      </c>
      <c r="AN485">
        <v>1</v>
      </c>
      <c r="AO485">
        <v>0</v>
      </c>
      <c r="AP485" t="s">
        <v>3050</v>
      </c>
      <c r="AQ485" t="s">
        <v>3047</v>
      </c>
      <c r="AR485" t="s">
        <v>3051</v>
      </c>
      <c r="AS485" t="s">
        <v>3049</v>
      </c>
      <c r="AU485" t="s">
        <v>3049</v>
      </c>
    </row>
    <row r="486" spans="1:47" x14ac:dyDescent="0.35">
      <c r="A486">
        <v>337379</v>
      </c>
      <c r="B486" t="s">
        <v>214</v>
      </c>
      <c r="C486" t="s">
        <v>215</v>
      </c>
      <c r="D486" s="2">
        <v>45765</v>
      </c>
      <c r="E486">
        <v>53850</v>
      </c>
      <c r="F486">
        <v>168</v>
      </c>
      <c r="G486" t="s">
        <v>616</v>
      </c>
      <c r="H486" t="s">
        <v>167</v>
      </c>
      <c r="I486" t="s">
        <v>45</v>
      </c>
      <c r="K486">
        <v>202504177906995</v>
      </c>
      <c r="L486">
        <v>1683306277782</v>
      </c>
      <c r="M486">
        <v>20250417</v>
      </c>
      <c r="N486" t="s">
        <v>168</v>
      </c>
      <c r="P486" t="s">
        <v>217</v>
      </c>
      <c r="Q486" t="s">
        <v>47</v>
      </c>
      <c r="R486">
        <v>15981.88</v>
      </c>
      <c r="S486">
        <v>0</v>
      </c>
      <c r="T486">
        <v>3743230</v>
      </c>
      <c r="U486" t="s">
        <v>694</v>
      </c>
      <c r="V486" t="s">
        <v>695</v>
      </c>
      <c r="W486" t="s">
        <v>696</v>
      </c>
      <c r="Y486" t="s">
        <v>217</v>
      </c>
      <c r="Z486">
        <v>1358</v>
      </c>
      <c r="AH486">
        <v>0</v>
      </c>
      <c r="AI486">
        <v>202504</v>
      </c>
      <c r="AJ486" t="s">
        <v>86</v>
      </c>
      <c r="AK486">
        <v>1</v>
      </c>
      <c r="AL486">
        <v>1</v>
      </c>
      <c r="AO486">
        <v>0</v>
      </c>
      <c r="AP486" t="s">
        <v>3015</v>
      </c>
      <c r="AQ486" t="s">
        <v>3084</v>
      </c>
      <c r="AR486" t="s">
        <v>3085</v>
      </c>
      <c r="AS486" t="s">
        <v>3046</v>
      </c>
      <c r="AU486" t="s">
        <v>3046</v>
      </c>
    </row>
    <row r="487" spans="1:47" x14ac:dyDescent="0.35">
      <c r="A487">
        <v>337378</v>
      </c>
      <c r="B487" t="s">
        <v>193</v>
      </c>
      <c r="C487" t="s">
        <v>194</v>
      </c>
      <c r="D487" s="2">
        <v>45765</v>
      </c>
      <c r="E487">
        <v>53850</v>
      </c>
      <c r="F487">
        <v>108</v>
      </c>
      <c r="G487" t="s">
        <v>124</v>
      </c>
      <c r="H487" t="s">
        <v>167</v>
      </c>
      <c r="I487" t="s">
        <v>45</v>
      </c>
      <c r="K487" t="s">
        <v>647</v>
      </c>
      <c r="L487">
        <v>1083305200700</v>
      </c>
      <c r="M487">
        <v>20250417</v>
      </c>
      <c r="N487" t="s">
        <v>175</v>
      </c>
      <c r="Q487" t="s">
        <v>47</v>
      </c>
      <c r="R487">
        <v>33229.96</v>
      </c>
      <c r="S487">
        <v>27670</v>
      </c>
      <c r="T487">
        <v>520070</v>
      </c>
      <c r="U487">
        <v>4357120726</v>
      </c>
      <c r="V487" t="s">
        <v>457</v>
      </c>
      <c r="W487" t="s">
        <v>49</v>
      </c>
      <c r="X487" t="s">
        <v>110</v>
      </c>
      <c r="Y487" t="s">
        <v>51</v>
      </c>
      <c r="Z487">
        <v>1058</v>
      </c>
      <c r="AH487">
        <v>0</v>
      </c>
      <c r="AI487">
        <v>202504</v>
      </c>
      <c r="AJ487" t="s">
        <v>52</v>
      </c>
      <c r="AK487">
        <v>0</v>
      </c>
      <c r="AL487">
        <v>1</v>
      </c>
      <c r="AM487">
        <v>520070</v>
      </c>
      <c r="AN487">
        <v>1</v>
      </c>
      <c r="AO487">
        <v>1</v>
      </c>
      <c r="AP487" t="s">
        <v>3026</v>
      </c>
      <c r="AQ487" t="s">
        <v>3012</v>
      </c>
      <c r="AR487" t="s">
        <v>3027</v>
      </c>
      <c r="AS487" t="s">
        <v>3028</v>
      </c>
      <c r="AU487" t="s">
        <v>3028</v>
      </c>
    </row>
    <row r="488" spans="1:47" x14ac:dyDescent="0.35">
      <c r="A488">
        <v>337377</v>
      </c>
      <c r="B488" t="s">
        <v>193</v>
      </c>
      <c r="C488" t="s">
        <v>194</v>
      </c>
      <c r="D488" s="2">
        <v>45765</v>
      </c>
      <c r="E488">
        <v>53850</v>
      </c>
      <c r="F488">
        <v>116</v>
      </c>
      <c r="G488" t="s">
        <v>126</v>
      </c>
      <c r="H488" t="s">
        <v>167</v>
      </c>
      <c r="I488" t="s">
        <v>45</v>
      </c>
      <c r="K488">
        <v>202504177907819</v>
      </c>
      <c r="L488">
        <v>2343300010453</v>
      </c>
      <c r="M488">
        <v>20250417</v>
      </c>
      <c r="N488" t="s">
        <v>195</v>
      </c>
      <c r="Q488" t="s">
        <v>47</v>
      </c>
      <c r="R488">
        <v>61512.5</v>
      </c>
      <c r="S488">
        <v>61512.5</v>
      </c>
      <c r="T488">
        <v>4247777</v>
      </c>
      <c r="U488">
        <v>233470236</v>
      </c>
      <c r="V488" t="s">
        <v>206</v>
      </c>
      <c r="W488" t="s">
        <v>49</v>
      </c>
      <c r="X488" t="s">
        <v>117</v>
      </c>
      <c r="Y488" t="s">
        <v>51</v>
      </c>
      <c r="Z488">
        <v>1696</v>
      </c>
      <c r="AH488">
        <v>0</v>
      </c>
      <c r="AI488">
        <v>202504</v>
      </c>
      <c r="AJ488" t="s">
        <v>114</v>
      </c>
      <c r="AK488">
        <v>1</v>
      </c>
      <c r="AL488">
        <v>1</v>
      </c>
      <c r="AM488">
        <v>4247777</v>
      </c>
      <c r="AN488">
        <v>1</v>
      </c>
      <c r="AO488">
        <v>0</v>
      </c>
      <c r="AP488" t="s">
        <v>3029</v>
      </c>
      <c r="AQ488" t="s">
        <v>3012</v>
      </c>
      <c r="AR488" t="s">
        <v>3030</v>
      </c>
      <c r="AS488" t="s">
        <v>3014</v>
      </c>
      <c r="AU488" t="s">
        <v>3014</v>
      </c>
    </row>
    <row r="489" spans="1:47" x14ac:dyDescent="0.35">
      <c r="A489">
        <v>337376</v>
      </c>
      <c r="B489" t="s">
        <v>193</v>
      </c>
      <c r="C489" t="s">
        <v>194</v>
      </c>
      <c r="D489" s="2">
        <v>45765</v>
      </c>
      <c r="E489">
        <v>53850</v>
      </c>
      <c r="F489">
        <v>182</v>
      </c>
      <c r="G489" t="s">
        <v>318</v>
      </c>
      <c r="H489" t="s">
        <v>167</v>
      </c>
      <c r="I489" t="s">
        <v>45</v>
      </c>
      <c r="K489">
        <v>202504177907753</v>
      </c>
      <c r="L489">
        <v>1823300169301</v>
      </c>
      <c r="M489">
        <v>20250417</v>
      </c>
      <c r="N489" t="s">
        <v>195</v>
      </c>
      <c r="Q489" t="s">
        <v>47</v>
      </c>
      <c r="R489">
        <v>24515</v>
      </c>
      <c r="S489">
        <v>24515</v>
      </c>
      <c r="T489">
        <v>4284957</v>
      </c>
      <c r="U489" t="s">
        <v>455</v>
      </c>
      <c r="V489" t="s">
        <v>456</v>
      </c>
      <c r="W489" t="s">
        <v>69</v>
      </c>
      <c r="X489" t="s">
        <v>197</v>
      </c>
      <c r="Y489" t="s">
        <v>51</v>
      </c>
      <c r="Z489">
        <v>1656</v>
      </c>
      <c r="AH489">
        <v>0</v>
      </c>
      <c r="AI489">
        <v>202504</v>
      </c>
      <c r="AJ489" t="s">
        <v>56</v>
      </c>
      <c r="AK489">
        <v>0</v>
      </c>
      <c r="AL489">
        <v>1</v>
      </c>
      <c r="AM489">
        <v>4284957</v>
      </c>
      <c r="AN489">
        <v>1</v>
      </c>
      <c r="AO489">
        <v>0</v>
      </c>
      <c r="AP489" t="s">
        <v>3050</v>
      </c>
      <c r="AQ489" t="s">
        <v>3021</v>
      </c>
      <c r="AR489" t="s">
        <v>3070</v>
      </c>
      <c r="AS489" t="s">
        <v>3055</v>
      </c>
      <c r="AU489" t="s">
        <v>3055</v>
      </c>
    </row>
    <row r="490" spans="1:47" x14ac:dyDescent="0.35">
      <c r="A490">
        <v>337375</v>
      </c>
      <c r="B490" t="s">
        <v>193</v>
      </c>
      <c r="C490" t="s">
        <v>194</v>
      </c>
      <c r="D490" s="2">
        <v>45765</v>
      </c>
      <c r="E490">
        <v>53850</v>
      </c>
      <c r="F490">
        <v>104</v>
      </c>
      <c r="G490" t="s">
        <v>108</v>
      </c>
      <c r="H490" t="s">
        <v>167</v>
      </c>
      <c r="I490" t="s">
        <v>45</v>
      </c>
      <c r="K490" t="s">
        <v>647</v>
      </c>
      <c r="L490">
        <v>1043309505529</v>
      </c>
      <c r="M490">
        <v>20250417</v>
      </c>
      <c r="N490" t="s">
        <v>195</v>
      </c>
      <c r="Q490" t="s">
        <v>47</v>
      </c>
      <c r="R490">
        <v>76600</v>
      </c>
      <c r="S490">
        <v>76600</v>
      </c>
      <c r="T490">
        <v>4222821</v>
      </c>
      <c r="U490">
        <v>6131230721</v>
      </c>
      <c r="V490" t="s">
        <v>697</v>
      </c>
      <c r="W490" t="s">
        <v>49</v>
      </c>
      <c r="X490" t="s">
        <v>698</v>
      </c>
      <c r="Y490" t="s">
        <v>51</v>
      </c>
      <c r="Z490">
        <v>727</v>
      </c>
      <c r="AH490">
        <v>0</v>
      </c>
      <c r="AI490">
        <v>202504</v>
      </c>
      <c r="AJ490" t="s">
        <v>52</v>
      </c>
      <c r="AK490">
        <v>0</v>
      </c>
      <c r="AL490">
        <v>1</v>
      </c>
      <c r="AO490">
        <v>0</v>
      </c>
      <c r="AP490" t="s">
        <v>3015</v>
      </c>
      <c r="AQ490" t="s">
        <v>3012</v>
      </c>
      <c r="AR490" t="s">
        <v>3016</v>
      </c>
      <c r="AT490" t="s">
        <v>3017</v>
      </c>
      <c r="AU490" t="s">
        <v>3018</v>
      </c>
    </row>
    <row r="491" spans="1:47" x14ac:dyDescent="0.35">
      <c r="A491">
        <v>337374</v>
      </c>
      <c r="B491" t="s">
        <v>178</v>
      </c>
      <c r="C491" t="s">
        <v>179</v>
      </c>
      <c r="D491" s="2">
        <v>45765</v>
      </c>
      <c r="E491">
        <v>53850</v>
      </c>
      <c r="F491">
        <v>268</v>
      </c>
      <c r="G491" t="s">
        <v>83</v>
      </c>
      <c r="H491" t="s">
        <v>167</v>
      </c>
      <c r="I491" t="s">
        <v>45</v>
      </c>
      <c r="K491">
        <v>202504177907010</v>
      </c>
      <c r="L491">
        <v>2683300000171</v>
      </c>
      <c r="M491">
        <v>20250417</v>
      </c>
      <c r="N491" t="s">
        <v>699</v>
      </c>
      <c r="Q491" t="s">
        <v>170</v>
      </c>
      <c r="R491">
        <v>805996.47</v>
      </c>
      <c r="S491">
        <v>0</v>
      </c>
      <c r="T491">
        <v>1606212</v>
      </c>
      <c r="U491">
        <v>1495180794</v>
      </c>
      <c r="V491" t="s">
        <v>120</v>
      </c>
      <c r="W491" t="s">
        <v>49</v>
      </c>
      <c r="X491" t="s">
        <v>121</v>
      </c>
      <c r="Y491" t="s">
        <v>51</v>
      </c>
      <c r="Z491">
        <v>1627</v>
      </c>
      <c r="AH491">
        <v>0</v>
      </c>
      <c r="AI491">
        <v>202504</v>
      </c>
      <c r="AJ491" t="s">
        <v>86</v>
      </c>
      <c r="AK491">
        <v>1</v>
      </c>
      <c r="AL491">
        <v>1</v>
      </c>
      <c r="AO491">
        <v>0</v>
      </c>
      <c r="AP491" t="s">
        <v>3015</v>
      </c>
      <c r="AQ491" t="s">
        <v>3012</v>
      </c>
      <c r="AR491" t="s">
        <v>3016</v>
      </c>
      <c r="AT491" t="s">
        <v>3017</v>
      </c>
      <c r="AU491" t="s">
        <v>3018</v>
      </c>
    </row>
    <row r="492" spans="1:47" x14ac:dyDescent="0.35">
      <c r="A492">
        <v>337373</v>
      </c>
      <c r="B492" t="s">
        <v>164</v>
      </c>
      <c r="C492" t="s">
        <v>165</v>
      </c>
      <c r="D492" s="2">
        <v>45765</v>
      </c>
      <c r="E492">
        <v>53850</v>
      </c>
      <c r="F492">
        <v>181</v>
      </c>
      <c r="G492" t="s">
        <v>180</v>
      </c>
      <c r="H492" t="s">
        <v>167</v>
      </c>
      <c r="I492" t="s">
        <v>45</v>
      </c>
      <c r="K492" t="s">
        <v>700</v>
      </c>
      <c r="L492">
        <v>1813301029181</v>
      </c>
      <c r="M492">
        <v>20250417</v>
      </c>
      <c r="N492" t="s">
        <v>168</v>
      </c>
      <c r="P492" t="s">
        <v>255</v>
      </c>
      <c r="Q492" t="s">
        <v>47</v>
      </c>
      <c r="R492">
        <v>1272</v>
      </c>
      <c r="S492">
        <v>0</v>
      </c>
      <c r="T492">
        <v>4803285</v>
      </c>
      <c r="U492" t="s">
        <v>701</v>
      </c>
      <c r="V492" t="s">
        <v>702</v>
      </c>
      <c r="W492" t="s">
        <v>69</v>
      </c>
      <c r="X492" t="s">
        <v>595</v>
      </c>
      <c r="Y492" t="s">
        <v>51</v>
      </c>
      <c r="Z492">
        <v>1670</v>
      </c>
      <c r="AH492">
        <v>0</v>
      </c>
      <c r="AI492">
        <v>202504</v>
      </c>
      <c r="AJ492" t="s">
        <v>119</v>
      </c>
      <c r="AK492">
        <v>1</v>
      </c>
      <c r="AL492">
        <v>1</v>
      </c>
      <c r="AO492">
        <v>0</v>
      </c>
      <c r="AP492" t="s">
        <v>3015</v>
      </c>
      <c r="AQ492" t="s">
        <v>3021</v>
      </c>
      <c r="AR492" t="s">
        <v>3022</v>
      </c>
      <c r="AT492" t="s">
        <v>3017</v>
      </c>
      <c r="AU492" t="s">
        <v>3014</v>
      </c>
    </row>
    <row r="493" spans="1:47" x14ac:dyDescent="0.35">
      <c r="A493">
        <v>337372</v>
      </c>
      <c r="B493" t="s">
        <v>178</v>
      </c>
      <c r="C493" t="s">
        <v>179</v>
      </c>
      <c r="D493" s="2">
        <v>45765</v>
      </c>
      <c r="E493">
        <v>53850</v>
      </c>
      <c r="F493">
        <v>192</v>
      </c>
      <c r="G493" t="s">
        <v>66</v>
      </c>
      <c r="H493" t="s">
        <v>167</v>
      </c>
      <c r="I493" t="s">
        <v>45</v>
      </c>
      <c r="K493" t="s">
        <v>703</v>
      </c>
      <c r="L493">
        <v>1923300178032</v>
      </c>
      <c r="M493">
        <v>20250417</v>
      </c>
      <c r="N493" t="s">
        <v>3136</v>
      </c>
      <c r="Q493" t="s">
        <v>170</v>
      </c>
      <c r="R493">
        <v>1480.93</v>
      </c>
      <c r="S493">
        <v>0</v>
      </c>
      <c r="T493">
        <v>4031368</v>
      </c>
      <c r="U493" t="s">
        <v>704</v>
      </c>
      <c r="V493" t="s">
        <v>705</v>
      </c>
      <c r="W493" t="s">
        <v>187</v>
      </c>
      <c r="Y493" t="s">
        <v>51</v>
      </c>
      <c r="Z493">
        <v>481</v>
      </c>
      <c r="AH493">
        <v>0</v>
      </c>
      <c r="AI493">
        <v>202504</v>
      </c>
      <c r="AJ493" t="s">
        <v>52</v>
      </c>
      <c r="AK493">
        <v>0</v>
      </c>
      <c r="AL493">
        <v>1</v>
      </c>
      <c r="AO493">
        <v>1</v>
      </c>
      <c r="AP493" t="s">
        <v>3015</v>
      </c>
      <c r="AQ493" t="s">
        <v>3044</v>
      </c>
      <c r="AR493" t="s">
        <v>3045</v>
      </c>
      <c r="AS493" t="s">
        <v>3046</v>
      </c>
      <c r="AU493" t="s">
        <v>3046</v>
      </c>
    </row>
    <row r="494" spans="1:47" x14ac:dyDescent="0.35">
      <c r="A494">
        <v>337371</v>
      </c>
      <c r="B494" t="s">
        <v>164</v>
      </c>
      <c r="C494" t="s">
        <v>165</v>
      </c>
      <c r="D494" s="2">
        <v>45765</v>
      </c>
      <c r="E494">
        <v>53850</v>
      </c>
      <c r="F494">
        <v>268</v>
      </c>
      <c r="G494" t="s">
        <v>83</v>
      </c>
      <c r="H494" t="s">
        <v>167</v>
      </c>
      <c r="I494" t="s">
        <v>45</v>
      </c>
      <c r="K494">
        <v>202504177907005</v>
      </c>
      <c r="L494">
        <v>2681147800157</v>
      </c>
      <c r="M494">
        <v>20250417</v>
      </c>
      <c r="N494" t="s">
        <v>168</v>
      </c>
      <c r="P494" t="s">
        <v>706</v>
      </c>
      <c r="Q494" t="s">
        <v>170</v>
      </c>
      <c r="R494">
        <v>140984.67000000001</v>
      </c>
      <c r="S494">
        <v>0</v>
      </c>
      <c r="T494">
        <v>1606212</v>
      </c>
      <c r="U494">
        <v>1495180794</v>
      </c>
      <c r="V494" t="s">
        <v>120</v>
      </c>
      <c r="W494" t="s">
        <v>49</v>
      </c>
      <c r="X494" t="s">
        <v>121</v>
      </c>
      <c r="Y494" t="s">
        <v>51</v>
      </c>
      <c r="Z494">
        <v>1627</v>
      </c>
      <c r="AH494">
        <v>0</v>
      </c>
      <c r="AI494">
        <v>202504</v>
      </c>
      <c r="AJ494" t="s">
        <v>86</v>
      </c>
      <c r="AK494">
        <v>1</v>
      </c>
      <c r="AL494">
        <v>1</v>
      </c>
      <c r="AO494">
        <v>0</v>
      </c>
      <c r="AP494" t="s">
        <v>3015</v>
      </c>
      <c r="AQ494" t="s">
        <v>3012</v>
      </c>
      <c r="AR494" t="s">
        <v>3016</v>
      </c>
      <c r="AT494" t="s">
        <v>3017</v>
      </c>
      <c r="AU494" t="s">
        <v>3018</v>
      </c>
    </row>
    <row r="495" spans="1:47" x14ac:dyDescent="0.35">
      <c r="A495">
        <v>337370</v>
      </c>
      <c r="B495" t="s">
        <v>193</v>
      </c>
      <c r="C495" t="s">
        <v>194</v>
      </c>
      <c r="D495" s="2">
        <v>45765</v>
      </c>
      <c r="E495">
        <v>53850</v>
      </c>
      <c r="F495">
        <v>287</v>
      </c>
      <c r="G495" t="s">
        <v>707</v>
      </c>
      <c r="H495" t="s">
        <v>167</v>
      </c>
      <c r="I495" t="s">
        <v>45</v>
      </c>
      <c r="K495" t="s">
        <v>647</v>
      </c>
      <c r="L495">
        <v>2873300001853</v>
      </c>
      <c r="M495">
        <v>20250417</v>
      </c>
      <c r="N495" t="s">
        <v>175</v>
      </c>
      <c r="Q495" t="s">
        <v>47</v>
      </c>
      <c r="R495">
        <v>46496.29</v>
      </c>
      <c r="S495">
        <v>34910</v>
      </c>
      <c r="T495">
        <v>3722213</v>
      </c>
      <c r="U495">
        <v>2021570698</v>
      </c>
      <c r="V495" t="s">
        <v>708</v>
      </c>
      <c r="W495" t="s">
        <v>49</v>
      </c>
      <c r="X495" t="s">
        <v>117</v>
      </c>
      <c r="Y495" t="s">
        <v>51</v>
      </c>
      <c r="Z495">
        <v>1877</v>
      </c>
      <c r="AH495">
        <v>0</v>
      </c>
      <c r="AI495">
        <v>202504</v>
      </c>
      <c r="AJ495" t="s">
        <v>52</v>
      </c>
      <c r="AK495">
        <v>0</v>
      </c>
      <c r="AL495">
        <v>1</v>
      </c>
      <c r="AM495">
        <v>3722213</v>
      </c>
      <c r="AN495">
        <v>1</v>
      </c>
      <c r="AO495">
        <v>1</v>
      </c>
      <c r="AP495" t="s">
        <v>3029</v>
      </c>
      <c r="AQ495" t="s">
        <v>3012</v>
      </c>
      <c r="AR495" t="s">
        <v>3030</v>
      </c>
      <c r="AS495" t="s">
        <v>3014</v>
      </c>
      <c r="AU495" t="s">
        <v>3014</v>
      </c>
    </row>
    <row r="496" spans="1:47" x14ac:dyDescent="0.35">
      <c r="A496">
        <v>337369</v>
      </c>
      <c r="B496" t="s">
        <v>178</v>
      </c>
      <c r="C496" t="s">
        <v>179</v>
      </c>
      <c r="D496" s="2">
        <v>45765</v>
      </c>
      <c r="E496">
        <v>53850</v>
      </c>
      <c r="F496">
        <v>104</v>
      </c>
      <c r="G496" t="s">
        <v>108</v>
      </c>
      <c r="H496" t="s">
        <v>167</v>
      </c>
      <c r="I496" t="s">
        <v>45</v>
      </c>
      <c r="K496">
        <v>202504177907564</v>
      </c>
      <c r="L496">
        <v>1043301449156</v>
      </c>
      <c r="M496">
        <v>20250417</v>
      </c>
      <c r="N496" t="s">
        <v>242</v>
      </c>
      <c r="Q496" t="s">
        <v>47</v>
      </c>
      <c r="R496">
        <v>5800000</v>
      </c>
      <c r="S496">
        <v>0</v>
      </c>
      <c r="T496">
        <v>15014</v>
      </c>
      <c r="U496">
        <v>252860721</v>
      </c>
      <c r="V496" t="s">
        <v>269</v>
      </c>
      <c r="W496" t="s">
        <v>49</v>
      </c>
      <c r="X496" t="s">
        <v>177</v>
      </c>
      <c r="Y496" t="s">
        <v>51</v>
      </c>
      <c r="Z496">
        <v>1696</v>
      </c>
      <c r="AH496">
        <v>0</v>
      </c>
      <c r="AI496">
        <v>202504</v>
      </c>
      <c r="AJ496" t="s">
        <v>56</v>
      </c>
      <c r="AK496">
        <v>0</v>
      </c>
      <c r="AL496">
        <v>1</v>
      </c>
      <c r="AO496">
        <v>0</v>
      </c>
      <c r="AP496" t="s">
        <v>3015</v>
      </c>
      <c r="AQ496" t="s">
        <v>3012</v>
      </c>
      <c r="AR496" t="s">
        <v>3016</v>
      </c>
      <c r="AT496" t="s">
        <v>3017</v>
      </c>
      <c r="AU496" t="s">
        <v>3018</v>
      </c>
    </row>
    <row r="497" spans="1:47" x14ac:dyDescent="0.35">
      <c r="A497">
        <v>337368</v>
      </c>
      <c r="B497" t="s">
        <v>178</v>
      </c>
      <c r="C497" t="s">
        <v>179</v>
      </c>
      <c r="D497" s="2">
        <v>45765</v>
      </c>
      <c r="E497">
        <v>53850</v>
      </c>
      <c r="F497">
        <v>196</v>
      </c>
      <c r="G497" t="s">
        <v>567</v>
      </c>
      <c r="H497" t="s">
        <v>167</v>
      </c>
      <c r="I497" t="s">
        <v>45</v>
      </c>
      <c r="K497">
        <v>202504177905875</v>
      </c>
      <c r="L497">
        <v>1963302353232</v>
      </c>
      <c r="M497">
        <v>20250417</v>
      </c>
      <c r="N497" t="s">
        <v>236</v>
      </c>
      <c r="P497" t="s">
        <v>51</v>
      </c>
      <c r="Q497" t="s">
        <v>170</v>
      </c>
      <c r="R497">
        <v>1060364.46</v>
      </c>
      <c r="S497">
        <v>0</v>
      </c>
      <c r="T497">
        <v>4129136</v>
      </c>
      <c r="U497">
        <v>1943350718</v>
      </c>
      <c r="V497" t="s">
        <v>709</v>
      </c>
      <c r="W497" t="s">
        <v>49</v>
      </c>
      <c r="X497" t="s">
        <v>710</v>
      </c>
      <c r="Y497" t="s">
        <v>51</v>
      </c>
      <c r="Z497">
        <v>870</v>
      </c>
      <c r="AH497">
        <v>0</v>
      </c>
      <c r="AI497">
        <v>202504</v>
      </c>
      <c r="AJ497" t="s">
        <v>56</v>
      </c>
      <c r="AK497">
        <v>0</v>
      </c>
      <c r="AL497">
        <v>1</v>
      </c>
      <c r="AO497">
        <v>0</v>
      </c>
      <c r="AP497" t="s">
        <v>3015</v>
      </c>
      <c r="AQ497" t="s">
        <v>3012</v>
      </c>
      <c r="AR497" t="s">
        <v>3016</v>
      </c>
      <c r="AT497" t="s">
        <v>3017</v>
      </c>
      <c r="AU497" t="s">
        <v>3018</v>
      </c>
    </row>
    <row r="498" spans="1:47" x14ac:dyDescent="0.35">
      <c r="A498">
        <v>337367</v>
      </c>
      <c r="B498" t="s">
        <v>164</v>
      </c>
      <c r="C498" t="s">
        <v>165</v>
      </c>
      <c r="D498" s="2">
        <v>45765</v>
      </c>
      <c r="E498">
        <v>53850</v>
      </c>
      <c r="F498">
        <v>103</v>
      </c>
      <c r="G498" t="s">
        <v>80</v>
      </c>
      <c r="H498" t="s">
        <v>167</v>
      </c>
      <c r="I498" t="s">
        <v>45</v>
      </c>
      <c r="K498" t="s">
        <v>711</v>
      </c>
      <c r="L498">
        <v>1033306978559</v>
      </c>
      <c r="M498">
        <v>20250417</v>
      </c>
      <c r="N498" t="s">
        <v>168</v>
      </c>
      <c r="P498" t="s">
        <v>255</v>
      </c>
      <c r="Q498" t="s">
        <v>47</v>
      </c>
      <c r="R498">
        <v>2120</v>
      </c>
      <c r="S498">
        <v>0</v>
      </c>
      <c r="T498">
        <v>4917376</v>
      </c>
      <c r="U498">
        <v>324070770</v>
      </c>
      <c r="V498" t="s">
        <v>712</v>
      </c>
      <c r="W498" t="s">
        <v>49</v>
      </c>
      <c r="X498" t="s">
        <v>713</v>
      </c>
      <c r="Y498" t="s">
        <v>51</v>
      </c>
      <c r="Z498">
        <v>1175</v>
      </c>
      <c r="AH498">
        <v>0</v>
      </c>
      <c r="AI498">
        <v>202504</v>
      </c>
      <c r="AJ498" t="s">
        <v>56</v>
      </c>
      <c r="AK498">
        <v>0</v>
      </c>
      <c r="AL498">
        <v>1</v>
      </c>
      <c r="AO498">
        <v>0</v>
      </c>
      <c r="AP498" t="s">
        <v>3015</v>
      </c>
      <c r="AQ498" t="s">
        <v>3012</v>
      </c>
      <c r="AR498" t="s">
        <v>3016</v>
      </c>
      <c r="AT498" t="s">
        <v>3017</v>
      </c>
      <c r="AU498" t="s">
        <v>3018</v>
      </c>
    </row>
    <row r="499" spans="1:47" x14ac:dyDescent="0.35">
      <c r="A499">
        <v>337366</v>
      </c>
      <c r="B499" t="s">
        <v>178</v>
      </c>
      <c r="C499" t="s">
        <v>179</v>
      </c>
      <c r="D499" s="2">
        <v>45765</v>
      </c>
      <c r="E499">
        <v>53850</v>
      </c>
      <c r="F499">
        <v>192</v>
      </c>
      <c r="G499" t="s">
        <v>66</v>
      </c>
      <c r="H499" t="s">
        <v>167</v>
      </c>
      <c r="I499" t="s">
        <v>45</v>
      </c>
      <c r="K499" t="s">
        <v>714</v>
      </c>
      <c r="L499">
        <v>1923300125945</v>
      </c>
      <c r="M499">
        <v>20250417</v>
      </c>
      <c r="N499" t="s">
        <v>3136</v>
      </c>
      <c r="Q499" t="s">
        <v>170</v>
      </c>
      <c r="R499">
        <v>1081.31</v>
      </c>
      <c r="S499">
        <v>0</v>
      </c>
      <c r="T499">
        <v>3174010</v>
      </c>
      <c r="U499" t="s">
        <v>715</v>
      </c>
      <c r="V499" t="s">
        <v>716</v>
      </c>
      <c r="W499" t="s">
        <v>187</v>
      </c>
      <c r="Y499" t="s">
        <v>51</v>
      </c>
      <c r="Z499">
        <v>481</v>
      </c>
      <c r="AH499">
        <v>0</v>
      </c>
      <c r="AI499">
        <v>202504</v>
      </c>
      <c r="AJ499" t="s">
        <v>52</v>
      </c>
      <c r="AK499">
        <v>0</v>
      </c>
      <c r="AL499">
        <v>1</v>
      </c>
      <c r="AO499">
        <v>1</v>
      </c>
      <c r="AP499" t="s">
        <v>3015</v>
      </c>
      <c r="AQ499" t="s">
        <v>3044</v>
      </c>
      <c r="AR499" t="s">
        <v>3045</v>
      </c>
      <c r="AS499" t="s">
        <v>3046</v>
      </c>
      <c r="AU499" t="s">
        <v>3046</v>
      </c>
    </row>
    <row r="500" spans="1:47" x14ac:dyDescent="0.35">
      <c r="A500">
        <v>337365</v>
      </c>
      <c r="B500" t="s">
        <v>193</v>
      </c>
      <c r="C500" t="s">
        <v>194</v>
      </c>
      <c r="D500" s="2">
        <v>45765</v>
      </c>
      <c r="E500">
        <v>53850</v>
      </c>
      <c r="F500">
        <v>109</v>
      </c>
      <c r="G500" t="s">
        <v>89</v>
      </c>
      <c r="H500" t="s">
        <v>167</v>
      </c>
      <c r="I500" t="s">
        <v>45</v>
      </c>
      <c r="K500">
        <v>202504177907998</v>
      </c>
      <c r="L500">
        <v>1093306675356</v>
      </c>
      <c r="M500">
        <v>20250417</v>
      </c>
      <c r="N500" t="s">
        <v>266</v>
      </c>
      <c r="Q500" t="s">
        <v>47</v>
      </c>
      <c r="R500">
        <v>31300</v>
      </c>
      <c r="S500">
        <v>31300</v>
      </c>
      <c r="T500">
        <v>4976123</v>
      </c>
      <c r="U500">
        <v>8630940727</v>
      </c>
      <c r="V500" t="s">
        <v>717</v>
      </c>
      <c r="W500" t="s">
        <v>49</v>
      </c>
      <c r="X500" t="s">
        <v>131</v>
      </c>
      <c r="Y500" t="s">
        <v>51</v>
      </c>
      <c r="Z500">
        <v>502</v>
      </c>
      <c r="AH500">
        <v>0</v>
      </c>
      <c r="AI500">
        <v>202504</v>
      </c>
      <c r="AJ500" t="s">
        <v>56</v>
      </c>
      <c r="AK500">
        <v>0</v>
      </c>
      <c r="AL500">
        <v>1</v>
      </c>
      <c r="AM500">
        <v>4976123</v>
      </c>
      <c r="AN500">
        <v>1</v>
      </c>
      <c r="AO500">
        <v>0</v>
      </c>
      <c r="AP500" t="s">
        <v>3033</v>
      </c>
      <c r="AQ500" t="s">
        <v>3012</v>
      </c>
      <c r="AR500" t="s">
        <v>3034</v>
      </c>
      <c r="AS500" t="s">
        <v>3014</v>
      </c>
      <c r="AU500" t="s">
        <v>3014</v>
      </c>
    </row>
    <row r="501" spans="1:47" x14ac:dyDescent="0.35">
      <c r="A501">
        <v>337364</v>
      </c>
      <c r="B501" t="s">
        <v>164</v>
      </c>
      <c r="C501" t="s">
        <v>165</v>
      </c>
      <c r="D501" s="2">
        <v>45765</v>
      </c>
      <c r="E501">
        <v>53850</v>
      </c>
      <c r="F501">
        <v>102</v>
      </c>
      <c r="G501" t="s">
        <v>151</v>
      </c>
      <c r="H501" t="s">
        <v>167</v>
      </c>
      <c r="I501" t="s">
        <v>45</v>
      </c>
      <c r="K501">
        <v>202504177905473</v>
      </c>
      <c r="L501">
        <v>1023308716491</v>
      </c>
      <c r="M501">
        <v>20250417</v>
      </c>
      <c r="N501" t="s">
        <v>168</v>
      </c>
      <c r="P501" t="s">
        <v>203</v>
      </c>
      <c r="Q501" t="s">
        <v>170</v>
      </c>
      <c r="R501">
        <v>65000</v>
      </c>
      <c r="S501">
        <v>0</v>
      </c>
      <c r="T501">
        <v>3970</v>
      </c>
      <c r="U501" t="s">
        <v>718</v>
      </c>
      <c r="V501" t="s">
        <v>719</v>
      </c>
      <c r="W501" t="s">
        <v>187</v>
      </c>
      <c r="Y501" t="s">
        <v>51</v>
      </c>
      <c r="Z501">
        <v>1431</v>
      </c>
      <c r="AH501">
        <v>0</v>
      </c>
      <c r="AI501">
        <v>202504</v>
      </c>
      <c r="AJ501" t="s">
        <v>52</v>
      </c>
      <c r="AK501">
        <v>0</v>
      </c>
      <c r="AL501">
        <v>1</v>
      </c>
      <c r="AO501">
        <v>0</v>
      </c>
      <c r="AP501" t="s">
        <v>3015</v>
      </c>
      <c r="AQ501" t="s">
        <v>3044</v>
      </c>
      <c r="AR501" t="s">
        <v>3045</v>
      </c>
      <c r="AS501" t="s">
        <v>3046</v>
      </c>
      <c r="AU501" t="s">
        <v>3046</v>
      </c>
    </row>
    <row r="502" spans="1:47" x14ac:dyDescent="0.35">
      <c r="A502">
        <v>337363</v>
      </c>
      <c r="B502" t="s">
        <v>193</v>
      </c>
      <c r="C502" t="s">
        <v>194</v>
      </c>
      <c r="D502" s="2">
        <v>45765</v>
      </c>
      <c r="E502">
        <v>53850</v>
      </c>
      <c r="F502">
        <v>114</v>
      </c>
      <c r="G502" t="s">
        <v>188</v>
      </c>
      <c r="H502" t="s">
        <v>167</v>
      </c>
      <c r="I502" t="s">
        <v>45</v>
      </c>
      <c r="K502">
        <v>202504177908028</v>
      </c>
      <c r="L502">
        <v>1143306280621</v>
      </c>
      <c r="M502">
        <v>20250417</v>
      </c>
      <c r="N502" t="s">
        <v>266</v>
      </c>
      <c r="Q502" t="s">
        <v>47</v>
      </c>
      <c r="R502">
        <v>52600</v>
      </c>
      <c r="S502">
        <v>52600</v>
      </c>
      <c r="T502">
        <v>4658875</v>
      </c>
      <c r="U502">
        <v>3230890711</v>
      </c>
      <c r="V502" t="s">
        <v>189</v>
      </c>
      <c r="W502" t="s">
        <v>190</v>
      </c>
      <c r="X502" t="s">
        <v>131</v>
      </c>
      <c r="Y502" t="s">
        <v>51</v>
      </c>
      <c r="Z502">
        <v>870</v>
      </c>
      <c r="AH502">
        <v>0</v>
      </c>
      <c r="AI502">
        <v>202504</v>
      </c>
      <c r="AJ502" t="s">
        <v>56</v>
      </c>
      <c r="AK502">
        <v>0</v>
      </c>
      <c r="AL502">
        <v>1</v>
      </c>
      <c r="AM502">
        <v>4658875</v>
      </c>
      <c r="AN502">
        <v>1</v>
      </c>
      <c r="AO502">
        <v>0</v>
      </c>
      <c r="AP502" t="s">
        <v>3033</v>
      </c>
      <c r="AQ502" t="s">
        <v>3047</v>
      </c>
      <c r="AR502" t="s">
        <v>3048</v>
      </c>
      <c r="AS502" t="s">
        <v>3049</v>
      </c>
      <c r="AU502" t="s">
        <v>3049</v>
      </c>
    </row>
    <row r="503" spans="1:47" x14ac:dyDescent="0.35">
      <c r="A503">
        <v>337362</v>
      </c>
      <c r="B503" t="s">
        <v>164</v>
      </c>
      <c r="C503" t="s">
        <v>165</v>
      </c>
      <c r="D503" s="2">
        <v>45765</v>
      </c>
      <c r="E503">
        <v>53850</v>
      </c>
      <c r="F503">
        <v>129</v>
      </c>
      <c r="G503" t="s">
        <v>227</v>
      </c>
      <c r="H503" t="s">
        <v>167</v>
      </c>
      <c r="I503" t="s">
        <v>45</v>
      </c>
      <c r="K503">
        <v>202504177906947</v>
      </c>
      <c r="L503">
        <v>1293300002811</v>
      </c>
      <c r="M503">
        <v>20250417</v>
      </c>
      <c r="N503" t="s">
        <v>168</v>
      </c>
      <c r="P503" t="s">
        <v>169</v>
      </c>
      <c r="Q503" t="s">
        <v>47</v>
      </c>
      <c r="R503">
        <v>11520.82</v>
      </c>
      <c r="S503">
        <v>0</v>
      </c>
      <c r="T503">
        <v>4972184</v>
      </c>
      <c r="U503">
        <v>7780290727</v>
      </c>
      <c r="V503" t="s">
        <v>720</v>
      </c>
      <c r="W503" t="s">
        <v>49</v>
      </c>
      <c r="X503" t="s">
        <v>721</v>
      </c>
      <c r="Y503" t="s">
        <v>51</v>
      </c>
      <c r="Z503">
        <v>1058</v>
      </c>
      <c r="AH503">
        <v>0</v>
      </c>
      <c r="AI503">
        <v>202504</v>
      </c>
      <c r="AJ503" t="s">
        <v>52</v>
      </c>
      <c r="AK503">
        <v>0</v>
      </c>
      <c r="AL503">
        <v>1</v>
      </c>
      <c r="AO503">
        <v>0</v>
      </c>
      <c r="AP503" t="s">
        <v>3015</v>
      </c>
      <c r="AQ503" t="s">
        <v>3012</v>
      </c>
      <c r="AR503" t="s">
        <v>3016</v>
      </c>
      <c r="AT503" t="s">
        <v>3017</v>
      </c>
      <c r="AU503" t="s">
        <v>3018</v>
      </c>
    </row>
    <row r="504" spans="1:47" x14ac:dyDescent="0.35">
      <c r="A504">
        <v>337361</v>
      </c>
      <c r="B504" t="s">
        <v>471</v>
      </c>
      <c r="C504" t="s">
        <v>472</v>
      </c>
      <c r="D504" s="2">
        <v>45765</v>
      </c>
      <c r="E504">
        <v>53850</v>
      </c>
      <c r="F504">
        <v>168</v>
      </c>
      <c r="G504" t="s">
        <v>616</v>
      </c>
      <c r="H504" t="s">
        <v>167</v>
      </c>
      <c r="I504" t="s">
        <v>45</v>
      </c>
      <c r="K504">
        <v>202504177906995</v>
      </c>
      <c r="L504">
        <v>1683306277782</v>
      </c>
      <c r="M504">
        <v>20250417</v>
      </c>
      <c r="N504" t="s">
        <v>168</v>
      </c>
      <c r="P504" t="s">
        <v>217</v>
      </c>
      <c r="Q504" t="s">
        <v>47</v>
      </c>
      <c r="R504">
        <v>15981.88</v>
      </c>
      <c r="S504">
        <v>0</v>
      </c>
      <c r="T504">
        <v>3743230</v>
      </c>
      <c r="U504" t="s">
        <v>694</v>
      </c>
      <c r="V504" t="s">
        <v>695</v>
      </c>
      <c r="W504" t="s">
        <v>696</v>
      </c>
      <c r="Y504" t="s">
        <v>217</v>
      </c>
      <c r="Z504">
        <v>1358</v>
      </c>
      <c r="AH504">
        <v>0</v>
      </c>
      <c r="AI504">
        <v>202504</v>
      </c>
      <c r="AJ504" t="s">
        <v>86</v>
      </c>
      <c r="AK504">
        <v>1</v>
      </c>
      <c r="AL504">
        <v>1</v>
      </c>
      <c r="AO504">
        <v>0</v>
      </c>
      <c r="AP504" t="s">
        <v>3015</v>
      </c>
      <c r="AQ504" t="s">
        <v>3084</v>
      </c>
      <c r="AR504" t="s">
        <v>3085</v>
      </c>
      <c r="AS504" t="s">
        <v>3046</v>
      </c>
      <c r="AU504" t="s">
        <v>3046</v>
      </c>
    </row>
    <row r="505" spans="1:47" x14ac:dyDescent="0.35">
      <c r="A505">
        <v>337360</v>
      </c>
      <c r="B505" t="s">
        <v>193</v>
      </c>
      <c r="C505" t="s">
        <v>194</v>
      </c>
      <c r="D505" s="2">
        <v>45765</v>
      </c>
      <c r="E505">
        <v>53850</v>
      </c>
      <c r="F505">
        <v>108</v>
      </c>
      <c r="G505" t="s">
        <v>124</v>
      </c>
      <c r="H505" t="s">
        <v>167</v>
      </c>
      <c r="I505" t="s">
        <v>45</v>
      </c>
      <c r="K505" t="s">
        <v>647</v>
      </c>
      <c r="L505">
        <v>1083306291105</v>
      </c>
      <c r="M505">
        <v>20250417</v>
      </c>
      <c r="N505" t="s">
        <v>175</v>
      </c>
      <c r="Q505" t="s">
        <v>47</v>
      </c>
      <c r="R505">
        <v>64569.48</v>
      </c>
      <c r="S505">
        <v>50782.8</v>
      </c>
      <c r="T505">
        <v>4227057</v>
      </c>
      <c r="U505">
        <v>4874620729</v>
      </c>
      <c r="V505" t="s">
        <v>250</v>
      </c>
      <c r="W505" t="s">
        <v>49</v>
      </c>
      <c r="X505" t="s">
        <v>62</v>
      </c>
      <c r="Y505" t="s">
        <v>51</v>
      </c>
      <c r="Z505">
        <v>1058</v>
      </c>
      <c r="AH505">
        <v>0</v>
      </c>
      <c r="AI505">
        <v>202504</v>
      </c>
      <c r="AJ505" t="s">
        <v>56</v>
      </c>
      <c r="AK505">
        <v>0</v>
      </c>
      <c r="AL505">
        <v>1</v>
      </c>
      <c r="AM505">
        <v>4227057</v>
      </c>
      <c r="AN505">
        <v>1</v>
      </c>
      <c r="AO505">
        <v>1</v>
      </c>
      <c r="AP505" t="s">
        <v>3015</v>
      </c>
      <c r="AQ505" t="s">
        <v>3012</v>
      </c>
      <c r="AR505" t="s">
        <v>3016</v>
      </c>
      <c r="AT505" t="s">
        <v>3017</v>
      </c>
      <c r="AU505" t="s">
        <v>3018</v>
      </c>
    </row>
    <row r="506" spans="1:47" x14ac:dyDescent="0.35">
      <c r="A506">
        <v>337359</v>
      </c>
      <c r="B506" t="s">
        <v>172</v>
      </c>
      <c r="C506" t="s">
        <v>173</v>
      </c>
      <c r="D506" s="2">
        <v>45765</v>
      </c>
      <c r="E506">
        <v>53850</v>
      </c>
      <c r="F506">
        <v>109</v>
      </c>
      <c r="G506" t="s">
        <v>89</v>
      </c>
      <c r="H506" t="s">
        <v>167</v>
      </c>
      <c r="I506" t="s">
        <v>45</v>
      </c>
      <c r="K506">
        <v>202504177908002</v>
      </c>
      <c r="L506">
        <v>1093306677535</v>
      </c>
      <c r="M506">
        <v>20250417</v>
      </c>
      <c r="N506" t="s">
        <v>231</v>
      </c>
      <c r="Q506" t="s">
        <v>47</v>
      </c>
      <c r="R506">
        <v>100000</v>
      </c>
      <c r="S506">
        <v>0</v>
      </c>
      <c r="T506">
        <v>3706791</v>
      </c>
      <c r="U506" t="s">
        <v>722</v>
      </c>
      <c r="V506" t="s">
        <v>723</v>
      </c>
      <c r="W506" t="s">
        <v>69</v>
      </c>
      <c r="X506" t="s">
        <v>724</v>
      </c>
      <c r="Y506" t="s">
        <v>51</v>
      </c>
      <c r="Z506">
        <v>1925</v>
      </c>
      <c r="AH506">
        <v>0</v>
      </c>
      <c r="AI506">
        <v>202504</v>
      </c>
      <c r="AJ506" t="s">
        <v>86</v>
      </c>
      <c r="AK506">
        <v>1</v>
      </c>
      <c r="AL506">
        <v>1</v>
      </c>
      <c r="AO506">
        <v>0</v>
      </c>
      <c r="AP506" t="s">
        <v>3015</v>
      </c>
      <c r="AQ506" t="s">
        <v>3021</v>
      </c>
      <c r="AR506" t="s">
        <v>3022</v>
      </c>
      <c r="AT506" t="s">
        <v>3017</v>
      </c>
      <c r="AU506" t="s">
        <v>3014</v>
      </c>
    </row>
    <row r="507" spans="1:47" x14ac:dyDescent="0.35">
      <c r="A507">
        <v>337358</v>
      </c>
      <c r="B507" t="s">
        <v>172</v>
      </c>
      <c r="C507" t="s">
        <v>173</v>
      </c>
      <c r="D507" s="2">
        <v>45765</v>
      </c>
      <c r="E507">
        <v>53850</v>
      </c>
      <c r="F507">
        <v>174</v>
      </c>
      <c r="G507" t="s">
        <v>224</v>
      </c>
      <c r="H507" t="s">
        <v>167</v>
      </c>
      <c r="I507" t="s">
        <v>45</v>
      </c>
      <c r="K507">
        <v>202504177908183</v>
      </c>
      <c r="L507">
        <v>1743302881185</v>
      </c>
      <c r="M507">
        <v>20250417</v>
      </c>
      <c r="N507" t="s">
        <v>231</v>
      </c>
      <c r="Q507" t="s">
        <v>47</v>
      </c>
      <c r="R507">
        <v>40000</v>
      </c>
      <c r="S507">
        <v>0</v>
      </c>
      <c r="T507">
        <v>4485506</v>
      </c>
      <c r="U507" t="s">
        <v>725</v>
      </c>
      <c r="V507" t="s">
        <v>726</v>
      </c>
      <c r="W507" t="s">
        <v>69</v>
      </c>
      <c r="X507" t="s">
        <v>131</v>
      </c>
      <c r="Y507" t="s">
        <v>51</v>
      </c>
      <c r="Z507">
        <v>448</v>
      </c>
      <c r="AH507">
        <v>0</v>
      </c>
      <c r="AI507">
        <v>202504</v>
      </c>
      <c r="AJ507" t="s">
        <v>56</v>
      </c>
      <c r="AK507">
        <v>0</v>
      </c>
      <c r="AL507">
        <v>1</v>
      </c>
      <c r="AO507">
        <v>0</v>
      </c>
      <c r="AP507" t="s">
        <v>3033</v>
      </c>
      <c r="AQ507" t="s">
        <v>3021</v>
      </c>
      <c r="AR507" t="s">
        <v>3054</v>
      </c>
      <c r="AS507" t="s">
        <v>3055</v>
      </c>
      <c r="AU507" t="s">
        <v>3055</v>
      </c>
    </row>
    <row r="508" spans="1:47" x14ac:dyDescent="0.35">
      <c r="A508">
        <v>337357</v>
      </c>
      <c r="B508" t="s">
        <v>727</v>
      </c>
      <c r="C508" t="s">
        <v>728</v>
      </c>
      <c r="D508" s="2">
        <v>45765</v>
      </c>
      <c r="E508">
        <v>53850</v>
      </c>
      <c r="F508">
        <v>109</v>
      </c>
      <c r="G508" t="s">
        <v>89</v>
      </c>
      <c r="H508" t="s">
        <v>167</v>
      </c>
      <c r="I508" t="s">
        <v>45</v>
      </c>
      <c r="K508">
        <v>202504177908006</v>
      </c>
      <c r="M508">
        <v>20250417</v>
      </c>
      <c r="N508" t="s">
        <v>46</v>
      </c>
      <c r="P508" t="s">
        <v>51</v>
      </c>
      <c r="Q508" t="s">
        <v>47</v>
      </c>
      <c r="R508">
        <v>77738.649999999994</v>
      </c>
      <c r="S508">
        <v>77738.649999999994</v>
      </c>
      <c r="T508">
        <v>3720185</v>
      </c>
      <c r="U508" t="s">
        <v>729</v>
      </c>
      <c r="V508" t="s">
        <v>730</v>
      </c>
      <c r="W508" t="s">
        <v>187</v>
      </c>
      <c r="Y508" t="s">
        <v>51</v>
      </c>
      <c r="Z508">
        <v>929</v>
      </c>
      <c r="AH508">
        <v>0</v>
      </c>
      <c r="AI508">
        <v>202504</v>
      </c>
      <c r="AL508">
        <v>0</v>
      </c>
      <c r="AO508">
        <v>0</v>
      </c>
      <c r="AP508" t="s">
        <v>3015</v>
      </c>
      <c r="AQ508" t="s">
        <v>3044</v>
      </c>
      <c r="AR508" t="s">
        <v>3045</v>
      </c>
      <c r="AS508" t="s">
        <v>3046</v>
      </c>
      <c r="AU508" t="s">
        <v>3046</v>
      </c>
    </row>
    <row r="509" spans="1:47" x14ac:dyDescent="0.35">
      <c r="A509">
        <v>337356</v>
      </c>
      <c r="B509" t="s">
        <v>178</v>
      </c>
      <c r="C509" t="s">
        <v>179</v>
      </c>
      <c r="D509" s="2">
        <v>45765</v>
      </c>
      <c r="E509">
        <v>53850</v>
      </c>
      <c r="F509">
        <v>116</v>
      </c>
      <c r="G509" t="s">
        <v>126</v>
      </c>
      <c r="H509" t="s">
        <v>167</v>
      </c>
      <c r="I509" t="s">
        <v>45</v>
      </c>
      <c r="K509">
        <v>202504177905525</v>
      </c>
      <c r="L509">
        <v>2343300010453</v>
      </c>
      <c r="M509">
        <v>20250417</v>
      </c>
      <c r="N509" t="s">
        <v>236</v>
      </c>
      <c r="P509" t="s">
        <v>51</v>
      </c>
      <c r="Q509" t="s">
        <v>170</v>
      </c>
      <c r="R509">
        <v>695640.49</v>
      </c>
      <c r="S509">
        <v>0</v>
      </c>
      <c r="T509">
        <v>4247777</v>
      </c>
      <c r="U509">
        <v>233470236</v>
      </c>
      <c r="V509" t="s">
        <v>206</v>
      </c>
      <c r="W509" t="s">
        <v>49</v>
      </c>
      <c r="X509" t="s">
        <v>117</v>
      </c>
      <c r="Y509" t="s">
        <v>51</v>
      </c>
      <c r="Z509">
        <v>1696</v>
      </c>
      <c r="AH509">
        <v>0</v>
      </c>
      <c r="AI509">
        <v>202504</v>
      </c>
      <c r="AJ509" t="s">
        <v>114</v>
      </c>
      <c r="AK509">
        <v>1</v>
      </c>
      <c r="AL509">
        <v>1</v>
      </c>
      <c r="AM509">
        <v>4247777</v>
      </c>
      <c r="AN509">
        <v>1</v>
      </c>
      <c r="AO509">
        <v>0</v>
      </c>
      <c r="AP509" t="s">
        <v>3029</v>
      </c>
      <c r="AQ509" t="s">
        <v>3012</v>
      </c>
      <c r="AR509" t="s">
        <v>3030</v>
      </c>
      <c r="AS509" t="s">
        <v>3014</v>
      </c>
      <c r="AU509" t="s">
        <v>3014</v>
      </c>
    </row>
    <row r="510" spans="1:47" x14ac:dyDescent="0.35">
      <c r="A510">
        <v>337355</v>
      </c>
      <c r="B510" t="s">
        <v>178</v>
      </c>
      <c r="C510" t="s">
        <v>179</v>
      </c>
      <c r="D510" s="2">
        <v>45765</v>
      </c>
      <c r="E510">
        <v>53850</v>
      </c>
      <c r="F510">
        <v>268</v>
      </c>
      <c r="G510" t="s">
        <v>83</v>
      </c>
      <c r="H510" t="s">
        <v>167</v>
      </c>
      <c r="I510" t="s">
        <v>45</v>
      </c>
      <c r="K510">
        <v>202504177907009</v>
      </c>
      <c r="L510">
        <v>2681147800157</v>
      </c>
      <c r="M510">
        <v>20250417</v>
      </c>
      <c r="N510" t="s">
        <v>731</v>
      </c>
      <c r="Q510" t="s">
        <v>47</v>
      </c>
      <c r="R510">
        <v>805996.47</v>
      </c>
      <c r="S510">
        <v>0</v>
      </c>
      <c r="T510">
        <v>1606212</v>
      </c>
      <c r="U510">
        <v>1495180794</v>
      </c>
      <c r="V510" t="s">
        <v>120</v>
      </c>
      <c r="W510" t="s">
        <v>49</v>
      </c>
      <c r="X510" t="s">
        <v>121</v>
      </c>
      <c r="Y510" t="s">
        <v>51</v>
      </c>
      <c r="Z510">
        <v>1627</v>
      </c>
      <c r="AH510">
        <v>0</v>
      </c>
      <c r="AI510">
        <v>202504</v>
      </c>
      <c r="AJ510" t="s">
        <v>86</v>
      </c>
      <c r="AK510">
        <v>1</v>
      </c>
      <c r="AL510">
        <v>1</v>
      </c>
      <c r="AO510">
        <v>0</v>
      </c>
      <c r="AP510" t="s">
        <v>3015</v>
      </c>
      <c r="AQ510" t="s">
        <v>3012</v>
      </c>
      <c r="AR510" t="s">
        <v>3016</v>
      </c>
      <c r="AT510" t="s">
        <v>3017</v>
      </c>
      <c r="AU510" t="s">
        <v>3018</v>
      </c>
    </row>
    <row r="511" spans="1:47" x14ac:dyDescent="0.35">
      <c r="A511">
        <v>337354</v>
      </c>
      <c r="B511" t="s">
        <v>727</v>
      </c>
      <c r="C511" t="s">
        <v>728</v>
      </c>
      <c r="D511" s="2">
        <v>45765</v>
      </c>
      <c r="E511">
        <v>53850</v>
      </c>
      <c r="F511">
        <v>109</v>
      </c>
      <c r="G511" t="s">
        <v>89</v>
      </c>
      <c r="H511" t="s">
        <v>167</v>
      </c>
      <c r="I511" t="s">
        <v>45</v>
      </c>
      <c r="K511">
        <v>202504177908006</v>
      </c>
      <c r="M511">
        <v>20250417</v>
      </c>
      <c r="N511" t="s">
        <v>46</v>
      </c>
      <c r="P511" t="s">
        <v>51</v>
      </c>
      <c r="Q511" t="s">
        <v>47</v>
      </c>
      <c r="R511">
        <v>77738.649999999994</v>
      </c>
      <c r="S511">
        <v>77738.649999999994</v>
      </c>
      <c r="T511">
        <v>4907285</v>
      </c>
      <c r="U511" t="s">
        <v>732</v>
      </c>
      <c r="V511" t="s">
        <v>733</v>
      </c>
      <c r="W511" t="s">
        <v>187</v>
      </c>
      <c r="Y511" t="s">
        <v>51</v>
      </c>
      <c r="Z511">
        <v>1430</v>
      </c>
      <c r="AH511">
        <v>0</v>
      </c>
      <c r="AI511">
        <v>202504</v>
      </c>
      <c r="AL511">
        <v>0</v>
      </c>
      <c r="AO511">
        <v>0</v>
      </c>
      <c r="AP511" t="s">
        <v>3015</v>
      </c>
      <c r="AQ511" t="s">
        <v>3044</v>
      </c>
      <c r="AR511" t="s">
        <v>3045</v>
      </c>
      <c r="AS511" t="s">
        <v>3046</v>
      </c>
      <c r="AU511" t="s">
        <v>3046</v>
      </c>
    </row>
    <row r="512" spans="1:47" x14ac:dyDescent="0.35">
      <c r="A512">
        <v>337353</v>
      </c>
      <c r="B512" t="s">
        <v>164</v>
      </c>
      <c r="C512" t="s">
        <v>165</v>
      </c>
      <c r="D512" s="2">
        <v>45765</v>
      </c>
      <c r="E512">
        <v>53850</v>
      </c>
      <c r="F512">
        <v>104</v>
      </c>
      <c r="G512" t="s">
        <v>108</v>
      </c>
      <c r="H512" t="s">
        <v>167</v>
      </c>
      <c r="I512" t="s">
        <v>45</v>
      </c>
      <c r="K512" t="s">
        <v>734</v>
      </c>
      <c r="L512">
        <v>1043301449295</v>
      </c>
      <c r="M512">
        <v>20250417</v>
      </c>
      <c r="N512" t="s">
        <v>168</v>
      </c>
      <c r="P512" t="s">
        <v>255</v>
      </c>
      <c r="Q512" t="s">
        <v>47</v>
      </c>
      <c r="R512">
        <v>2057.1999999999998</v>
      </c>
      <c r="S512">
        <v>0</v>
      </c>
      <c r="T512">
        <v>4627975</v>
      </c>
      <c r="U512">
        <v>7107300720</v>
      </c>
      <c r="V512" t="s">
        <v>735</v>
      </c>
      <c r="W512" t="s">
        <v>49</v>
      </c>
      <c r="X512" t="s">
        <v>736</v>
      </c>
      <c r="Y512" t="s">
        <v>51</v>
      </c>
      <c r="Z512">
        <v>727</v>
      </c>
      <c r="AH512">
        <v>0</v>
      </c>
      <c r="AI512">
        <v>202504</v>
      </c>
      <c r="AJ512" t="s">
        <v>86</v>
      </c>
      <c r="AK512">
        <v>1</v>
      </c>
      <c r="AL512">
        <v>1</v>
      </c>
      <c r="AO512">
        <v>0</v>
      </c>
      <c r="AP512" t="s">
        <v>3015</v>
      </c>
      <c r="AQ512" t="s">
        <v>3012</v>
      </c>
      <c r="AR512" t="s">
        <v>3016</v>
      </c>
      <c r="AT512" t="s">
        <v>3017</v>
      </c>
      <c r="AU512" t="s">
        <v>3018</v>
      </c>
    </row>
    <row r="513" spans="1:47" x14ac:dyDescent="0.35">
      <c r="A513">
        <v>337352</v>
      </c>
      <c r="B513" t="s">
        <v>164</v>
      </c>
      <c r="C513" t="s">
        <v>165</v>
      </c>
      <c r="D513" s="2">
        <v>45765</v>
      </c>
      <c r="E513">
        <v>53850</v>
      </c>
      <c r="F513">
        <v>116</v>
      </c>
      <c r="G513" t="s">
        <v>126</v>
      </c>
      <c r="H513" t="s">
        <v>167</v>
      </c>
      <c r="I513" t="s">
        <v>45</v>
      </c>
      <c r="K513" t="s">
        <v>737</v>
      </c>
      <c r="L513">
        <v>1163307619118</v>
      </c>
      <c r="M513">
        <v>20250417</v>
      </c>
      <c r="N513" t="s">
        <v>168</v>
      </c>
      <c r="P513" t="s">
        <v>203</v>
      </c>
      <c r="Q513" t="s">
        <v>47</v>
      </c>
      <c r="R513">
        <v>4700</v>
      </c>
      <c r="S513">
        <v>0</v>
      </c>
      <c r="T513">
        <v>4644565</v>
      </c>
      <c r="U513" t="s">
        <v>738</v>
      </c>
      <c r="V513" t="s">
        <v>739</v>
      </c>
      <c r="W513" t="s">
        <v>187</v>
      </c>
      <c r="Y513" t="s">
        <v>51</v>
      </c>
      <c r="Z513">
        <v>924</v>
      </c>
      <c r="AH513">
        <v>0</v>
      </c>
      <c r="AI513">
        <v>202504</v>
      </c>
      <c r="AJ513" t="s">
        <v>86</v>
      </c>
      <c r="AK513">
        <v>1</v>
      </c>
      <c r="AL513">
        <v>1</v>
      </c>
      <c r="AO513">
        <v>0</v>
      </c>
      <c r="AP513" t="s">
        <v>3015</v>
      </c>
      <c r="AQ513" t="s">
        <v>3044</v>
      </c>
      <c r="AR513" t="s">
        <v>3045</v>
      </c>
      <c r="AS513" t="s">
        <v>3046</v>
      </c>
      <c r="AU513" t="s">
        <v>3046</v>
      </c>
    </row>
    <row r="514" spans="1:47" x14ac:dyDescent="0.35">
      <c r="A514">
        <v>337351</v>
      </c>
      <c r="B514" t="s">
        <v>164</v>
      </c>
      <c r="C514" t="s">
        <v>165</v>
      </c>
      <c r="D514" s="2">
        <v>45765</v>
      </c>
      <c r="E514">
        <v>53850</v>
      </c>
      <c r="F514">
        <v>196</v>
      </c>
      <c r="G514" t="s">
        <v>567</v>
      </c>
      <c r="H514" t="s">
        <v>167</v>
      </c>
      <c r="I514" t="s">
        <v>45</v>
      </c>
      <c r="K514" t="s">
        <v>740</v>
      </c>
      <c r="L514">
        <v>1963302354532</v>
      </c>
      <c r="M514">
        <v>20250417</v>
      </c>
      <c r="N514" t="s">
        <v>168</v>
      </c>
      <c r="P514" t="s">
        <v>741</v>
      </c>
      <c r="Q514" t="s">
        <v>170</v>
      </c>
      <c r="R514">
        <v>1940</v>
      </c>
      <c r="S514">
        <v>0</v>
      </c>
      <c r="T514">
        <v>4962400</v>
      </c>
      <c r="U514" t="s">
        <v>742</v>
      </c>
      <c r="V514" t="s">
        <v>743</v>
      </c>
      <c r="W514" t="s">
        <v>187</v>
      </c>
      <c r="Y514" t="s">
        <v>51</v>
      </c>
      <c r="Z514">
        <v>796</v>
      </c>
      <c r="AH514">
        <v>0</v>
      </c>
      <c r="AI514">
        <v>202504</v>
      </c>
      <c r="AJ514" t="s">
        <v>86</v>
      </c>
      <c r="AK514">
        <v>1</v>
      </c>
      <c r="AL514">
        <v>1</v>
      </c>
      <c r="AO514">
        <v>0</v>
      </c>
      <c r="AP514" t="s">
        <v>3015</v>
      </c>
      <c r="AQ514" t="s">
        <v>3044</v>
      </c>
      <c r="AR514" t="s">
        <v>3045</v>
      </c>
      <c r="AS514" t="s">
        <v>3046</v>
      </c>
      <c r="AU514" t="s">
        <v>3046</v>
      </c>
    </row>
    <row r="515" spans="1:47" x14ac:dyDescent="0.35">
      <c r="A515">
        <v>337350</v>
      </c>
      <c r="B515" t="s">
        <v>214</v>
      </c>
      <c r="C515" t="s">
        <v>215</v>
      </c>
      <c r="D515" s="2">
        <v>45765</v>
      </c>
      <c r="E515">
        <v>53850</v>
      </c>
      <c r="F515">
        <v>109</v>
      </c>
      <c r="G515" t="s">
        <v>89</v>
      </c>
      <c r="H515" t="s">
        <v>167</v>
      </c>
      <c r="I515" t="s">
        <v>45</v>
      </c>
      <c r="K515">
        <v>202504177906991</v>
      </c>
      <c r="L515">
        <v>1093306675356</v>
      </c>
      <c r="M515">
        <v>20250417</v>
      </c>
      <c r="N515" t="s">
        <v>168</v>
      </c>
      <c r="P515" t="s">
        <v>511</v>
      </c>
      <c r="Q515" t="s">
        <v>47</v>
      </c>
      <c r="R515">
        <v>16016</v>
      </c>
      <c r="S515">
        <v>0</v>
      </c>
      <c r="T515">
        <v>4976123</v>
      </c>
      <c r="U515">
        <v>8630940727</v>
      </c>
      <c r="V515" t="s">
        <v>717</v>
      </c>
      <c r="W515" t="s">
        <v>49</v>
      </c>
      <c r="X515" t="s">
        <v>131</v>
      </c>
      <c r="Y515" t="s">
        <v>51</v>
      </c>
      <c r="Z515">
        <v>502</v>
      </c>
      <c r="AH515">
        <v>0</v>
      </c>
      <c r="AI515">
        <v>202504</v>
      </c>
      <c r="AJ515" t="s">
        <v>56</v>
      </c>
      <c r="AK515">
        <v>0</v>
      </c>
      <c r="AL515">
        <v>1</v>
      </c>
      <c r="AM515">
        <v>4976123</v>
      </c>
      <c r="AN515">
        <v>1</v>
      </c>
      <c r="AO515">
        <v>0</v>
      </c>
      <c r="AP515" t="s">
        <v>3033</v>
      </c>
      <c r="AQ515" t="s">
        <v>3012</v>
      </c>
      <c r="AR515" t="s">
        <v>3034</v>
      </c>
      <c r="AS515" t="s">
        <v>3014</v>
      </c>
      <c r="AU515" t="s">
        <v>3014</v>
      </c>
    </row>
    <row r="516" spans="1:47" x14ac:dyDescent="0.35">
      <c r="A516">
        <v>337349</v>
      </c>
      <c r="B516" t="s">
        <v>178</v>
      </c>
      <c r="C516" t="s">
        <v>179</v>
      </c>
      <c r="D516" s="2">
        <v>45765</v>
      </c>
      <c r="E516">
        <v>53850</v>
      </c>
      <c r="F516">
        <v>102</v>
      </c>
      <c r="G516" t="s">
        <v>151</v>
      </c>
      <c r="H516" t="s">
        <v>167</v>
      </c>
      <c r="I516" t="s">
        <v>45</v>
      </c>
      <c r="K516">
        <v>202504177907921</v>
      </c>
      <c r="L516">
        <v>1023308723686</v>
      </c>
      <c r="M516">
        <v>20250417</v>
      </c>
      <c r="N516" t="s">
        <v>236</v>
      </c>
      <c r="P516" t="s">
        <v>51</v>
      </c>
      <c r="Q516" t="s">
        <v>170</v>
      </c>
      <c r="R516">
        <v>2342000</v>
      </c>
      <c r="S516">
        <v>0</v>
      </c>
      <c r="T516">
        <v>531420</v>
      </c>
      <c r="U516" t="s">
        <v>744</v>
      </c>
      <c r="V516" t="s">
        <v>745</v>
      </c>
      <c r="W516" t="s">
        <v>69</v>
      </c>
      <c r="X516" t="s">
        <v>746</v>
      </c>
      <c r="Y516" t="s">
        <v>51</v>
      </c>
      <c r="Z516">
        <v>1306</v>
      </c>
      <c r="AH516">
        <v>0</v>
      </c>
      <c r="AI516">
        <v>202504</v>
      </c>
      <c r="AJ516" t="s">
        <v>56</v>
      </c>
      <c r="AK516">
        <v>0</v>
      </c>
      <c r="AL516">
        <v>1</v>
      </c>
      <c r="AM516">
        <v>531420</v>
      </c>
      <c r="AN516">
        <v>1</v>
      </c>
      <c r="AO516">
        <v>0</v>
      </c>
      <c r="AP516" t="s">
        <v>3015</v>
      </c>
      <c r="AQ516" t="s">
        <v>3021</v>
      </c>
      <c r="AR516" t="s">
        <v>3022</v>
      </c>
      <c r="AT516" t="s">
        <v>3017</v>
      </c>
      <c r="AU516" t="s">
        <v>3014</v>
      </c>
    </row>
    <row r="517" spans="1:47" x14ac:dyDescent="0.35">
      <c r="A517">
        <v>337348</v>
      </c>
      <c r="B517" t="s">
        <v>727</v>
      </c>
      <c r="C517" t="s">
        <v>728</v>
      </c>
      <c r="D517" s="2">
        <v>45765</v>
      </c>
      <c r="E517">
        <v>53850</v>
      </c>
      <c r="F517">
        <v>109</v>
      </c>
      <c r="G517" t="s">
        <v>89</v>
      </c>
      <c r="H517" t="s">
        <v>167</v>
      </c>
      <c r="I517" t="s">
        <v>45</v>
      </c>
      <c r="K517">
        <v>202504177908006</v>
      </c>
      <c r="M517">
        <v>20250417</v>
      </c>
      <c r="N517" t="s">
        <v>46</v>
      </c>
      <c r="P517" t="s">
        <v>51</v>
      </c>
      <c r="Q517" t="s">
        <v>47</v>
      </c>
      <c r="R517">
        <v>77738.649999999994</v>
      </c>
      <c r="S517">
        <v>77738.649999999994</v>
      </c>
      <c r="T517">
        <v>4116562</v>
      </c>
      <c r="U517" t="s">
        <v>747</v>
      </c>
      <c r="V517" t="s">
        <v>748</v>
      </c>
      <c r="W517" t="s">
        <v>187</v>
      </c>
      <c r="Y517" t="s">
        <v>51</v>
      </c>
      <c r="Z517">
        <v>1430</v>
      </c>
      <c r="AH517">
        <v>0</v>
      </c>
      <c r="AI517">
        <v>202504</v>
      </c>
      <c r="AL517">
        <v>0</v>
      </c>
      <c r="AO517">
        <v>0</v>
      </c>
      <c r="AP517" t="s">
        <v>3015</v>
      </c>
      <c r="AQ517" t="s">
        <v>3044</v>
      </c>
      <c r="AR517" t="s">
        <v>3045</v>
      </c>
      <c r="AS517" t="s">
        <v>3046</v>
      </c>
      <c r="AU517" t="s">
        <v>3046</v>
      </c>
    </row>
    <row r="518" spans="1:47" x14ac:dyDescent="0.35">
      <c r="A518">
        <v>337347</v>
      </c>
      <c r="B518" t="s">
        <v>178</v>
      </c>
      <c r="C518" t="s">
        <v>179</v>
      </c>
      <c r="D518" s="2">
        <v>45765</v>
      </c>
      <c r="E518">
        <v>53850</v>
      </c>
      <c r="F518">
        <v>192</v>
      </c>
      <c r="G518" t="s">
        <v>66</v>
      </c>
      <c r="H518" t="s">
        <v>167</v>
      </c>
      <c r="I518" t="s">
        <v>45</v>
      </c>
      <c r="K518" t="s">
        <v>703</v>
      </c>
      <c r="L518">
        <v>1923300178032</v>
      </c>
      <c r="M518">
        <v>20250417</v>
      </c>
      <c r="N518" t="s">
        <v>3136</v>
      </c>
      <c r="Q518" t="s">
        <v>170</v>
      </c>
      <c r="R518">
        <v>1480.93</v>
      </c>
      <c r="S518">
        <v>0</v>
      </c>
      <c r="T518">
        <v>3174010</v>
      </c>
      <c r="U518" t="s">
        <v>715</v>
      </c>
      <c r="V518" t="s">
        <v>716</v>
      </c>
      <c r="W518" t="s">
        <v>187</v>
      </c>
      <c r="Y518" t="s">
        <v>51</v>
      </c>
      <c r="Z518">
        <v>481</v>
      </c>
      <c r="AH518">
        <v>0</v>
      </c>
      <c r="AI518">
        <v>202504</v>
      </c>
      <c r="AJ518" t="s">
        <v>52</v>
      </c>
      <c r="AK518">
        <v>0</v>
      </c>
      <c r="AL518">
        <v>1</v>
      </c>
      <c r="AO518">
        <v>1</v>
      </c>
      <c r="AP518" t="s">
        <v>3015</v>
      </c>
      <c r="AQ518" t="s">
        <v>3044</v>
      </c>
      <c r="AR518" t="s">
        <v>3045</v>
      </c>
      <c r="AS518" t="s">
        <v>3046</v>
      </c>
      <c r="AU518" t="s">
        <v>3046</v>
      </c>
    </row>
    <row r="519" spans="1:47" x14ac:dyDescent="0.35">
      <c r="A519">
        <v>337346</v>
      </c>
      <c r="B519" t="s">
        <v>164</v>
      </c>
      <c r="C519" t="s">
        <v>165</v>
      </c>
      <c r="D519" s="2">
        <v>45765</v>
      </c>
      <c r="E519">
        <v>53850</v>
      </c>
      <c r="F519">
        <v>171</v>
      </c>
      <c r="G519" t="s">
        <v>198</v>
      </c>
      <c r="H519" t="s">
        <v>167</v>
      </c>
      <c r="I519" t="s">
        <v>45</v>
      </c>
      <c r="K519">
        <v>202504157905829</v>
      </c>
      <c r="L519">
        <v>1713302216617</v>
      </c>
      <c r="M519">
        <v>20250415</v>
      </c>
      <c r="N519" t="s">
        <v>168</v>
      </c>
      <c r="P519" t="s">
        <v>255</v>
      </c>
      <c r="Q519" t="s">
        <v>170</v>
      </c>
      <c r="R519">
        <v>5000</v>
      </c>
      <c r="S519">
        <v>0</v>
      </c>
      <c r="T519">
        <v>4220793</v>
      </c>
      <c r="U519" t="s">
        <v>749</v>
      </c>
      <c r="V519" t="s">
        <v>750</v>
      </c>
      <c r="W519" t="s">
        <v>187</v>
      </c>
      <c r="Y519" t="s">
        <v>51</v>
      </c>
      <c r="Z519">
        <v>815</v>
      </c>
      <c r="AH519">
        <v>0</v>
      </c>
      <c r="AI519">
        <v>202504</v>
      </c>
      <c r="AJ519" t="s">
        <v>119</v>
      </c>
      <c r="AK519">
        <v>1</v>
      </c>
      <c r="AL519">
        <v>1</v>
      </c>
      <c r="AO519">
        <v>0</v>
      </c>
      <c r="AP519" t="s">
        <v>3015</v>
      </c>
      <c r="AQ519" t="s">
        <v>3044</v>
      </c>
      <c r="AR519" t="s">
        <v>3045</v>
      </c>
      <c r="AS519" t="s">
        <v>3046</v>
      </c>
      <c r="AU519" t="s">
        <v>3046</v>
      </c>
    </row>
    <row r="520" spans="1:47" x14ac:dyDescent="0.35">
      <c r="A520">
        <v>337345</v>
      </c>
      <c r="B520" t="s">
        <v>193</v>
      </c>
      <c r="C520" t="s">
        <v>194</v>
      </c>
      <c r="D520" s="2">
        <v>45764</v>
      </c>
      <c r="E520">
        <v>53850</v>
      </c>
      <c r="F520">
        <v>268</v>
      </c>
      <c r="G520" t="s">
        <v>83</v>
      </c>
      <c r="H520" t="s">
        <v>167</v>
      </c>
      <c r="I520" t="s">
        <v>45</v>
      </c>
      <c r="K520">
        <v>202504167904813</v>
      </c>
      <c r="L520">
        <v>2683300010030</v>
      </c>
      <c r="M520">
        <v>20250416</v>
      </c>
      <c r="N520" t="s">
        <v>195</v>
      </c>
      <c r="Q520" t="s">
        <v>47</v>
      </c>
      <c r="R520">
        <v>31820</v>
      </c>
      <c r="S520">
        <v>31820</v>
      </c>
      <c r="T520">
        <v>4966939</v>
      </c>
      <c r="U520" t="s">
        <v>221</v>
      </c>
      <c r="V520" t="s">
        <v>222</v>
      </c>
      <c r="W520" t="s">
        <v>69</v>
      </c>
      <c r="X520" t="s">
        <v>55</v>
      </c>
      <c r="Y520" t="s">
        <v>51</v>
      </c>
      <c r="Z520">
        <v>1870</v>
      </c>
      <c r="AH520">
        <v>0</v>
      </c>
      <c r="AI520">
        <v>202504</v>
      </c>
      <c r="AJ520" t="s">
        <v>56</v>
      </c>
      <c r="AK520">
        <v>0</v>
      </c>
      <c r="AL520">
        <v>1</v>
      </c>
      <c r="AM520">
        <v>4966939</v>
      </c>
      <c r="AN520">
        <v>1</v>
      </c>
      <c r="AO520">
        <v>0</v>
      </c>
      <c r="AP520" t="s">
        <v>3015</v>
      </c>
      <c r="AQ520" t="s">
        <v>3021</v>
      </c>
      <c r="AR520" t="s">
        <v>3022</v>
      </c>
      <c r="AT520" t="s">
        <v>3017</v>
      </c>
      <c r="AU520" t="s">
        <v>3014</v>
      </c>
    </row>
    <row r="521" spans="1:47" x14ac:dyDescent="0.35">
      <c r="A521">
        <v>337344</v>
      </c>
      <c r="B521" t="s">
        <v>193</v>
      </c>
      <c r="C521" t="s">
        <v>194</v>
      </c>
      <c r="D521" s="2">
        <v>45764</v>
      </c>
      <c r="E521">
        <v>53850</v>
      </c>
      <c r="F521">
        <v>117</v>
      </c>
      <c r="G521" t="s">
        <v>490</v>
      </c>
      <c r="H521" t="s">
        <v>167</v>
      </c>
      <c r="I521" t="s">
        <v>45</v>
      </c>
      <c r="K521" t="s">
        <v>751</v>
      </c>
      <c r="L521">
        <v>1173300538726</v>
      </c>
      <c r="M521">
        <v>20250416</v>
      </c>
      <c r="N521" t="s">
        <v>175</v>
      </c>
      <c r="Q521" t="s">
        <v>47</v>
      </c>
      <c r="R521">
        <v>52743.93</v>
      </c>
      <c r="S521">
        <v>35535</v>
      </c>
      <c r="T521">
        <v>4784989</v>
      </c>
      <c r="U521">
        <v>1269590772</v>
      </c>
      <c r="V521" t="s">
        <v>492</v>
      </c>
      <c r="W521" t="s">
        <v>49</v>
      </c>
      <c r="X521" t="s">
        <v>413</v>
      </c>
      <c r="Y521" t="s">
        <v>51</v>
      </c>
      <c r="Z521">
        <v>1926</v>
      </c>
      <c r="AH521">
        <v>0</v>
      </c>
      <c r="AI521">
        <v>202504</v>
      </c>
      <c r="AJ521" t="s">
        <v>56</v>
      </c>
      <c r="AK521">
        <v>0</v>
      </c>
      <c r="AL521">
        <v>1</v>
      </c>
      <c r="AM521">
        <v>4784989</v>
      </c>
      <c r="AN521">
        <v>1</v>
      </c>
      <c r="AO521">
        <v>1</v>
      </c>
      <c r="AP521" t="s">
        <v>3015</v>
      </c>
      <c r="AQ521" t="s">
        <v>3012</v>
      </c>
      <c r="AR521" t="s">
        <v>3016</v>
      </c>
      <c r="AT521" t="s">
        <v>3017</v>
      </c>
      <c r="AU521" t="s">
        <v>3018</v>
      </c>
    </row>
    <row r="522" spans="1:47" x14ac:dyDescent="0.35">
      <c r="A522">
        <v>337343</v>
      </c>
      <c r="B522" t="s">
        <v>214</v>
      </c>
      <c r="C522" t="s">
        <v>215</v>
      </c>
      <c r="D522" s="2">
        <v>45764</v>
      </c>
      <c r="E522">
        <v>53850</v>
      </c>
      <c r="F522">
        <v>110</v>
      </c>
      <c r="G522" t="s">
        <v>230</v>
      </c>
      <c r="H522" t="s">
        <v>167</v>
      </c>
      <c r="I522" t="s">
        <v>45</v>
      </c>
      <c r="K522">
        <v>202504167903584</v>
      </c>
      <c r="L522">
        <v>1103306288240</v>
      </c>
      <c r="M522">
        <v>20250416</v>
      </c>
      <c r="N522" t="s">
        <v>168</v>
      </c>
      <c r="P522" t="s">
        <v>752</v>
      </c>
      <c r="Q522" t="s">
        <v>47</v>
      </c>
      <c r="R522">
        <v>45394.39</v>
      </c>
      <c r="S522">
        <v>0</v>
      </c>
      <c r="T522">
        <v>4960705</v>
      </c>
      <c r="U522">
        <v>8520490726</v>
      </c>
      <c r="V522" t="s">
        <v>753</v>
      </c>
      <c r="W522" t="s">
        <v>49</v>
      </c>
      <c r="X522" t="s">
        <v>110</v>
      </c>
      <c r="Y522" t="s">
        <v>51</v>
      </c>
      <c r="Z522">
        <v>1696</v>
      </c>
      <c r="AH522">
        <v>0</v>
      </c>
      <c r="AI522">
        <v>202504</v>
      </c>
      <c r="AJ522" t="s">
        <v>52</v>
      </c>
      <c r="AK522">
        <v>0</v>
      </c>
      <c r="AL522">
        <v>1</v>
      </c>
      <c r="AO522">
        <v>0</v>
      </c>
      <c r="AP522" t="s">
        <v>3026</v>
      </c>
      <c r="AQ522" t="s">
        <v>3012</v>
      </c>
      <c r="AR522" t="s">
        <v>3027</v>
      </c>
      <c r="AS522" t="s">
        <v>3028</v>
      </c>
      <c r="AU522" t="s">
        <v>3028</v>
      </c>
    </row>
    <row r="523" spans="1:47" x14ac:dyDescent="0.35">
      <c r="A523">
        <v>337342</v>
      </c>
      <c r="B523" t="s">
        <v>333</v>
      </c>
      <c r="C523" t="s">
        <v>334</v>
      </c>
      <c r="D523" s="2">
        <v>45764</v>
      </c>
      <c r="E523">
        <v>53850</v>
      </c>
      <c r="F523">
        <v>99</v>
      </c>
      <c r="G523" t="s">
        <v>335</v>
      </c>
      <c r="H523" t="s">
        <v>167</v>
      </c>
      <c r="I523" t="s">
        <v>45</v>
      </c>
      <c r="K523">
        <v>202504167904872</v>
      </c>
      <c r="M523">
        <v>20250416</v>
      </c>
      <c r="N523" t="s">
        <v>3136</v>
      </c>
      <c r="Q523" t="s">
        <v>170</v>
      </c>
      <c r="R523">
        <v>45671.839999999997</v>
      </c>
      <c r="S523">
        <v>0</v>
      </c>
      <c r="T523">
        <v>1623092</v>
      </c>
      <c r="U523" t="s">
        <v>754</v>
      </c>
      <c r="V523" t="s">
        <v>755</v>
      </c>
      <c r="W523" t="s">
        <v>187</v>
      </c>
      <c r="Y523" t="s">
        <v>51</v>
      </c>
      <c r="Z523">
        <v>1876</v>
      </c>
      <c r="AH523">
        <v>0</v>
      </c>
      <c r="AI523">
        <v>202504</v>
      </c>
      <c r="AJ523" t="s">
        <v>52</v>
      </c>
      <c r="AK523">
        <v>0</v>
      </c>
      <c r="AL523">
        <v>0</v>
      </c>
      <c r="AO523">
        <v>1</v>
      </c>
      <c r="AP523" t="s">
        <v>3015</v>
      </c>
      <c r="AQ523" t="s">
        <v>3044</v>
      </c>
      <c r="AR523" t="s">
        <v>3045</v>
      </c>
      <c r="AS523" t="s">
        <v>3046</v>
      </c>
      <c r="AU523" t="s">
        <v>3046</v>
      </c>
    </row>
    <row r="524" spans="1:47" x14ac:dyDescent="0.35">
      <c r="A524">
        <v>337341</v>
      </c>
      <c r="B524" t="s">
        <v>756</v>
      </c>
      <c r="C524" t="s">
        <v>757</v>
      </c>
      <c r="D524" s="2">
        <v>45764</v>
      </c>
      <c r="E524">
        <v>53850</v>
      </c>
      <c r="F524">
        <v>265</v>
      </c>
      <c r="G524" t="s">
        <v>758</v>
      </c>
      <c r="H524" t="s">
        <v>167</v>
      </c>
      <c r="I524" t="s">
        <v>45</v>
      </c>
      <c r="K524">
        <v>202504167905316</v>
      </c>
      <c r="L524">
        <v>2653300000877</v>
      </c>
      <c r="M524">
        <v>20250416</v>
      </c>
      <c r="N524" t="s">
        <v>759</v>
      </c>
      <c r="Q524" t="s">
        <v>170</v>
      </c>
      <c r="R524">
        <v>22000</v>
      </c>
      <c r="S524">
        <v>22000</v>
      </c>
      <c r="T524">
        <v>1649396</v>
      </c>
      <c r="U524">
        <v>1208100774</v>
      </c>
      <c r="V524" t="s">
        <v>760</v>
      </c>
      <c r="W524" t="s">
        <v>49</v>
      </c>
      <c r="X524" t="s">
        <v>110</v>
      </c>
      <c r="Y524" t="s">
        <v>51</v>
      </c>
      <c r="Z524">
        <v>1769</v>
      </c>
      <c r="AH524">
        <v>0</v>
      </c>
      <c r="AI524">
        <v>202504</v>
      </c>
      <c r="AJ524" t="s">
        <v>56</v>
      </c>
      <c r="AK524">
        <v>0</v>
      </c>
      <c r="AL524">
        <v>0</v>
      </c>
      <c r="AM524">
        <v>1649396</v>
      </c>
      <c r="AN524">
        <v>1</v>
      </c>
      <c r="AO524">
        <v>0</v>
      </c>
      <c r="AP524" t="s">
        <v>3026</v>
      </c>
      <c r="AQ524" t="s">
        <v>3012</v>
      </c>
      <c r="AR524" t="s">
        <v>3027</v>
      </c>
      <c r="AS524" t="s">
        <v>3028</v>
      </c>
      <c r="AU524" t="s">
        <v>3028</v>
      </c>
    </row>
    <row r="525" spans="1:47" x14ac:dyDescent="0.35">
      <c r="A525">
        <v>337340</v>
      </c>
      <c r="B525" t="s">
        <v>214</v>
      </c>
      <c r="C525" t="s">
        <v>215</v>
      </c>
      <c r="D525" s="2">
        <v>45764</v>
      </c>
      <c r="E525">
        <v>53850</v>
      </c>
      <c r="F525">
        <v>110</v>
      </c>
      <c r="G525" t="s">
        <v>230</v>
      </c>
      <c r="H525" t="s">
        <v>167</v>
      </c>
      <c r="I525" t="s">
        <v>45</v>
      </c>
      <c r="K525">
        <v>202504167903583</v>
      </c>
      <c r="L525">
        <v>1103306288240</v>
      </c>
      <c r="M525">
        <v>20250416</v>
      </c>
      <c r="N525" t="s">
        <v>168</v>
      </c>
      <c r="P525" t="s">
        <v>752</v>
      </c>
      <c r="Q525" t="s">
        <v>47</v>
      </c>
      <c r="R525">
        <v>292570.76</v>
      </c>
      <c r="S525">
        <v>0</v>
      </c>
      <c r="T525">
        <v>4960705</v>
      </c>
      <c r="U525">
        <v>8520490726</v>
      </c>
      <c r="V525" t="s">
        <v>753</v>
      </c>
      <c r="W525" t="s">
        <v>49</v>
      </c>
      <c r="X525" t="s">
        <v>110</v>
      </c>
      <c r="Y525" t="s">
        <v>51</v>
      </c>
      <c r="Z525">
        <v>1696</v>
      </c>
      <c r="AH525">
        <v>0</v>
      </c>
      <c r="AI525">
        <v>202504</v>
      </c>
      <c r="AJ525" t="s">
        <v>52</v>
      </c>
      <c r="AK525">
        <v>0</v>
      </c>
      <c r="AL525">
        <v>1</v>
      </c>
      <c r="AO525">
        <v>0</v>
      </c>
      <c r="AP525" t="s">
        <v>3026</v>
      </c>
      <c r="AQ525" t="s">
        <v>3012</v>
      </c>
      <c r="AR525" t="s">
        <v>3027</v>
      </c>
      <c r="AS525" t="s">
        <v>3028</v>
      </c>
      <c r="AU525" t="s">
        <v>3028</v>
      </c>
    </row>
    <row r="526" spans="1:47" x14ac:dyDescent="0.35">
      <c r="A526">
        <v>337339</v>
      </c>
      <c r="B526" t="s">
        <v>214</v>
      </c>
      <c r="C526" t="s">
        <v>215</v>
      </c>
      <c r="D526" s="2">
        <v>45764</v>
      </c>
      <c r="E526">
        <v>53850</v>
      </c>
      <c r="F526">
        <v>109</v>
      </c>
      <c r="G526" t="s">
        <v>89</v>
      </c>
      <c r="H526" t="s">
        <v>167</v>
      </c>
      <c r="I526" t="s">
        <v>45</v>
      </c>
      <c r="K526">
        <v>202504167903578</v>
      </c>
      <c r="L526">
        <v>1093306675356</v>
      </c>
      <c r="M526">
        <v>20250416</v>
      </c>
      <c r="N526" t="s">
        <v>168</v>
      </c>
      <c r="P526" t="s">
        <v>511</v>
      </c>
      <c r="Q526" t="s">
        <v>47</v>
      </c>
      <c r="R526">
        <v>110000</v>
      </c>
      <c r="S526">
        <v>0</v>
      </c>
      <c r="T526">
        <v>4976123</v>
      </c>
      <c r="U526">
        <v>8630940727</v>
      </c>
      <c r="V526" t="s">
        <v>717</v>
      </c>
      <c r="W526" t="s">
        <v>49</v>
      </c>
      <c r="X526" t="s">
        <v>131</v>
      </c>
      <c r="Y526" t="s">
        <v>51</v>
      </c>
      <c r="Z526">
        <v>502</v>
      </c>
      <c r="AH526">
        <v>0</v>
      </c>
      <c r="AI526">
        <v>202504</v>
      </c>
      <c r="AJ526" t="s">
        <v>56</v>
      </c>
      <c r="AK526">
        <v>0</v>
      </c>
      <c r="AL526">
        <v>1</v>
      </c>
      <c r="AM526">
        <v>4976123</v>
      </c>
      <c r="AN526">
        <v>1</v>
      </c>
      <c r="AO526">
        <v>0</v>
      </c>
      <c r="AP526" t="s">
        <v>3033</v>
      </c>
      <c r="AQ526" t="s">
        <v>3012</v>
      </c>
      <c r="AR526" t="s">
        <v>3034</v>
      </c>
      <c r="AS526" t="s">
        <v>3014</v>
      </c>
      <c r="AU526" t="s">
        <v>3014</v>
      </c>
    </row>
    <row r="527" spans="1:47" x14ac:dyDescent="0.35">
      <c r="A527">
        <v>337338</v>
      </c>
      <c r="B527" t="s">
        <v>193</v>
      </c>
      <c r="C527" t="s">
        <v>194</v>
      </c>
      <c r="D527" s="2">
        <v>45764</v>
      </c>
      <c r="E527">
        <v>53850</v>
      </c>
      <c r="F527">
        <v>189</v>
      </c>
      <c r="G527" t="s">
        <v>286</v>
      </c>
      <c r="H527" t="s">
        <v>167</v>
      </c>
      <c r="I527" t="s">
        <v>45</v>
      </c>
      <c r="K527">
        <v>202504167905220</v>
      </c>
      <c r="L527">
        <v>1893300023546</v>
      </c>
      <c r="M527">
        <v>20250416</v>
      </c>
      <c r="N527" t="s">
        <v>266</v>
      </c>
      <c r="Q527" t="s">
        <v>47</v>
      </c>
      <c r="R527">
        <v>64090</v>
      </c>
      <c r="S527">
        <v>64090</v>
      </c>
      <c r="T527">
        <v>3064562</v>
      </c>
      <c r="U527" t="s">
        <v>287</v>
      </c>
      <c r="V527" t="s">
        <v>288</v>
      </c>
      <c r="W527" t="s">
        <v>69</v>
      </c>
      <c r="X527" t="s">
        <v>55</v>
      </c>
      <c r="Y527" t="s">
        <v>51</v>
      </c>
      <c r="Z527">
        <v>1620</v>
      </c>
      <c r="AH527">
        <v>0</v>
      </c>
      <c r="AI527">
        <v>202504</v>
      </c>
      <c r="AJ527" t="s">
        <v>56</v>
      </c>
      <c r="AK527">
        <v>0</v>
      </c>
      <c r="AL527">
        <v>1</v>
      </c>
      <c r="AM527">
        <v>3064562</v>
      </c>
      <c r="AN527">
        <v>1</v>
      </c>
      <c r="AO527">
        <v>0</v>
      </c>
      <c r="AP527" t="s">
        <v>3015</v>
      </c>
      <c r="AQ527" t="s">
        <v>3021</v>
      </c>
      <c r="AR527" t="s">
        <v>3022</v>
      </c>
      <c r="AT527" t="s">
        <v>3017</v>
      </c>
      <c r="AU527" t="s">
        <v>3014</v>
      </c>
    </row>
    <row r="528" spans="1:47" x14ac:dyDescent="0.35">
      <c r="A528">
        <v>337337</v>
      </c>
      <c r="B528" t="s">
        <v>178</v>
      </c>
      <c r="C528" t="s">
        <v>179</v>
      </c>
      <c r="D528" s="2">
        <v>45764</v>
      </c>
      <c r="E528">
        <v>53850</v>
      </c>
      <c r="F528">
        <v>125</v>
      </c>
      <c r="G528" t="s">
        <v>75</v>
      </c>
      <c r="H528" t="s">
        <v>167</v>
      </c>
      <c r="I528" t="s">
        <v>45</v>
      </c>
      <c r="K528" t="s">
        <v>761</v>
      </c>
      <c r="L528">
        <v>1253300001246</v>
      </c>
      <c r="M528">
        <v>20250416</v>
      </c>
      <c r="N528" t="s">
        <v>3136</v>
      </c>
      <c r="Q528" t="s">
        <v>170</v>
      </c>
      <c r="R528">
        <v>1650.83</v>
      </c>
      <c r="S528">
        <v>0</v>
      </c>
      <c r="T528">
        <v>4171290</v>
      </c>
      <c r="U528" t="s">
        <v>762</v>
      </c>
      <c r="V528" t="s">
        <v>763</v>
      </c>
      <c r="W528" t="s">
        <v>187</v>
      </c>
      <c r="Y528" t="s">
        <v>51</v>
      </c>
      <c r="AH528">
        <v>0</v>
      </c>
      <c r="AI528">
        <v>202504</v>
      </c>
      <c r="AJ528" t="s">
        <v>52</v>
      </c>
      <c r="AK528">
        <v>0</v>
      </c>
      <c r="AL528">
        <v>1</v>
      </c>
      <c r="AO528">
        <v>1</v>
      </c>
      <c r="AP528" t="s">
        <v>3015</v>
      </c>
      <c r="AQ528" t="s">
        <v>3044</v>
      </c>
      <c r="AR528" t="s">
        <v>3045</v>
      </c>
      <c r="AS528" t="s">
        <v>3046</v>
      </c>
      <c r="AU528" t="s">
        <v>3046</v>
      </c>
    </row>
    <row r="529" spans="1:47" x14ac:dyDescent="0.35">
      <c r="A529">
        <v>337336</v>
      </c>
      <c r="B529" t="s">
        <v>178</v>
      </c>
      <c r="C529" t="s">
        <v>179</v>
      </c>
      <c r="D529" s="2">
        <v>45764</v>
      </c>
      <c r="E529">
        <v>53850</v>
      </c>
      <c r="F529">
        <v>119</v>
      </c>
      <c r="G529" t="s">
        <v>207</v>
      </c>
      <c r="H529" t="s">
        <v>167</v>
      </c>
      <c r="I529" t="s">
        <v>45</v>
      </c>
      <c r="K529">
        <v>202504167905032</v>
      </c>
      <c r="L529">
        <v>1193308874020</v>
      </c>
      <c r="M529">
        <v>20250416</v>
      </c>
      <c r="N529" t="s">
        <v>3136</v>
      </c>
      <c r="Q529" t="s">
        <v>170</v>
      </c>
      <c r="R529">
        <v>8026.95</v>
      </c>
      <c r="S529">
        <v>0</v>
      </c>
      <c r="T529">
        <v>475355</v>
      </c>
      <c r="U529" t="s">
        <v>764</v>
      </c>
      <c r="V529" t="s">
        <v>765</v>
      </c>
      <c r="W529" t="s">
        <v>187</v>
      </c>
      <c r="Y529" t="s">
        <v>51</v>
      </c>
      <c r="Z529">
        <v>669</v>
      </c>
      <c r="AH529">
        <v>0</v>
      </c>
      <c r="AI529">
        <v>202504</v>
      </c>
      <c r="AJ529" t="s">
        <v>52</v>
      </c>
      <c r="AK529">
        <v>0</v>
      </c>
      <c r="AL529">
        <v>1</v>
      </c>
      <c r="AO529">
        <v>1</v>
      </c>
      <c r="AP529" t="s">
        <v>3015</v>
      </c>
      <c r="AQ529" t="s">
        <v>3044</v>
      </c>
      <c r="AR529" t="s">
        <v>3045</v>
      </c>
      <c r="AS529" t="s">
        <v>3046</v>
      </c>
      <c r="AU529" t="s">
        <v>3046</v>
      </c>
    </row>
    <row r="530" spans="1:47" x14ac:dyDescent="0.35">
      <c r="A530">
        <v>337335</v>
      </c>
      <c r="B530" t="s">
        <v>178</v>
      </c>
      <c r="C530" t="s">
        <v>179</v>
      </c>
      <c r="D530" s="2">
        <v>45764</v>
      </c>
      <c r="E530">
        <v>53850</v>
      </c>
      <c r="F530">
        <v>122</v>
      </c>
      <c r="G530" t="s">
        <v>43</v>
      </c>
      <c r="H530" t="s">
        <v>167</v>
      </c>
      <c r="I530" t="s">
        <v>45</v>
      </c>
      <c r="K530">
        <v>202504167902925</v>
      </c>
      <c r="L530">
        <v>1223300001682</v>
      </c>
      <c r="M530">
        <v>20250416</v>
      </c>
      <c r="N530" t="s">
        <v>46</v>
      </c>
      <c r="P530" t="s">
        <v>51</v>
      </c>
      <c r="Q530" t="s">
        <v>47</v>
      </c>
      <c r="R530">
        <v>1245000</v>
      </c>
      <c r="S530">
        <v>0</v>
      </c>
      <c r="T530">
        <v>3711207</v>
      </c>
      <c r="U530">
        <v>8825020723</v>
      </c>
      <c r="V530" t="s">
        <v>48</v>
      </c>
      <c r="W530" t="s">
        <v>49</v>
      </c>
      <c r="X530" t="s">
        <v>50</v>
      </c>
      <c r="Y530" t="s">
        <v>51</v>
      </c>
      <c r="Z530">
        <v>1696</v>
      </c>
      <c r="AH530">
        <v>0</v>
      </c>
      <c r="AI530">
        <v>202504</v>
      </c>
      <c r="AJ530" t="s">
        <v>52</v>
      </c>
      <c r="AK530">
        <v>0</v>
      </c>
      <c r="AL530">
        <v>1</v>
      </c>
      <c r="AO530">
        <v>0</v>
      </c>
      <c r="AP530" t="s">
        <v>3011</v>
      </c>
      <c r="AQ530" t="s">
        <v>3012</v>
      </c>
      <c r="AR530" t="s">
        <v>3013</v>
      </c>
      <c r="AS530" t="s">
        <v>3014</v>
      </c>
      <c r="AU530" t="s">
        <v>3014</v>
      </c>
    </row>
    <row r="531" spans="1:47" x14ac:dyDescent="0.35">
      <c r="A531">
        <v>337334</v>
      </c>
      <c r="B531" t="s">
        <v>164</v>
      </c>
      <c r="C531" t="s">
        <v>165</v>
      </c>
      <c r="D531" s="2">
        <v>45764</v>
      </c>
      <c r="E531">
        <v>53850</v>
      </c>
      <c r="F531">
        <v>103</v>
      </c>
      <c r="G531" t="s">
        <v>80</v>
      </c>
      <c r="H531" t="s">
        <v>167</v>
      </c>
      <c r="I531" t="s">
        <v>45</v>
      </c>
      <c r="K531">
        <v>202504167902380</v>
      </c>
      <c r="L531">
        <v>1033302886146</v>
      </c>
      <c r="M531">
        <v>20250416</v>
      </c>
      <c r="N531" t="s">
        <v>168</v>
      </c>
      <c r="P531" t="s">
        <v>255</v>
      </c>
      <c r="Q531" t="s">
        <v>170</v>
      </c>
      <c r="R531">
        <v>5536.36</v>
      </c>
      <c r="S531">
        <v>0</v>
      </c>
      <c r="T531">
        <v>4503362</v>
      </c>
      <c r="U531">
        <v>6800040724</v>
      </c>
      <c r="V531" t="s">
        <v>766</v>
      </c>
      <c r="W531" t="s">
        <v>620</v>
      </c>
      <c r="X531" t="s">
        <v>686</v>
      </c>
      <c r="Y531" t="s">
        <v>51</v>
      </c>
      <c r="Z531">
        <v>1912</v>
      </c>
      <c r="AH531">
        <v>0</v>
      </c>
      <c r="AI531">
        <v>202504</v>
      </c>
      <c r="AJ531" t="s">
        <v>86</v>
      </c>
      <c r="AK531">
        <v>1</v>
      </c>
      <c r="AL531">
        <v>1</v>
      </c>
      <c r="AO531">
        <v>0</v>
      </c>
      <c r="AP531" t="s">
        <v>3015</v>
      </c>
      <c r="AQ531" t="s">
        <v>3080</v>
      </c>
      <c r="AR531" t="s">
        <v>3081</v>
      </c>
      <c r="AT531" t="s">
        <v>3017</v>
      </c>
      <c r="AU531" t="s">
        <v>3057</v>
      </c>
    </row>
    <row r="532" spans="1:47" x14ac:dyDescent="0.35">
      <c r="A532">
        <v>337333</v>
      </c>
      <c r="B532" t="s">
        <v>178</v>
      </c>
      <c r="C532" t="s">
        <v>179</v>
      </c>
      <c r="D532" s="2">
        <v>45764</v>
      </c>
      <c r="E532">
        <v>53850</v>
      </c>
      <c r="F532">
        <v>106</v>
      </c>
      <c r="G532" t="s">
        <v>291</v>
      </c>
      <c r="H532" t="s">
        <v>167</v>
      </c>
      <c r="I532" t="s">
        <v>45</v>
      </c>
      <c r="K532">
        <v>202504167904969</v>
      </c>
      <c r="L532">
        <v>1063302770540</v>
      </c>
      <c r="M532">
        <v>20250416</v>
      </c>
      <c r="N532" t="s">
        <v>3136</v>
      </c>
      <c r="Q532" t="s">
        <v>170</v>
      </c>
      <c r="R532">
        <v>12338.81</v>
      </c>
      <c r="S532">
        <v>0</v>
      </c>
      <c r="T532">
        <v>4111345</v>
      </c>
      <c r="U532" t="s">
        <v>767</v>
      </c>
      <c r="V532" t="s">
        <v>768</v>
      </c>
      <c r="W532" t="s">
        <v>187</v>
      </c>
      <c r="Y532" t="s">
        <v>51</v>
      </c>
      <c r="Z532">
        <v>1464</v>
      </c>
      <c r="AH532">
        <v>0</v>
      </c>
      <c r="AI532">
        <v>202504</v>
      </c>
      <c r="AJ532" t="s">
        <v>86</v>
      </c>
      <c r="AK532">
        <v>1</v>
      </c>
      <c r="AL532">
        <v>1</v>
      </c>
      <c r="AO532">
        <v>1</v>
      </c>
      <c r="AP532" t="s">
        <v>3015</v>
      </c>
      <c r="AQ532" t="s">
        <v>3044</v>
      </c>
      <c r="AR532" t="s">
        <v>3045</v>
      </c>
      <c r="AS532" t="s">
        <v>3046</v>
      </c>
      <c r="AU532" t="s">
        <v>3046</v>
      </c>
    </row>
    <row r="533" spans="1:47" x14ac:dyDescent="0.35">
      <c r="A533">
        <v>337332</v>
      </c>
      <c r="B533" t="s">
        <v>178</v>
      </c>
      <c r="C533" t="s">
        <v>179</v>
      </c>
      <c r="D533" s="2">
        <v>45764</v>
      </c>
      <c r="E533">
        <v>53850</v>
      </c>
      <c r="F533">
        <v>106</v>
      </c>
      <c r="G533" t="s">
        <v>291</v>
      </c>
      <c r="H533" t="s">
        <v>167</v>
      </c>
      <c r="I533" t="s">
        <v>45</v>
      </c>
      <c r="K533">
        <v>202504167904969</v>
      </c>
      <c r="L533">
        <v>1063302770540</v>
      </c>
      <c r="M533">
        <v>20250416</v>
      </c>
      <c r="N533" t="s">
        <v>3136</v>
      </c>
      <c r="Q533" t="s">
        <v>170</v>
      </c>
      <c r="R533">
        <v>12338.81</v>
      </c>
      <c r="S533">
        <v>0</v>
      </c>
      <c r="T533">
        <v>34026</v>
      </c>
      <c r="U533" t="s">
        <v>769</v>
      </c>
      <c r="V533" t="s">
        <v>770</v>
      </c>
      <c r="W533" t="s">
        <v>187</v>
      </c>
      <c r="Y533" t="s">
        <v>51</v>
      </c>
      <c r="Z533">
        <v>1464</v>
      </c>
      <c r="AH533">
        <v>0</v>
      </c>
      <c r="AI533">
        <v>202504</v>
      </c>
      <c r="AJ533" t="s">
        <v>86</v>
      </c>
      <c r="AK533">
        <v>1</v>
      </c>
      <c r="AL533">
        <v>1</v>
      </c>
      <c r="AO533">
        <v>1</v>
      </c>
      <c r="AP533" t="s">
        <v>3015</v>
      </c>
      <c r="AQ533" t="s">
        <v>3044</v>
      </c>
      <c r="AR533" t="s">
        <v>3045</v>
      </c>
      <c r="AS533" t="s">
        <v>3046</v>
      </c>
      <c r="AU533" t="s">
        <v>3046</v>
      </c>
    </row>
    <row r="534" spans="1:47" x14ac:dyDescent="0.35">
      <c r="A534">
        <v>337331</v>
      </c>
      <c r="B534" t="s">
        <v>172</v>
      </c>
      <c r="C534" t="s">
        <v>173</v>
      </c>
      <c r="D534" s="2">
        <v>45764</v>
      </c>
      <c r="E534">
        <v>53850</v>
      </c>
      <c r="F534">
        <v>116</v>
      </c>
      <c r="G534" t="s">
        <v>126</v>
      </c>
      <c r="H534" t="s">
        <v>167</v>
      </c>
      <c r="I534" t="s">
        <v>45</v>
      </c>
      <c r="K534">
        <v>202504167904761</v>
      </c>
      <c r="L534">
        <v>2343300010453</v>
      </c>
      <c r="M534">
        <v>20250416</v>
      </c>
      <c r="N534" t="s">
        <v>195</v>
      </c>
      <c r="Q534" t="s">
        <v>47</v>
      </c>
      <c r="R534">
        <v>160463.5</v>
      </c>
      <c r="S534">
        <v>160463.5</v>
      </c>
      <c r="T534">
        <v>4247777</v>
      </c>
      <c r="U534">
        <v>233470236</v>
      </c>
      <c r="V534" t="s">
        <v>206</v>
      </c>
      <c r="W534" t="s">
        <v>49</v>
      </c>
      <c r="X534" t="s">
        <v>117</v>
      </c>
      <c r="Y534" t="s">
        <v>51</v>
      </c>
      <c r="Z534">
        <v>1696</v>
      </c>
      <c r="AH534">
        <v>0</v>
      </c>
      <c r="AI534">
        <v>202504</v>
      </c>
      <c r="AJ534" t="s">
        <v>114</v>
      </c>
      <c r="AK534">
        <v>1</v>
      </c>
      <c r="AL534">
        <v>1</v>
      </c>
      <c r="AM534">
        <v>4247777</v>
      </c>
      <c r="AN534">
        <v>1</v>
      </c>
      <c r="AO534">
        <v>0</v>
      </c>
      <c r="AP534" t="s">
        <v>3029</v>
      </c>
      <c r="AQ534" t="s">
        <v>3012</v>
      </c>
      <c r="AR534" t="s">
        <v>3030</v>
      </c>
      <c r="AS534" t="s">
        <v>3014</v>
      </c>
      <c r="AU534" t="s">
        <v>3014</v>
      </c>
    </row>
    <row r="535" spans="1:47" x14ac:dyDescent="0.35">
      <c r="A535">
        <v>337330</v>
      </c>
      <c r="B535" t="s">
        <v>193</v>
      </c>
      <c r="C535" t="s">
        <v>194</v>
      </c>
      <c r="D535" s="2">
        <v>45764</v>
      </c>
      <c r="E535">
        <v>53850</v>
      </c>
      <c r="F535">
        <v>171</v>
      </c>
      <c r="G535" t="s">
        <v>198</v>
      </c>
      <c r="H535" t="s">
        <v>167</v>
      </c>
      <c r="I535" t="s">
        <v>45</v>
      </c>
      <c r="K535" t="s">
        <v>751</v>
      </c>
      <c r="L535">
        <v>1713302214147</v>
      </c>
      <c r="M535">
        <v>20250416</v>
      </c>
      <c r="N535" t="s">
        <v>195</v>
      </c>
      <c r="Q535" t="s">
        <v>47</v>
      </c>
      <c r="R535">
        <v>158650</v>
      </c>
      <c r="S535">
        <v>158650</v>
      </c>
      <c r="T535">
        <v>4199319</v>
      </c>
      <c r="U535">
        <v>6037810725</v>
      </c>
      <c r="V535" t="s">
        <v>285</v>
      </c>
      <c r="W535" t="s">
        <v>49</v>
      </c>
      <c r="X535" t="s">
        <v>200</v>
      </c>
      <c r="Y535" t="s">
        <v>51</v>
      </c>
      <c r="Z535">
        <v>1903</v>
      </c>
      <c r="AH535">
        <v>0</v>
      </c>
      <c r="AI535">
        <v>202504</v>
      </c>
      <c r="AJ535" t="s">
        <v>56</v>
      </c>
      <c r="AK535">
        <v>0</v>
      </c>
      <c r="AL535">
        <v>1</v>
      </c>
      <c r="AM535">
        <v>4199319</v>
      </c>
      <c r="AN535">
        <v>1</v>
      </c>
      <c r="AO535">
        <v>0</v>
      </c>
      <c r="AP535" t="s">
        <v>3015</v>
      </c>
      <c r="AQ535" t="s">
        <v>3012</v>
      </c>
      <c r="AR535" t="s">
        <v>3016</v>
      </c>
      <c r="AT535" t="s">
        <v>3017</v>
      </c>
      <c r="AU535" t="s">
        <v>3018</v>
      </c>
    </row>
    <row r="536" spans="1:47" x14ac:dyDescent="0.35">
      <c r="A536">
        <v>337329</v>
      </c>
      <c r="B536" t="s">
        <v>193</v>
      </c>
      <c r="C536" t="s">
        <v>194</v>
      </c>
      <c r="D536" s="2">
        <v>45764</v>
      </c>
      <c r="E536">
        <v>53850</v>
      </c>
      <c r="F536">
        <v>108</v>
      </c>
      <c r="G536" t="s">
        <v>124</v>
      </c>
      <c r="H536" t="s">
        <v>167</v>
      </c>
      <c r="I536" t="s">
        <v>45</v>
      </c>
      <c r="K536">
        <v>202504167904972</v>
      </c>
      <c r="L536">
        <v>1083306291105</v>
      </c>
      <c r="M536">
        <v>20250416</v>
      </c>
      <c r="N536" t="s">
        <v>266</v>
      </c>
      <c r="Q536" t="s">
        <v>47</v>
      </c>
      <c r="R536">
        <v>87430.15</v>
      </c>
      <c r="S536">
        <v>87430.15</v>
      </c>
      <c r="T536">
        <v>4227057</v>
      </c>
      <c r="U536">
        <v>4874620729</v>
      </c>
      <c r="V536" t="s">
        <v>250</v>
      </c>
      <c r="W536" t="s">
        <v>49</v>
      </c>
      <c r="X536" t="s">
        <v>62</v>
      </c>
      <c r="Y536" t="s">
        <v>51</v>
      </c>
      <c r="Z536">
        <v>1058</v>
      </c>
      <c r="AH536">
        <v>0</v>
      </c>
      <c r="AI536">
        <v>202504</v>
      </c>
      <c r="AJ536" t="s">
        <v>56</v>
      </c>
      <c r="AK536">
        <v>0</v>
      </c>
      <c r="AL536">
        <v>1</v>
      </c>
      <c r="AM536">
        <v>4227057</v>
      </c>
      <c r="AN536">
        <v>1</v>
      </c>
      <c r="AO536">
        <v>0</v>
      </c>
      <c r="AP536" t="s">
        <v>3015</v>
      </c>
      <c r="AQ536" t="s">
        <v>3012</v>
      </c>
      <c r="AR536" t="s">
        <v>3016</v>
      </c>
      <c r="AT536" t="s">
        <v>3017</v>
      </c>
      <c r="AU536" t="s">
        <v>3018</v>
      </c>
    </row>
    <row r="537" spans="1:47" x14ac:dyDescent="0.35">
      <c r="A537">
        <v>337328</v>
      </c>
      <c r="B537" t="s">
        <v>164</v>
      </c>
      <c r="C537" t="s">
        <v>165</v>
      </c>
      <c r="D537" s="2">
        <v>45764</v>
      </c>
      <c r="E537">
        <v>53850</v>
      </c>
      <c r="F537">
        <v>147</v>
      </c>
      <c r="G537" t="s">
        <v>771</v>
      </c>
      <c r="H537" t="s">
        <v>167</v>
      </c>
      <c r="I537" t="s">
        <v>45</v>
      </c>
      <c r="K537" t="s">
        <v>772</v>
      </c>
      <c r="L537">
        <v>1473300005217</v>
      </c>
      <c r="M537">
        <v>20250416</v>
      </c>
      <c r="N537" t="s">
        <v>168</v>
      </c>
      <c r="P537" t="s">
        <v>255</v>
      </c>
      <c r="Q537" t="s">
        <v>170</v>
      </c>
      <c r="R537">
        <v>2050</v>
      </c>
      <c r="S537">
        <v>0</v>
      </c>
      <c r="T537">
        <v>3724704</v>
      </c>
      <c r="U537">
        <v>4306130610</v>
      </c>
      <c r="V537" t="s">
        <v>773</v>
      </c>
      <c r="W537" t="s">
        <v>49</v>
      </c>
      <c r="X537" t="s">
        <v>686</v>
      </c>
      <c r="Y537" t="s">
        <v>51</v>
      </c>
      <c r="Z537">
        <v>1196</v>
      </c>
      <c r="AH537">
        <v>0</v>
      </c>
      <c r="AI537">
        <v>202504</v>
      </c>
      <c r="AJ537" t="s">
        <v>52</v>
      </c>
      <c r="AK537">
        <v>0</v>
      </c>
      <c r="AL537">
        <v>1</v>
      </c>
      <c r="AO537">
        <v>0</v>
      </c>
      <c r="AP537" t="s">
        <v>3015</v>
      </c>
      <c r="AQ537" t="s">
        <v>3012</v>
      </c>
      <c r="AR537" t="s">
        <v>3016</v>
      </c>
      <c r="AT537" t="s">
        <v>3017</v>
      </c>
      <c r="AU537" t="s">
        <v>3018</v>
      </c>
    </row>
    <row r="538" spans="1:47" x14ac:dyDescent="0.35">
      <c r="A538">
        <v>337327</v>
      </c>
      <c r="B538" t="s">
        <v>178</v>
      </c>
      <c r="C538" t="s">
        <v>179</v>
      </c>
      <c r="D538" s="2">
        <v>45764</v>
      </c>
      <c r="E538">
        <v>53850</v>
      </c>
      <c r="F538">
        <v>109</v>
      </c>
      <c r="G538" t="s">
        <v>89</v>
      </c>
      <c r="H538" t="s">
        <v>167</v>
      </c>
      <c r="I538" t="s">
        <v>45</v>
      </c>
      <c r="K538">
        <v>202504167904465</v>
      </c>
      <c r="L538">
        <v>1093306674001</v>
      </c>
      <c r="M538">
        <v>20250416</v>
      </c>
      <c r="N538" t="s">
        <v>258</v>
      </c>
      <c r="Q538" t="s">
        <v>170</v>
      </c>
      <c r="R538">
        <v>90236.33</v>
      </c>
      <c r="S538">
        <v>0</v>
      </c>
      <c r="T538">
        <v>4125303</v>
      </c>
      <c r="U538" t="s">
        <v>774</v>
      </c>
      <c r="V538" t="s">
        <v>775</v>
      </c>
      <c r="W538" t="s">
        <v>69</v>
      </c>
      <c r="X538" t="s">
        <v>131</v>
      </c>
      <c r="Y538" t="s">
        <v>51</v>
      </c>
      <c r="Z538">
        <v>783</v>
      </c>
      <c r="AH538">
        <v>0</v>
      </c>
      <c r="AI538">
        <v>202504</v>
      </c>
      <c r="AJ538" t="s">
        <v>56</v>
      </c>
      <c r="AK538">
        <v>0</v>
      </c>
      <c r="AL538">
        <v>1</v>
      </c>
      <c r="AM538">
        <v>4125303</v>
      </c>
      <c r="AN538">
        <v>1</v>
      </c>
      <c r="AO538">
        <v>0</v>
      </c>
      <c r="AP538" t="s">
        <v>3033</v>
      </c>
      <c r="AQ538" t="s">
        <v>3021</v>
      </c>
      <c r="AR538" t="s">
        <v>3054</v>
      </c>
      <c r="AS538" t="s">
        <v>3055</v>
      </c>
      <c r="AU538" t="s">
        <v>3055</v>
      </c>
    </row>
    <row r="539" spans="1:47" x14ac:dyDescent="0.35">
      <c r="A539">
        <v>337326</v>
      </c>
      <c r="B539" t="s">
        <v>193</v>
      </c>
      <c r="C539" t="s">
        <v>194</v>
      </c>
      <c r="D539" s="2">
        <v>45764</v>
      </c>
      <c r="E539">
        <v>53850</v>
      </c>
      <c r="F539">
        <v>287</v>
      </c>
      <c r="G539" t="s">
        <v>707</v>
      </c>
      <c r="H539" t="s">
        <v>167</v>
      </c>
      <c r="I539" t="s">
        <v>45</v>
      </c>
      <c r="K539" t="s">
        <v>751</v>
      </c>
      <c r="L539">
        <v>2873300001853</v>
      </c>
      <c r="M539">
        <v>20250416</v>
      </c>
      <c r="N539" t="s">
        <v>175</v>
      </c>
      <c r="Q539" t="s">
        <v>47</v>
      </c>
      <c r="R539">
        <v>48657.95</v>
      </c>
      <c r="S539">
        <v>35775</v>
      </c>
      <c r="T539">
        <v>3722213</v>
      </c>
      <c r="U539">
        <v>2021570698</v>
      </c>
      <c r="V539" t="s">
        <v>708</v>
      </c>
      <c r="W539" t="s">
        <v>49</v>
      </c>
      <c r="X539" t="s">
        <v>117</v>
      </c>
      <c r="Y539" t="s">
        <v>51</v>
      </c>
      <c r="Z539">
        <v>1877</v>
      </c>
      <c r="AH539">
        <v>0</v>
      </c>
      <c r="AI539">
        <v>202504</v>
      </c>
      <c r="AJ539" t="s">
        <v>52</v>
      </c>
      <c r="AK539">
        <v>0</v>
      </c>
      <c r="AL539">
        <v>1</v>
      </c>
      <c r="AM539">
        <v>3722213</v>
      </c>
      <c r="AN539">
        <v>1</v>
      </c>
      <c r="AO539">
        <v>1</v>
      </c>
      <c r="AP539" t="s">
        <v>3029</v>
      </c>
      <c r="AQ539" t="s">
        <v>3012</v>
      </c>
      <c r="AR539" t="s">
        <v>3030</v>
      </c>
      <c r="AS539" t="s">
        <v>3014</v>
      </c>
      <c r="AU539" t="s">
        <v>3014</v>
      </c>
    </row>
    <row r="540" spans="1:47" x14ac:dyDescent="0.35">
      <c r="A540">
        <v>337325</v>
      </c>
      <c r="B540" t="s">
        <v>172</v>
      </c>
      <c r="C540" t="s">
        <v>173</v>
      </c>
      <c r="D540" s="2">
        <v>45764</v>
      </c>
      <c r="E540">
        <v>53850</v>
      </c>
      <c r="F540">
        <v>105</v>
      </c>
      <c r="G540" t="s">
        <v>60</v>
      </c>
      <c r="H540" t="s">
        <v>167</v>
      </c>
      <c r="I540" t="s">
        <v>45</v>
      </c>
      <c r="K540">
        <v>202504167904959</v>
      </c>
      <c r="L540">
        <v>1053306290053</v>
      </c>
      <c r="M540">
        <v>20250416</v>
      </c>
      <c r="N540" t="s">
        <v>325</v>
      </c>
      <c r="Q540" t="s">
        <v>47</v>
      </c>
      <c r="R540">
        <v>100000</v>
      </c>
      <c r="S540">
        <v>0</v>
      </c>
      <c r="T540">
        <v>55359</v>
      </c>
      <c r="U540">
        <v>296600729</v>
      </c>
      <c r="V540" t="s">
        <v>776</v>
      </c>
      <c r="W540" t="s">
        <v>49</v>
      </c>
      <c r="X540" t="s">
        <v>343</v>
      </c>
      <c r="Y540" t="s">
        <v>51</v>
      </c>
      <c r="Z540">
        <v>1058</v>
      </c>
      <c r="AH540">
        <v>0</v>
      </c>
      <c r="AI540">
        <v>202504</v>
      </c>
      <c r="AJ540" t="s">
        <v>56</v>
      </c>
      <c r="AK540">
        <v>0</v>
      </c>
      <c r="AL540">
        <v>1</v>
      </c>
      <c r="AO540">
        <v>0</v>
      </c>
      <c r="AP540" t="s">
        <v>3086</v>
      </c>
      <c r="AQ540" t="s">
        <v>3012</v>
      </c>
      <c r="AR540" t="s">
        <v>3087</v>
      </c>
      <c r="AS540" t="s">
        <v>3014</v>
      </c>
      <c r="AU540" t="s">
        <v>3014</v>
      </c>
    </row>
    <row r="541" spans="1:47" x14ac:dyDescent="0.35">
      <c r="A541">
        <v>337324</v>
      </c>
      <c r="B541" t="s">
        <v>178</v>
      </c>
      <c r="C541" t="s">
        <v>179</v>
      </c>
      <c r="D541" s="2">
        <v>45764</v>
      </c>
      <c r="E541">
        <v>53850</v>
      </c>
      <c r="F541">
        <v>125</v>
      </c>
      <c r="G541" t="s">
        <v>75</v>
      </c>
      <c r="H541" t="s">
        <v>167</v>
      </c>
      <c r="I541" t="s">
        <v>45</v>
      </c>
      <c r="K541" t="s">
        <v>761</v>
      </c>
      <c r="L541">
        <v>1253300001246</v>
      </c>
      <c r="M541">
        <v>20250416</v>
      </c>
      <c r="N541" t="s">
        <v>3136</v>
      </c>
      <c r="Q541" t="s">
        <v>170</v>
      </c>
      <c r="R541">
        <v>1650.83</v>
      </c>
      <c r="S541">
        <v>0</v>
      </c>
      <c r="T541">
        <v>4171313</v>
      </c>
      <c r="U541" t="s">
        <v>777</v>
      </c>
      <c r="V541" t="s">
        <v>778</v>
      </c>
      <c r="W541" t="s">
        <v>187</v>
      </c>
      <c r="Y541" t="s">
        <v>51</v>
      </c>
      <c r="AH541">
        <v>0</v>
      </c>
      <c r="AI541">
        <v>202504</v>
      </c>
      <c r="AJ541" t="s">
        <v>52</v>
      </c>
      <c r="AK541">
        <v>0</v>
      </c>
      <c r="AL541">
        <v>1</v>
      </c>
      <c r="AO541">
        <v>1</v>
      </c>
      <c r="AP541" t="s">
        <v>3015</v>
      </c>
      <c r="AQ541" t="s">
        <v>3044</v>
      </c>
      <c r="AR541" t="s">
        <v>3045</v>
      </c>
      <c r="AS541" t="s">
        <v>3046</v>
      </c>
      <c r="AU541" t="s">
        <v>3046</v>
      </c>
    </row>
    <row r="542" spans="1:47" x14ac:dyDescent="0.35">
      <c r="A542">
        <v>337323</v>
      </c>
      <c r="B542" t="s">
        <v>214</v>
      </c>
      <c r="C542" t="s">
        <v>215</v>
      </c>
      <c r="D542" s="2">
        <v>45764</v>
      </c>
      <c r="E542">
        <v>53850</v>
      </c>
      <c r="F542">
        <v>271</v>
      </c>
      <c r="G542" t="s">
        <v>275</v>
      </c>
      <c r="H542" t="s">
        <v>167</v>
      </c>
      <c r="I542" t="s">
        <v>45</v>
      </c>
      <c r="K542">
        <v>202504167903565</v>
      </c>
      <c r="L542">
        <v>2713300002851</v>
      </c>
      <c r="M542">
        <v>20250416</v>
      </c>
      <c r="N542" t="s">
        <v>168</v>
      </c>
      <c r="P542" t="s">
        <v>217</v>
      </c>
      <c r="Q542" t="s">
        <v>47</v>
      </c>
      <c r="R542">
        <v>20000</v>
      </c>
      <c r="S542">
        <v>0</v>
      </c>
      <c r="T542">
        <v>1681054</v>
      </c>
      <c r="U542" t="s">
        <v>779</v>
      </c>
      <c r="V542" t="s">
        <v>780</v>
      </c>
      <c r="W542" t="s">
        <v>187</v>
      </c>
      <c r="Y542" t="s">
        <v>51</v>
      </c>
      <c r="Z542">
        <v>1849</v>
      </c>
      <c r="AH542">
        <v>0</v>
      </c>
      <c r="AI542">
        <v>202504</v>
      </c>
      <c r="AJ542" t="s">
        <v>52</v>
      </c>
      <c r="AK542">
        <v>0</v>
      </c>
      <c r="AL542">
        <v>1</v>
      </c>
      <c r="AO542">
        <v>0</v>
      </c>
      <c r="AP542" t="s">
        <v>3015</v>
      </c>
      <c r="AQ542" t="s">
        <v>3044</v>
      </c>
      <c r="AR542" t="s">
        <v>3045</v>
      </c>
      <c r="AS542" t="s">
        <v>3046</v>
      </c>
      <c r="AU542" t="s">
        <v>3046</v>
      </c>
    </row>
    <row r="543" spans="1:47" x14ac:dyDescent="0.35">
      <c r="A543">
        <v>337322</v>
      </c>
      <c r="B543" t="s">
        <v>178</v>
      </c>
      <c r="C543" t="s">
        <v>179</v>
      </c>
      <c r="D543" s="2">
        <v>45764</v>
      </c>
      <c r="E543">
        <v>53850</v>
      </c>
      <c r="F543">
        <v>141</v>
      </c>
      <c r="G543" t="s">
        <v>105</v>
      </c>
      <c r="H543" t="s">
        <v>167</v>
      </c>
      <c r="I543" t="s">
        <v>45</v>
      </c>
      <c r="K543">
        <v>202504167905088</v>
      </c>
      <c r="L543">
        <v>1413300004360</v>
      </c>
      <c r="M543">
        <v>20250416</v>
      </c>
      <c r="N543" t="s">
        <v>236</v>
      </c>
      <c r="Q543" t="s">
        <v>170</v>
      </c>
      <c r="R543">
        <v>320000</v>
      </c>
      <c r="S543">
        <v>0</v>
      </c>
      <c r="T543">
        <v>3740194</v>
      </c>
      <c r="U543" t="s">
        <v>781</v>
      </c>
      <c r="V543" t="s">
        <v>782</v>
      </c>
      <c r="W543" t="s">
        <v>187</v>
      </c>
      <c r="Y543" t="s">
        <v>51</v>
      </c>
      <c r="Z543">
        <v>1380</v>
      </c>
      <c r="AH543">
        <v>0</v>
      </c>
      <c r="AI543">
        <v>202504</v>
      </c>
      <c r="AJ543" t="s">
        <v>86</v>
      </c>
      <c r="AK543">
        <v>1</v>
      </c>
      <c r="AL543">
        <v>1</v>
      </c>
      <c r="AO543">
        <v>0</v>
      </c>
      <c r="AP543" t="s">
        <v>3015</v>
      </c>
      <c r="AQ543" t="s">
        <v>3044</v>
      </c>
      <c r="AR543" t="s">
        <v>3045</v>
      </c>
      <c r="AS543" t="s">
        <v>3046</v>
      </c>
      <c r="AU543" t="s">
        <v>3046</v>
      </c>
    </row>
    <row r="544" spans="1:47" x14ac:dyDescent="0.35">
      <c r="A544">
        <v>337321</v>
      </c>
      <c r="B544" t="s">
        <v>172</v>
      </c>
      <c r="C544" t="s">
        <v>173</v>
      </c>
      <c r="D544" s="2">
        <v>45764</v>
      </c>
      <c r="E544">
        <v>53850</v>
      </c>
      <c r="F544">
        <v>171</v>
      </c>
      <c r="G544" t="s">
        <v>198</v>
      </c>
      <c r="H544" t="s">
        <v>167</v>
      </c>
      <c r="I544" t="s">
        <v>45</v>
      </c>
      <c r="K544" t="s">
        <v>751</v>
      </c>
      <c r="L544">
        <v>1713305728950</v>
      </c>
      <c r="M544">
        <v>20250416</v>
      </c>
      <c r="N544" t="s">
        <v>195</v>
      </c>
      <c r="Q544" t="s">
        <v>47</v>
      </c>
      <c r="R544">
        <v>415961.05</v>
      </c>
      <c r="S544">
        <v>415961.05</v>
      </c>
      <c r="T544">
        <v>572895</v>
      </c>
      <c r="U544">
        <v>4161600723</v>
      </c>
      <c r="V544" t="s">
        <v>199</v>
      </c>
      <c r="W544" t="s">
        <v>49</v>
      </c>
      <c r="X544" t="s">
        <v>200</v>
      </c>
      <c r="Y544" t="s">
        <v>51</v>
      </c>
      <c r="Z544">
        <v>1903</v>
      </c>
      <c r="AH544">
        <v>0</v>
      </c>
      <c r="AI544">
        <v>202504</v>
      </c>
      <c r="AJ544" t="s">
        <v>56</v>
      </c>
      <c r="AK544">
        <v>0</v>
      </c>
      <c r="AL544">
        <v>1</v>
      </c>
      <c r="AM544">
        <v>572895</v>
      </c>
      <c r="AN544">
        <v>1</v>
      </c>
      <c r="AO544">
        <v>0</v>
      </c>
      <c r="AP544" t="s">
        <v>3015</v>
      </c>
      <c r="AQ544" t="s">
        <v>3012</v>
      </c>
      <c r="AR544" t="s">
        <v>3016</v>
      </c>
      <c r="AT544" t="s">
        <v>3017</v>
      </c>
      <c r="AU544" t="s">
        <v>3018</v>
      </c>
    </row>
    <row r="545" spans="1:47" x14ac:dyDescent="0.35">
      <c r="A545">
        <v>337320</v>
      </c>
      <c r="B545" t="s">
        <v>172</v>
      </c>
      <c r="C545" t="s">
        <v>173</v>
      </c>
      <c r="D545" s="2">
        <v>45764</v>
      </c>
      <c r="E545">
        <v>53850</v>
      </c>
      <c r="F545">
        <v>103</v>
      </c>
      <c r="G545" t="s">
        <v>80</v>
      </c>
      <c r="H545" t="s">
        <v>167</v>
      </c>
      <c r="I545" t="s">
        <v>45</v>
      </c>
      <c r="K545">
        <v>202504167904939</v>
      </c>
      <c r="L545">
        <v>1033306986061</v>
      </c>
      <c r="M545">
        <v>20250416</v>
      </c>
      <c r="N545" t="s">
        <v>231</v>
      </c>
      <c r="Q545" t="s">
        <v>47</v>
      </c>
      <c r="R545">
        <v>145000</v>
      </c>
      <c r="S545">
        <v>0</v>
      </c>
      <c r="T545">
        <v>3743240</v>
      </c>
      <c r="U545">
        <v>7980630722</v>
      </c>
      <c r="V545" t="s">
        <v>783</v>
      </c>
      <c r="W545" t="s">
        <v>190</v>
      </c>
      <c r="X545" t="s">
        <v>784</v>
      </c>
      <c r="Y545" t="s">
        <v>51</v>
      </c>
      <c r="Z545">
        <v>995</v>
      </c>
      <c r="AH545">
        <v>0</v>
      </c>
      <c r="AI545">
        <v>202504</v>
      </c>
      <c r="AJ545" t="s">
        <v>86</v>
      </c>
      <c r="AK545">
        <v>1</v>
      </c>
      <c r="AL545">
        <v>1</v>
      </c>
      <c r="AO545">
        <v>0</v>
      </c>
      <c r="AP545" t="s">
        <v>3015</v>
      </c>
      <c r="AQ545" t="s">
        <v>3047</v>
      </c>
      <c r="AR545" t="s">
        <v>3056</v>
      </c>
      <c r="AT545" t="s">
        <v>3017</v>
      </c>
      <c r="AU545" t="s">
        <v>3057</v>
      </c>
    </row>
    <row r="546" spans="1:47" x14ac:dyDescent="0.35">
      <c r="A546">
        <v>337319</v>
      </c>
      <c r="B546" t="s">
        <v>193</v>
      </c>
      <c r="C546" t="s">
        <v>194</v>
      </c>
      <c r="D546" s="2">
        <v>45764</v>
      </c>
      <c r="E546">
        <v>53850</v>
      </c>
      <c r="F546">
        <v>171</v>
      </c>
      <c r="G546" t="s">
        <v>198</v>
      </c>
      <c r="H546" t="s">
        <v>167</v>
      </c>
      <c r="I546" t="s">
        <v>45</v>
      </c>
      <c r="K546" t="s">
        <v>751</v>
      </c>
      <c r="L546">
        <v>1713305728950</v>
      </c>
      <c r="M546">
        <v>20250416</v>
      </c>
      <c r="N546" t="s">
        <v>195</v>
      </c>
      <c r="Q546" t="s">
        <v>47</v>
      </c>
      <c r="R546">
        <v>415961.05</v>
      </c>
      <c r="S546">
        <v>415961.05</v>
      </c>
      <c r="T546">
        <v>572895</v>
      </c>
      <c r="U546">
        <v>4161600723</v>
      </c>
      <c r="V546" t="s">
        <v>199</v>
      </c>
      <c r="W546" t="s">
        <v>49</v>
      </c>
      <c r="X546" t="s">
        <v>200</v>
      </c>
      <c r="Y546" t="s">
        <v>51</v>
      </c>
      <c r="Z546">
        <v>1903</v>
      </c>
      <c r="AH546">
        <v>0</v>
      </c>
      <c r="AI546">
        <v>202504</v>
      </c>
      <c r="AJ546" t="s">
        <v>56</v>
      </c>
      <c r="AK546">
        <v>0</v>
      </c>
      <c r="AL546">
        <v>1</v>
      </c>
      <c r="AM546">
        <v>572895</v>
      </c>
      <c r="AN546">
        <v>1</v>
      </c>
      <c r="AO546">
        <v>0</v>
      </c>
      <c r="AP546" t="s">
        <v>3015</v>
      </c>
      <c r="AQ546" t="s">
        <v>3012</v>
      </c>
      <c r="AR546" t="s">
        <v>3016</v>
      </c>
      <c r="AT546" t="s">
        <v>3017</v>
      </c>
      <c r="AU546" t="s">
        <v>3018</v>
      </c>
    </row>
    <row r="547" spans="1:47" x14ac:dyDescent="0.35">
      <c r="A547">
        <v>337318</v>
      </c>
      <c r="B547" t="s">
        <v>178</v>
      </c>
      <c r="C547" t="s">
        <v>179</v>
      </c>
      <c r="D547" s="2">
        <v>45764</v>
      </c>
      <c r="E547">
        <v>53850</v>
      </c>
      <c r="F547">
        <v>187</v>
      </c>
      <c r="G547" t="s">
        <v>251</v>
      </c>
      <c r="H547" t="s">
        <v>167</v>
      </c>
      <c r="I547" t="s">
        <v>45</v>
      </c>
      <c r="K547">
        <v>202504167902317</v>
      </c>
      <c r="L547">
        <v>999361870311</v>
      </c>
      <c r="M547">
        <v>20250416</v>
      </c>
      <c r="N547" t="s">
        <v>236</v>
      </c>
      <c r="P547" t="s">
        <v>51</v>
      </c>
      <c r="Q547" t="s">
        <v>170</v>
      </c>
      <c r="R547">
        <v>1362805.46</v>
      </c>
      <c r="S547">
        <v>0</v>
      </c>
      <c r="T547">
        <v>3004644</v>
      </c>
      <c r="U547">
        <v>80008750731</v>
      </c>
      <c r="V547" t="s">
        <v>252</v>
      </c>
      <c r="W547" t="s">
        <v>253</v>
      </c>
      <c r="Y547" t="s">
        <v>51</v>
      </c>
      <c r="Z547">
        <v>1627</v>
      </c>
      <c r="AH547">
        <v>0</v>
      </c>
      <c r="AI547">
        <v>202504</v>
      </c>
      <c r="AJ547" t="s">
        <v>52</v>
      </c>
      <c r="AK547">
        <v>0</v>
      </c>
      <c r="AL547">
        <v>1</v>
      </c>
      <c r="AO547">
        <v>0</v>
      </c>
      <c r="AP547" t="s">
        <v>3015</v>
      </c>
      <c r="AQ547" t="s">
        <v>3052</v>
      </c>
      <c r="AR547" t="s">
        <v>3053</v>
      </c>
      <c r="AS547" t="s">
        <v>3037</v>
      </c>
      <c r="AU547" t="s">
        <v>3037</v>
      </c>
    </row>
    <row r="548" spans="1:47" x14ac:dyDescent="0.35">
      <c r="A548">
        <v>337317</v>
      </c>
      <c r="B548" t="s">
        <v>178</v>
      </c>
      <c r="C548" t="s">
        <v>179</v>
      </c>
      <c r="D548" s="2">
        <v>45764</v>
      </c>
      <c r="E548">
        <v>53850</v>
      </c>
      <c r="F548">
        <v>120</v>
      </c>
      <c r="G548" t="s">
        <v>411</v>
      </c>
      <c r="H548" t="s">
        <v>167</v>
      </c>
      <c r="I548" t="s">
        <v>45</v>
      </c>
      <c r="K548">
        <v>202504167904129</v>
      </c>
      <c r="L548">
        <v>1203300002401</v>
      </c>
      <c r="M548">
        <v>20250416</v>
      </c>
      <c r="N548" t="s">
        <v>659</v>
      </c>
      <c r="Q548" t="s">
        <v>170</v>
      </c>
      <c r="R548">
        <v>3024671.13</v>
      </c>
      <c r="S548">
        <v>0</v>
      </c>
      <c r="T548">
        <v>613876</v>
      </c>
      <c r="U548">
        <v>574290722</v>
      </c>
      <c r="V548" t="s">
        <v>545</v>
      </c>
      <c r="W548" t="s">
        <v>546</v>
      </c>
      <c r="X548" t="s">
        <v>421</v>
      </c>
      <c r="Y548" t="s">
        <v>51</v>
      </c>
      <c r="Z548">
        <v>1058</v>
      </c>
      <c r="AH548">
        <v>0</v>
      </c>
      <c r="AI548">
        <v>202504</v>
      </c>
      <c r="AJ548" t="s">
        <v>56</v>
      </c>
      <c r="AK548">
        <v>0</v>
      </c>
      <c r="AL548">
        <v>1</v>
      </c>
      <c r="AM548">
        <v>613876</v>
      </c>
      <c r="AN548">
        <v>1</v>
      </c>
      <c r="AO548">
        <v>0</v>
      </c>
      <c r="AP548" t="s">
        <v>3015</v>
      </c>
      <c r="AQ548" t="s">
        <v>3076</v>
      </c>
      <c r="AR548" t="s">
        <v>3077</v>
      </c>
      <c r="AT548" t="s">
        <v>3017</v>
      </c>
      <c r="AU548" t="s">
        <v>3014</v>
      </c>
    </row>
    <row r="549" spans="1:47" x14ac:dyDescent="0.35">
      <c r="A549">
        <v>337316</v>
      </c>
      <c r="B549" t="s">
        <v>178</v>
      </c>
      <c r="C549" t="s">
        <v>179</v>
      </c>
      <c r="D549" s="2">
        <v>45764</v>
      </c>
      <c r="E549">
        <v>53850</v>
      </c>
      <c r="F549">
        <v>270</v>
      </c>
      <c r="G549" t="s">
        <v>524</v>
      </c>
      <c r="H549" t="s">
        <v>167</v>
      </c>
      <c r="I549" t="s">
        <v>45</v>
      </c>
      <c r="K549">
        <v>202504167904871</v>
      </c>
      <c r="L549">
        <v>2703300010043</v>
      </c>
      <c r="M549">
        <v>20250416</v>
      </c>
      <c r="N549" t="s">
        <v>3136</v>
      </c>
      <c r="Q549" t="s">
        <v>170</v>
      </c>
      <c r="R549">
        <v>45671.839999999997</v>
      </c>
      <c r="S549">
        <v>0</v>
      </c>
      <c r="T549">
        <v>1623092</v>
      </c>
      <c r="U549" t="s">
        <v>754</v>
      </c>
      <c r="V549" t="s">
        <v>755</v>
      </c>
      <c r="W549" t="s">
        <v>187</v>
      </c>
      <c r="Y549" t="s">
        <v>51</v>
      </c>
      <c r="Z549">
        <v>1876</v>
      </c>
      <c r="AH549">
        <v>0</v>
      </c>
      <c r="AI549">
        <v>202504</v>
      </c>
      <c r="AJ549" t="s">
        <v>52</v>
      </c>
      <c r="AK549">
        <v>0</v>
      </c>
      <c r="AL549">
        <v>1</v>
      </c>
      <c r="AO549">
        <v>1</v>
      </c>
      <c r="AP549" t="s">
        <v>3015</v>
      </c>
      <c r="AQ549" t="s">
        <v>3044</v>
      </c>
      <c r="AR549" t="s">
        <v>3045</v>
      </c>
      <c r="AS549" t="s">
        <v>3046</v>
      </c>
      <c r="AU549" t="s">
        <v>3046</v>
      </c>
    </row>
    <row r="550" spans="1:47" x14ac:dyDescent="0.35">
      <c r="A550">
        <v>337315</v>
      </c>
      <c r="B550" t="s">
        <v>172</v>
      </c>
      <c r="C550" t="s">
        <v>173</v>
      </c>
      <c r="D550" s="2">
        <v>45764</v>
      </c>
      <c r="E550">
        <v>53850</v>
      </c>
      <c r="F550">
        <v>171</v>
      </c>
      <c r="G550" t="s">
        <v>198</v>
      </c>
      <c r="H550" t="s">
        <v>167</v>
      </c>
      <c r="I550" t="s">
        <v>45</v>
      </c>
      <c r="K550" t="s">
        <v>751</v>
      </c>
      <c r="L550">
        <v>1713302214147</v>
      </c>
      <c r="M550">
        <v>20250416</v>
      </c>
      <c r="N550" t="s">
        <v>195</v>
      </c>
      <c r="Q550" t="s">
        <v>47</v>
      </c>
      <c r="R550">
        <v>158650</v>
      </c>
      <c r="S550">
        <v>158650</v>
      </c>
      <c r="T550">
        <v>4199319</v>
      </c>
      <c r="U550">
        <v>6037810725</v>
      </c>
      <c r="V550" t="s">
        <v>285</v>
      </c>
      <c r="W550" t="s">
        <v>49</v>
      </c>
      <c r="X550" t="s">
        <v>200</v>
      </c>
      <c r="Y550" t="s">
        <v>51</v>
      </c>
      <c r="Z550">
        <v>1903</v>
      </c>
      <c r="AH550">
        <v>0</v>
      </c>
      <c r="AI550">
        <v>202504</v>
      </c>
      <c r="AJ550" t="s">
        <v>56</v>
      </c>
      <c r="AK550">
        <v>0</v>
      </c>
      <c r="AL550">
        <v>1</v>
      </c>
      <c r="AM550">
        <v>4199319</v>
      </c>
      <c r="AN550">
        <v>1</v>
      </c>
      <c r="AO550">
        <v>0</v>
      </c>
      <c r="AP550" t="s">
        <v>3015</v>
      </c>
      <c r="AQ550" t="s">
        <v>3012</v>
      </c>
      <c r="AR550" t="s">
        <v>3016</v>
      </c>
      <c r="AT550" t="s">
        <v>3017</v>
      </c>
      <c r="AU550" t="s">
        <v>3018</v>
      </c>
    </row>
    <row r="551" spans="1:47" x14ac:dyDescent="0.35">
      <c r="A551">
        <v>337314</v>
      </c>
      <c r="B551" t="s">
        <v>164</v>
      </c>
      <c r="C551" t="s">
        <v>165</v>
      </c>
      <c r="D551" s="2">
        <v>45764</v>
      </c>
      <c r="E551">
        <v>53850</v>
      </c>
      <c r="F551">
        <v>171</v>
      </c>
      <c r="G551" t="s">
        <v>198</v>
      </c>
      <c r="H551" t="s">
        <v>167</v>
      </c>
      <c r="I551" t="s">
        <v>45</v>
      </c>
      <c r="K551">
        <v>202504167901863</v>
      </c>
      <c r="L551">
        <v>1713302216617</v>
      </c>
      <c r="M551">
        <v>20250416</v>
      </c>
      <c r="N551" t="s">
        <v>168</v>
      </c>
      <c r="P551" t="s">
        <v>255</v>
      </c>
      <c r="Q551" t="s">
        <v>170</v>
      </c>
      <c r="R551">
        <v>5000</v>
      </c>
      <c r="S551">
        <v>0</v>
      </c>
      <c r="T551">
        <v>4220793</v>
      </c>
      <c r="U551" t="s">
        <v>749</v>
      </c>
      <c r="V551" t="s">
        <v>750</v>
      </c>
      <c r="W551" t="s">
        <v>187</v>
      </c>
      <c r="Y551" t="s">
        <v>51</v>
      </c>
      <c r="Z551">
        <v>815</v>
      </c>
      <c r="AH551">
        <v>0</v>
      </c>
      <c r="AI551">
        <v>202504</v>
      </c>
      <c r="AJ551" t="s">
        <v>119</v>
      </c>
      <c r="AK551">
        <v>1</v>
      </c>
      <c r="AL551">
        <v>1</v>
      </c>
      <c r="AO551">
        <v>0</v>
      </c>
      <c r="AP551" t="s">
        <v>3015</v>
      </c>
      <c r="AQ551" t="s">
        <v>3044</v>
      </c>
      <c r="AR551" t="s">
        <v>3045</v>
      </c>
      <c r="AS551" t="s">
        <v>3046</v>
      </c>
      <c r="AU551" t="s">
        <v>3046</v>
      </c>
    </row>
    <row r="552" spans="1:47" x14ac:dyDescent="0.35">
      <c r="A552">
        <v>337313</v>
      </c>
      <c r="B552" t="s">
        <v>178</v>
      </c>
      <c r="C552" t="s">
        <v>179</v>
      </c>
      <c r="D552" s="2">
        <v>45764</v>
      </c>
      <c r="E552">
        <v>53850</v>
      </c>
      <c r="F552">
        <v>119</v>
      </c>
      <c r="G552" t="s">
        <v>207</v>
      </c>
      <c r="H552" t="s">
        <v>167</v>
      </c>
      <c r="I552" t="s">
        <v>45</v>
      </c>
      <c r="K552">
        <v>202504167905032</v>
      </c>
      <c r="L552">
        <v>1193308874020</v>
      </c>
      <c r="M552">
        <v>20250416</v>
      </c>
      <c r="N552" t="s">
        <v>3136</v>
      </c>
      <c r="Q552" t="s">
        <v>170</v>
      </c>
      <c r="R552">
        <v>8026.95</v>
      </c>
      <c r="S552">
        <v>0</v>
      </c>
      <c r="T552">
        <v>571251</v>
      </c>
      <c r="U552" t="s">
        <v>785</v>
      </c>
      <c r="V552" t="s">
        <v>786</v>
      </c>
      <c r="W552" t="s">
        <v>187</v>
      </c>
      <c r="Y552" t="s">
        <v>51</v>
      </c>
      <c r="Z552">
        <v>669</v>
      </c>
      <c r="AH552">
        <v>0</v>
      </c>
      <c r="AI552">
        <v>202504</v>
      </c>
      <c r="AJ552" t="s">
        <v>52</v>
      </c>
      <c r="AK552">
        <v>0</v>
      </c>
      <c r="AL552">
        <v>1</v>
      </c>
      <c r="AO552">
        <v>1</v>
      </c>
      <c r="AP552" t="s">
        <v>3015</v>
      </c>
      <c r="AQ552" t="s">
        <v>3044</v>
      </c>
      <c r="AR552" t="s">
        <v>3045</v>
      </c>
      <c r="AS552" t="s">
        <v>3046</v>
      </c>
      <c r="AU552" t="s">
        <v>3046</v>
      </c>
    </row>
    <row r="553" spans="1:47" x14ac:dyDescent="0.35">
      <c r="A553">
        <v>337312</v>
      </c>
      <c r="B553" t="s">
        <v>178</v>
      </c>
      <c r="C553" t="s">
        <v>179</v>
      </c>
      <c r="D553" s="2">
        <v>45764</v>
      </c>
      <c r="E553">
        <v>53850</v>
      </c>
      <c r="F553">
        <v>106</v>
      </c>
      <c r="G553" t="s">
        <v>291</v>
      </c>
      <c r="H553" t="s">
        <v>167</v>
      </c>
      <c r="I553" t="s">
        <v>45</v>
      </c>
      <c r="K553">
        <v>202504167904966</v>
      </c>
      <c r="L553">
        <v>1063302768424</v>
      </c>
      <c r="M553">
        <v>20250416</v>
      </c>
      <c r="N553" t="s">
        <v>3136</v>
      </c>
      <c r="Q553" t="s">
        <v>170</v>
      </c>
      <c r="R553">
        <v>20474.53</v>
      </c>
      <c r="S553">
        <v>0</v>
      </c>
      <c r="T553">
        <v>4028926</v>
      </c>
      <c r="U553">
        <v>90018550724</v>
      </c>
      <c r="V553" t="s">
        <v>787</v>
      </c>
      <c r="W553" t="s">
        <v>332</v>
      </c>
      <c r="Y553" t="s">
        <v>51</v>
      </c>
      <c r="Z553">
        <v>1630</v>
      </c>
      <c r="AH553">
        <v>0</v>
      </c>
      <c r="AI553">
        <v>202504</v>
      </c>
      <c r="AJ553" t="s">
        <v>86</v>
      </c>
      <c r="AK553">
        <v>1</v>
      </c>
      <c r="AL553">
        <v>1</v>
      </c>
      <c r="AO553">
        <v>1</v>
      </c>
      <c r="AP553" t="s">
        <v>3015</v>
      </c>
      <c r="AQ553" t="s">
        <v>3058</v>
      </c>
      <c r="AR553" t="s">
        <v>3059</v>
      </c>
      <c r="AS553" t="s">
        <v>3014</v>
      </c>
      <c r="AU553" t="s">
        <v>3014</v>
      </c>
    </row>
    <row r="554" spans="1:47" x14ac:dyDescent="0.35">
      <c r="A554">
        <v>337311</v>
      </c>
      <c r="B554" t="s">
        <v>178</v>
      </c>
      <c r="C554" t="s">
        <v>179</v>
      </c>
      <c r="D554" s="2">
        <v>45764</v>
      </c>
      <c r="E554">
        <v>53850</v>
      </c>
      <c r="F554">
        <v>102</v>
      </c>
      <c r="G554" t="s">
        <v>151</v>
      </c>
      <c r="H554" t="s">
        <v>167</v>
      </c>
      <c r="I554" t="s">
        <v>45</v>
      </c>
      <c r="K554">
        <v>202504167903092</v>
      </c>
      <c r="L554">
        <v>1023308727913</v>
      </c>
      <c r="M554">
        <v>20250416</v>
      </c>
      <c r="N554" t="s">
        <v>46</v>
      </c>
      <c r="P554" t="s">
        <v>51</v>
      </c>
      <c r="Q554" t="s">
        <v>47</v>
      </c>
      <c r="R554">
        <v>3000000</v>
      </c>
      <c r="S554">
        <v>0</v>
      </c>
      <c r="T554">
        <v>413202</v>
      </c>
      <c r="U554">
        <v>454840778</v>
      </c>
      <c r="V554" t="s">
        <v>634</v>
      </c>
      <c r="W554" t="s">
        <v>49</v>
      </c>
      <c r="X554" t="s">
        <v>364</v>
      </c>
      <c r="Y554" t="s">
        <v>51</v>
      </c>
      <c r="Z554">
        <v>1203</v>
      </c>
      <c r="AH554">
        <v>0</v>
      </c>
      <c r="AI554">
        <v>202504</v>
      </c>
      <c r="AJ554" t="s">
        <v>56</v>
      </c>
      <c r="AK554">
        <v>0</v>
      </c>
      <c r="AL554">
        <v>1</v>
      </c>
      <c r="AO554">
        <v>0</v>
      </c>
      <c r="AP554" t="s">
        <v>3062</v>
      </c>
      <c r="AQ554" t="s">
        <v>3012</v>
      </c>
      <c r="AR554" t="s">
        <v>3063</v>
      </c>
      <c r="AS554" t="s">
        <v>3014</v>
      </c>
      <c r="AU554" t="s">
        <v>3014</v>
      </c>
    </row>
    <row r="555" spans="1:47" x14ac:dyDescent="0.35">
      <c r="A555">
        <v>337310</v>
      </c>
      <c r="B555" t="s">
        <v>193</v>
      </c>
      <c r="C555" t="s">
        <v>194</v>
      </c>
      <c r="D555" s="2">
        <v>45764</v>
      </c>
      <c r="E555">
        <v>53850</v>
      </c>
      <c r="F555">
        <v>116</v>
      </c>
      <c r="G555" t="s">
        <v>126</v>
      </c>
      <c r="H555" t="s">
        <v>167</v>
      </c>
      <c r="I555" t="s">
        <v>45</v>
      </c>
      <c r="K555">
        <v>202504167904761</v>
      </c>
      <c r="L555">
        <v>2343300010453</v>
      </c>
      <c r="M555">
        <v>20250416</v>
      </c>
      <c r="N555" t="s">
        <v>195</v>
      </c>
      <c r="Q555" t="s">
        <v>47</v>
      </c>
      <c r="R555">
        <v>160463.5</v>
      </c>
      <c r="S555">
        <v>160463.5</v>
      </c>
      <c r="T555">
        <v>4247777</v>
      </c>
      <c r="U555">
        <v>233470236</v>
      </c>
      <c r="V555" t="s">
        <v>206</v>
      </c>
      <c r="W555" t="s">
        <v>49</v>
      </c>
      <c r="X555" t="s">
        <v>117</v>
      </c>
      <c r="Y555" t="s">
        <v>51</v>
      </c>
      <c r="Z555">
        <v>1696</v>
      </c>
      <c r="AH555">
        <v>0</v>
      </c>
      <c r="AI555">
        <v>202504</v>
      </c>
      <c r="AJ555" t="s">
        <v>114</v>
      </c>
      <c r="AK555">
        <v>1</v>
      </c>
      <c r="AL555">
        <v>1</v>
      </c>
      <c r="AM555">
        <v>4247777</v>
      </c>
      <c r="AN555">
        <v>1</v>
      </c>
      <c r="AO555">
        <v>0</v>
      </c>
      <c r="AP555" t="s">
        <v>3029</v>
      </c>
      <c r="AQ555" t="s">
        <v>3012</v>
      </c>
      <c r="AR555" t="s">
        <v>3030</v>
      </c>
      <c r="AS555" t="s">
        <v>3014</v>
      </c>
      <c r="AU555" t="s">
        <v>3014</v>
      </c>
    </row>
    <row r="556" spans="1:47" x14ac:dyDescent="0.35">
      <c r="A556">
        <v>337309</v>
      </c>
      <c r="B556" t="s">
        <v>172</v>
      </c>
      <c r="C556" t="s">
        <v>173</v>
      </c>
      <c r="D556" s="2">
        <v>45764</v>
      </c>
      <c r="E556">
        <v>53850</v>
      </c>
      <c r="F556">
        <v>196</v>
      </c>
      <c r="G556" t="s">
        <v>567</v>
      </c>
      <c r="H556" t="s">
        <v>167</v>
      </c>
      <c r="I556" t="s">
        <v>45</v>
      </c>
      <c r="K556">
        <v>202504167905259</v>
      </c>
      <c r="L556">
        <v>1963302351587</v>
      </c>
      <c r="M556">
        <v>20250416</v>
      </c>
      <c r="N556" t="s">
        <v>81</v>
      </c>
      <c r="Q556" t="s">
        <v>47</v>
      </c>
      <c r="R556">
        <v>120923.23</v>
      </c>
      <c r="S556">
        <v>0</v>
      </c>
      <c r="T556">
        <v>4007031</v>
      </c>
      <c r="U556" t="s">
        <v>788</v>
      </c>
      <c r="V556" t="s">
        <v>789</v>
      </c>
      <c r="W556" t="s">
        <v>69</v>
      </c>
      <c r="X556" t="s">
        <v>595</v>
      </c>
      <c r="Y556" t="s">
        <v>51</v>
      </c>
      <c r="Z556">
        <v>1911</v>
      </c>
      <c r="AH556">
        <v>0</v>
      </c>
      <c r="AI556">
        <v>202504</v>
      </c>
      <c r="AJ556" t="s">
        <v>56</v>
      </c>
      <c r="AK556">
        <v>0</v>
      </c>
      <c r="AL556">
        <v>1</v>
      </c>
      <c r="AO556">
        <v>0</v>
      </c>
      <c r="AP556" t="s">
        <v>3015</v>
      </c>
      <c r="AQ556" t="s">
        <v>3021</v>
      </c>
      <c r="AR556" t="s">
        <v>3022</v>
      </c>
      <c r="AT556" t="s">
        <v>3017</v>
      </c>
      <c r="AU556" t="s">
        <v>3014</v>
      </c>
    </row>
    <row r="557" spans="1:47" x14ac:dyDescent="0.35">
      <c r="A557">
        <v>337308</v>
      </c>
      <c r="B557" t="s">
        <v>193</v>
      </c>
      <c r="C557" t="s">
        <v>194</v>
      </c>
      <c r="D557" s="2">
        <v>45764</v>
      </c>
      <c r="E557">
        <v>53850</v>
      </c>
      <c r="F557">
        <v>102</v>
      </c>
      <c r="G557" t="s">
        <v>151</v>
      </c>
      <c r="H557" t="s">
        <v>167</v>
      </c>
      <c r="I557" t="s">
        <v>45</v>
      </c>
      <c r="K557" t="s">
        <v>751</v>
      </c>
      <c r="L557">
        <v>1023308725178</v>
      </c>
      <c r="M557">
        <v>20250416</v>
      </c>
      <c r="N557" t="s">
        <v>195</v>
      </c>
      <c r="Q557" t="s">
        <v>47</v>
      </c>
      <c r="R557">
        <v>18000</v>
      </c>
      <c r="S557">
        <v>18000</v>
      </c>
      <c r="T557">
        <v>4953767</v>
      </c>
      <c r="U557">
        <v>8229660728</v>
      </c>
      <c r="V557" t="s">
        <v>790</v>
      </c>
      <c r="W557" t="s">
        <v>190</v>
      </c>
      <c r="X557" t="s">
        <v>131</v>
      </c>
      <c r="Y557" t="s">
        <v>51</v>
      </c>
      <c r="Z557">
        <v>1949</v>
      </c>
      <c r="AH557">
        <v>0</v>
      </c>
      <c r="AI557">
        <v>202504</v>
      </c>
      <c r="AJ557" t="s">
        <v>86</v>
      </c>
      <c r="AK557">
        <v>1</v>
      </c>
      <c r="AL557">
        <v>1</v>
      </c>
      <c r="AM557">
        <v>4953767</v>
      </c>
      <c r="AN557">
        <v>1</v>
      </c>
      <c r="AO557">
        <v>0</v>
      </c>
      <c r="AP557" t="s">
        <v>3033</v>
      </c>
      <c r="AQ557" t="s">
        <v>3047</v>
      </c>
      <c r="AR557" t="s">
        <v>3048</v>
      </c>
      <c r="AS557" t="s">
        <v>3049</v>
      </c>
      <c r="AU557" t="s">
        <v>3049</v>
      </c>
    </row>
    <row r="558" spans="1:47" x14ac:dyDescent="0.35">
      <c r="A558">
        <v>337307</v>
      </c>
      <c r="B558" t="s">
        <v>178</v>
      </c>
      <c r="C558" t="s">
        <v>179</v>
      </c>
      <c r="D558" s="2">
        <v>45764</v>
      </c>
      <c r="E558">
        <v>53850</v>
      </c>
      <c r="F558">
        <v>169</v>
      </c>
      <c r="G558" t="s">
        <v>57</v>
      </c>
      <c r="H558" t="s">
        <v>167</v>
      </c>
      <c r="I558" t="s">
        <v>45</v>
      </c>
      <c r="K558" t="s">
        <v>791</v>
      </c>
      <c r="L558">
        <v>1693302225542</v>
      </c>
      <c r="M558">
        <v>20250416</v>
      </c>
      <c r="N558" t="s">
        <v>3136</v>
      </c>
      <c r="Q558" t="s">
        <v>170</v>
      </c>
      <c r="R558">
        <v>4676.7</v>
      </c>
      <c r="S558">
        <v>0</v>
      </c>
      <c r="T558">
        <v>553145</v>
      </c>
      <c r="U558" t="s">
        <v>792</v>
      </c>
      <c r="V558" t="s">
        <v>793</v>
      </c>
      <c r="W558" t="s">
        <v>187</v>
      </c>
      <c r="Y558" t="s">
        <v>51</v>
      </c>
      <c r="Z558">
        <v>1352</v>
      </c>
      <c r="AH558">
        <v>0</v>
      </c>
      <c r="AI558">
        <v>202504</v>
      </c>
      <c r="AJ558" t="s">
        <v>86</v>
      </c>
      <c r="AK558">
        <v>1</v>
      </c>
      <c r="AL558">
        <v>1</v>
      </c>
      <c r="AO558">
        <v>1</v>
      </c>
      <c r="AP558" t="s">
        <v>3015</v>
      </c>
      <c r="AQ558" t="s">
        <v>3044</v>
      </c>
      <c r="AR558" t="s">
        <v>3045</v>
      </c>
      <c r="AS558" t="s">
        <v>3046</v>
      </c>
      <c r="AU558" t="s">
        <v>3046</v>
      </c>
    </row>
    <row r="559" spans="1:47" x14ac:dyDescent="0.35">
      <c r="A559">
        <v>337306</v>
      </c>
      <c r="B559" t="s">
        <v>178</v>
      </c>
      <c r="C559" t="s">
        <v>179</v>
      </c>
      <c r="D559" s="2">
        <v>45764</v>
      </c>
      <c r="E559">
        <v>53850</v>
      </c>
      <c r="F559">
        <v>109</v>
      </c>
      <c r="G559" t="s">
        <v>89</v>
      </c>
      <c r="H559" t="s">
        <v>167</v>
      </c>
      <c r="I559" t="s">
        <v>45</v>
      </c>
      <c r="K559">
        <v>202504167902602</v>
      </c>
      <c r="L559">
        <v>1093306672844</v>
      </c>
      <c r="M559">
        <v>20250416</v>
      </c>
      <c r="N559" t="s">
        <v>46</v>
      </c>
      <c r="P559" t="s">
        <v>51</v>
      </c>
      <c r="Q559" t="s">
        <v>47</v>
      </c>
      <c r="R559">
        <v>800000</v>
      </c>
      <c r="S559">
        <v>0</v>
      </c>
      <c r="T559">
        <v>440311</v>
      </c>
      <c r="U559">
        <v>3550290724</v>
      </c>
      <c r="V559" t="s">
        <v>90</v>
      </c>
      <c r="W559" t="s">
        <v>49</v>
      </c>
      <c r="X559" t="s">
        <v>91</v>
      </c>
      <c r="Y559" t="s">
        <v>51</v>
      </c>
      <c r="Z559">
        <v>1903</v>
      </c>
      <c r="AH559">
        <v>0</v>
      </c>
      <c r="AI559">
        <v>202504</v>
      </c>
      <c r="AJ559" t="s">
        <v>56</v>
      </c>
      <c r="AK559">
        <v>0</v>
      </c>
      <c r="AL559">
        <v>1</v>
      </c>
      <c r="AM559">
        <v>440311</v>
      </c>
      <c r="AN559">
        <v>1</v>
      </c>
      <c r="AO559">
        <v>0</v>
      </c>
      <c r="AP559" t="s">
        <v>1100</v>
      </c>
      <c r="AQ559" t="s">
        <v>3012</v>
      </c>
      <c r="AR559" t="s">
        <v>3023</v>
      </c>
      <c r="AS559" t="s">
        <v>3014</v>
      </c>
      <c r="AU559" t="s">
        <v>3014</v>
      </c>
    </row>
    <row r="560" spans="1:47" x14ac:dyDescent="0.35">
      <c r="A560">
        <v>337305</v>
      </c>
      <c r="B560" t="s">
        <v>178</v>
      </c>
      <c r="C560" t="s">
        <v>179</v>
      </c>
      <c r="D560" s="2">
        <v>45763</v>
      </c>
      <c r="E560">
        <v>53850</v>
      </c>
      <c r="F560">
        <v>120</v>
      </c>
      <c r="G560" t="s">
        <v>411</v>
      </c>
      <c r="H560" t="s">
        <v>167</v>
      </c>
      <c r="I560" t="s">
        <v>45</v>
      </c>
      <c r="K560">
        <v>202504157898893</v>
      </c>
      <c r="L560">
        <v>1203300002401</v>
      </c>
      <c r="M560">
        <v>20250415</v>
      </c>
      <c r="N560" t="s">
        <v>236</v>
      </c>
      <c r="P560" t="s">
        <v>51</v>
      </c>
      <c r="Q560" t="s">
        <v>170</v>
      </c>
      <c r="R560">
        <v>828090</v>
      </c>
      <c r="S560">
        <v>0</v>
      </c>
      <c r="T560">
        <v>613876</v>
      </c>
      <c r="U560">
        <v>574290722</v>
      </c>
      <c r="V560" t="s">
        <v>545</v>
      </c>
      <c r="W560" t="s">
        <v>546</v>
      </c>
      <c r="X560" t="s">
        <v>421</v>
      </c>
      <c r="Y560" t="s">
        <v>51</v>
      </c>
      <c r="Z560">
        <v>1058</v>
      </c>
      <c r="AH560">
        <v>0</v>
      </c>
      <c r="AI560">
        <v>202504</v>
      </c>
      <c r="AJ560" t="s">
        <v>56</v>
      </c>
      <c r="AK560">
        <v>0</v>
      </c>
      <c r="AL560">
        <v>1</v>
      </c>
      <c r="AM560">
        <v>613876</v>
      </c>
      <c r="AN560">
        <v>1</v>
      </c>
      <c r="AO560">
        <v>0</v>
      </c>
      <c r="AP560" t="s">
        <v>3015</v>
      </c>
      <c r="AQ560" t="s">
        <v>3076</v>
      </c>
      <c r="AR560" t="s">
        <v>3077</v>
      </c>
      <c r="AT560" t="s">
        <v>3017</v>
      </c>
      <c r="AU560" t="s">
        <v>3014</v>
      </c>
    </row>
    <row r="561" spans="1:47" x14ac:dyDescent="0.35">
      <c r="A561">
        <v>337304</v>
      </c>
      <c r="B561" t="s">
        <v>178</v>
      </c>
      <c r="C561" t="s">
        <v>179</v>
      </c>
      <c r="D561" s="2">
        <v>45763</v>
      </c>
      <c r="E561">
        <v>53850</v>
      </c>
      <c r="F561">
        <v>141</v>
      </c>
      <c r="G561" t="s">
        <v>105</v>
      </c>
      <c r="H561" t="s">
        <v>167</v>
      </c>
      <c r="I561" t="s">
        <v>45</v>
      </c>
      <c r="K561">
        <v>202504157898702</v>
      </c>
      <c r="L561">
        <v>1413300003985</v>
      </c>
      <c r="M561">
        <v>20250415</v>
      </c>
      <c r="N561" t="s">
        <v>236</v>
      </c>
      <c r="P561" t="s">
        <v>51</v>
      </c>
      <c r="Q561" t="s">
        <v>170</v>
      </c>
      <c r="R561">
        <v>1566000</v>
      </c>
      <c r="S561">
        <v>0</v>
      </c>
      <c r="T561">
        <v>4996689</v>
      </c>
      <c r="U561">
        <v>80010360750</v>
      </c>
      <c r="V561" t="s">
        <v>106</v>
      </c>
      <c r="W561" t="s">
        <v>49</v>
      </c>
      <c r="X561" t="s">
        <v>107</v>
      </c>
      <c r="Y561" t="s">
        <v>51</v>
      </c>
      <c r="Z561">
        <v>1940</v>
      </c>
      <c r="AH561">
        <v>0</v>
      </c>
      <c r="AI561">
        <v>202504</v>
      </c>
      <c r="AJ561" t="s">
        <v>56</v>
      </c>
      <c r="AK561">
        <v>0</v>
      </c>
      <c r="AL561">
        <v>1</v>
      </c>
      <c r="AO561">
        <v>0</v>
      </c>
      <c r="AP561" t="s">
        <v>3024</v>
      </c>
      <c r="AQ561" t="s">
        <v>3012</v>
      </c>
      <c r="AR561" t="s">
        <v>3025</v>
      </c>
      <c r="AS561" t="s">
        <v>3014</v>
      </c>
      <c r="AU561" t="s">
        <v>3014</v>
      </c>
    </row>
    <row r="562" spans="1:47" x14ac:dyDescent="0.35">
      <c r="A562">
        <v>337303</v>
      </c>
      <c r="B562" t="s">
        <v>178</v>
      </c>
      <c r="C562" t="s">
        <v>179</v>
      </c>
      <c r="D562" s="2">
        <v>45763</v>
      </c>
      <c r="E562">
        <v>53850</v>
      </c>
      <c r="F562">
        <v>164</v>
      </c>
      <c r="G562" t="s">
        <v>651</v>
      </c>
      <c r="H562" t="s">
        <v>167</v>
      </c>
      <c r="I562" t="s">
        <v>45</v>
      </c>
      <c r="K562">
        <v>202504157901537</v>
      </c>
      <c r="L562">
        <v>1645500369067</v>
      </c>
      <c r="M562">
        <v>20250415</v>
      </c>
      <c r="N562" t="s">
        <v>794</v>
      </c>
      <c r="Q562" t="s">
        <v>170</v>
      </c>
      <c r="R562">
        <v>205000</v>
      </c>
      <c r="S562">
        <v>0</v>
      </c>
      <c r="T562">
        <v>812017</v>
      </c>
      <c r="U562" t="s">
        <v>795</v>
      </c>
      <c r="V562" t="s">
        <v>796</v>
      </c>
      <c r="W562" t="s">
        <v>187</v>
      </c>
      <c r="Y562" t="s">
        <v>51</v>
      </c>
      <c r="Z562">
        <v>789</v>
      </c>
      <c r="AH562">
        <v>0</v>
      </c>
      <c r="AI562">
        <v>202504</v>
      </c>
      <c r="AJ562" t="s">
        <v>56</v>
      </c>
      <c r="AK562">
        <v>0</v>
      </c>
      <c r="AL562">
        <v>1</v>
      </c>
      <c r="AO562">
        <v>0</v>
      </c>
      <c r="AP562" t="s">
        <v>3015</v>
      </c>
      <c r="AQ562" t="s">
        <v>3044</v>
      </c>
      <c r="AR562" t="s">
        <v>3045</v>
      </c>
      <c r="AS562" t="s">
        <v>3046</v>
      </c>
      <c r="AU562" t="s">
        <v>3046</v>
      </c>
    </row>
    <row r="563" spans="1:47" x14ac:dyDescent="0.35">
      <c r="A563">
        <v>337302</v>
      </c>
      <c r="B563" t="s">
        <v>193</v>
      </c>
      <c r="C563" t="s">
        <v>194</v>
      </c>
      <c r="D563" s="2">
        <v>45763</v>
      </c>
      <c r="E563">
        <v>53850</v>
      </c>
      <c r="F563">
        <v>268</v>
      </c>
      <c r="G563" t="s">
        <v>83</v>
      </c>
      <c r="H563" t="s">
        <v>167</v>
      </c>
      <c r="I563" t="s">
        <v>45</v>
      </c>
      <c r="K563" t="s">
        <v>797</v>
      </c>
      <c r="L563">
        <v>2683300000942</v>
      </c>
      <c r="M563">
        <v>20250415</v>
      </c>
      <c r="N563" t="s">
        <v>175</v>
      </c>
      <c r="Q563" t="s">
        <v>47</v>
      </c>
      <c r="R563">
        <v>47797.68</v>
      </c>
      <c r="S563">
        <v>38425</v>
      </c>
      <c r="T563">
        <v>1615641</v>
      </c>
      <c r="U563">
        <v>2030090795</v>
      </c>
      <c r="V563" t="s">
        <v>798</v>
      </c>
      <c r="W563" t="s">
        <v>49</v>
      </c>
      <c r="X563" t="s">
        <v>117</v>
      </c>
      <c r="Y563" t="s">
        <v>51</v>
      </c>
      <c r="Z563">
        <v>1891</v>
      </c>
      <c r="AH563">
        <v>0</v>
      </c>
      <c r="AI563">
        <v>202504</v>
      </c>
      <c r="AJ563" t="s">
        <v>86</v>
      </c>
      <c r="AK563">
        <v>1</v>
      </c>
      <c r="AL563">
        <v>1</v>
      </c>
      <c r="AM563">
        <v>1615641</v>
      </c>
      <c r="AN563">
        <v>1</v>
      </c>
      <c r="AO563">
        <v>1</v>
      </c>
      <c r="AP563" t="s">
        <v>3029</v>
      </c>
      <c r="AQ563" t="s">
        <v>3012</v>
      </c>
      <c r="AR563" t="s">
        <v>3030</v>
      </c>
      <c r="AS563" t="s">
        <v>3014</v>
      </c>
      <c r="AU563" t="s">
        <v>3014</v>
      </c>
    </row>
    <row r="564" spans="1:47" x14ac:dyDescent="0.35">
      <c r="A564">
        <v>337301</v>
      </c>
      <c r="B564" t="s">
        <v>333</v>
      </c>
      <c r="C564" t="s">
        <v>334</v>
      </c>
      <c r="D564" s="2">
        <v>45763</v>
      </c>
      <c r="E564">
        <v>53850</v>
      </c>
      <c r="F564">
        <v>99</v>
      </c>
      <c r="G564" t="s">
        <v>335</v>
      </c>
      <c r="H564" t="s">
        <v>167</v>
      </c>
      <c r="I564" t="s">
        <v>45</v>
      </c>
      <c r="K564" t="s">
        <v>799</v>
      </c>
      <c r="M564">
        <v>20250415</v>
      </c>
      <c r="N564" t="s">
        <v>3136</v>
      </c>
      <c r="Q564" t="s">
        <v>170</v>
      </c>
      <c r="R564">
        <v>1714.22</v>
      </c>
      <c r="S564">
        <v>0</v>
      </c>
      <c r="T564">
        <v>4120833</v>
      </c>
      <c r="U564" t="s">
        <v>800</v>
      </c>
      <c r="V564" t="s">
        <v>801</v>
      </c>
      <c r="W564" t="s">
        <v>187</v>
      </c>
      <c r="Y564" t="s">
        <v>51</v>
      </c>
      <c r="AH564">
        <v>0</v>
      </c>
      <c r="AI564">
        <v>202504</v>
      </c>
      <c r="AJ564" t="s">
        <v>86</v>
      </c>
      <c r="AK564">
        <v>1</v>
      </c>
      <c r="AL564">
        <v>0</v>
      </c>
      <c r="AO564">
        <v>1</v>
      </c>
      <c r="AP564" t="s">
        <v>3015</v>
      </c>
      <c r="AQ564" t="s">
        <v>3044</v>
      </c>
      <c r="AR564" t="s">
        <v>3045</v>
      </c>
      <c r="AS564" t="s">
        <v>3046</v>
      </c>
      <c r="AU564" t="s">
        <v>3046</v>
      </c>
    </row>
    <row r="565" spans="1:47" x14ac:dyDescent="0.35">
      <c r="A565">
        <v>337300</v>
      </c>
      <c r="B565" t="s">
        <v>178</v>
      </c>
      <c r="C565" t="s">
        <v>179</v>
      </c>
      <c r="D565" s="2">
        <v>45763</v>
      </c>
      <c r="E565">
        <v>53850</v>
      </c>
      <c r="F565">
        <v>102</v>
      </c>
      <c r="G565" t="s">
        <v>151</v>
      </c>
      <c r="H565" t="s">
        <v>167</v>
      </c>
      <c r="I565" t="s">
        <v>45</v>
      </c>
      <c r="K565">
        <v>202504157900518</v>
      </c>
      <c r="L565">
        <v>1023308719190</v>
      </c>
      <c r="M565">
        <v>20250415</v>
      </c>
      <c r="N565" t="s">
        <v>659</v>
      </c>
      <c r="Q565" t="s">
        <v>170</v>
      </c>
      <c r="R565">
        <v>1576491.08</v>
      </c>
      <c r="S565">
        <v>0</v>
      </c>
      <c r="T565">
        <v>4233192</v>
      </c>
      <c r="U565">
        <v>4107060966</v>
      </c>
      <c r="V565" t="s">
        <v>802</v>
      </c>
      <c r="W565" t="s">
        <v>803</v>
      </c>
      <c r="X565" t="s">
        <v>210</v>
      </c>
      <c r="Y565" t="s">
        <v>51</v>
      </c>
      <c r="Z565">
        <v>739</v>
      </c>
      <c r="AH565">
        <v>0</v>
      </c>
      <c r="AI565">
        <v>202504</v>
      </c>
      <c r="AJ565" t="s">
        <v>86</v>
      </c>
      <c r="AK565">
        <v>1</v>
      </c>
      <c r="AL565">
        <v>1</v>
      </c>
      <c r="AO565">
        <v>0</v>
      </c>
      <c r="AP565" t="s">
        <v>3015</v>
      </c>
      <c r="AQ565" t="s">
        <v>3088</v>
      </c>
      <c r="AR565" t="s">
        <v>3089</v>
      </c>
      <c r="AT565" t="s">
        <v>3017</v>
      </c>
      <c r="AU565" t="s">
        <v>3037</v>
      </c>
    </row>
    <row r="566" spans="1:47" x14ac:dyDescent="0.35">
      <c r="A566">
        <v>337299</v>
      </c>
      <c r="B566" t="s">
        <v>164</v>
      </c>
      <c r="C566" t="s">
        <v>165</v>
      </c>
      <c r="D566" s="2">
        <v>45763</v>
      </c>
      <c r="E566">
        <v>53850</v>
      </c>
      <c r="F566">
        <v>134</v>
      </c>
      <c r="G566" t="s">
        <v>804</v>
      </c>
      <c r="H566" t="s">
        <v>167</v>
      </c>
      <c r="I566" t="s">
        <v>45</v>
      </c>
      <c r="K566" t="s">
        <v>805</v>
      </c>
      <c r="L566">
        <v>1303300000237</v>
      </c>
      <c r="M566">
        <v>20250415</v>
      </c>
      <c r="N566" t="s">
        <v>168</v>
      </c>
      <c r="P566" t="s">
        <v>255</v>
      </c>
      <c r="Q566" t="s">
        <v>47</v>
      </c>
      <c r="R566">
        <v>4000</v>
      </c>
      <c r="S566">
        <v>0</v>
      </c>
      <c r="T566">
        <v>4005541</v>
      </c>
      <c r="U566" t="s">
        <v>806</v>
      </c>
      <c r="V566" t="s">
        <v>807</v>
      </c>
      <c r="W566" t="s">
        <v>187</v>
      </c>
      <c r="Y566" t="s">
        <v>51</v>
      </c>
      <c r="Z566">
        <v>1659</v>
      </c>
      <c r="AH566">
        <v>0</v>
      </c>
      <c r="AI566">
        <v>202504</v>
      </c>
      <c r="AJ566" t="s">
        <v>114</v>
      </c>
      <c r="AK566">
        <v>1</v>
      </c>
      <c r="AL566">
        <v>1</v>
      </c>
      <c r="AO566">
        <v>0</v>
      </c>
      <c r="AP566" t="s">
        <v>3015</v>
      </c>
      <c r="AQ566" t="s">
        <v>3044</v>
      </c>
      <c r="AR566" t="s">
        <v>3045</v>
      </c>
      <c r="AS566" t="s">
        <v>3046</v>
      </c>
      <c r="AU566" t="s">
        <v>3046</v>
      </c>
    </row>
    <row r="567" spans="1:47" x14ac:dyDescent="0.35">
      <c r="A567">
        <v>337298</v>
      </c>
      <c r="B567" t="s">
        <v>178</v>
      </c>
      <c r="C567" t="s">
        <v>179</v>
      </c>
      <c r="D567" s="2">
        <v>45763</v>
      </c>
      <c r="E567">
        <v>53850</v>
      </c>
      <c r="F567">
        <v>164</v>
      </c>
      <c r="G567" t="s">
        <v>651</v>
      </c>
      <c r="H567" t="s">
        <v>167</v>
      </c>
      <c r="I567" t="s">
        <v>45</v>
      </c>
      <c r="K567">
        <v>202504157899790</v>
      </c>
      <c r="L567">
        <v>1645500369067</v>
      </c>
      <c r="M567">
        <v>20250415</v>
      </c>
      <c r="N567" t="s">
        <v>808</v>
      </c>
      <c r="Q567" t="s">
        <v>47</v>
      </c>
      <c r="R567">
        <v>205000</v>
      </c>
      <c r="S567">
        <v>0</v>
      </c>
      <c r="T567">
        <v>812018</v>
      </c>
      <c r="U567" t="s">
        <v>809</v>
      </c>
      <c r="V567" t="s">
        <v>810</v>
      </c>
      <c r="W567" t="s">
        <v>187</v>
      </c>
      <c r="Y567" t="s">
        <v>51</v>
      </c>
      <c r="Z567">
        <v>789</v>
      </c>
      <c r="AH567">
        <v>0</v>
      </c>
      <c r="AI567">
        <v>202504</v>
      </c>
      <c r="AJ567" t="s">
        <v>56</v>
      </c>
      <c r="AK567">
        <v>0</v>
      </c>
      <c r="AL567">
        <v>1</v>
      </c>
      <c r="AO567">
        <v>0</v>
      </c>
      <c r="AP567" t="s">
        <v>3015</v>
      </c>
      <c r="AQ567" t="s">
        <v>3044</v>
      </c>
      <c r="AR567" t="s">
        <v>3045</v>
      </c>
      <c r="AS567" t="s">
        <v>3046</v>
      </c>
      <c r="AU567" t="s">
        <v>3046</v>
      </c>
    </row>
    <row r="568" spans="1:47" x14ac:dyDescent="0.35">
      <c r="A568">
        <v>337297</v>
      </c>
      <c r="B568" t="s">
        <v>178</v>
      </c>
      <c r="C568" t="s">
        <v>179</v>
      </c>
      <c r="D568" s="2">
        <v>45763</v>
      </c>
      <c r="E568">
        <v>53850</v>
      </c>
      <c r="F568">
        <v>193</v>
      </c>
      <c r="G568" t="s">
        <v>811</v>
      </c>
      <c r="H568" t="s">
        <v>167</v>
      </c>
      <c r="I568" t="s">
        <v>45</v>
      </c>
      <c r="K568" t="s">
        <v>812</v>
      </c>
      <c r="L568">
        <v>1933300023734</v>
      </c>
      <c r="M568">
        <v>20250415</v>
      </c>
      <c r="N568" t="s">
        <v>3136</v>
      </c>
      <c r="Q568" t="s">
        <v>170</v>
      </c>
      <c r="R568">
        <v>1714.22</v>
      </c>
      <c r="S568">
        <v>0</v>
      </c>
      <c r="T568">
        <v>4120833</v>
      </c>
      <c r="U568" t="s">
        <v>800</v>
      </c>
      <c r="V568" t="s">
        <v>801</v>
      </c>
      <c r="W568" t="s">
        <v>187</v>
      </c>
      <c r="Y568" t="s">
        <v>51</v>
      </c>
      <c r="AH568">
        <v>0</v>
      </c>
      <c r="AI568">
        <v>202504</v>
      </c>
      <c r="AJ568" t="s">
        <v>86</v>
      </c>
      <c r="AK568">
        <v>1</v>
      </c>
      <c r="AL568">
        <v>1</v>
      </c>
      <c r="AO568">
        <v>1</v>
      </c>
      <c r="AP568" t="s">
        <v>3015</v>
      </c>
      <c r="AQ568" t="s">
        <v>3044</v>
      </c>
      <c r="AR568" t="s">
        <v>3045</v>
      </c>
      <c r="AS568" t="s">
        <v>3046</v>
      </c>
      <c r="AU568" t="s">
        <v>3046</v>
      </c>
    </row>
    <row r="569" spans="1:47" x14ac:dyDescent="0.35">
      <c r="A569">
        <v>337296</v>
      </c>
      <c r="B569" t="s">
        <v>178</v>
      </c>
      <c r="C569" t="s">
        <v>179</v>
      </c>
      <c r="D569" s="2">
        <v>45763</v>
      </c>
      <c r="E569">
        <v>53850</v>
      </c>
      <c r="F569">
        <v>193</v>
      </c>
      <c r="G569" t="s">
        <v>811</v>
      </c>
      <c r="H569" t="s">
        <v>167</v>
      </c>
      <c r="I569" t="s">
        <v>45</v>
      </c>
      <c r="K569">
        <v>202504157901632</v>
      </c>
      <c r="L569">
        <v>1933300024574</v>
      </c>
      <c r="M569">
        <v>20250415</v>
      </c>
      <c r="N569" t="s">
        <v>3136</v>
      </c>
      <c r="Q569" t="s">
        <v>170</v>
      </c>
      <c r="R569">
        <v>91155.22</v>
      </c>
      <c r="S569">
        <v>0</v>
      </c>
      <c r="T569">
        <v>4919436</v>
      </c>
      <c r="U569" t="s">
        <v>813</v>
      </c>
      <c r="V569" t="s">
        <v>814</v>
      </c>
      <c r="W569" t="s">
        <v>69</v>
      </c>
      <c r="X569" t="s">
        <v>432</v>
      </c>
      <c r="Y569" t="s">
        <v>51</v>
      </c>
      <c r="Z569">
        <v>1583</v>
      </c>
      <c r="AH569">
        <v>0</v>
      </c>
      <c r="AI569">
        <v>202504</v>
      </c>
      <c r="AJ569" t="s">
        <v>86</v>
      </c>
      <c r="AK569">
        <v>1</v>
      </c>
      <c r="AL569">
        <v>1</v>
      </c>
      <c r="AO569">
        <v>1</v>
      </c>
      <c r="AP569" t="s">
        <v>3015</v>
      </c>
      <c r="AQ569" t="s">
        <v>3021</v>
      </c>
      <c r="AR569" t="s">
        <v>3022</v>
      </c>
      <c r="AT569" t="s">
        <v>3017</v>
      </c>
      <c r="AU569" t="s">
        <v>3014</v>
      </c>
    </row>
    <row r="570" spans="1:47" x14ac:dyDescent="0.35">
      <c r="A570">
        <v>337295</v>
      </c>
      <c r="B570" t="s">
        <v>172</v>
      </c>
      <c r="C570" t="s">
        <v>173</v>
      </c>
      <c r="D570" s="2">
        <v>45763</v>
      </c>
      <c r="E570">
        <v>53850</v>
      </c>
      <c r="F570">
        <v>153</v>
      </c>
      <c r="G570" t="s">
        <v>63</v>
      </c>
      <c r="H570" t="s">
        <v>167</v>
      </c>
      <c r="I570" t="s">
        <v>45</v>
      </c>
      <c r="K570">
        <v>202504157901519</v>
      </c>
      <c r="L570">
        <v>1533300660019</v>
      </c>
      <c r="M570">
        <v>20250415</v>
      </c>
      <c r="N570" t="s">
        <v>231</v>
      </c>
      <c r="Q570" t="s">
        <v>47</v>
      </c>
      <c r="R570">
        <v>166416.67000000001</v>
      </c>
      <c r="S570">
        <v>0</v>
      </c>
      <c r="T570">
        <v>4178674</v>
      </c>
      <c r="U570" t="s">
        <v>815</v>
      </c>
      <c r="V570" t="s">
        <v>816</v>
      </c>
      <c r="W570" t="s">
        <v>187</v>
      </c>
      <c r="Y570" t="s">
        <v>51</v>
      </c>
      <c r="Z570">
        <v>1051</v>
      </c>
      <c r="AH570">
        <v>0</v>
      </c>
      <c r="AI570">
        <v>202504</v>
      </c>
      <c r="AJ570" t="s">
        <v>56</v>
      </c>
      <c r="AK570">
        <v>0</v>
      </c>
      <c r="AL570">
        <v>1</v>
      </c>
      <c r="AO570">
        <v>0</v>
      </c>
      <c r="AP570" t="s">
        <v>3015</v>
      </c>
      <c r="AQ570" t="s">
        <v>3044</v>
      </c>
      <c r="AR570" t="s">
        <v>3045</v>
      </c>
      <c r="AS570" t="s">
        <v>3046</v>
      </c>
      <c r="AU570" t="s">
        <v>3046</v>
      </c>
    </row>
    <row r="571" spans="1:47" x14ac:dyDescent="0.35">
      <c r="A571">
        <v>337294</v>
      </c>
      <c r="B571" t="s">
        <v>172</v>
      </c>
      <c r="C571" t="s">
        <v>173</v>
      </c>
      <c r="D571" s="2">
        <v>45763</v>
      </c>
      <c r="E571">
        <v>53850</v>
      </c>
      <c r="F571">
        <v>216</v>
      </c>
      <c r="G571" t="s">
        <v>817</v>
      </c>
      <c r="H571" t="s">
        <v>167</v>
      </c>
      <c r="I571" t="s">
        <v>45</v>
      </c>
      <c r="K571">
        <v>202504157901680</v>
      </c>
      <c r="L571">
        <v>2163300011173</v>
      </c>
      <c r="M571">
        <v>20250415</v>
      </c>
      <c r="N571" t="s">
        <v>231</v>
      </c>
      <c r="Q571" t="s">
        <v>47</v>
      </c>
      <c r="R571">
        <v>150000</v>
      </c>
      <c r="S571">
        <v>0</v>
      </c>
      <c r="T571">
        <v>4548289</v>
      </c>
      <c r="U571" t="s">
        <v>818</v>
      </c>
      <c r="V571" t="s">
        <v>819</v>
      </c>
      <c r="W571" t="s">
        <v>187</v>
      </c>
      <c r="Y571" t="s">
        <v>51</v>
      </c>
      <c r="Z571">
        <v>1465</v>
      </c>
      <c r="AH571">
        <v>0</v>
      </c>
      <c r="AI571">
        <v>202504</v>
      </c>
      <c r="AJ571" t="s">
        <v>56</v>
      </c>
      <c r="AK571">
        <v>0</v>
      </c>
      <c r="AL571">
        <v>1</v>
      </c>
      <c r="AO571">
        <v>0</v>
      </c>
      <c r="AP571" t="s">
        <v>3015</v>
      </c>
      <c r="AQ571" t="s">
        <v>3044</v>
      </c>
      <c r="AR571" t="s">
        <v>3045</v>
      </c>
      <c r="AS571" t="s">
        <v>3046</v>
      </c>
      <c r="AU571" t="s">
        <v>3046</v>
      </c>
    </row>
    <row r="572" spans="1:47" x14ac:dyDescent="0.35">
      <c r="A572">
        <v>337293</v>
      </c>
      <c r="B572" t="s">
        <v>164</v>
      </c>
      <c r="C572" t="s">
        <v>165</v>
      </c>
      <c r="D572" s="2">
        <v>45763</v>
      </c>
      <c r="E572">
        <v>53850</v>
      </c>
      <c r="F572">
        <v>110</v>
      </c>
      <c r="G572" t="s">
        <v>230</v>
      </c>
      <c r="H572" t="s">
        <v>167</v>
      </c>
      <c r="I572" t="s">
        <v>45</v>
      </c>
      <c r="K572" t="s">
        <v>820</v>
      </c>
      <c r="L572">
        <v>1103305020890</v>
      </c>
      <c r="M572">
        <v>20250415</v>
      </c>
      <c r="N572" t="s">
        <v>168</v>
      </c>
      <c r="P572" t="s">
        <v>169</v>
      </c>
      <c r="Q572" t="s">
        <v>47</v>
      </c>
      <c r="R572">
        <v>1804.4</v>
      </c>
      <c r="S572">
        <v>0</v>
      </c>
      <c r="T572">
        <v>502089</v>
      </c>
      <c r="U572" t="s">
        <v>821</v>
      </c>
      <c r="V572" t="s">
        <v>822</v>
      </c>
      <c r="W572" t="s">
        <v>342</v>
      </c>
      <c r="X572" t="s">
        <v>823</v>
      </c>
      <c r="Y572" t="s">
        <v>51</v>
      </c>
      <c r="Z572">
        <v>476</v>
      </c>
      <c r="AH572">
        <v>0</v>
      </c>
      <c r="AI572">
        <v>202504</v>
      </c>
      <c r="AJ572" t="s">
        <v>86</v>
      </c>
      <c r="AK572">
        <v>1</v>
      </c>
      <c r="AL572">
        <v>1</v>
      </c>
      <c r="AO572">
        <v>0</v>
      </c>
      <c r="AP572" t="s">
        <v>3015</v>
      </c>
      <c r="AQ572" t="s">
        <v>3060</v>
      </c>
      <c r="AR572" t="s">
        <v>3061</v>
      </c>
      <c r="AT572" t="s">
        <v>3017</v>
      </c>
      <c r="AU572" t="s">
        <v>3014</v>
      </c>
    </row>
    <row r="573" spans="1:47" x14ac:dyDescent="0.35">
      <c r="A573">
        <v>337292</v>
      </c>
      <c r="B573" t="s">
        <v>178</v>
      </c>
      <c r="C573" t="s">
        <v>179</v>
      </c>
      <c r="D573" s="2">
        <v>45763</v>
      </c>
      <c r="E573">
        <v>53850</v>
      </c>
      <c r="F573">
        <v>102</v>
      </c>
      <c r="G573" t="s">
        <v>151</v>
      </c>
      <c r="H573" t="s">
        <v>167</v>
      </c>
      <c r="I573" t="s">
        <v>45</v>
      </c>
      <c r="K573">
        <v>202504157899756</v>
      </c>
      <c r="L573">
        <v>1023308726073</v>
      </c>
      <c r="M573">
        <v>20250415</v>
      </c>
      <c r="N573" t="s">
        <v>46</v>
      </c>
      <c r="P573" t="s">
        <v>51</v>
      </c>
      <c r="Q573" t="s">
        <v>47</v>
      </c>
      <c r="R573">
        <v>823562.73</v>
      </c>
      <c r="S573">
        <v>0</v>
      </c>
      <c r="T573">
        <v>4972446</v>
      </c>
      <c r="U573">
        <v>8406920721</v>
      </c>
      <c r="V573" t="s">
        <v>824</v>
      </c>
      <c r="W573" t="s">
        <v>49</v>
      </c>
      <c r="X573" t="s">
        <v>364</v>
      </c>
      <c r="Y573" t="s">
        <v>51</v>
      </c>
      <c r="Z573">
        <v>739</v>
      </c>
      <c r="AH573">
        <v>0</v>
      </c>
      <c r="AI573">
        <v>202504</v>
      </c>
      <c r="AJ573" t="s">
        <v>86</v>
      </c>
      <c r="AK573">
        <v>1</v>
      </c>
      <c r="AL573">
        <v>1</v>
      </c>
      <c r="AO573">
        <v>0</v>
      </c>
      <c r="AP573" t="s">
        <v>3062</v>
      </c>
      <c r="AQ573" t="s">
        <v>3012</v>
      </c>
      <c r="AR573" t="s">
        <v>3063</v>
      </c>
      <c r="AS573" t="s">
        <v>3014</v>
      </c>
      <c r="AU573" t="s">
        <v>3014</v>
      </c>
    </row>
    <row r="574" spans="1:47" x14ac:dyDescent="0.35">
      <c r="A574">
        <v>337291</v>
      </c>
      <c r="B574" t="s">
        <v>178</v>
      </c>
      <c r="C574" t="s">
        <v>179</v>
      </c>
      <c r="D574" s="2">
        <v>45763</v>
      </c>
      <c r="E574">
        <v>53850</v>
      </c>
      <c r="F574">
        <v>102</v>
      </c>
      <c r="G574" t="s">
        <v>151</v>
      </c>
      <c r="H574" t="s">
        <v>167</v>
      </c>
      <c r="I574" t="s">
        <v>45</v>
      </c>
      <c r="K574">
        <v>202504157901265</v>
      </c>
      <c r="L574">
        <v>1023308727570</v>
      </c>
      <c r="M574">
        <v>20250415</v>
      </c>
      <c r="N574" t="s">
        <v>236</v>
      </c>
      <c r="P574" t="s">
        <v>51</v>
      </c>
      <c r="Q574" t="s">
        <v>170</v>
      </c>
      <c r="R574">
        <v>1790000</v>
      </c>
      <c r="S574">
        <v>0</v>
      </c>
      <c r="T574">
        <v>3726777</v>
      </c>
      <c r="U574">
        <v>8920410720</v>
      </c>
      <c r="V574" t="s">
        <v>155</v>
      </c>
      <c r="W574" t="s">
        <v>156</v>
      </c>
      <c r="X574" t="s">
        <v>825</v>
      </c>
      <c r="Y574" t="s">
        <v>51</v>
      </c>
      <c r="Z574">
        <v>739</v>
      </c>
      <c r="AH574">
        <v>0</v>
      </c>
      <c r="AI574">
        <v>202504</v>
      </c>
      <c r="AJ574" t="s">
        <v>86</v>
      </c>
      <c r="AK574">
        <v>1</v>
      </c>
      <c r="AL574">
        <v>1</v>
      </c>
      <c r="AO574">
        <v>0</v>
      </c>
      <c r="AP574" t="s">
        <v>3015</v>
      </c>
      <c r="AQ574" t="s">
        <v>3038</v>
      </c>
      <c r="AR574" t="s">
        <v>3039</v>
      </c>
      <c r="AT574" t="s">
        <v>3017</v>
      </c>
      <c r="AU574" t="s">
        <v>3037</v>
      </c>
    </row>
    <row r="575" spans="1:47" x14ac:dyDescent="0.35">
      <c r="A575">
        <v>337290</v>
      </c>
      <c r="B575" t="s">
        <v>172</v>
      </c>
      <c r="C575" t="s">
        <v>173</v>
      </c>
      <c r="D575" s="2">
        <v>45763</v>
      </c>
      <c r="E575">
        <v>53850</v>
      </c>
      <c r="F575">
        <v>153</v>
      </c>
      <c r="G575" t="s">
        <v>63</v>
      </c>
      <c r="H575" t="s">
        <v>167</v>
      </c>
      <c r="I575" t="s">
        <v>45</v>
      </c>
      <c r="K575">
        <v>202504157901519</v>
      </c>
      <c r="L575">
        <v>1533300660019</v>
      </c>
      <c r="M575">
        <v>20250415</v>
      </c>
      <c r="N575" t="s">
        <v>231</v>
      </c>
      <c r="Q575" t="s">
        <v>47</v>
      </c>
      <c r="R575">
        <v>166416.67000000001</v>
      </c>
      <c r="S575">
        <v>0</v>
      </c>
      <c r="T575">
        <v>4178676</v>
      </c>
      <c r="U575" t="s">
        <v>826</v>
      </c>
      <c r="V575" t="s">
        <v>827</v>
      </c>
      <c r="W575" t="s">
        <v>187</v>
      </c>
      <c r="Y575" t="s">
        <v>51</v>
      </c>
      <c r="Z575">
        <v>1051</v>
      </c>
      <c r="AH575">
        <v>0</v>
      </c>
      <c r="AI575">
        <v>202504</v>
      </c>
      <c r="AJ575" t="s">
        <v>56</v>
      </c>
      <c r="AK575">
        <v>0</v>
      </c>
      <c r="AL575">
        <v>1</v>
      </c>
      <c r="AO575">
        <v>0</v>
      </c>
      <c r="AP575" t="s">
        <v>3015</v>
      </c>
      <c r="AQ575" t="s">
        <v>3044</v>
      </c>
      <c r="AR575" t="s">
        <v>3045</v>
      </c>
      <c r="AS575" t="s">
        <v>3046</v>
      </c>
      <c r="AU575" t="s">
        <v>3046</v>
      </c>
    </row>
    <row r="576" spans="1:47" x14ac:dyDescent="0.35">
      <c r="A576">
        <v>337289</v>
      </c>
      <c r="B576" t="s">
        <v>178</v>
      </c>
      <c r="C576" t="s">
        <v>179</v>
      </c>
      <c r="D576" s="2">
        <v>45763</v>
      </c>
      <c r="E576">
        <v>53850</v>
      </c>
      <c r="F576">
        <v>269</v>
      </c>
      <c r="G576" t="s">
        <v>265</v>
      </c>
      <c r="H576" t="s">
        <v>167</v>
      </c>
      <c r="I576" t="s">
        <v>45</v>
      </c>
      <c r="K576">
        <v>202504157901735</v>
      </c>
      <c r="L576">
        <v>2693300011439</v>
      </c>
      <c r="M576">
        <v>20250415</v>
      </c>
      <c r="N576" t="s">
        <v>3136</v>
      </c>
      <c r="Q576" t="s">
        <v>170</v>
      </c>
      <c r="R576">
        <v>19817.11</v>
      </c>
      <c r="S576">
        <v>0</v>
      </c>
      <c r="T576">
        <v>1660933</v>
      </c>
      <c r="U576" t="s">
        <v>828</v>
      </c>
      <c r="V576" t="s">
        <v>829</v>
      </c>
      <c r="W576" t="s">
        <v>187</v>
      </c>
      <c r="Y576" t="s">
        <v>51</v>
      </c>
      <c r="Z576">
        <v>1713</v>
      </c>
      <c r="AH576">
        <v>0</v>
      </c>
      <c r="AI576">
        <v>202504</v>
      </c>
      <c r="AJ576" t="s">
        <v>52</v>
      </c>
      <c r="AK576">
        <v>0</v>
      </c>
      <c r="AL576">
        <v>1</v>
      </c>
      <c r="AO576">
        <v>1</v>
      </c>
      <c r="AP576" t="s">
        <v>3015</v>
      </c>
      <c r="AQ576" t="s">
        <v>3044</v>
      </c>
      <c r="AR576" t="s">
        <v>3045</v>
      </c>
      <c r="AS576" t="s">
        <v>3046</v>
      </c>
      <c r="AU576" t="s">
        <v>3046</v>
      </c>
    </row>
    <row r="577" spans="1:47" x14ac:dyDescent="0.35">
      <c r="A577">
        <v>337288</v>
      </c>
      <c r="B577" t="s">
        <v>193</v>
      </c>
      <c r="C577" t="s">
        <v>194</v>
      </c>
      <c r="D577" s="2">
        <v>45763</v>
      </c>
      <c r="E577">
        <v>53850</v>
      </c>
      <c r="F577">
        <v>114</v>
      </c>
      <c r="G577" t="s">
        <v>188</v>
      </c>
      <c r="H577" t="s">
        <v>167</v>
      </c>
      <c r="I577" t="s">
        <v>45</v>
      </c>
      <c r="K577">
        <v>202504157901394</v>
      </c>
      <c r="L577">
        <v>1143306280621</v>
      </c>
      <c r="M577">
        <v>20250415</v>
      </c>
      <c r="N577" t="s">
        <v>266</v>
      </c>
      <c r="Q577" t="s">
        <v>47</v>
      </c>
      <c r="R577">
        <v>42500</v>
      </c>
      <c r="S577">
        <v>42500</v>
      </c>
      <c r="T577">
        <v>4658875</v>
      </c>
      <c r="U577">
        <v>3230890711</v>
      </c>
      <c r="V577" t="s">
        <v>189</v>
      </c>
      <c r="W577" t="s">
        <v>190</v>
      </c>
      <c r="X577" t="s">
        <v>131</v>
      </c>
      <c r="Y577" t="s">
        <v>51</v>
      </c>
      <c r="Z577">
        <v>870</v>
      </c>
      <c r="AH577">
        <v>0</v>
      </c>
      <c r="AI577">
        <v>202504</v>
      </c>
      <c r="AJ577" t="s">
        <v>56</v>
      </c>
      <c r="AK577">
        <v>0</v>
      </c>
      <c r="AL577">
        <v>1</v>
      </c>
      <c r="AM577">
        <v>4658875</v>
      </c>
      <c r="AN577">
        <v>1</v>
      </c>
      <c r="AO577">
        <v>0</v>
      </c>
      <c r="AP577" t="s">
        <v>3033</v>
      </c>
      <c r="AQ577" t="s">
        <v>3047</v>
      </c>
      <c r="AR577" t="s">
        <v>3048</v>
      </c>
      <c r="AS577" t="s">
        <v>3049</v>
      </c>
      <c r="AU577" t="s">
        <v>3049</v>
      </c>
    </row>
    <row r="578" spans="1:47" x14ac:dyDescent="0.35">
      <c r="A578">
        <v>337287</v>
      </c>
      <c r="B578" t="s">
        <v>178</v>
      </c>
      <c r="C578" t="s">
        <v>179</v>
      </c>
      <c r="D578" s="2">
        <v>45763</v>
      </c>
      <c r="E578">
        <v>53850</v>
      </c>
      <c r="F578">
        <v>121</v>
      </c>
      <c r="G578" t="s">
        <v>140</v>
      </c>
      <c r="H578" t="s">
        <v>167</v>
      </c>
      <c r="I578" t="s">
        <v>45</v>
      </c>
      <c r="K578" t="s">
        <v>830</v>
      </c>
      <c r="L578">
        <v>1213300001148</v>
      </c>
      <c r="M578">
        <v>20250415</v>
      </c>
      <c r="N578" t="s">
        <v>3136</v>
      </c>
      <c r="Q578" t="s">
        <v>170</v>
      </c>
      <c r="R578">
        <v>2326.5700000000002</v>
      </c>
      <c r="S578">
        <v>0</v>
      </c>
      <c r="T578">
        <v>44845</v>
      </c>
      <c r="U578" t="s">
        <v>831</v>
      </c>
      <c r="V578" t="s">
        <v>832</v>
      </c>
      <c r="W578" t="s">
        <v>187</v>
      </c>
      <c r="Y578" t="s">
        <v>51</v>
      </c>
      <c r="Z578">
        <v>1452</v>
      </c>
      <c r="AH578">
        <v>0</v>
      </c>
      <c r="AI578">
        <v>202504</v>
      </c>
      <c r="AJ578" t="s">
        <v>86</v>
      </c>
      <c r="AK578">
        <v>1</v>
      </c>
      <c r="AL578">
        <v>1</v>
      </c>
      <c r="AO578">
        <v>1</v>
      </c>
      <c r="AP578" t="s">
        <v>3015</v>
      </c>
      <c r="AQ578" t="s">
        <v>3044</v>
      </c>
      <c r="AR578" t="s">
        <v>3045</v>
      </c>
      <c r="AS578" t="s">
        <v>3046</v>
      </c>
      <c r="AU578" t="s">
        <v>3046</v>
      </c>
    </row>
    <row r="579" spans="1:47" x14ac:dyDescent="0.35">
      <c r="A579">
        <v>337286</v>
      </c>
      <c r="B579" t="s">
        <v>193</v>
      </c>
      <c r="C579" t="s">
        <v>194</v>
      </c>
      <c r="D579" s="2">
        <v>45763</v>
      </c>
      <c r="E579">
        <v>53850</v>
      </c>
      <c r="F579">
        <v>171</v>
      </c>
      <c r="G579" t="s">
        <v>198</v>
      </c>
      <c r="H579" t="s">
        <v>167</v>
      </c>
      <c r="I579" t="s">
        <v>45</v>
      </c>
      <c r="K579" t="s">
        <v>797</v>
      </c>
      <c r="L579">
        <v>1713302214147</v>
      </c>
      <c r="M579">
        <v>20250415</v>
      </c>
      <c r="N579" t="s">
        <v>195</v>
      </c>
      <c r="Q579" t="s">
        <v>47</v>
      </c>
      <c r="R579">
        <v>59450</v>
      </c>
      <c r="S579">
        <v>59450</v>
      </c>
      <c r="T579">
        <v>4199319</v>
      </c>
      <c r="U579">
        <v>6037810725</v>
      </c>
      <c r="V579" t="s">
        <v>285</v>
      </c>
      <c r="W579" t="s">
        <v>49</v>
      </c>
      <c r="X579" t="s">
        <v>200</v>
      </c>
      <c r="Y579" t="s">
        <v>51</v>
      </c>
      <c r="Z579">
        <v>1903</v>
      </c>
      <c r="AH579">
        <v>0</v>
      </c>
      <c r="AI579">
        <v>202504</v>
      </c>
      <c r="AJ579" t="s">
        <v>56</v>
      </c>
      <c r="AK579">
        <v>0</v>
      </c>
      <c r="AL579">
        <v>1</v>
      </c>
      <c r="AM579">
        <v>4199319</v>
      </c>
      <c r="AN579">
        <v>1</v>
      </c>
      <c r="AO579">
        <v>0</v>
      </c>
      <c r="AP579" t="s">
        <v>3015</v>
      </c>
      <c r="AQ579" t="s">
        <v>3012</v>
      </c>
      <c r="AR579" t="s">
        <v>3016</v>
      </c>
      <c r="AT579" t="s">
        <v>3017</v>
      </c>
      <c r="AU579" t="s">
        <v>3018</v>
      </c>
    </row>
    <row r="580" spans="1:47" x14ac:dyDescent="0.35">
      <c r="A580">
        <v>337285</v>
      </c>
      <c r="B580" t="s">
        <v>193</v>
      </c>
      <c r="C580" t="s">
        <v>194</v>
      </c>
      <c r="D580" s="2">
        <v>45763</v>
      </c>
      <c r="E580">
        <v>53850</v>
      </c>
      <c r="F580">
        <v>196</v>
      </c>
      <c r="G580" t="s">
        <v>567</v>
      </c>
      <c r="H580" t="s">
        <v>167</v>
      </c>
      <c r="I580" t="s">
        <v>45</v>
      </c>
      <c r="K580" t="s">
        <v>797</v>
      </c>
      <c r="L580">
        <v>1963302353871</v>
      </c>
      <c r="M580">
        <v>20250415</v>
      </c>
      <c r="N580" t="s">
        <v>195</v>
      </c>
      <c r="Q580" t="s">
        <v>47</v>
      </c>
      <c r="R580">
        <v>33930</v>
      </c>
      <c r="S580">
        <v>33930</v>
      </c>
      <c r="T580">
        <v>4897300</v>
      </c>
      <c r="U580">
        <v>4164150718</v>
      </c>
      <c r="V580" t="s">
        <v>833</v>
      </c>
      <c r="W580" t="s">
        <v>49</v>
      </c>
      <c r="X580" t="s">
        <v>131</v>
      </c>
      <c r="Y580" t="s">
        <v>51</v>
      </c>
      <c r="Z580">
        <v>1453</v>
      </c>
      <c r="AH580">
        <v>0</v>
      </c>
      <c r="AI580">
        <v>202504</v>
      </c>
      <c r="AJ580" t="s">
        <v>52</v>
      </c>
      <c r="AK580">
        <v>0</v>
      </c>
      <c r="AL580">
        <v>1</v>
      </c>
      <c r="AM580">
        <v>4897300</v>
      </c>
      <c r="AN580">
        <v>1</v>
      </c>
      <c r="AO580">
        <v>0</v>
      </c>
      <c r="AP580" t="s">
        <v>3033</v>
      </c>
      <c r="AQ580" t="s">
        <v>3012</v>
      </c>
      <c r="AR580" t="s">
        <v>3034</v>
      </c>
      <c r="AS580" t="s">
        <v>3014</v>
      </c>
      <c r="AU580" t="s">
        <v>3014</v>
      </c>
    </row>
    <row r="581" spans="1:47" x14ac:dyDescent="0.35">
      <c r="A581">
        <v>337284</v>
      </c>
      <c r="B581" t="s">
        <v>178</v>
      </c>
      <c r="C581" t="s">
        <v>179</v>
      </c>
      <c r="D581" s="2">
        <v>45763</v>
      </c>
      <c r="E581">
        <v>53850</v>
      </c>
      <c r="F581">
        <v>136</v>
      </c>
      <c r="G581" t="s">
        <v>551</v>
      </c>
      <c r="H581" t="s">
        <v>167</v>
      </c>
      <c r="I581" t="s">
        <v>45</v>
      </c>
      <c r="K581">
        <v>202504157899087</v>
      </c>
      <c r="L581">
        <v>1363300003821</v>
      </c>
      <c r="M581">
        <v>20250415</v>
      </c>
      <c r="N581" t="s">
        <v>46</v>
      </c>
      <c r="P581" t="s">
        <v>51</v>
      </c>
      <c r="Q581" t="s">
        <v>47</v>
      </c>
      <c r="R581">
        <v>1500000</v>
      </c>
      <c r="S581">
        <v>0</v>
      </c>
      <c r="T581">
        <v>4724343</v>
      </c>
      <c r="U581">
        <v>80007020748</v>
      </c>
      <c r="V581" t="s">
        <v>834</v>
      </c>
      <c r="W581" t="s">
        <v>183</v>
      </c>
      <c r="Y581" t="s">
        <v>51</v>
      </c>
      <c r="Z581">
        <v>1909</v>
      </c>
      <c r="AH581">
        <v>0</v>
      </c>
      <c r="AI581">
        <v>202504</v>
      </c>
      <c r="AJ581" t="s">
        <v>56</v>
      </c>
      <c r="AK581">
        <v>0</v>
      </c>
      <c r="AL581">
        <v>1</v>
      </c>
      <c r="AO581">
        <v>0</v>
      </c>
      <c r="AP581" t="s">
        <v>3015</v>
      </c>
      <c r="AQ581" t="s">
        <v>3042</v>
      </c>
      <c r="AR581" t="s">
        <v>3043</v>
      </c>
      <c r="AS581" t="s">
        <v>3037</v>
      </c>
      <c r="AU581" t="s">
        <v>3037</v>
      </c>
    </row>
    <row r="582" spans="1:47" x14ac:dyDescent="0.35">
      <c r="A582">
        <v>337283</v>
      </c>
      <c r="B582" t="s">
        <v>178</v>
      </c>
      <c r="C582" t="s">
        <v>179</v>
      </c>
      <c r="D582" s="2">
        <v>45763</v>
      </c>
      <c r="E582">
        <v>53850</v>
      </c>
      <c r="F582">
        <v>164</v>
      </c>
      <c r="G582" t="s">
        <v>651</v>
      </c>
      <c r="H582" t="s">
        <v>167</v>
      </c>
      <c r="I582" t="s">
        <v>45</v>
      </c>
      <c r="K582">
        <v>202504157899791</v>
      </c>
      <c r="L582">
        <v>1645500369067</v>
      </c>
      <c r="M582">
        <v>20250415</v>
      </c>
      <c r="N582" t="s">
        <v>46</v>
      </c>
      <c r="P582" t="s">
        <v>51</v>
      </c>
      <c r="Q582" t="s">
        <v>47</v>
      </c>
      <c r="R582">
        <v>205000</v>
      </c>
      <c r="S582">
        <v>0</v>
      </c>
      <c r="T582">
        <v>812017</v>
      </c>
      <c r="U582" t="s">
        <v>795</v>
      </c>
      <c r="V582" t="s">
        <v>796</v>
      </c>
      <c r="W582" t="s">
        <v>187</v>
      </c>
      <c r="Y582" t="s">
        <v>51</v>
      </c>
      <c r="Z582">
        <v>789</v>
      </c>
      <c r="AH582">
        <v>0</v>
      </c>
      <c r="AI582">
        <v>202504</v>
      </c>
      <c r="AJ582" t="s">
        <v>56</v>
      </c>
      <c r="AK582">
        <v>0</v>
      </c>
      <c r="AL582">
        <v>1</v>
      </c>
      <c r="AO582">
        <v>0</v>
      </c>
      <c r="AP582" t="s">
        <v>3015</v>
      </c>
      <c r="AQ582" t="s">
        <v>3044</v>
      </c>
      <c r="AR582" t="s">
        <v>3045</v>
      </c>
      <c r="AS582" t="s">
        <v>3046</v>
      </c>
      <c r="AU582" t="s">
        <v>3046</v>
      </c>
    </row>
    <row r="583" spans="1:47" x14ac:dyDescent="0.35">
      <c r="A583">
        <v>337282</v>
      </c>
      <c r="B583" t="s">
        <v>172</v>
      </c>
      <c r="C583" t="s">
        <v>173</v>
      </c>
      <c r="D583" s="2">
        <v>45763</v>
      </c>
      <c r="E583">
        <v>53850</v>
      </c>
      <c r="F583">
        <v>171</v>
      </c>
      <c r="G583" t="s">
        <v>198</v>
      </c>
      <c r="H583" t="s">
        <v>167</v>
      </c>
      <c r="I583" t="s">
        <v>45</v>
      </c>
      <c r="K583" t="s">
        <v>797</v>
      </c>
      <c r="L583">
        <v>1713305728950</v>
      </c>
      <c r="M583">
        <v>20250415</v>
      </c>
      <c r="N583" t="s">
        <v>195</v>
      </c>
      <c r="Q583" t="s">
        <v>47</v>
      </c>
      <c r="R583">
        <v>210542.65</v>
      </c>
      <c r="S583">
        <v>210542.65</v>
      </c>
      <c r="T583">
        <v>572895</v>
      </c>
      <c r="U583">
        <v>4161600723</v>
      </c>
      <c r="V583" t="s">
        <v>199</v>
      </c>
      <c r="W583" t="s">
        <v>49</v>
      </c>
      <c r="X583" t="s">
        <v>200</v>
      </c>
      <c r="Y583" t="s">
        <v>51</v>
      </c>
      <c r="Z583">
        <v>1903</v>
      </c>
      <c r="AH583">
        <v>0</v>
      </c>
      <c r="AI583">
        <v>202504</v>
      </c>
      <c r="AJ583" t="s">
        <v>56</v>
      </c>
      <c r="AK583">
        <v>0</v>
      </c>
      <c r="AL583">
        <v>1</v>
      </c>
      <c r="AM583">
        <v>572895</v>
      </c>
      <c r="AN583">
        <v>1</v>
      </c>
      <c r="AO583">
        <v>0</v>
      </c>
      <c r="AP583" t="s">
        <v>3015</v>
      </c>
      <c r="AQ583" t="s">
        <v>3012</v>
      </c>
      <c r="AR583" t="s">
        <v>3016</v>
      </c>
      <c r="AT583" t="s">
        <v>3017</v>
      </c>
      <c r="AU583" t="s">
        <v>3018</v>
      </c>
    </row>
    <row r="584" spans="1:47" x14ac:dyDescent="0.35">
      <c r="A584">
        <v>337281</v>
      </c>
      <c r="B584" t="s">
        <v>178</v>
      </c>
      <c r="C584" t="s">
        <v>179</v>
      </c>
      <c r="D584" s="2">
        <v>45763</v>
      </c>
      <c r="E584">
        <v>53850</v>
      </c>
      <c r="F584">
        <v>120</v>
      </c>
      <c r="G584" t="s">
        <v>411</v>
      </c>
      <c r="H584" t="s">
        <v>167</v>
      </c>
      <c r="I584" t="s">
        <v>45</v>
      </c>
      <c r="K584">
        <v>202504157898898</v>
      </c>
      <c r="L584">
        <v>1203300002401</v>
      </c>
      <c r="M584">
        <v>20250415</v>
      </c>
      <c r="N584" t="s">
        <v>236</v>
      </c>
      <c r="P584" t="s">
        <v>51</v>
      </c>
      <c r="Q584" t="s">
        <v>170</v>
      </c>
      <c r="R584">
        <v>929375.16</v>
      </c>
      <c r="S584">
        <v>0</v>
      </c>
      <c r="T584">
        <v>613876</v>
      </c>
      <c r="U584">
        <v>574290722</v>
      </c>
      <c r="V584" t="s">
        <v>545</v>
      </c>
      <c r="W584" t="s">
        <v>546</v>
      </c>
      <c r="X584" t="s">
        <v>421</v>
      </c>
      <c r="Y584" t="s">
        <v>51</v>
      </c>
      <c r="Z584">
        <v>1058</v>
      </c>
      <c r="AH584">
        <v>0</v>
      </c>
      <c r="AI584">
        <v>202504</v>
      </c>
      <c r="AJ584" t="s">
        <v>56</v>
      </c>
      <c r="AK584">
        <v>0</v>
      </c>
      <c r="AL584">
        <v>1</v>
      </c>
      <c r="AM584">
        <v>613876</v>
      </c>
      <c r="AN584">
        <v>1</v>
      </c>
      <c r="AO584">
        <v>0</v>
      </c>
      <c r="AP584" t="s">
        <v>3015</v>
      </c>
      <c r="AQ584" t="s">
        <v>3076</v>
      </c>
      <c r="AR584" t="s">
        <v>3077</v>
      </c>
      <c r="AT584" t="s">
        <v>3017</v>
      </c>
      <c r="AU584" t="s">
        <v>3014</v>
      </c>
    </row>
    <row r="585" spans="1:47" x14ac:dyDescent="0.35">
      <c r="A585">
        <v>337280</v>
      </c>
      <c r="B585" t="s">
        <v>178</v>
      </c>
      <c r="C585" t="s">
        <v>179</v>
      </c>
      <c r="D585" s="2">
        <v>45763</v>
      </c>
      <c r="E585">
        <v>53850</v>
      </c>
      <c r="F585">
        <v>164</v>
      </c>
      <c r="G585" t="s">
        <v>651</v>
      </c>
      <c r="H585" t="s">
        <v>167</v>
      </c>
      <c r="I585" t="s">
        <v>45</v>
      </c>
      <c r="K585">
        <v>202504157899790</v>
      </c>
      <c r="L585">
        <v>1645500369067</v>
      </c>
      <c r="M585">
        <v>20250415</v>
      </c>
      <c r="N585" t="s">
        <v>808</v>
      </c>
      <c r="Q585" t="s">
        <v>47</v>
      </c>
      <c r="R585">
        <v>205000</v>
      </c>
      <c r="S585">
        <v>0</v>
      </c>
      <c r="T585">
        <v>812017</v>
      </c>
      <c r="U585" t="s">
        <v>795</v>
      </c>
      <c r="V585" t="s">
        <v>796</v>
      </c>
      <c r="W585" t="s">
        <v>187</v>
      </c>
      <c r="Y585" t="s">
        <v>51</v>
      </c>
      <c r="Z585">
        <v>789</v>
      </c>
      <c r="AH585">
        <v>0</v>
      </c>
      <c r="AI585">
        <v>202504</v>
      </c>
      <c r="AJ585" t="s">
        <v>56</v>
      </c>
      <c r="AK585">
        <v>0</v>
      </c>
      <c r="AL585">
        <v>1</v>
      </c>
      <c r="AO585">
        <v>0</v>
      </c>
      <c r="AP585" t="s">
        <v>3015</v>
      </c>
      <c r="AQ585" t="s">
        <v>3044</v>
      </c>
      <c r="AR585" t="s">
        <v>3045</v>
      </c>
      <c r="AS585" t="s">
        <v>3046</v>
      </c>
      <c r="AU585" t="s">
        <v>3046</v>
      </c>
    </row>
    <row r="586" spans="1:47" x14ac:dyDescent="0.35">
      <c r="A586">
        <v>337279</v>
      </c>
      <c r="B586" t="s">
        <v>193</v>
      </c>
      <c r="C586" t="s">
        <v>194</v>
      </c>
      <c r="D586" s="2">
        <v>45763</v>
      </c>
      <c r="E586">
        <v>53850</v>
      </c>
      <c r="F586">
        <v>102</v>
      </c>
      <c r="G586" t="s">
        <v>151</v>
      </c>
      <c r="H586" t="s">
        <v>167</v>
      </c>
      <c r="I586" t="s">
        <v>45</v>
      </c>
      <c r="K586" t="s">
        <v>797</v>
      </c>
      <c r="L586">
        <v>1023308722503</v>
      </c>
      <c r="M586">
        <v>20250415</v>
      </c>
      <c r="N586" t="s">
        <v>195</v>
      </c>
      <c r="Q586" t="s">
        <v>47</v>
      </c>
      <c r="R586">
        <v>36100</v>
      </c>
      <c r="S586">
        <v>36100</v>
      </c>
      <c r="T586">
        <v>413650</v>
      </c>
      <c r="U586">
        <v>3657230722</v>
      </c>
      <c r="V586" t="s">
        <v>196</v>
      </c>
      <c r="W586" t="s">
        <v>190</v>
      </c>
      <c r="X586" t="s">
        <v>197</v>
      </c>
      <c r="Y586" t="s">
        <v>51</v>
      </c>
      <c r="Z586">
        <v>1306</v>
      </c>
      <c r="AH586">
        <v>0</v>
      </c>
      <c r="AI586">
        <v>202504</v>
      </c>
      <c r="AJ586" t="s">
        <v>56</v>
      </c>
      <c r="AK586">
        <v>0</v>
      </c>
      <c r="AL586">
        <v>1</v>
      </c>
      <c r="AM586">
        <v>413650</v>
      </c>
      <c r="AN586">
        <v>1</v>
      </c>
      <c r="AO586">
        <v>0</v>
      </c>
      <c r="AP586" t="s">
        <v>3050</v>
      </c>
      <c r="AQ586" t="s">
        <v>3047</v>
      </c>
      <c r="AR586" t="s">
        <v>3051</v>
      </c>
      <c r="AS586" t="s">
        <v>3049</v>
      </c>
      <c r="AU586" t="s">
        <v>3049</v>
      </c>
    </row>
    <row r="587" spans="1:47" x14ac:dyDescent="0.35">
      <c r="A587">
        <v>337278</v>
      </c>
      <c r="B587" t="s">
        <v>193</v>
      </c>
      <c r="C587" t="s">
        <v>194</v>
      </c>
      <c r="D587" s="2">
        <v>45763</v>
      </c>
      <c r="E587">
        <v>53850</v>
      </c>
      <c r="F587">
        <v>114</v>
      </c>
      <c r="G587" t="s">
        <v>188</v>
      </c>
      <c r="H587" t="s">
        <v>167</v>
      </c>
      <c r="I587" t="s">
        <v>45</v>
      </c>
      <c r="K587" t="s">
        <v>797</v>
      </c>
      <c r="L587">
        <v>1143306285135</v>
      </c>
      <c r="M587">
        <v>20250415</v>
      </c>
      <c r="N587" t="s">
        <v>175</v>
      </c>
      <c r="Q587" t="s">
        <v>47</v>
      </c>
      <c r="R587">
        <v>30300</v>
      </c>
      <c r="S587">
        <v>15300</v>
      </c>
      <c r="T587">
        <v>3730898</v>
      </c>
      <c r="U587" t="s">
        <v>835</v>
      </c>
      <c r="V587" t="s">
        <v>836</v>
      </c>
      <c r="W587" t="s">
        <v>69</v>
      </c>
      <c r="X587" t="s">
        <v>131</v>
      </c>
      <c r="Y587" t="s">
        <v>51</v>
      </c>
      <c r="Z587">
        <v>869</v>
      </c>
      <c r="AH587">
        <v>0</v>
      </c>
      <c r="AI587">
        <v>202504</v>
      </c>
      <c r="AJ587" t="s">
        <v>56</v>
      </c>
      <c r="AK587">
        <v>0</v>
      </c>
      <c r="AL587">
        <v>1</v>
      </c>
      <c r="AM587">
        <v>3730898</v>
      </c>
      <c r="AN587">
        <v>1</v>
      </c>
      <c r="AO587">
        <v>1</v>
      </c>
      <c r="AP587" t="s">
        <v>3033</v>
      </c>
      <c r="AQ587" t="s">
        <v>3021</v>
      </c>
      <c r="AR587" t="s">
        <v>3054</v>
      </c>
      <c r="AS587" t="s">
        <v>3055</v>
      </c>
      <c r="AU587" t="s">
        <v>3055</v>
      </c>
    </row>
    <row r="588" spans="1:47" x14ac:dyDescent="0.35">
      <c r="A588">
        <v>337277</v>
      </c>
      <c r="B588" t="s">
        <v>172</v>
      </c>
      <c r="C588" t="s">
        <v>173</v>
      </c>
      <c r="D588" s="2">
        <v>45763</v>
      </c>
      <c r="E588">
        <v>53850</v>
      </c>
      <c r="F588">
        <v>102</v>
      </c>
      <c r="G588" t="s">
        <v>151</v>
      </c>
      <c r="H588" t="s">
        <v>167</v>
      </c>
      <c r="I588" t="s">
        <v>45</v>
      </c>
      <c r="K588" t="s">
        <v>797</v>
      </c>
      <c r="L588">
        <v>1023300660520</v>
      </c>
      <c r="M588">
        <v>20250415</v>
      </c>
      <c r="N588" t="s">
        <v>175</v>
      </c>
      <c r="Q588" t="s">
        <v>47</v>
      </c>
      <c r="R588">
        <v>139257.79999999999</v>
      </c>
      <c r="S588">
        <v>3740</v>
      </c>
      <c r="T588">
        <v>66052</v>
      </c>
      <c r="U588">
        <v>398110726</v>
      </c>
      <c r="V588" t="s">
        <v>426</v>
      </c>
      <c r="W588" t="s">
        <v>49</v>
      </c>
      <c r="X588" t="s">
        <v>59</v>
      </c>
      <c r="Y588" t="s">
        <v>51</v>
      </c>
      <c r="Z588">
        <v>1203</v>
      </c>
      <c r="AH588">
        <v>0</v>
      </c>
      <c r="AI588">
        <v>202504</v>
      </c>
      <c r="AJ588" t="s">
        <v>119</v>
      </c>
      <c r="AK588">
        <v>1</v>
      </c>
      <c r="AL588">
        <v>1</v>
      </c>
      <c r="AM588">
        <v>66052</v>
      </c>
      <c r="AN588">
        <v>1</v>
      </c>
      <c r="AO588">
        <v>1</v>
      </c>
      <c r="AP588" t="s">
        <v>3015</v>
      </c>
      <c r="AQ588" t="s">
        <v>3012</v>
      </c>
      <c r="AR588" t="s">
        <v>3016</v>
      </c>
      <c r="AT588" t="s">
        <v>3017</v>
      </c>
      <c r="AU588" t="s">
        <v>3018</v>
      </c>
    </row>
    <row r="589" spans="1:47" x14ac:dyDescent="0.35">
      <c r="A589">
        <v>337276</v>
      </c>
      <c r="B589" t="s">
        <v>164</v>
      </c>
      <c r="C589" t="s">
        <v>165</v>
      </c>
      <c r="D589" s="2">
        <v>45763</v>
      </c>
      <c r="E589">
        <v>53850</v>
      </c>
      <c r="F589">
        <v>259</v>
      </c>
      <c r="G589" t="s">
        <v>361</v>
      </c>
      <c r="H589" t="s">
        <v>167</v>
      </c>
      <c r="I589" t="s">
        <v>45</v>
      </c>
      <c r="K589" t="s">
        <v>837</v>
      </c>
      <c r="L589">
        <v>2593300000648</v>
      </c>
      <c r="M589">
        <v>20250415</v>
      </c>
      <c r="N589" t="s">
        <v>168</v>
      </c>
      <c r="P589" t="s">
        <v>255</v>
      </c>
      <c r="Q589" t="s">
        <v>170</v>
      </c>
      <c r="R589">
        <v>2900</v>
      </c>
      <c r="S589">
        <v>0</v>
      </c>
      <c r="T589">
        <v>4905728</v>
      </c>
      <c r="U589">
        <v>8154630720</v>
      </c>
      <c r="V589" t="s">
        <v>838</v>
      </c>
      <c r="W589" t="s">
        <v>49</v>
      </c>
      <c r="X589" t="s">
        <v>839</v>
      </c>
      <c r="Y589" t="s">
        <v>51</v>
      </c>
      <c r="Z589">
        <v>1578</v>
      </c>
      <c r="AH589">
        <v>0</v>
      </c>
      <c r="AI589">
        <v>202504</v>
      </c>
      <c r="AJ589" t="s">
        <v>56</v>
      </c>
      <c r="AK589">
        <v>0</v>
      </c>
      <c r="AL589">
        <v>1</v>
      </c>
      <c r="AO589">
        <v>0</v>
      </c>
      <c r="AP589" t="s">
        <v>3015</v>
      </c>
      <c r="AQ589" t="s">
        <v>3012</v>
      </c>
      <c r="AR589" t="s">
        <v>3016</v>
      </c>
      <c r="AT589" t="s">
        <v>3017</v>
      </c>
      <c r="AU589" t="s">
        <v>3018</v>
      </c>
    </row>
    <row r="590" spans="1:47" x14ac:dyDescent="0.35">
      <c r="A590">
        <v>337275</v>
      </c>
      <c r="B590" t="s">
        <v>178</v>
      </c>
      <c r="C590" t="s">
        <v>179</v>
      </c>
      <c r="D590" s="2">
        <v>45763</v>
      </c>
      <c r="E590">
        <v>53850</v>
      </c>
      <c r="F590">
        <v>261</v>
      </c>
      <c r="G590" t="s">
        <v>136</v>
      </c>
      <c r="H590" t="s">
        <v>167</v>
      </c>
      <c r="I590" t="s">
        <v>45</v>
      </c>
      <c r="K590">
        <v>202504157901699</v>
      </c>
      <c r="L590">
        <v>2613300000555</v>
      </c>
      <c r="M590">
        <v>20250415</v>
      </c>
      <c r="N590" t="s">
        <v>46</v>
      </c>
      <c r="P590" t="s">
        <v>51</v>
      </c>
      <c r="Q590" t="s">
        <v>47</v>
      </c>
      <c r="R590">
        <v>304798.26</v>
      </c>
      <c r="S590">
        <v>0</v>
      </c>
      <c r="T590">
        <v>1615499</v>
      </c>
      <c r="U590" t="s">
        <v>840</v>
      </c>
      <c r="V590" t="s">
        <v>841</v>
      </c>
      <c r="W590" t="s">
        <v>187</v>
      </c>
      <c r="Y590" t="s">
        <v>51</v>
      </c>
      <c r="Z590">
        <v>1776</v>
      </c>
      <c r="AH590">
        <v>0</v>
      </c>
      <c r="AI590">
        <v>202504</v>
      </c>
      <c r="AJ590" t="s">
        <v>52</v>
      </c>
      <c r="AK590">
        <v>0</v>
      </c>
      <c r="AL590">
        <v>1</v>
      </c>
      <c r="AO590">
        <v>0</v>
      </c>
      <c r="AP590" t="s">
        <v>3015</v>
      </c>
      <c r="AQ590" t="s">
        <v>3044</v>
      </c>
      <c r="AR590" t="s">
        <v>3045</v>
      </c>
      <c r="AS590" t="s">
        <v>3046</v>
      </c>
      <c r="AU590" t="s">
        <v>3046</v>
      </c>
    </row>
    <row r="591" spans="1:47" x14ac:dyDescent="0.35">
      <c r="A591">
        <v>337274</v>
      </c>
      <c r="B591" t="s">
        <v>178</v>
      </c>
      <c r="C591" t="s">
        <v>179</v>
      </c>
      <c r="D591" s="2">
        <v>45763</v>
      </c>
      <c r="E591">
        <v>53850</v>
      </c>
      <c r="F591">
        <v>164</v>
      </c>
      <c r="G591" t="s">
        <v>651</v>
      </c>
      <c r="H591" t="s">
        <v>167</v>
      </c>
      <c r="I591" t="s">
        <v>45</v>
      </c>
      <c r="K591">
        <v>202504157901537</v>
      </c>
      <c r="L591">
        <v>1645500369067</v>
      </c>
      <c r="M591">
        <v>20250415</v>
      </c>
      <c r="N591" t="s">
        <v>794</v>
      </c>
      <c r="Q591" t="s">
        <v>170</v>
      </c>
      <c r="R591">
        <v>205000</v>
      </c>
      <c r="S591">
        <v>0</v>
      </c>
      <c r="T591">
        <v>812018</v>
      </c>
      <c r="U591" t="s">
        <v>809</v>
      </c>
      <c r="V591" t="s">
        <v>810</v>
      </c>
      <c r="W591" t="s">
        <v>187</v>
      </c>
      <c r="Y591" t="s">
        <v>51</v>
      </c>
      <c r="Z591">
        <v>789</v>
      </c>
      <c r="AH591">
        <v>0</v>
      </c>
      <c r="AI591">
        <v>202504</v>
      </c>
      <c r="AJ591" t="s">
        <v>56</v>
      </c>
      <c r="AK591">
        <v>0</v>
      </c>
      <c r="AL591">
        <v>1</v>
      </c>
      <c r="AO591">
        <v>0</v>
      </c>
      <c r="AP591" t="s">
        <v>3015</v>
      </c>
      <c r="AQ591" t="s">
        <v>3044</v>
      </c>
      <c r="AR591" t="s">
        <v>3045</v>
      </c>
      <c r="AS591" t="s">
        <v>3046</v>
      </c>
      <c r="AU591" t="s">
        <v>3046</v>
      </c>
    </row>
    <row r="592" spans="1:47" x14ac:dyDescent="0.35">
      <c r="A592">
        <v>337273</v>
      </c>
      <c r="B592" t="s">
        <v>193</v>
      </c>
      <c r="C592" t="s">
        <v>194</v>
      </c>
      <c r="D592" s="2">
        <v>45763</v>
      </c>
      <c r="E592">
        <v>53850</v>
      </c>
      <c r="F592">
        <v>161</v>
      </c>
      <c r="G592" t="s">
        <v>111</v>
      </c>
      <c r="H592" t="s">
        <v>167</v>
      </c>
      <c r="I592" t="s">
        <v>45</v>
      </c>
      <c r="K592" t="s">
        <v>797</v>
      </c>
      <c r="L592">
        <v>1613300031333</v>
      </c>
      <c r="M592">
        <v>20250415</v>
      </c>
      <c r="N592" t="s">
        <v>175</v>
      </c>
      <c r="Q592" t="s">
        <v>47</v>
      </c>
      <c r="R592">
        <v>38003.5</v>
      </c>
      <c r="S592">
        <v>34300</v>
      </c>
      <c r="T592">
        <v>511904</v>
      </c>
      <c r="U592" t="s">
        <v>388</v>
      </c>
      <c r="V592" t="s">
        <v>389</v>
      </c>
      <c r="W592" t="s">
        <v>69</v>
      </c>
      <c r="X592" t="s">
        <v>55</v>
      </c>
      <c r="Y592" t="s">
        <v>51</v>
      </c>
      <c r="Z592">
        <v>857</v>
      </c>
      <c r="AH592">
        <v>0</v>
      </c>
      <c r="AI592">
        <v>202504</v>
      </c>
      <c r="AJ592" t="s">
        <v>56</v>
      </c>
      <c r="AK592">
        <v>0</v>
      </c>
      <c r="AL592">
        <v>1</v>
      </c>
      <c r="AM592">
        <v>511904</v>
      </c>
      <c r="AN592">
        <v>1</v>
      </c>
      <c r="AO592">
        <v>1</v>
      </c>
      <c r="AP592" t="s">
        <v>3015</v>
      </c>
      <c r="AQ592" t="s">
        <v>3021</v>
      </c>
      <c r="AR592" t="s">
        <v>3022</v>
      </c>
      <c r="AT592" t="s">
        <v>3017</v>
      </c>
      <c r="AU592" t="s">
        <v>3014</v>
      </c>
    </row>
    <row r="593" spans="1:47" x14ac:dyDescent="0.35">
      <c r="A593">
        <v>337272</v>
      </c>
      <c r="B593" t="s">
        <v>178</v>
      </c>
      <c r="C593" t="s">
        <v>179</v>
      </c>
      <c r="D593" s="2">
        <v>45763</v>
      </c>
      <c r="E593">
        <v>53850</v>
      </c>
      <c r="F593">
        <v>121</v>
      </c>
      <c r="G593" t="s">
        <v>140</v>
      </c>
      <c r="H593" t="s">
        <v>167</v>
      </c>
      <c r="I593" t="s">
        <v>45</v>
      </c>
      <c r="K593" t="s">
        <v>830</v>
      </c>
      <c r="L593">
        <v>1213300001148</v>
      </c>
      <c r="M593">
        <v>20250415</v>
      </c>
      <c r="N593" t="s">
        <v>3136</v>
      </c>
      <c r="Q593" t="s">
        <v>170</v>
      </c>
      <c r="R593">
        <v>2326.5700000000002</v>
      </c>
      <c r="S593">
        <v>0</v>
      </c>
      <c r="T593">
        <v>621271</v>
      </c>
      <c r="U593" t="s">
        <v>842</v>
      </c>
      <c r="V593" t="s">
        <v>843</v>
      </c>
      <c r="W593" t="s">
        <v>187</v>
      </c>
      <c r="Y593" t="s">
        <v>51</v>
      </c>
      <c r="AH593">
        <v>0</v>
      </c>
      <c r="AI593">
        <v>202504</v>
      </c>
      <c r="AJ593" t="s">
        <v>52</v>
      </c>
      <c r="AK593">
        <v>0</v>
      </c>
      <c r="AL593">
        <v>1</v>
      </c>
      <c r="AO593">
        <v>1</v>
      </c>
      <c r="AP593" t="s">
        <v>3015</v>
      </c>
      <c r="AQ593" t="s">
        <v>3044</v>
      </c>
      <c r="AR593" t="s">
        <v>3045</v>
      </c>
      <c r="AS593" t="s">
        <v>3046</v>
      </c>
      <c r="AU593" t="s">
        <v>3046</v>
      </c>
    </row>
    <row r="594" spans="1:47" x14ac:dyDescent="0.35">
      <c r="A594">
        <v>337271</v>
      </c>
      <c r="B594" t="s">
        <v>178</v>
      </c>
      <c r="C594" t="s">
        <v>179</v>
      </c>
      <c r="D594" s="2">
        <v>45763</v>
      </c>
      <c r="E594">
        <v>53850</v>
      </c>
      <c r="F594">
        <v>102</v>
      </c>
      <c r="G594" t="s">
        <v>151</v>
      </c>
      <c r="H594" t="s">
        <v>167</v>
      </c>
      <c r="I594" t="s">
        <v>45</v>
      </c>
      <c r="K594">
        <v>202504157899557</v>
      </c>
      <c r="L594">
        <v>1023308719190</v>
      </c>
      <c r="M594">
        <v>20250415</v>
      </c>
      <c r="N594" t="s">
        <v>46</v>
      </c>
      <c r="P594" t="s">
        <v>51</v>
      </c>
      <c r="Q594" t="s">
        <v>47</v>
      </c>
      <c r="R594">
        <v>1554410.45</v>
      </c>
      <c r="S594">
        <v>0</v>
      </c>
      <c r="T594">
        <v>4233192</v>
      </c>
      <c r="U594">
        <v>4107060966</v>
      </c>
      <c r="V594" t="s">
        <v>802</v>
      </c>
      <c r="W594" t="s">
        <v>803</v>
      </c>
      <c r="X594" t="s">
        <v>210</v>
      </c>
      <c r="Y594" t="s">
        <v>51</v>
      </c>
      <c r="Z594">
        <v>739</v>
      </c>
      <c r="AH594">
        <v>0</v>
      </c>
      <c r="AI594">
        <v>202504</v>
      </c>
      <c r="AJ594" t="s">
        <v>86</v>
      </c>
      <c r="AK594">
        <v>1</v>
      </c>
      <c r="AL594">
        <v>1</v>
      </c>
      <c r="AO594">
        <v>0</v>
      </c>
      <c r="AP594" t="s">
        <v>3015</v>
      </c>
      <c r="AQ594" t="s">
        <v>3088</v>
      </c>
      <c r="AR594" t="s">
        <v>3089</v>
      </c>
      <c r="AT594" t="s">
        <v>3017</v>
      </c>
      <c r="AU594" t="s">
        <v>3037</v>
      </c>
    </row>
    <row r="595" spans="1:47" x14ac:dyDescent="0.35">
      <c r="A595">
        <v>337270</v>
      </c>
      <c r="B595" t="s">
        <v>164</v>
      </c>
      <c r="C595" t="s">
        <v>165</v>
      </c>
      <c r="D595" s="2">
        <v>45763</v>
      </c>
      <c r="E595">
        <v>53850</v>
      </c>
      <c r="F595">
        <v>129</v>
      </c>
      <c r="G595" t="s">
        <v>227</v>
      </c>
      <c r="H595" t="s">
        <v>167</v>
      </c>
      <c r="I595" t="s">
        <v>45</v>
      </c>
      <c r="K595">
        <v>202504157900073</v>
      </c>
      <c r="L595">
        <v>1293300002811</v>
      </c>
      <c r="M595">
        <v>20250415</v>
      </c>
      <c r="N595" t="s">
        <v>168</v>
      </c>
      <c r="P595" t="s">
        <v>169</v>
      </c>
      <c r="Q595" t="s">
        <v>47</v>
      </c>
      <c r="R595">
        <v>19104.88</v>
      </c>
      <c r="S595">
        <v>0</v>
      </c>
      <c r="T595">
        <v>4972184</v>
      </c>
      <c r="U595">
        <v>7780290727</v>
      </c>
      <c r="V595" t="s">
        <v>720</v>
      </c>
      <c r="W595" t="s">
        <v>49</v>
      </c>
      <c r="X595" t="s">
        <v>721</v>
      </c>
      <c r="Y595" t="s">
        <v>51</v>
      </c>
      <c r="Z595">
        <v>1058</v>
      </c>
      <c r="AH595">
        <v>0</v>
      </c>
      <c r="AI595">
        <v>202504</v>
      </c>
      <c r="AJ595" t="s">
        <v>52</v>
      </c>
      <c r="AK595">
        <v>0</v>
      </c>
      <c r="AL595">
        <v>1</v>
      </c>
      <c r="AO595">
        <v>0</v>
      </c>
      <c r="AP595" t="s">
        <v>3015</v>
      </c>
      <c r="AQ595" t="s">
        <v>3012</v>
      </c>
      <c r="AR595" t="s">
        <v>3016</v>
      </c>
      <c r="AT595" t="s">
        <v>3017</v>
      </c>
      <c r="AU595" t="s">
        <v>3018</v>
      </c>
    </row>
    <row r="596" spans="1:47" x14ac:dyDescent="0.35">
      <c r="A596">
        <v>337269</v>
      </c>
      <c r="B596" t="s">
        <v>172</v>
      </c>
      <c r="C596" t="s">
        <v>173</v>
      </c>
      <c r="D596" s="2">
        <v>45763</v>
      </c>
      <c r="E596">
        <v>53850</v>
      </c>
      <c r="F596">
        <v>161</v>
      </c>
      <c r="G596" t="s">
        <v>111</v>
      </c>
      <c r="H596" t="s">
        <v>167</v>
      </c>
      <c r="I596" t="s">
        <v>45</v>
      </c>
      <c r="K596" t="s">
        <v>797</v>
      </c>
      <c r="L596">
        <v>1613300029653</v>
      </c>
      <c r="M596">
        <v>20250415</v>
      </c>
      <c r="N596" t="s">
        <v>175</v>
      </c>
      <c r="Q596" t="s">
        <v>47</v>
      </c>
      <c r="R596">
        <v>148758.49</v>
      </c>
      <c r="S596">
        <v>0</v>
      </c>
      <c r="T596">
        <v>4088769</v>
      </c>
      <c r="U596">
        <v>5150120722</v>
      </c>
      <c r="V596" t="s">
        <v>270</v>
      </c>
      <c r="W596" t="s">
        <v>49</v>
      </c>
      <c r="X596" t="s">
        <v>110</v>
      </c>
      <c r="Y596" t="s">
        <v>51</v>
      </c>
      <c r="Z596">
        <v>1903</v>
      </c>
      <c r="AH596">
        <v>0</v>
      </c>
      <c r="AI596">
        <v>202504</v>
      </c>
      <c r="AJ596" t="s">
        <v>56</v>
      </c>
      <c r="AK596">
        <v>0</v>
      </c>
      <c r="AL596">
        <v>1</v>
      </c>
      <c r="AM596">
        <v>4088769</v>
      </c>
      <c r="AN596">
        <v>1</v>
      </c>
      <c r="AO596">
        <v>1</v>
      </c>
      <c r="AP596" t="s">
        <v>3026</v>
      </c>
      <c r="AQ596" t="s">
        <v>3012</v>
      </c>
      <c r="AR596" t="s">
        <v>3027</v>
      </c>
      <c r="AS596" t="s">
        <v>3028</v>
      </c>
      <c r="AU596" t="s">
        <v>3028</v>
      </c>
    </row>
    <row r="597" spans="1:47" x14ac:dyDescent="0.35">
      <c r="A597">
        <v>337268</v>
      </c>
      <c r="B597" t="s">
        <v>164</v>
      </c>
      <c r="C597" t="s">
        <v>165</v>
      </c>
      <c r="D597" s="2">
        <v>45763</v>
      </c>
      <c r="E597">
        <v>53850</v>
      </c>
      <c r="F597">
        <v>148</v>
      </c>
      <c r="G597" t="s">
        <v>78</v>
      </c>
      <c r="H597" t="s">
        <v>167</v>
      </c>
      <c r="I597" t="s">
        <v>45</v>
      </c>
      <c r="K597" t="s">
        <v>844</v>
      </c>
      <c r="L597">
        <v>1483300003580</v>
      </c>
      <c r="M597">
        <v>20250415</v>
      </c>
      <c r="N597" t="s">
        <v>168</v>
      </c>
      <c r="P597" t="s">
        <v>169</v>
      </c>
      <c r="Q597" t="s">
        <v>47</v>
      </c>
      <c r="R597">
        <v>1500</v>
      </c>
      <c r="S597">
        <v>0</v>
      </c>
      <c r="T597">
        <v>4771374</v>
      </c>
      <c r="U597" t="s">
        <v>845</v>
      </c>
      <c r="V597" t="s">
        <v>846</v>
      </c>
      <c r="W597" t="s">
        <v>187</v>
      </c>
      <c r="Y597" t="s">
        <v>51</v>
      </c>
      <c r="Z597">
        <v>1064</v>
      </c>
      <c r="AH597">
        <v>0</v>
      </c>
      <c r="AI597">
        <v>202504</v>
      </c>
      <c r="AJ597" t="s">
        <v>56</v>
      </c>
      <c r="AK597">
        <v>0</v>
      </c>
      <c r="AL597">
        <v>1</v>
      </c>
      <c r="AO597">
        <v>0</v>
      </c>
      <c r="AP597" t="s">
        <v>3015</v>
      </c>
      <c r="AQ597" t="s">
        <v>3044</v>
      </c>
      <c r="AR597" t="s">
        <v>3045</v>
      </c>
      <c r="AS597" t="s">
        <v>3046</v>
      </c>
      <c r="AU597" t="s">
        <v>3046</v>
      </c>
    </row>
    <row r="598" spans="1:47" x14ac:dyDescent="0.35">
      <c r="A598">
        <v>337267</v>
      </c>
      <c r="B598" t="s">
        <v>164</v>
      </c>
      <c r="C598" t="s">
        <v>165</v>
      </c>
      <c r="D598" s="2">
        <v>45763</v>
      </c>
      <c r="E598">
        <v>53850</v>
      </c>
      <c r="F598">
        <v>119</v>
      </c>
      <c r="G598" t="s">
        <v>207</v>
      </c>
      <c r="H598" t="s">
        <v>167</v>
      </c>
      <c r="I598" t="s">
        <v>45</v>
      </c>
      <c r="K598" t="s">
        <v>847</v>
      </c>
      <c r="L598">
        <v>1193308875001</v>
      </c>
      <c r="M598">
        <v>20250415</v>
      </c>
      <c r="N598" t="s">
        <v>168</v>
      </c>
      <c r="P598" t="s">
        <v>255</v>
      </c>
      <c r="Q598" t="s">
        <v>47</v>
      </c>
      <c r="R598">
        <v>2800</v>
      </c>
      <c r="S598">
        <v>0</v>
      </c>
      <c r="T598">
        <v>4926288</v>
      </c>
      <c r="U598" t="s">
        <v>848</v>
      </c>
      <c r="V598" t="s">
        <v>849</v>
      </c>
      <c r="W598" t="s">
        <v>69</v>
      </c>
      <c r="X598" t="s">
        <v>850</v>
      </c>
      <c r="Y598" t="s">
        <v>51</v>
      </c>
      <c r="Z598">
        <v>656</v>
      </c>
      <c r="AH598">
        <v>0</v>
      </c>
      <c r="AI598">
        <v>202504</v>
      </c>
      <c r="AJ598" t="s">
        <v>56</v>
      </c>
      <c r="AK598">
        <v>0</v>
      </c>
      <c r="AL598">
        <v>1</v>
      </c>
      <c r="AO598">
        <v>0</v>
      </c>
      <c r="AP598" t="s">
        <v>3015</v>
      </c>
      <c r="AQ598" t="s">
        <v>3021</v>
      </c>
      <c r="AR598" t="s">
        <v>3022</v>
      </c>
      <c r="AT598" t="s">
        <v>3017</v>
      </c>
      <c r="AU598" t="s">
        <v>3014</v>
      </c>
    </row>
    <row r="599" spans="1:47" x14ac:dyDescent="0.35">
      <c r="A599">
        <v>337266</v>
      </c>
      <c r="B599" t="s">
        <v>178</v>
      </c>
      <c r="C599" t="s">
        <v>179</v>
      </c>
      <c r="D599" s="2">
        <v>45763</v>
      </c>
      <c r="E599">
        <v>53850</v>
      </c>
      <c r="F599">
        <v>164</v>
      </c>
      <c r="G599" t="s">
        <v>651</v>
      </c>
      <c r="H599" t="s">
        <v>167</v>
      </c>
      <c r="I599" t="s">
        <v>45</v>
      </c>
      <c r="K599">
        <v>202504157899791</v>
      </c>
      <c r="L599">
        <v>1645500369067</v>
      </c>
      <c r="M599">
        <v>20250415</v>
      </c>
      <c r="N599" t="s">
        <v>46</v>
      </c>
      <c r="P599" t="s">
        <v>51</v>
      </c>
      <c r="Q599" t="s">
        <v>47</v>
      </c>
      <c r="R599">
        <v>205000</v>
      </c>
      <c r="S599">
        <v>0</v>
      </c>
      <c r="T599">
        <v>812018</v>
      </c>
      <c r="U599" t="s">
        <v>809</v>
      </c>
      <c r="V599" t="s">
        <v>810</v>
      </c>
      <c r="W599" t="s">
        <v>187</v>
      </c>
      <c r="Y599" t="s">
        <v>51</v>
      </c>
      <c r="Z599">
        <v>789</v>
      </c>
      <c r="AH599">
        <v>0</v>
      </c>
      <c r="AI599">
        <v>202504</v>
      </c>
      <c r="AJ599" t="s">
        <v>56</v>
      </c>
      <c r="AK599">
        <v>0</v>
      </c>
      <c r="AL599">
        <v>1</v>
      </c>
      <c r="AO599">
        <v>0</v>
      </c>
      <c r="AP599" t="s">
        <v>3015</v>
      </c>
      <c r="AQ599" t="s">
        <v>3044</v>
      </c>
      <c r="AR599" t="s">
        <v>3045</v>
      </c>
      <c r="AS599" t="s">
        <v>3046</v>
      </c>
      <c r="AU599" t="s">
        <v>3046</v>
      </c>
    </row>
    <row r="600" spans="1:47" x14ac:dyDescent="0.35">
      <c r="A600">
        <v>337265</v>
      </c>
      <c r="B600" t="s">
        <v>164</v>
      </c>
      <c r="C600" t="s">
        <v>165</v>
      </c>
      <c r="D600" s="2">
        <v>45763</v>
      </c>
      <c r="E600">
        <v>53850</v>
      </c>
      <c r="F600">
        <v>145</v>
      </c>
      <c r="G600" t="s">
        <v>115</v>
      </c>
      <c r="H600" t="s">
        <v>167</v>
      </c>
      <c r="I600" t="s">
        <v>45</v>
      </c>
      <c r="K600">
        <v>202504157899952</v>
      </c>
      <c r="L600">
        <v>1453300003997</v>
      </c>
      <c r="M600">
        <v>20250415</v>
      </c>
      <c r="N600" t="s">
        <v>168</v>
      </c>
      <c r="P600" t="s">
        <v>255</v>
      </c>
      <c r="Q600" t="s">
        <v>47</v>
      </c>
      <c r="R600">
        <v>12377.16</v>
      </c>
      <c r="S600">
        <v>0</v>
      </c>
      <c r="T600">
        <v>3737833</v>
      </c>
      <c r="U600">
        <v>10171711210</v>
      </c>
      <c r="V600" t="s">
        <v>851</v>
      </c>
      <c r="W600" t="s">
        <v>49</v>
      </c>
      <c r="X600" t="s">
        <v>117</v>
      </c>
      <c r="Y600" t="s">
        <v>51</v>
      </c>
      <c r="AH600">
        <v>0</v>
      </c>
      <c r="AI600">
        <v>202504</v>
      </c>
      <c r="AJ600" t="s">
        <v>56</v>
      </c>
      <c r="AK600">
        <v>0</v>
      </c>
      <c r="AL600">
        <v>1</v>
      </c>
      <c r="AO600">
        <v>0</v>
      </c>
      <c r="AP600" t="s">
        <v>3029</v>
      </c>
      <c r="AQ600" t="s">
        <v>3012</v>
      </c>
      <c r="AR600" t="s">
        <v>3030</v>
      </c>
      <c r="AS600" t="s">
        <v>3014</v>
      </c>
      <c r="AU600" t="s">
        <v>3014</v>
      </c>
    </row>
    <row r="601" spans="1:47" x14ac:dyDescent="0.35">
      <c r="A601">
        <v>337264</v>
      </c>
      <c r="B601" t="s">
        <v>193</v>
      </c>
      <c r="C601" t="s">
        <v>194</v>
      </c>
      <c r="D601" s="2">
        <v>45763</v>
      </c>
      <c r="E601">
        <v>53850</v>
      </c>
      <c r="F601">
        <v>171</v>
      </c>
      <c r="G601" t="s">
        <v>198</v>
      </c>
      <c r="H601" t="s">
        <v>167</v>
      </c>
      <c r="I601" t="s">
        <v>45</v>
      </c>
      <c r="K601" t="s">
        <v>797</v>
      </c>
      <c r="L601">
        <v>1713305728950</v>
      </c>
      <c r="M601">
        <v>20250415</v>
      </c>
      <c r="N601" t="s">
        <v>195</v>
      </c>
      <c r="Q601" t="s">
        <v>47</v>
      </c>
      <c r="R601">
        <v>210542.65</v>
      </c>
      <c r="S601">
        <v>210542.65</v>
      </c>
      <c r="T601">
        <v>572895</v>
      </c>
      <c r="U601">
        <v>4161600723</v>
      </c>
      <c r="V601" t="s">
        <v>199</v>
      </c>
      <c r="W601" t="s">
        <v>49</v>
      </c>
      <c r="X601" t="s">
        <v>200</v>
      </c>
      <c r="Y601" t="s">
        <v>51</v>
      </c>
      <c r="Z601">
        <v>1903</v>
      </c>
      <c r="AH601">
        <v>0</v>
      </c>
      <c r="AI601">
        <v>202504</v>
      </c>
      <c r="AJ601" t="s">
        <v>56</v>
      </c>
      <c r="AK601">
        <v>0</v>
      </c>
      <c r="AL601">
        <v>1</v>
      </c>
      <c r="AM601">
        <v>572895</v>
      </c>
      <c r="AN601">
        <v>1</v>
      </c>
      <c r="AO601">
        <v>0</v>
      </c>
      <c r="AP601" t="s">
        <v>3015</v>
      </c>
      <c r="AQ601" t="s">
        <v>3012</v>
      </c>
      <c r="AR601" t="s">
        <v>3016</v>
      </c>
      <c r="AT601" t="s">
        <v>3017</v>
      </c>
      <c r="AU601" t="s">
        <v>3018</v>
      </c>
    </row>
    <row r="602" spans="1:47" x14ac:dyDescent="0.35">
      <c r="A602">
        <v>337263</v>
      </c>
      <c r="B602" t="s">
        <v>172</v>
      </c>
      <c r="C602" t="s">
        <v>173</v>
      </c>
      <c r="D602" s="2">
        <v>45762</v>
      </c>
      <c r="E602">
        <v>53850</v>
      </c>
      <c r="F602">
        <v>102</v>
      </c>
      <c r="G602" t="s">
        <v>151</v>
      </c>
      <c r="H602" t="s">
        <v>167</v>
      </c>
      <c r="I602" t="s">
        <v>45</v>
      </c>
      <c r="K602">
        <v>202504147897558</v>
      </c>
      <c r="L602">
        <v>1023306273120</v>
      </c>
      <c r="M602">
        <v>20250414</v>
      </c>
      <c r="N602" t="s">
        <v>81</v>
      </c>
      <c r="Q602" t="s">
        <v>47</v>
      </c>
      <c r="R602">
        <v>105000</v>
      </c>
      <c r="S602">
        <v>0</v>
      </c>
      <c r="T602">
        <v>5530</v>
      </c>
      <c r="U602" t="s">
        <v>852</v>
      </c>
      <c r="V602" t="s">
        <v>853</v>
      </c>
      <c r="W602" t="s">
        <v>187</v>
      </c>
      <c r="Y602" t="s">
        <v>51</v>
      </c>
      <c r="Z602">
        <v>1606</v>
      </c>
      <c r="AH602">
        <v>0</v>
      </c>
      <c r="AI602">
        <v>202504</v>
      </c>
      <c r="AJ602" t="s">
        <v>86</v>
      </c>
      <c r="AK602">
        <v>1</v>
      </c>
      <c r="AL602">
        <v>1</v>
      </c>
      <c r="AO602">
        <v>0</v>
      </c>
      <c r="AP602" t="s">
        <v>3015</v>
      </c>
      <c r="AQ602" t="s">
        <v>3044</v>
      </c>
      <c r="AR602" t="s">
        <v>3045</v>
      </c>
      <c r="AS602" t="s">
        <v>3046</v>
      </c>
      <c r="AU602" t="s">
        <v>3046</v>
      </c>
    </row>
    <row r="603" spans="1:47" x14ac:dyDescent="0.35">
      <c r="A603">
        <v>337262</v>
      </c>
      <c r="B603" t="s">
        <v>178</v>
      </c>
      <c r="C603" t="s">
        <v>179</v>
      </c>
      <c r="D603" s="2">
        <v>45762</v>
      </c>
      <c r="E603">
        <v>53850</v>
      </c>
      <c r="F603">
        <v>122</v>
      </c>
      <c r="G603" t="s">
        <v>43</v>
      </c>
      <c r="H603" t="s">
        <v>167</v>
      </c>
      <c r="I603" t="s">
        <v>45</v>
      </c>
      <c r="K603">
        <v>202504147896370</v>
      </c>
      <c r="L603">
        <v>1223300001682</v>
      </c>
      <c r="M603">
        <v>20250414</v>
      </c>
      <c r="N603" t="s">
        <v>46</v>
      </c>
      <c r="P603" t="s">
        <v>51</v>
      </c>
      <c r="Q603" t="s">
        <v>47</v>
      </c>
      <c r="R603">
        <v>941353.02</v>
      </c>
      <c r="S603">
        <v>0</v>
      </c>
      <c r="T603">
        <v>3711207</v>
      </c>
      <c r="U603">
        <v>8825020723</v>
      </c>
      <c r="V603" t="s">
        <v>48</v>
      </c>
      <c r="W603" t="s">
        <v>49</v>
      </c>
      <c r="X603" t="s">
        <v>50</v>
      </c>
      <c r="Y603" t="s">
        <v>51</v>
      </c>
      <c r="Z603">
        <v>1696</v>
      </c>
      <c r="AH603">
        <v>0</v>
      </c>
      <c r="AI603">
        <v>202504</v>
      </c>
      <c r="AJ603" t="s">
        <v>52</v>
      </c>
      <c r="AK603">
        <v>0</v>
      </c>
      <c r="AL603">
        <v>1</v>
      </c>
      <c r="AO603">
        <v>0</v>
      </c>
      <c r="AP603" t="s">
        <v>3011</v>
      </c>
      <c r="AQ603" t="s">
        <v>3012</v>
      </c>
      <c r="AR603" t="s">
        <v>3013</v>
      </c>
      <c r="AS603" t="s">
        <v>3014</v>
      </c>
      <c r="AU603" t="s">
        <v>3014</v>
      </c>
    </row>
    <row r="604" spans="1:47" x14ac:dyDescent="0.35">
      <c r="A604">
        <v>337261</v>
      </c>
      <c r="B604" t="s">
        <v>178</v>
      </c>
      <c r="C604" t="s">
        <v>179</v>
      </c>
      <c r="D604" s="2">
        <v>45762</v>
      </c>
      <c r="E604">
        <v>53850</v>
      </c>
      <c r="F604">
        <v>114</v>
      </c>
      <c r="G604" t="s">
        <v>188</v>
      </c>
      <c r="H604" t="s">
        <v>167</v>
      </c>
      <c r="I604" t="s">
        <v>45</v>
      </c>
      <c r="K604">
        <v>202504147897691</v>
      </c>
      <c r="L604">
        <v>1143306282417</v>
      </c>
      <c r="M604">
        <v>20250414</v>
      </c>
      <c r="N604" t="s">
        <v>3136</v>
      </c>
      <c r="Q604" t="s">
        <v>170</v>
      </c>
      <c r="R604">
        <v>8139.04</v>
      </c>
      <c r="S604">
        <v>0</v>
      </c>
      <c r="T604">
        <v>520648</v>
      </c>
      <c r="U604" t="s">
        <v>854</v>
      </c>
      <c r="V604" t="s">
        <v>855</v>
      </c>
      <c r="W604" t="s">
        <v>187</v>
      </c>
      <c r="Y604" t="s">
        <v>51</v>
      </c>
      <c r="Z604">
        <v>642</v>
      </c>
      <c r="AH604">
        <v>0</v>
      </c>
      <c r="AI604">
        <v>202504</v>
      </c>
      <c r="AJ604" t="s">
        <v>52</v>
      </c>
      <c r="AK604">
        <v>0</v>
      </c>
      <c r="AL604">
        <v>1</v>
      </c>
      <c r="AO604">
        <v>1</v>
      </c>
      <c r="AP604" t="s">
        <v>3015</v>
      </c>
      <c r="AQ604" t="s">
        <v>3044</v>
      </c>
      <c r="AR604" t="s">
        <v>3045</v>
      </c>
      <c r="AS604" t="s">
        <v>3046</v>
      </c>
      <c r="AU604" t="s">
        <v>3046</v>
      </c>
    </row>
    <row r="605" spans="1:47" x14ac:dyDescent="0.35">
      <c r="A605">
        <v>337260</v>
      </c>
      <c r="B605" t="s">
        <v>178</v>
      </c>
      <c r="C605" t="s">
        <v>179</v>
      </c>
      <c r="D605" s="2">
        <v>45762</v>
      </c>
      <c r="E605">
        <v>53850</v>
      </c>
      <c r="F605">
        <v>175</v>
      </c>
      <c r="G605" t="s">
        <v>99</v>
      </c>
      <c r="H605" t="s">
        <v>167</v>
      </c>
      <c r="I605" t="s">
        <v>45</v>
      </c>
      <c r="K605">
        <v>202504147895113</v>
      </c>
      <c r="L605">
        <v>1753305636160</v>
      </c>
      <c r="M605">
        <v>20250414</v>
      </c>
      <c r="N605" t="s">
        <v>236</v>
      </c>
      <c r="P605" t="s">
        <v>51</v>
      </c>
      <c r="Q605" t="s">
        <v>170</v>
      </c>
      <c r="R605">
        <v>1450000</v>
      </c>
      <c r="S605">
        <v>0</v>
      </c>
      <c r="T605">
        <v>563616</v>
      </c>
      <c r="U605">
        <v>55560775</v>
      </c>
      <c r="V605" t="s">
        <v>856</v>
      </c>
      <c r="W605" t="s">
        <v>49</v>
      </c>
      <c r="X605" t="s">
        <v>110</v>
      </c>
      <c r="Y605" t="s">
        <v>51</v>
      </c>
      <c r="Z605">
        <v>739</v>
      </c>
      <c r="AH605">
        <v>0</v>
      </c>
      <c r="AI605">
        <v>202504</v>
      </c>
      <c r="AJ605" t="s">
        <v>56</v>
      </c>
      <c r="AK605">
        <v>0</v>
      </c>
      <c r="AL605">
        <v>1</v>
      </c>
      <c r="AO605">
        <v>0</v>
      </c>
      <c r="AP605" t="s">
        <v>3026</v>
      </c>
      <c r="AQ605" t="s">
        <v>3012</v>
      </c>
      <c r="AR605" t="s">
        <v>3027</v>
      </c>
      <c r="AS605" t="s">
        <v>3028</v>
      </c>
      <c r="AU605" t="s">
        <v>3028</v>
      </c>
    </row>
    <row r="606" spans="1:47" x14ac:dyDescent="0.35">
      <c r="A606">
        <v>337259</v>
      </c>
      <c r="B606" t="s">
        <v>193</v>
      </c>
      <c r="C606" t="s">
        <v>194</v>
      </c>
      <c r="D606" s="2">
        <v>45762</v>
      </c>
      <c r="E606">
        <v>53850</v>
      </c>
      <c r="F606">
        <v>117</v>
      </c>
      <c r="G606" t="s">
        <v>490</v>
      </c>
      <c r="H606" t="s">
        <v>167</v>
      </c>
      <c r="I606" t="s">
        <v>45</v>
      </c>
      <c r="K606" t="s">
        <v>857</v>
      </c>
      <c r="L606">
        <v>1173300538726</v>
      </c>
      <c r="M606">
        <v>20250414</v>
      </c>
      <c r="N606" t="s">
        <v>175</v>
      </c>
      <c r="Q606" t="s">
        <v>47</v>
      </c>
      <c r="R606">
        <v>65126.2</v>
      </c>
      <c r="S606">
        <v>44130</v>
      </c>
      <c r="T606">
        <v>4784989</v>
      </c>
      <c r="U606">
        <v>1269590772</v>
      </c>
      <c r="V606" t="s">
        <v>492</v>
      </c>
      <c r="W606" t="s">
        <v>49</v>
      </c>
      <c r="X606" t="s">
        <v>413</v>
      </c>
      <c r="Y606" t="s">
        <v>51</v>
      </c>
      <c r="Z606">
        <v>1926</v>
      </c>
      <c r="AH606">
        <v>0</v>
      </c>
      <c r="AI606">
        <v>202504</v>
      </c>
      <c r="AJ606" t="s">
        <v>56</v>
      </c>
      <c r="AK606">
        <v>0</v>
      </c>
      <c r="AL606">
        <v>1</v>
      </c>
      <c r="AM606">
        <v>4784989</v>
      </c>
      <c r="AN606">
        <v>1</v>
      </c>
      <c r="AO606">
        <v>1</v>
      </c>
      <c r="AP606" t="s">
        <v>3015</v>
      </c>
      <c r="AQ606" t="s">
        <v>3012</v>
      </c>
      <c r="AR606" t="s">
        <v>3016</v>
      </c>
      <c r="AT606" t="s">
        <v>3017</v>
      </c>
      <c r="AU606" t="s">
        <v>3018</v>
      </c>
    </row>
    <row r="607" spans="1:47" x14ac:dyDescent="0.35">
      <c r="A607">
        <v>337258</v>
      </c>
      <c r="B607" t="s">
        <v>164</v>
      </c>
      <c r="C607" t="s">
        <v>165</v>
      </c>
      <c r="D607" s="2">
        <v>45762</v>
      </c>
      <c r="E607">
        <v>53850</v>
      </c>
      <c r="F607">
        <v>200</v>
      </c>
      <c r="G607" t="s">
        <v>858</v>
      </c>
      <c r="H607" t="s">
        <v>167</v>
      </c>
      <c r="I607" t="s">
        <v>45</v>
      </c>
      <c r="K607">
        <v>202504147896571</v>
      </c>
      <c r="L607">
        <v>2003300003730</v>
      </c>
      <c r="M607">
        <v>20250414</v>
      </c>
      <c r="N607" t="s">
        <v>168</v>
      </c>
      <c r="P607" t="s">
        <v>435</v>
      </c>
      <c r="Q607" t="s">
        <v>170</v>
      </c>
      <c r="R607">
        <v>250000</v>
      </c>
      <c r="S607">
        <v>0</v>
      </c>
      <c r="T607">
        <v>3731305</v>
      </c>
      <c r="U607" t="s">
        <v>859</v>
      </c>
      <c r="V607" t="s">
        <v>860</v>
      </c>
      <c r="W607" t="s">
        <v>187</v>
      </c>
      <c r="Y607" t="s">
        <v>51</v>
      </c>
      <c r="Z607">
        <v>1837</v>
      </c>
      <c r="AH607">
        <v>0</v>
      </c>
      <c r="AI607">
        <v>202504</v>
      </c>
      <c r="AJ607" t="s">
        <v>56</v>
      </c>
      <c r="AK607">
        <v>0</v>
      </c>
      <c r="AL607">
        <v>1</v>
      </c>
      <c r="AO607">
        <v>0</v>
      </c>
      <c r="AP607" t="s">
        <v>3015</v>
      </c>
      <c r="AQ607" t="s">
        <v>3044</v>
      </c>
      <c r="AR607" t="s">
        <v>3045</v>
      </c>
      <c r="AS607" t="s">
        <v>3046</v>
      </c>
      <c r="AU607" t="s">
        <v>3046</v>
      </c>
    </row>
    <row r="608" spans="1:47" x14ac:dyDescent="0.35">
      <c r="A608">
        <v>337257</v>
      </c>
      <c r="B608" t="s">
        <v>193</v>
      </c>
      <c r="C608" t="s">
        <v>194</v>
      </c>
      <c r="D608" s="2">
        <v>45762</v>
      </c>
      <c r="E608">
        <v>53850</v>
      </c>
      <c r="F608">
        <v>128</v>
      </c>
      <c r="G608" t="s">
        <v>94</v>
      </c>
      <c r="H608" t="s">
        <v>167</v>
      </c>
      <c r="I608" t="s">
        <v>45</v>
      </c>
      <c r="K608">
        <v>202504147897106</v>
      </c>
      <c r="L608">
        <v>1283300003941</v>
      </c>
      <c r="M608">
        <v>20250414</v>
      </c>
      <c r="N608" t="s">
        <v>195</v>
      </c>
      <c r="Q608" t="s">
        <v>47</v>
      </c>
      <c r="R608">
        <v>40800</v>
      </c>
      <c r="S608">
        <v>40800</v>
      </c>
      <c r="T608">
        <v>4916499</v>
      </c>
      <c r="U608" t="s">
        <v>382</v>
      </c>
      <c r="V608" t="s">
        <v>383</v>
      </c>
      <c r="W608" t="s">
        <v>69</v>
      </c>
      <c r="X608" t="s">
        <v>55</v>
      </c>
      <c r="Y608" t="s">
        <v>51</v>
      </c>
      <c r="Z608">
        <v>1166</v>
      </c>
      <c r="AH608">
        <v>0</v>
      </c>
      <c r="AI608">
        <v>202504</v>
      </c>
      <c r="AJ608" t="s">
        <v>56</v>
      </c>
      <c r="AK608">
        <v>0</v>
      </c>
      <c r="AL608">
        <v>1</v>
      </c>
      <c r="AM608">
        <v>4916499</v>
      </c>
      <c r="AN608">
        <v>1</v>
      </c>
      <c r="AO608">
        <v>0</v>
      </c>
      <c r="AP608" t="s">
        <v>3015</v>
      </c>
      <c r="AQ608" t="s">
        <v>3021</v>
      </c>
      <c r="AR608" t="s">
        <v>3022</v>
      </c>
      <c r="AT608" t="s">
        <v>3017</v>
      </c>
      <c r="AU608" t="s">
        <v>3014</v>
      </c>
    </row>
    <row r="609" spans="1:47" x14ac:dyDescent="0.35">
      <c r="A609">
        <v>337256</v>
      </c>
      <c r="B609" t="s">
        <v>193</v>
      </c>
      <c r="C609" t="s">
        <v>194</v>
      </c>
      <c r="D609" s="2">
        <v>45762</v>
      </c>
      <c r="E609">
        <v>53850</v>
      </c>
      <c r="F609">
        <v>267</v>
      </c>
      <c r="G609" t="s">
        <v>349</v>
      </c>
      <c r="H609" t="s">
        <v>167</v>
      </c>
      <c r="I609" t="s">
        <v>45</v>
      </c>
      <c r="K609">
        <v>202504147898079</v>
      </c>
      <c r="L609">
        <v>2673300003600</v>
      </c>
      <c r="M609">
        <v>20250414</v>
      </c>
      <c r="N609" t="s">
        <v>266</v>
      </c>
      <c r="Q609" t="s">
        <v>47</v>
      </c>
      <c r="R609">
        <v>90050</v>
      </c>
      <c r="S609">
        <v>90050</v>
      </c>
      <c r="T609">
        <v>1705101</v>
      </c>
      <c r="U609">
        <v>2896870793</v>
      </c>
      <c r="V609" t="s">
        <v>439</v>
      </c>
      <c r="W609" t="s">
        <v>190</v>
      </c>
      <c r="X609" t="s">
        <v>200</v>
      </c>
      <c r="Y609" t="s">
        <v>51</v>
      </c>
      <c r="Z609">
        <v>1878</v>
      </c>
      <c r="AH609">
        <v>0</v>
      </c>
      <c r="AI609">
        <v>202504</v>
      </c>
      <c r="AJ609" t="s">
        <v>56</v>
      </c>
      <c r="AK609">
        <v>0</v>
      </c>
      <c r="AL609">
        <v>1</v>
      </c>
      <c r="AM609">
        <v>1705101</v>
      </c>
      <c r="AN609">
        <v>1</v>
      </c>
      <c r="AO609">
        <v>0</v>
      </c>
      <c r="AP609" t="s">
        <v>3015</v>
      </c>
      <c r="AQ609" t="s">
        <v>3047</v>
      </c>
      <c r="AR609" t="s">
        <v>3056</v>
      </c>
      <c r="AT609" t="s">
        <v>3017</v>
      </c>
      <c r="AU609" t="s">
        <v>3057</v>
      </c>
    </row>
    <row r="610" spans="1:47" x14ac:dyDescent="0.35">
      <c r="A610">
        <v>337255</v>
      </c>
      <c r="B610" t="s">
        <v>178</v>
      </c>
      <c r="C610" t="s">
        <v>179</v>
      </c>
      <c r="D610" s="2">
        <v>45762</v>
      </c>
      <c r="E610">
        <v>53850</v>
      </c>
      <c r="F610">
        <v>103</v>
      </c>
      <c r="G610" t="s">
        <v>80</v>
      </c>
      <c r="H610" t="s">
        <v>167</v>
      </c>
      <c r="I610" t="s">
        <v>45</v>
      </c>
      <c r="K610">
        <v>202504147896449</v>
      </c>
      <c r="L610">
        <v>1033306969582</v>
      </c>
      <c r="M610">
        <v>20250414</v>
      </c>
      <c r="N610" t="s">
        <v>46</v>
      </c>
      <c r="P610" t="s">
        <v>51</v>
      </c>
      <c r="Q610" t="s">
        <v>47</v>
      </c>
      <c r="R610">
        <v>573593.99</v>
      </c>
      <c r="S610">
        <v>0</v>
      </c>
      <c r="T610">
        <v>449281</v>
      </c>
      <c r="U610" t="s">
        <v>861</v>
      </c>
      <c r="V610" t="s">
        <v>862</v>
      </c>
      <c r="W610" t="s">
        <v>187</v>
      </c>
      <c r="Y610" t="s">
        <v>51</v>
      </c>
      <c r="Z610">
        <v>806</v>
      </c>
      <c r="AH610">
        <v>0</v>
      </c>
      <c r="AI610">
        <v>202504</v>
      </c>
      <c r="AJ610" t="s">
        <v>86</v>
      </c>
      <c r="AK610">
        <v>1</v>
      </c>
      <c r="AL610">
        <v>1</v>
      </c>
      <c r="AO610">
        <v>0</v>
      </c>
      <c r="AP610" t="s">
        <v>3015</v>
      </c>
      <c r="AQ610" t="s">
        <v>3044</v>
      </c>
      <c r="AR610" t="s">
        <v>3045</v>
      </c>
      <c r="AS610" t="s">
        <v>3046</v>
      </c>
      <c r="AU610" t="s">
        <v>3046</v>
      </c>
    </row>
    <row r="611" spans="1:47" x14ac:dyDescent="0.35">
      <c r="A611">
        <v>337254</v>
      </c>
      <c r="B611" t="s">
        <v>178</v>
      </c>
      <c r="C611" t="s">
        <v>179</v>
      </c>
      <c r="D611" s="2">
        <v>45762</v>
      </c>
      <c r="E611">
        <v>53850</v>
      </c>
      <c r="F611">
        <v>109</v>
      </c>
      <c r="G611" t="s">
        <v>89</v>
      </c>
      <c r="H611" t="s">
        <v>167</v>
      </c>
      <c r="I611" t="s">
        <v>45</v>
      </c>
      <c r="K611">
        <v>202504147897650</v>
      </c>
      <c r="L611">
        <v>1093300826060</v>
      </c>
      <c r="M611">
        <v>20250414</v>
      </c>
      <c r="N611" t="s">
        <v>3136</v>
      </c>
      <c r="Q611" t="s">
        <v>170</v>
      </c>
      <c r="R611">
        <v>50860.3</v>
      </c>
      <c r="S611">
        <v>0</v>
      </c>
      <c r="T611">
        <v>82561</v>
      </c>
      <c r="U611" t="s">
        <v>863</v>
      </c>
      <c r="V611" t="s">
        <v>864</v>
      </c>
      <c r="W611" t="s">
        <v>187</v>
      </c>
      <c r="Y611" t="s">
        <v>51</v>
      </c>
      <c r="Z611">
        <v>1430</v>
      </c>
      <c r="AH611">
        <v>0</v>
      </c>
      <c r="AI611">
        <v>202504</v>
      </c>
      <c r="AJ611" t="s">
        <v>86</v>
      </c>
      <c r="AK611">
        <v>1</v>
      </c>
      <c r="AL611">
        <v>1</v>
      </c>
      <c r="AO611">
        <v>1</v>
      </c>
      <c r="AP611" t="s">
        <v>3015</v>
      </c>
      <c r="AQ611" t="s">
        <v>3044</v>
      </c>
      <c r="AR611" t="s">
        <v>3045</v>
      </c>
      <c r="AS611" t="s">
        <v>3046</v>
      </c>
      <c r="AU611" t="s">
        <v>3046</v>
      </c>
    </row>
    <row r="612" spans="1:47" x14ac:dyDescent="0.35">
      <c r="A612">
        <v>337253</v>
      </c>
      <c r="B612" t="s">
        <v>164</v>
      </c>
      <c r="C612" t="s">
        <v>165</v>
      </c>
      <c r="D612" s="2">
        <v>45762</v>
      </c>
      <c r="E612">
        <v>53850</v>
      </c>
      <c r="F612">
        <v>137</v>
      </c>
      <c r="G612" t="s">
        <v>166</v>
      </c>
      <c r="H612" t="s">
        <v>167</v>
      </c>
      <c r="I612" t="s">
        <v>45</v>
      </c>
      <c r="K612">
        <v>202504147895250</v>
      </c>
      <c r="L612">
        <v>1373300005994</v>
      </c>
      <c r="M612">
        <v>20250414</v>
      </c>
      <c r="N612" t="s">
        <v>168</v>
      </c>
      <c r="P612" t="s">
        <v>169</v>
      </c>
      <c r="Q612" t="s">
        <v>170</v>
      </c>
      <c r="R612">
        <v>41391.440000000002</v>
      </c>
      <c r="S612">
        <v>0</v>
      </c>
      <c r="T612">
        <v>3734872</v>
      </c>
      <c r="U612">
        <v>1896670708</v>
      </c>
      <c r="V612" t="s">
        <v>171</v>
      </c>
      <c r="W612" t="s">
        <v>49</v>
      </c>
      <c r="X612" t="s">
        <v>113</v>
      </c>
      <c r="Y612" t="s">
        <v>51</v>
      </c>
      <c r="Z612">
        <v>1867</v>
      </c>
      <c r="AH612">
        <v>0</v>
      </c>
      <c r="AI612">
        <v>202504</v>
      </c>
      <c r="AJ612" t="s">
        <v>56</v>
      </c>
      <c r="AK612">
        <v>0</v>
      </c>
      <c r="AL612">
        <v>1</v>
      </c>
      <c r="AO612">
        <v>0</v>
      </c>
      <c r="AP612" t="s">
        <v>3015</v>
      </c>
      <c r="AQ612" t="s">
        <v>3012</v>
      </c>
      <c r="AR612" t="s">
        <v>3016</v>
      </c>
      <c r="AT612" t="s">
        <v>3017</v>
      </c>
      <c r="AU612" t="s">
        <v>3018</v>
      </c>
    </row>
    <row r="613" spans="1:47" x14ac:dyDescent="0.35">
      <c r="A613">
        <v>337252</v>
      </c>
      <c r="B613" t="s">
        <v>193</v>
      </c>
      <c r="C613" t="s">
        <v>194</v>
      </c>
      <c r="D613" s="2">
        <v>45762</v>
      </c>
      <c r="E613">
        <v>53850</v>
      </c>
      <c r="F613">
        <v>268</v>
      </c>
      <c r="G613" t="s">
        <v>83</v>
      </c>
      <c r="H613" t="s">
        <v>167</v>
      </c>
      <c r="I613" t="s">
        <v>45</v>
      </c>
      <c r="K613" t="s">
        <v>857</v>
      </c>
      <c r="L613">
        <v>2683300010030</v>
      </c>
      <c r="M613">
        <v>20250414</v>
      </c>
      <c r="N613" t="s">
        <v>195</v>
      </c>
      <c r="Q613" t="s">
        <v>47</v>
      </c>
      <c r="R613">
        <v>50930</v>
      </c>
      <c r="S613">
        <v>50930</v>
      </c>
      <c r="T613">
        <v>4966939</v>
      </c>
      <c r="U613" t="s">
        <v>221</v>
      </c>
      <c r="V613" t="s">
        <v>222</v>
      </c>
      <c r="W613" t="s">
        <v>69</v>
      </c>
      <c r="X613" t="s">
        <v>55</v>
      </c>
      <c r="Y613" t="s">
        <v>51</v>
      </c>
      <c r="Z613">
        <v>1870</v>
      </c>
      <c r="AH613">
        <v>0</v>
      </c>
      <c r="AI613">
        <v>202504</v>
      </c>
      <c r="AJ613" t="s">
        <v>56</v>
      </c>
      <c r="AK613">
        <v>0</v>
      </c>
      <c r="AL613">
        <v>1</v>
      </c>
      <c r="AM613">
        <v>4966939</v>
      </c>
      <c r="AN613">
        <v>1</v>
      </c>
      <c r="AO613">
        <v>0</v>
      </c>
      <c r="AP613" t="s">
        <v>3015</v>
      </c>
      <c r="AQ613" t="s">
        <v>3021</v>
      </c>
      <c r="AR613" t="s">
        <v>3022</v>
      </c>
      <c r="AT613" t="s">
        <v>3017</v>
      </c>
      <c r="AU613" t="s">
        <v>3014</v>
      </c>
    </row>
    <row r="614" spans="1:47" x14ac:dyDescent="0.35">
      <c r="A614">
        <v>337251</v>
      </c>
      <c r="B614" t="s">
        <v>172</v>
      </c>
      <c r="C614" t="s">
        <v>173</v>
      </c>
      <c r="D614" s="2">
        <v>45762</v>
      </c>
      <c r="E614">
        <v>53850</v>
      </c>
      <c r="F614">
        <v>182</v>
      </c>
      <c r="G614" t="s">
        <v>318</v>
      </c>
      <c r="H614" t="s">
        <v>167</v>
      </c>
      <c r="I614" t="s">
        <v>45</v>
      </c>
      <c r="K614" t="s">
        <v>857</v>
      </c>
      <c r="L614">
        <v>1823300169301</v>
      </c>
      <c r="M614">
        <v>20250414</v>
      </c>
      <c r="N614" t="s">
        <v>195</v>
      </c>
      <c r="Q614" t="s">
        <v>47</v>
      </c>
      <c r="R614">
        <v>40010</v>
      </c>
      <c r="S614">
        <v>40010</v>
      </c>
      <c r="T614">
        <v>4284957</v>
      </c>
      <c r="U614" t="s">
        <v>455</v>
      </c>
      <c r="V614" t="s">
        <v>456</v>
      </c>
      <c r="W614" t="s">
        <v>69</v>
      </c>
      <c r="X614" t="s">
        <v>197</v>
      </c>
      <c r="Y614" t="s">
        <v>51</v>
      </c>
      <c r="Z614">
        <v>1656</v>
      </c>
      <c r="AH614">
        <v>0</v>
      </c>
      <c r="AI614">
        <v>202504</v>
      </c>
      <c r="AJ614" t="s">
        <v>56</v>
      </c>
      <c r="AK614">
        <v>0</v>
      </c>
      <c r="AL614">
        <v>1</v>
      </c>
      <c r="AM614">
        <v>4284957</v>
      </c>
      <c r="AN614">
        <v>1</v>
      </c>
      <c r="AO614">
        <v>0</v>
      </c>
      <c r="AP614" t="s">
        <v>3050</v>
      </c>
      <c r="AQ614" t="s">
        <v>3021</v>
      </c>
      <c r="AR614" t="s">
        <v>3070</v>
      </c>
      <c r="AS614" t="s">
        <v>3055</v>
      </c>
      <c r="AU614" t="s">
        <v>3055</v>
      </c>
    </row>
    <row r="615" spans="1:47" x14ac:dyDescent="0.35">
      <c r="A615">
        <v>337250</v>
      </c>
      <c r="B615" t="s">
        <v>193</v>
      </c>
      <c r="C615" t="s">
        <v>194</v>
      </c>
      <c r="D615" s="2">
        <v>45762</v>
      </c>
      <c r="E615">
        <v>53850</v>
      </c>
      <c r="F615">
        <v>108</v>
      </c>
      <c r="G615" t="s">
        <v>124</v>
      </c>
      <c r="H615" t="s">
        <v>167</v>
      </c>
      <c r="I615" t="s">
        <v>45</v>
      </c>
      <c r="K615" t="s">
        <v>857</v>
      </c>
      <c r="L615">
        <v>1083306291105</v>
      </c>
      <c r="M615">
        <v>20250414</v>
      </c>
      <c r="N615" t="s">
        <v>175</v>
      </c>
      <c r="Q615" t="s">
        <v>47</v>
      </c>
      <c r="R615">
        <v>141489.49</v>
      </c>
      <c r="S615">
        <v>41638.400000000001</v>
      </c>
      <c r="T615">
        <v>4227057</v>
      </c>
      <c r="U615">
        <v>4874620729</v>
      </c>
      <c r="V615" t="s">
        <v>250</v>
      </c>
      <c r="W615" t="s">
        <v>49</v>
      </c>
      <c r="X615" t="s">
        <v>62</v>
      </c>
      <c r="Y615" t="s">
        <v>51</v>
      </c>
      <c r="Z615">
        <v>1058</v>
      </c>
      <c r="AH615">
        <v>0</v>
      </c>
      <c r="AI615">
        <v>202504</v>
      </c>
      <c r="AJ615" t="s">
        <v>56</v>
      </c>
      <c r="AK615">
        <v>0</v>
      </c>
      <c r="AL615">
        <v>1</v>
      </c>
      <c r="AM615">
        <v>4227057</v>
      </c>
      <c r="AN615">
        <v>1</v>
      </c>
      <c r="AO615">
        <v>1</v>
      </c>
      <c r="AP615" t="s">
        <v>3015</v>
      </c>
      <c r="AQ615" t="s">
        <v>3012</v>
      </c>
      <c r="AR615" t="s">
        <v>3016</v>
      </c>
      <c r="AT615" t="s">
        <v>3017</v>
      </c>
      <c r="AU615" t="s">
        <v>3018</v>
      </c>
    </row>
    <row r="616" spans="1:47" x14ac:dyDescent="0.35">
      <c r="A616">
        <v>337249</v>
      </c>
      <c r="B616" t="s">
        <v>172</v>
      </c>
      <c r="C616" t="s">
        <v>173</v>
      </c>
      <c r="D616" s="2">
        <v>45762</v>
      </c>
      <c r="E616">
        <v>53850</v>
      </c>
      <c r="F616">
        <v>195</v>
      </c>
      <c r="G616" t="s">
        <v>498</v>
      </c>
      <c r="H616" t="s">
        <v>167</v>
      </c>
      <c r="I616" t="s">
        <v>45</v>
      </c>
      <c r="K616">
        <v>202504147898010</v>
      </c>
      <c r="L616">
        <v>1953300026450</v>
      </c>
      <c r="M616">
        <v>20250414</v>
      </c>
      <c r="N616" t="s">
        <v>81</v>
      </c>
      <c r="Q616" t="s">
        <v>47</v>
      </c>
      <c r="R616">
        <v>100000</v>
      </c>
      <c r="S616">
        <v>0</v>
      </c>
      <c r="T616">
        <v>3109917</v>
      </c>
      <c r="U616" t="s">
        <v>865</v>
      </c>
      <c r="V616" t="s">
        <v>866</v>
      </c>
      <c r="W616" t="s">
        <v>69</v>
      </c>
      <c r="X616" t="s">
        <v>234</v>
      </c>
      <c r="Y616" t="s">
        <v>51</v>
      </c>
      <c r="Z616">
        <v>938</v>
      </c>
      <c r="AH616">
        <v>0</v>
      </c>
      <c r="AI616">
        <v>202504</v>
      </c>
      <c r="AJ616" t="s">
        <v>86</v>
      </c>
      <c r="AK616">
        <v>1</v>
      </c>
      <c r="AL616">
        <v>1</v>
      </c>
      <c r="AO616">
        <v>0</v>
      </c>
      <c r="AP616" t="s">
        <v>3015</v>
      </c>
      <c r="AQ616" t="s">
        <v>3021</v>
      </c>
      <c r="AR616" t="s">
        <v>3022</v>
      </c>
      <c r="AT616" t="s">
        <v>3017</v>
      </c>
      <c r="AU616" t="s">
        <v>3014</v>
      </c>
    </row>
    <row r="617" spans="1:47" x14ac:dyDescent="0.35">
      <c r="A617">
        <v>337248</v>
      </c>
      <c r="B617" t="s">
        <v>164</v>
      </c>
      <c r="C617" t="s">
        <v>165</v>
      </c>
      <c r="D617" s="2">
        <v>45762</v>
      </c>
      <c r="E617">
        <v>53850</v>
      </c>
      <c r="F617">
        <v>121</v>
      </c>
      <c r="G617" t="s">
        <v>140</v>
      </c>
      <c r="H617" t="s">
        <v>167</v>
      </c>
      <c r="I617" t="s">
        <v>45</v>
      </c>
      <c r="K617" t="s">
        <v>867</v>
      </c>
      <c r="L617">
        <v>1213300001913</v>
      </c>
      <c r="M617">
        <v>20250414</v>
      </c>
      <c r="N617" t="s">
        <v>168</v>
      </c>
      <c r="P617" t="s">
        <v>169</v>
      </c>
      <c r="Q617" t="s">
        <v>47</v>
      </c>
      <c r="R617">
        <v>2820</v>
      </c>
      <c r="S617">
        <v>0</v>
      </c>
      <c r="T617">
        <v>4794759</v>
      </c>
      <c r="U617">
        <v>7627090728</v>
      </c>
      <c r="V617" t="s">
        <v>868</v>
      </c>
      <c r="W617" t="s">
        <v>49</v>
      </c>
      <c r="X617" t="s">
        <v>50</v>
      </c>
      <c r="Y617" t="s">
        <v>51</v>
      </c>
      <c r="Z617">
        <v>928</v>
      </c>
      <c r="AH617">
        <v>0</v>
      </c>
      <c r="AI617">
        <v>202504</v>
      </c>
      <c r="AJ617" t="s">
        <v>52</v>
      </c>
      <c r="AK617">
        <v>0</v>
      </c>
      <c r="AL617">
        <v>1</v>
      </c>
      <c r="AO617">
        <v>0</v>
      </c>
      <c r="AP617" t="s">
        <v>3011</v>
      </c>
      <c r="AQ617" t="s">
        <v>3012</v>
      </c>
      <c r="AR617" t="s">
        <v>3013</v>
      </c>
      <c r="AS617" t="s">
        <v>3014</v>
      </c>
      <c r="AU617" t="s">
        <v>3014</v>
      </c>
    </row>
    <row r="618" spans="1:47" x14ac:dyDescent="0.35">
      <c r="A618">
        <v>337247</v>
      </c>
      <c r="B618" t="s">
        <v>164</v>
      </c>
      <c r="C618" t="s">
        <v>165</v>
      </c>
      <c r="D618" s="2">
        <v>45762</v>
      </c>
      <c r="E618">
        <v>53850</v>
      </c>
      <c r="F618">
        <v>261</v>
      </c>
      <c r="G618" t="s">
        <v>136</v>
      </c>
      <c r="H618" t="s">
        <v>167</v>
      </c>
      <c r="I618" t="s">
        <v>45</v>
      </c>
      <c r="K618" t="s">
        <v>869</v>
      </c>
      <c r="L618">
        <v>2613300001265</v>
      </c>
      <c r="M618">
        <v>20250414</v>
      </c>
      <c r="N618" t="s">
        <v>168</v>
      </c>
      <c r="P618" t="s">
        <v>203</v>
      </c>
      <c r="Q618" t="s">
        <v>47</v>
      </c>
      <c r="R618">
        <v>1500</v>
      </c>
      <c r="S618">
        <v>0</v>
      </c>
      <c r="T618">
        <v>1625403</v>
      </c>
      <c r="U618" t="s">
        <v>870</v>
      </c>
      <c r="V618" t="s">
        <v>871</v>
      </c>
      <c r="W618" t="s">
        <v>187</v>
      </c>
      <c r="Y618" t="s">
        <v>51</v>
      </c>
      <c r="Z618">
        <v>1755</v>
      </c>
      <c r="AH618">
        <v>0</v>
      </c>
      <c r="AI618">
        <v>202504</v>
      </c>
      <c r="AJ618" t="s">
        <v>56</v>
      </c>
      <c r="AK618">
        <v>0</v>
      </c>
      <c r="AL618">
        <v>1</v>
      </c>
      <c r="AO618">
        <v>0</v>
      </c>
      <c r="AP618" t="s">
        <v>3015</v>
      </c>
      <c r="AQ618" t="s">
        <v>3044</v>
      </c>
      <c r="AR618" t="s">
        <v>3045</v>
      </c>
      <c r="AS618" t="s">
        <v>3046</v>
      </c>
      <c r="AU618" t="s">
        <v>3046</v>
      </c>
    </row>
    <row r="619" spans="1:47" x14ac:dyDescent="0.35">
      <c r="A619">
        <v>337246</v>
      </c>
      <c r="B619" t="s">
        <v>178</v>
      </c>
      <c r="C619" t="s">
        <v>179</v>
      </c>
      <c r="D619" s="2">
        <v>45762</v>
      </c>
      <c r="E619">
        <v>53850</v>
      </c>
      <c r="F619">
        <v>141</v>
      </c>
      <c r="G619" t="s">
        <v>105</v>
      </c>
      <c r="H619" t="s">
        <v>167</v>
      </c>
      <c r="I619" t="s">
        <v>45</v>
      </c>
      <c r="K619">
        <v>202504147895340</v>
      </c>
      <c r="L619">
        <v>1413300003985</v>
      </c>
      <c r="M619">
        <v>20250414</v>
      </c>
      <c r="N619" t="s">
        <v>236</v>
      </c>
      <c r="P619" t="s">
        <v>51</v>
      </c>
      <c r="Q619" t="s">
        <v>170</v>
      </c>
      <c r="R619">
        <v>1351000</v>
      </c>
      <c r="S619">
        <v>0</v>
      </c>
      <c r="T619">
        <v>4996689</v>
      </c>
      <c r="U619">
        <v>80010360750</v>
      </c>
      <c r="V619" t="s">
        <v>106</v>
      </c>
      <c r="W619" t="s">
        <v>49</v>
      </c>
      <c r="X619" t="s">
        <v>107</v>
      </c>
      <c r="Y619" t="s">
        <v>51</v>
      </c>
      <c r="Z619">
        <v>1940</v>
      </c>
      <c r="AH619">
        <v>0</v>
      </c>
      <c r="AI619">
        <v>202504</v>
      </c>
      <c r="AJ619" t="s">
        <v>56</v>
      </c>
      <c r="AK619">
        <v>0</v>
      </c>
      <c r="AL619">
        <v>1</v>
      </c>
      <c r="AO619">
        <v>0</v>
      </c>
      <c r="AP619" t="s">
        <v>3024</v>
      </c>
      <c r="AQ619" t="s">
        <v>3012</v>
      </c>
      <c r="AR619" t="s">
        <v>3025</v>
      </c>
      <c r="AS619" t="s">
        <v>3014</v>
      </c>
      <c r="AU619" t="s">
        <v>3014</v>
      </c>
    </row>
    <row r="620" spans="1:47" x14ac:dyDescent="0.35">
      <c r="A620">
        <v>337245</v>
      </c>
      <c r="B620" t="s">
        <v>193</v>
      </c>
      <c r="C620" t="s">
        <v>194</v>
      </c>
      <c r="D620" s="2">
        <v>45762</v>
      </c>
      <c r="E620">
        <v>53850</v>
      </c>
      <c r="F620">
        <v>102</v>
      </c>
      <c r="G620" t="s">
        <v>151</v>
      </c>
      <c r="H620" t="s">
        <v>167</v>
      </c>
      <c r="I620" t="s">
        <v>45</v>
      </c>
      <c r="K620" t="s">
        <v>857</v>
      </c>
      <c r="L620">
        <v>1023308720537</v>
      </c>
      <c r="M620">
        <v>20250414</v>
      </c>
      <c r="N620" t="s">
        <v>195</v>
      </c>
      <c r="Q620" t="s">
        <v>47</v>
      </c>
      <c r="R620">
        <v>53200</v>
      </c>
      <c r="S620">
        <v>53200</v>
      </c>
      <c r="T620">
        <v>4653840</v>
      </c>
      <c r="U620">
        <v>7052850729</v>
      </c>
      <c r="V620" t="s">
        <v>485</v>
      </c>
      <c r="W620" t="s">
        <v>49</v>
      </c>
      <c r="X620" t="s">
        <v>200</v>
      </c>
      <c r="Y620" t="s">
        <v>51</v>
      </c>
      <c r="Z620">
        <v>979</v>
      </c>
      <c r="AH620">
        <v>0</v>
      </c>
      <c r="AI620">
        <v>202504</v>
      </c>
      <c r="AJ620" t="s">
        <v>52</v>
      </c>
      <c r="AK620">
        <v>0</v>
      </c>
      <c r="AL620">
        <v>1</v>
      </c>
      <c r="AM620">
        <v>4653840</v>
      </c>
      <c r="AN620">
        <v>1</v>
      </c>
      <c r="AO620">
        <v>0</v>
      </c>
      <c r="AP620" t="s">
        <v>3015</v>
      </c>
      <c r="AQ620" t="s">
        <v>3012</v>
      </c>
      <c r="AR620" t="s">
        <v>3016</v>
      </c>
      <c r="AT620" t="s">
        <v>3017</v>
      </c>
      <c r="AU620" t="s">
        <v>3018</v>
      </c>
    </row>
    <row r="621" spans="1:47" x14ac:dyDescent="0.35">
      <c r="A621">
        <v>337244</v>
      </c>
      <c r="B621" t="s">
        <v>164</v>
      </c>
      <c r="C621" t="s">
        <v>165</v>
      </c>
      <c r="D621" s="2">
        <v>45762</v>
      </c>
      <c r="E621">
        <v>53850</v>
      </c>
      <c r="F621">
        <v>102</v>
      </c>
      <c r="G621" t="s">
        <v>151</v>
      </c>
      <c r="H621" t="s">
        <v>167</v>
      </c>
      <c r="I621" t="s">
        <v>45</v>
      </c>
      <c r="K621">
        <v>202504147896582</v>
      </c>
      <c r="L621">
        <v>1023308727580</v>
      </c>
      <c r="M621">
        <v>20250414</v>
      </c>
      <c r="N621" t="s">
        <v>168</v>
      </c>
      <c r="P621" t="s">
        <v>872</v>
      </c>
      <c r="Q621" t="s">
        <v>47</v>
      </c>
      <c r="R621">
        <v>8466.74</v>
      </c>
      <c r="S621">
        <v>0</v>
      </c>
      <c r="T621">
        <v>3727650</v>
      </c>
      <c r="U621">
        <v>8924460721</v>
      </c>
      <c r="V621" t="s">
        <v>873</v>
      </c>
      <c r="W621" t="s">
        <v>49</v>
      </c>
      <c r="X621" t="s">
        <v>874</v>
      </c>
      <c r="Y621" t="s">
        <v>51</v>
      </c>
      <c r="Z621">
        <v>1306</v>
      </c>
      <c r="AH621">
        <v>0</v>
      </c>
      <c r="AI621">
        <v>202504</v>
      </c>
      <c r="AJ621" t="s">
        <v>86</v>
      </c>
      <c r="AK621">
        <v>1</v>
      </c>
      <c r="AL621">
        <v>1</v>
      </c>
      <c r="AO621">
        <v>0</v>
      </c>
      <c r="AP621" t="s">
        <v>3015</v>
      </c>
      <c r="AQ621" t="s">
        <v>3012</v>
      </c>
      <c r="AR621" t="s">
        <v>3016</v>
      </c>
      <c r="AT621" t="s">
        <v>3017</v>
      </c>
      <c r="AU621" t="s">
        <v>3018</v>
      </c>
    </row>
    <row r="622" spans="1:47" x14ac:dyDescent="0.35">
      <c r="A622">
        <v>337243</v>
      </c>
      <c r="B622" t="s">
        <v>172</v>
      </c>
      <c r="C622" t="s">
        <v>173</v>
      </c>
      <c r="D622" s="2">
        <v>45762</v>
      </c>
      <c r="E622">
        <v>53850</v>
      </c>
      <c r="F622">
        <v>102</v>
      </c>
      <c r="G622" t="s">
        <v>151</v>
      </c>
      <c r="H622" t="s">
        <v>167</v>
      </c>
      <c r="I622" t="s">
        <v>45</v>
      </c>
      <c r="K622" t="s">
        <v>857</v>
      </c>
      <c r="L622">
        <v>1023300660520</v>
      </c>
      <c r="M622">
        <v>20250414</v>
      </c>
      <c r="N622" t="s">
        <v>175</v>
      </c>
      <c r="Q622" t="s">
        <v>47</v>
      </c>
      <c r="R622">
        <v>172920.5</v>
      </c>
      <c r="S622">
        <v>27495</v>
      </c>
      <c r="T622">
        <v>66052</v>
      </c>
      <c r="U622">
        <v>398110726</v>
      </c>
      <c r="V622" t="s">
        <v>426</v>
      </c>
      <c r="W622" t="s">
        <v>49</v>
      </c>
      <c r="X622" t="s">
        <v>59</v>
      </c>
      <c r="Y622" t="s">
        <v>51</v>
      </c>
      <c r="Z622">
        <v>1203</v>
      </c>
      <c r="AH622">
        <v>0</v>
      </c>
      <c r="AI622">
        <v>202504</v>
      </c>
      <c r="AJ622" t="s">
        <v>119</v>
      </c>
      <c r="AK622">
        <v>1</v>
      </c>
      <c r="AL622">
        <v>1</v>
      </c>
      <c r="AM622">
        <v>66052</v>
      </c>
      <c r="AN622">
        <v>1</v>
      </c>
      <c r="AO622">
        <v>1</v>
      </c>
      <c r="AP622" t="s">
        <v>3015</v>
      </c>
      <c r="AQ622" t="s">
        <v>3012</v>
      </c>
      <c r="AR622" t="s">
        <v>3016</v>
      </c>
      <c r="AT622" t="s">
        <v>3017</v>
      </c>
      <c r="AU622" t="s">
        <v>3018</v>
      </c>
    </row>
    <row r="623" spans="1:47" x14ac:dyDescent="0.35">
      <c r="A623">
        <v>337242</v>
      </c>
      <c r="B623" t="s">
        <v>164</v>
      </c>
      <c r="C623" t="s">
        <v>165</v>
      </c>
      <c r="D623" s="2">
        <v>45762</v>
      </c>
      <c r="E623">
        <v>53850</v>
      </c>
      <c r="F623">
        <v>118</v>
      </c>
      <c r="G623" t="s">
        <v>254</v>
      </c>
      <c r="H623" t="s">
        <v>167</v>
      </c>
      <c r="I623" t="s">
        <v>45</v>
      </c>
      <c r="K623">
        <v>202504147895391</v>
      </c>
      <c r="L623">
        <v>1183306279346</v>
      </c>
      <c r="M623">
        <v>20250414</v>
      </c>
      <c r="N623" t="s">
        <v>168</v>
      </c>
      <c r="P623" t="s">
        <v>255</v>
      </c>
      <c r="Q623" t="s">
        <v>170</v>
      </c>
      <c r="R623">
        <v>6866.83</v>
      </c>
      <c r="S623">
        <v>0</v>
      </c>
      <c r="T623">
        <v>4890743</v>
      </c>
      <c r="U623">
        <v>8059830722</v>
      </c>
      <c r="V623" t="s">
        <v>875</v>
      </c>
      <c r="W623" t="s">
        <v>49</v>
      </c>
      <c r="X623" t="s">
        <v>876</v>
      </c>
      <c r="Y623" t="s">
        <v>51</v>
      </c>
      <c r="Z623">
        <v>1203</v>
      </c>
      <c r="AH623">
        <v>0</v>
      </c>
      <c r="AI623">
        <v>202504</v>
      </c>
      <c r="AJ623" t="s">
        <v>86</v>
      </c>
      <c r="AK623">
        <v>1</v>
      </c>
      <c r="AL623">
        <v>1</v>
      </c>
      <c r="AO623">
        <v>0</v>
      </c>
      <c r="AP623" t="s">
        <v>3015</v>
      </c>
      <c r="AQ623" t="s">
        <v>3012</v>
      </c>
      <c r="AR623" t="s">
        <v>3016</v>
      </c>
      <c r="AT623" t="s">
        <v>3017</v>
      </c>
      <c r="AU623" t="s">
        <v>3018</v>
      </c>
    </row>
    <row r="624" spans="1:47" x14ac:dyDescent="0.35">
      <c r="A624">
        <v>337241</v>
      </c>
      <c r="B624" t="s">
        <v>172</v>
      </c>
      <c r="C624" t="s">
        <v>173</v>
      </c>
      <c r="D624" s="2">
        <v>45762</v>
      </c>
      <c r="E624">
        <v>53850</v>
      </c>
      <c r="F624">
        <v>116</v>
      </c>
      <c r="G624" t="s">
        <v>126</v>
      </c>
      <c r="H624" t="s">
        <v>167</v>
      </c>
      <c r="I624" t="s">
        <v>45</v>
      </c>
      <c r="K624">
        <v>202504147897411</v>
      </c>
      <c r="L624">
        <v>2343300010453</v>
      </c>
      <c r="M624">
        <v>20250414</v>
      </c>
      <c r="N624" t="s">
        <v>195</v>
      </c>
      <c r="Q624" t="s">
        <v>47</v>
      </c>
      <c r="R624">
        <v>177964.1</v>
      </c>
      <c r="S624">
        <v>177964.1</v>
      </c>
      <c r="T624">
        <v>4247777</v>
      </c>
      <c r="U624">
        <v>233470236</v>
      </c>
      <c r="V624" t="s">
        <v>206</v>
      </c>
      <c r="W624" t="s">
        <v>49</v>
      </c>
      <c r="X624" t="s">
        <v>117</v>
      </c>
      <c r="Y624" t="s">
        <v>51</v>
      </c>
      <c r="Z624">
        <v>1696</v>
      </c>
      <c r="AH624">
        <v>0</v>
      </c>
      <c r="AI624">
        <v>202504</v>
      </c>
      <c r="AJ624" t="s">
        <v>114</v>
      </c>
      <c r="AK624">
        <v>1</v>
      </c>
      <c r="AL624">
        <v>1</v>
      </c>
      <c r="AM624">
        <v>4247777</v>
      </c>
      <c r="AN624">
        <v>1</v>
      </c>
      <c r="AO624">
        <v>0</v>
      </c>
      <c r="AP624" t="s">
        <v>3029</v>
      </c>
      <c r="AQ624" t="s">
        <v>3012</v>
      </c>
      <c r="AR624" t="s">
        <v>3030</v>
      </c>
      <c r="AS624" t="s">
        <v>3014</v>
      </c>
      <c r="AU624" t="s">
        <v>3014</v>
      </c>
    </row>
    <row r="625" spans="1:47" x14ac:dyDescent="0.35">
      <c r="A625">
        <v>337240</v>
      </c>
      <c r="B625" t="s">
        <v>193</v>
      </c>
      <c r="C625" t="s">
        <v>194</v>
      </c>
      <c r="D625" s="2">
        <v>45762</v>
      </c>
      <c r="E625">
        <v>53850</v>
      </c>
      <c r="F625">
        <v>114</v>
      </c>
      <c r="G625" t="s">
        <v>188</v>
      </c>
      <c r="H625" t="s">
        <v>167</v>
      </c>
      <c r="I625" t="s">
        <v>45</v>
      </c>
      <c r="K625">
        <v>202504147897685</v>
      </c>
      <c r="L625">
        <v>1143306280621</v>
      </c>
      <c r="M625">
        <v>20250414</v>
      </c>
      <c r="N625" t="s">
        <v>266</v>
      </c>
      <c r="Q625" t="s">
        <v>47</v>
      </c>
      <c r="R625">
        <v>64500</v>
      </c>
      <c r="S625">
        <v>64500</v>
      </c>
      <c r="T625">
        <v>4658875</v>
      </c>
      <c r="U625">
        <v>3230890711</v>
      </c>
      <c r="V625" t="s">
        <v>189</v>
      </c>
      <c r="W625" t="s">
        <v>190</v>
      </c>
      <c r="X625" t="s">
        <v>131</v>
      </c>
      <c r="Y625" t="s">
        <v>51</v>
      </c>
      <c r="Z625">
        <v>870</v>
      </c>
      <c r="AH625">
        <v>0</v>
      </c>
      <c r="AI625">
        <v>202504</v>
      </c>
      <c r="AJ625" t="s">
        <v>56</v>
      </c>
      <c r="AK625">
        <v>0</v>
      </c>
      <c r="AL625">
        <v>1</v>
      </c>
      <c r="AM625">
        <v>4658875</v>
      </c>
      <c r="AN625">
        <v>1</v>
      </c>
      <c r="AO625">
        <v>0</v>
      </c>
      <c r="AP625" t="s">
        <v>3033</v>
      </c>
      <c r="AQ625" t="s">
        <v>3047</v>
      </c>
      <c r="AR625" t="s">
        <v>3048</v>
      </c>
      <c r="AS625" t="s">
        <v>3049</v>
      </c>
      <c r="AU625" t="s">
        <v>3049</v>
      </c>
    </row>
    <row r="626" spans="1:47" x14ac:dyDescent="0.35">
      <c r="A626">
        <v>337239</v>
      </c>
      <c r="B626" t="s">
        <v>193</v>
      </c>
      <c r="C626" t="s">
        <v>194</v>
      </c>
      <c r="D626" s="2">
        <v>45762</v>
      </c>
      <c r="E626">
        <v>53850</v>
      </c>
      <c r="F626">
        <v>182</v>
      </c>
      <c r="G626" t="s">
        <v>318</v>
      </c>
      <c r="H626" t="s">
        <v>167</v>
      </c>
      <c r="I626" t="s">
        <v>45</v>
      </c>
      <c r="K626" t="s">
        <v>857</v>
      </c>
      <c r="L626">
        <v>1823300169301</v>
      </c>
      <c r="M626">
        <v>20250414</v>
      </c>
      <c r="N626" t="s">
        <v>195</v>
      </c>
      <c r="Q626" t="s">
        <v>47</v>
      </c>
      <c r="R626">
        <v>40010</v>
      </c>
      <c r="S626">
        <v>40010</v>
      </c>
      <c r="T626">
        <v>4284957</v>
      </c>
      <c r="U626" t="s">
        <v>455</v>
      </c>
      <c r="V626" t="s">
        <v>456</v>
      </c>
      <c r="W626" t="s">
        <v>69</v>
      </c>
      <c r="X626" t="s">
        <v>197</v>
      </c>
      <c r="Y626" t="s">
        <v>51</v>
      </c>
      <c r="Z626">
        <v>1656</v>
      </c>
      <c r="AH626">
        <v>0</v>
      </c>
      <c r="AI626">
        <v>202504</v>
      </c>
      <c r="AJ626" t="s">
        <v>56</v>
      </c>
      <c r="AK626">
        <v>0</v>
      </c>
      <c r="AL626">
        <v>1</v>
      </c>
      <c r="AM626">
        <v>4284957</v>
      </c>
      <c r="AN626">
        <v>1</v>
      </c>
      <c r="AO626">
        <v>0</v>
      </c>
      <c r="AP626" t="s">
        <v>3050</v>
      </c>
      <c r="AQ626" t="s">
        <v>3021</v>
      </c>
      <c r="AR626" t="s">
        <v>3070</v>
      </c>
      <c r="AS626" t="s">
        <v>3055</v>
      </c>
      <c r="AU626" t="s">
        <v>3055</v>
      </c>
    </row>
    <row r="627" spans="1:47" x14ac:dyDescent="0.35">
      <c r="A627">
        <v>337238</v>
      </c>
      <c r="B627" t="s">
        <v>172</v>
      </c>
      <c r="C627" t="s">
        <v>173</v>
      </c>
      <c r="D627" s="2">
        <v>45762</v>
      </c>
      <c r="E627">
        <v>53850</v>
      </c>
      <c r="F627">
        <v>108</v>
      </c>
      <c r="G627" t="s">
        <v>124</v>
      </c>
      <c r="H627" t="s">
        <v>167</v>
      </c>
      <c r="I627" t="s">
        <v>45</v>
      </c>
      <c r="K627" t="s">
        <v>857</v>
      </c>
      <c r="L627">
        <v>1083306291105</v>
      </c>
      <c r="M627">
        <v>20250414</v>
      </c>
      <c r="N627" t="s">
        <v>175</v>
      </c>
      <c r="Q627" t="s">
        <v>47</v>
      </c>
      <c r="R627">
        <v>141489.49</v>
      </c>
      <c r="S627">
        <v>41638.400000000001</v>
      </c>
      <c r="T627">
        <v>4227057</v>
      </c>
      <c r="U627">
        <v>4874620729</v>
      </c>
      <c r="V627" t="s">
        <v>250</v>
      </c>
      <c r="W627" t="s">
        <v>49</v>
      </c>
      <c r="X627" t="s">
        <v>62</v>
      </c>
      <c r="Y627" t="s">
        <v>51</v>
      </c>
      <c r="Z627">
        <v>1058</v>
      </c>
      <c r="AH627">
        <v>0</v>
      </c>
      <c r="AI627">
        <v>202504</v>
      </c>
      <c r="AJ627" t="s">
        <v>56</v>
      </c>
      <c r="AK627">
        <v>0</v>
      </c>
      <c r="AL627">
        <v>1</v>
      </c>
      <c r="AM627">
        <v>4227057</v>
      </c>
      <c r="AN627">
        <v>1</v>
      </c>
      <c r="AO627">
        <v>1</v>
      </c>
      <c r="AP627" t="s">
        <v>3015</v>
      </c>
      <c r="AQ627" t="s">
        <v>3012</v>
      </c>
      <c r="AR627" t="s">
        <v>3016</v>
      </c>
      <c r="AT627" t="s">
        <v>3017</v>
      </c>
      <c r="AU627" t="s">
        <v>3018</v>
      </c>
    </row>
    <row r="628" spans="1:47" x14ac:dyDescent="0.35">
      <c r="A628">
        <v>337237</v>
      </c>
      <c r="B628" t="s">
        <v>164</v>
      </c>
      <c r="C628" t="s">
        <v>165</v>
      </c>
      <c r="D628" s="2">
        <v>45762</v>
      </c>
      <c r="E628">
        <v>53850</v>
      </c>
      <c r="F628">
        <v>259</v>
      </c>
      <c r="G628" t="s">
        <v>361</v>
      </c>
      <c r="H628" t="s">
        <v>167</v>
      </c>
      <c r="I628" t="s">
        <v>45</v>
      </c>
      <c r="K628">
        <v>202504147895069</v>
      </c>
      <c r="L628">
        <v>2593300000091</v>
      </c>
      <c r="M628">
        <v>20250414</v>
      </c>
      <c r="N628" t="s">
        <v>168</v>
      </c>
      <c r="P628" t="s">
        <v>255</v>
      </c>
      <c r="Q628" t="s">
        <v>170</v>
      </c>
      <c r="R628">
        <v>5000</v>
      </c>
      <c r="S628">
        <v>0</v>
      </c>
      <c r="T628">
        <v>4731214</v>
      </c>
      <c r="U628">
        <v>5978380722</v>
      </c>
      <c r="V628" t="s">
        <v>877</v>
      </c>
      <c r="W628" t="s">
        <v>620</v>
      </c>
      <c r="X628" t="s">
        <v>736</v>
      </c>
      <c r="Y628" t="s">
        <v>51</v>
      </c>
      <c r="Z628">
        <v>1530</v>
      </c>
      <c r="AH628">
        <v>0</v>
      </c>
      <c r="AI628">
        <v>202504</v>
      </c>
      <c r="AJ628" t="s">
        <v>119</v>
      </c>
      <c r="AK628">
        <v>1</v>
      </c>
      <c r="AL628">
        <v>1</v>
      </c>
      <c r="AO628">
        <v>0</v>
      </c>
      <c r="AP628" t="s">
        <v>3015</v>
      </c>
      <c r="AQ628" t="s">
        <v>3080</v>
      </c>
      <c r="AR628" t="s">
        <v>3081</v>
      </c>
      <c r="AT628" t="s">
        <v>3017</v>
      </c>
      <c r="AU628" t="s">
        <v>3057</v>
      </c>
    </row>
    <row r="629" spans="1:47" x14ac:dyDescent="0.35">
      <c r="A629">
        <v>337236</v>
      </c>
      <c r="B629" t="s">
        <v>178</v>
      </c>
      <c r="C629" t="s">
        <v>179</v>
      </c>
      <c r="D629" s="2">
        <v>45762</v>
      </c>
      <c r="E629">
        <v>53850</v>
      </c>
      <c r="F629">
        <v>122</v>
      </c>
      <c r="G629" t="s">
        <v>43</v>
      </c>
      <c r="H629" t="s">
        <v>167</v>
      </c>
      <c r="I629" t="s">
        <v>45</v>
      </c>
      <c r="K629">
        <v>202504147896369</v>
      </c>
      <c r="L629">
        <v>1223300001682</v>
      </c>
      <c r="M629">
        <v>20250414</v>
      </c>
      <c r="N629" t="s">
        <v>46</v>
      </c>
      <c r="P629" t="s">
        <v>51</v>
      </c>
      <c r="Q629" t="s">
        <v>47</v>
      </c>
      <c r="R629">
        <v>659334.14</v>
      </c>
      <c r="S629">
        <v>0</v>
      </c>
      <c r="T629">
        <v>3711207</v>
      </c>
      <c r="U629">
        <v>8825020723</v>
      </c>
      <c r="V629" t="s">
        <v>48</v>
      </c>
      <c r="W629" t="s">
        <v>49</v>
      </c>
      <c r="X629" t="s">
        <v>50</v>
      </c>
      <c r="Y629" t="s">
        <v>51</v>
      </c>
      <c r="Z629">
        <v>1696</v>
      </c>
      <c r="AH629">
        <v>0</v>
      </c>
      <c r="AI629">
        <v>202504</v>
      </c>
      <c r="AJ629" t="s">
        <v>52</v>
      </c>
      <c r="AK629">
        <v>0</v>
      </c>
      <c r="AL629">
        <v>1</v>
      </c>
      <c r="AO629">
        <v>0</v>
      </c>
      <c r="AP629" t="s">
        <v>3011</v>
      </c>
      <c r="AQ629" t="s">
        <v>3012</v>
      </c>
      <c r="AR629" t="s">
        <v>3013</v>
      </c>
      <c r="AS629" t="s">
        <v>3014</v>
      </c>
      <c r="AU629" t="s">
        <v>3014</v>
      </c>
    </row>
    <row r="630" spans="1:47" x14ac:dyDescent="0.35">
      <c r="A630">
        <v>337235</v>
      </c>
      <c r="B630" t="s">
        <v>178</v>
      </c>
      <c r="C630" t="s">
        <v>179</v>
      </c>
      <c r="D630" s="2">
        <v>45762</v>
      </c>
      <c r="E630">
        <v>53850</v>
      </c>
      <c r="F630">
        <v>195</v>
      </c>
      <c r="G630" t="s">
        <v>498</v>
      </c>
      <c r="H630" t="s">
        <v>167</v>
      </c>
      <c r="I630" t="s">
        <v>45</v>
      </c>
      <c r="K630">
        <v>202504147896431</v>
      </c>
      <c r="L630">
        <v>1943300005257</v>
      </c>
      <c r="M630">
        <v>20250414</v>
      </c>
      <c r="N630" t="s">
        <v>46</v>
      </c>
      <c r="P630" t="s">
        <v>51</v>
      </c>
      <c r="Q630" t="s">
        <v>47</v>
      </c>
      <c r="R630">
        <v>155770.47</v>
      </c>
      <c r="S630">
        <v>0</v>
      </c>
      <c r="T630">
        <v>3044309</v>
      </c>
      <c r="U630" t="s">
        <v>878</v>
      </c>
      <c r="V630" t="s">
        <v>879</v>
      </c>
      <c r="W630" t="s">
        <v>69</v>
      </c>
      <c r="X630" t="s">
        <v>131</v>
      </c>
      <c r="Y630" t="s">
        <v>51</v>
      </c>
      <c r="Z630">
        <v>1961</v>
      </c>
      <c r="AH630">
        <v>0</v>
      </c>
      <c r="AI630">
        <v>202504</v>
      </c>
      <c r="AJ630" t="s">
        <v>86</v>
      </c>
      <c r="AK630">
        <v>1</v>
      </c>
      <c r="AL630">
        <v>1</v>
      </c>
      <c r="AO630">
        <v>0</v>
      </c>
      <c r="AP630" t="s">
        <v>3033</v>
      </c>
      <c r="AQ630" t="s">
        <v>3021</v>
      </c>
      <c r="AR630" t="s">
        <v>3054</v>
      </c>
      <c r="AS630" t="s">
        <v>3055</v>
      </c>
      <c r="AU630" t="s">
        <v>3055</v>
      </c>
    </row>
    <row r="631" spans="1:47" x14ac:dyDescent="0.35">
      <c r="A631">
        <v>337234</v>
      </c>
      <c r="B631" t="s">
        <v>178</v>
      </c>
      <c r="C631" t="s">
        <v>179</v>
      </c>
      <c r="D631" s="2">
        <v>45762</v>
      </c>
      <c r="E631">
        <v>53850</v>
      </c>
      <c r="F631">
        <v>102</v>
      </c>
      <c r="G631" t="s">
        <v>151</v>
      </c>
      <c r="H631" t="s">
        <v>167</v>
      </c>
      <c r="I631" t="s">
        <v>45</v>
      </c>
      <c r="K631">
        <v>202504147895160</v>
      </c>
      <c r="L631">
        <v>1503300003188</v>
      </c>
      <c r="M631">
        <v>20250414</v>
      </c>
      <c r="N631" t="s">
        <v>236</v>
      </c>
      <c r="P631" t="s">
        <v>51</v>
      </c>
      <c r="Q631" t="s">
        <v>170</v>
      </c>
      <c r="R631">
        <v>1340000</v>
      </c>
      <c r="S631">
        <v>0</v>
      </c>
      <c r="T631">
        <v>4269640</v>
      </c>
      <c r="U631">
        <v>4797080969</v>
      </c>
      <c r="V631" t="s">
        <v>152</v>
      </c>
      <c r="W631" t="s">
        <v>153</v>
      </c>
      <c r="X631" t="s">
        <v>210</v>
      </c>
      <c r="Y631" t="s">
        <v>51</v>
      </c>
      <c r="Z631">
        <v>1926</v>
      </c>
      <c r="AH631">
        <v>0</v>
      </c>
      <c r="AI631">
        <v>202504</v>
      </c>
      <c r="AJ631" t="s">
        <v>52</v>
      </c>
      <c r="AK631">
        <v>0</v>
      </c>
      <c r="AL631">
        <v>1</v>
      </c>
      <c r="AO631">
        <v>0</v>
      </c>
      <c r="AP631" t="s">
        <v>3015</v>
      </c>
      <c r="AQ631" t="s">
        <v>3035</v>
      </c>
      <c r="AR631" t="s">
        <v>3036</v>
      </c>
      <c r="AT631" t="s">
        <v>3017</v>
      </c>
      <c r="AU631" t="s">
        <v>3037</v>
      </c>
    </row>
    <row r="632" spans="1:47" x14ac:dyDescent="0.35">
      <c r="A632">
        <v>337233</v>
      </c>
      <c r="B632" t="s">
        <v>178</v>
      </c>
      <c r="C632" t="s">
        <v>179</v>
      </c>
      <c r="D632" s="2">
        <v>45762</v>
      </c>
      <c r="E632">
        <v>53850</v>
      </c>
      <c r="F632">
        <v>175</v>
      </c>
      <c r="G632" t="s">
        <v>99</v>
      </c>
      <c r="H632" t="s">
        <v>167</v>
      </c>
      <c r="I632" t="s">
        <v>45</v>
      </c>
      <c r="K632">
        <v>202504147896454</v>
      </c>
      <c r="L632">
        <v>1753302203732</v>
      </c>
      <c r="M632">
        <v>20250414</v>
      </c>
      <c r="N632" t="s">
        <v>46</v>
      </c>
      <c r="P632" t="s">
        <v>51</v>
      </c>
      <c r="Q632" t="s">
        <v>47</v>
      </c>
      <c r="R632">
        <v>206686.93</v>
      </c>
      <c r="S632">
        <v>0</v>
      </c>
      <c r="T632">
        <v>70830</v>
      </c>
      <c r="U632" t="s">
        <v>880</v>
      </c>
      <c r="V632" t="s">
        <v>881</v>
      </c>
      <c r="W632" t="s">
        <v>187</v>
      </c>
      <c r="Y632" t="s">
        <v>51</v>
      </c>
      <c r="Z632">
        <v>1267</v>
      </c>
      <c r="AH632">
        <v>0</v>
      </c>
      <c r="AI632">
        <v>202504</v>
      </c>
      <c r="AJ632" t="s">
        <v>86</v>
      </c>
      <c r="AK632">
        <v>1</v>
      </c>
      <c r="AL632">
        <v>1</v>
      </c>
      <c r="AO632">
        <v>0</v>
      </c>
      <c r="AP632" t="s">
        <v>3015</v>
      </c>
      <c r="AQ632" t="s">
        <v>3044</v>
      </c>
      <c r="AR632" t="s">
        <v>3045</v>
      </c>
      <c r="AS632" t="s">
        <v>3046</v>
      </c>
      <c r="AU632" t="s">
        <v>3046</v>
      </c>
    </row>
    <row r="633" spans="1:47" x14ac:dyDescent="0.35">
      <c r="A633">
        <v>337232</v>
      </c>
      <c r="B633" t="s">
        <v>193</v>
      </c>
      <c r="C633" t="s">
        <v>194</v>
      </c>
      <c r="D633" s="2">
        <v>45762</v>
      </c>
      <c r="E633">
        <v>53850</v>
      </c>
      <c r="F633">
        <v>116</v>
      </c>
      <c r="G633" t="s">
        <v>126</v>
      </c>
      <c r="H633" t="s">
        <v>167</v>
      </c>
      <c r="I633" t="s">
        <v>45</v>
      </c>
      <c r="K633">
        <v>202504147897411</v>
      </c>
      <c r="L633">
        <v>2343300010453</v>
      </c>
      <c r="M633">
        <v>20250414</v>
      </c>
      <c r="N633" t="s">
        <v>195</v>
      </c>
      <c r="Q633" t="s">
        <v>47</v>
      </c>
      <c r="R633">
        <v>177964.1</v>
      </c>
      <c r="S633">
        <v>177964.1</v>
      </c>
      <c r="T633">
        <v>4247777</v>
      </c>
      <c r="U633">
        <v>233470236</v>
      </c>
      <c r="V633" t="s">
        <v>206</v>
      </c>
      <c r="W633" t="s">
        <v>49</v>
      </c>
      <c r="X633" t="s">
        <v>117</v>
      </c>
      <c r="Y633" t="s">
        <v>51</v>
      </c>
      <c r="Z633">
        <v>1696</v>
      </c>
      <c r="AH633">
        <v>0</v>
      </c>
      <c r="AI633">
        <v>202504</v>
      </c>
      <c r="AJ633" t="s">
        <v>114</v>
      </c>
      <c r="AK633">
        <v>1</v>
      </c>
      <c r="AL633">
        <v>1</v>
      </c>
      <c r="AM633">
        <v>4247777</v>
      </c>
      <c r="AN633">
        <v>1</v>
      </c>
      <c r="AO633">
        <v>0</v>
      </c>
      <c r="AP633" t="s">
        <v>3029</v>
      </c>
      <c r="AQ633" t="s">
        <v>3012</v>
      </c>
      <c r="AR633" t="s">
        <v>3030</v>
      </c>
      <c r="AS633" t="s">
        <v>3014</v>
      </c>
      <c r="AU633" t="s">
        <v>3014</v>
      </c>
    </row>
    <row r="634" spans="1:47" x14ac:dyDescent="0.35">
      <c r="A634">
        <v>337231</v>
      </c>
      <c r="B634" t="s">
        <v>178</v>
      </c>
      <c r="C634" t="s">
        <v>179</v>
      </c>
      <c r="D634" s="2">
        <v>45762</v>
      </c>
      <c r="E634">
        <v>53850</v>
      </c>
      <c r="F634">
        <v>102</v>
      </c>
      <c r="G634" t="s">
        <v>151</v>
      </c>
      <c r="H634" t="s">
        <v>167</v>
      </c>
      <c r="I634" t="s">
        <v>45</v>
      </c>
      <c r="K634">
        <v>202504147897549</v>
      </c>
      <c r="L634">
        <v>1023302224320</v>
      </c>
      <c r="M634">
        <v>20250414</v>
      </c>
      <c r="N634" t="s">
        <v>3136</v>
      </c>
      <c r="Q634" t="s">
        <v>170</v>
      </c>
      <c r="R634">
        <v>52291.78</v>
      </c>
      <c r="S634">
        <v>0</v>
      </c>
      <c r="T634">
        <v>222432</v>
      </c>
      <c r="U634" t="s">
        <v>882</v>
      </c>
      <c r="V634" t="s">
        <v>883</v>
      </c>
      <c r="W634" t="s">
        <v>187</v>
      </c>
      <c r="Y634" t="s">
        <v>51</v>
      </c>
      <c r="Z634">
        <v>1429</v>
      </c>
      <c r="AH634">
        <v>0</v>
      </c>
      <c r="AI634">
        <v>202504</v>
      </c>
      <c r="AJ634" t="s">
        <v>86</v>
      </c>
      <c r="AK634">
        <v>1</v>
      </c>
      <c r="AL634">
        <v>1</v>
      </c>
      <c r="AO634">
        <v>1</v>
      </c>
      <c r="AP634" t="s">
        <v>3015</v>
      </c>
      <c r="AQ634" t="s">
        <v>3044</v>
      </c>
      <c r="AR634" t="s">
        <v>3045</v>
      </c>
      <c r="AS634" t="s">
        <v>3046</v>
      </c>
      <c r="AU634" t="s">
        <v>3046</v>
      </c>
    </row>
    <row r="635" spans="1:47" x14ac:dyDescent="0.35">
      <c r="A635">
        <v>337230</v>
      </c>
      <c r="B635" t="s">
        <v>178</v>
      </c>
      <c r="C635" t="s">
        <v>179</v>
      </c>
      <c r="D635" s="2">
        <v>45762</v>
      </c>
      <c r="E635">
        <v>53850</v>
      </c>
      <c r="F635">
        <v>114</v>
      </c>
      <c r="G635" t="s">
        <v>188</v>
      </c>
      <c r="H635" t="s">
        <v>167</v>
      </c>
      <c r="I635" t="s">
        <v>45</v>
      </c>
      <c r="K635">
        <v>202504147897691</v>
      </c>
      <c r="L635">
        <v>1143306282417</v>
      </c>
      <c r="M635">
        <v>20250414</v>
      </c>
      <c r="N635" t="s">
        <v>3136</v>
      </c>
      <c r="Q635" t="s">
        <v>170</v>
      </c>
      <c r="R635">
        <v>8139.04</v>
      </c>
      <c r="S635">
        <v>0</v>
      </c>
      <c r="T635">
        <v>520646</v>
      </c>
      <c r="U635" t="s">
        <v>884</v>
      </c>
      <c r="V635" t="s">
        <v>885</v>
      </c>
      <c r="W635" t="s">
        <v>187</v>
      </c>
      <c r="Y635" t="s">
        <v>51</v>
      </c>
      <c r="Z635">
        <v>642</v>
      </c>
      <c r="AH635">
        <v>0</v>
      </c>
      <c r="AI635">
        <v>202504</v>
      </c>
      <c r="AJ635" t="s">
        <v>52</v>
      </c>
      <c r="AK635">
        <v>0</v>
      </c>
      <c r="AL635">
        <v>1</v>
      </c>
      <c r="AO635">
        <v>1</v>
      </c>
      <c r="AP635" t="s">
        <v>3015</v>
      </c>
      <c r="AQ635" t="s">
        <v>3044</v>
      </c>
      <c r="AR635" t="s">
        <v>3045</v>
      </c>
      <c r="AS635" t="s">
        <v>3046</v>
      </c>
      <c r="AU635" t="s">
        <v>3046</v>
      </c>
    </row>
    <row r="636" spans="1:47" x14ac:dyDescent="0.35">
      <c r="A636">
        <v>337229</v>
      </c>
      <c r="B636" t="s">
        <v>172</v>
      </c>
      <c r="C636" t="s">
        <v>173</v>
      </c>
      <c r="D636" s="2">
        <v>45762</v>
      </c>
      <c r="E636">
        <v>53850</v>
      </c>
      <c r="F636">
        <v>114</v>
      </c>
      <c r="G636" t="s">
        <v>188</v>
      </c>
      <c r="H636" t="s">
        <v>167</v>
      </c>
      <c r="I636" t="s">
        <v>45</v>
      </c>
      <c r="K636">
        <v>202504147897685</v>
      </c>
      <c r="L636">
        <v>1143306280621</v>
      </c>
      <c r="M636">
        <v>20250414</v>
      </c>
      <c r="N636" t="s">
        <v>266</v>
      </c>
      <c r="Q636" t="s">
        <v>47</v>
      </c>
      <c r="R636">
        <v>64500</v>
      </c>
      <c r="S636">
        <v>64500</v>
      </c>
      <c r="T636">
        <v>4658875</v>
      </c>
      <c r="U636">
        <v>3230890711</v>
      </c>
      <c r="V636" t="s">
        <v>189</v>
      </c>
      <c r="W636" t="s">
        <v>190</v>
      </c>
      <c r="X636" t="s">
        <v>131</v>
      </c>
      <c r="Y636" t="s">
        <v>51</v>
      </c>
      <c r="Z636">
        <v>870</v>
      </c>
      <c r="AH636">
        <v>0</v>
      </c>
      <c r="AI636">
        <v>202504</v>
      </c>
      <c r="AJ636" t="s">
        <v>56</v>
      </c>
      <c r="AK636">
        <v>0</v>
      </c>
      <c r="AL636">
        <v>1</v>
      </c>
      <c r="AM636">
        <v>4658875</v>
      </c>
      <c r="AN636">
        <v>1</v>
      </c>
      <c r="AO636">
        <v>0</v>
      </c>
      <c r="AP636" t="s">
        <v>3033</v>
      </c>
      <c r="AQ636" t="s">
        <v>3047</v>
      </c>
      <c r="AR636" t="s">
        <v>3048</v>
      </c>
      <c r="AS636" t="s">
        <v>3049</v>
      </c>
      <c r="AU636" t="s">
        <v>3049</v>
      </c>
    </row>
    <row r="637" spans="1:47" x14ac:dyDescent="0.35">
      <c r="A637">
        <v>337228</v>
      </c>
      <c r="B637" t="s">
        <v>172</v>
      </c>
      <c r="C637" t="s">
        <v>173</v>
      </c>
      <c r="D637" s="2">
        <v>45762</v>
      </c>
      <c r="E637">
        <v>53850</v>
      </c>
      <c r="F637">
        <v>287</v>
      </c>
      <c r="G637" t="s">
        <v>707</v>
      </c>
      <c r="H637" t="s">
        <v>167</v>
      </c>
      <c r="I637" t="s">
        <v>45</v>
      </c>
      <c r="K637" t="s">
        <v>857</v>
      </c>
      <c r="L637">
        <v>2873300001853</v>
      </c>
      <c r="M637">
        <v>20250414</v>
      </c>
      <c r="N637" t="s">
        <v>175</v>
      </c>
      <c r="Q637" t="s">
        <v>47</v>
      </c>
      <c r="R637">
        <v>153301.1</v>
      </c>
      <c r="S637">
        <v>78570</v>
      </c>
      <c r="T637">
        <v>3722213</v>
      </c>
      <c r="U637">
        <v>2021570698</v>
      </c>
      <c r="V637" t="s">
        <v>708</v>
      </c>
      <c r="W637" t="s">
        <v>49</v>
      </c>
      <c r="X637" t="s">
        <v>117</v>
      </c>
      <c r="Y637" t="s">
        <v>51</v>
      </c>
      <c r="Z637">
        <v>1877</v>
      </c>
      <c r="AH637">
        <v>0</v>
      </c>
      <c r="AI637">
        <v>202504</v>
      </c>
      <c r="AJ637" t="s">
        <v>52</v>
      </c>
      <c r="AK637">
        <v>0</v>
      </c>
      <c r="AL637">
        <v>1</v>
      </c>
      <c r="AM637">
        <v>3722213</v>
      </c>
      <c r="AN637">
        <v>1</v>
      </c>
      <c r="AO637">
        <v>1</v>
      </c>
      <c r="AP637" t="s">
        <v>3029</v>
      </c>
      <c r="AQ637" t="s">
        <v>3012</v>
      </c>
      <c r="AR637" t="s">
        <v>3030</v>
      </c>
      <c r="AS637" t="s">
        <v>3014</v>
      </c>
      <c r="AU637" t="s">
        <v>3014</v>
      </c>
    </row>
    <row r="638" spans="1:47" x14ac:dyDescent="0.35">
      <c r="A638">
        <v>337227</v>
      </c>
      <c r="B638" t="s">
        <v>178</v>
      </c>
      <c r="C638" t="s">
        <v>179</v>
      </c>
      <c r="D638" s="2">
        <v>45762</v>
      </c>
      <c r="E638">
        <v>53850</v>
      </c>
      <c r="F638">
        <v>164</v>
      </c>
      <c r="G638" t="s">
        <v>651</v>
      </c>
      <c r="H638" t="s">
        <v>167</v>
      </c>
      <c r="I638" t="s">
        <v>45</v>
      </c>
      <c r="K638" t="s">
        <v>886</v>
      </c>
      <c r="L638">
        <v>1643300370271</v>
      </c>
      <c r="M638">
        <v>20250414</v>
      </c>
      <c r="N638" t="s">
        <v>3136</v>
      </c>
      <c r="Q638" t="s">
        <v>170</v>
      </c>
      <c r="R638">
        <v>3050.66</v>
      </c>
      <c r="S638">
        <v>0</v>
      </c>
      <c r="T638">
        <v>4972098</v>
      </c>
      <c r="U638" t="s">
        <v>887</v>
      </c>
      <c r="V638" t="s">
        <v>888</v>
      </c>
      <c r="W638" t="s">
        <v>187</v>
      </c>
      <c r="Y638" t="s">
        <v>51</v>
      </c>
      <c r="Z638">
        <v>793</v>
      </c>
      <c r="AH638">
        <v>0</v>
      </c>
      <c r="AI638">
        <v>202504</v>
      </c>
      <c r="AJ638" t="s">
        <v>52</v>
      </c>
      <c r="AK638">
        <v>0</v>
      </c>
      <c r="AL638">
        <v>1</v>
      </c>
      <c r="AO638">
        <v>1</v>
      </c>
      <c r="AP638" t="s">
        <v>3015</v>
      </c>
      <c r="AQ638" t="s">
        <v>3044</v>
      </c>
      <c r="AR638" t="s">
        <v>3045</v>
      </c>
      <c r="AS638" t="s">
        <v>3046</v>
      </c>
      <c r="AU638" t="s">
        <v>3046</v>
      </c>
    </row>
    <row r="639" spans="1:47" x14ac:dyDescent="0.35">
      <c r="A639">
        <v>337226</v>
      </c>
      <c r="B639" t="s">
        <v>193</v>
      </c>
      <c r="C639" t="s">
        <v>194</v>
      </c>
      <c r="D639" s="2">
        <v>45762</v>
      </c>
      <c r="E639">
        <v>53850</v>
      </c>
      <c r="F639">
        <v>287</v>
      </c>
      <c r="G639" t="s">
        <v>707</v>
      </c>
      <c r="H639" t="s">
        <v>167</v>
      </c>
      <c r="I639" t="s">
        <v>45</v>
      </c>
      <c r="K639" t="s">
        <v>857</v>
      </c>
      <c r="L639">
        <v>2873300001853</v>
      </c>
      <c r="M639">
        <v>20250414</v>
      </c>
      <c r="N639" t="s">
        <v>175</v>
      </c>
      <c r="Q639" t="s">
        <v>47</v>
      </c>
      <c r="R639">
        <v>153301.1</v>
      </c>
      <c r="S639">
        <v>78570</v>
      </c>
      <c r="T639">
        <v>3722213</v>
      </c>
      <c r="U639">
        <v>2021570698</v>
      </c>
      <c r="V639" t="s">
        <v>708</v>
      </c>
      <c r="W639" t="s">
        <v>49</v>
      </c>
      <c r="X639" t="s">
        <v>117</v>
      </c>
      <c r="Y639" t="s">
        <v>51</v>
      </c>
      <c r="Z639">
        <v>1877</v>
      </c>
      <c r="AH639">
        <v>0</v>
      </c>
      <c r="AI639">
        <v>202504</v>
      </c>
      <c r="AJ639" t="s">
        <v>52</v>
      </c>
      <c r="AK639">
        <v>0</v>
      </c>
      <c r="AL639">
        <v>1</v>
      </c>
      <c r="AM639">
        <v>3722213</v>
      </c>
      <c r="AN639">
        <v>1</v>
      </c>
      <c r="AO639">
        <v>1</v>
      </c>
      <c r="AP639" t="s">
        <v>3029</v>
      </c>
      <c r="AQ639" t="s">
        <v>3012</v>
      </c>
      <c r="AR639" t="s">
        <v>3030</v>
      </c>
      <c r="AS639" t="s">
        <v>3014</v>
      </c>
      <c r="AU639" t="s">
        <v>3014</v>
      </c>
    </row>
    <row r="640" spans="1:47" x14ac:dyDescent="0.35">
      <c r="A640">
        <v>337225</v>
      </c>
      <c r="B640" t="s">
        <v>164</v>
      </c>
      <c r="C640" t="s">
        <v>165</v>
      </c>
      <c r="D640" s="2">
        <v>45762</v>
      </c>
      <c r="E640">
        <v>53850</v>
      </c>
      <c r="F640">
        <v>259</v>
      </c>
      <c r="G640" t="s">
        <v>361</v>
      </c>
      <c r="H640" t="s">
        <v>167</v>
      </c>
      <c r="I640" t="s">
        <v>45</v>
      </c>
      <c r="K640" t="s">
        <v>889</v>
      </c>
      <c r="L640">
        <v>2593300000091</v>
      </c>
      <c r="M640">
        <v>20250414</v>
      </c>
      <c r="N640" t="s">
        <v>168</v>
      </c>
      <c r="P640" t="s">
        <v>255</v>
      </c>
      <c r="Q640" t="s">
        <v>170</v>
      </c>
      <c r="R640">
        <v>2500</v>
      </c>
      <c r="S640">
        <v>0</v>
      </c>
      <c r="T640">
        <v>4731214</v>
      </c>
      <c r="U640">
        <v>5978380722</v>
      </c>
      <c r="V640" t="s">
        <v>877</v>
      </c>
      <c r="W640" t="s">
        <v>620</v>
      </c>
      <c r="X640" t="s">
        <v>736</v>
      </c>
      <c r="Y640" t="s">
        <v>51</v>
      </c>
      <c r="Z640">
        <v>1530</v>
      </c>
      <c r="AH640">
        <v>0</v>
      </c>
      <c r="AI640">
        <v>202504</v>
      </c>
      <c r="AJ640" t="s">
        <v>119</v>
      </c>
      <c r="AK640">
        <v>1</v>
      </c>
      <c r="AL640">
        <v>1</v>
      </c>
      <c r="AO640">
        <v>0</v>
      </c>
      <c r="AP640" t="s">
        <v>3015</v>
      </c>
      <c r="AQ640" t="s">
        <v>3080</v>
      </c>
      <c r="AR640" t="s">
        <v>3081</v>
      </c>
      <c r="AT640" t="s">
        <v>3017</v>
      </c>
      <c r="AU640" t="s">
        <v>3057</v>
      </c>
    </row>
    <row r="641" spans="1:47" x14ac:dyDescent="0.35">
      <c r="A641">
        <v>337224</v>
      </c>
      <c r="B641" t="s">
        <v>164</v>
      </c>
      <c r="C641" t="s">
        <v>165</v>
      </c>
      <c r="D641" s="2">
        <v>45762</v>
      </c>
      <c r="E641">
        <v>53850</v>
      </c>
      <c r="F641">
        <v>271</v>
      </c>
      <c r="G641" t="s">
        <v>275</v>
      </c>
      <c r="H641" t="s">
        <v>167</v>
      </c>
      <c r="I641" t="s">
        <v>45</v>
      </c>
      <c r="K641">
        <v>202504147896574</v>
      </c>
      <c r="L641">
        <v>2713300010112</v>
      </c>
      <c r="M641">
        <v>20250414</v>
      </c>
      <c r="N641" t="s">
        <v>168</v>
      </c>
      <c r="P641" t="s">
        <v>435</v>
      </c>
      <c r="Q641" t="s">
        <v>47</v>
      </c>
      <c r="R641">
        <v>5000</v>
      </c>
      <c r="S641">
        <v>0</v>
      </c>
      <c r="T641">
        <v>1611557</v>
      </c>
      <c r="U641" t="s">
        <v>890</v>
      </c>
      <c r="V641" t="s">
        <v>891</v>
      </c>
      <c r="W641" t="s">
        <v>69</v>
      </c>
      <c r="X641" t="s">
        <v>402</v>
      </c>
      <c r="Y641" t="s">
        <v>51</v>
      </c>
      <c r="Z641">
        <v>1850</v>
      </c>
      <c r="AH641">
        <v>0</v>
      </c>
      <c r="AI641">
        <v>202504</v>
      </c>
      <c r="AJ641" t="s">
        <v>52</v>
      </c>
      <c r="AK641">
        <v>0</v>
      </c>
      <c r="AL641">
        <v>1</v>
      </c>
      <c r="AO641">
        <v>0</v>
      </c>
      <c r="AP641" t="s">
        <v>3015</v>
      </c>
      <c r="AQ641" t="s">
        <v>3021</v>
      </c>
      <c r="AR641" t="s">
        <v>3022</v>
      </c>
      <c r="AT641" t="s">
        <v>3017</v>
      </c>
      <c r="AU641" t="s">
        <v>3014</v>
      </c>
    </row>
    <row r="642" spans="1:47" x14ac:dyDescent="0.35">
      <c r="A642">
        <v>337223</v>
      </c>
      <c r="B642" t="s">
        <v>178</v>
      </c>
      <c r="C642" t="s">
        <v>179</v>
      </c>
      <c r="D642" s="2">
        <v>45762</v>
      </c>
      <c r="E642">
        <v>53850</v>
      </c>
      <c r="F642">
        <v>277</v>
      </c>
      <c r="G642" t="s">
        <v>505</v>
      </c>
      <c r="H642" t="s">
        <v>167</v>
      </c>
      <c r="I642" t="s">
        <v>45</v>
      </c>
      <c r="K642">
        <v>202504147897500</v>
      </c>
      <c r="L642">
        <v>2773300001983</v>
      </c>
      <c r="M642">
        <v>20250414</v>
      </c>
      <c r="N642" t="s">
        <v>416</v>
      </c>
      <c r="Q642" t="s">
        <v>170</v>
      </c>
      <c r="R642">
        <v>600000</v>
      </c>
      <c r="S642">
        <v>0</v>
      </c>
      <c r="T642">
        <v>1706936</v>
      </c>
      <c r="U642">
        <v>1539900694</v>
      </c>
      <c r="V642" t="s">
        <v>892</v>
      </c>
      <c r="W642" t="s">
        <v>49</v>
      </c>
      <c r="X642" t="s">
        <v>893</v>
      </c>
      <c r="Y642" t="s">
        <v>51</v>
      </c>
      <c r="Z642">
        <v>1856</v>
      </c>
      <c r="AH642">
        <v>0</v>
      </c>
      <c r="AI642">
        <v>202504</v>
      </c>
      <c r="AJ642" t="s">
        <v>894</v>
      </c>
      <c r="AK642">
        <v>0</v>
      </c>
      <c r="AL642">
        <v>1</v>
      </c>
      <c r="AO642">
        <v>0</v>
      </c>
      <c r="AP642" t="s">
        <v>3015</v>
      </c>
      <c r="AQ642" t="s">
        <v>3012</v>
      </c>
      <c r="AR642" t="s">
        <v>3016</v>
      </c>
      <c r="AT642" t="s">
        <v>3017</v>
      </c>
      <c r="AU642" t="s">
        <v>3018</v>
      </c>
    </row>
    <row r="643" spans="1:47" x14ac:dyDescent="0.35">
      <c r="A643">
        <v>337222</v>
      </c>
      <c r="B643" t="s">
        <v>178</v>
      </c>
      <c r="C643" t="s">
        <v>179</v>
      </c>
      <c r="D643" s="2">
        <v>45762</v>
      </c>
      <c r="E643">
        <v>53850</v>
      </c>
      <c r="F643">
        <v>102</v>
      </c>
      <c r="G643" t="s">
        <v>151</v>
      </c>
      <c r="H643" t="s">
        <v>167</v>
      </c>
      <c r="I643" t="s">
        <v>45</v>
      </c>
      <c r="K643">
        <v>202504147895681</v>
      </c>
      <c r="L643">
        <v>1023305588130</v>
      </c>
      <c r="M643">
        <v>20250414</v>
      </c>
      <c r="N643" t="s">
        <v>46</v>
      </c>
      <c r="P643" t="s">
        <v>51</v>
      </c>
      <c r="Q643" t="s">
        <v>47</v>
      </c>
      <c r="R643">
        <v>294308</v>
      </c>
      <c r="S643">
        <v>0</v>
      </c>
      <c r="T643">
        <v>70682</v>
      </c>
      <c r="U643" t="s">
        <v>895</v>
      </c>
      <c r="V643" t="s">
        <v>896</v>
      </c>
      <c r="W643" t="s">
        <v>187</v>
      </c>
      <c r="Y643" t="s">
        <v>51</v>
      </c>
      <c r="Z643">
        <v>1335</v>
      </c>
      <c r="AH643">
        <v>0</v>
      </c>
      <c r="AI643">
        <v>202504</v>
      </c>
      <c r="AJ643" t="s">
        <v>86</v>
      </c>
      <c r="AK643">
        <v>1</v>
      </c>
      <c r="AL643">
        <v>1</v>
      </c>
      <c r="AO643">
        <v>0</v>
      </c>
      <c r="AP643" t="s">
        <v>3015</v>
      </c>
      <c r="AQ643" t="s">
        <v>3044</v>
      </c>
      <c r="AR643" t="s">
        <v>3045</v>
      </c>
      <c r="AS643" t="s">
        <v>3046</v>
      </c>
      <c r="AU643" t="s">
        <v>3046</v>
      </c>
    </row>
    <row r="644" spans="1:47" x14ac:dyDescent="0.35">
      <c r="A644">
        <v>337221</v>
      </c>
      <c r="B644" t="s">
        <v>178</v>
      </c>
      <c r="C644" t="s">
        <v>179</v>
      </c>
      <c r="D644" s="2">
        <v>45762</v>
      </c>
      <c r="E644">
        <v>53850</v>
      </c>
      <c r="F644">
        <v>110</v>
      </c>
      <c r="G644" t="s">
        <v>230</v>
      </c>
      <c r="H644" t="s">
        <v>167</v>
      </c>
      <c r="I644" t="s">
        <v>45</v>
      </c>
      <c r="K644">
        <v>202504147897663</v>
      </c>
      <c r="L644">
        <v>1103304317690</v>
      </c>
      <c r="M644">
        <v>20250414</v>
      </c>
      <c r="N644" t="s">
        <v>236</v>
      </c>
      <c r="P644" t="s">
        <v>51</v>
      </c>
      <c r="Q644" t="s">
        <v>170</v>
      </c>
      <c r="R644">
        <v>240000</v>
      </c>
      <c r="S644">
        <v>0</v>
      </c>
      <c r="T644">
        <v>431769</v>
      </c>
      <c r="U644" t="s">
        <v>897</v>
      </c>
      <c r="V644" t="s">
        <v>898</v>
      </c>
      <c r="W644" t="s">
        <v>187</v>
      </c>
      <c r="Y644" t="s">
        <v>51</v>
      </c>
      <c r="Z644">
        <v>1359</v>
      </c>
      <c r="AH644">
        <v>0</v>
      </c>
      <c r="AI644">
        <v>202504</v>
      </c>
      <c r="AJ644" t="s">
        <v>86</v>
      </c>
      <c r="AK644">
        <v>1</v>
      </c>
      <c r="AL644">
        <v>1</v>
      </c>
      <c r="AO644">
        <v>0</v>
      </c>
      <c r="AP644" t="s">
        <v>3015</v>
      </c>
      <c r="AQ644" t="s">
        <v>3044</v>
      </c>
      <c r="AR644" t="s">
        <v>3045</v>
      </c>
      <c r="AS644" t="s">
        <v>3046</v>
      </c>
      <c r="AU644" t="s">
        <v>3046</v>
      </c>
    </row>
    <row r="645" spans="1:47" x14ac:dyDescent="0.35">
      <c r="A645">
        <v>337220</v>
      </c>
      <c r="B645" t="s">
        <v>333</v>
      </c>
      <c r="C645" t="s">
        <v>334</v>
      </c>
      <c r="D645" s="2">
        <v>45762</v>
      </c>
      <c r="E645">
        <v>53850</v>
      </c>
      <c r="F645">
        <v>99</v>
      </c>
      <c r="G645" t="s">
        <v>335</v>
      </c>
      <c r="H645" t="s">
        <v>167</v>
      </c>
      <c r="I645" t="s">
        <v>45</v>
      </c>
      <c r="K645" t="s">
        <v>899</v>
      </c>
      <c r="M645">
        <v>20250414</v>
      </c>
      <c r="N645" t="s">
        <v>3136</v>
      </c>
      <c r="Q645" t="s">
        <v>170</v>
      </c>
      <c r="R645">
        <v>3050.66</v>
      </c>
      <c r="S645">
        <v>0</v>
      </c>
      <c r="T645">
        <v>4972098</v>
      </c>
      <c r="U645" t="s">
        <v>887</v>
      </c>
      <c r="V645" t="s">
        <v>888</v>
      </c>
      <c r="W645" t="s">
        <v>187</v>
      </c>
      <c r="Y645" t="s">
        <v>51</v>
      </c>
      <c r="Z645">
        <v>793</v>
      </c>
      <c r="AH645">
        <v>0</v>
      </c>
      <c r="AI645">
        <v>202504</v>
      </c>
      <c r="AJ645" t="s">
        <v>52</v>
      </c>
      <c r="AK645">
        <v>0</v>
      </c>
      <c r="AL645">
        <v>0</v>
      </c>
      <c r="AO645">
        <v>1</v>
      </c>
      <c r="AP645" t="s">
        <v>3015</v>
      </c>
      <c r="AQ645" t="s">
        <v>3044</v>
      </c>
      <c r="AR645" t="s">
        <v>3045</v>
      </c>
      <c r="AS645" t="s">
        <v>3046</v>
      </c>
      <c r="AU645" t="s">
        <v>3046</v>
      </c>
    </row>
    <row r="646" spans="1:47" x14ac:dyDescent="0.35">
      <c r="A646">
        <v>337219</v>
      </c>
      <c r="B646" t="s">
        <v>178</v>
      </c>
      <c r="C646" t="s">
        <v>179</v>
      </c>
      <c r="D646" s="2">
        <v>45762</v>
      </c>
      <c r="E646">
        <v>53850</v>
      </c>
      <c r="F646">
        <v>175</v>
      </c>
      <c r="G646" t="s">
        <v>99</v>
      </c>
      <c r="H646" t="s">
        <v>167</v>
      </c>
      <c r="I646" t="s">
        <v>45</v>
      </c>
      <c r="K646">
        <v>202504147896454</v>
      </c>
      <c r="L646">
        <v>1753302203732</v>
      </c>
      <c r="M646">
        <v>20250414</v>
      </c>
      <c r="N646" t="s">
        <v>46</v>
      </c>
      <c r="P646" t="s">
        <v>51</v>
      </c>
      <c r="Q646" t="s">
        <v>47</v>
      </c>
      <c r="R646">
        <v>206686.93</v>
      </c>
      <c r="S646">
        <v>0</v>
      </c>
      <c r="T646">
        <v>421274</v>
      </c>
      <c r="U646" t="s">
        <v>900</v>
      </c>
      <c r="V646" t="s">
        <v>901</v>
      </c>
      <c r="W646" t="s">
        <v>187</v>
      </c>
      <c r="Y646" t="s">
        <v>51</v>
      </c>
      <c r="Z646">
        <v>593</v>
      </c>
      <c r="AH646">
        <v>0</v>
      </c>
      <c r="AI646">
        <v>202504</v>
      </c>
      <c r="AJ646" t="s">
        <v>86</v>
      </c>
      <c r="AK646">
        <v>1</v>
      </c>
      <c r="AL646">
        <v>1</v>
      </c>
      <c r="AO646">
        <v>0</v>
      </c>
      <c r="AP646" t="s">
        <v>3015</v>
      </c>
      <c r="AQ646" t="s">
        <v>3044</v>
      </c>
      <c r="AR646" t="s">
        <v>3045</v>
      </c>
      <c r="AS646" t="s">
        <v>3046</v>
      </c>
      <c r="AU646" t="s">
        <v>3046</v>
      </c>
    </row>
    <row r="647" spans="1:47" x14ac:dyDescent="0.35">
      <c r="A647">
        <v>337218</v>
      </c>
      <c r="B647" t="s">
        <v>164</v>
      </c>
      <c r="C647" t="s">
        <v>165</v>
      </c>
      <c r="D647" s="2">
        <v>45762</v>
      </c>
      <c r="E647">
        <v>53850</v>
      </c>
      <c r="F647">
        <v>108</v>
      </c>
      <c r="G647" t="s">
        <v>124</v>
      </c>
      <c r="H647" t="s">
        <v>167</v>
      </c>
      <c r="I647" t="s">
        <v>45</v>
      </c>
      <c r="K647" t="s">
        <v>902</v>
      </c>
      <c r="L647">
        <v>1083300000001</v>
      </c>
      <c r="M647">
        <v>20250414</v>
      </c>
      <c r="N647" t="s">
        <v>168</v>
      </c>
      <c r="P647" t="s">
        <v>903</v>
      </c>
      <c r="Q647" t="s">
        <v>170</v>
      </c>
      <c r="R647">
        <v>3500</v>
      </c>
      <c r="S647">
        <v>0</v>
      </c>
      <c r="T647">
        <v>4168326</v>
      </c>
      <c r="U647">
        <v>91060700720</v>
      </c>
      <c r="V647" t="s">
        <v>904</v>
      </c>
      <c r="W647" t="s">
        <v>332</v>
      </c>
      <c r="X647" t="s">
        <v>905</v>
      </c>
      <c r="Y647" t="s">
        <v>51</v>
      </c>
      <c r="Z647">
        <v>1931</v>
      </c>
      <c r="AH647">
        <v>0</v>
      </c>
      <c r="AI647">
        <v>202504</v>
      </c>
      <c r="AJ647" t="s">
        <v>56</v>
      </c>
      <c r="AK647">
        <v>0</v>
      </c>
      <c r="AL647">
        <v>1</v>
      </c>
      <c r="AO647">
        <v>0</v>
      </c>
      <c r="AP647" t="s">
        <v>3015</v>
      </c>
      <c r="AQ647" t="s">
        <v>3058</v>
      </c>
      <c r="AR647" t="s">
        <v>3059</v>
      </c>
      <c r="AT647" t="s">
        <v>3017</v>
      </c>
      <c r="AU647" t="s">
        <v>3014</v>
      </c>
    </row>
    <row r="648" spans="1:47" x14ac:dyDescent="0.35">
      <c r="A648">
        <v>337217</v>
      </c>
      <c r="B648" t="s">
        <v>178</v>
      </c>
      <c r="C648" t="s">
        <v>179</v>
      </c>
      <c r="D648" s="2">
        <v>45762</v>
      </c>
      <c r="E648">
        <v>53850</v>
      </c>
      <c r="F648">
        <v>109</v>
      </c>
      <c r="G648" t="s">
        <v>89</v>
      </c>
      <c r="H648" t="s">
        <v>167</v>
      </c>
      <c r="I648" t="s">
        <v>45</v>
      </c>
      <c r="K648">
        <v>202504147897654</v>
      </c>
      <c r="L648">
        <v>1093304137240</v>
      </c>
      <c r="M648">
        <v>20250414</v>
      </c>
      <c r="N648" t="s">
        <v>3136</v>
      </c>
      <c r="Q648" t="s">
        <v>170</v>
      </c>
      <c r="R648">
        <v>28337.87</v>
      </c>
      <c r="S648">
        <v>0</v>
      </c>
      <c r="T648">
        <v>413724</v>
      </c>
      <c r="U648" t="s">
        <v>906</v>
      </c>
      <c r="V648" t="s">
        <v>907</v>
      </c>
      <c r="W648" t="s">
        <v>187</v>
      </c>
      <c r="Y648" t="s">
        <v>51</v>
      </c>
      <c r="Z648">
        <v>1430</v>
      </c>
      <c r="AH648">
        <v>0</v>
      </c>
      <c r="AI648">
        <v>202504</v>
      </c>
      <c r="AJ648" t="s">
        <v>86</v>
      </c>
      <c r="AK648">
        <v>1</v>
      </c>
      <c r="AL648">
        <v>1</v>
      </c>
      <c r="AO648">
        <v>1</v>
      </c>
      <c r="AP648" t="s">
        <v>3015</v>
      </c>
      <c r="AQ648" t="s">
        <v>3044</v>
      </c>
      <c r="AR648" t="s">
        <v>3045</v>
      </c>
      <c r="AS648" t="s">
        <v>3046</v>
      </c>
      <c r="AU648" t="s">
        <v>3046</v>
      </c>
    </row>
    <row r="649" spans="1:47" x14ac:dyDescent="0.35">
      <c r="A649">
        <v>337216</v>
      </c>
      <c r="B649" t="s">
        <v>172</v>
      </c>
      <c r="C649" t="s">
        <v>173</v>
      </c>
      <c r="D649" s="2">
        <v>45762</v>
      </c>
      <c r="E649">
        <v>53850</v>
      </c>
      <c r="F649">
        <v>102</v>
      </c>
      <c r="G649" t="s">
        <v>151</v>
      </c>
      <c r="H649" t="s">
        <v>167</v>
      </c>
      <c r="I649" t="s">
        <v>45</v>
      </c>
      <c r="K649">
        <v>202504147897540</v>
      </c>
      <c r="L649">
        <v>1023305098640</v>
      </c>
      <c r="M649">
        <v>20250414</v>
      </c>
      <c r="N649" t="s">
        <v>231</v>
      </c>
      <c r="Q649" t="s">
        <v>47</v>
      </c>
      <c r="R649">
        <v>500000</v>
      </c>
      <c r="S649">
        <v>0</v>
      </c>
      <c r="T649">
        <v>509864</v>
      </c>
      <c r="U649">
        <v>4312790720</v>
      </c>
      <c r="V649" t="s">
        <v>908</v>
      </c>
      <c r="W649" t="s">
        <v>49</v>
      </c>
      <c r="X649" t="s">
        <v>909</v>
      </c>
      <c r="Y649" t="s">
        <v>51</v>
      </c>
      <c r="Z649">
        <v>979</v>
      </c>
      <c r="AH649">
        <v>0</v>
      </c>
      <c r="AI649">
        <v>202504</v>
      </c>
      <c r="AJ649" t="s">
        <v>86</v>
      </c>
      <c r="AK649">
        <v>1</v>
      </c>
      <c r="AL649">
        <v>1</v>
      </c>
      <c r="AO649">
        <v>0</v>
      </c>
      <c r="AP649" t="s">
        <v>3015</v>
      </c>
      <c r="AQ649" t="s">
        <v>3012</v>
      </c>
      <c r="AR649" t="s">
        <v>3016</v>
      </c>
      <c r="AT649" t="s">
        <v>3017</v>
      </c>
      <c r="AU649" t="s">
        <v>3018</v>
      </c>
    </row>
    <row r="650" spans="1:47" x14ac:dyDescent="0.35">
      <c r="A650">
        <v>337215</v>
      </c>
      <c r="B650" t="s">
        <v>178</v>
      </c>
      <c r="C650" t="s">
        <v>179</v>
      </c>
      <c r="D650" s="2">
        <v>45762</v>
      </c>
      <c r="E650">
        <v>53850</v>
      </c>
      <c r="F650">
        <v>170</v>
      </c>
      <c r="G650" t="s">
        <v>211</v>
      </c>
      <c r="H650" t="s">
        <v>167</v>
      </c>
      <c r="I650" t="s">
        <v>45</v>
      </c>
      <c r="K650">
        <v>202504147895302</v>
      </c>
      <c r="L650">
        <v>1703306290830</v>
      </c>
      <c r="M650">
        <v>20250414</v>
      </c>
      <c r="N650" t="s">
        <v>310</v>
      </c>
      <c r="Q650" t="s">
        <v>170</v>
      </c>
      <c r="R650">
        <v>732210.04</v>
      </c>
      <c r="S650">
        <v>0</v>
      </c>
      <c r="T650">
        <v>4934769</v>
      </c>
      <c r="U650">
        <v>2791590728</v>
      </c>
      <c r="V650" t="s">
        <v>910</v>
      </c>
      <c r="W650" t="s">
        <v>49</v>
      </c>
      <c r="X650" t="s">
        <v>784</v>
      </c>
      <c r="Y650" t="s">
        <v>51</v>
      </c>
      <c r="Z650">
        <v>1919</v>
      </c>
      <c r="AH650">
        <v>0</v>
      </c>
      <c r="AI650">
        <v>202504</v>
      </c>
      <c r="AJ650" t="s">
        <v>86</v>
      </c>
      <c r="AK650">
        <v>1</v>
      </c>
      <c r="AL650">
        <v>1</v>
      </c>
      <c r="AO650">
        <v>0</v>
      </c>
      <c r="AP650" t="s">
        <v>3090</v>
      </c>
      <c r="AQ650" t="s">
        <v>3012</v>
      </c>
      <c r="AR650" t="s">
        <v>3091</v>
      </c>
      <c r="AS650" t="s">
        <v>3014</v>
      </c>
      <c r="AU650" t="s">
        <v>3014</v>
      </c>
    </row>
    <row r="651" spans="1:47" x14ac:dyDescent="0.35">
      <c r="A651">
        <v>337214</v>
      </c>
      <c r="B651" t="s">
        <v>178</v>
      </c>
      <c r="C651" t="s">
        <v>179</v>
      </c>
      <c r="D651" s="2">
        <v>45762</v>
      </c>
      <c r="E651">
        <v>53850</v>
      </c>
      <c r="F651">
        <v>122</v>
      </c>
      <c r="G651" t="s">
        <v>43</v>
      </c>
      <c r="H651" t="s">
        <v>167</v>
      </c>
      <c r="I651" t="s">
        <v>45</v>
      </c>
      <c r="K651">
        <v>202504147897736</v>
      </c>
      <c r="L651">
        <v>1223300002884</v>
      </c>
      <c r="M651">
        <v>20250414</v>
      </c>
      <c r="N651" t="s">
        <v>236</v>
      </c>
      <c r="Q651" t="s">
        <v>170</v>
      </c>
      <c r="R651">
        <v>282133.15999999997</v>
      </c>
      <c r="S651">
        <v>0</v>
      </c>
      <c r="T651">
        <v>3736222</v>
      </c>
      <c r="U651" t="s">
        <v>911</v>
      </c>
      <c r="V651" t="s">
        <v>912</v>
      </c>
      <c r="W651" t="s">
        <v>187</v>
      </c>
      <c r="Y651" t="s">
        <v>51</v>
      </c>
      <c r="Z651">
        <v>968</v>
      </c>
      <c r="AH651">
        <v>0</v>
      </c>
      <c r="AI651">
        <v>202504</v>
      </c>
      <c r="AJ651" t="s">
        <v>86</v>
      </c>
      <c r="AK651">
        <v>1</v>
      </c>
      <c r="AL651">
        <v>1</v>
      </c>
      <c r="AO651">
        <v>0</v>
      </c>
      <c r="AP651" t="s">
        <v>3015</v>
      </c>
      <c r="AQ651" t="s">
        <v>3044</v>
      </c>
      <c r="AR651" t="s">
        <v>3045</v>
      </c>
      <c r="AS651" t="s">
        <v>3046</v>
      </c>
      <c r="AU651" t="s">
        <v>3046</v>
      </c>
    </row>
    <row r="652" spans="1:47" x14ac:dyDescent="0.35">
      <c r="A652">
        <v>337213</v>
      </c>
      <c r="B652" t="s">
        <v>193</v>
      </c>
      <c r="C652" t="s">
        <v>194</v>
      </c>
      <c r="D652" s="2">
        <v>45762</v>
      </c>
      <c r="E652">
        <v>53850</v>
      </c>
      <c r="F652">
        <v>170</v>
      </c>
      <c r="G652" t="s">
        <v>211</v>
      </c>
      <c r="H652" t="s">
        <v>167</v>
      </c>
      <c r="I652" t="s">
        <v>45</v>
      </c>
      <c r="K652" t="s">
        <v>857</v>
      </c>
      <c r="L652">
        <v>1703300000428</v>
      </c>
      <c r="M652">
        <v>20250414</v>
      </c>
      <c r="N652" t="s">
        <v>195</v>
      </c>
      <c r="Q652" t="s">
        <v>47</v>
      </c>
      <c r="R652">
        <v>52000</v>
      </c>
      <c r="S652">
        <v>52000</v>
      </c>
      <c r="T652">
        <v>4833134</v>
      </c>
      <c r="U652">
        <v>7323170725</v>
      </c>
      <c r="V652" t="s">
        <v>425</v>
      </c>
      <c r="W652" t="s">
        <v>49</v>
      </c>
      <c r="X652" t="s">
        <v>413</v>
      </c>
      <c r="Y652" t="s">
        <v>51</v>
      </c>
      <c r="Z652">
        <v>694</v>
      </c>
      <c r="AH652">
        <v>0</v>
      </c>
      <c r="AI652">
        <v>202504</v>
      </c>
      <c r="AJ652" t="s">
        <v>56</v>
      </c>
      <c r="AK652">
        <v>0</v>
      </c>
      <c r="AL652">
        <v>1</v>
      </c>
      <c r="AM652">
        <v>4833134</v>
      </c>
      <c r="AN652">
        <v>1</v>
      </c>
      <c r="AO652">
        <v>0</v>
      </c>
      <c r="AP652" t="s">
        <v>3015</v>
      </c>
      <c r="AQ652" t="s">
        <v>3012</v>
      </c>
      <c r="AR652" t="s">
        <v>3016</v>
      </c>
      <c r="AT652" t="s">
        <v>3017</v>
      </c>
      <c r="AU652" t="s">
        <v>3018</v>
      </c>
    </row>
    <row r="653" spans="1:47" x14ac:dyDescent="0.35">
      <c r="A653">
        <v>337212</v>
      </c>
      <c r="B653" t="s">
        <v>172</v>
      </c>
      <c r="C653" t="s">
        <v>173</v>
      </c>
      <c r="D653" s="2">
        <v>45762</v>
      </c>
      <c r="E653">
        <v>53850</v>
      </c>
      <c r="F653">
        <v>273</v>
      </c>
      <c r="G653" t="s">
        <v>133</v>
      </c>
      <c r="H653" t="s">
        <v>167</v>
      </c>
      <c r="I653" t="s">
        <v>45</v>
      </c>
      <c r="K653">
        <v>202504147898124</v>
      </c>
      <c r="L653">
        <v>2733300003257</v>
      </c>
      <c r="M653">
        <v>20250414</v>
      </c>
      <c r="N653" t="s">
        <v>231</v>
      </c>
      <c r="Q653" t="s">
        <v>47</v>
      </c>
      <c r="R653">
        <v>110000</v>
      </c>
      <c r="S653">
        <v>0</v>
      </c>
      <c r="T653">
        <v>1672098</v>
      </c>
      <c r="U653" t="s">
        <v>913</v>
      </c>
      <c r="V653" t="s">
        <v>914</v>
      </c>
      <c r="W653" t="s">
        <v>342</v>
      </c>
      <c r="X653" t="s">
        <v>686</v>
      </c>
      <c r="Y653" t="s">
        <v>51</v>
      </c>
      <c r="Z653">
        <v>1801</v>
      </c>
      <c r="AH653">
        <v>0</v>
      </c>
      <c r="AI653">
        <v>202504</v>
      </c>
      <c r="AJ653" t="s">
        <v>52</v>
      </c>
      <c r="AK653">
        <v>0</v>
      </c>
      <c r="AL653">
        <v>1</v>
      </c>
      <c r="AO653">
        <v>0</v>
      </c>
      <c r="AP653" t="s">
        <v>3015</v>
      </c>
      <c r="AQ653" t="s">
        <v>3060</v>
      </c>
      <c r="AR653" t="s">
        <v>3061</v>
      </c>
      <c r="AT653" t="s">
        <v>3017</v>
      </c>
      <c r="AU653" t="s">
        <v>3014</v>
      </c>
    </row>
    <row r="654" spans="1:47" x14ac:dyDescent="0.35">
      <c r="A654">
        <v>337211</v>
      </c>
      <c r="B654" t="s">
        <v>333</v>
      </c>
      <c r="C654" t="s">
        <v>334</v>
      </c>
      <c r="D654" s="2">
        <v>45762</v>
      </c>
      <c r="E654">
        <v>53850</v>
      </c>
      <c r="F654">
        <v>261</v>
      </c>
      <c r="G654" t="s">
        <v>136</v>
      </c>
      <c r="H654" t="s">
        <v>167</v>
      </c>
      <c r="I654" t="s">
        <v>45</v>
      </c>
      <c r="K654">
        <v>202504147898047</v>
      </c>
      <c r="M654">
        <v>20250414</v>
      </c>
      <c r="N654" t="s">
        <v>915</v>
      </c>
      <c r="Q654" t="s">
        <v>170</v>
      </c>
      <c r="R654">
        <v>78009.149999999994</v>
      </c>
      <c r="S654">
        <v>0</v>
      </c>
      <c r="T654">
        <v>4173710</v>
      </c>
      <c r="U654" t="s">
        <v>916</v>
      </c>
      <c r="V654" t="s">
        <v>917</v>
      </c>
      <c r="W654" t="s">
        <v>187</v>
      </c>
      <c r="Y654" t="s">
        <v>51</v>
      </c>
      <c r="AH654">
        <v>0</v>
      </c>
      <c r="AI654">
        <v>202504</v>
      </c>
      <c r="AJ654" t="s">
        <v>52</v>
      </c>
      <c r="AK654">
        <v>0</v>
      </c>
      <c r="AL654">
        <v>0</v>
      </c>
      <c r="AO654">
        <v>0</v>
      </c>
      <c r="AP654" t="s">
        <v>3015</v>
      </c>
      <c r="AQ654" t="s">
        <v>3044</v>
      </c>
      <c r="AR654" t="s">
        <v>3045</v>
      </c>
      <c r="AS654" t="s">
        <v>3046</v>
      </c>
      <c r="AU654" t="s">
        <v>3046</v>
      </c>
    </row>
    <row r="655" spans="1:47" x14ac:dyDescent="0.35">
      <c r="A655">
        <v>337210</v>
      </c>
      <c r="B655" t="s">
        <v>178</v>
      </c>
      <c r="C655" t="s">
        <v>179</v>
      </c>
      <c r="D655" s="2">
        <v>45762</v>
      </c>
      <c r="E655">
        <v>53850</v>
      </c>
      <c r="F655">
        <v>109</v>
      </c>
      <c r="G655" t="s">
        <v>89</v>
      </c>
      <c r="H655" t="s">
        <v>167</v>
      </c>
      <c r="I655" t="s">
        <v>45</v>
      </c>
      <c r="K655">
        <v>202504147897650</v>
      </c>
      <c r="L655">
        <v>1093300826060</v>
      </c>
      <c r="M655">
        <v>20250414</v>
      </c>
      <c r="N655" t="s">
        <v>3136</v>
      </c>
      <c r="Q655" t="s">
        <v>170</v>
      </c>
      <c r="R655">
        <v>50860.3</v>
      </c>
      <c r="S655">
        <v>0</v>
      </c>
      <c r="T655">
        <v>82565</v>
      </c>
      <c r="U655" t="s">
        <v>918</v>
      </c>
      <c r="V655" t="s">
        <v>919</v>
      </c>
      <c r="W655" t="s">
        <v>187</v>
      </c>
      <c r="Y655" t="s">
        <v>51</v>
      </c>
      <c r="Z655">
        <v>1918</v>
      </c>
      <c r="AH655">
        <v>0</v>
      </c>
      <c r="AI655">
        <v>202504</v>
      </c>
      <c r="AJ655" t="s">
        <v>86</v>
      </c>
      <c r="AK655">
        <v>1</v>
      </c>
      <c r="AL655">
        <v>1</v>
      </c>
      <c r="AO655">
        <v>1</v>
      </c>
      <c r="AP655" t="s">
        <v>3015</v>
      </c>
      <c r="AQ655" t="s">
        <v>3044</v>
      </c>
      <c r="AR655" t="s">
        <v>3045</v>
      </c>
      <c r="AS655" t="s">
        <v>3046</v>
      </c>
      <c r="AU655" t="s">
        <v>3046</v>
      </c>
    </row>
    <row r="656" spans="1:47" x14ac:dyDescent="0.35">
      <c r="A656">
        <v>337209</v>
      </c>
      <c r="B656" t="s">
        <v>193</v>
      </c>
      <c r="C656" t="s">
        <v>194</v>
      </c>
      <c r="D656" s="2">
        <v>45762</v>
      </c>
      <c r="E656">
        <v>53850</v>
      </c>
      <c r="F656">
        <v>110</v>
      </c>
      <c r="G656" t="s">
        <v>230</v>
      </c>
      <c r="H656" t="s">
        <v>167</v>
      </c>
      <c r="I656" t="s">
        <v>45</v>
      </c>
      <c r="K656" t="s">
        <v>920</v>
      </c>
      <c r="L656">
        <v>2263300011854</v>
      </c>
      <c r="M656">
        <v>20250412</v>
      </c>
      <c r="N656" t="s">
        <v>195</v>
      </c>
      <c r="Q656" t="s">
        <v>47</v>
      </c>
      <c r="R656">
        <v>44705</v>
      </c>
      <c r="S656">
        <v>44705</v>
      </c>
      <c r="T656">
        <v>3708070</v>
      </c>
      <c r="U656">
        <v>8755330720</v>
      </c>
      <c r="V656" t="s">
        <v>643</v>
      </c>
      <c r="W656" t="s">
        <v>49</v>
      </c>
      <c r="X656" t="s">
        <v>200</v>
      </c>
      <c r="Y656" t="s">
        <v>51</v>
      </c>
      <c r="Z656">
        <v>1932</v>
      </c>
      <c r="AH656">
        <v>0</v>
      </c>
      <c r="AI656">
        <v>202504</v>
      </c>
      <c r="AJ656" t="s">
        <v>56</v>
      </c>
      <c r="AK656">
        <v>0</v>
      </c>
      <c r="AL656">
        <v>1</v>
      </c>
      <c r="AM656">
        <v>3708070</v>
      </c>
      <c r="AN656">
        <v>1</v>
      </c>
      <c r="AO656">
        <v>0</v>
      </c>
      <c r="AP656" t="s">
        <v>3015</v>
      </c>
      <c r="AQ656" t="s">
        <v>3012</v>
      </c>
      <c r="AR656" t="s">
        <v>3016</v>
      </c>
      <c r="AT656" t="s">
        <v>3017</v>
      </c>
      <c r="AU656" t="s">
        <v>3018</v>
      </c>
    </row>
    <row r="657" spans="1:47" x14ac:dyDescent="0.35">
      <c r="A657">
        <v>337208</v>
      </c>
      <c r="B657" t="s">
        <v>193</v>
      </c>
      <c r="C657" t="s">
        <v>194</v>
      </c>
      <c r="D657" s="2">
        <v>45762</v>
      </c>
      <c r="E657">
        <v>53850</v>
      </c>
      <c r="F657">
        <v>102</v>
      </c>
      <c r="G657" t="s">
        <v>151</v>
      </c>
      <c r="H657" t="s">
        <v>167</v>
      </c>
      <c r="I657" t="s">
        <v>45</v>
      </c>
      <c r="K657">
        <v>202504127896818</v>
      </c>
      <c r="L657">
        <v>1023308722503</v>
      </c>
      <c r="M657">
        <v>20250412</v>
      </c>
      <c r="N657" t="s">
        <v>195</v>
      </c>
      <c r="Q657" t="s">
        <v>47</v>
      </c>
      <c r="R657">
        <v>31920</v>
      </c>
      <c r="S657">
        <v>31920</v>
      </c>
      <c r="T657">
        <v>413650</v>
      </c>
      <c r="U657">
        <v>3657230722</v>
      </c>
      <c r="V657" t="s">
        <v>196</v>
      </c>
      <c r="W657" t="s">
        <v>190</v>
      </c>
      <c r="X657" t="s">
        <v>197</v>
      </c>
      <c r="Y657" t="s">
        <v>51</v>
      </c>
      <c r="Z657">
        <v>1306</v>
      </c>
      <c r="AH657">
        <v>0</v>
      </c>
      <c r="AI657">
        <v>202504</v>
      </c>
      <c r="AJ657" t="s">
        <v>56</v>
      </c>
      <c r="AK657">
        <v>0</v>
      </c>
      <c r="AL657">
        <v>1</v>
      </c>
      <c r="AM657">
        <v>413650</v>
      </c>
      <c r="AN657">
        <v>1</v>
      </c>
      <c r="AO657">
        <v>0</v>
      </c>
      <c r="AP657" t="s">
        <v>3050</v>
      </c>
      <c r="AQ657" t="s">
        <v>3047</v>
      </c>
      <c r="AR657" t="s">
        <v>3051</v>
      </c>
      <c r="AS657" t="s">
        <v>3049</v>
      </c>
      <c r="AU657" t="s">
        <v>3049</v>
      </c>
    </row>
    <row r="658" spans="1:47" x14ac:dyDescent="0.35">
      <c r="A658">
        <v>329516</v>
      </c>
      <c r="B658" t="s">
        <v>178</v>
      </c>
      <c r="C658" t="s">
        <v>179</v>
      </c>
      <c r="D658" s="2">
        <v>45759</v>
      </c>
      <c r="E658">
        <v>53850</v>
      </c>
      <c r="F658">
        <v>117</v>
      </c>
      <c r="G658" t="s">
        <v>490</v>
      </c>
      <c r="H658" t="s">
        <v>167</v>
      </c>
      <c r="I658" t="s">
        <v>45</v>
      </c>
      <c r="K658">
        <v>202504147888460</v>
      </c>
      <c r="L658">
        <v>1173300536339</v>
      </c>
      <c r="M658">
        <v>20250414</v>
      </c>
      <c r="N658" t="s">
        <v>921</v>
      </c>
      <c r="Q658" t="s">
        <v>170</v>
      </c>
      <c r="R658">
        <v>320000</v>
      </c>
      <c r="S658">
        <v>0</v>
      </c>
      <c r="T658">
        <v>3028778</v>
      </c>
      <c r="U658" t="s">
        <v>922</v>
      </c>
      <c r="V658" t="s">
        <v>923</v>
      </c>
      <c r="W658" t="s">
        <v>187</v>
      </c>
      <c r="Y658" t="s">
        <v>51</v>
      </c>
      <c r="Z658">
        <v>1772</v>
      </c>
      <c r="AH658">
        <v>0</v>
      </c>
      <c r="AI658">
        <v>202504</v>
      </c>
      <c r="AJ658" t="s">
        <v>52</v>
      </c>
      <c r="AK658">
        <v>0</v>
      </c>
      <c r="AL658">
        <v>1</v>
      </c>
      <c r="AO658">
        <v>0</v>
      </c>
      <c r="AP658" t="s">
        <v>3015</v>
      </c>
      <c r="AQ658" t="s">
        <v>3044</v>
      </c>
      <c r="AR658" t="s">
        <v>3045</v>
      </c>
      <c r="AS658" t="s">
        <v>3046</v>
      </c>
      <c r="AU658" t="s">
        <v>3046</v>
      </c>
    </row>
    <row r="659" spans="1:47" x14ac:dyDescent="0.35">
      <c r="A659">
        <v>329515</v>
      </c>
      <c r="B659" t="s">
        <v>178</v>
      </c>
      <c r="C659" t="s">
        <v>179</v>
      </c>
      <c r="D659" s="2">
        <v>45759</v>
      </c>
      <c r="E659">
        <v>53850</v>
      </c>
      <c r="F659">
        <v>102</v>
      </c>
      <c r="G659" t="s">
        <v>151</v>
      </c>
      <c r="H659" t="s">
        <v>167</v>
      </c>
      <c r="I659" t="s">
        <v>45</v>
      </c>
      <c r="K659">
        <v>202504147888524</v>
      </c>
      <c r="L659">
        <v>1023302251821</v>
      </c>
      <c r="M659">
        <v>20250414</v>
      </c>
      <c r="N659" t="s">
        <v>924</v>
      </c>
      <c r="Q659" t="s">
        <v>47</v>
      </c>
      <c r="R659">
        <v>199998</v>
      </c>
      <c r="S659">
        <v>0</v>
      </c>
      <c r="T659">
        <v>522069</v>
      </c>
      <c r="U659" t="s">
        <v>925</v>
      </c>
      <c r="V659" t="s">
        <v>926</v>
      </c>
      <c r="W659" t="s">
        <v>342</v>
      </c>
      <c r="X659" t="s">
        <v>927</v>
      </c>
      <c r="Y659" t="s">
        <v>51</v>
      </c>
      <c r="Z659">
        <v>1306</v>
      </c>
      <c r="AH659">
        <v>0</v>
      </c>
      <c r="AI659">
        <v>202504</v>
      </c>
      <c r="AJ659" t="s">
        <v>56</v>
      </c>
      <c r="AK659">
        <v>0</v>
      </c>
      <c r="AL659">
        <v>1</v>
      </c>
      <c r="AO659">
        <v>0</v>
      </c>
      <c r="AP659" t="s">
        <v>3092</v>
      </c>
      <c r="AQ659" t="s">
        <v>3060</v>
      </c>
      <c r="AR659" t="s">
        <v>3093</v>
      </c>
      <c r="AS659" t="s">
        <v>3055</v>
      </c>
      <c r="AU659" t="s">
        <v>3055</v>
      </c>
    </row>
    <row r="660" spans="1:47" x14ac:dyDescent="0.35">
      <c r="A660">
        <v>329514</v>
      </c>
      <c r="B660" t="s">
        <v>178</v>
      </c>
      <c r="C660" t="s">
        <v>179</v>
      </c>
      <c r="D660" s="2">
        <v>45759</v>
      </c>
      <c r="E660">
        <v>53850</v>
      </c>
      <c r="F660">
        <v>103</v>
      </c>
      <c r="G660" t="s">
        <v>80</v>
      </c>
      <c r="H660" t="s">
        <v>167</v>
      </c>
      <c r="I660" t="s">
        <v>45</v>
      </c>
      <c r="K660">
        <v>202504147888566</v>
      </c>
      <c r="L660">
        <v>1033306973662</v>
      </c>
      <c r="M660">
        <v>20250414</v>
      </c>
      <c r="N660" t="s">
        <v>924</v>
      </c>
      <c r="Q660" t="s">
        <v>47</v>
      </c>
      <c r="R660">
        <v>399998</v>
      </c>
      <c r="S660">
        <v>0</v>
      </c>
      <c r="T660">
        <v>11422</v>
      </c>
      <c r="U660" t="s">
        <v>928</v>
      </c>
      <c r="V660" t="s">
        <v>929</v>
      </c>
      <c r="W660" t="s">
        <v>187</v>
      </c>
      <c r="Y660" t="s">
        <v>51</v>
      </c>
      <c r="Z660">
        <v>806</v>
      </c>
      <c r="AH660">
        <v>0</v>
      </c>
      <c r="AI660">
        <v>202504</v>
      </c>
      <c r="AJ660" t="s">
        <v>86</v>
      </c>
      <c r="AK660">
        <v>1</v>
      </c>
      <c r="AL660">
        <v>1</v>
      </c>
      <c r="AO660">
        <v>0</v>
      </c>
      <c r="AP660" t="s">
        <v>3015</v>
      </c>
      <c r="AQ660" t="s">
        <v>3044</v>
      </c>
      <c r="AR660" t="s">
        <v>3045</v>
      </c>
      <c r="AS660" t="s">
        <v>3046</v>
      </c>
      <c r="AU660" t="s">
        <v>3046</v>
      </c>
    </row>
    <row r="661" spans="1:47" x14ac:dyDescent="0.35">
      <c r="A661">
        <v>329513</v>
      </c>
      <c r="B661" t="s">
        <v>178</v>
      </c>
      <c r="C661" t="s">
        <v>179</v>
      </c>
      <c r="D661" s="2">
        <v>45759</v>
      </c>
      <c r="E661">
        <v>53850</v>
      </c>
      <c r="F661">
        <v>105</v>
      </c>
      <c r="G661" t="s">
        <v>60</v>
      </c>
      <c r="H661" t="s">
        <v>167</v>
      </c>
      <c r="I661" t="s">
        <v>45</v>
      </c>
      <c r="K661">
        <v>202504147888589</v>
      </c>
      <c r="L661">
        <v>1053304343840</v>
      </c>
      <c r="M661">
        <v>20250414</v>
      </c>
      <c r="N661" t="s">
        <v>924</v>
      </c>
      <c r="Q661" t="s">
        <v>47</v>
      </c>
      <c r="R661">
        <v>419998</v>
      </c>
      <c r="S661">
        <v>0</v>
      </c>
      <c r="T661">
        <v>434384</v>
      </c>
      <c r="U661" t="s">
        <v>304</v>
      </c>
      <c r="V661" t="s">
        <v>305</v>
      </c>
      <c r="W661" t="s">
        <v>187</v>
      </c>
      <c r="Y661" t="s">
        <v>51</v>
      </c>
      <c r="Z661">
        <v>833</v>
      </c>
      <c r="AH661">
        <v>0</v>
      </c>
      <c r="AI661">
        <v>202504</v>
      </c>
      <c r="AJ661" t="s">
        <v>86</v>
      </c>
      <c r="AK661">
        <v>1</v>
      </c>
      <c r="AL661">
        <v>1</v>
      </c>
      <c r="AO661">
        <v>0</v>
      </c>
      <c r="AP661" t="s">
        <v>3015</v>
      </c>
      <c r="AQ661" t="s">
        <v>3044</v>
      </c>
      <c r="AR661" t="s">
        <v>3045</v>
      </c>
      <c r="AS661" t="s">
        <v>3046</v>
      </c>
      <c r="AU661" t="s">
        <v>3046</v>
      </c>
    </row>
    <row r="662" spans="1:47" x14ac:dyDescent="0.35">
      <c r="A662">
        <v>329512</v>
      </c>
      <c r="B662" t="s">
        <v>178</v>
      </c>
      <c r="C662" t="s">
        <v>179</v>
      </c>
      <c r="D662" s="2">
        <v>45759</v>
      </c>
      <c r="E662">
        <v>53850</v>
      </c>
      <c r="F662">
        <v>109</v>
      </c>
      <c r="G662" t="s">
        <v>89</v>
      </c>
      <c r="H662" t="s">
        <v>167</v>
      </c>
      <c r="I662" t="s">
        <v>45</v>
      </c>
      <c r="K662">
        <v>202504147888620</v>
      </c>
      <c r="L662">
        <v>1093306673947</v>
      </c>
      <c r="M662">
        <v>20250414</v>
      </c>
      <c r="N662" t="s">
        <v>303</v>
      </c>
      <c r="Q662" t="s">
        <v>170</v>
      </c>
      <c r="R662">
        <v>383398.28</v>
      </c>
      <c r="S662">
        <v>0</v>
      </c>
      <c r="T662">
        <v>619606</v>
      </c>
      <c r="U662" t="s">
        <v>930</v>
      </c>
      <c r="V662" t="s">
        <v>931</v>
      </c>
      <c r="W662" t="s">
        <v>187</v>
      </c>
      <c r="Y662" t="s">
        <v>51</v>
      </c>
      <c r="Z662">
        <v>743</v>
      </c>
      <c r="AH662">
        <v>0</v>
      </c>
      <c r="AI662">
        <v>202504</v>
      </c>
      <c r="AJ662" t="s">
        <v>86</v>
      </c>
      <c r="AK662">
        <v>1</v>
      </c>
      <c r="AL662">
        <v>1</v>
      </c>
      <c r="AO662">
        <v>0</v>
      </c>
      <c r="AP662" t="s">
        <v>3015</v>
      </c>
      <c r="AQ662" t="s">
        <v>3044</v>
      </c>
      <c r="AR662" t="s">
        <v>3045</v>
      </c>
      <c r="AS662" t="s">
        <v>3046</v>
      </c>
      <c r="AU662" t="s">
        <v>3046</v>
      </c>
    </row>
    <row r="663" spans="1:47" x14ac:dyDescent="0.35">
      <c r="A663">
        <v>329511</v>
      </c>
      <c r="B663" t="s">
        <v>178</v>
      </c>
      <c r="C663" t="s">
        <v>179</v>
      </c>
      <c r="D663" s="2">
        <v>45759</v>
      </c>
      <c r="E663">
        <v>53850</v>
      </c>
      <c r="F663">
        <v>116</v>
      </c>
      <c r="G663" t="s">
        <v>126</v>
      </c>
      <c r="H663" t="s">
        <v>167</v>
      </c>
      <c r="I663" t="s">
        <v>45</v>
      </c>
      <c r="K663">
        <v>202504147888647</v>
      </c>
      <c r="L663">
        <v>1423300308662</v>
      </c>
      <c r="M663">
        <v>20250414</v>
      </c>
      <c r="N663" t="s">
        <v>303</v>
      </c>
      <c r="Q663" t="s">
        <v>170</v>
      </c>
      <c r="R663">
        <v>599623.14</v>
      </c>
      <c r="S663">
        <v>0</v>
      </c>
      <c r="T663">
        <v>4239979</v>
      </c>
      <c r="U663">
        <v>6173370724</v>
      </c>
      <c r="V663" t="s">
        <v>932</v>
      </c>
      <c r="W663" t="s">
        <v>49</v>
      </c>
      <c r="X663" t="s">
        <v>933</v>
      </c>
      <c r="Y663" t="s">
        <v>51</v>
      </c>
      <c r="Z663">
        <v>1612</v>
      </c>
      <c r="AH663">
        <v>0</v>
      </c>
      <c r="AI663">
        <v>202504</v>
      </c>
      <c r="AJ663" t="s">
        <v>86</v>
      </c>
      <c r="AK663">
        <v>1</v>
      </c>
      <c r="AL663">
        <v>1</v>
      </c>
      <c r="AO663">
        <v>0</v>
      </c>
      <c r="AP663" t="s">
        <v>3094</v>
      </c>
      <c r="AQ663" t="s">
        <v>3012</v>
      </c>
      <c r="AR663" t="s">
        <v>3095</v>
      </c>
      <c r="AS663" t="s">
        <v>3014</v>
      </c>
      <c r="AU663" t="s">
        <v>3014</v>
      </c>
    </row>
    <row r="664" spans="1:47" x14ac:dyDescent="0.35">
      <c r="A664">
        <v>329510</v>
      </c>
      <c r="B664" t="s">
        <v>178</v>
      </c>
      <c r="C664" t="s">
        <v>179</v>
      </c>
      <c r="D664" s="2">
        <v>45759</v>
      </c>
      <c r="E664">
        <v>53850</v>
      </c>
      <c r="F664">
        <v>103</v>
      </c>
      <c r="G664" t="s">
        <v>80</v>
      </c>
      <c r="H664" t="s">
        <v>167</v>
      </c>
      <c r="I664" t="s">
        <v>45</v>
      </c>
      <c r="K664">
        <v>202504147888548</v>
      </c>
      <c r="L664">
        <v>1033301057030</v>
      </c>
      <c r="M664">
        <v>20250414</v>
      </c>
      <c r="N664" t="s">
        <v>924</v>
      </c>
      <c r="Q664" t="s">
        <v>47</v>
      </c>
      <c r="R664">
        <v>399998</v>
      </c>
      <c r="S664">
        <v>0</v>
      </c>
      <c r="T664">
        <v>105703</v>
      </c>
      <c r="U664" t="s">
        <v>934</v>
      </c>
      <c r="V664" t="s">
        <v>935</v>
      </c>
      <c r="W664" t="s">
        <v>187</v>
      </c>
      <c r="Y664" t="s">
        <v>51</v>
      </c>
      <c r="Z664">
        <v>1657</v>
      </c>
      <c r="AH664">
        <v>0</v>
      </c>
      <c r="AI664">
        <v>202504</v>
      </c>
      <c r="AJ664" t="s">
        <v>86</v>
      </c>
      <c r="AK664">
        <v>1</v>
      </c>
      <c r="AL664">
        <v>1</v>
      </c>
      <c r="AO664">
        <v>0</v>
      </c>
      <c r="AP664" t="s">
        <v>3015</v>
      </c>
      <c r="AQ664" t="s">
        <v>3044</v>
      </c>
      <c r="AR664" t="s">
        <v>3045</v>
      </c>
      <c r="AS664" t="s">
        <v>3046</v>
      </c>
      <c r="AU664" t="s">
        <v>3046</v>
      </c>
    </row>
    <row r="665" spans="1:47" x14ac:dyDescent="0.35">
      <c r="A665">
        <v>329509</v>
      </c>
      <c r="B665" t="s">
        <v>178</v>
      </c>
      <c r="C665" t="s">
        <v>179</v>
      </c>
      <c r="D665" s="2">
        <v>45759</v>
      </c>
      <c r="E665">
        <v>53850</v>
      </c>
      <c r="F665">
        <v>103</v>
      </c>
      <c r="G665" t="s">
        <v>80</v>
      </c>
      <c r="H665" t="s">
        <v>167</v>
      </c>
      <c r="I665" t="s">
        <v>45</v>
      </c>
      <c r="K665">
        <v>202504147888566</v>
      </c>
      <c r="L665">
        <v>1033306973662</v>
      </c>
      <c r="M665">
        <v>20250414</v>
      </c>
      <c r="N665" t="s">
        <v>924</v>
      </c>
      <c r="Q665" t="s">
        <v>47</v>
      </c>
      <c r="R665">
        <v>399998</v>
      </c>
      <c r="S665">
        <v>0</v>
      </c>
      <c r="T665">
        <v>103743</v>
      </c>
      <c r="U665" t="s">
        <v>936</v>
      </c>
      <c r="V665" t="s">
        <v>937</v>
      </c>
      <c r="W665" t="s">
        <v>187</v>
      </c>
      <c r="Y665" t="s">
        <v>51</v>
      </c>
      <c r="AH665">
        <v>0</v>
      </c>
      <c r="AI665">
        <v>202504</v>
      </c>
      <c r="AJ665" t="s">
        <v>86</v>
      </c>
      <c r="AK665">
        <v>1</v>
      </c>
      <c r="AL665">
        <v>1</v>
      </c>
      <c r="AO665">
        <v>0</v>
      </c>
      <c r="AP665" t="s">
        <v>3015</v>
      </c>
      <c r="AQ665" t="s">
        <v>3044</v>
      </c>
      <c r="AR665" t="s">
        <v>3045</v>
      </c>
      <c r="AS665" t="s">
        <v>3046</v>
      </c>
      <c r="AU665" t="s">
        <v>3046</v>
      </c>
    </row>
    <row r="666" spans="1:47" x14ac:dyDescent="0.35">
      <c r="A666">
        <v>329508</v>
      </c>
      <c r="B666" t="s">
        <v>193</v>
      </c>
      <c r="C666" t="s">
        <v>194</v>
      </c>
      <c r="D666" s="2">
        <v>45759</v>
      </c>
      <c r="E666">
        <v>53850</v>
      </c>
      <c r="F666">
        <v>109</v>
      </c>
      <c r="G666" t="s">
        <v>89</v>
      </c>
      <c r="H666" t="s">
        <v>167</v>
      </c>
      <c r="I666" t="s">
        <v>45</v>
      </c>
      <c r="K666">
        <v>202504117889634</v>
      </c>
      <c r="L666">
        <v>1093306675356</v>
      </c>
      <c r="M666">
        <v>20250411</v>
      </c>
      <c r="N666" t="s">
        <v>266</v>
      </c>
      <c r="Q666" t="s">
        <v>47</v>
      </c>
      <c r="R666">
        <v>32000</v>
      </c>
      <c r="S666">
        <v>32000</v>
      </c>
      <c r="T666">
        <v>4976123</v>
      </c>
      <c r="U666">
        <v>8630940727</v>
      </c>
      <c r="V666" t="s">
        <v>717</v>
      </c>
      <c r="W666" t="s">
        <v>49</v>
      </c>
      <c r="X666" t="s">
        <v>131</v>
      </c>
      <c r="Y666" t="s">
        <v>51</v>
      </c>
      <c r="Z666">
        <v>502</v>
      </c>
      <c r="AH666">
        <v>0</v>
      </c>
      <c r="AI666">
        <v>202504</v>
      </c>
      <c r="AJ666" t="s">
        <v>56</v>
      </c>
      <c r="AK666">
        <v>0</v>
      </c>
      <c r="AL666">
        <v>1</v>
      </c>
      <c r="AM666">
        <v>4976123</v>
      </c>
      <c r="AN666">
        <v>1</v>
      </c>
      <c r="AO666">
        <v>0</v>
      </c>
      <c r="AP666" t="s">
        <v>3033</v>
      </c>
      <c r="AQ666" t="s">
        <v>3012</v>
      </c>
      <c r="AR666" t="s">
        <v>3034</v>
      </c>
      <c r="AS666" t="s">
        <v>3014</v>
      </c>
      <c r="AU666" t="s">
        <v>3014</v>
      </c>
    </row>
    <row r="667" spans="1:47" x14ac:dyDescent="0.35">
      <c r="A667">
        <v>329507</v>
      </c>
      <c r="B667" t="s">
        <v>164</v>
      </c>
      <c r="C667" t="s">
        <v>165</v>
      </c>
      <c r="D667" s="2">
        <v>45759</v>
      </c>
      <c r="E667">
        <v>53850</v>
      </c>
      <c r="F667">
        <v>109</v>
      </c>
      <c r="G667" t="s">
        <v>89</v>
      </c>
      <c r="H667" t="s">
        <v>167</v>
      </c>
      <c r="I667" t="s">
        <v>45</v>
      </c>
      <c r="K667" t="s">
        <v>938</v>
      </c>
      <c r="L667">
        <v>1093306672844</v>
      </c>
      <c r="M667">
        <v>20250411</v>
      </c>
      <c r="N667" t="s">
        <v>168</v>
      </c>
      <c r="P667" t="s">
        <v>169</v>
      </c>
      <c r="Q667" t="s">
        <v>47</v>
      </c>
      <c r="R667">
        <v>1500</v>
      </c>
      <c r="S667">
        <v>0</v>
      </c>
      <c r="T667">
        <v>440311</v>
      </c>
      <c r="U667">
        <v>3550290724</v>
      </c>
      <c r="V667" t="s">
        <v>90</v>
      </c>
      <c r="W667" t="s">
        <v>49</v>
      </c>
      <c r="X667" t="s">
        <v>91</v>
      </c>
      <c r="Y667" t="s">
        <v>51</v>
      </c>
      <c r="Z667">
        <v>1903</v>
      </c>
      <c r="AH667">
        <v>0</v>
      </c>
      <c r="AI667">
        <v>202504</v>
      </c>
      <c r="AJ667" t="s">
        <v>56</v>
      </c>
      <c r="AK667">
        <v>0</v>
      </c>
      <c r="AL667">
        <v>1</v>
      </c>
      <c r="AM667">
        <v>440311</v>
      </c>
      <c r="AN667">
        <v>1</v>
      </c>
      <c r="AO667">
        <v>0</v>
      </c>
      <c r="AP667" t="s">
        <v>1100</v>
      </c>
      <c r="AQ667" t="s">
        <v>3012</v>
      </c>
      <c r="AR667" t="s">
        <v>3023</v>
      </c>
      <c r="AS667" t="s">
        <v>3014</v>
      </c>
      <c r="AU667" t="s">
        <v>3014</v>
      </c>
    </row>
    <row r="668" spans="1:47" x14ac:dyDescent="0.35">
      <c r="A668">
        <v>329506</v>
      </c>
      <c r="B668" t="s">
        <v>178</v>
      </c>
      <c r="C668" t="s">
        <v>179</v>
      </c>
      <c r="D668" s="2">
        <v>45759</v>
      </c>
      <c r="E668">
        <v>53850</v>
      </c>
      <c r="F668">
        <v>270</v>
      </c>
      <c r="G668" t="s">
        <v>524</v>
      </c>
      <c r="H668" t="s">
        <v>167</v>
      </c>
      <c r="I668" t="s">
        <v>45</v>
      </c>
      <c r="K668">
        <v>202504117890039</v>
      </c>
      <c r="L668">
        <v>2703300001695</v>
      </c>
      <c r="M668">
        <v>20250411</v>
      </c>
      <c r="N668" t="s">
        <v>3136</v>
      </c>
      <c r="Q668" t="s">
        <v>170</v>
      </c>
      <c r="R668">
        <v>35936.81</v>
      </c>
      <c r="S668">
        <v>0</v>
      </c>
      <c r="T668">
        <v>1663273</v>
      </c>
      <c r="U668" t="s">
        <v>939</v>
      </c>
      <c r="V668" t="s">
        <v>940</v>
      </c>
      <c r="W668" t="s">
        <v>187</v>
      </c>
      <c r="Y668" t="s">
        <v>51</v>
      </c>
      <c r="Z668">
        <v>1876</v>
      </c>
      <c r="AH668">
        <v>0</v>
      </c>
      <c r="AI668">
        <v>202504</v>
      </c>
      <c r="AJ668" t="s">
        <v>52</v>
      </c>
      <c r="AK668">
        <v>0</v>
      </c>
      <c r="AL668">
        <v>1</v>
      </c>
      <c r="AO668">
        <v>1</v>
      </c>
      <c r="AP668" t="s">
        <v>3015</v>
      </c>
      <c r="AQ668" t="s">
        <v>3044</v>
      </c>
      <c r="AR668" t="s">
        <v>3045</v>
      </c>
      <c r="AS668" t="s">
        <v>3046</v>
      </c>
      <c r="AU668" t="s">
        <v>3046</v>
      </c>
    </row>
    <row r="669" spans="1:47" x14ac:dyDescent="0.35">
      <c r="A669">
        <v>329505</v>
      </c>
      <c r="B669" t="s">
        <v>164</v>
      </c>
      <c r="C669" t="s">
        <v>165</v>
      </c>
      <c r="D669" s="2">
        <v>45759</v>
      </c>
      <c r="E669">
        <v>53850</v>
      </c>
      <c r="F669">
        <v>187</v>
      </c>
      <c r="G669" t="s">
        <v>251</v>
      </c>
      <c r="H669" t="s">
        <v>167</v>
      </c>
      <c r="I669" t="s">
        <v>45</v>
      </c>
      <c r="K669" t="s">
        <v>941</v>
      </c>
      <c r="L669">
        <v>1873300102696</v>
      </c>
      <c r="M669">
        <v>20250411</v>
      </c>
      <c r="N669" t="s">
        <v>168</v>
      </c>
      <c r="P669" t="s">
        <v>255</v>
      </c>
      <c r="Q669" t="s">
        <v>47</v>
      </c>
      <c r="R669">
        <v>2084.1799999999998</v>
      </c>
      <c r="S669">
        <v>0</v>
      </c>
      <c r="T669">
        <v>4000559</v>
      </c>
      <c r="U669">
        <v>2099160737</v>
      </c>
      <c r="V669" t="s">
        <v>528</v>
      </c>
      <c r="W669" t="s">
        <v>49</v>
      </c>
      <c r="X669" t="s">
        <v>117</v>
      </c>
      <c r="Y669" t="s">
        <v>51</v>
      </c>
      <c r="Z669">
        <v>1627</v>
      </c>
      <c r="AH669">
        <v>0</v>
      </c>
      <c r="AI669">
        <v>202504</v>
      </c>
      <c r="AJ669" t="s">
        <v>56</v>
      </c>
      <c r="AK669">
        <v>0</v>
      </c>
      <c r="AL669">
        <v>1</v>
      </c>
      <c r="AO669">
        <v>0</v>
      </c>
      <c r="AP669" t="s">
        <v>3029</v>
      </c>
      <c r="AQ669" t="s">
        <v>3012</v>
      </c>
      <c r="AR669" t="s">
        <v>3030</v>
      </c>
      <c r="AS669" t="s">
        <v>3014</v>
      </c>
      <c r="AU669" t="s">
        <v>3014</v>
      </c>
    </row>
    <row r="670" spans="1:47" x14ac:dyDescent="0.35">
      <c r="A670">
        <v>329504</v>
      </c>
      <c r="B670" t="s">
        <v>178</v>
      </c>
      <c r="C670" t="s">
        <v>179</v>
      </c>
      <c r="D670" s="2">
        <v>45759</v>
      </c>
      <c r="E670">
        <v>53850</v>
      </c>
      <c r="F670">
        <v>164</v>
      </c>
      <c r="G670" t="s">
        <v>651</v>
      </c>
      <c r="H670" t="s">
        <v>167</v>
      </c>
      <c r="I670" t="s">
        <v>45</v>
      </c>
      <c r="K670">
        <v>202504117889843</v>
      </c>
      <c r="L670">
        <v>1645500369067</v>
      </c>
      <c r="M670">
        <v>20250411</v>
      </c>
      <c r="N670" t="s">
        <v>808</v>
      </c>
      <c r="Q670" t="s">
        <v>47</v>
      </c>
      <c r="R670">
        <v>205000</v>
      </c>
      <c r="S670">
        <v>0</v>
      </c>
      <c r="T670">
        <v>812017</v>
      </c>
      <c r="U670" t="s">
        <v>795</v>
      </c>
      <c r="V670" t="s">
        <v>796</v>
      </c>
      <c r="W670" t="s">
        <v>187</v>
      </c>
      <c r="Y670" t="s">
        <v>51</v>
      </c>
      <c r="Z670">
        <v>789</v>
      </c>
      <c r="AH670">
        <v>0</v>
      </c>
      <c r="AI670">
        <v>202504</v>
      </c>
      <c r="AJ670" t="s">
        <v>56</v>
      </c>
      <c r="AK670">
        <v>0</v>
      </c>
      <c r="AL670">
        <v>1</v>
      </c>
      <c r="AO670">
        <v>0</v>
      </c>
      <c r="AP670" t="s">
        <v>3015</v>
      </c>
      <c r="AQ670" t="s">
        <v>3044</v>
      </c>
      <c r="AR670" t="s">
        <v>3045</v>
      </c>
      <c r="AS670" t="s">
        <v>3046</v>
      </c>
      <c r="AU670" t="s">
        <v>3046</v>
      </c>
    </row>
    <row r="671" spans="1:47" x14ac:dyDescent="0.35">
      <c r="A671">
        <v>329503</v>
      </c>
      <c r="B671" t="s">
        <v>214</v>
      </c>
      <c r="C671" t="s">
        <v>215</v>
      </c>
      <c r="D671" s="2">
        <v>45759</v>
      </c>
      <c r="E671">
        <v>53850</v>
      </c>
      <c r="F671">
        <v>102</v>
      </c>
      <c r="G671" t="s">
        <v>151</v>
      </c>
      <c r="H671" t="s">
        <v>167</v>
      </c>
      <c r="I671" t="s">
        <v>45</v>
      </c>
      <c r="K671">
        <v>202504117888426</v>
      </c>
      <c r="L671">
        <v>1023306274744</v>
      </c>
      <c r="M671">
        <v>20250411</v>
      </c>
      <c r="N671" t="s">
        <v>168</v>
      </c>
      <c r="P671" t="s">
        <v>339</v>
      </c>
      <c r="Q671" t="s">
        <v>47</v>
      </c>
      <c r="R671">
        <v>72027.5</v>
      </c>
      <c r="S671">
        <v>0</v>
      </c>
      <c r="T671">
        <v>4873420</v>
      </c>
      <c r="U671">
        <v>7966910726</v>
      </c>
      <c r="V671" t="s">
        <v>942</v>
      </c>
      <c r="W671" t="s">
        <v>49</v>
      </c>
      <c r="X671" t="s">
        <v>123</v>
      </c>
      <c r="Y671" t="s">
        <v>51</v>
      </c>
      <c r="Z671">
        <v>1443</v>
      </c>
      <c r="AH671">
        <v>0</v>
      </c>
      <c r="AI671">
        <v>202504</v>
      </c>
      <c r="AJ671" t="s">
        <v>52</v>
      </c>
      <c r="AK671">
        <v>0</v>
      </c>
      <c r="AL671">
        <v>1</v>
      </c>
      <c r="AO671">
        <v>0</v>
      </c>
      <c r="AP671" t="s">
        <v>3031</v>
      </c>
      <c r="AQ671" t="s">
        <v>3012</v>
      </c>
      <c r="AR671" t="s">
        <v>3032</v>
      </c>
      <c r="AS671" t="s">
        <v>3014</v>
      </c>
      <c r="AU671" t="s">
        <v>3014</v>
      </c>
    </row>
    <row r="672" spans="1:47" x14ac:dyDescent="0.35">
      <c r="A672">
        <v>329502</v>
      </c>
      <c r="B672" t="s">
        <v>178</v>
      </c>
      <c r="C672" t="s">
        <v>179</v>
      </c>
      <c r="D672" s="2">
        <v>45759</v>
      </c>
      <c r="E672">
        <v>53850</v>
      </c>
      <c r="F672">
        <v>103</v>
      </c>
      <c r="G672" t="s">
        <v>80</v>
      </c>
      <c r="H672" t="s">
        <v>167</v>
      </c>
      <c r="I672" t="s">
        <v>45</v>
      </c>
      <c r="K672">
        <v>202504117888088</v>
      </c>
      <c r="L672">
        <v>1033302887038</v>
      </c>
      <c r="M672">
        <v>20250411</v>
      </c>
      <c r="N672" t="s">
        <v>46</v>
      </c>
      <c r="P672" t="s">
        <v>51</v>
      </c>
      <c r="Q672" t="s">
        <v>47</v>
      </c>
      <c r="R672">
        <v>200185.1</v>
      </c>
      <c r="S672">
        <v>0</v>
      </c>
      <c r="T672">
        <v>439301</v>
      </c>
      <c r="U672" t="s">
        <v>943</v>
      </c>
      <c r="V672" t="s">
        <v>944</v>
      </c>
      <c r="W672" t="s">
        <v>187</v>
      </c>
      <c r="Y672" t="s">
        <v>51</v>
      </c>
      <c r="AH672">
        <v>0</v>
      </c>
      <c r="AI672">
        <v>202504</v>
      </c>
      <c r="AJ672" t="s">
        <v>86</v>
      </c>
      <c r="AK672">
        <v>1</v>
      </c>
      <c r="AL672">
        <v>1</v>
      </c>
      <c r="AO672">
        <v>0</v>
      </c>
      <c r="AP672" t="s">
        <v>3015</v>
      </c>
      <c r="AQ672" t="s">
        <v>3044</v>
      </c>
      <c r="AR672" t="s">
        <v>3045</v>
      </c>
      <c r="AS672" t="s">
        <v>3046</v>
      </c>
      <c r="AU672" t="s">
        <v>3046</v>
      </c>
    </row>
    <row r="673" spans="1:47" x14ac:dyDescent="0.35">
      <c r="A673">
        <v>329501</v>
      </c>
      <c r="B673" t="s">
        <v>178</v>
      </c>
      <c r="C673" t="s">
        <v>179</v>
      </c>
      <c r="D673" s="2">
        <v>45759</v>
      </c>
      <c r="E673">
        <v>53850</v>
      </c>
      <c r="F673">
        <v>103</v>
      </c>
      <c r="G673" t="s">
        <v>80</v>
      </c>
      <c r="H673" t="s">
        <v>167</v>
      </c>
      <c r="I673" t="s">
        <v>45</v>
      </c>
      <c r="K673">
        <v>202504117888088</v>
      </c>
      <c r="L673">
        <v>1033302887038</v>
      </c>
      <c r="M673">
        <v>20250411</v>
      </c>
      <c r="N673" t="s">
        <v>46</v>
      </c>
      <c r="P673" t="s">
        <v>51</v>
      </c>
      <c r="Q673" t="s">
        <v>47</v>
      </c>
      <c r="R673">
        <v>200185.1</v>
      </c>
      <c r="S673">
        <v>0</v>
      </c>
      <c r="T673">
        <v>403536</v>
      </c>
      <c r="U673" t="s">
        <v>945</v>
      </c>
      <c r="V673" t="s">
        <v>946</v>
      </c>
      <c r="W673" t="s">
        <v>187</v>
      </c>
      <c r="Y673" t="s">
        <v>51</v>
      </c>
      <c r="Z673">
        <v>1657</v>
      </c>
      <c r="AH673">
        <v>0</v>
      </c>
      <c r="AI673">
        <v>202504</v>
      </c>
      <c r="AJ673" t="s">
        <v>86</v>
      </c>
      <c r="AK673">
        <v>1</v>
      </c>
      <c r="AL673">
        <v>1</v>
      </c>
      <c r="AO673">
        <v>0</v>
      </c>
      <c r="AP673" t="s">
        <v>3015</v>
      </c>
      <c r="AQ673" t="s">
        <v>3044</v>
      </c>
      <c r="AR673" t="s">
        <v>3045</v>
      </c>
      <c r="AS673" t="s">
        <v>3046</v>
      </c>
      <c r="AU673" t="s">
        <v>3046</v>
      </c>
    </row>
    <row r="674" spans="1:47" x14ac:dyDescent="0.35">
      <c r="A674">
        <v>329500</v>
      </c>
      <c r="B674" t="s">
        <v>178</v>
      </c>
      <c r="C674" t="s">
        <v>179</v>
      </c>
      <c r="D674" s="2">
        <v>45759</v>
      </c>
      <c r="E674">
        <v>53850</v>
      </c>
      <c r="F674">
        <v>103</v>
      </c>
      <c r="G674" t="s">
        <v>80</v>
      </c>
      <c r="H674" t="s">
        <v>167</v>
      </c>
      <c r="I674" t="s">
        <v>45</v>
      </c>
      <c r="K674">
        <v>202504117888088</v>
      </c>
      <c r="L674">
        <v>1033302887038</v>
      </c>
      <c r="M674">
        <v>20250411</v>
      </c>
      <c r="N674" t="s">
        <v>46</v>
      </c>
      <c r="P674" t="s">
        <v>51</v>
      </c>
      <c r="Q674" t="s">
        <v>47</v>
      </c>
      <c r="R674">
        <v>200185.1</v>
      </c>
      <c r="S674">
        <v>0</v>
      </c>
      <c r="T674">
        <v>106613</v>
      </c>
      <c r="U674" t="s">
        <v>947</v>
      </c>
      <c r="V674" t="s">
        <v>948</v>
      </c>
      <c r="W674" t="s">
        <v>187</v>
      </c>
      <c r="Y674" t="s">
        <v>51</v>
      </c>
      <c r="Z674">
        <v>1657</v>
      </c>
      <c r="AH674">
        <v>0</v>
      </c>
      <c r="AI674">
        <v>202504</v>
      </c>
      <c r="AJ674" t="s">
        <v>52</v>
      </c>
      <c r="AK674">
        <v>0</v>
      </c>
      <c r="AL674">
        <v>1</v>
      </c>
      <c r="AO674">
        <v>0</v>
      </c>
      <c r="AP674" t="s">
        <v>3015</v>
      </c>
      <c r="AQ674" t="s">
        <v>3044</v>
      </c>
      <c r="AR674" t="s">
        <v>3045</v>
      </c>
      <c r="AS674" t="s">
        <v>3046</v>
      </c>
      <c r="AU674" t="s">
        <v>3046</v>
      </c>
    </row>
    <row r="675" spans="1:47" x14ac:dyDescent="0.35">
      <c r="A675">
        <v>329499</v>
      </c>
      <c r="B675" t="s">
        <v>214</v>
      </c>
      <c r="C675" t="s">
        <v>215</v>
      </c>
      <c r="D675" s="2">
        <v>45759</v>
      </c>
      <c r="E675">
        <v>53850</v>
      </c>
      <c r="F675">
        <v>170</v>
      </c>
      <c r="G675" t="s">
        <v>211</v>
      </c>
      <c r="H675" t="s">
        <v>167</v>
      </c>
      <c r="I675" t="s">
        <v>45</v>
      </c>
      <c r="K675">
        <v>202504117888432</v>
      </c>
      <c r="L675">
        <v>1703306288195</v>
      </c>
      <c r="M675">
        <v>20250411</v>
      </c>
      <c r="N675" t="s">
        <v>168</v>
      </c>
      <c r="P675" t="s">
        <v>339</v>
      </c>
      <c r="Q675" t="s">
        <v>170</v>
      </c>
      <c r="R675">
        <v>342142.36</v>
      </c>
      <c r="S675">
        <v>0</v>
      </c>
      <c r="T675">
        <v>4401631</v>
      </c>
      <c r="U675">
        <v>4724350725</v>
      </c>
      <c r="V675" t="s">
        <v>949</v>
      </c>
      <c r="W675" t="s">
        <v>49</v>
      </c>
      <c r="X675" t="s">
        <v>241</v>
      </c>
      <c r="Y675" t="s">
        <v>51</v>
      </c>
      <c r="Z675">
        <v>1919</v>
      </c>
      <c r="AH675">
        <v>0</v>
      </c>
      <c r="AI675">
        <v>202504</v>
      </c>
      <c r="AJ675" t="s">
        <v>86</v>
      </c>
      <c r="AK675">
        <v>1</v>
      </c>
      <c r="AL675">
        <v>1</v>
      </c>
      <c r="AO675">
        <v>0</v>
      </c>
      <c r="AP675" t="s">
        <v>3015</v>
      </c>
      <c r="AQ675" t="s">
        <v>3012</v>
      </c>
      <c r="AR675" t="s">
        <v>3016</v>
      </c>
      <c r="AT675" t="s">
        <v>3017</v>
      </c>
      <c r="AU675" t="s">
        <v>3018</v>
      </c>
    </row>
    <row r="676" spans="1:47" x14ac:dyDescent="0.35">
      <c r="A676">
        <v>329498</v>
      </c>
      <c r="B676" t="s">
        <v>193</v>
      </c>
      <c r="C676" t="s">
        <v>194</v>
      </c>
      <c r="D676" s="2">
        <v>45759</v>
      </c>
      <c r="E676">
        <v>53850</v>
      </c>
      <c r="F676">
        <v>171</v>
      </c>
      <c r="G676" t="s">
        <v>198</v>
      </c>
      <c r="H676" t="s">
        <v>167</v>
      </c>
      <c r="I676" t="s">
        <v>45</v>
      </c>
      <c r="K676" t="s">
        <v>950</v>
      </c>
      <c r="L676">
        <v>1713305728950</v>
      </c>
      <c r="M676">
        <v>20250411</v>
      </c>
      <c r="N676" t="s">
        <v>195</v>
      </c>
      <c r="Q676" t="s">
        <v>47</v>
      </c>
      <c r="R676">
        <v>399787.64</v>
      </c>
      <c r="S676">
        <v>399787.64</v>
      </c>
      <c r="T676">
        <v>572895</v>
      </c>
      <c r="U676">
        <v>4161600723</v>
      </c>
      <c r="V676" t="s">
        <v>199</v>
      </c>
      <c r="W676" t="s">
        <v>49</v>
      </c>
      <c r="X676" t="s">
        <v>200</v>
      </c>
      <c r="Y676" t="s">
        <v>51</v>
      </c>
      <c r="Z676">
        <v>1903</v>
      </c>
      <c r="AH676">
        <v>0</v>
      </c>
      <c r="AI676">
        <v>202504</v>
      </c>
      <c r="AJ676" t="s">
        <v>56</v>
      </c>
      <c r="AK676">
        <v>0</v>
      </c>
      <c r="AL676">
        <v>1</v>
      </c>
      <c r="AM676">
        <v>572895</v>
      </c>
      <c r="AN676">
        <v>1</v>
      </c>
      <c r="AO676">
        <v>0</v>
      </c>
      <c r="AP676" t="s">
        <v>3015</v>
      </c>
      <c r="AQ676" t="s">
        <v>3012</v>
      </c>
      <c r="AR676" t="s">
        <v>3016</v>
      </c>
      <c r="AT676" t="s">
        <v>3017</v>
      </c>
      <c r="AU676" t="s">
        <v>3018</v>
      </c>
    </row>
    <row r="677" spans="1:47" x14ac:dyDescent="0.35">
      <c r="A677">
        <v>329497</v>
      </c>
      <c r="B677" t="s">
        <v>214</v>
      </c>
      <c r="C677" t="s">
        <v>215</v>
      </c>
      <c r="D677" s="2">
        <v>45759</v>
      </c>
      <c r="E677">
        <v>53850</v>
      </c>
      <c r="F677">
        <v>102</v>
      </c>
      <c r="G677" t="s">
        <v>151</v>
      </c>
      <c r="H677" t="s">
        <v>167</v>
      </c>
      <c r="I677" t="s">
        <v>45</v>
      </c>
      <c r="K677">
        <v>202504117888427</v>
      </c>
      <c r="L677">
        <v>1023308727580</v>
      </c>
      <c r="M677">
        <v>20250411</v>
      </c>
      <c r="N677" t="s">
        <v>168</v>
      </c>
      <c r="P677" t="s">
        <v>339</v>
      </c>
      <c r="Q677" t="s">
        <v>47</v>
      </c>
      <c r="R677">
        <v>34391.019999999997</v>
      </c>
      <c r="S677">
        <v>0</v>
      </c>
      <c r="T677">
        <v>3727650</v>
      </c>
      <c r="U677">
        <v>8924460721</v>
      </c>
      <c r="V677" t="s">
        <v>873</v>
      </c>
      <c r="W677" t="s">
        <v>49</v>
      </c>
      <c r="X677" t="s">
        <v>874</v>
      </c>
      <c r="Y677" t="s">
        <v>51</v>
      </c>
      <c r="Z677">
        <v>1306</v>
      </c>
      <c r="AH677">
        <v>0</v>
      </c>
      <c r="AI677">
        <v>202504</v>
      </c>
      <c r="AJ677" t="s">
        <v>86</v>
      </c>
      <c r="AK677">
        <v>1</v>
      </c>
      <c r="AL677">
        <v>1</v>
      </c>
      <c r="AO677">
        <v>0</v>
      </c>
      <c r="AP677" t="s">
        <v>3015</v>
      </c>
      <c r="AQ677" t="s">
        <v>3012</v>
      </c>
      <c r="AR677" t="s">
        <v>3016</v>
      </c>
      <c r="AT677" t="s">
        <v>3017</v>
      </c>
      <c r="AU677" t="s">
        <v>3018</v>
      </c>
    </row>
    <row r="678" spans="1:47" x14ac:dyDescent="0.35">
      <c r="A678">
        <v>329496</v>
      </c>
      <c r="B678" t="s">
        <v>178</v>
      </c>
      <c r="C678" t="s">
        <v>179</v>
      </c>
      <c r="D678" s="2">
        <v>45759</v>
      </c>
      <c r="E678">
        <v>53850</v>
      </c>
      <c r="F678">
        <v>120</v>
      </c>
      <c r="G678" t="s">
        <v>411</v>
      </c>
      <c r="H678" t="s">
        <v>167</v>
      </c>
      <c r="I678" t="s">
        <v>45</v>
      </c>
      <c r="K678">
        <v>202504117887330</v>
      </c>
      <c r="L678">
        <v>1203300002401</v>
      </c>
      <c r="M678">
        <v>20250411</v>
      </c>
      <c r="N678" t="s">
        <v>46</v>
      </c>
      <c r="P678" t="s">
        <v>51</v>
      </c>
      <c r="Q678" t="s">
        <v>47</v>
      </c>
      <c r="R678">
        <v>11747000</v>
      </c>
      <c r="S678">
        <v>0</v>
      </c>
      <c r="T678">
        <v>613876</v>
      </c>
      <c r="U678">
        <v>574290722</v>
      </c>
      <c r="V678" t="s">
        <v>545</v>
      </c>
      <c r="W678" t="s">
        <v>546</v>
      </c>
      <c r="X678" t="s">
        <v>421</v>
      </c>
      <c r="Y678" t="s">
        <v>51</v>
      </c>
      <c r="Z678">
        <v>1058</v>
      </c>
      <c r="AH678">
        <v>0</v>
      </c>
      <c r="AI678">
        <v>202504</v>
      </c>
      <c r="AJ678" t="s">
        <v>56</v>
      </c>
      <c r="AK678">
        <v>0</v>
      </c>
      <c r="AL678">
        <v>1</v>
      </c>
      <c r="AM678">
        <v>613876</v>
      </c>
      <c r="AN678">
        <v>1</v>
      </c>
      <c r="AO678">
        <v>0</v>
      </c>
      <c r="AP678" t="s">
        <v>3015</v>
      </c>
      <c r="AQ678" t="s">
        <v>3076</v>
      </c>
      <c r="AR678" t="s">
        <v>3077</v>
      </c>
      <c r="AT678" t="s">
        <v>3017</v>
      </c>
      <c r="AU678" t="s">
        <v>3014</v>
      </c>
    </row>
    <row r="679" spans="1:47" x14ac:dyDescent="0.35">
      <c r="A679">
        <v>329495</v>
      </c>
      <c r="B679" t="s">
        <v>172</v>
      </c>
      <c r="C679" t="s">
        <v>173</v>
      </c>
      <c r="D679" s="2">
        <v>45759</v>
      </c>
      <c r="E679">
        <v>53850</v>
      </c>
      <c r="F679">
        <v>171</v>
      </c>
      <c r="G679" t="s">
        <v>198</v>
      </c>
      <c r="H679" t="s">
        <v>167</v>
      </c>
      <c r="I679" t="s">
        <v>45</v>
      </c>
      <c r="K679" t="s">
        <v>950</v>
      </c>
      <c r="L679">
        <v>1713302214147</v>
      </c>
      <c r="M679">
        <v>20250411</v>
      </c>
      <c r="N679" t="s">
        <v>195</v>
      </c>
      <c r="Q679" t="s">
        <v>47</v>
      </c>
      <c r="R679">
        <v>154416.32999999999</v>
      </c>
      <c r="S679">
        <v>154416.32999999999</v>
      </c>
      <c r="T679">
        <v>4199319</v>
      </c>
      <c r="U679">
        <v>6037810725</v>
      </c>
      <c r="V679" t="s">
        <v>285</v>
      </c>
      <c r="W679" t="s">
        <v>49</v>
      </c>
      <c r="X679" t="s">
        <v>200</v>
      </c>
      <c r="Y679" t="s">
        <v>51</v>
      </c>
      <c r="Z679">
        <v>1903</v>
      </c>
      <c r="AH679">
        <v>0</v>
      </c>
      <c r="AI679">
        <v>202504</v>
      </c>
      <c r="AJ679" t="s">
        <v>56</v>
      </c>
      <c r="AK679">
        <v>0</v>
      </c>
      <c r="AL679">
        <v>1</v>
      </c>
      <c r="AM679">
        <v>4199319</v>
      </c>
      <c r="AN679">
        <v>1</v>
      </c>
      <c r="AO679">
        <v>0</v>
      </c>
      <c r="AP679" t="s">
        <v>3015</v>
      </c>
      <c r="AQ679" t="s">
        <v>3012</v>
      </c>
      <c r="AR679" t="s">
        <v>3016</v>
      </c>
      <c r="AT679" t="s">
        <v>3017</v>
      </c>
      <c r="AU679" t="s">
        <v>3018</v>
      </c>
    </row>
    <row r="680" spans="1:47" x14ac:dyDescent="0.35">
      <c r="A680">
        <v>329494</v>
      </c>
      <c r="B680" t="s">
        <v>214</v>
      </c>
      <c r="C680" t="s">
        <v>215</v>
      </c>
      <c r="D680" s="2">
        <v>45759</v>
      </c>
      <c r="E680">
        <v>53850</v>
      </c>
      <c r="F680">
        <v>102</v>
      </c>
      <c r="G680" t="s">
        <v>151</v>
      </c>
      <c r="H680" t="s">
        <v>167</v>
      </c>
      <c r="I680" t="s">
        <v>45</v>
      </c>
      <c r="K680">
        <v>202504117888165</v>
      </c>
      <c r="L680">
        <v>2583302250573</v>
      </c>
      <c r="M680">
        <v>20250411</v>
      </c>
      <c r="N680" t="s">
        <v>168</v>
      </c>
      <c r="P680" t="s">
        <v>217</v>
      </c>
      <c r="Q680" t="s">
        <v>47</v>
      </c>
      <c r="R680">
        <v>50650</v>
      </c>
      <c r="S680">
        <v>0</v>
      </c>
      <c r="T680">
        <v>4127428</v>
      </c>
      <c r="U680" t="s">
        <v>951</v>
      </c>
      <c r="V680" t="s">
        <v>952</v>
      </c>
      <c r="W680" t="s">
        <v>69</v>
      </c>
      <c r="X680" t="s">
        <v>953</v>
      </c>
      <c r="Y680" t="s">
        <v>51</v>
      </c>
      <c r="Z680">
        <v>1949</v>
      </c>
      <c r="AH680">
        <v>0</v>
      </c>
      <c r="AI680">
        <v>202504</v>
      </c>
      <c r="AJ680" t="s">
        <v>56</v>
      </c>
      <c r="AK680">
        <v>0</v>
      </c>
      <c r="AL680">
        <v>1</v>
      </c>
      <c r="AO680">
        <v>0</v>
      </c>
      <c r="AP680" t="s">
        <v>3015</v>
      </c>
      <c r="AQ680" t="s">
        <v>3021</v>
      </c>
      <c r="AR680" t="s">
        <v>3022</v>
      </c>
      <c r="AT680" t="s">
        <v>3017</v>
      </c>
      <c r="AU680" t="s">
        <v>3014</v>
      </c>
    </row>
    <row r="681" spans="1:47" x14ac:dyDescent="0.35">
      <c r="A681">
        <v>329493</v>
      </c>
      <c r="B681" t="s">
        <v>178</v>
      </c>
      <c r="C681" t="s">
        <v>179</v>
      </c>
      <c r="D681" s="2">
        <v>45759</v>
      </c>
      <c r="E681">
        <v>53850</v>
      </c>
      <c r="F681">
        <v>192</v>
      </c>
      <c r="G681" t="s">
        <v>66</v>
      </c>
      <c r="H681" t="s">
        <v>167</v>
      </c>
      <c r="I681" t="s">
        <v>45</v>
      </c>
      <c r="K681">
        <v>202504117889963</v>
      </c>
      <c r="L681">
        <v>1923300184022</v>
      </c>
      <c r="M681">
        <v>20250411</v>
      </c>
      <c r="N681" t="s">
        <v>3136</v>
      </c>
      <c r="Q681" t="s">
        <v>170</v>
      </c>
      <c r="R681">
        <v>63308.61</v>
      </c>
      <c r="S681">
        <v>0</v>
      </c>
      <c r="T681">
        <v>4970354</v>
      </c>
      <c r="U681" t="s">
        <v>954</v>
      </c>
      <c r="V681" t="s">
        <v>955</v>
      </c>
      <c r="W681" t="s">
        <v>187</v>
      </c>
      <c r="Y681" t="s">
        <v>51</v>
      </c>
      <c r="Z681">
        <v>481</v>
      </c>
      <c r="AH681">
        <v>0</v>
      </c>
      <c r="AI681">
        <v>202504</v>
      </c>
      <c r="AJ681" t="s">
        <v>52</v>
      </c>
      <c r="AK681">
        <v>0</v>
      </c>
      <c r="AL681">
        <v>1</v>
      </c>
      <c r="AO681">
        <v>1</v>
      </c>
      <c r="AP681" t="s">
        <v>3015</v>
      </c>
      <c r="AQ681" t="s">
        <v>3044</v>
      </c>
      <c r="AR681" t="s">
        <v>3045</v>
      </c>
      <c r="AS681" t="s">
        <v>3046</v>
      </c>
      <c r="AU681" t="s">
        <v>3046</v>
      </c>
    </row>
    <row r="682" spans="1:47" x14ac:dyDescent="0.35">
      <c r="A682">
        <v>329492</v>
      </c>
      <c r="B682" t="s">
        <v>172</v>
      </c>
      <c r="C682" t="s">
        <v>173</v>
      </c>
      <c r="D682" s="2">
        <v>45759</v>
      </c>
      <c r="E682">
        <v>53850</v>
      </c>
      <c r="F682">
        <v>102</v>
      </c>
      <c r="G682" t="s">
        <v>151</v>
      </c>
      <c r="H682" t="s">
        <v>167</v>
      </c>
      <c r="I682" t="s">
        <v>45</v>
      </c>
      <c r="K682">
        <v>202504117889567</v>
      </c>
      <c r="L682">
        <v>1023305550270</v>
      </c>
      <c r="M682">
        <v>20250411</v>
      </c>
      <c r="N682" t="s">
        <v>231</v>
      </c>
      <c r="Q682" t="s">
        <v>47</v>
      </c>
      <c r="R682">
        <v>159670</v>
      </c>
      <c r="S682">
        <v>0</v>
      </c>
      <c r="T682">
        <v>555027</v>
      </c>
      <c r="U682">
        <v>4594700728</v>
      </c>
      <c r="V682" t="s">
        <v>956</v>
      </c>
      <c r="W682" t="s">
        <v>49</v>
      </c>
      <c r="X682" t="s">
        <v>364</v>
      </c>
      <c r="Y682" t="s">
        <v>51</v>
      </c>
      <c r="Z682">
        <v>1203</v>
      </c>
      <c r="AH682">
        <v>0</v>
      </c>
      <c r="AI682">
        <v>202504</v>
      </c>
      <c r="AJ682" t="s">
        <v>86</v>
      </c>
      <c r="AK682">
        <v>1</v>
      </c>
      <c r="AL682">
        <v>1</v>
      </c>
      <c r="AO682">
        <v>0</v>
      </c>
      <c r="AP682" t="s">
        <v>3062</v>
      </c>
      <c r="AQ682" t="s">
        <v>3012</v>
      </c>
      <c r="AR682" t="s">
        <v>3063</v>
      </c>
      <c r="AS682" t="s">
        <v>3014</v>
      </c>
      <c r="AU682" t="s">
        <v>3014</v>
      </c>
    </row>
    <row r="683" spans="1:47" x14ac:dyDescent="0.35">
      <c r="A683">
        <v>329491</v>
      </c>
      <c r="B683" t="s">
        <v>172</v>
      </c>
      <c r="C683" t="s">
        <v>173</v>
      </c>
      <c r="D683" s="2">
        <v>45759</v>
      </c>
      <c r="E683">
        <v>53850</v>
      </c>
      <c r="F683">
        <v>121</v>
      </c>
      <c r="G683" t="s">
        <v>140</v>
      </c>
      <c r="H683" t="s">
        <v>167</v>
      </c>
      <c r="I683" t="s">
        <v>45</v>
      </c>
      <c r="K683" t="s">
        <v>950</v>
      </c>
      <c r="L683">
        <v>1213300002600</v>
      </c>
      <c r="M683">
        <v>20250411</v>
      </c>
      <c r="N683" t="s">
        <v>175</v>
      </c>
      <c r="Q683" t="s">
        <v>47</v>
      </c>
      <c r="R683">
        <v>606194.87</v>
      </c>
      <c r="S683">
        <v>0</v>
      </c>
      <c r="T683">
        <v>4939345</v>
      </c>
      <c r="U683">
        <v>5754810728</v>
      </c>
      <c r="V683" t="s">
        <v>570</v>
      </c>
      <c r="W683" t="s">
        <v>49</v>
      </c>
      <c r="X683" t="s">
        <v>117</v>
      </c>
      <c r="Y683" t="s">
        <v>51</v>
      </c>
      <c r="Z683">
        <v>1058</v>
      </c>
      <c r="AH683">
        <v>0</v>
      </c>
      <c r="AI683">
        <v>202504</v>
      </c>
      <c r="AJ683" t="s">
        <v>114</v>
      </c>
      <c r="AK683">
        <v>1</v>
      </c>
      <c r="AL683">
        <v>1</v>
      </c>
      <c r="AO683">
        <v>1</v>
      </c>
      <c r="AP683" t="s">
        <v>3029</v>
      </c>
      <c r="AQ683" t="s">
        <v>3012</v>
      </c>
      <c r="AR683" t="s">
        <v>3030</v>
      </c>
      <c r="AS683" t="s">
        <v>3014</v>
      </c>
      <c r="AU683" t="s">
        <v>3014</v>
      </c>
    </row>
    <row r="684" spans="1:47" x14ac:dyDescent="0.35">
      <c r="A684">
        <v>329490</v>
      </c>
      <c r="B684" t="s">
        <v>178</v>
      </c>
      <c r="C684" t="s">
        <v>179</v>
      </c>
      <c r="D684" s="2">
        <v>45759</v>
      </c>
      <c r="E684">
        <v>53850</v>
      </c>
      <c r="F684">
        <v>164</v>
      </c>
      <c r="G684" t="s">
        <v>651</v>
      </c>
      <c r="H684" t="s">
        <v>167</v>
      </c>
      <c r="I684" t="s">
        <v>45</v>
      </c>
      <c r="K684">
        <v>202504117889843</v>
      </c>
      <c r="L684">
        <v>1645500369067</v>
      </c>
      <c r="M684">
        <v>20250411</v>
      </c>
      <c r="N684" t="s">
        <v>808</v>
      </c>
      <c r="Q684" t="s">
        <v>47</v>
      </c>
      <c r="R684">
        <v>205000</v>
      </c>
      <c r="S684">
        <v>0</v>
      </c>
      <c r="T684">
        <v>812018</v>
      </c>
      <c r="U684" t="s">
        <v>809</v>
      </c>
      <c r="V684" t="s">
        <v>810</v>
      </c>
      <c r="W684" t="s">
        <v>187</v>
      </c>
      <c r="Y684" t="s">
        <v>51</v>
      </c>
      <c r="Z684">
        <v>789</v>
      </c>
      <c r="AH684">
        <v>0</v>
      </c>
      <c r="AI684">
        <v>202504</v>
      </c>
      <c r="AJ684" t="s">
        <v>56</v>
      </c>
      <c r="AK684">
        <v>0</v>
      </c>
      <c r="AL684">
        <v>1</v>
      </c>
      <c r="AO684">
        <v>0</v>
      </c>
      <c r="AP684" t="s">
        <v>3015</v>
      </c>
      <c r="AQ684" t="s">
        <v>3044</v>
      </c>
      <c r="AR684" t="s">
        <v>3045</v>
      </c>
      <c r="AS684" t="s">
        <v>3046</v>
      </c>
      <c r="AU684" t="s">
        <v>3046</v>
      </c>
    </row>
    <row r="685" spans="1:47" x14ac:dyDescent="0.35">
      <c r="A685">
        <v>329489</v>
      </c>
      <c r="B685" t="s">
        <v>178</v>
      </c>
      <c r="C685" t="s">
        <v>179</v>
      </c>
      <c r="D685" s="2">
        <v>45759</v>
      </c>
      <c r="E685">
        <v>53850</v>
      </c>
      <c r="F685">
        <v>192</v>
      </c>
      <c r="G685" t="s">
        <v>66</v>
      </c>
      <c r="H685" t="s">
        <v>167</v>
      </c>
      <c r="I685" t="s">
        <v>45</v>
      </c>
      <c r="K685">
        <v>202504117889963</v>
      </c>
      <c r="L685">
        <v>1923300184022</v>
      </c>
      <c r="M685">
        <v>20250411</v>
      </c>
      <c r="N685" t="s">
        <v>3136</v>
      </c>
      <c r="Q685" t="s">
        <v>170</v>
      </c>
      <c r="R685">
        <v>63308.61</v>
      </c>
      <c r="S685">
        <v>0</v>
      </c>
      <c r="T685">
        <v>3009295</v>
      </c>
      <c r="U685" t="s">
        <v>957</v>
      </c>
      <c r="V685" t="s">
        <v>958</v>
      </c>
      <c r="W685" t="s">
        <v>187</v>
      </c>
      <c r="Y685" t="s">
        <v>51</v>
      </c>
      <c r="AH685">
        <v>0</v>
      </c>
      <c r="AI685">
        <v>202504</v>
      </c>
      <c r="AJ685" t="s">
        <v>52</v>
      </c>
      <c r="AK685">
        <v>0</v>
      </c>
      <c r="AL685">
        <v>1</v>
      </c>
      <c r="AO685">
        <v>1</v>
      </c>
      <c r="AP685" t="s">
        <v>3015</v>
      </c>
      <c r="AQ685" t="s">
        <v>3044</v>
      </c>
      <c r="AR685" t="s">
        <v>3045</v>
      </c>
      <c r="AS685" t="s">
        <v>3046</v>
      </c>
      <c r="AU685" t="s">
        <v>3046</v>
      </c>
    </row>
    <row r="686" spans="1:47" x14ac:dyDescent="0.35">
      <c r="A686">
        <v>329488</v>
      </c>
      <c r="B686" t="s">
        <v>172</v>
      </c>
      <c r="C686" t="s">
        <v>173</v>
      </c>
      <c r="D686" s="2">
        <v>45759</v>
      </c>
      <c r="E686">
        <v>53850</v>
      </c>
      <c r="F686">
        <v>102</v>
      </c>
      <c r="G686" t="s">
        <v>151</v>
      </c>
      <c r="H686" t="s">
        <v>167</v>
      </c>
      <c r="I686" t="s">
        <v>45</v>
      </c>
      <c r="K686" t="s">
        <v>950</v>
      </c>
      <c r="L686">
        <v>1023300372420</v>
      </c>
      <c r="M686">
        <v>20250411</v>
      </c>
      <c r="N686" t="s">
        <v>175</v>
      </c>
      <c r="Q686" t="s">
        <v>47</v>
      </c>
      <c r="R686">
        <v>104000</v>
      </c>
      <c r="S686">
        <v>0</v>
      </c>
      <c r="T686">
        <v>37242</v>
      </c>
      <c r="U686" t="s">
        <v>959</v>
      </c>
      <c r="V686" t="s">
        <v>960</v>
      </c>
      <c r="W686" t="s">
        <v>342</v>
      </c>
      <c r="X686" t="s">
        <v>364</v>
      </c>
      <c r="Y686" t="s">
        <v>51</v>
      </c>
      <c r="Z686">
        <v>1274</v>
      </c>
      <c r="AH686">
        <v>0</v>
      </c>
      <c r="AI686">
        <v>202504</v>
      </c>
      <c r="AJ686" t="s">
        <v>86</v>
      </c>
      <c r="AK686">
        <v>1</v>
      </c>
      <c r="AL686">
        <v>1</v>
      </c>
      <c r="AO686">
        <v>1</v>
      </c>
      <c r="AP686" t="s">
        <v>3015</v>
      </c>
      <c r="AQ686" t="s">
        <v>3060</v>
      </c>
      <c r="AR686" t="s">
        <v>3061</v>
      </c>
      <c r="AT686" t="s">
        <v>3017</v>
      </c>
      <c r="AU686" t="s">
        <v>3014</v>
      </c>
    </row>
    <row r="687" spans="1:47" x14ac:dyDescent="0.35">
      <c r="A687">
        <v>329487</v>
      </c>
      <c r="B687" t="s">
        <v>193</v>
      </c>
      <c r="C687" t="s">
        <v>194</v>
      </c>
      <c r="D687" s="2">
        <v>45759</v>
      </c>
      <c r="E687">
        <v>53850</v>
      </c>
      <c r="F687">
        <v>185</v>
      </c>
      <c r="G687" t="s">
        <v>235</v>
      </c>
      <c r="H687" t="s">
        <v>167</v>
      </c>
      <c r="I687" t="s">
        <v>45</v>
      </c>
      <c r="K687">
        <v>202504117889947</v>
      </c>
      <c r="L687">
        <v>1823300171614</v>
      </c>
      <c r="M687">
        <v>20250411</v>
      </c>
      <c r="N687" t="s">
        <v>266</v>
      </c>
      <c r="Q687" t="s">
        <v>47</v>
      </c>
      <c r="R687">
        <v>35780</v>
      </c>
      <c r="S687">
        <v>35780</v>
      </c>
      <c r="T687">
        <v>4042658</v>
      </c>
      <c r="U687">
        <v>5252390728</v>
      </c>
      <c r="V687" t="s">
        <v>961</v>
      </c>
      <c r="W687" t="s">
        <v>49</v>
      </c>
      <c r="X687" t="s">
        <v>200</v>
      </c>
      <c r="Y687" t="s">
        <v>51</v>
      </c>
      <c r="Z687">
        <v>773</v>
      </c>
      <c r="AH687">
        <v>0</v>
      </c>
      <c r="AI687">
        <v>202504</v>
      </c>
      <c r="AJ687" t="s">
        <v>56</v>
      </c>
      <c r="AK687">
        <v>0</v>
      </c>
      <c r="AL687">
        <v>1</v>
      </c>
      <c r="AM687">
        <v>4042658</v>
      </c>
      <c r="AN687">
        <v>1</v>
      </c>
      <c r="AO687">
        <v>0</v>
      </c>
      <c r="AP687" t="s">
        <v>3015</v>
      </c>
      <c r="AQ687" t="s">
        <v>3012</v>
      </c>
      <c r="AR687" t="s">
        <v>3016</v>
      </c>
      <c r="AT687" t="s">
        <v>3017</v>
      </c>
      <c r="AU687" t="s">
        <v>3018</v>
      </c>
    </row>
    <row r="688" spans="1:47" x14ac:dyDescent="0.35">
      <c r="A688">
        <v>329486</v>
      </c>
      <c r="B688" t="s">
        <v>178</v>
      </c>
      <c r="C688" t="s">
        <v>179</v>
      </c>
      <c r="D688" s="2">
        <v>45759</v>
      </c>
      <c r="E688">
        <v>53850</v>
      </c>
      <c r="F688">
        <v>187</v>
      </c>
      <c r="G688" t="s">
        <v>251</v>
      </c>
      <c r="H688" t="s">
        <v>167</v>
      </c>
      <c r="I688" t="s">
        <v>45</v>
      </c>
      <c r="K688" t="s">
        <v>962</v>
      </c>
      <c r="L688">
        <v>1873300109751</v>
      </c>
      <c r="M688">
        <v>20250411</v>
      </c>
      <c r="N688" t="s">
        <v>3136</v>
      </c>
      <c r="Q688" t="s">
        <v>170</v>
      </c>
      <c r="R688">
        <v>1401.07</v>
      </c>
      <c r="S688">
        <v>0</v>
      </c>
      <c r="T688">
        <v>4949517</v>
      </c>
      <c r="U688" t="s">
        <v>963</v>
      </c>
      <c r="V688" t="s">
        <v>964</v>
      </c>
      <c r="W688" t="s">
        <v>187</v>
      </c>
      <c r="Y688" t="s">
        <v>51</v>
      </c>
      <c r="Z688">
        <v>1162</v>
      </c>
      <c r="AH688">
        <v>0</v>
      </c>
      <c r="AI688">
        <v>202504</v>
      </c>
      <c r="AJ688" t="s">
        <v>86</v>
      </c>
      <c r="AK688">
        <v>1</v>
      </c>
      <c r="AL688">
        <v>1</v>
      </c>
      <c r="AO688">
        <v>1</v>
      </c>
      <c r="AP688" t="s">
        <v>3015</v>
      </c>
      <c r="AQ688" t="s">
        <v>3044</v>
      </c>
      <c r="AR688" t="s">
        <v>3045</v>
      </c>
      <c r="AS688" t="s">
        <v>3046</v>
      </c>
      <c r="AU688" t="s">
        <v>3046</v>
      </c>
    </row>
    <row r="689" spans="1:47" x14ac:dyDescent="0.35">
      <c r="A689">
        <v>329485</v>
      </c>
      <c r="B689" t="s">
        <v>172</v>
      </c>
      <c r="C689" t="s">
        <v>173</v>
      </c>
      <c r="D689" s="2">
        <v>45759</v>
      </c>
      <c r="E689">
        <v>53850</v>
      </c>
      <c r="F689">
        <v>171</v>
      </c>
      <c r="G689" t="s">
        <v>198</v>
      </c>
      <c r="H689" t="s">
        <v>167</v>
      </c>
      <c r="I689" t="s">
        <v>45</v>
      </c>
      <c r="K689" t="s">
        <v>950</v>
      </c>
      <c r="L689">
        <v>1713305728950</v>
      </c>
      <c r="M689">
        <v>20250411</v>
      </c>
      <c r="N689" t="s">
        <v>195</v>
      </c>
      <c r="Q689" t="s">
        <v>47</v>
      </c>
      <c r="R689">
        <v>399787.64</v>
      </c>
      <c r="S689">
        <v>399787.64</v>
      </c>
      <c r="T689">
        <v>572895</v>
      </c>
      <c r="U689">
        <v>4161600723</v>
      </c>
      <c r="V689" t="s">
        <v>199</v>
      </c>
      <c r="W689" t="s">
        <v>49</v>
      </c>
      <c r="X689" t="s">
        <v>200</v>
      </c>
      <c r="Y689" t="s">
        <v>51</v>
      </c>
      <c r="Z689">
        <v>1903</v>
      </c>
      <c r="AH689">
        <v>0</v>
      </c>
      <c r="AI689">
        <v>202504</v>
      </c>
      <c r="AJ689" t="s">
        <v>56</v>
      </c>
      <c r="AK689">
        <v>0</v>
      </c>
      <c r="AL689">
        <v>1</v>
      </c>
      <c r="AM689">
        <v>572895</v>
      </c>
      <c r="AN689">
        <v>1</v>
      </c>
      <c r="AO689">
        <v>0</v>
      </c>
      <c r="AP689" t="s">
        <v>3015</v>
      </c>
      <c r="AQ689" t="s">
        <v>3012</v>
      </c>
      <c r="AR689" t="s">
        <v>3016</v>
      </c>
      <c r="AT689" t="s">
        <v>3017</v>
      </c>
      <c r="AU689" t="s">
        <v>3018</v>
      </c>
    </row>
    <row r="690" spans="1:47" x14ac:dyDescent="0.35">
      <c r="A690">
        <v>329484</v>
      </c>
      <c r="B690" t="s">
        <v>193</v>
      </c>
      <c r="C690" t="s">
        <v>194</v>
      </c>
      <c r="D690" s="2">
        <v>45759</v>
      </c>
      <c r="E690">
        <v>53850</v>
      </c>
      <c r="F690">
        <v>171</v>
      </c>
      <c r="G690" t="s">
        <v>198</v>
      </c>
      <c r="H690" t="s">
        <v>167</v>
      </c>
      <c r="I690" t="s">
        <v>45</v>
      </c>
      <c r="K690" t="s">
        <v>950</v>
      </c>
      <c r="L690">
        <v>1713302214147</v>
      </c>
      <c r="M690">
        <v>20250411</v>
      </c>
      <c r="N690" t="s">
        <v>195</v>
      </c>
      <c r="Q690" t="s">
        <v>47</v>
      </c>
      <c r="R690">
        <v>154416.32999999999</v>
      </c>
      <c r="S690">
        <v>154416.32999999999</v>
      </c>
      <c r="T690">
        <v>4199319</v>
      </c>
      <c r="U690">
        <v>6037810725</v>
      </c>
      <c r="V690" t="s">
        <v>285</v>
      </c>
      <c r="W690" t="s">
        <v>49</v>
      </c>
      <c r="X690" t="s">
        <v>200</v>
      </c>
      <c r="Y690" t="s">
        <v>51</v>
      </c>
      <c r="Z690">
        <v>1903</v>
      </c>
      <c r="AH690">
        <v>0</v>
      </c>
      <c r="AI690">
        <v>202504</v>
      </c>
      <c r="AJ690" t="s">
        <v>56</v>
      </c>
      <c r="AK690">
        <v>0</v>
      </c>
      <c r="AL690">
        <v>1</v>
      </c>
      <c r="AM690">
        <v>4199319</v>
      </c>
      <c r="AN690">
        <v>1</v>
      </c>
      <c r="AO690">
        <v>0</v>
      </c>
      <c r="AP690" t="s">
        <v>3015</v>
      </c>
      <c r="AQ690" t="s">
        <v>3012</v>
      </c>
      <c r="AR690" t="s">
        <v>3016</v>
      </c>
      <c r="AT690" t="s">
        <v>3017</v>
      </c>
      <c r="AU690" t="s">
        <v>3018</v>
      </c>
    </row>
    <row r="691" spans="1:47" x14ac:dyDescent="0.35">
      <c r="A691">
        <v>329483</v>
      </c>
      <c r="B691" t="s">
        <v>164</v>
      </c>
      <c r="C691" t="s">
        <v>165</v>
      </c>
      <c r="D691" s="2">
        <v>45759</v>
      </c>
      <c r="E691">
        <v>53850</v>
      </c>
      <c r="F691">
        <v>148</v>
      </c>
      <c r="G691" t="s">
        <v>78</v>
      </c>
      <c r="H691" t="s">
        <v>167</v>
      </c>
      <c r="I691" t="s">
        <v>45</v>
      </c>
      <c r="K691" t="s">
        <v>965</v>
      </c>
      <c r="L691">
        <v>1483300004308</v>
      </c>
      <c r="M691">
        <v>20250411</v>
      </c>
      <c r="N691" t="s">
        <v>168</v>
      </c>
      <c r="P691" t="s">
        <v>203</v>
      </c>
      <c r="Q691" t="s">
        <v>170</v>
      </c>
      <c r="R691">
        <v>1820</v>
      </c>
      <c r="S691">
        <v>0</v>
      </c>
      <c r="T691">
        <v>4898674</v>
      </c>
      <c r="U691">
        <v>2936580642</v>
      </c>
      <c r="V691" t="s">
        <v>79</v>
      </c>
      <c r="W691" t="s">
        <v>49</v>
      </c>
      <c r="X691" t="s">
        <v>59</v>
      </c>
      <c r="Y691" t="s">
        <v>51</v>
      </c>
      <c r="Z691">
        <v>1063</v>
      </c>
      <c r="AH691">
        <v>0</v>
      </c>
      <c r="AI691">
        <v>202504</v>
      </c>
      <c r="AJ691" t="s">
        <v>56</v>
      </c>
      <c r="AK691">
        <v>0</v>
      </c>
      <c r="AL691">
        <v>1</v>
      </c>
      <c r="AO691">
        <v>0</v>
      </c>
      <c r="AP691" t="s">
        <v>3015</v>
      </c>
      <c r="AQ691" t="s">
        <v>3012</v>
      </c>
      <c r="AR691" t="s">
        <v>3016</v>
      </c>
      <c r="AT691" t="s">
        <v>3017</v>
      </c>
      <c r="AU691" t="s">
        <v>3018</v>
      </c>
    </row>
    <row r="692" spans="1:47" x14ac:dyDescent="0.35">
      <c r="A692">
        <v>329482</v>
      </c>
      <c r="B692" t="s">
        <v>172</v>
      </c>
      <c r="C692" t="s">
        <v>173</v>
      </c>
      <c r="D692" s="2">
        <v>45759</v>
      </c>
      <c r="E692">
        <v>53850</v>
      </c>
      <c r="F692">
        <v>102</v>
      </c>
      <c r="G692" t="s">
        <v>151</v>
      </c>
      <c r="H692" t="s">
        <v>167</v>
      </c>
      <c r="I692" t="s">
        <v>45</v>
      </c>
      <c r="K692">
        <v>202504117889550</v>
      </c>
      <c r="L692">
        <v>1023300055260</v>
      </c>
      <c r="M692">
        <v>20250411</v>
      </c>
      <c r="N692" t="s">
        <v>231</v>
      </c>
      <c r="Q692" t="s">
        <v>47</v>
      </c>
      <c r="R692">
        <v>100000</v>
      </c>
      <c r="S692">
        <v>0</v>
      </c>
      <c r="T692">
        <v>5526</v>
      </c>
      <c r="U692" t="s">
        <v>966</v>
      </c>
      <c r="V692" t="s">
        <v>967</v>
      </c>
      <c r="W692" t="s">
        <v>69</v>
      </c>
      <c r="X692" t="s">
        <v>70</v>
      </c>
      <c r="Y692" t="s">
        <v>51</v>
      </c>
      <c r="Z692">
        <v>1443</v>
      </c>
      <c r="AH692">
        <v>0</v>
      </c>
      <c r="AI692">
        <v>202504</v>
      </c>
      <c r="AJ692" t="s">
        <v>86</v>
      </c>
      <c r="AK692">
        <v>1</v>
      </c>
      <c r="AL692">
        <v>1</v>
      </c>
      <c r="AO692">
        <v>0</v>
      </c>
      <c r="AP692" t="s">
        <v>3015</v>
      </c>
      <c r="AQ692" t="s">
        <v>3021</v>
      </c>
      <c r="AR692" t="s">
        <v>3022</v>
      </c>
      <c r="AT692" t="s">
        <v>3017</v>
      </c>
      <c r="AU692" t="s">
        <v>3014</v>
      </c>
    </row>
    <row r="693" spans="1:47" x14ac:dyDescent="0.35">
      <c r="A693">
        <v>329481</v>
      </c>
      <c r="B693" t="s">
        <v>172</v>
      </c>
      <c r="C693" t="s">
        <v>173</v>
      </c>
      <c r="D693" s="2">
        <v>45759</v>
      </c>
      <c r="E693">
        <v>53850</v>
      </c>
      <c r="F693">
        <v>102</v>
      </c>
      <c r="G693" t="s">
        <v>151</v>
      </c>
      <c r="H693" t="s">
        <v>167</v>
      </c>
      <c r="I693" t="s">
        <v>45</v>
      </c>
      <c r="K693">
        <v>202504117889574</v>
      </c>
      <c r="L693">
        <v>1023302249416</v>
      </c>
      <c r="M693">
        <v>20250411</v>
      </c>
      <c r="N693" t="s">
        <v>231</v>
      </c>
      <c r="Q693" t="s">
        <v>47</v>
      </c>
      <c r="R693">
        <v>129345</v>
      </c>
      <c r="S693">
        <v>0</v>
      </c>
      <c r="T693">
        <v>445647</v>
      </c>
      <c r="U693" t="s">
        <v>968</v>
      </c>
      <c r="V693" t="s">
        <v>969</v>
      </c>
      <c r="W693" t="s">
        <v>187</v>
      </c>
      <c r="Y693" t="s">
        <v>51</v>
      </c>
      <c r="Z693">
        <v>1431</v>
      </c>
      <c r="AH693">
        <v>0</v>
      </c>
      <c r="AI693">
        <v>202504</v>
      </c>
      <c r="AJ693" t="s">
        <v>56</v>
      </c>
      <c r="AK693">
        <v>0</v>
      </c>
      <c r="AL693">
        <v>1</v>
      </c>
      <c r="AO693">
        <v>0</v>
      </c>
      <c r="AP693" t="s">
        <v>3015</v>
      </c>
      <c r="AQ693" t="s">
        <v>3044</v>
      </c>
      <c r="AR693" t="s">
        <v>3045</v>
      </c>
      <c r="AS693" t="s">
        <v>3046</v>
      </c>
      <c r="AU693" t="s">
        <v>3046</v>
      </c>
    </row>
    <row r="694" spans="1:47" x14ac:dyDescent="0.35">
      <c r="A694">
        <v>329480</v>
      </c>
      <c r="B694" t="s">
        <v>178</v>
      </c>
      <c r="C694" t="s">
        <v>179</v>
      </c>
      <c r="D694" s="2">
        <v>45759</v>
      </c>
      <c r="E694">
        <v>53850</v>
      </c>
      <c r="F694">
        <v>187</v>
      </c>
      <c r="G694" t="s">
        <v>251</v>
      </c>
      <c r="H694" t="s">
        <v>167</v>
      </c>
      <c r="I694" t="s">
        <v>45</v>
      </c>
      <c r="K694" t="s">
        <v>962</v>
      </c>
      <c r="L694">
        <v>1873300109751</v>
      </c>
      <c r="M694">
        <v>20250411</v>
      </c>
      <c r="N694" t="s">
        <v>3136</v>
      </c>
      <c r="Q694" t="s">
        <v>170</v>
      </c>
      <c r="R694">
        <v>1401.07</v>
      </c>
      <c r="S694">
        <v>0</v>
      </c>
      <c r="T694">
        <v>4949521</v>
      </c>
      <c r="U694" t="s">
        <v>970</v>
      </c>
      <c r="V694" t="s">
        <v>971</v>
      </c>
      <c r="W694" t="s">
        <v>187</v>
      </c>
      <c r="Y694" t="s">
        <v>51</v>
      </c>
      <c r="AH694">
        <v>0</v>
      </c>
      <c r="AI694">
        <v>202504</v>
      </c>
      <c r="AJ694" t="s">
        <v>86</v>
      </c>
      <c r="AK694">
        <v>1</v>
      </c>
      <c r="AL694">
        <v>1</v>
      </c>
      <c r="AO694">
        <v>1</v>
      </c>
      <c r="AP694" t="s">
        <v>3015</v>
      </c>
      <c r="AQ694" t="s">
        <v>3044</v>
      </c>
      <c r="AR694" t="s">
        <v>3045</v>
      </c>
      <c r="AS694" t="s">
        <v>3046</v>
      </c>
      <c r="AU694" t="s">
        <v>3046</v>
      </c>
    </row>
    <row r="695" spans="1:47" x14ac:dyDescent="0.35">
      <c r="A695">
        <v>329479</v>
      </c>
      <c r="B695" t="s">
        <v>178</v>
      </c>
      <c r="C695" t="s">
        <v>179</v>
      </c>
      <c r="D695" s="2">
        <v>45758</v>
      </c>
      <c r="E695">
        <v>53850</v>
      </c>
      <c r="F695">
        <v>110</v>
      </c>
      <c r="G695" t="s">
        <v>230</v>
      </c>
      <c r="H695" t="s">
        <v>167</v>
      </c>
      <c r="I695" t="s">
        <v>45</v>
      </c>
      <c r="K695">
        <v>202504117885346</v>
      </c>
      <c r="L695">
        <v>1103306286220</v>
      </c>
      <c r="M695">
        <v>20250411</v>
      </c>
      <c r="N695" t="s">
        <v>921</v>
      </c>
      <c r="Q695" t="s">
        <v>170</v>
      </c>
      <c r="R695">
        <v>500000</v>
      </c>
      <c r="S695">
        <v>0</v>
      </c>
      <c r="T695">
        <v>4216175</v>
      </c>
      <c r="U695" t="s">
        <v>972</v>
      </c>
      <c r="V695" t="s">
        <v>973</v>
      </c>
      <c r="W695" t="s">
        <v>69</v>
      </c>
      <c r="X695" t="s">
        <v>234</v>
      </c>
      <c r="Y695" t="s">
        <v>51</v>
      </c>
      <c r="Z695">
        <v>458</v>
      </c>
      <c r="AH695">
        <v>0</v>
      </c>
      <c r="AI695">
        <v>202504</v>
      </c>
      <c r="AJ695" t="s">
        <v>86</v>
      </c>
      <c r="AK695">
        <v>1</v>
      </c>
      <c r="AL695">
        <v>1</v>
      </c>
      <c r="AO695">
        <v>0</v>
      </c>
      <c r="AP695" t="s">
        <v>3015</v>
      </c>
      <c r="AQ695" t="s">
        <v>3021</v>
      </c>
      <c r="AR695" t="s">
        <v>3022</v>
      </c>
      <c r="AT695" t="s">
        <v>3017</v>
      </c>
      <c r="AU695" t="s">
        <v>3014</v>
      </c>
    </row>
    <row r="696" spans="1:47" x14ac:dyDescent="0.35">
      <c r="A696">
        <v>329478</v>
      </c>
      <c r="B696" t="s">
        <v>178</v>
      </c>
      <c r="C696" t="s">
        <v>179</v>
      </c>
      <c r="D696" s="2">
        <v>45758</v>
      </c>
      <c r="E696">
        <v>53850</v>
      </c>
      <c r="F696">
        <v>153</v>
      </c>
      <c r="G696" t="s">
        <v>63</v>
      </c>
      <c r="H696" t="s">
        <v>167</v>
      </c>
      <c r="I696" t="s">
        <v>45</v>
      </c>
      <c r="K696">
        <v>202504107886350</v>
      </c>
      <c r="L696">
        <v>1533300663496</v>
      </c>
      <c r="M696">
        <v>20250410</v>
      </c>
      <c r="N696" t="s">
        <v>3136</v>
      </c>
      <c r="Q696" t="s">
        <v>170</v>
      </c>
      <c r="R696">
        <v>161797.57999999999</v>
      </c>
      <c r="S696">
        <v>0</v>
      </c>
      <c r="T696">
        <v>2001604</v>
      </c>
      <c r="U696" t="s">
        <v>974</v>
      </c>
      <c r="V696" t="s">
        <v>975</v>
      </c>
      <c r="W696" t="s">
        <v>187</v>
      </c>
      <c r="Y696" t="s">
        <v>51</v>
      </c>
      <c r="Z696">
        <v>1051</v>
      </c>
      <c r="AH696">
        <v>0</v>
      </c>
      <c r="AI696">
        <v>202504</v>
      </c>
      <c r="AJ696" t="s">
        <v>56</v>
      </c>
      <c r="AK696">
        <v>0</v>
      </c>
      <c r="AL696">
        <v>1</v>
      </c>
      <c r="AO696">
        <v>1</v>
      </c>
      <c r="AP696" t="s">
        <v>3015</v>
      </c>
      <c r="AQ696" t="s">
        <v>3044</v>
      </c>
      <c r="AR696" t="s">
        <v>3045</v>
      </c>
      <c r="AS696" t="s">
        <v>3046</v>
      </c>
      <c r="AU696" t="s">
        <v>3046</v>
      </c>
    </row>
    <row r="697" spans="1:47" x14ac:dyDescent="0.35">
      <c r="A697">
        <v>329477</v>
      </c>
      <c r="B697" t="s">
        <v>178</v>
      </c>
      <c r="C697" t="s">
        <v>179</v>
      </c>
      <c r="D697" s="2">
        <v>45758</v>
      </c>
      <c r="E697">
        <v>53850</v>
      </c>
      <c r="F697">
        <v>105</v>
      </c>
      <c r="G697" t="s">
        <v>60</v>
      </c>
      <c r="H697" t="s">
        <v>167</v>
      </c>
      <c r="I697" t="s">
        <v>45</v>
      </c>
      <c r="K697">
        <v>202504107886192</v>
      </c>
      <c r="L697">
        <v>1053306295285</v>
      </c>
      <c r="M697">
        <v>20250410</v>
      </c>
      <c r="N697" t="s">
        <v>236</v>
      </c>
      <c r="P697" t="s">
        <v>51</v>
      </c>
      <c r="Q697" t="s">
        <v>170</v>
      </c>
      <c r="R697">
        <v>261649.5</v>
      </c>
      <c r="S697">
        <v>0</v>
      </c>
      <c r="T697">
        <v>3740303</v>
      </c>
      <c r="U697" t="s">
        <v>976</v>
      </c>
      <c r="V697" t="s">
        <v>977</v>
      </c>
      <c r="W697" t="s">
        <v>187</v>
      </c>
      <c r="Y697" t="s">
        <v>51</v>
      </c>
      <c r="Z697">
        <v>763</v>
      </c>
      <c r="AH697">
        <v>0</v>
      </c>
      <c r="AI697">
        <v>202504</v>
      </c>
      <c r="AJ697" t="s">
        <v>56</v>
      </c>
      <c r="AK697">
        <v>0</v>
      </c>
      <c r="AL697">
        <v>1</v>
      </c>
      <c r="AO697">
        <v>0</v>
      </c>
      <c r="AP697" t="s">
        <v>3015</v>
      </c>
      <c r="AQ697" t="s">
        <v>3044</v>
      </c>
      <c r="AR697" t="s">
        <v>3045</v>
      </c>
      <c r="AS697" t="s">
        <v>3046</v>
      </c>
      <c r="AU697" t="s">
        <v>3046</v>
      </c>
    </row>
    <row r="698" spans="1:47" x14ac:dyDescent="0.35">
      <c r="A698">
        <v>329476</v>
      </c>
      <c r="B698" t="s">
        <v>164</v>
      </c>
      <c r="C698" t="s">
        <v>165</v>
      </c>
      <c r="D698" s="2">
        <v>45758</v>
      </c>
      <c r="E698">
        <v>53850</v>
      </c>
      <c r="F698">
        <v>192</v>
      </c>
      <c r="G698" t="s">
        <v>66</v>
      </c>
      <c r="H698" t="s">
        <v>167</v>
      </c>
      <c r="I698" t="s">
        <v>45</v>
      </c>
      <c r="K698">
        <v>202504107885245</v>
      </c>
      <c r="L698">
        <v>1923300181787</v>
      </c>
      <c r="M698">
        <v>20250410</v>
      </c>
      <c r="N698" t="s">
        <v>168</v>
      </c>
      <c r="P698" t="s">
        <v>169</v>
      </c>
      <c r="Q698" t="s">
        <v>47</v>
      </c>
      <c r="R698">
        <v>6629</v>
      </c>
      <c r="S698">
        <v>0</v>
      </c>
      <c r="T698">
        <v>4048836</v>
      </c>
      <c r="U698">
        <v>945510725</v>
      </c>
      <c r="V698" t="s">
        <v>978</v>
      </c>
      <c r="W698" t="s">
        <v>49</v>
      </c>
      <c r="X698" t="s">
        <v>713</v>
      </c>
      <c r="Y698" t="s">
        <v>51</v>
      </c>
      <c r="Z698">
        <v>1907</v>
      </c>
      <c r="AH698">
        <v>0</v>
      </c>
      <c r="AI698">
        <v>202504</v>
      </c>
      <c r="AJ698" t="s">
        <v>52</v>
      </c>
      <c r="AK698">
        <v>0</v>
      </c>
      <c r="AL698">
        <v>1</v>
      </c>
      <c r="AO698">
        <v>0</v>
      </c>
      <c r="AP698" t="s">
        <v>3015</v>
      </c>
      <c r="AQ698" t="s">
        <v>3012</v>
      </c>
      <c r="AR698" t="s">
        <v>3016</v>
      </c>
      <c r="AT698" t="s">
        <v>3017</v>
      </c>
      <c r="AU698" t="s">
        <v>3018</v>
      </c>
    </row>
    <row r="699" spans="1:47" x14ac:dyDescent="0.35">
      <c r="A699">
        <v>329475</v>
      </c>
      <c r="B699" t="s">
        <v>164</v>
      </c>
      <c r="C699" t="s">
        <v>165</v>
      </c>
      <c r="D699" s="2">
        <v>45758</v>
      </c>
      <c r="E699">
        <v>53850</v>
      </c>
      <c r="F699">
        <v>141</v>
      </c>
      <c r="G699" t="s">
        <v>105</v>
      </c>
      <c r="H699" t="s">
        <v>167</v>
      </c>
      <c r="I699" t="s">
        <v>45</v>
      </c>
      <c r="K699" t="s">
        <v>979</v>
      </c>
      <c r="L699">
        <v>1413300003508</v>
      </c>
      <c r="M699">
        <v>20250410</v>
      </c>
      <c r="N699" t="s">
        <v>168</v>
      </c>
      <c r="P699" t="s">
        <v>255</v>
      </c>
      <c r="Q699" t="s">
        <v>47</v>
      </c>
      <c r="R699">
        <v>1800</v>
      </c>
      <c r="S699">
        <v>0</v>
      </c>
      <c r="T699">
        <v>4955842</v>
      </c>
      <c r="U699" t="s">
        <v>980</v>
      </c>
      <c r="V699" t="s">
        <v>981</v>
      </c>
      <c r="W699" t="s">
        <v>187</v>
      </c>
      <c r="Y699" t="s">
        <v>51</v>
      </c>
      <c r="Z699">
        <v>925</v>
      </c>
      <c r="AH699">
        <v>0</v>
      </c>
      <c r="AI699">
        <v>202504</v>
      </c>
      <c r="AJ699" t="s">
        <v>86</v>
      </c>
      <c r="AK699">
        <v>1</v>
      </c>
      <c r="AL699">
        <v>1</v>
      </c>
      <c r="AO699">
        <v>0</v>
      </c>
      <c r="AP699" t="s">
        <v>3015</v>
      </c>
      <c r="AQ699" t="s">
        <v>3044</v>
      </c>
      <c r="AR699" t="s">
        <v>3045</v>
      </c>
      <c r="AS699" t="s">
        <v>3046</v>
      </c>
      <c r="AU699" t="s">
        <v>3046</v>
      </c>
    </row>
    <row r="700" spans="1:47" x14ac:dyDescent="0.35">
      <c r="A700">
        <v>329474</v>
      </c>
      <c r="B700" t="s">
        <v>164</v>
      </c>
      <c r="C700" t="s">
        <v>165</v>
      </c>
      <c r="D700" s="2">
        <v>45758</v>
      </c>
      <c r="E700">
        <v>53850</v>
      </c>
      <c r="F700">
        <v>103</v>
      </c>
      <c r="G700" t="s">
        <v>80</v>
      </c>
      <c r="H700" t="s">
        <v>167</v>
      </c>
      <c r="I700" t="s">
        <v>45</v>
      </c>
      <c r="K700" t="s">
        <v>982</v>
      </c>
      <c r="L700">
        <v>1033301641631</v>
      </c>
      <c r="M700">
        <v>20250410</v>
      </c>
      <c r="N700" t="s">
        <v>168</v>
      </c>
      <c r="P700" t="s">
        <v>255</v>
      </c>
      <c r="Q700" t="s">
        <v>47</v>
      </c>
      <c r="R700">
        <v>2417.5100000000002</v>
      </c>
      <c r="S700">
        <v>0</v>
      </c>
      <c r="T700">
        <v>164163</v>
      </c>
      <c r="U700">
        <v>3485840726</v>
      </c>
      <c r="V700" t="s">
        <v>983</v>
      </c>
      <c r="W700" t="s">
        <v>49</v>
      </c>
      <c r="X700" t="s">
        <v>984</v>
      </c>
      <c r="Y700" t="s">
        <v>51</v>
      </c>
      <c r="Z700">
        <v>1274</v>
      </c>
      <c r="AH700">
        <v>0</v>
      </c>
      <c r="AI700">
        <v>202504</v>
      </c>
      <c r="AJ700" t="s">
        <v>86</v>
      </c>
      <c r="AK700">
        <v>1</v>
      </c>
      <c r="AL700">
        <v>1</v>
      </c>
      <c r="AO700">
        <v>0</v>
      </c>
      <c r="AP700" t="s">
        <v>3096</v>
      </c>
      <c r="AQ700" t="s">
        <v>3012</v>
      </c>
      <c r="AR700" t="s">
        <v>3097</v>
      </c>
      <c r="AS700" t="s">
        <v>3014</v>
      </c>
      <c r="AU700" t="s">
        <v>3014</v>
      </c>
    </row>
    <row r="701" spans="1:47" x14ac:dyDescent="0.35">
      <c r="A701">
        <v>329473</v>
      </c>
      <c r="B701" t="s">
        <v>164</v>
      </c>
      <c r="C701" t="s">
        <v>165</v>
      </c>
      <c r="D701" s="2">
        <v>45758</v>
      </c>
      <c r="E701">
        <v>53850</v>
      </c>
      <c r="F701">
        <v>111</v>
      </c>
      <c r="G701" t="s">
        <v>458</v>
      </c>
      <c r="H701" t="s">
        <v>167</v>
      </c>
      <c r="I701" t="s">
        <v>45</v>
      </c>
      <c r="K701" t="s">
        <v>985</v>
      </c>
      <c r="L701">
        <v>1113305626850</v>
      </c>
      <c r="M701">
        <v>20250410</v>
      </c>
      <c r="N701" t="s">
        <v>168</v>
      </c>
      <c r="P701" t="s">
        <v>169</v>
      </c>
      <c r="Q701" t="s">
        <v>170</v>
      </c>
      <c r="R701">
        <v>2500</v>
      </c>
      <c r="S701">
        <v>0</v>
      </c>
      <c r="T701">
        <v>562685</v>
      </c>
      <c r="U701" t="s">
        <v>459</v>
      </c>
      <c r="V701" t="s">
        <v>460</v>
      </c>
      <c r="W701" t="s">
        <v>187</v>
      </c>
      <c r="Y701" t="s">
        <v>51</v>
      </c>
      <c r="Z701">
        <v>593</v>
      </c>
      <c r="AH701">
        <v>0</v>
      </c>
      <c r="AI701">
        <v>202504</v>
      </c>
      <c r="AJ701" t="s">
        <v>119</v>
      </c>
      <c r="AK701">
        <v>1</v>
      </c>
      <c r="AL701">
        <v>1</v>
      </c>
      <c r="AO701">
        <v>0</v>
      </c>
      <c r="AP701" t="s">
        <v>3015</v>
      </c>
      <c r="AQ701" t="s">
        <v>3044</v>
      </c>
      <c r="AR701" t="s">
        <v>3045</v>
      </c>
      <c r="AS701" t="s">
        <v>3046</v>
      </c>
      <c r="AU701" t="s">
        <v>3046</v>
      </c>
    </row>
    <row r="702" spans="1:47" x14ac:dyDescent="0.35">
      <c r="A702">
        <v>329472</v>
      </c>
      <c r="B702" t="s">
        <v>353</v>
      </c>
      <c r="C702" t="s">
        <v>354</v>
      </c>
      <c r="D702" s="2">
        <v>45758</v>
      </c>
      <c r="E702">
        <v>53850</v>
      </c>
      <c r="F702">
        <v>109</v>
      </c>
      <c r="G702" t="s">
        <v>89</v>
      </c>
      <c r="H702" t="s">
        <v>167</v>
      </c>
      <c r="I702" t="s">
        <v>45</v>
      </c>
      <c r="K702">
        <v>202504107885321</v>
      </c>
      <c r="L702">
        <v>1091147800171</v>
      </c>
      <c r="M702">
        <v>20250410</v>
      </c>
      <c r="N702" t="s">
        <v>168</v>
      </c>
      <c r="P702" t="s">
        <v>217</v>
      </c>
      <c r="Q702" t="s">
        <v>47</v>
      </c>
      <c r="R702">
        <v>110672.88</v>
      </c>
      <c r="S702">
        <v>0</v>
      </c>
      <c r="T702">
        <v>3173745</v>
      </c>
      <c r="U702">
        <v>254810724</v>
      </c>
      <c r="V702" t="s">
        <v>986</v>
      </c>
      <c r="W702" t="s">
        <v>49</v>
      </c>
      <c r="X702" t="s">
        <v>987</v>
      </c>
      <c r="Y702" t="s">
        <v>51</v>
      </c>
      <c r="Z702">
        <v>1696</v>
      </c>
      <c r="AH702">
        <v>0</v>
      </c>
      <c r="AI702">
        <v>202504</v>
      </c>
      <c r="AJ702" t="s">
        <v>56</v>
      </c>
      <c r="AK702">
        <v>0</v>
      </c>
      <c r="AL702">
        <v>1</v>
      </c>
      <c r="AO702">
        <v>0</v>
      </c>
      <c r="AP702" t="s">
        <v>3015</v>
      </c>
      <c r="AQ702" t="s">
        <v>3012</v>
      </c>
      <c r="AR702" t="s">
        <v>3016</v>
      </c>
      <c r="AT702" t="s">
        <v>3017</v>
      </c>
      <c r="AU702" t="s">
        <v>3018</v>
      </c>
    </row>
    <row r="703" spans="1:47" x14ac:dyDescent="0.35">
      <c r="A703">
        <v>329471</v>
      </c>
      <c r="B703" t="s">
        <v>164</v>
      </c>
      <c r="C703" t="s">
        <v>165</v>
      </c>
      <c r="D703" s="2">
        <v>45758</v>
      </c>
      <c r="E703">
        <v>53850</v>
      </c>
      <c r="F703">
        <v>109</v>
      </c>
      <c r="G703" t="s">
        <v>89</v>
      </c>
      <c r="H703" t="s">
        <v>167</v>
      </c>
      <c r="I703" t="s">
        <v>45</v>
      </c>
      <c r="K703" t="s">
        <v>988</v>
      </c>
      <c r="L703">
        <v>1093306672844</v>
      </c>
      <c r="M703">
        <v>20250410</v>
      </c>
      <c r="N703" t="s">
        <v>168</v>
      </c>
      <c r="P703" t="s">
        <v>255</v>
      </c>
      <c r="Q703" t="s">
        <v>170</v>
      </c>
      <c r="R703">
        <v>2700</v>
      </c>
      <c r="S703">
        <v>0</v>
      </c>
      <c r="T703">
        <v>440311</v>
      </c>
      <c r="U703">
        <v>3550290724</v>
      </c>
      <c r="V703" t="s">
        <v>90</v>
      </c>
      <c r="W703" t="s">
        <v>49</v>
      </c>
      <c r="X703" t="s">
        <v>91</v>
      </c>
      <c r="Y703" t="s">
        <v>51</v>
      </c>
      <c r="Z703">
        <v>1903</v>
      </c>
      <c r="AH703">
        <v>0</v>
      </c>
      <c r="AI703">
        <v>202504</v>
      </c>
      <c r="AJ703" t="s">
        <v>56</v>
      </c>
      <c r="AK703">
        <v>0</v>
      </c>
      <c r="AL703">
        <v>1</v>
      </c>
      <c r="AM703">
        <v>440311</v>
      </c>
      <c r="AN703">
        <v>1</v>
      </c>
      <c r="AO703">
        <v>0</v>
      </c>
      <c r="AP703" t="s">
        <v>1100</v>
      </c>
      <c r="AQ703" t="s">
        <v>3012</v>
      </c>
      <c r="AR703" t="s">
        <v>3023</v>
      </c>
      <c r="AS703" t="s">
        <v>3014</v>
      </c>
      <c r="AU703" t="s">
        <v>3014</v>
      </c>
    </row>
    <row r="704" spans="1:47" x14ac:dyDescent="0.35">
      <c r="A704">
        <v>329470</v>
      </c>
      <c r="B704" t="s">
        <v>178</v>
      </c>
      <c r="C704" t="s">
        <v>179</v>
      </c>
      <c r="D704" s="2">
        <v>45758</v>
      </c>
      <c r="E704">
        <v>53850</v>
      </c>
      <c r="F704">
        <v>284</v>
      </c>
      <c r="G704" t="s">
        <v>184</v>
      </c>
      <c r="H704" t="s">
        <v>167</v>
      </c>
      <c r="I704" t="s">
        <v>45</v>
      </c>
      <c r="K704">
        <v>202504107886611</v>
      </c>
      <c r="L704">
        <v>2843300000468</v>
      </c>
      <c r="M704">
        <v>20250410</v>
      </c>
      <c r="N704" t="s">
        <v>3136</v>
      </c>
      <c r="Q704" t="s">
        <v>170</v>
      </c>
      <c r="R704">
        <v>7537.58</v>
      </c>
      <c r="S704">
        <v>0</v>
      </c>
      <c r="T704">
        <v>1656678</v>
      </c>
      <c r="U704" t="s">
        <v>989</v>
      </c>
      <c r="V704" t="s">
        <v>990</v>
      </c>
      <c r="W704" t="s">
        <v>187</v>
      </c>
      <c r="Y704" t="s">
        <v>51</v>
      </c>
      <c r="Z704">
        <v>1860</v>
      </c>
      <c r="AH704">
        <v>0</v>
      </c>
      <c r="AI704">
        <v>202504</v>
      </c>
      <c r="AJ704" t="s">
        <v>52</v>
      </c>
      <c r="AK704">
        <v>0</v>
      </c>
      <c r="AL704">
        <v>1</v>
      </c>
      <c r="AO704">
        <v>1</v>
      </c>
      <c r="AP704" t="s">
        <v>3015</v>
      </c>
      <c r="AQ704" t="s">
        <v>3044</v>
      </c>
      <c r="AR704" t="s">
        <v>3045</v>
      </c>
      <c r="AS704" t="s">
        <v>3046</v>
      </c>
      <c r="AU704" t="s">
        <v>3046</v>
      </c>
    </row>
    <row r="705" spans="1:47" x14ac:dyDescent="0.35">
      <c r="A705">
        <v>329469</v>
      </c>
      <c r="B705" t="s">
        <v>178</v>
      </c>
      <c r="C705" t="s">
        <v>179</v>
      </c>
      <c r="D705" s="2">
        <v>45758</v>
      </c>
      <c r="E705">
        <v>53850</v>
      </c>
      <c r="F705">
        <v>188</v>
      </c>
      <c r="G705" t="s">
        <v>419</v>
      </c>
      <c r="H705" t="s">
        <v>167</v>
      </c>
      <c r="I705" t="s">
        <v>45</v>
      </c>
      <c r="K705" t="s">
        <v>991</v>
      </c>
      <c r="L705">
        <v>1883300128444</v>
      </c>
      <c r="M705">
        <v>20250410</v>
      </c>
      <c r="N705" t="s">
        <v>3136</v>
      </c>
      <c r="Q705" t="s">
        <v>170</v>
      </c>
      <c r="R705">
        <v>3919.57</v>
      </c>
      <c r="S705">
        <v>0</v>
      </c>
      <c r="T705">
        <v>4121707</v>
      </c>
      <c r="U705" t="s">
        <v>992</v>
      </c>
      <c r="V705" t="s">
        <v>993</v>
      </c>
      <c r="W705" t="s">
        <v>187</v>
      </c>
      <c r="Y705" t="s">
        <v>51</v>
      </c>
      <c r="Z705">
        <v>433</v>
      </c>
      <c r="AH705">
        <v>0</v>
      </c>
      <c r="AI705">
        <v>202504</v>
      </c>
      <c r="AJ705" t="s">
        <v>86</v>
      </c>
      <c r="AK705">
        <v>1</v>
      </c>
      <c r="AL705">
        <v>1</v>
      </c>
      <c r="AO705">
        <v>1</v>
      </c>
      <c r="AP705" t="s">
        <v>3015</v>
      </c>
      <c r="AQ705" t="s">
        <v>3044</v>
      </c>
      <c r="AR705" t="s">
        <v>3045</v>
      </c>
      <c r="AS705" t="s">
        <v>3046</v>
      </c>
      <c r="AU705" t="s">
        <v>3046</v>
      </c>
    </row>
    <row r="706" spans="1:47" x14ac:dyDescent="0.35">
      <c r="A706">
        <v>329468</v>
      </c>
      <c r="B706" t="s">
        <v>172</v>
      </c>
      <c r="C706" t="s">
        <v>173</v>
      </c>
      <c r="D706" s="2">
        <v>45758</v>
      </c>
      <c r="E706">
        <v>53850</v>
      </c>
      <c r="F706">
        <v>174</v>
      </c>
      <c r="G706" t="s">
        <v>224</v>
      </c>
      <c r="H706" t="s">
        <v>167</v>
      </c>
      <c r="I706" t="s">
        <v>45</v>
      </c>
      <c r="K706">
        <v>202504107886423</v>
      </c>
      <c r="L706">
        <v>1743302877381</v>
      </c>
      <c r="M706">
        <v>20250410</v>
      </c>
      <c r="N706" t="s">
        <v>231</v>
      </c>
      <c r="Q706" t="s">
        <v>47</v>
      </c>
      <c r="R706">
        <v>415377.23</v>
      </c>
      <c r="S706">
        <v>0</v>
      </c>
      <c r="T706">
        <v>4071858</v>
      </c>
      <c r="U706" t="s">
        <v>994</v>
      </c>
      <c r="V706" t="s">
        <v>995</v>
      </c>
      <c r="W706" t="s">
        <v>187</v>
      </c>
      <c r="Y706" t="s">
        <v>51</v>
      </c>
      <c r="Z706">
        <v>448</v>
      </c>
      <c r="AH706">
        <v>0</v>
      </c>
      <c r="AI706">
        <v>202504</v>
      </c>
      <c r="AJ706" t="s">
        <v>52</v>
      </c>
      <c r="AK706">
        <v>0</v>
      </c>
      <c r="AL706">
        <v>1</v>
      </c>
      <c r="AO706">
        <v>0</v>
      </c>
      <c r="AP706" t="s">
        <v>3015</v>
      </c>
      <c r="AQ706" t="s">
        <v>3044</v>
      </c>
      <c r="AR706" t="s">
        <v>3045</v>
      </c>
      <c r="AS706" t="s">
        <v>3046</v>
      </c>
      <c r="AU706" t="s">
        <v>3046</v>
      </c>
    </row>
    <row r="707" spans="1:47" x14ac:dyDescent="0.35">
      <c r="A707">
        <v>329467</v>
      </c>
      <c r="B707" t="s">
        <v>178</v>
      </c>
      <c r="C707" t="s">
        <v>179</v>
      </c>
      <c r="D707" s="2">
        <v>45758</v>
      </c>
      <c r="E707">
        <v>53850</v>
      </c>
      <c r="F707">
        <v>153</v>
      </c>
      <c r="G707" t="s">
        <v>63</v>
      </c>
      <c r="H707" t="s">
        <v>167</v>
      </c>
      <c r="I707" t="s">
        <v>45</v>
      </c>
      <c r="K707">
        <v>202504107885819</v>
      </c>
      <c r="L707">
        <v>1533303003511</v>
      </c>
      <c r="M707">
        <v>20250410</v>
      </c>
      <c r="N707" t="s">
        <v>220</v>
      </c>
      <c r="Q707" t="s">
        <v>170</v>
      </c>
      <c r="R707">
        <v>953751.8</v>
      </c>
      <c r="S707">
        <v>0</v>
      </c>
      <c r="T707">
        <v>4176708</v>
      </c>
      <c r="U707">
        <v>606490647</v>
      </c>
      <c r="V707" t="s">
        <v>996</v>
      </c>
      <c r="W707" t="s">
        <v>49</v>
      </c>
      <c r="X707" t="s">
        <v>430</v>
      </c>
      <c r="Y707" t="s">
        <v>51</v>
      </c>
      <c r="Z707">
        <v>982</v>
      </c>
      <c r="AH707">
        <v>0</v>
      </c>
      <c r="AI707">
        <v>202504</v>
      </c>
      <c r="AJ707" t="s">
        <v>52</v>
      </c>
      <c r="AK707">
        <v>0</v>
      </c>
      <c r="AL707">
        <v>1</v>
      </c>
      <c r="AO707">
        <v>0</v>
      </c>
      <c r="AP707" t="s">
        <v>3015</v>
      </c>
      <c r="AQ707" t="s">
        <v>3012</v>
      </c>
      <c r="AR707" t="s">
        <v>3016</v>
      </c>
      <c r="AT707" t="s">
        <v>3017</v>
      </c>
      <c r="AU707" t="s">
        <v>3018</v>
      </c>
    </row>
    <row r="708" spans="1:47" x14ac:dyDescent="0.35">
      <c r="A708">
        <v>329466</v>
      </c>
      <c r="B708" t="s">
        <v>333</v>
      </c>
      <c r="C708" t="s">
        <v>334</v>
      </c>
      <c r="D708" s="2">
        <v>45758</v>
      </c>
      <c r="E708">
        <v>53850</v>
      </c>
      <c r="F708">
        <v>99</v>
      </c>
      <c r="G708" t="s">
        <v>335</v>
      </c>
      <c r="H708" t="s">
        <v>167</v>
      </c>
      <c r="I708" t="s">
        <v>45</v>
      </c>
      <c r="K708" t="s">
        <v>997</v>
      </c>
      <c r="M708">
        <v>20250410</v>
      </c>
      <c r="N708" t="s">
        <v>3136</v>
      </c>
      <c r="Q708" t="s">
        <v>170</v>
      </c>
      <c r="R708">
        <v>1163.22</v>
      </c>
      <c r="S708">
        <v>0</v>
      </c>
      <c r="T708">
        <v>4945096</v>
      </c>
      <c r="U708" t="s">
        <v>998</v>
      </c>
      <c r="V708" t="s">
        <v>999</v>
      </c>
      <c r="W708" t="s">
        <v>187</v>
      </c>
      <c r="Y708" t="s">
        <v>51</v>
      </c>
      <c r="Z708">
        <v>796</v>
      </c>
      <c r="AH708">
        <v>0</v>
      </c>
      <c r="AI708">
        <v>202504</v>
      </c>
      <c r="AJ708" t="s">
        <v>86</v>
      </c>
      <c r="AK708">
        <v>1</v>
      </c>
      <c r="AL708">
        <v>0</v>
      </c>
      <c r="AO708">
        <v>1</v>
      </c>
      <c r="AP708" t="s">
        <v>3015</v>
      </c>
      <c r="AQ708" t="s">
        <v>3044</v>
      </c>
      <c r="AR708" t="s">
        <v>3045</v>
      </c>
      <c r="AS708" t="s">
        <v>3046</v>
      </c>
      <c r="AU708" t="s">
        <v>3046</v>
      </c>
    </row>
    <row r="709" spans="1:47" x14ac:dyDescent="0.35">
      <c r="A709">
        <v>329465</v>
      </c>
      <c r="B709" t="s">
        <v>164</v>
      </c>
      <c r="C709" t="s">
        <v>165</v>
      </c>
      <c r="D709" s="2">
        <v>45758</v>
      </c>
      <c r="E709">
        <v>53850</v>
      </c>
      <c r="F709">
        <v>109</v>
      </c>
      <c r="G709" t="s">
        <v>89</v>
      </c>
      <c r="H709" t="s">
        <v>167</v>
      </c>
      <c r="I709" t="s">
        <v>45</v>
      </c>
      <c r="K709" t="s">
        <v>1000</v>
      </c>
      <c r="L709">
        <v>1093306672844</v>
      </c>
      <c r="M709">
        <v>20250410</v>
      </c>
      <c r="N709" t="s">
        <v>168</v>
      </c>
      <c r="P709" t="s">
        <v>255</v>
      </c>
      <c r="Q709" t="s">
        <v>170</v>
      </c>
      <c r="R709">
        <v>1800</v>
      </c>
      <c r="S709">
        <v>0</v>
      </c>
      <c r="T709">
        <v>440311</v>
      </c>
      <c r="U709">
        <v>3550290724</v>
      </c>
      <c r="V709" t="s">
        <v>90</v>
      </c>
      <c r="W709" t="s">
        <v>49</v>
      </c>
      <c r="X709" t="s">
        <v>91</v>
      </c>
      <c r="Y709" t="s">
        <v>51</v>
      </c>
      <c r="Z709">
        <v>1903</v>
      </c>
      <c r="AH709">
        <v>0</v>
      </c>
      <c r="AI709">
        <v>202504</v>
      </c>
      <c r="AJ709" t="s">
        <v>56</v>
      </c>
      <c r="AK709">
        <v>0</v>
      </c>
      <c r="AL709">
        <v>1</v>
      </c>
      <c r="AM709">
        <v>440311</v>
      </c>
      <c r="AN709">
        <v>1</v>
      </c>
      <c r="AO709">
        <v>0</v>
      </c>
      <c r="AP709" t="s">
        <v>1100</v>
      </c>
      <c r="AQ709" t="s">
        <v>3012</v>
      </c>
      <c r="AR709" t="s">
        <v>3023</v>
      </c>
      <c r="AS709" t="s">
        <v>3014</v>
      </c>
      <c r="AU709" t="s">
        <v>3014</v>
      </c>
    </row>
    <row r="710" spans="1:47" x14ac:dyDescent="0.35">
      <c r="A710">
        <v>329464</v>
      </c>
      <c r="B710" t="s">
        <v>193</v>
      </c>
      <c r="C710" t="s">
        <v>194</v>
      </c>
      <c r="D710" s="2">
        <v>45758</v>
      </c>
      <c r="E710">
        <v>53850</v>
      </c>
      <c r="F710">
        <v>120</v>
      </c>
      <c r="G710" t="s">
        <v>411</v>
      </c>
      <c r="H710" t="s">
        <v>167</v>
      </c>
      <c r="I710" t="s">
        <v>45</v>
      </c>
      <c r="K710" t="s">
        <v>1001</v>
      </c>
      <c r="L710">
        <v>1203300001670</v>
      </c>
      <c r="M710">
        <v>20250410</v>
      </c>
      <c r="N710" t="s">
        <v>175</v>
      </c>
      <c r="Q710" t="s">
        <v>47</v>
      </c>
      <c r="R710">
        <v>56350</v>
      </c>
      <c r="S710">
        <v>52750</v>
      </c>
      <c r="T710">
        <v>4510434</v>
      </c>
      <c r="U710">
        <v>6789440721</v>
      </c>
      <c r="V710" t="s">
        <v>412</v>
      </c>
      <c r="W710" t="s">
        <v>190</v>
      </c>
      <c r="X710" t="s">
        <v>413</v>
      </c>
      <c r="Y710" t="s">
        <v>51</v>
      </c>
      <c r="Z710">
        <v>1640</v>
      </c>
      <c r="AH710">
        <v>0</v>
      </c>
      <c r="AI710">
        <v>202504</v>
      </c>
      <c r="AJ710" t="s">
        <v>119</v>
      </c>
      <c r="AK710">
        <v>1</v>
      </c>
      <c r="AL710">
        <v>1</v>
      </c>
      <c r="AM710">
        <v>4510434</v>
      </c>
      <c r="AN710">
        <v>1</v>
      </c>
      <c r="AO710">
        <v>1</v>
      </c>
      <c r="AP710" t="s">
        <v>3015</v>
      </c>
      <c r="AQ710" t="s">
        <v>3047</v>
      </c>
      <c r="AR710" t="s">
        <v>3056</v>
      </c>
      <c r="AT710" t="s">
        <v>3017</v>
      </c>
      <c r="AU710" t="s">
        <v>3057</v>
      </c>
    </row>
    <row r="711" spans="1:47" x14ac:dyDescent="0.35">
      <c r="A711">
        <v>329463</v>
      </c>
      <c r="B711" t="s">
        <v>178</v>
      </c>
      <c r="C711" t="s">
        <v>179</v>
      </c>
      <c r="D711" s="2">
        <v>45758</v>
      </c>
      <c r="E711">
        <v>53850</v>
      </c>
      <c r="F711">
        <v>200</v>
      </c>
      <c r="G711" t="s">
        <v>858</v>
      </c>
      <c r="H711" t="s">
        <v>167</v>
      </c>
      <c r="I711" t="s">
        <v>45</v>
      </c>
      <c r="K711">
        <v>202504107886545</v>
      </c>
      <c r="L711">
        <v>2003300003447</v>
      </c>
      <c r="M711">
        <v>20250410</v>
      </c>
      <c r="N711" t="s">
        <v>1002</v>
      </c>
      <c r="Q711" t="s">
        <v>47</v>
      </c>
      <c r="R711">
        <v>717873.56</v>
      </c>
      <c r="S711">
        <v>0</v>
      </c>
      <c r="T711">
        <v>4985570</v>
      </c>
      <c r="U711">
        <v>12490960965</v>
      </c>
      <c r="V711" t="s">
        <v>1003</v>
      </c>
      <c r="W711" t="s">
        <v>156</v>
      </c>
      <c r="X711" t="s">
        <v>825</v>
      </c>
      <c r="Y711" t="s">
        <v>51</v>
      </c>
      <c r="Z711">
        <v>1784</v>
      </c>
      <c r="AH711">
        <v>0</v>
      </c>
      <c r="AI711">
        <v>202504</v>
      </c>
      <c r="AJ711" t="s">
        <v>56</v>
      </c>
      <c r="AK711">
        <v>0</v>
      </c>
      <c r="AL711">
        <v>1</v>
      </c>
      <c r="AO711">
        <v>0</v>
      </c>
      <c r="AP711" t="s">
        <v>3015</v>
      </c>
      <c r="AQ711" t="s">
        <v>3038</v>
      </c>
      <c r="AR711" t="s">
        <v>3039</v>
      </c>
      <c r="AT711" t="s">
        <v>3017</v>
      </c>
      <c r="AU711" t="s">
        <v>3037</v>
      </c>
    </row>
    <row r="712" spans="1:47" x14ac:dyDescent="0.35">
      <c r="A712">
        <v>329462</v>
      </c>
      <c r="B712" t="s">
        <v>172</v>
      </c>
      <c r="C712" t="s">
        <v>173</v>
      </c>
      <c r="D712" s="2">
        <v>45758</v>
      </c>
      <c r="E712">
        <v>53850</v>
      </c>
      <c r="F712">
        <v>104</v>
      </c>
      <c r="G712" t="s">
        <v>108</v>
      </c>
      <c r="H712" t="s">
        <v>167</v>
      </c>
      <c r="I712" t="s">
        <v>45</v>
      </c>
      <c r="K712" t="s">
        <v>1001</v>
      </c>
      <c r="L712">
        <v>1043304173550</v>
      </c>
      <c r="M712">
        <v>20250410</v>
      </c>
      <c r="N712" t="s">
        <v>175</v>
      </c>
      <c r="Q712" t="s">
        <v>47</v>
      </c>
      <c r="R712">
        <v>88865.89</v>
      </c>
      <c r="S712">
        <v>1000</v>
      </c>
      <c r="T712">
        <v>417355</v>
      </c>
      <c r="U712">
        <v>374690725</v>
      </c>
      <c r="V712" t="s">
        <v>109</v>
      </c>
      <c r="W712" t="s">
        <v>49</v>
      </c>
      <c r="X712" t="s">
        <v>110</v>
      </c>
      <c r="Y712" t="s">
        <v>51</v>
      </c>
      <c r="Z712">
        <v>1919</v>
      </c>
      <c r="AH712">
        <v>0</v>
      </c>
      <c r="AI712">
        <v>202504</v>
      </c>
      <c r="AJ712" t="s">
        <v>52</v>
      </c>
      <c r="AK712">
        <v>0</v>
      </c>
      <c r="AL712">
        <v>1</v>
      </c>
      <c r="AM712">
        <v>417355</v>
      </c>
      <c r="AN712">
        <v>1</v>
      </c>
      <c r="AO712">
        <v>1</v>
      </c>
      <c r="AP712" t="s">
        <v>3026</v>
      </c>
      <c r="AQ712" t="s">
        <v>3012</v>
      </c>
      <c r="AR712" t="s">
        <v>3027</v>
      </c>
      <c r="AS712" t="s">
        <v>3028</v>
      </c>
      <c r="AU712" t="s">
        <v>3028</v>
      </c>
    </row>
    <row r="713" spans="1:47" x14ac:dyDescent="0.35">
      <c r="A713">
        <v>329461</v>
      </c>
      <c r="B713" t="s">
        <v>178</v>
      </c>
      <c r="C713" t="s">
        <v>179</v>
      </c>
      <c r="D713" s="2">
        <v>45758</v>
      </c>
      <c r="E713">
        <v>53850</v>
      </c>
      <c r="F713">
        <v>284</v>
      </c>
      <c r="G713" t="s">
        <v>184</v>
      </c>
      <c r="H713" t="s">
        <v>167</v>
      </c>
      <c r="I713" t="s">
        <v>45</v>
      </c>
      <c r="K713">
        <v>202504107886611</v>
      </c>
      <c r="L713">
        <v>2843300000468</v>
      </c>
      <c r="M713">
        <v>20250410</v>
      </c>
      <c r="N713" t="s">
        <v>3136</v>
      </c>
      <c r="Q713" t="s">
        <v>170</v>
      </c>
      <c r="R713">
        <v>7537.58</v>
      </c>
      <c r="S713">
        <v>0</v>
      </c>
      <c r="T713">
        <v>1702561</v>
      </c>
      <c r="U713" t="s">
        <v>1004</v>
      </c>
      <c r="V713" t="s">
        <v>1005</v>
      </c>
      <c r="W713" t="s">
        <v>187</v>
      </c>
      <c r="Y713" t="s">
        <v>51</v>
      </c>
      <c r="Z713">
        <v>1860</v>
      </c>
      <c r="AH713">
        <v>0</v>
      </c>
      <c r="AI713">
        <v>202504</v>
      </c>
      <c r="AJ713" t="s">
        <v>52</v>
      </c>
      <c r="AK713">
        <v>0</v>
      </c>
      <c r="AL713">
        <v>1</v>
      </c>
      <c r="AO713">
        <v>1</v>
      </c>
      <c r="AP713" t="s">
        <v>3015</v>
      </c>
      <c r="AQ713" t="s">
        <v>3044</v>
      </c>
      <c r="AR713" t="s">
        <v>3045</v>
      </c>
      <c r="AS713" t="s">
        <v>3046</v>
      </c>
      <c r="AU713" t="s">
        <v>3046</v>
      </c>
    </row>
    <row r="714" spans="1:47" x14ac:dyDescent="0.35">
      <c r="A714">
        <v>329460</v>
      </c>
      <c r="B714" t="s">
        <v>193</v>
      </c>
      <c r="C714" t="s">
        <v>194</v>
      </c>
      <c r="D714" s="2">
        <v>45758</v>
      </c>
      <c r="E714">
        <v>53850</v>
      </c>
      <c r="F714">
        <v>174</v>
      </c>
      <c r="G714" t="s">
        <v>224</v>
      </c>
      <c r="H714" t="s">
        <v>167</v>
      </c>
      <c r="I714" t="s">
        <v>45</v>
      </c>
      <c r="K714" t="s">
        <v>1001</v>
      </c>
      <c r="L714">
        <v>1743302879903</v>
      </c>
      <c r="M714">
        <v>20250410</v>
      </c>
      <c r="N714" t="s">
        <v>175</v>
      </c>
      <c r="Q714" t="s">
        <v>47</v>
      </c>
      <c r="R714">
        <v>48176.25</v>
      </c>
      <c r="S714">
        <v>44000</v>
      </c>
      <c r="T714">
        <v>4928259</v>
      </c>
      <c r="U714">
        <v>8287320728</v>
      </c>
      <c r="V714" t="s">
        <v>534</v>
      </c>
      <c r="W714" t="s">
        <v>49</v>
      </c>
      <c r="X714" t="s">
        <v>117</v>
      </c>
      <c r="Y714" t="s">
        <v>51</v>
      </c>
      <c r="Z714">
        <v>448</v>
      </c>
      <c r="AH714">
        <v>0</v>
      </c>
      <c r="AI714">
        <v>202504</v>
      </c>
      <c r="AJ714" t="s">
        <v>52</v>
      </c>
      <c r="AK714">
        <v>0</v>
      </c>
      <c r="AL714">
        <v>1</v>
      </c>
      <c r="AM714">
        <v>4928259</v>
      </c>
      <c r="AN714">
        <v>1</v>
      </c>
      <c r="AO714">
        <v>1</v>
      </c>
      <c r="AP714" t="s">
        <v>3029</v>
      </c>
      <c r="AQ714" t="s">
        <v>3012</v>
      </c>
      <c r="AR714" t="s">
        <v>3030</v>
      </c>
      <c r="AS714" t="s">
        <v>3014</v>
      </c>
      <c r="AU714" t="s">
        <v>3014</v>
      </c>
    </row>
    <row r="715" spans="1:47" x14ac:dyDescent="0.35">
      <c r="A715">
        <v>329459</v>
      </c>
      <c r="B715" t="s">
        <v>178</v>
      </c>
      <c r="C715" t="s">
        <v>179</v>
      </c>
      <c r="D715" s="2">
        <v>45758</v>
      </c>
      <c r="E715">
        <v>53850</v>
      </c>
      <c r="F715">
        <v>109</v>
      </c>
      <c r="G715" t="s">
        <v>89</v>
      </c>
      <c r="H715" t="s">
        <v>167</v>
      </c>
      <c r="I715" t="s">
        <v>45</v>
      </c>
      <c r="K715">
        <v>202504107885699</v>
      </c>
      <c r="L715">
        <v>1093304102436</v>
      </c>
      <c r="M715">
        <v>20250410</v>
      </c>
      <c r="N715" t="s">
        <v>220</v>
      </c>
      <c r="Q715" t="s">
        <v>170</v>
      </c>
      <c r="R715">
        <v>318131.78999999998</v>
      </c>
      <c r="S715">
        <v>0</v>
      </c>
      <c r="T715">
        <v>4142804</v>
      </c>
      <c r="U715">
        <v>4794510729</v>
      </c>
      <c r="V715" t="s">
        <v>1006</v>
      </c>
      <c r="W715" t="s">
        <v>49</v>
      </c>
      <c r="X715" t="s">
        <v>110</v>
      </c>
      <c r="Y715" t="s">
        <v>51</v>
      </c>
      <c r="Z715">
        <v>1919</v>
      </c>
      <c r="AH715">
        <v>0</v>
      </c>
      <c r="AI715">
        <v>202504</v>
      </c>
      <c r="AJ715" t="s">
        <v>56</v>
      </c>
      <c r="AK715">
        <v>0</v>
      </c>
      <c r="AL715">
        <v>1</v>
      </c>
      <c r="AO715">
        <v>0</v>
      </c>
      <c r="AP715" t="s">
        <v>3026</v>
      </c>
      <c r="AQ715" t="s">
        <v>3012</v>
      </c>
      <c r="AR715" t="s">
        <v>3027</v>
      </c>
      <c r="AS715" t="s">
        <v>3028</v>
      </c>
      <c r="AU715" t="s">
        <v>3028</v>
      </c>
    </row>
    <row r="716" spans="1:47" x14ac:dyDescent="0.35">
      <c r="A716">
        <v>329458</v>
      </c>
      <c r="B716" t="s">
        <v>178</v>
      </c>
      <c r="C716" t="s">
        <v>179</v>
      </c>
      <c r="D716" s="2">
        <v>45758</v>
      </c>
      <c r="E716">
        <v>53850</v>
      </c>
      <c r="F716">
        <v>149</v>
      </c>
      <c r="G716" t="s">
        <v>449</v>
      </c>
      <c r="H716" t="s">
        <v>167</v>
      </c>
      <c r="I716" t="s">
        <v>45</v>
      </c>
      <c r="K716">
        <v>202504107884602</v>
      </c>
      <c r="L716">
        <v>1493300665012</v>
      </c>
      <c r="M716">
        <v>20250410</v>
      </c>
      <c r="N716" t="s">
        <v>46</v>
      </c>
      <c r="P716" t="s">
        <v>51</v>
      </c>
      <c r="Q716" t="s">
        <v>47</v>
      </c>
      <c r="R716">
        <v>1098966.73</v>
      </c>
      <c r="S716">
        <v>0</v>
      </c>
      <c r="T716">
        <v>3711346</v>
      </c>
      <c r="U716">
        <v>9125231218</v>
      </c>
      <c r="V716" t="s">
        <v>1007</v>
      </c>
      <c r="W716" t="s">
        <v>49</v>
      </c>
      <c r="X716" t="s">
        <v>686</v>
      </c>
      <c r="Y716" t="s">
        <v>51</v>
      </c>
      <c r="Z716">
        <v>1910</v>
      </c>
      <c r="AH716">
        <v>0</v>
      </c>
      <c r="AI716">
        <v>202504</v>
      </c>
      <c r="AJ716" t="s">
        <v>56</v>
      </c>
      <c r="AK716">
        <v>0</v>
      </c>
      <c r="AL716">
        <v>1</v>
      </c>
      <c r="AO716">
        <v>0</v>
      </c>
      <c r="AP716" t="s">
        <v>3015</v>
      </c>
      <c r="AQ716" t="s">
        <v>3012</v>
      </c>
      <c r="AR716" t="s">
        <v>3016</v>
      </c>
      <c r="AT716" t="s">
        <v>3017</v>
      </c>
      <c r="AU716" t="s">
        <v>3018</v>
      </c>
    </row>
    <row r="717" spans="1:47" x14ac:dyDescent="0.35">
      <c r="A717">
        <v>329457</v>
      </c>
      <c r="B717" t="s">
        <v>214</v>
      </c>
      <c r="C717" t="s">
        <v>215</v>
      </c>
      <c r="D717" s="2">
        <v>45758</v>
      </c>
      <c r="E717">
        <v>53850</v>
      </c>
      <c r="F717">
        <v>109</v>
      </c>
      <c r="G717" t="s">
        <v>89</v>
      </c>
      <c r="H717" t="s">
        <v>167</v>
      </c>
      <c r="I717" t="s">
        <v>45</v>
      </c>
      <c r="K717">
        <v>202504107885321</v>
      </c>
      <c r="L717">
        <v>1091147800171</v>
      </c>
      <c r="M717">
        <v>20250410</v>
      </c>
      <c r="N717" t="s">
        <v>168</v>
      </c>
      <c r="P717" t="s">
        <v>217</v>
      </c>
      <c r="Q717" t="s">
        <v>47</v>
      </c>
      <c r="R717">
        <v>110672.88</v>
      </c>
      <c r="S717">
        <v>0</v>
      </c>
      <c r="T717">
        <v>3173745</v>
      </c>
      <c r="U717">
        <v>254810724</v>
      </c>
      <c r="V717" t="s">
        <v>986</v>
      </c>
      <c r="W717" t="s">
        <v>49</v>
      </c>
      <c r="X717" t="s">
        <v>987</v>
      </c>
      <c r="Y717" t="s">
        <v>51</v>
      </c>
      <c r="Z717">
        <v>1696</v>
      </c>
      <c r="AH717">
        <v>0</v>
      </c>
      <c r="AI717">
        <v>202504</v>
      </c>
      <c r="AJ717" t="s">
        <v>56</v>
      </c>
      <c r="AK717">
        <v>0</v>
      </c>
      <c r="AL717">
        <v>1</v>
      </c>
      <c r="AO717">
        <v>0</v>
      </c>
      <c r="AP717" t="s">
        <v>3015</v>
      </c>
      <c r="AQ717" t="s">
        <v>3012</v>
      </c>
      <c r="AR717" t="s">
        <v>3016</v>
      </c>
      <c r="AT717" t="s">
        <v>3017</v>
      </c>
      <c r="AU717" t="s">
        <v>3018</v>
      </c>
    </row>
    <row r="718" spans="1:47" x14ac:dyDescent="0.35">
      <c r="A718">
        <v>329456</v>
      </c>
      <c r="B718" t="s">
        <v>193</v>
      </c>
      <c r="C718" t="s">
        <v>194</v>
      </c>
      <c r="D718" s="2">
        <v>45758</v>
      </c>
      <c r="E718">
        <v>53850</v>
      </c>
      <c r="F718">
        <v>116</v>
      </c>
      <c r="G718" t="s">
        <v>126</v>
      </c>
      <c r="H718" t="s">
        <v>167</v>
      </c>
      <c r="I718" t="s">
        <v>45</v>
      </c>
      <c r="K718">
        <v>202504107886021</v>
      </c>
      <c r="L718">
        <v>2343300010453</v>
      </c>
      <c r="M718">
        <v>20250410</v>
      </c>
      <c r="N718" t="s">
        <v>195</v>
      </c>
      <c r="Q718" t="s">
        <v>47</v>
      </c>
      <c r="R718">
        <v>59902.45</v>
      </c>
      <c r="S718">
        <v>59902.45</v>
      </c>
      <c r="T718">
        <v>4247777</v>
      </c>
      <c r="U718">
        <v>233470236</v>
      </c>
      <c r="V718" t="s">
        <v>206</v>
      </c>
      <c r="W718" t="s">
        <v>49</v>
      </c>
      <c r="X718" t="s">
        <v>117</v>
      </c>
      <c r="Y718" t="s">
        <v>51</v>
      </c>
      <c r="Z718">
        <v>1696</v>
      </c>
      <c r="AH718">
        <v>0</v>
      </c>
      <c r="AI718">
        <v>202504</v>
      </c>
      <c r="AJ718" t="s">
        <v>114</v>
      </c>
      <c r="AK718">
        <v>1</v>
      </c>
      <c r="AL718">
        <v>1</v>
      </c>
      <c r="AM718">
        <v>4247777</v>
      </c>
      <c r="AN718">
        <v>1</v>
      </c>
      <c r="AO718">
        <v>0</v>
      </c>
      <c r="AP718" t="s">
        <v>3029</v>
      </c>
      <c r="AQ718" t="s">
        <v>3012</v>
      </c>
      <c r="AR718" t="s">
        <v>3030</v>
      </c>
      <c r="AS718" t="s">
        <v>3014</v>
      </c>
      <c r="AU718" t="s">
        <v>3014</v>
      </c>
    </row>
    <row r="719" spans="1:47" x14ac:dyDescent="0.35">
      <c r="A719">
        <v>329455</v>
      </c>
      <c r="B719" t="s">
        <v>193</v>
      </c>
      <c r="C719" t="s">
        <v>194</v>
      </c>
      <c r="D719" s="2">
        <v>45758</v>
      </c>
      <c r="E719">
        <v>53850</v>
      </c>
      <c r="F719">
        <v>114</v>
      </c>
      <c r="G719" t="s">
        <v>188</v>
      </c>
      <c r="H719" t="s">
        <v>167</v>
      </c>
      <c r="I719" t="s">
        <v>45</v>
      </c>
      <c r="K719">
        <v>202504107886245</v>
      </c>
      <c r="L719">
        <v>1143306280621</v>
      </c>
      <c r="M719">
        <v>20250410</v>
      </c>
      <c r="N719" t="s">
        <v>266</v>
      </c>
      <c r="Q719" t="s">
        <v>47</v>
      </c>
      <c r="R719">
        <v>19000</v>
      </c>
      <c r="S719">
        <v>19000</v>
      </c>
      <c r="T719">
        <v>4658875</v>
      </c>
      <c r="U719">
        <v>3230890711</v>
      </c>
      <c r="V719" t="s">
        <v>189</v>
      </c>
      <c r="W719" t="s">
        <v>190</v>
      </c>
      <c r="X719" t="s">
        <v>131</v>
      </c>
      <c r="Y719" t="s">
        <v>51</v>
      </c>
      <c r="Z719">
        <v>870</v>
      </c>
      <c r="AH719">
        <v>0</v>
      </c>
      <c r="AI719">
        <v>202504</v>
      </c>
      <c r="AJ719" t="s">
        <v>56</v>
      </c>
      <c r="AK719">
        <v>0</v>
      </c>
      <c r="AL719">
        <v>1</v>
      </c>
      <c r="AM719">
        <v>4658875</v>
      </c>
      <c r="AN719">
        <v>1</v>
      </c>
      <c r="AO719">
        <v>0</v>
      </c>
      <c r="AP719" t="s">
        <v>3033</v>
      </c>
      <c r="AQ719" t="s">
        <v>3047</v>
      </c>
      <c r="AR719" t="s">
        <v>3048</v>
      </c>
      <c r="AS719" t="s">
        <v>3049</v>
      </c>
      <c r="AU719" t="s">
        <v>3049</v>
      </c>
    </row>
    <row r="720" spans="1:47" x14ac:dyDescent="0.35">
      <c r="A720">
        <v>329454</v>
      </c>
      <c r="B720" t="s">
        <v>178</v>
      </c>
      <c r="C720" t="s">
        <v>179</v>
      </c>
      <c r="D720" s="2">
        <v>45758</v>
      </c>
      <c r="E720">
        <v>53850</v>
      </c>
      <c r="F720">
        <v>188</v>
      </c>
      <c r="G720" t="s">
        <v>419</v>
      </c>
      <c r="H720" t="s">
        <v>167</v>
      </c>
      <c r="I720" t="s">
        <v>45</v>
      </c>
      <c r="K720" t="s">
        <v>991</v>
      </c>
      <c r="L720">
        <v>1883300128444</v>
      </c>
      <c r="M720">
        <v>20250410</v>
      </c>
      <c r="N720" t="s">
        <v>3136</v>
      </c>
      <c r="Q720" t="s">
        <v>170</v>
      </c>
      <c r="R720">
        <v>3919.57</v>
      </c>
      <c r="S720">
        <v>0</v>
      </c>
      <c r="T720">
        <v>3009549</v>
      </c>
      <c r="U720" t="s">
        <v>1008</v>
      </c>
      <c r="V720" t="s">
        <v>1009</v>
      </c>
      <c r="W720" t="s">
        <v>187</v>
      </c>
      <c r="Y720" t="s">
        <v>51</v>
      </c>
      <c r="Z720">
        <v>433</v>
      </c>
      <c r="AH720">
        <v>0</v>
      </c>
      <c r="AI720">
        <v>202504</v>
      </c>
      <c r="AJ720" t="s">
        <v>86</v>
      </c>
      <c r="AK720">
        <v>1</v>
      </c>
      <c r="AL720">
        <v>1</v>
      </c>
      <c r="AO720">
        <v>1</v>
      </c>
      <c r="AP720" t="s">
        <v>3015</v>
      </c>
      <c r="AQ720" t="s">
        <v>3044</v>
      </c>
      <c r="AR720" t="s">
        <v>3045</v>
      </c>
      <c r="AS720" t="s">
        <v>3046</v>
      </c>
      <c r="AU720" t="s">
        <v>3046</v>
      </c>
    </row>
    <row r="721" spans="1:47" x14ac:dyDescent="0.35">
      <c r="A721">
        <v>329453</v>
      </c>
      <c r="B721" t="s">
        <v>193</v>
      </c>
      <c r="C721" t="s">
        <v>194</v>
      </c>
      <c r="D721" s="2">
        <v>45758</v>
      </c>
      <c r="E721">
        <v>53850</v>
      </c>
      <c r="F721">
        <v>171</v>
      </c>
      <c r="G721" t="s">
        <v>198</v>
      </c>
      <c r="H721" t="s">
        <v>167</v>
      </c>
      <c r="I721" t="s">
        <v>45</v>
      </c>
      <c r="K721" t="s">
        <v>1001</v>
      </c>
      <c r="L721">
        <v>1713305728950</v>
      </c>
      <c r="M721">
        <v>20250410</v>
      </c>
      <c r="N721" t="s">
        <v>195</v>
      </c>
      <c r="Q721" t="s">
        <v>47</v>
      </c>
      <c r="R721">
        <v>56164.160000000003</v>
      </c>
      <c r="S721">
        <v>56164.160000000003</v>
      </c>
      <c r="T721">
        <v>572895</v>
      </c>
      <c r="U721">
        <v>4161600723</v>
      </c>
      <c r="V721" t="s">
        <v>199</v>
      </c>
      <c r="W721" t="s">
        <v>49</v>
      </c>
      <c r="X721" t="s">
        <v>200</v>
      </c>
      <c r="Y721" t="s">
        <v>51</v>
      </c>
      <c r="Z721">
        <v>1903</v>
      </c>
      <c r="AH721">
        <v>0</v>
      </c>
      <c r="AI721">
        <v>202504</v>
      </c>
      <c r="AJ721" t="s">
        <v>56</v>
      </c>
      <c r="AK721">
        <v>0</v>
      </c>
      <c r="AL721">
        <v>1</v>
      </c>
      <c r="AM721">
        <v>572895</v>
      </c>
      <c r="AN721">
        <v>1</v>
      </c>
      <c r="AO721">
        <v>0</v>
      </c>
      <c r="AP721" t="s">
        <v>3015</v>
      </c>
      <c r="AQ721" t="s">
        <v>3012</v>
      </c>
      <c r="AR721" t="s">
        <v>3016</v>
      </c>
      <c r="AT721" t="s">
        <v>3017</v>
      </c>
      <c r="AU721" t="s">
        <v>3018</v>
      </c>
    </row>
    <row r="722" spans="1:47" x14ac:dyDescent="0.35">
      <c r="A722">
        <v>329452</v>
      </c>
      <c r="B722" t="s">
        <v>164</v>
      </c>
      <c r="C722" t="s">
        <v>165</v>
      </c>
      <c r="D722" s="2">
        <v>45758</v>
      </c>
      <c r="E722">
        <v>53850</v>
      </c>
      <c r="F722">
        <v>145</v>
      </c>
      <c r="G722" t="s">
        <v>115</v>
      </c>
      <c r="H722" t="s">
        <v>167</v>
      </c>
      <c r="I722" t="s">
        <v>45</v>
      </c>
      <c r="K722">
        <v>202504107885171</v>
      </c>
      <c r="L722">
        <v>1453300003997</v>
      </c>
      <c r="M722">
        <v>20250410</v>
      </c>
      <c r="N722" t="s">
        <v>168</v>
      </c>
      <c r="P722" t="s">
        <v>255</v>
      </c>
      <c r="Q722" t="s">
        <v>47</v>
      </c>
      <c r="R722">
        <v>18500</v>
      </c>
      <c r="S722">
        <v>0</v>
      </c>
      <c r="T722">
        <v>3737833</v>
      </c>
      <c r="U722">
        <v>10171711210</v>
      </c>
      <c r="V722" t="s">
        <v>851</v>
      </c>
      <c r="W722" t="s">
        <v>49</v>
      </c>
      <c r="X722" t="s">
        <v>117</v>
      </c>
      <c r="Y722" t="s">
        <v>51</v>
      </c>
      <c r="AH722">
        <v>0</v>
      </c>
      <c r="AI722">
        <v>202504</v>
      </c>
      <c r="AJ722" t="s">
        <v>56</v>
      </c>
      <c r="AK722">
        <v>0</v>
      </c>
      <c r="AL722">
        <v>1</v>
      </c>
      <c r="AO722">
        <v>0</v>
      </c>
      <c r="AP722" t="s">
        <v>3029</v>
      </c>
      <c r="AQ722" t="s">
        <v>3012</v>
      </c>
      <c r="AR722" t="s">
        <v>3030</v>
      </c>
      <c r="AS722" t="s">
        <v>3014</v>
      </c>
      <c r="AU722" t="s">
        <v>3014</v>
      </c>
    </row>
    <row r="723" spans="1:47" x14ac:dyDescent="0.35">
      <c r="A723">
        <v>329451</v>
      </c>
      <c r="B723" t="s">
        <v>178</v>
      </c>
      <c r="C723" t="s">
        <v>179</v>
      </c>
      <c r="D723" s="2">
        <v>45758</v>
      </c>
      <c r="E723">
        <v>53850</v>
      </c>
      <c r="F723">
        <v>102</v>
      </c>
      <c r="G723" t="s">
        <v>151</v>
      </c>
      <c r="H723" t="s">
        <v>167</v>
      </c>
      <c r="I723" t="s">
        <v>45</v>
      </c>
      <c r="K723">
        <v>202504107885589</v>
      </c>
      <c r="L723">
        <v>1023300113820</v>
      </c>
      <c r="M723">
        <v>20250410</v>
      </c>
      <c r="N723" t="s">
        <v>416</v>
      </c>
      <c r="Q723" t="s">
        <v>170</v>
      </c>
      <c r="R723">
        <v>1800737.18</v>
      </c>
      <c r="S723">
        <v>0</v>
      </c>
      <c r="T723">
        <v>11382</v>
      </c>
      <c r="U723">
        <v>252420724</v>
      </c>
      <c r="V723" t="s">
        <v>1010</v>
      </c>
      <c r="W723" t="s">
        <v>49</v>
      </c>
      <c r="X723" t="s">
        <v>597</v>
      </c>
      <c r="Y723" t="s">
        <v>51</v>
      </c>
      <c r="Z723">
        <v>1203</v>
      </c>
      <c r="AH723">
        <v>0</v>
      </c>
      <c r="AI723">
        <v>202504</v>
      </c>
      <c r="AJ723" t="s">
        <v>86</v>
      </c>
      <c r="AK723">
        <v>1</v>
      </c>
      <c r="AL723">
        <v>1</v>
      </c>
      <c r="AO723">
        <v>0</v>
      </c>
      <c r="AP723" t="s">
        <v>3015</v>
      </c>
      <c r="AQ723" t="s">
        <v>3012</v>
      </c>
      <c r="AR723" t="s">
        <v>3016</v>
      </c>
      <c r="AT723" t="s">
        <v>3017</v>
      </c>
      <c r="AU723" t="s">
        <v>3018</v>
      </c>
    </row>
    <row r="724" spans="1:47" x14ac:dyDescent="0.35">
      <c r="A724">
        <v>329450</v>
      </c>
      <c r="B724" t="s">
        <v>172</v>
      </c>
      <c r="C724" t="s">
        <v>173</v>
      </c>
      <c r="D724" s="2">
        <v>45758</v>
      </c>
      <c r="E724">
        <v>53850</v>
      </c>
      <c r="F724">
        <v>102</v>
      </c>
      <c r="G724" t="s">
        <v>151</v>
      </c>
      <c r="H724" t="s">
        <v>167</v>
      </c>
      <c r="I724" t="s">
        <v>45</v>
      </c>
      <c r="K724" t="s">
        <v>1001</v>
      </c>
      <c r="L724">
        <v>1023300660520</v>
      </c>
      <c r="M724">
        <v>20250410</v>
      </c>
      <c r="N724" t="s">
        <v>175</v>
      </c>
      <c r="Q724" t="s">
        <v>47</v>
      </c>
      <c r="R724">
        <v>120919</v>
      </c>
      <c r="S724">
        <v>0</v>
      </c>
      <c r="T724">
        <v>66052</v>
      </c>
      <c r="U724">
        <v>398110726</v>
      </c>
      <c r="V724" t="s">
        <v>426</v>
      </c>
      <c r="W724" t="s">
        <v>49</v>
      </c>
      <c r="X724" t="s">
        <v>59</v>
      </c>
      <c r="Y724" t="s">
        <v>51</v>
      </c>
      <c r="Z724">
        <v>1203</v>
      </c>
      <c r="AH724">
        <v>0</v>
      </c>
      <c r="AI724">
        <v>202504</v>
      </c>
      <c r="AJ724" t="s">
        <v>119</v>
      </c>
      <c r="AK724">
        <v>1</v>
      </c>
      <c r="AL724">
        <v>1</v>
      </c>
      <c r="AM724">
        <v>66052</v>
      </c>
      <c r="AN724">
        <v>1</v>
      </c>
      <c r="AO724">
        <v>1</v>
      </c>
      <c r="AP724" t="s">
        <v>3015</v>
      </c>
      <c r="AQ724" t="s">
        <v>3012</v>
      </c>
      <c r="AR724" t="s">
        <v>3016</v>
      </c>
      <c r="AT724" t="s">
        <v>3017</v>
      </c>
      <c r="AU724" t="s">
        <v>3018</v>
      </c>
    </row>
    <row r="725" spans="1:47" x14ac:dyDescent="0.35">
      <c r="A725">
        <v>329449</v>
      </c>
      <c r="B725" t="s">
        <v>193</v>
      </c>
      <c r="C725" t="s">
        <v>194</v>
      </c>
      <c r="D725" s="2">
        <v>45758</v>
      </c>
      <c r="E725">
        <v>53850</v>
      </c>
      <c r="F725">
        <v>102</v>
      </c>
      <c r="G725" t="s">
        <v>151</v>
      </c>
      <c r="H725" t="s">
        <v>167</v>
      </c>
      <c r="I725" t="s">
        <v>45</v>
      </c>
      <c r="K725" t="s">
        <v>1001</v>
      </c>
      <c r="L725">
        <v>1023308722503</v>
      </c>
      <c r="M725">
        <v>20250410</v>
      </c>
      <c r="N725" t="s">
        <v>195</v>
      </c>
      <c r="Q725" t="s">
        <v>47</v>
      </c>
      <c r="R725">
        <v>33300</v>
      </c>
      <c r="S725">
        <v>33300</v>
      </c>
      <c r="T725">
        <v>413650</v>
      </c>
      <c r="U725">
        <v>3657230722</v>
      </c>
      <c r="V725" t="s">
        <v>196</v>
      </c>
      <c r="W725" t="s">
        <v>190</v>
      </c>
      <c r="X725" t="s">
        <v>197</v>
      </c>
      <c r="Y725" t="s">
        <v>51</v>
      </c>
      <c r="Z725">
        <v>1306</v>
      </c>
      <c r="AH725">
        <v>0</v>
      </c>
      <c r="AI725">
        <v>202504</v>
      </c>
      <c r="AJ725" t="s">
        <v>56</v>
      </c>
      <c r="AK725">
        <v>0</v>
      </c>
      <c r="AL725">
        <v>1</v>
      </c>
      <c r="AM725">
        <v>413650</v>
      </c>
      <c r="AN725">
        <v>1</v>
      </c>
      <c r="AO725">
        <v>0</v>
      </c>
      <c r="AP725" t="s">
        <v>3050</v>
      </c>
      <c r="AQ725" t="s">
        <v>3047</v>
      </c>
      <c r="AR725" t="s">
        <v>3051</v>
      </c>
      <c r="AS725" t="s">
        <v>3049</v>
      </c>
      <c r="AU725" t="s">
        <v>3049</v>
      </c>
    </row>
    <row r="726" spans="1:47" x14ac:dyDescent="0.35">
      <c r="A726">
        <v>329448</v>
      </c>
      <c r="B726" t="s">
        <v>214</v>
      </c>
      <c r="C726" t="s">
        <v>215</v>
      </c>
      <c r="D726" s="2">
        <v>45758</v>
      </c>
      <c r="E726">
        <v>53850</v>
      </c>
      <c r="F726">
        <v>109</v>
      </c>
      <c r="G726" t="s">
        <v>89</v>
      </c>
      <c r="H726" t="s">
        <v>167</v>
      </c>
      <c r="I726" t="s">
        <v>45</v>
      </c>
      <c r="K726">
        <v>202504107885308</v>
      </c>
      <c r="L726">
        <v>1093306667367</v>
      </c>
      <c r="M726">
        <v>20250410</v>
      </c>
      <c r="N726" t="s">
        <v>168</v>
      </c>
      <c r="P726" t="s">
        <v>511</v>
      </c>
      <c r="Q726" t="s">
        <v>47</v>
      </c>
      <c r="R726">
        <v>66631.320000000007</v>
      </c>
      <c r="S726">
        <v>0</v>
      </c>
      <c r="T726">
        <v>4026861</v>
      </c>
      <c r="U726">
        <v>5195820724</v>
      </c>
      <c r="V726" t="s">
        <v>1011</v>
      </c>
      <c r="W726" t="s">
        <v>49</v>
      </c>
      <c r="X726" t="s">
        <v>131</v>
      </c>
      <c r="Y726" t="s">
        <v>51</v>
      </c>
      <c r="Z726">
        <v>1696</v>
      </c>
      <c r="AH726">
        <v>0</v>
      </c>
      <c r="AI726">
        <v>202504</v>
      </c>
      <c r="AJ726" t="s">
        <v>56</v>
      </c>
      <c r="AK726">
        <v>0</v>
      </c>
      <c r="AL726">
        <v>1</v>
      </c>
      <c r="AM726">
        <v>4026861</v>
      </c>
      <c r="AN726">
        <v>1</v>
      </c>
      <c r="AO726">
        <v>0</v>
      </c>
      <c r="AP726" t="s">
        <v>3033</v>
      </c>
      <c r="AQ726" t="s">
        <v>3012</v>
      </c>
      <c r="AR726" t="s">
        <v>3034</v>
      </c>
      <c r="AS726" t="s">
        <v>3014</v>
      </c>
      <c r="AU726" t="s">
        <v>3014</v>
      </c>
    </row>
    <row r="727" spans="1:47" x14ac:dyDescent="0.35">
      <c r="A727">
        <v>329447</v>
      </c>
      <c r="B727" t="s">
        <v>178</v>
      </c>
      <c r="C727" t="s">
        <v>179</v>
      </c>
      <c r="D727" s="2">
        <v>45758</v>
      </c>
      <c r="E727">
        <v>53850</v>
      </c>
      <c r="F727">
        <v>196</v>
      </c>
      <c r="G727" t="s">
        <v>567</v>
      </c>
      <c r="H727" t="s">
        <v>167</v>
      </c>
      <c r="I727" t="s">
        <v>45</v>
      </c>
      <c r="K727" t="s">
        <v>1012</v>
      </c>
      <c r="L727">
        <v>1963302354309</v>
      </c>
      <c r="M727">
        <v>20250410</v>
      </c>
      <c r="N727" t="s">
        <v>3136</v>
      </c>
      <c r="Q727" t="s">
        <v>170</v>
      </c>
      <c r="R727">
        <v>1163.22</v>
      </c>
      <c r="S727">
        <v>0</v>
      </c>
      <c r="T727">
        <v>4945096</v>
      </c>
      <c r="U727" t="s">
        <v>998</v>
      </c>
      <c r="V727" t="s">
        <v>999</v>
      </c>
      <c r="W727" t="s">
        <v>187</v>
      </c>
      <c r="Y727" t="s">
        <v>51</v>
      </c>
      <c r="Z727">
        <v>796</v>
      </c>
      <c r="AH727">
        <v>0</v>
      </c>
      <c r="AI727">
        <v>202504</v>
      </c>
      <c r="AJ727" t="s">
        <v>86</v>
      </c>
      <c r="AK727">
        <v>1</v>
      </c>
      <c r="AL727">
        <v>1</v>
      </c>
      <c r="AO727">
        <v>1</v>
      </c>
      <c r="AP727" t="s">
        <v>3015</v>
      </c>
      <c r="AQ727" t="s">
        <v>3044</v>
      </c>
      <c r="AR727" t="s">
        <v>3045</v>
      </c>
      <c r="AS727" t="s">
        <v>3046</v>
      </c>
      <c r="AU727" t="s">
        <v>3046</v>
      </c>
    </row>
    <row r="728" spans="1:47" x14ac:dyDescent="0.35">
      <c r="A728">
        <v>329446</v>
      </c>
      <c r="B728" t="s">
        <v>178</v>
      </c>
      <c r="C728" t="s">
        <v>179</v>
      </c>
      <c r="D728" s="2">
        <v>45758</v>
      </c>
      <c r="E728">
        <v>53850</v>
      </c>
      <c r="F728">
        <v>200</v>
      </c>
      <c r="G728" t="s">
        <v>858</v>
      </c>
      <c r="H728" t="s">
        <v>167</v>
      </c>
      <c r="I728" t="s">
        <v>45</v>
      </c>
      <c r="K728">
        <v>202504107886544</v>
      </c>
      <c r="L728">
        <v>2003300003466</v>
      </c>
      <c r="M728">
        <v>20250410</v>
      </c>
      <c r="N728" t="s">
        <v>3136</v>
      </c>
      <c r="Q728" t="s">
        <v>170</v>
      </c>
      <c r="R728">
        <v>717873.56</v>
      </c>
      <c r="S728">
        <v>0</v>
      </c>
      <c r="T728">
        <v>4985570</v>
      </c>
      <c r="U728">
        <v>12490960965</v>
      </c>
      <c r="V728" t="s">
        <v>1003</v>
      </c>
      <c r="W728" t="s">
        <v>156</v>
      </c>
      <c r="X728" t="s">
        <v>825</v>
      </c>
      <c r="Y728" t="s">
        <v>51</v>
      </c>
      <c r="Z728">
        <v>1784</v>
      </c>
      <c r="AH728">
        <v>0</v>
      </c>
      <c r="AI728">
        <v>202504</v>
      </c>
      <c r="AJ728" t="s">
        <v>56</v>
      </c>
      <c r="AK728">
        <v>0</v>
      </c>
      <c r="AL728">
        <v>1</v>
      </c>
      <c r="AO728">
        <v>1</v>
      </c>
      <c r="AP728" t="s">
        <v>3015</v>
      </c>
      <c r="AQ728" t="s">
        <v>3038</v>
      </c>
      <c r="AR728" t="s">
        <v>3039</v>
      </c>
      <c r="AT728" t="s">
        <v>3017</v>
      </c>
      <c r="AU728" t="s">
        <v>3037</v>
      </c>
    </row>
    <row r="729" spans="1:47" x14ac:dyDescent="0.35">
      <c r="A729">
        <v>329445</v>
      </c>
      <c r="B729" t="s">
        <v>172</v>
      </c>
      <c r="C729" t="s">
        <v>173</v>
      </c>
      <c r="D729" s="2">
        <v>45758</v>
      </c>
      <c r="E729">
        <v>53850</v>
      </c>
      <c r="F729">
        <v>174</v>
      </c>
      <c r="G729" t="s">
        <v>224</v>
      </c>
      <c r="H729" t="s">
        <v>167</v>
      </c>
      <c r="I729" t="s">
        <v>45</v>
      </c>
      <c r="K729">
        <v>202504107886424</v>
      </c>
      <c r="L729">
        <v>1743302879024</v>
      </c>
      <c r="M729">
        <v>20250410</v>
      </c>
      <c r="N729" t="s">
        <v>231</v>
      </c>
      <c r="Q729" t="s">
        <v>47</v>
      </c>
      <c r="R729">
        <v>165377.23000000001</v>
      </c>
      <c r="S729">
        <v>0</v>
      </c>
      <c r="T729">
        <v>4675710</v>
      </c>
      <c r="U729" t="s">
        <v>1013</v>
      </c>
      <c r="V729" t="s">
        <v>1014</v>
      </c>
      <c r="W729" t="s">
        <v>187</v>
      </c>
      <c r="Y729" t="s">
        <v>51</v>
      </c>
      <c r="Z729">
        <v>1106</v>
      </c>
      <c r="AH729">
        <v>0</v>
      </c>
      <c r="AI729">
        <v>202504</v>
      </c>
      <c r="AJ729" t="s">
        <v>52</v>
      </c>
      <c r="AK729">
        <v>0</v>
      </c>
      <c r="AL729">
        <v>1</v>
      </c>
      <c r="AO729">
        <v>0</v>
      </c>
      <c r="AP729" t="s">
        <v>3015</v>
      </c>
      <c r="AQ729" t="s">
        <v>3044</v>
      </c>
      <c r="AR729" t="s">
        <v>3045</v>
      </c>
      <c r="AS729" t="s">
        <v>3046</v>
      </c>
      <c r="AU729" t="s">
        <v>3046</v>
      </c>
    </row>
    <row r="730" spans="1:47" x14ac:dyDescent="0.35">
      <c r="A730">
        <v>329444</v>
      </c>
      <c r="B730" t="s">
        <v>333</v>
      </c>
      <c r="C730" t="s">
        <v>334</v>
      </c>
      <c r="D730" s="2">
        <v>45758</v>
      </c>
      <c r="E730">
        <v>53850</v>
      </c>
      <c r="F730">
        <v>198</v>
      </c>
      <c r="G730" t="s">
        <v>300</v>
      </c>
      <c r="H730" t="s">
        <v>167</v>
      </c>
      <c r="I730" t="s">
        <v>45</v>
      </c>
      <c r="K730">
        <v>202504107886532</v>
      </c>
      <c r="M730">
        <v>20250410</v>
      </c>
      <c r="N730" t="s">
        <v>236</v>
      </c>
      <c r="P730" t="s">
        <v>51</v>
      </c>
      <c r="Q730" t="s">
        <v>170</v>
      </c>
      <c r="R730">
        <v>204900</v>
      </c>
      <c r="S730">
        <v>0</v>
      </c>
      <c r="T730">
        <v>4098740</v>
      </c>
      <c r="U730" t="s">
        <v>1015</v>
      </c>
      <c r="V730" t="s">
        <v>1016</v>
      </c>
      <c r="W730" t="s">
        <v>187</v>
      </c>
      <c r="Y730" t="s">
        <v>51</v>
      </c>
      <c r="Z730">
        <v>1705</v>
      </c>
      <c r="AH730">
        <v>0</v>
      </c>
      <c r="AI730">
        <v>202504</v>
      </c>
      <c r="AL730">
        <v>0</v>
      </c>
      <c r="AO730">
        <v>0</v>
      </c>
      <c r="AP730" t="s">
        <v>3015</v>
      </c>
      <c r="AQ730" t="s">
        <v>3044</v>
      </c>
      <c r="AR730" t="s">
        <v>3045</v>
      </c>
      <c r="AS730" t="s">
        <v>3046</v>
      </c>
      <c r="AU730" t="s">
        <v>3046</v>
      </c>
    </row>
    <row r="731" spans="1:47" x14ac:dyDescent="0.35">
      <c r="A731">
        <v>329443</v>
      </c>
      <c r="B731" t="s">
        <v>172</v>
      </c>
      <c r="C731" t="s">
        <v>173</v>
      </c>
      <c r="D731" s="2">
        <v>45758</v>
      </c>
      <c r="E731">
        <v>53850</v>
      </c>
      <c r="F731">
        <v>174</v>
      </c>
      <c r="G731" t="s">
        <v>224</v>
      </c>
      <c r="H731" t="s">
        <v>167</v>
      </c>
      <c r="I731" t="s">
        <v>45</v>
      </c>
      <c r="K731">
        <v>202504107886423</v>
      </c>
      <c r="L731">
        <v>1743302877381</v>
      </c>
      <c r="M731">
        <v>20250410</v>
      </c>
      <c r="N731" t="s">
        <v>231</v>
      </c>
      <c r="Q731" t="s">
        <v>47</v>
      </c>
      <c r="R731">
        <v>415377.23</v>
      </c>
      <c r="S731">
        <v>0</v>
      </c>
      <c r="T731">
        <v>559545</v>
      </c>
      <c r="U731" t="s">
        <v>1017</v>
      </c>
      <c r="V731" t="s">
        <v>1018</v>
      </c>
      <c r="W731" t="s">
        <v>187</v>
      </c>
      <c r="Y731" t="s">
        <v>51</v>
      </c>
      <c r="Z731">
        <v>1106</v>
      </c>
      <c r="AH731">
        <v>0</v>
      </c>
      <c r="AI731">
        <v>202504</v>
      </c>
      <c r="AJ731" t="s">
        <v>52</v>
      </c>
      <c r="AK731">
        <v>0</v>
      </c>
      <c r="AL731">
        <v>1</v>
      </c>
      <c r="AO731">
        <v>0</v>
      </c>
      <c r="AP731" t="s">
        <v>3015</v>
      </c>
      <c r="AQ731" t="s">
        <v>3044</v>
      </c>
      <c r="AR731" t="s">
        <v>3045</v>
      </c>
      <c r="AS731" t="s">
        <v>3046</v>
      </c>
      <c r="AU731" t="s">
        <v>3046</v>
      </c>
    </row>
    <row r="732" spans="1:47" x14ac:dyDescent="0.35">
      <c r="A732">
        <v>329442</v>
      </c>
      <c r="B732" t="s">
        <v>164</v>
      </c>
      <c r="C732" t="s">
        <v>165</v>
      </c>
      <c r="D732" s="2">
        <v>45758</v>
      </c>
      <c r="E732">
        <v>53850</v>
      </c>
      <c r="F732">
        <v>187</v>
      </c>
      <c r="G732" t="s">
        <v>251</v>
      </c>
      <c r="H732" t="s">
        <v>167</v>
      </c>
      <c r="I732" t="s">
        <v>45</v>
      </c>
      <c r="K732" t="s">
        <v>1019</v>
      </c>
      <c r="L732">
        <v>1873300102696</v>
      </c>
      <c r="M732">
        <v>20250410</v>
      </c>
      <c r="N732" t="s">
        <v>168</v>
      </c>
      <c r="P732" t="s">
        <v>255</v>
      </c>
      <c r="Q732" t="s">
        <v>47</v>
      </c>
      <c r="R732">
        <v>1472.57</v>
      </c>
      <c r="S732">
        <v>0</v>
      </c>
      <c r="T732">
        <v>4000559</v>
      </c>
      <c r="U732">
        <v>2099160737</v>
      </c>
      <c r="V732" t="s">
        <v>528</v>
      </c>
      <c r="W732" t="s">
        <v>49</v>
      </c>
      <c r="X732" t="s">
        <v>117</v>
      </c>
      <c r="Y732" t="s">
        <v>51</v>
      </c>
      <c r="Z732">
        <v>1627</v>
      </c>
      <c r="AH732">
        <v>0</v>
      </c>
      <c r="AI732">
        <v>202504</v>
      </c>
      <c r="AJ732" t="s">
        <v>56</v>
      </c>
      <c r="AK732">
        <v>0</v>
      </c>
      <c r="AL732">
        <v>1</v>
      </c>
      <c r="AO732">
        <v>0</v>
      </c>
      <c r="AP732" t="s">
        <v>3029</v>
      </c>
      <c r="AQ732" t="s">
        <v>3012</v>
      </c>
      <c r="AR732" t="s">
        <v>3030</v>
      </c>
      <c r="AS732" t="s">
        <v>3014</v>
      </c>
      <c r="AU732" t="s">
        <v>3014</v>
      </c>
    </row>
    <row r="733" spans="1:47" x14ac:dyDescent="0.35">
      <c r="A733">
        <v>329441</v>
      </c>
      <c r="B733" t="s">
        <v>178</v>
      </c>
      <c r="C733" t="s">
        <v>179</v>
      </c>
      <c r="D733" s="2">
        <v>45758</v>
      </c>
      <c r="E733">
        <v>53850</v>
      </c>
      <c r="F733">
        <v>161</v>
      </c>
      <c r="G733" t="s">
        <v>111</v>
      </c>
      <c r="H733" t="s">
        <v>167</v>
      </c>
      <c r="I733" t="s">
        <v>45</v>
      </c>
      <c r="K733">
        <v>202504107885827</v>
      </c>
      <c r="L733">
        <v>1613300029653</v>
      </c>
      <c r="M733">
        <v>20250410</v>
      </c>
      <c r="N733" t="s">
        <v>659</v>
      </c>
      <c r="Q733" t="s">
        <v>170</v>
      </c>
      <c r="R733">
        <v>419331.55</v>
      </c>
      <c r="S733">
        <v>0</v>
      </c>
      <c r="T733">
        <v>4088769</v>
      </c>
      <c r="U733">
        <v>5150120722</v>
      </c>
      <c r="V733" t="s">
        <v>270</v>
      </c>
      <c r="W733" t="s">
        <v>49</v>
      </c>
      <c r="X733" t="s">
        <v>110</v>
      </c>
      <c r="Y733" t="s">
        <v>51</v>
      </c>
      <c r="Z733">
        <v>1903</v>
      </c>
      <c r="AH733">
        <v>0</v>
      </c>
      <c r="AI733">
        <v>202504</v>
      </c>
      <c r="AJ733" t="s">
        <v>56</v>
      </c>
      <c r="AK733">
        <v>0</v>
      </c>
      <c r="AL733">
        <v>1</v>
      </c>
      <c r="AM733">
        <v>4088769</v>
      </c>
      <c r="AN733">
        <v>1</v>
      </c>
      <c r="AO733">
        <v>0</v>
      </c>
      <c r="AP733" t="s">
        <v>3026</v>
      </c>
      <c r="AQ733" t="s">
        <v>3012</v>
      </c>
      <c r="AR733" t="s">
        <v>3027</v>
      </c>
      <c r="AS733" t="s">
        <v>3028</v>
      </c>
      <c r="AU733" t="s">
        <v>3028</v>
      </c>
    </row>
    <row r="734" spans="1:47" x14ac:dyDescent="0.35">
      <c r="A734">
        <v>329440</v>
      </c>
      <c r="B734" t="s">
        <v>172</v>
      </c>
      <c r="C734" t="s">
        <v>173</v>
      </c>
      <c r="D734" s="2">
        <v>45758</v>
      </c>
      <c r="E734">
        <v>53850</v>
      </c>
      <c r="F734">
        <v>153</v>
      </c>
      <c r="G734" t="s">
        <v>63</v>
      </c>
      <c r="H734" t="s">
        <v>167</v>
      </c>
      <c r="I734" t="s">
        <v>45</v>
      </c>
      <c r="K734">
        <v>202504107886353</v>
      </c>
      <c r="L734">
        <v>1533300662905</v>
      </c>
      <c r="M734">
        <v>20250410</v>
      </c>
      <c r="N734" t="s">
        <v>81</v>
      </c>
      <c r="Q734" t="s">
        <v>47</v>
      </c>
      <c r="R734">
        <v>110193.28</v>
      </c>
      <c r="S734">
        <v>0</v>
      </c>
      <c r="T734">
        <v>4165339</v>
      </c>
      <c r="U734">
        <v>5612950633</v>
      </c>
      <c r="V734" t="s">
        <v>1020</v>
      </c>
      <c r="W734" t="s">
        <v>49</v>
      </c>
      <c r="X734" t="s">
        <v>1021</v>
      </c>
      <c r="Y734" t="s">
        <v>51</v>
      </c>
      <c r="Z734">
        <v>982</v>
      </c>
      <c r="AH734">
        <v>0</v>
      </c>
      <c r="AI734">
        <v>202504</v>
      </c>
      <c r="AJ734" t="s">
        <v>56</v>
      </c>
      <c r="AK734">
        <v>0</v>
      </c>
      <c r="AL734">
        <v>1</v>
      </c>
      <c r="AO734">
        <v>0</v>
      </c>
      <c r="AP734" t="s">
        <v>3098</v>
      </c>
      <c r="AQ734" t="s">
        <v>3012</v>
      </c>
      <c r="AR734" t="s">
        <v>3099</v>
      </c>
      <c r="AS734" t="s">
        <v>3014</v>
      </c>
      <c r="AU734" t="s">
        <v>3014</v>
      </c>
    </row>
    <row r="735" spans="1:47" x14ac:dyDescent="0.35">
      <c r="A735">
        <v>329439</v>
      </c>
      <c r="B735" t="s">
        <v>333</v>
      </c>
      <c r="C735" t="s">
        <v>334</v>
      </c>
      <c r="D735" s="2">
        <v>45758</v>
      </c>
      <c r="E735">
        <v>53850</v>
      </c>
      <c r="F735">
        <v>99</v>
      </c>
      <c r="G735" t="s">
        <v>335</v>
      </c>
      <c r="H735" t="s">
        <v>167</v>
      </c>
      <c r="I735" t="s">
        <v>45</v>
      </c>
      <c r="K735">
        <v>202504097886116</v>
      </c>
      <c r="M735">
        <v>20250409</v>
      </c>
      <c r="N735" t="s">
        <v>3136</v>
      </c>
      <c r="Q735" t="s">
        <v>170</v>
      </c>
      <c r="R735">
        <v>94953.62</v>
      </c>
      <c r="S735">
        <v>0</v>
      </c>
      <c r="T735">
        <v>4019401</v>
      </c>
      <c r="U735" t="s">
        <v>1022</v>
      </c>
      <c r="V735" t="s">
        <v>1023</v>
      </c>
      <c r="W735" t="s">
        <v>187</v>
      </c>
      <c r="Y735" t="s">
        <v>51</v>
      </c>
      <c r="Z735">
        <v>1224</v>
      </c>
      <c r="AH735">
        <v>0</v>
      </c>
      <c r="AI735">
        <v>202504</v>
      </c>
      <c r="AJ735" t="s">
        <v>86</v>
      </c>
      <c r="AK735">
        <v>1</v>
      </c>
      <c r="AL735">
        <v>0</v>
      </c>
      <c r="AO735">
        <v>1</v>
      </c>
      <c r="AP735" t="s">
        <v>3015</v>
      </c>
      <c r="AQ735" t="s">
        <v>3044</v>
      </c>
      <c r="AR735" t="s">
        <v>3045</v>
      </c>
      <c r="AS735" t="s">
        <v>3046</v>
      </c>
      <c r="AU735" t="s">
        <v>3046</v>
      </c>
    </row>
    <row r="736" spans="1:47" x14ac:dyDescent="0.35">
      <c r="A736">
        <v>329438</v>
      </c>
      <c r="B736" t="s">
        <v>333</v>
      </c>
      <c r="C736" t="s">
        <v>334</v>
      </c>
      <c r="D736" s="2">
        <v>45758</v>
      </c>
      <c r="E736">
        <v>53850</v>
      </c>
      <c r="F736">
        <v>99</v>
      </c>
      <c r="G736" t="s">
        <v>335</v>
      </c>
      <c r="H736" t="s">
        <v>167</v>
      </c>
      <c r="I736" t="s">
        <v>45</v>
      </c>
      <c r="K736">
        <v>202504097886116</v>
      </c>
      <c r="M736">
        <v>20250409</v>
      </c>
      <c r="N736" t="s">
        <v>3136</v>
      </c>
      <c r="Q736" t="s">
        <v>170</v>
      </c>
      <c r="R736">
        <v>94953.62</v>
      </c>
      <c r="S736">
        <v>0</v>
      </c>
      <c r="T736">
        <v>4066375</v>
      </c>
      <c r="U736" t="s">
        <v>1024</v>
      </c>
      <c r="V736" t="s">
        <v>1025</v>
      </c>
      <c r="W736" t="s">
        <v>187</v>
      </c>
      <c r="Y736" t="s">
        <v>51</v>
      </c>
      <c r="AH736">
        <v>0</v>
      </c>
      <c r="AI736">
        <v>202504</v>
      </c>
      <c r="AJ736" t="s">
        <v>86</v>
      </c>
      <c r="AK736">
        <v>1</v>
      </c>
      <c r="AL736">
        <v>0</v>
      </c>
      <c r="AO736">
        <v>1</v>
      </c>
      <c r="AP736" t="s">
        <v>3015</v>
      </c>
      <c r="AQ736" t="s">
        <v>3044</v>
      </c>
      <c r="AR736" t="s">
        <v>3045</v>
      </c>
      <c r="AS736" t="s">
        <v>3046</v>
      </c>
      <c r="AU736" t="s">
        <v>3046</v>
      </c>
    </row>
    <row r="737" spans="1:47" x14ac:dyDescent="0.35">
      <c r="A737">
        <v>329437</v>
      </c>
      <c r="B737" t="s">
        <v>178</v>
      </c>
      <c r="C737" t="s">
        <v>179</v>
      </c>
      <c r="D737" s="2">
        <v>45757</v>
      </c>
      <c r="E737">
        <v>53850</v>
      </c>
      <c r="F737">
        <v>269</v>
      </c>
      <c r="G737" t="s">
        <v>265</v>
      </c>
      <c r="H737" t="s">
        <v>167</v>
      </c>
      <c r="I737" t="s">
        <v>45</v>
      </c>
      <c r="K737">
        <v>202504097881464</v>
      </c>
      <c r="L737">
        <v>2693300001683</v>
      </c>
      <c r="M737">
        <v>20250409</v>
      </c>
      <c r="N737" t="s">
        <v>46</v>
      </c>
      <c r="P737" t="s">
        <v>51</v>
      </c>
      <c r="Q737" t="s">
        <v>47</v>
      </c>
      <c r="R737">
        <v>575445.98</v>
      </c>
      <c r="S737">
        <v>0</v>
      </c>
      <c r="T737">
        <v>1707161</v>
      </c>
      <c r="U737" t="s">
        <v>1026</v>
      </c>
      <c r="V737" t="s">
        <v>1027</v>
      </c>
      <c r="W737" t="s">
        <v>696</v>
      </c>
      <c r="Y737" t="s">
        <v>1028</v>
      </c>
      <c r="Z737">
        <v>1713</v>
      </c>
      <c r="AH737">
        <v>0</v>
      </c>
      <c r="AI737">
        <v>202504</v>
      </c>
      <c r="AJ737" t="s">
        <v>52</v>
      </c>
      <c r="AK737">
        <v>0</v>
      </c>
      <c r="AL737">
        <v>1</v>
      </c>
      <c r="AO737">
        <v>0</v>
      </c>
      <c r="AP737" t="s">
        <v>3015</v>
      </c>
      <c r="AQ737" t="s">
        <v>3084</v>
      </c>
      <c r="AR737" t="s">
        <v>3085</v>
      </c>
      <c r="AS737" t="s">
        <v>3046</v>
      </c>
      <c r="AU737" t="s">
        <v>3046</v>
      </c>
    </row>
    <row r="738" spans="1:47" x14ac:dyDescent="0.35">
      <c r="A738">
        <v>329436</v>
      </c>
      <c r="B738" t="s">
        <v>172</v>
      </c>
      <c r="C738" t="s">
        <v>173</v>
      </c>
      <c r="D738" s="2">
        <v>45757</v>
      </c>
      <c r="E738">
        <v>53850</v>
      </c>
      <c r="F738">
        <v>141</v>
      </c>
      <c r="G738" t="s">
        <v>105</v>
      </c>
      <c r="H738" t="s">
        <v>167</v>
      </c>
      <c r="I738" t="s">
        <v>45</v>
      </c>
      <c r="K738">
        <v>202504097883203</v>
      </c>
      <c r="L738">
        <v>1413300000129</v>
      </c>
      <c r="M738">
        <v>20250409</v>
      </c>
      <c r="N738" t="s">
        <v>325</v>
      </c>
      <c r="Q738" t="s">
        <v>47</v>
      </c>
      <c r="R738">
        <v>90000</v>
      </c>
      <c r="S738">
        <v>0</v>
      </c>
      <c r="T738">
        <v>4183509</v>
      </c>
      <c r="U738" t="s">
        <v>400</v>
      </c>
      <c r="V738" t="s">
        <v>401</v>
      </c>
      <c r="W738" t="s">
        <v>69</v>
      </c>
      <c r="X738" t="s">
        <v>402</v>
      </c>
      <c r="Y738" t="s">
        <v>51</v>
      </c>
      <c r="Z738">
        <v>862</v>
      </c>
      <c r="AH738">
        <v>0</v>
      </c>
      <c r="AI738">
        <v>202504</v>
      </c>
      <c r="AJ738" t="s">
        <v>52</v>
      </c>
      <c r="AK738">
        <v>0</v>
      </c>
      <c r="AL738">
        <v>1</v>
      </c>
      <c r="AO738">
        <v>0</v>
      </c>
      <c r="AP738" t="s">
        <v>3015</v>
      </c>
      <c r="AQ738" t="s">
        <v>3021</v>
      </c>
      <c r="AR738" t="s">
        <v>3022</v>
      </c>
      <c r="AT738" t="s">
        <v>3017</v>
      </c>
      <c r="AU738" t="s">
        <v>3014</v>
      </c>
    </row>
    <row r="739" spans="1:47" x14ac:dyDescent="0.35">
      <c r="A739">
        <v>329435</v>
      </c>
      <c r="B739" t="s">
        <v>178</v>
      </c>
      <c r="C739" t="s">
        <v>179</v>
      </c>
      <c r="D739" s="2">
        <v>45757</v>
      </c>
      <c r="E739">
        <v>53850</v>
      </c>
      <c r="F739">
        <v>271</v>
      </c>
      <c r="G739" t="s">
        <v>275</v>
      </c>
      <c r="H739" t="s">
        <v>167</v>
      </c>
      <c r="I739" t="s">
        <v>45</v>
      </c>
      <c r="K739">
        <v>202504097881920</v>
      </c>
      <c r="L739">
        <v>2713300001219</v>
      </c>
      <c r="M739">
        <v>20250409</v>
      </c>
      <c r="N739" t="s">
        <v>46</v>
      </c>
      <c r="P739" t="s">
        <v>51</v>
      </c>
      <c r="Q739" t="s">
        <v>47</v>
      </c>
      <c r="R739">
        <v>207830.21</v>
      </c>
      <c r="S739">
        <v>0</v>
      </c>
      <c r="T739">
        <v>1628082</v>
      </c>
      <c r="U739" t="s">
        <v>1029</v>
      </c>
      <c r="V739" t="s">
        <v>1030</v>
      </c>
      <c r="W739" t="s">
        <v>187</v>
      </c>
      <c r="Y739" t="s">
        <v>51</v>
      </c>
      <c r="Z739">
        <v>994</v>
      </c>
      <c r="AH739">
        <v>0</v>
      </c>
      <c r="AI739">
        <v>202504</v>
      </c>
      <c r="AJ739" t="s">
        <v>52</v>
      </c>
      <c r="AK739">
        <v>0</v>
      </c>
      <c r="AL739">
        <v>1</v>
      </c>
      <c r="AO739">
        <v>0</v>
      </c>
      <c r="AP739" t="s">
        <v>3015</v>
      </c>
      <c r="AQ739" t="s">
        <v>3044</v>
      </c>
      <c r="AR739" t="s">
        <v>3045</v>
      </c>
      <c r="AS739" t="s">
        <v>3046</v>
      </c>
      <c r="AU739" t="s">
        <v>3046</v>
      </c>
    </row>
    <row r="740" spans="1:47" x14ac:dyDescent="0.35">
      <c r="A740">
        <v>329434</v>
      </c>
      <c r="B740" t="s">
        <v>193</v>
      </c>
      <c r="C740" t="s">
        <v>194</v>
      </c>
      <c r="D740" s="2">
        <v>45757</v>
      </c>
      <c r="E740">
        <v>53850</v>
      </c>
      <c r="F740">
        <v>108</v>
      </c>
      <c r="G740" t="s">
        <v>124</v>
      </c>
      <c r="H740" t="s">
        <v>167</v>
      </c>
      <c r="I740" t="s">
        <v>45</v>
      </c>
      <c r="K740">
        <v>202504097883105</v>
      </c>
      <c r="L740">
        <v>1083306291105</v>
      </c>
      <c r="M740">
        <v>20250409</v>
      </c>
      <c r="N740" t="s">
        <v>266</v>
      </c>
      <c r="Q740" t="s">
        <v>47</v>
      </c>
      <c r="R740">
        <v>90976.3</v>
      </c>
      <c r="S740">
        <v>90976.3</v>
      </c>
      <c r="T740">
        <v>4227057</v>
      </c>
      <c r="U740">
        <v>4874620729</v>
      </c>
      <c r="V740" t="s">
        <v>250</v>
      </c>
      <c r="W740" t="s">
        <v>49</v>
      </c>
      <c r="X740" t="s">
        <v>62</v>
      </c>
      <c r="Y740" t="s">
        <v>51</v>
      </c>
      <c r="Z740">
        <v>1058</v>
      </c>
      <c r="AH740">
        <v>0</v>
      </c>
      <c r="AI740">
        <v>202504</v>
      </c>
      <c r="AJ740" t="s">
        <v>56</v>
      </c>
      <c r="AK740">
        <v>0</v>
      </c>
      <c r="AL740">
        <v>1</v>
      </c>
      <c r="AM740">
        <v>4227057</v>
      </c>
      <c r="AN740">
        <v>1</v>
      </c>
      <c r="AO740">
        <v>0</v>
      </c>
      <c r="AP740" t="s">
        <v>3015</v>
      </c>
      <c r="AQ740" t="s">
        <v>3012</v>
      </c>
      <c r="AR740" t="s">
        <v>3016</v>
      </c>
      <c r="AT740" t="s">
        <v>3017</v>
      </c>
      <c r="AU740" t="s">
        <v>3018</v>
      </c>
    </row>
    <row r="741" spans="1:47" x14ac:dyDescent="0.35">
      <c r="A741">
        <v>329433</v>
      </c>
      <c r="B741" t="s">
        <v>172</v>
      </c>
      <c r="C741" t="s">
        <v>173</v>
      </c>
      <c r="D741" s="2">
        <v>45757</v>
      </c>
      <c r="E741">
        <v>53850</v>
      </c>
      <c r="F741">
        <v>171</v>
      </c>
      <c r="G741" t="s">
        <v>198</v>
      </c>
      <c r="H741" t="s">
        <v>167</v>
      </c>
      <c r="I741" t="s">
        <v>45</v>
      </c>
      <c r="K741" t="s">
        <v>1031</v>
      </c>
      <c r="L741">
        <v>1713302214147</v>
      </c>
      <c r="M741">
        <v>20250409</v>
      </c>
      <c r="N741" t="s">
        <v>195</v>
      </c>
      <c r="Q741" t="s">
        <v>47</v>
      </c>
      <c r="R741">
        <v>180470</v>
      </c>
      <c r="S741">
        <v>180470</v>
      </c>
      <c r="T741">
        <v>4199319</v>
      </c>
      <c r="U741">
        <v>6037810725</v>
      </c>
      <c r="V741" t="s">
        <v>285</v>
      </c>
      <c r="W741" t="s">
        <v>49</v>
      </c>
      <c r="X741" t="s">
        <v>200</v>
      </c>
      <c r="Y741" t="s">
        <v>51</v>
      </c>
      <c r="Z741">
        <v>1903</v>
      </c>
      <c r="AH741">
        <v>0</v>
      </c>
      <c r="AI741">
        <v>202504</v>
      </c>
      <c r="AJ741" t="s">
        <v>56</v>
      </c>
      <c r="AK741">
        <v>0</v>
      </c>
      <c r="AL741">
        <v>1</v>
      </c>
      <c r="AM741">
        <v>4199319</v>
      </c>
      <c r="AN741">
        <v>1</v>
      </c>
      <c r="AO741">
        <v>0</v>
      </c>
      <c r="AP741" t="s">
        <v>3015</v>
      </c>
      <c r="AQ741" t="s">
        <v>3012</v>
      </c>
      <c r="AR741" t="s">
        <v>3016</v>
      </c>
      <c r="AT741" t="s">
        <v>3017</v>
      </c>
      <c r="AU741" t="s">
        <v>3018</v>
      </c>
    </row>
    <row r="742" spans="1:47" x14ac:dyDescent="0.35">
      <c r="A742">
        <v>329432</v>
      </c>
      <c r="B742" t="s">
        <v>178</v>
      </c>
      <c r="C742" t="s">
        <v>179</v>
      </c>
      <c r="D742" s="2">
        <v>45757</v>
      </c>
      <c r="E742">
        <v>53850</v>
      </c>
      <c r="F742">
        <v>269</v>
      </c>
      <c r="G742" t="s">
        <v>265</v>
      </c>
      <c r="H742" t="s">
        <v>167</v>
      </c>
      <c r="I742" t="s">
        <v>45</v>
      </c>
      <c r="K742">
        <v>202504097881464</v>
      </c>
      <c r="L742">
        <v>2693300001683</v>
      </c>
      <c r="M742">
        <v>20250409</v>
      </c>
      <c r="N742" t="s">
        <v>46</v>
      </c>
      <c r="P742" t="s">
        <v>51</v>
      </c>
      <c r="Q742" t="s">
        <v>47</v>
      </c>
      <c r="R742">
        <v>575445.98</v>
      </c>
      <c r="S742">
        <v>0</v>
      </c>
      <c r="T742">
        <v>1706596</v>
      </c>
      <c r="U742" t="s">
        <v>1032</v>
      </c>
      <c r="V742" t="s">
        <v>1033</v>
      </c>
      <c r="W742" t="s">
        <v>187</v>
      </c>
      <c r="Y742" t="s">
        <v>51</v>
      </c>
      <c r="Z742">
        <v>1713</v>
      </c>
      <c r="AH742">
        <v>0</v>
      </c>
      <c r="AI742">
        <v>202504</v>
      </c>
      <c r="AJ742" t="s">
        <v>52</v>
      </c>
      <c r="AK742">
        <v>0</v>
      </c>
      <c r="AL742">
        <v>1</v>
      </c>
      <c r="AO742">
        <v>0</v>
      </c>
      <c r="AP742" t="s">
        <v>3015</v>
      </c>
      <c r="AQ742" t="s">
        <v>3044</v>
      </c>
      <c r="AR742" t="s">
        <v>3045</v>
      </c>
      <c r="AS742" t="s">
        <v>3046</v>
      </c>
      <c r="AU742" t="s">
        <v>3046</v>
      </c>
    </row>
    <row r="743" spans="1:47" x14ac:dyDescent="0.35">
      <c r="A743">
        <v>329431</v>
      </c>
      <c r="B743" t="s">
        <v>164</v>
      </c>
      <c r="C743" t="s">
        <v>165</v>
      </c>
      <c r="D743" s="2">
        <v>45757</v>
      </c>
      <c r="E743">
        <v>53850</v>
      </c>
      <c r="F743">
        <v>129</v>
      </c>
      <c r="G743" t="s">
        <v>227</v>
      </c>
      <c r="H743" t="s">
        <v>167</v>
      </c>
      <c r="I743" t="s">
        <v>45</v>
      </c>
      <c r="K743">
        <v>202504097882321</v>
      </c>
      <c r="L743">
        <v>1293300002811</v>
      </c>
      <c r="M743">
        <v>20250409</v>
      </c>
      <c r="N743" t="s">
        <v>168</v>
      </c>
      <c r="P743" t="s">
        <v>169</v>
      </c>
      <c r="Q743" t="s">
        <v>47</v>
      </c>
      <c r="R743">
        <v>9872.2000000000007</v>
      </c>
      <c r="S743">
        <v>0</v>
      </c>
      <c r="T743">
        <v>4972184</v>
      </c>
      <c r="U743">
        <v>7780290727</v>
      </c>
      <c r="V743" t="s">
        <v>720</v>
      </c>
      <c r="W743" t="s">
        <v>49</v>
      </c>
      <c r="X743" t="s">
        <v>721</v>
      </c>
      <c r="Y743" t="s">
        <v>51</v>
      </c>
      <c r="Z743">
        <v>1058</v>
      </c>
      <c r="AH743">
        <v>0</v>
      </c>
      <c r="AI743">
        <v>202504</v>
      </c>
      <c r="AJ743" t="s">
        <v>52</v>
      </c>
      <c r="AK743">
        <v>0</v>
      </c>
      <c r="AL743">
        <v>1</v>
      </c>
      <c r="AO743">
        <v>0</v>
      </c>
      <c r="AP743" t="s">
        <v>3015</v>
      </c>
      <c r="AQ743" t="s">
        <v>3012</v>
      </c>
      <c r="AR743" t="s">
        <v>3016</v>
      </c>
      <c r="AT743" t="s">
        <v>3017</v>
      </c>
      <c r="AU743" t="s">
        <v>3018</v>
      </c>
    </row>
    <row r="744" spans="1:47" x14ac:dyDescent="0.35">
      <c r="A744">
        <v>329430</v>
      </c>
      <c r="B744" t="s">
        <v>193</v>
      </c>
      <c r="C744" t="s">
        <v>194</v>
      </c>
      <c r="D744" s="2">
        <v>45757</v>
      </c>
      <c r="E744">
        <v>53850</v>
      </c>
      <c r="F744">
        <v>268</v>
      </c>
      <c r="G744" t="s">
        <v>83</v>
      </c>
      <c r="H744" t="s">
        <v>167</v>
      </c>
      <c r="I744" t="s">
        <v>45</v>
      </c>
      <c r="K744">
        <v>202504097883007</v>
      </c>
      <c r="L744">
        <v>2683300010030</v>
      </c>
      <c r="M744">
        <v>20250409</v>
      </c>
      <c r="N744" t="s">
        <v>195</v>
      </c>
      <c r="Q744" t="s">
        <v>47</v>
      </c>
      <c r="R744">
        <v>32220</v>
      </c>
      <c r="S744">
        <v>32220</v>
      </c>
      <c r="T744">
        <v>4966939</v>
      </c>
      <c r="U744" t="s">
        <v>221</v>
      </c>
      <c r="V744" t="s">
        <v>222</v>
      </c>
      <c r="W744" t="s">
        <v>69</v>
      </c>
      <c r="X744" t="s">
        <v>55</v>
      </c>
      <c r="Y744" t="s">
        <v>51</v>
      </c>
      <c r="Z744">
        <v>1870</v>
      </c>
      <c r="AH744">
        <v>0</v>
      </c>
      <c r="AI744">
        <v>202504</v>
      </c>
      <c r="AJ744" t="s">
        <v>56</v>
      </c>
      <c r="AK744">
        <v>0</v>
      </c>
      <c r="AL744">
        <v>1</v>
      </c>
      <c r="AM744">
        <v>4966939</v>
      </c>
      <c r="AN744">
        <v>1</v>
      </c>
      <c r="AO744">
        <v>0</v>
      </c>
      <c r="AP744" t="s">
        <v>3015</v>
      </c>
      <c r="AQ744" t="s">
        <v>3021</v>
      </c>
      <c r="AR744" t="s">
        <v>3022</v>
      </c>
      <c r="AT744" t="s">
        <v>3017</v>
      </c>
      <c r="AU744" t="s">
        <v>3014</v>
      </c>
    </row>
    <row r="745" spans="1:47" x14ac:dyDescent="0.35">
      <c r="A745">
        <v>329429</v>
      </c>
      <c r="B745" t="s">
        <v>214</v>
      </c>
      <c r="C745" t="s">
        <v>215</v>
      </c>
      <c r="D745" s="2">
        <v>45757</v>
      </c>
      <c r="E745">
        <v>53850</v>
      </c>
      <c r="F745">
        <v>175</v>
      </c>
      <c r="G745" t="s">
        <v>99</v>
      </c>
      <c r="H745" t="s">
        <v>167</v>
      </c>
      <c r="I745" t="s">
        <v>45</v>
      </c>
      <c r="K745">
        <v>202504097882373</v>
      </c>
      <c r="L745">
        <v>1753302203813</v>
      </c>
      <c r="M745">
        <v>20250409</v>
      </c>
      <c r="N745" t="s">
        <v>168</v>
      </c>
      <c r="P745" t="s">
        <v>511</v>
      </c>
      <c r="Q745" t="s">
        <v>170</v>
      </c>
      <c r="R745">
        <v>48889.8</v>
      </c>
      <c r="S745">
        <v>0</v>
      </c>
      <c r="T745">
        <v>4907691</v>
      </c>
      <c r="U745">
        <v>1146400773</v>
      </c>
      <c r="V745" t="s">
        <v>1034</v>
      </c>
      <c r="W745" t="s">
        <v>49</v>
      </c>
      <c r="X745" t="s">
        <v>257</v>
      </c>
      <c r="Y745" t="s">
        <v>51</v>
      </c>
      <c r="Z745">
        <v>1926</v>
      </c>
      <c r="AH745">
        <v>0</v>
      </c>
      <c r="AI745">
        <v>202504</v>
      </c>
      <c r="AJ745" t="s">
        <v>86</v>
      </c>
      <c r="AK745">
        <v>1</v>
      </c>
      <c r="AL745">
        <v>1</v>
      </c>
      <c r="AO745">
        <v>0</v>
      </c>
      <c r="AP745" t="s">
        <v>3015</v>
      </c>
      <c r="AQ745" t="s">
        <v>3012</v>
      </c>
      <c r="AR745" t="s">
        <v>3016</v>
      </c>
      <c r="AT745" t="s">
        <v>3017</v>
      </c>
      <c r="AU745" t="s">
        <v>3018</v>
      </c>
    </row>
    <row r="746" spans="1:47" x14ac:dyDescent="0.35">
      <c r="A746">
        <v>329428</v>
      </c>
      <c r="B746" t="s">
        <v>178</v>
      </c>
      <c r="C746" t="s">
        <v>179</v>
      </c>
      <c r="D746" s="2">
        <v>45757</v>
      </c>
      <c r="E746">
        <v>53850</v>
      </c>
      <c r="F746">
        <v>268</v>
      </c>
      <c r="G746" t="s">
        <v>83</v>
      </c>
      <c r="H746" t="s">
        <v>167</v>
      </c>
      <c r="I746" t="s">
        <v>45</v>
      </c>
      <c r="K746">
        <v>202504097883425</v>
      </c>
      <c r="L746">
        <v>2683300010864</v>
      </c>
      <c r="M746">
        <v>20250409</v>
      </c>
      <c r="N746" t="s">
        <v>236</v>
      </c>
      <c r="P746" t="s">
        <v>51</v>
      </c>
      <c r="Q746" t="s">
        <v>170</v>
      </c>
      <c r="R746">
        <v>217212</v>
      </c>
      <c r="S746">
        <v>0</v>
      </c>
      <c r="T746">
        <v>3739084</v>
      </c>
      <c r="U746" t="s">
        <v>1035</v>
      </c>
      <c r="V746" t="s">
        <v>1036</v>
      </c>
      <c r="W746" t="s">
        <v>187</v>
      </c>
      <c r="Y746" t="s">
        <v>51</v>
      </c>
      <c r="Z746">
        <v>1830</v>
      </c>
      <c r="AH746">
        <v>0</v>
      </c>
      <c r="AI746">
        <v>202504</v>
      </c>
      <c r="AJ746" t="s">
        <v>86</v>
      </c>
      <c r="AK746">
        <v>1</v>
      </c>
      <c r="AL746">
        <v>1</v>
      </c>
      <c r="AO746">
        <v>0</v>
      </c>
      <c r="AP746" t="s">
        <v>3015</v>
      </c>
      <c r="AQ746" t="s">
        <v>3044</v>
      </c>
      <c r="AR746" t="s">
        <v>3045</v>
      </c>
      <c r="AS746" t="s">
        <v>3046</v>
      </c>
      <c r="AU746" t="s">
        <v>3046</v>
      </c>
    </row>
    <row r="747" spans="1:47" x14ac:dyDescent="0.35">
      <c r="A747">
        <v>329427</v>
      </c>
      <c r="B747" t="s">
        <v>178</v>
      </c>
      <c r="C747" t="s">
        <v>179</v>
      </c>
      <c r="D747" s="2">
        <v>45757</v>
      </c>
      <c r="E747">
        <v>53850</v>
      </c>
      <c r="F747">
        <v>103</v>
      </c>
      <c r="G747" t="s">
        <v>80</v>
      </c>
      <c r="H747" t="s">
        <v>167</v>
      </c>
      <c r="I747" t="s">
        <v>45</v>
      </c>
      <c r="K747">
        <v>202504097883043</v>
      </c>
      <c r="L747">
        <v>1033302887757</v>
      </c>
      <c r="M747">
        <v>20250409</v>
      </c>
      <c r="N747" t="s">
        <v>3136</v>
      </c>
      <c r="Q747" t="s">
        <v>170</v>
      </c>
      <c r="R747">
        <v>94953.62</v>
      </c>
      <c r="S747">
        <v>0</v>
      </c>
      <c r="T747">
        <v>4066375</v>
      </c>
      <c r="U747" t="s">
        <v>1024</v>
      </c>
      <c r="V747" t="s">
        <v>1025</v>
      </c>
      <c r="W747" t="s">
        <v>187</v>
      </c>
      <c r="Y747" t="s">
        <v>51</v>
      </c>
      <c r="AH747">
        <v>0</v>
      </c>
      <c r="AI747">
        <v>202504</v>
      </c>
      <c r="AJ747" t="s">
        <v>86</v>
      </c>
      <c r="AK747">
        <v>1</v>
      </c>
      <c r="AL747">
        <v>1</v>
      </c>
      <c r="AO747">
        <v>1</v>
      </c>
      <c r="AP747" t="s">
        <v>3015</v>
      </c>
      <c r="AQ747" t="s">
        <v>3044</v>
      </c>
      <c r="AR747" t="s">
        <v>3045</v>
      </c>
      <c r="AS747" t="s">
        <v>3046</v>
      </c>
      <c r="AU747" t="s">
        <v>3046</v>
      </c>
    </row>
    <row r="748" spans="1:47" x14ac:dyDescent="0.35">
      <c r="A748">
        <v>329426</v>
      </c>
      <c r="B748" t="s">
        <v>178</v>
      </c>
      <c r="C748" t="s">
        <v>179</v>
      </c>
      <c r="D748" s="2">
        <v>45757</v>
      </c>
      <c r="E748">
        <v>53850</v>
      </c>
      <c r="F748">
        <v>268</v>
      </c>
      <c r="G748" t="s">
        <v>83</v>
      </c>
      <c r="H748" t="s">
        <v>167</v>
      </c>
      <c r="I748" t="s">
        <v>45</v>
      </c>
      <c r="K748">
        <v>202504097883425</v>
      </c>
      <c r="L748">
        <v>2683300010864</v>
      </c>
      <c r="M748">
        <v>20250409</v>
      </c>
      <c r="N748" t="s">
        <v>236</v>
      </c>
      <c r="P748" t="s">
        <v>51</v>
      </c>
      <c r="Q748" t="s">
        <v>170</v>
      </c>
      <c r="R748">
        <v>217212</v>
      </c>
      <c r="S748">
        <v>0</v>
      </c>
      <c r="T748">
        <v>1628555</v>
      </c>
      <c r="U748" t="s">
        <v>1037</v>
      </c>
      <c r="V748" t="s">
        <v>1038</v>
      </c>
      <c r="W748" t="s">
        <v>187</v>
      </c>
      <c r="Y748" t="s">
        <v>51</v>
      </c>
      <c r="Z748">
        <v>1870</v>
      </c>
      <c r="AH748">
        <v>0</v>
      </c>
      <c r="AI748">
        <v>202504</v>
      </c>
      <c r="AJ748" t="s">
        <v>86</v>
      </c>
      <c r="AK748">
        <v>1</v>
      </c>
      <c r="AL748">
        <v>1</v>
      </c>
      <c r="AO748">
        <v>0</v>
      </c>
      <c r="AP748" t="s">
        <v>3015</v>
      </c>
      <c r="AQ748" t="s">
        <v>3044</v>
      </c>
      <c r="AR748" t="s">
        <v>3045</v>
      </c>
      <c r="AS748" t="s">
        <v>3046</v>
      </c>
      <c r="AU748" t="s">
        <v>3046</v>
      </c>
    </row>
    <row r="749" spans="1:47" x14ac:dyDescent="0.35">
      <c r="A749">
        <v>329425</v>
      </c>
      <c r="B749" t="s">
        <v>193</v>
      </c>
      <c r="C749" t="s">
        <v>194</v>
      </c>
      <c r="D749" s="2">
        <v>45757</v>
      </c>
      <c r="E749">
        <v>53850</v>
      </c>
      <c r="F749">
        <v>102</v>
      </c>
      <c r="G749" t="s">
        <v>151</v>
      </c>
      <c r="H749" t="s">
        <v>167</v>
      </c>
      <c r="I749" t="s">
        <v>45</v>
      </c>
      <c r="K749">
        <v>202504097882673</v>
      </c>
      <c r="L749">
        <v>1023308722503</v>
      </c>
      <c r="M749">
        <v>20250409</v>
      </c>
      <c r="N749" t="s">
        <v>195</v>
      </c>
      <c r="Q749" t="s">
        <v>47</v>
      </c>
      <c r="R749">
        <v>18410</v>
      </c>
      <c r="S749">
        <v>18410</v>
      </c>
      <c r="T749">
        <v>413650</v>
      </c>
      <c r="U749">
        <v>3657230722</v>
      </c>
      <c r="V749" t="s">
        <v>196</v>
      </c>
      <c r="W749" t="s">
        <v>190</v>
      </c>
      <c r="X749" t="s">
        <v>197</v>
      </c>
      <c r="Y749" t="s">
        <v>51</v>
      </c>
      <c r="Z749">
        <v>1306</v>
      </c>
      <c r="AH749">
        <v>0</v>
      </c>
      <c r="AI749">
        <v>202504</v>
      </c>
      <c r="AJ749" t="s">
        <v>56</v>
      </c>
      <c r="AK749">
        <v>0</v>
      </c>
      <c r="AL749">
        <v>1</v>
      </c>
      <c r="AM749">
        <v>413650</v>
      </c>
      <c r="AN749">
        <v>1</v>
      </c>
      <c r="AO749">
        <v>0</v>
      </c>
      <c r="AP749" t="s">
        <v>3050</v>
      </c>
      <c r="AQ749" t="s">
        <v>3047</v>
      </c>
      <c r="AR749" t="s">
        <v>3051</v>
      </c>
      <c r="AS749" t="s">
        <v>3049</v>
      </c>
      <c r="AU749" t="s">
        <v>3049</v>
      </c>
    </row>
    <row r="750" spans="1:47" x14ac:dyDescent="0.35">
      <c r="A750">
        <v>329424</v>
      </c>
      <c r="B750" t="s">
        <v>193</v>
      </c>
      <c r="C750" t="s">
        <v>194</v>
      </c>
      <c r="D750" s="2">
        <v>45757</v>
      </c>
      <c r="E750">
        <v>53850</v>
      </c>
      <c r="F750">
        <v>116</v>
      </c>
      <c r="G750" t="s">
        <v>126</v>
      </c>
      <c r="H750" t="s">
        <v>167</v>
      </c>
      <c r="I750" t="s">
        <v>45</v>
      </c>
      <c r="K750">
        <v>202504097882968</v>
      </c>
      <c r="L750">
        <v>2343300010453</v>
      </c>
      <c r="M750">
        <v>20250409</v>
      </c>
      <c r="N750" t="s">
        <v>195</v>
      </c>
      <c r="Q750" t="s">
        <v>47</v>
      </c>
      <c r="R750">
        <v>140674.45000000001</v>
      </c>
      <c r="S750">
        <v>140674.45000000001</v>
      </c>
      <c r="T750">
        <v>4247777</v>
      </c>
      <c r="U750">
        <v>233470236</v>
      </c>
      <c r="V750" t="s">
        <v>206</v>
      </c>
      <c r="W750" t="s">
        <v>49</v>
      </c>
      <c r="X750" t="s">
        <v>117</v>
      </c>
      <c r="Y750" t="s">
        <v>51</v>
      </c>
      <c r="Z750">
        <v>1696</v>
      </c>
      <c r="AH750">
        <v>0</v>
      </c>
      <c r="AI750">
        <v>202504</v>
      </c>
      <c r="AJ750" t="s">
        <v>114</v>
      </c>
      <c r="AK750">
        <v>1</v>
      </c>
      <c r="AL750">
        <v>1</v>
      </c>
      <c r="AM750">
        <v>4247777</v>
      </c>
      <c r="AN750">
        <v>1</v>
      </c>
      <c r="AO750">
        <v>0</v>
      </c>
      <c r="AP750" t="s">
        <v>3029</v>
      </c>
      <c r="AQ750" t="s">
        <v>3012</v>
      </c>
      <c r="AR750" t="s">
        <v>3030</v>
      </c>
      <c r="AS750" t="s">
        <v>3014</v>
      </c>
      <c r="AU750" t="s">
        <v>3014</v>
      </c>
    </row>
    <row r="751" spans="1:47" x14ac:dyDescent="0.35">
      <c r="A751">
        <v>329423</v>
      </c>
      <c r="B751" t="s">
        <v>172</v>
      </c>
      <c r="C751" t="s">
        <v>173</v>
      </c>
      <c r="D751" s="2">
        <v>45757</v>
      </c>
      <c r="E751">
        <v>53850</v>
      </c>
      <c r="F751">
        <v>111</v>
      </c>
      <c r="G751" t="s">
        <v>458</v>
      </c>
      <c r="H751" t="s">
        <v>167</v>
      </c>
      <c r="I751" t="s">
        <v>45</v>
      </c>
      <c r="K751">
        <v>202504097883130</v>
      </c>
      <c r="L751">
        <v>1113300676200</v>
      </c>
      <c r="M751">
        <v>20250409</v>
      </c>
      <c r="N751" t="s">
        <v>97</v>
      </c>
      <c r="Q751" t="s">
        <v>47</v>
      </c>
      <c r="R751">
        <v>100000</v>
      </c>
      <c r="S751">
        <v>0</v>
      </c>
      <c r="T751">
        <v>67620</v>
      </c>
      <c r="U751" t="s">
        <v>1039</v>
      </c>
      <c r="V751" t="s">
        <v>1040</v>
      </c>
      <c r="W751" t="s">
        <v>69</v>
      </c>
      <c r="X751" t="s">
        <v>595</v>
      </c>
      <c r="Y751" t="s">
        <v>51</v>
      </c>
      <c r="Z751">
        <v>593</v>
      </c>
      <c r="AH751">
        <v>0</v>
      </c>
      <c r="AI751">
        <v>202504</v>
      </c>
      <c r="AJ751" t="s">
        <v>86</v>
      </c>
      <c r="AK751">
        <v>1</v>
      </c>
      <c r="AL751">
        <v>1</v>
      </c>
      <c r="AO751">
        <v>0</v>
      </c>
      <c r="AP751" t="s">
        <v>3015</v>
      </c>
      <c r="AQ751" t="s">
        <v>3021</v>
      </c>
      <c r="AR751" t="s">
        <v>3022</v>
      </c>
      <c r="AT751" t="s">
        <v>3017</v>
      </c>
      <c r="AU751" t="s">
        <v>3014</v>
      </c>
    </row>
    <row r="752" spans="1:47" x14ac:dyDescent="0.35">
      <c r="A752">
        <v>329422</v>
      </c>
      <c r="B752" t="s">
        <v>193</v>
      </c>
      <c r="C752" t="s">
        <v>194</v>
      </c>
      <c r="D752" s="2">
        <v>45757</v>
      </c>
      <c r="E752">
        <v>53850</v>
      </c>
      <c r="F752">
        <v>148</v>
      </c>
      <c r="G752" t="s">
        <v>78</v>
      </c>
      <c r="H752" t="s">
        <v>167</v>
      </c>
      <c r="I752" t="s">
        <v>45</v>
      </c>
      <c r="K752">
        <v>202504097883224</v>
      </c>
      <c r="L752">
        <v>1483300010620</v>
      </c>
      <c r="M752">
        <v>20250409</v>
      </c>
      <c r="N752" t="s">
        <v>266</v>
      </c>
      <c r="Q752" t="s">
        <v>47</v>
      </c>
      <c r="R752">
        <v>21730</v>
      </c>
      <c r="S752">
        <v>21730</v>
      </c>
      <c r="T752">
        <v>4247284</v>
      </c>
      <c r="U752" t="s">
        <v>537</v>
      </c>
      <c r="V752" t="s">
        <v>538</v>
      </c>
      <c r="W752" t="s">
        <v>69</v>
      </c>
      <c r="X752" t="s">
        <v>131</v>
      </c>
      <c r="Y752" t="s">
        <v>51</v>
      </c>
      <c r="Z752">
        <v>1063</v>
      </c>
      <c r="AH752">
        <v>0</v>
      </c>
      <c r="AI752">
        <v>202504</v>
      </c>
      <c r="AJ752" t="s">
        <v>56</v>
      </c>
      <c r="AK752">
        <v>0</v>
      </c>
      <c r="AL752">
        <v>1</v>
      </c>
      <c r="AM752">
        <v>4247284</v>
      </c>
      <c r="AN752">
        <v>1</v>
      </c>
      <c r="AO752">
        <v>0</v>
      </c>
      <c r="AP752" t="s">
        <v>3033</v>
      </c>
      <c r="AQ752" t="s">
        <v>3021</v>
      </c>
      <c r="AR752" t="s">
        <v>3054</v>
      </c>
      <c r="AS752" t="s">
        <v>3055</v>
      </c>
      <c r="AU752" t="s">
        <v>3055</v>
      </c>
    </row>
    <row r="753" spans="1:47" x14ac:dyDescent="0.35">
      <c r="A753">
        <v>329421</v>
      </c>
      <c r="B753" t="s">
        <v>333</v>
      </c>
      <c r="C753" t="s">
        <v>334</v>
      </c>
      <c r="D753" s="2">
        <v>45757</v>
      </c>
      <c r="E753">
        <v>53850</v>
      </c>
      <c r="F753">
        <v>99</v>
      </c>
      <c r="G753" t="s">
        <v>335</v>
      </c>
      <c r="H753" t="s">
        <v>167</v>
      </c>
      <c r="I753" t="s">
        <v>45</v>
      </c>
      <c r="K753">
        <v>202504097883042</v>
      </c>
      <c r="M753">
        <v>20250409</v>
      </c>
      <c r="N753" t="s">
        <v>3136</v>
      </c>
      <c r="Q753" t="s">
        <v>170</v>
      </c>
      <c r="R753">
        <v>5557.46</v>
      </c>
      <c r="S753">
        <v>0</v>
      </c>
      <c r="T753">
        <v>1689973</v>
      </c>
      <c r="U753" t="s">
        <v>1041</v>
      </c>
      <c r="V753" t="s">
        <v>1042</v>
      </c>
      <c r="W753" t="s">
        <v>187</v>
      </c>
      <c r="Y753" t="s">
        <v>51</v>
      </c>
      <c r="Z753">
        <v>1752</v>
      </c>
      <c r="AH753">
        <v>0</v>
      </c>
      <c r="AI753">
        <v>202504</v>
      </c>
      <c r="AJ753" t="s">
        <v>52</v>
      </c>
      <c r="AK753">
        <v>0</v>
      </c>
      <c r="AL753">
        <v>0</v>
      </c>
      <c r="AO753">
        <v>1</v>
      </c>
      <c r="AP753" t="s">
        <v>3015</v>
      </c>
      <c r="AQ753" t="s">
        <v>3044</v>
      </c>
      <c r="AR753" t="s">
        <v>3045</v>
      </c>
      <c r="AS753" t="s">
        <v>3046</v>
      </c>
      <c r="AU753" t="s">
        <v>3046</v>
      </c>
    </row>
    <row r="754" spans="1:47" x14ac:dyDescent="0.35">
      <c r="A754">
        <v>329420</v>
      </c>
      <c r="B754" t="s">
        <v>178</v>
      </c>
      <c r="C754" t="s">
        <v>179</v>
      </c>
      <c r="D754" s="2">
        <v>45757</v>
      </c>
      <c r="E754">
        <v>53850</v>
      </c>
      <c r="F754">
        <v>282</v>
      </c>
      <c r="G754" t="s">
        <v>433</v>
      </c>
      <c r="H754" t="s">
        <v>167</v>
      </c>
      <c r="I754" t="s">
        <v>45</v>
      </c>
      <c r="K754">
        <v>202504097883472</v>
      </c>
      <c r="L754">
        <v>2823300000075</v>
      </c>
      <c r="M754">
        <v>20250409</v>
      </c>
      <c r="N754" t="s">
        <v>759</v>
      </c>
      <c r="Q754" t="s">
        <v>170</v>
      </c>
      <c r="R754">
        <v>168023.98</v>
      </c>
      <c r="S754">
        <v>0</v>
      </c>
      <c r="T754">
        <v>1602060</v>
      </c>
      <c r="U754" t="s">
        <v>1043</v>
      </c>
      <c r="V754" t="s">
        <v>1044</v>
      </c>
      <c r="W754" t="s">
        <v>187</v>
      </c>
      <c r="Y754" t="s">
        <v>51</v>
      </c>
      <c r="Z754">
        <v>1756</v>
      </c>
      <c r="AH754">
        <v>0</v>
      </c>
      <c r="AI754">
        <v>202504</v>
      </c>
      <c r="AJ754" t="s">
        <v>52</v>
      </c>
      <c r="AK754">
        <v>0</v>
      </c>
      <c r="AL754">
        <v>1</v>
      </c>
      <c r="AO754">
        <v>0</v>
      </c>
      <c r="AP754" t="s">
        <v>3015</v>
      </c>
      <c r="AQ754" t="s">
        <v>3044</v>
      </c>
      <c r="AR754" t="s">
        <v>3045</v>
      </c>
      <c r="AS754" t="s">
        <v>3046</v>
      </c>
      <c r="AU754" t="s">
        <v>3046</v>
      </c>
    </row>
    <row r="755" spans="1:47" x14ac:dyDescent="0.35">
      <c r="A755">
        <v>329419</v>
      </c>
      <c r="B755" t="s">
        <v>193</v>
      </c>
      <c r="C755" t="s">
        <v>194</v>
      </c>
      <c r="D755" s="2">
        <v>45757</v>
      </c>
      <c r="E755">
        <v>53850</v>
      </c>
      <c r="F755">
        <v>118</v>
      </c>
      <c r="G755" t="s">
        <v>254</v>
      </c>
      <c r="H755" t="s">
        <v>167</v>
      </c>
      <c r="I755" t="s">
        <v>45</v>
      </c>
      <c r="K755">
        <v>202504097882674</v>
      </c>
      <c r="L755">
        <v>1023308722503</v>
      </c>
      <c r="M755">
        <v>20250409</v>
      </c>
      <c r="N755" t="s">
        <v>195</v>
      </c>
      <c r="Q755" t="s">
        <v>47</v>
      </c>
      <c r="R755">
        <v>21300</v>
      </c>
      <c r="S755">
        <v>21300</v>
      </c>
      <c r="T755">
        <v>413650</v>
      </c>
      <c r="U755">
        <v>3657230722</v>
      </c>
      <c r="V755" t="s">
        <v>196</v>
      </c>
      <c r="W755" t="s">
        <v>190</v>
      </c>
      <c r="X755" t="s">
        <v>197</v>
      </c>
      <c r="Y755" t="s">
        <v>51</v>
      </c>
      <c r="Z755">
        <v>1306</v>
      </c>
      <c r="AH755">
        <v>0</v>
      </c>
      <c r="AI755">
        <v>202504</v>
      </c>
      <c r="AJ755" t="s">
        <v>56</v>
      </c>
      <c r="AK755">
        <v>0</v>
      </c>
      <c r="AL755">
        <v>1</v>
      </c>
      <c r="AM755">
        <v>413650</v>
      </c>
      <c r="AN755">
        <v>1</v>
      </c>
      <c r="AO755">
        <v>0</v>
      </c>
      <c r="AP755" t="s">
        <v>3050</v>
      </c>
      <c r="AQ755" t="s">
        <v>3047</v>
      </c>
      <c r="AR755" t="s">
        <v>3051</v>
      </c>
      <c r="AS755" t="s">
        <v>3049</v>
      </c>
      <c r="AU755" t="s">
        <v>3049</v>
      </c>
    </row>
    <row r="756" spans="1:47" x14ac:dyDescent="0.35">
      <c r="A756">
        <v>329418</v>
      </c>
      <c r="B756" t="s">
        <v>193</v>
      </c>
      <c r="C756" t="s">
        <v>194</v>
      </c>
      <c r="D756" s="2">
        <v>45757</v>
      </c>
      <c r="E756">
        <v>53850</v>
      </c>
      <c r="F756">
        <v>269</v>
      </c>
      <c r="G756" t="s">
        <v>265</v>
      </c>
      <c r="H756" t="s">
        <v>167</v>
      </c>
      <c r="I756" t="s">
        <v>45</v>
      </c>
      <c r="K756" t="s">
        <v>1031</v>
      </c>
      <c r="L756">
        <v>2693300001614</v>
      </c>
      <c r="M756">
        <v>20250409</v>
      </c>
      <c r="N756" t="s">
        <v>266</v>
      </c>
      <c r="Q756" t="s">
        <v>47</v>
      </c>
      <c r="R756">
        <v>35790</v>
      </c>
      <c r="S756">
        <v>35790</v>
      </c>
      <c r="T756">
        <v>1695085</v>
      </c>
      <c r="U756" t="s">
        <v>267</v>
      </c>
      <c r="V756" t="s">
        <v>268</v>
      </c>
      <c r="W756" t="s">
        <v>69</v>
      </c>
      <c r="X756" t="s">
        <v>55</v>
      </c>
      <c r="Y756" t="s">
        <v>51</v>
      </c>
      <c r="Z756">
        <v>1805</v>
      </c>
      <c r="AH756">
        <v>0</v>
      </c>
      <c r="AI756">
        <v>202504</v>
      </c>
      <c r="AJ756" t="s">
        <v>56</v>
      </c>
      <c r="AK756">
        <v>0</v>
      </c>
      <c r="AL756">
        <v>1</v>
      </c>
      <c r="AM756">
        <v>1695085</v>
      </c>
      <c r="AN756">
        <v>1</v>
      </c>
      <c r="AO756">
        <v>0</v>
      </c>
      <c r="AP756" t="s">
        <v>3015</v>
      </c>
      <c r="AQ756" t="s">
        <v>3021</v>
      </c>
      <c r="AR756" t="s">
        <v>3022</v>
      </c>
      <c r="AT756" t="s">
        <v>3017</v>
      </c>
      <c r="AU756" t="s">
        <v>3014</v>
      </c>
    </row>
    <row r="757" spans="1:47" x14ac:dyDescent="0.35">
      <c r="A757">
        <v>329417</v>
      </c>
      <c r="B757" t="s">
        <v>178</v>
      </c>
      <c r="C757" t="s">
        <v>179</v>
      </c>
      <c r="D757" s="2">
        <v>45757</v>
      </c>
      <c r="E757">
        <v>53850</v>
      </c>
      <c r="F757">
        <v>282</v>
      </c>
      <c r="G757" t="s">
        <v>433</v>
      </c>
      <c r="H757" t="s">
        <v>167</v>
      </c>
      <c r="I757" t="s">
        <v>45</v>
      </c>
      <c r="K757">
        <v>202504097883473</v>
      </c>
      <c r="L757">
        <v>2825500000010</v>
      </c>
      <c r="M757">
        <v>20250409</v>
      </c>
      <c r="N757" t="s">
        <v>808</v>
      </c>
      <c r="Q757" t="s">
        <v>47</v>
      </c>
      <c r="R757">
        <v>168023.98</v>
      </c>
      <c r="S757">
        <v>0</v>
      </c>
      <c r="T757">
        <v>1602060</v>
      </c>
      <c r="U757" t="s">
        <v>1043</v>
      </c>
      <c r="V757" t="s">
        <v>1044</v>
      </c>
      <c r="W757" t="s">
        <v>187</v>
      </c>
      <c r="Y757" t="s">
        <v>51</v>
      </c>
      <c r="Z757">
        <v>1756</v>
      </c>
      <c r="AH757">
        <v>0</v>
      </c>
      <c r="AI757">
        <v>202504</v>
      </c>
      <c r="AJ757" t="s">
        <v>52</v>
      </c>
      <c r="AK757">
        <v>0</v>
      </c>
      <c r="AL757">
        <v>1</v>
      </c>
      <c r="AO757">
        <v>0</v>
      </c>
      <c r="AP757" t="s">
        <v>3015</v>
      </c>
      <c r="AQ757" t="s">
        <v>3044</v>
      </c>
      <c r="AR757" t="s">
        <v>3045</v>
      </c>
      <c r="AS757" t="s">
        <v>3046</v>
      </c>
      <c r="AU757" t="s">
        <v>3046</v>
      </c>
    </row>
    <row r="758" spans="1:47" x14ac:dyDescent="0.35">
      <c r="A758">
        <v>329416</v>
      </c>
      <c r="B758" t="s">
        <v>172</v>
      </c>
      <c r="C758" t="s">
        <v>173</v>
      </c>
      <c r="D758" s="2">
        <v>45757</v>
      </c>
      <c r="E758">
        <v>53850</v>
      </c>
      <c r="F758">
        <v>109</v>
      </c>
      <c r="G758" t="s">
        <v>89</v>
      </c>
      <c r="H758" t="s">
        <v>167</v>
      </c>
      <c r="I758" t="s">
        <v>45</v>
      </c>
      <c r="K758">
        <v>202504097883116</v>
      </c>
      <c r="L758">
        <v>1093300014490</v>
      </c>
      <c r="M758">
        <v>20250409</v>
      </c>
      <c r="N758" t="s">
        <v>231</v>
      </c>
      <c r="Q758" t="s">
        <v>47</v>
      </c>
      <c r="R758">
        <v>200000</v>
      </c>
      <c r="S758">
        <v>0</v>
      </c>
      <c r="T758">
        <v>1449</v>
      </c>
      <c r="U758" t="s">
        <v>1045</v>
      </c>
      <c r="V758" t="s">
        <v>1046</v>
      </c>
      <c r="W758" t="s">
        <v>187</v>
      </c>
      <c r="Y758" t="s">
        <v>51</v>
      </c>
      <c r="Z758">
        <v>743</v>
      </c>
      <c r="AH758">
        <v>0</v>
      </c>
      <c r="AI758">
        <v>202504</v>
      </c>
      <c r="AJ758" t="s">
        <v>56</v>
      </c>
      <c r="AK758">
        <v>0</v>
      </c>
      <c r="AL758">
        <v>1</v>
      </c>
      <c r="AM758">
        <v>1449</v>
      </c>
      <c r="AN758">
        <v>1</v>
      </c>
      <c r="AO758">
        <v>0</v>
      </c>
      <c r="AP758" t="s">
        <v>3015</v>
      </c>
      <c r="AQ758" t="s">
        <v>3044</v>
      </c>
      <c r="AR758" t="s">
        <v>3045</v>
      </c>
      <c r="AS758" t="s">
        <v>3046</v>
      </c>
      <c r="AU758" t="s">
        <v>3046</v>
      </c>
    </row>
    <row r="759" spans="1:47" x14ac:dyDescent="0.35">
      <c r="A759">
        <v>329415</v>
      </c>
      <c r="B759" t="s">
        <v>214</v>
      </c>
      <c r="C759" t="s">
        <v>215</v>
      </c>
      <c r="D759" s="2">
        <v>45757</v>
      </c>
      <c r="E759">
        <v>53850</v>
      </c>
      <c r="F759">
        <v>102</v>
      </c>
      <c r="G759" t="s">
        <v>151</v>
      </c>
      <c r="H759" t="s">
        <v>167</v>
      </c>
      <c r="I759" t="s">
        <v>45</v>
      </c>
      <c r="K759">
        <v>202504097882380</v>
      </c>
      <c r="L759">
        <v>1023308727580</v>
      </c>
      <c r="M759">
        <v>20250409</v>
      </c>
      <c r="N759" t="s">
        <v>168</v>
      </c>
      <c r="P759" t="s">
        <v>339</v>
      </c>
      <c r="Q759" t="s">
        <v>47</v>
      </c>
      <c r="R759">
        <v>39920</v>
      </c>
      <c r="S759">
        <v>0</v>
      </c>
      <c r="T759">
        <v>3727650</v>
      </c>
      <c r="U759">
        <v>8924460721</v>
      </c>
      <c r="V759" t="s">
        <v>873</v>
      </c>
      <c r="W759" t="s">
        <v>49</v>
      </c>
      <c r="X759" t="s">
        <v>874</v>
      </c>
      <c r="Y759" t="s">
        <v>51</v>
      </c>
      <c r="Z759">
        <v>1306</v>
      </c>
      <c r="AH759">
        <v>0</v>
      </c>
      <c r="AI759">
        <v>202504</v>
      </c>
      <c r="AJ759" t="s">
        <v>86</v>
      </c>
      <c r="AK759">
        <v>1</v>
      </c>
      <c r="AL759">
        <v>1</v>
      </c>
      <c r="AO759">
        <v>0</v>
      </c>
      <c r="AP759" t="s">
        <v>3015</v>
      </c>
      <c r="AQ759" t="s">
        <v>3012</v>
      </c>
      <c r="AR759" t="s">
        <v>3016</v>
      </c>
      <c r="AT759" t="s">
        <v>3017</v>
      </c>
      <c r="AU759" t="s">
        <v>3018</v>
      </c>
    </row>
    <row r="760" spans="1:47" x14ac:dyDescent="0.35">
      <c r="A760">
        <v>329414</v>
      </c>
      <c r="B760" t="s">
        <v>178</v>
      </c>
      <c r="C760" t="s">
        <v>179</v>
      </c>
      <c r="D760" s="2">
        <v>45757</v>
      </c>
      <c r="E760">
        <v>53850</v>
      </c>
      <c r="F760">
        <v>102</v>
      </c>
      <c r="G760" t="s">
        <v>151</v>
      </c>
      <c r="H760" t="s">
        <v>167</v>
      </c>
      <c r="I760" t="s">
        <v>45</v>
      </c>
      <c r="K760">
        <v>202504097882384</v>
      </c>
      <c r="L760">
        <v>1021200491975</v>
      </c>
      <c r="M760">
        <v>20250409</v>
      </c>
      <c r="N760" t="s">
        <v>1047</v>
      </c>
      <c r="Q760" t="s">
        <v>47</v>
      </c>
      <c r="R760">
        <v>6131735.9900000002</v>
      </c>
      <c r="S760">
        <v>0</v>
      </c>
      <c r="T760">
        <v>491975</v>
      </c>
      <c r="U760">
        <v>4231470727</v>
      </c>
      <c r="V760" t="s">
        <v>1048</v>
      </c>
      <c r="W760" t="s">
        <v>49</v>
      </c>
      <c r="X760" t="s">
        <v>65</v>
      </c>
      <c r="Y760" t="s">
        <v>51</v>
      </c>
      <c r="Z760">
        <v>739</v>
      </c>
      <c r="AH760">
        <v>0</v>
      </c>
      <c r="AI760">
        <v>202504</v>
      </c>
      <c r="AJ760" t="s">
        <v>52</v>
      </c>
      <c r="AK760">
        <v>0</v>
      </c>
      <c r="AL760">
        <v>1</v>
      </c>
      <c r="AO760">
        <v>0</v>
      </c>
      <c r="AP760" t="s">
        <v>3019</v>
      </c>
      <c r="AQ760" t="s">
        <v>3012</v>
      </c>
      <c r="AR760" t="s">
        <v>3020</v>
      </c>
      <c r="AS760" t="s">
        <v>3014</v>
      </c>
      <c r="AU760" t="s">
        <v>3014</v>
      </c>
    </row>
    <row r="761" spans="1:47" x14ac:dyDescent="0.35">
      <c r="A761">
        <v>329413</v>
      </c>
      <c r="B761" t="s">
        <v>178</v>
      </c>
      <c r="C761" t="s">
        <v>179</v>
      </c>
      <c r="D761" s="2">
        <v>45757</v>
      </c>
      <c r="E761">
        <v>53850</v>
      </c>
      <c r="F761">
        <v>271</v>
      </c>
      <c r="G761" t="s">
        <v>275</v>
      </c>
      <c r="H761" t="s">
        <v>167</v>
      </c>
      <c r="I761" t="s">
        <v>45</v>
      </c>
      <c r="K761">
        <v>202504097881974</v>
      </c>
      <c r="L761">
        <v>2713300001219</v>
      </c>
      <c r="M761">
        <v>20250409</v>
      </c>
      <c r="N761" t="s">
        <v>46</v>
      </c>
      <c r="P761" t="s">
        <v>51</v>
      </c>
      <c r="Q761" t="s">
        <v>47</v>
      </c>
      <c r="R761">
        <v>209039.88</v>
      </c>
      <c r="S761">
        <v>0</v>
      </c>
      <c r="T761">
        <v>1628082</v>
      </c>
      <c r="U761" t="s">
        <v>1029</v>
      </c>
      <c r="V761" t="s">
        <v>1030</v>
      </c>
      <c r="W761" t="s">
        <v>187</v>
      </c>
      <c r="Y761" t="s">
        <v>51</v>
      </c>
      <c r="Z761">
        <v>994</v>
      </c>
      <c r="AH761">
        <v>0</v>
      </c>
      <c r="AI761">
        <v>202504</v>
      </c>
      <c r="AJ761" t="s">
        <v>52</v>
      </c>
      <c r="AK761">
        <v>0</v>
      </c>
      <c r="AL761">
        <v>1</v>
      </c>
      <c r="AO761">
        <v>0</v>
      </c>
      <c r="AP761" t="s">
        <v>3015</v>
      </c>
      <c r="AQ761" t="s">
        <v>3044</v>
      </c>
      <c r="AR761" t="s">
        <v>3045</v>
      </c>
      <c r="AS761" t="s">
        <v>3046</v>
      </c>
      <c r="AU761" t="s">
        <v>3046</v>
      </c>
    </row>
    <row r="762" spans="1:47" x14ac:dyDescent="0.35">
      <c r="A762">
        <v>329412</v>
      </c>
      <c r="B762" t="s">
        <v>193</v>
      </c>
      <c r="C762" t="s">
        <v>194</v>
      </c>
      <c r="D762" s="2">
        <v>45757</v>
      </c>
      <c r="E762">
        <v>53850</v>
      </c>
      <c r="F762">
        <v>171</v>
      </c>
      <c r="G762" t="s">
        <v>198</v>
      </c>
      <c r="H762" t="s">
        <v>167</v>
      </c>
      <c r="I762" t="s">
        <v>45</v>
      </c>
      <c r="K762" t="s">
        <v>1031</v>
      </c>
      <c r="L762">
        <v>1713305728950</v>
      </c>
      <c r="M762">
        <v>20250409</v>
      </c>
      <c r="N762" t="s">
        <v>195</v>
      </c>
      <c r="Q762" t="s">
        <v>47</v>
      </c>
      <c r="R762">
        <v>397640</v>
      </c>
      <c r="S762">
        <v>397640</v>
      </c>
      <c r="T762">
        <v>572895</v>
      </c>
      <c r="U762">
        <v>4161600723</v>
      </c>
      <c r="V762" t="s">
        <v>199</v>
      </c>
      <c r="W762" t="s">
        <v>49</v>
      </c>
      <c r="X762" t="s">
        <v>200</v>
      </c>
      <c r="Y762" t="s">
        <v>51</v>
      </c>
      <c r="Z762">
        <v>1903</v>
      </c>
      <c r="AH762">
        <v>0</v>
      </c>
      <c r="AI762">
        <v>202504</v>
      </c>
      <c r="AJ762" t="s">
        <v>56</v>
      </c>
      <c r="AK762">
        <v>0</v>
      </c>
      <c r="AL762">
        <v>1</v>
      </c>
      <c r="AM762">
        <v>572895</v>
      </c>
      <c r="AN762">
        <v>1</v>
      </c>
      <c r="AO762">
        <v>0</v>
      </c>
      <c r="AP762" t="s">
        <v>3015</v>
      </c>
      <c r="AQ762" t="s">
        <v>3012</v>
      </c>
      <c r="AR762" t="s">
        <v>3016</v>
      </c>
      <c r="AT762" t="s">
        <v>3017</v>
      </c>
      <c r="AU762" t="s">
        <v>3018</v>
      </c>
    </row>
    <row r="763" spans="1:47" x14ac:dyDescent="0.35">
      <c r="A763">
        <v>329411</v>
      </c>
      <c r="B763" t="s">
        <v>172</v>
      </c>
      <c r="C763" t="s">
        <v>173</v>
      </c>
      <c r="D763" s="2">
        <v>45757</v>
      </c>
      <c r="E763">
        <v>53850</v>
      </c>
      <c r="F763">
        <v>171</v>
      </c>
      <c r="G763" t="s">
        <v>198</v>
      </c>
      <c r="H763" t="s">
        <v>167</v>
      </c>
      <c r="I763" t="s">
        <v>45</v>
      </c>
      <c r="K763" t="s">
        <v>1031</v>
      </c>
      <c r="L763">
        <v>1713305728950</v>
      </c>
      <c r="M763">
        <v>20250409</v>
      </c>
      <c r="N763" t="s">
        <v>195</v>
      </c>
      <c r="Q763" t="s">
        <v>47</v>
      </c>
      <c r="R763">
        <v>397640</v>
      </c>
      <c r="S763">
        <v>397640</v>
      </c>
      <c r="T763">
        <v>572895</v>
      </c>
      <c r="U763">
        <v>4161600723</v>
      </c>
      <c r="V763" t="s">
        <v>199</v>
      </c>
      <c r="W763" t="s">
        <v>49</v>
      </c>
      <c r="X763" t="s">
        <v>200</v>
      </c>
      <c r="Y763" t="s">
        <v>51</v>
      </c>
      <c r="Z763">
        <v>1903</v>
      </c>
      <c r="AH763">
        <v>0</v>
      </c>
      <c r="AI763">
        <v>202504</v>
      </c>
      <c r="AJ763" t="s">
        <v>56</v>
      </c>
      <c r="AK763">
        <v>0</v>
      </c>
      <c r="AL763">
        <v>1</v>
      </c>
      <c r="AM763">
        <v>572895</v>
      </c>
      <c r="AN763">
        <v>1</v>
      </c>
      <c r="AO763">
        <v>0</v>
      </c>
      <c r="AP763" t="s">
        <v>3015</v>
      </c>
      <c r="AQ763" t="s">
        <v>3012</v>
      </c>
      <c r="AR763" t="s">
        <v>3016</v>
      </c>
      <c r="AT763" t="s">
        <v>3017</v>
      </c>
      <c r="AU763" t="s">
        <v>3018</v>
      </c>
    </row>
    <row r="764" spans="1:47" x14ac:dyDescent="0.35">
      <c r="A764">
        <v>329410</v>
      </c>
      <c r="B764" t="s">
        <v>193</v>
      </c>
      <c r="C764" t="s">
        <v>194</v>
      </c>
      <c r="D764" s="2">
        <v>45757</v>
      </c>
      <c r="E764">
        <v>53850</v>
      </c>
      <c r="F764">
        <v>268</v>
      </c>
      <c r="G764" t="s">
        <v>83</v>
      </c>
      <c r="H764" t="s">
        <v>167</v>
      </c>
      <c r="I764" t="s">
        <v>45</v>
      </c>
      <c r="K764" t="s">
        <v>1031</v>
      </c>
      <c r="L764">
        <v>2683300006671</v>
      </c>
      <c r="M764">
        <v>20250409</v>
      </c>
      <c r="N764" t="s">
        <v>195</v>
      </c>
      <c r="Q764" t="s">
        <v>47</v>
      </c>
      <c r="R764">
        <v>19250</v>
      </c>
      <c r="S764">
        <v>19250</v>
      </c>
      <c r="T764">
        <v>1704716</v>
      </c>
      <c r="U764">
        <v>3109600795</v>
      </c>
      <c r="V764" t="s">
        <v>579</v>
      </c>
      <c r="W764" t="s">
        <v>580</v>
      </c>
      <c r="X764" t="s">
        <v>131</v>
      </c>
      <c r="Y764" t="s">
        <v>51</v>
      </c>
      <c r="Z764">
        <v>1891</v>
      </c>
      <c r="AH764">
        <v>0</v>
      </c>
      <c r="AI764">
        <v>202504</v>
      </c>
      <c r="AJ764" t="s">
        <v>52</v>
      </c>
      <c r="AK764">
        <v>0</v>
      </c>
      <c r="AL764">
        <v>1</v>
      </c>
      <c r="AO764">
        <v>0</v>
      </c>
      <c r="AP764" t="s">
        <v>3033</v>
      </c>
      <c r="AQ764" t="s">
        <v>3078</v>
      </c>
      <c r="AR764" t="s">
        <v>3079</v>
      </c>
      <c r="AS764" t="s">
        <v>3049</v>
      </c>
      <c r="AU764" t="s">
        <v>3049</v>
      </c>
    </row>
    <row r="765" spans="1:47" x14ac:dyDescent="0.35">
      <c r="A765">
        <v>329409</v>
      </c>
      <c r="B765" t="s">
        <v>178</v>
      </c>
      <c r="C765" t="s">
        <v>179</v>
      </c>
      <c r="D765" s="2">
        <v>45757</v>
      </c>
      <c r="E765">
        <v>53850</v>
      </c>
      <c r="F765">
        <v>102</v>
      </c>
      <c r="G765" t="s">
        <v>151</v>
      </c>
      <c r="H765" t="s">
        <v>167</v>
      </c>
      <c r="I765" t="s">
        <v>45</v>
      </c>
      <c r="K765">
        <v>202504097882385</v>
      </c>
      <c r="L765">
        <v>1021200491975</v>
      </c>
      <c r="M765">
        <v>20250409</v>
      </c>
      <c r="N765" t="s">
        <v>1049</v>
      </c>
      <c r="Q765" t="s">
        <v>170</v>
      </c>
      <c r="R765">
        <v>6131735.9900000002</v>
      </c>
      <c r="S765">
        <v>0</v>
      </c>
      <c r="T765">
        <v>491975</v>
      </c>
      <c r="U765">
        <v>4231470727</v>
      </c>
      <c r="V765" t="s">
        <v>1048</v>
      </c>
      <c r="W765" t="s">
        <v>49</v>
      </c>
      <c r="X765" t="s">
        <v>65</v>
      </c>
      <c r="Y765" t="s">
        <v>51</v>
      </c>
      <c r="Z765">
        <v>739</v>
      </c>
      <c r="AH765">
        <v>0</v>
      </c>
      <c r="AI765">
        <v>202504</v>
      </c>
      <c r="AJ765" t="s">
        <v>52</v>
      </c>
      <c r="AK765">
        <v>0</v>
      </c>
      <c r="AL765">
        <v>1</v>
      </c>
      <c r="AO765">
        <v>0</v>
      </c>
      <c r="AP765" t="s">
        <v>3019</v>
      </c>
      <c r="AQ765" t="s">
        <v>3012</v>
      </c>
      <c r="AR765" t="s">
        <v>3020</v>
      </c>
      <c r="AS765" t="s">
        <v>3014</v>
      </c>
      <c r="AU765" t="s">
        <v>3014</v>
      </c>
    </row>
    <row r="766" spans="1:47" x14ac:dyDescent="0.35">
      <c r="A766">
        <v>329408</v>
      </c>
      <c r="B766" t="s">
        <v>178</v>
      </c>
      <c r="C766" t="s">
        <v>179</v>
      </c>
      <c r="D766" s="2">
        <v>45757</v>
      </c>
      <c r="E766">
        <v>53850</v>
      </c>
      <c r="F766">
        <v>273</v>
      </c>
      <c r="G766" t="s">
        <v>133</v>
      </c>
      <c r="H766" t="s">
        <v>167</v>
      </c>
      <c r="I766" t="s">
        <v>45</v>
      </c>
      <c r="K766">
        <v>202504097883041</v>
      </c>
      <c r="L766">
        <v>2733300003808</v>
      </c>
      <c r="M766">
        <v>20250409</v>
      </c>
      <c r="N766" t="s">
        <v>3136</v>
      </c>
      <c r="Q766" t="s">
        <v>170</v>
      </c>
      <c r="R766">
        <v>5557.46</v>
      </c>
      <c r="S766">
        <v>0</v>
      </c>
      <c r="T766">
        <v>1689973</v>
      </c>
      <c r="U766" t="s">
        <v>1041</v>
      </c>
      <c r="V766" t="s">
        <v>1042</v>
      </c>
      <c r="W766" t="s">
        <v>187</v>
      </c>
      <c r="Y766" t="s">
        <v>51</v>
      </c>
      <c r="Z766">
        <v>1752</v>
      </c>
      <c r="AH766">
        <v>0</v>
      </c>
      <c r="AI766">
        <v>202504</v>
      </c>
      <c r="AJ766" t="s">
        <v>52</v>
      </c>
      <c r="AK766">
        <v>0</v>
      </c>
      <c r="AL766">
        <v>1</v>
      </c>
      <c r="AO766">
        <v>1</v>
      </c>
      <c r="AP766" t="s">
        <v>3015</v>
      </c>
      <c r="AQ766" t="s">
        <v>3044</v>
      </c>
      <c r="AR766" t="s">
        <v>3045</v>
      </c>
      <c r="AS766" t="s">
        <v>3046</v>
      </c>
      <c r="AU766" t="s">
        <v>3046</v>
      </c>
    </row>
    <row r="767" spans="1:47" x14ac:dyDescent="0.35">
      <c r="A767">
        <v>329407</v>
      </c>
      <c r="B767" t="s">
        <v>193</v>
      </c>
      <c r="C767" t="s">
        <v>194</v>
      </c>
      <c r="D767" s="2">
        <v>45757</v>
      </c>
      <c r="E767">
        <v>53850</v>
      </c>
      <c r="F767">
        <v>171</v>
      </c>
      <c r="G767" t="s">
        <v>198</v>
      </c>
      <c r="H767" t="s">
        <v>167</v>
      </c>
      <c r="I767" t="s">
        <v>45</v>
      </c>
      <c r="K767" t="s">
        <v>1031</v>
      </c>
      <c r="L767">
        <v>1713302214147</v>
      </c>
      <c r="M767">
        <v>20250409</v>
      </c>
      <c r="N767" t="s">
        <v>195</v>
      </c>
      <c r="Q767" t="s">
        <v>47</v>
      </c>
      <c r="R767">
        <v>180470</v>
      </c>
      <c r="S767">
        <v>180470</v>
      </c>
      <c r="T767">
        <v>4199319</v>
      </c>
      <c r="U767">
        <v>6037810725</v>
      </c>
      <c r="V767" t="s">
        <v>285</v>
      </c>
      <c r="W767" t="s">
        <v>49</v>
      </c>
      <c r="X767" t="s">
        <v>200</v>
      </c>
      <c r="Y767" t="s">
        <v>51</v>
      </c>
      <c r="Z767">
        <v>1903</v>
      </c>
      <c r="AH767">
        <v>0</v>
      </c>
      <c r="AI767">
        <v>202504</v>
      </c>
      <c r="AJ767" t="s">
        <v>56</v>
      </c>
      <c r="AK767">
        <v>0</v>
      </c>
      <c r="AL767">
        <v>1</v>
      </c>
      <c r="AM767">
        <v>4199319</v>
      </c>
      <c r="AN767">
        <v>1</v>
      </c>
      <c r="AO767">
        <v>0</v>
      </c>
      <c r="AP767" t="s">
        <v>3015</v>
      </c>
      <c r="AQ767" t="s">
        <v>3012</v>
      </c>
      <c r="AR767" t="s">
        <v>3016</v>
      </c>
      <c r="AT767" t="s">
        <v>3017</v>
      </c>
      <c r="AU767" t="s">
        <v>3018</v>
      </c>
    </row>
    <row r="768" spans="1:47" x14ac:dyDescent="0.35">
      <c r="A768">
        <v>329406</v>
      </c>
      <c r="B768" t="s">
        <v>164</v>
      </c>
      <c r="C768" t="s">
        <v>165</v>
      </c>
      <c r="D768" s="2">
        <v>45757</v>
      </c>
      <c r="E768">
        <v>53850</v>
      </c>
      <c r="F768">
        <v>188</v>
      </c>
      <c r="G768" t="s">
        <v>419</v>
      </c>
      <c r="H768" t="s">
        <v>167</v>
      </c>
      <c r="I768" t="s">
        <v>45</v>
      </c>
      <c r="K768">
        <v>202504097883326</v>
      </c>
      <c r="L768">
        <v>1883300128273</v>
      </c>
      <c r="M768">
        <v>20250409</v>
      </c>
      <c r="N768" t="s">
        <v>168</v>
      </c>
      <c r="P768" t="s">
        <v>203</v>
      </c>
      <c r="Q768" t="s">
        <v>170</v>
      </c>
      <c r="R768">
        <v>6199.96</v>
      </c>
      <c r="S768">
        <v>0</v>
      </c>
      <c r="T768">
        <v>4112266</v>
      </c>
      <c r="U768" t="s">
        <v>1050</v>
      </c>
      <c r="V768" t="s">
        <v>1051</v>
      </c>
      <c r="W768" t="s">
        <v>187</v>
      </c>
      <c r="Y768" t="s">
        <v>51</v>
      </c>
      <c r="Z768">
        <v>433</v>
      </c>
      <c r="AH768">
        <v>0</v>
      </c>
      <c r="AI768">
        <v>202504</v>
      </c>
      <c r="AJ768" t="s">
        <v>86</v>
      </c>
      <c r="AK768">
        <v>1</v>
      </c>
      <c r="AL768">
        <v>1</v>
      </c>
      <c r="AO768">
        <v>0</v>
      </c>
      <c r="AP768" t="s">
        <v>3015</v>
      </c>
      <c r="AQ768" t="s">
        <v>3044</v>
      </c>
      <c r="AR768" t="s">
        <v>3045</v>
      </c>
      <c r="AS768" t="s">
        <v>3046</v>
      </c>
      <c r="AU768" t="s">
        <v>3046</v>
      </c>
    </row>
    <row r="769" spans="1:47" x14ac:dyDescent="0.35">
      <c r="A769">
        <v>329405</v>
      </c>
      <c r="B769" t="s">
        <v>193</v>
      </c>
      <c r="C769" t="s">
        <v>194</v>
      </c>
      <c r="D769" s="2">
        <v>45757</v>
      </c>
      <c r="E769">
        <v>53850</v>
      </c>
      <c r="F769">
        <v>114</v>
      </c>
      <c r="G769" t="s">
        <v>188</v>
      </c>
      <c r="H769" t="s">
        <v>167</v>
      </c>
      <c r="I769" t="s">
        <v>45</v>
      </c>
      <c r="K769">
        <v>202504097883134</v>
      </c>
      <c r="L769">
        <v>1143306280621</v>
      </c>
      <c r="M769">
        <v>20250409</v>
      </c>
      <c r="N769" t="s">
        <v>266</v>
      </c>
      <c r="Q769" t="s">
        <v>47</v>
      </c>
      <c r="R769">
        <v>22200</v>
      </c>
      <c r="S769">
        <v>22200</v>
      </c>
      <c r="T769">
        <v>4658875</v>
      </c>
      <c r="U769">
        <v>3230890711</v>
      </c>
      <c r="V769" t="s">
        <v>189</v>
      </c>
      <c r="W769" t="s">
        <v>190</v>
      </c>
      <c r="X769" t="s">
        <v>131</v>
      </c>
      <c r="Y769" t="s">
        <v>51</v>
      </c>
      <c r="Z769">
        <v>870</v>
      </c>
      <c r="AH769">
        <v>0</v>
      </c>
      <c r="AI769">
        <v>202504</v>
      </c>
      <c r="AJ769" t="s">
        <v>56</v>
      </c>
      <c r="AK769">
        <v>0</v>
      </c>
      <c r="AL769">
        <v>1</v>
      </c>
      <c r="AM769">
        <v>4658875</v>
      </c>
      <c r="AN769">
        <v>1</v>
      </c>
      <c r="AO769">
        <v>0</v>
      </c>
      <c r="AP769" t="s">
        <v>3033</v>
      </c>
      <c r="AQ769" t="s">
        <v>3047</v>
      </c>
      <c r="AR769" t="s">
        <v>3048</v>
      </c>
      <c r="AS769" t="s">
        <v>3049</v>
      </c>
      <c r="AU769" t="s">
        <v>3049</v>
      </c>
    </row>
    <row r="770" spans="1:47" x14ac:dyDescent="0.35">
      <c r="A770">
        <v>329404</v>
      </c>
      <c r="B770" t="s">
        <v>164</v>
      </c>
      <c r="C770" t="s">
        <v>165</v>
      </c>
      <c r="D770" s="2">
        <v>45757</v>
      </c>
      <c r="E770">
        <v>53850</v>
      </c>
      <c r="F770">
        <v>136</v>
      </c>
      <c r="G770" t="s">
        <v>551</v>
      </c>
      <c r="H770" t="s">
        <v>167</v>
      </c>
      <c r="I770" t="s">
        <v>45</v>
      </c>
      <c r="K770" t="s">
        <v>1052</v>
      </c>
      <c r="L770">
        <v>1363300003079</v>
      </c>
      <c r="M770">
        <v>20250409</v>
      </c>
      <c r="N770" t="s">
        <v>168</v>
      </c>
      <c r="P770" t="s">
        <v>255</v>
      </c>
      <c r="Q770" t="s">
        <v>170</v>
      </c>
      <c r="R770">
        <v>3955.2</v>
      </c>
      <c r="S770">
        <v>0</v>
      </c>
      <c r="T770">
        <v>4796432</v>
      </c>
      <c r="U770">
        <v>2404690741</v>
      </c>
      <c r="V770" t="s">
        <v>1053</v>
      </c>
      <c r="W770" t="s">
        <v>49</v>
      </c>
      <c r="X770" t="s">
        <v>686</v>
      </c>
      <c r="Y770" t="s">
        <v>51</v>
      </c>
      <c r="Z770">
        <v>881</v>
      </c>
      <c r="AH770">
        <v>0</v>
      </c>
      <c r="AI770">
        <v>202504</v>
      </c>
      <c r="AJ770" t="s">
        <v>56</v>
      </c>
      <c r="AK770">
        <v>0</v>
      </c>
      <c r="AL770">
        <v>1</v>
      </c>
      <c r="AO770">
        <v>0</v>
      </c>
      <c r="AP770" t="s">
        <v>3015</v>
      </c>
      <c r="AQ770" t="s">
        <v>3012</v>
      </c>
      <c r="AR770" t="s">
        <v>3016</v>
      </c>
      <c r="AT770" t="s">
        <v>3017</v>
      </c>
      <c r="AU770" t="s">
        <v>3018</v>
      </c>
    </row>
    <row r="771" spans="1:47" x14ac:dyDescent="0.35">
      <c r="A771">
        <v>329403</v>
      </c>
      <c r="B771" t="s">
        <v>172</v>
      </c>
      <c r="C771" t="s">
        <v>173</v>
      </c>
      <c r="D771" s="2">
        <v>45757</v>
      </c>
      <c r="E771">
        <v>53850</v>
      </c>
      <c r="F771">
        <v>192</v>
      </c>
      <c r="G771" t="s">
        <v>66</v>
      </c>
      <c r="H771" t="s">
        <v>167</v>
      </c>
      <c r="I771" t="s">
        <v>45</v>
      </c>
      <c r="K771">
        <v>202504097883334</v>
      </c>
      <c r="L771">
        <v>1923300183207</v>
      </c>
      <c r="M771">
        <v>20250409</v>
      </c>
      <c r="N771" t="s">
        <v>231</v>
      </c>
      <c r="Q771" t="s">
        <v>47</v>
      </c>
      <c r="R771">
        <v>96798.05</v>
      </c>
      <c r="S771">
        <v>0</v>
      </c>
      <c r="T771">
        <v>461447</v>
      </c>
      <c r="U771" t="s">
        <v>1054</v>
      </c>
      <c r="V771" t="s">
        <v>1055</v>
      </c>
      <c r="W771" t="s">
        <v>69</v>
      </c>
      <c r="X771" t="s">
        <v>70</v>
      </c>
      <c r="Y771" t="s">
        <v>51</v>
      </c>
      <c r="Z771">
        <v>481</v>
      </c>
      <c r="AH771">
        <v>0</v>
      </c>
      <c r="AI771">
        <v>202504</v>
      </c>
      <c r="AJ771" t="s">
        <v>56</v>
      </c>
      <c r="AK771">
        <v>0</v>
      </c>
      <c r="AL771">
        <v>1</v>
      </c>
      <c r="AM771">
        <v>461447</v>
      </c>
      <c r="AN771">
        <v>1</v>
      </c>
      <c r="AO771">
        <v>0</v>
      </c>
      <c r="AP771" t="s">
        <v>3015</v>
      </c>
      <c r="AQ771" t="s">
        <v>3021</v>
      </c>
      <c r="AR771" t="s">
        <v>3022</v>
      </c>
      <c r="AT771" t="s">
        <v>3017</v>
      </c>
      <c r="AU771" t="s">
        <v>3014</v>
      </c>
    </row>
    <row r="772" spans="1:47" x14ac:dyDescent="0.35">
      <c r="A772">
        <v>329402</v>
      </c>
      <c r="B772" t="s">
        <v>172</v>
      </c>
      <c r="C772" t="s">
        <v>173</v>
      </c>
      <c r="D772" s="2">
        <v>45757</v>
      </c>
      <c r="E772">
        <v>53850</v>
      </c>
      <c r="F772">
        <v>195</v>
      </c>
      <c r="G772" t="s">
        <v>498</v>
      </c>
      <c r="H772" t="s">
        <v>167</v>
      </c>
      <c r="I772" t="s">
        <v>45</v>
      </c>
      <c r="K772">
        <v>202504097883353</v>
      </c>
      <c r="L772">
        <v>1943300006708</v>
      </c>
      <c r="M772">
        <v>20250409</v>
      </c>
      <c r="N772" t="s">
        <v>231</v>
      </c>
      <c r="Q772" t="s">
        <v>47</v>
      </c>
      <c r="R772">
        <v>110000</v>
      </c>
      <c r="S772">
        <v>0</v>
      </c>
      <c r="T772">
        <v>3040676</v>
      </c>
      <c r="U772" t="s">
        <v>1056</v>
      </c>
      <c r="V772" t="s">
        <v>1057</v>
      </c>
      <c r="W772" t="s">
        <v>187</v>
      </c>
      <c r="Y772" t="s">
        <v>51</v>
      </c>
      <c r="Z772">
        <v>1463</v>
      </c>
      <c r="AH772">
        <v>0</v>
      </c>
      <c r="AI772">
        <v>202504</v>
      </c>
      <c r="AJ772" t="s">
        <v>86</v>
      </c>
      <c r="AK772">
        <v>1</v>
      </c>
      <c r="AL772">
        <v>1</v>
      </c>
      <c r="AO772">
        <v>0</v>
      </c>
      <c r="AP772" t="s">
        <v>3015</v>
      </c>
      <c r="AQ772" t="s">
        <v>3044</v>
      </c>
      <c r="AR772" t="s">
        <v>3045</v>
      </c>
      <c r="AS772" t="s">
        <v>3046</v>
      </c>
      <c r="AU772" t="s">
        <v>3046</v>
      </c>
    </row>
    <row r="773" spans="1:47" x14ac:dyDescent="0.35">
      <c r="A773">
        <v>329401</v>
      </c>
      <c r="B773" t="s">
        <v>178</v>
      </c>
      <c r="C773" t="s">
        <v>179</v>
      </c>
      <c r="D773" s="2">
        <v>45757</v>
      </c>
      <c r="E773">
        <v>53850</v>
      </c>
      <c r="F773">
        <v>192</v>
      </c>
      <c r="G773" t="s">
        <v>66</v>
      </c>
      <c r="H773" t="s">
        <v>167</v>
      </c>
      <c r="I773" t="s">
        <v>45</v>
      </c>
      <c r="K773">
        <v>202504097881763</v>
      </c>
      <c r="L773">
        <v>1923300183163</v>
      </c>
      <c r="M773">
        <v>20250409</v>
      </c>
      <c r="N773" t="s">
        <v>168</v>
      </c>
      <c r="P773" t="s">
        <v>1058</v>
      </c>
      <c r="Q773" t="s">
        <v>47</v>
      </c>
      <c r="R773">
        <v>833000</v>
      </c>
      <c r="S773">
        <v>0</v>
      </c>
      <c r="T773">
        <v>4695944</v>
      </c>
      <c r="U773" t="s">
        <v>67</v>
      </c>
      <c r="V773" t="s">
        <v>68</v>
      </c>
      <c r="W773" t="s">
        <v>69</v>
      </c>
      <c r="X773" t="s">
        <v>70</v>
      </c>
      <c r="Y773" t="s">
        <v>51</v>
      </c>
      <c r="Z773">
        <v>481</v>
      </c>
      <c r="AH773">
        <v>0</v>
      </c>
      <c r="AI773">
        <v>202504</v>
      </c>
      <c r="AJ773" t="s">
        <v>56</v>
      </c>
      <c r="AK773">
        <v>0</v>
      </c>
      <c r="AL773">
        <v>1</v>
      </c>
      <c r="AM773">
        <v>4695944</v>
      </c>
      <c r="AN773">
        <v>1</v>
      </c>
      <c r="AO773">
        <v>0</v>
      </c>
      <c r="AP773" t="s">
        <v>3015</v>
      </c>
      <c r="AQ773" t="s">
        <v>3021</v>
      </c>
      <c r="AR773" t="s">
        <v>3022</v>
      </c>
      <c r="AT773" t="s">
        <v>3017</v>
      </c>
      <c r="AU773" t="s">
        <v>3014</v>
      </c>
    </row>
    <row r="774" spans="1:47" x14ac:dyDescent="0.35">
      <c r="A774">
        <v>329400</v>
      </c>
      <c r="B774" t="s">
        <v>172</v>
      </c>
      <c r="C774" t="s">
        <v>173</v>
      </c>
      <c r="D774" s="2">
        <v>45757</v>
      </c>
      <c r="E774">
        <v>53850</v>
      </c>
      <c r="F774">
        <v>116</v>
      </c>
      <c r="G774" t="s">
        <v>126</v>
      </c>
      <c r="H774" t="s">
        <v>167</v>
      </c>
      <c r="I774" t="s">
        <v>45</v>
      </c>
      <c r="K774">
        <v>202504097882968</v>
      </c>
      <c r="L774">
        <v>2343300010453</v>
      </c>
      <c r="M774">
        <v>20250409</v>
      </c>
      <c r="N774" t="s">
        <v>195</v>
      </c>
      <c r="Q774" t="s">
        <v>47</v>
      </c>
      <c r="R774">
        <v>140674.45000000001</v>
      </c>
      <c r="S774">
        <v>140674.45000000001</v>
      </c>
      <c r="T774">
        <v>4247777</v>
      </c>
      <c r="U774">
        <v>233470236</v>
      </c>
      <c r="V774" t="s">
        <v>206</v>
      </c>
      <c r="W774" t="s">
        <v>49</v>
      </c>
      <c r="X774" t="s">
        <v>117</v>
      </c>
      <c r="Y774" t="s">
        <v>51</v>
      </c>
      <c r="Z774">
        <v>1696</v>
      </c>
      <c r="AH774">
        <v>0</v>
      </c>
      <c r="AI774">
        <v>202504</v>
      </c>
      <c r="AJ774" t="s">
        <v>114</v>
      </c>
      <c r="AK774">
        <v>1</v>
      </c>
      <c r="AL774">
        <v>1</v>
      </c>
      <c r="AM774">
        <v>4247777</v>
      </c>
      <c r="AN774">
        <v>1</v>
      </c>
      <c r="AO774">
        <v>0</v>
      </c>
      <c r="AP774" t="s">
        <v>3029</v>
      </c>
      <c r="AQ774" t="s">
        <v>3012</v>
      </c>
      <c r="AR774" t="s">
        <v>3030</v>
      </c>
      <c r="AS774" t="s">
        <v>3014</v>
      </c>
      <c r="AU774" t="s">
        <v>3014</v>
      </c>
    </row>
    <row r="775" spans="1:47" x14ac:dyDescent="0.35">
      <c r="A775">
        <v>329399</v>
      </c>
      <c r="B775" t="s">
        <v>172</v>
      </c>
      <c r="C775" t="s">
        <v>173</v>
      </c>
      <c r="D775" s="2">
        <v>45757</v>
      </c>
      <c r="E775">
        <v>53850</v>
      </c>
      <c r="F775">
        <v>170</v>
      </c>
      <c r="G775" t="s">
        <v>211</v>
      </c>
      <c r="H775" t="s">
        <v>167</v>
      </c>
      <c r="I775" t="s">
        <v>45</v>
      </c>
      <c r="K775">
        <v>202504097883281</v>
      </c>
      <c r="L775">
        <v>1703306290965</v>
      </c>
      <c r="M775">
        <v>20250409</v>
      </c>
      <c r="N775" t="s">
        <v>97</v>
      </c>
      <c r="Q775" t="s">
        <v>47</v>
      </c>
      <c r="R775">
        <v>156800</v>
      </c>
      <c r="S775">
        <v>0</v>
      </c>
      <c r="T775">
        <v>3734846</v>
      </c>
      <c r="U775">
        <v>8512530729</v>
      </c>
      <c r="V775" t="s">
        <v>489</v>
      </c>
      <c r="W775" t="s">
        <v>49</v>
      </c>
      <c r="X775" t="s">
        <v>364</v>
      </c>
      <c r="Y775" t="s">
        <v>51</v>
      </c>
      <c r="Z775">
        <v>1920</v>
      </c>
      <c r="AH775">
        <v>0</v>
      </c>
      <c r="AI775">
        <v>202504</v>
      </c>
      <c r="AJ775" t="s">
        <v>86</v>
      </c>
      <c r="AK775">
        <v>1</v>
      </c>
      <c r="AL775">
        <v>1</v>
      </c>
      <c r="AO775">
        <v>0</v>
      </c>
      <c r="AP775" t="s">
        <v>3062</v>
      </c>
      <c r="AQ775" t="s">
        <v>3012</v>
      </c>
      <c r="AR775" t="s">
        <v>3063</v>
      </c>
      <c r="AS775" t="s">
        <v>3014</v>
      </c>
      <c r="AU775" t="s">
        <v>3014</v>
      </c>
    </row>
    <row r="776" spans="1:47" x14ac:dyDescent="0.35">
      <c r="A776">
        <v>329398</v>
      </c>
      <c r="B776" t="s">
        <v>178</v>
      </c>
      <c r="C776" t="s">
        <v>179</v>
      </c>
      <c r="D776" s="2">
        <v>45757</v>
      </c>
      <c r="E776">
        <v>53850</v>
      </c>
      <c r="F776">
        <v>103</v>
      </c>
      <c r="G776" t="s">
        <v>80</v>
      </c>
      <c r="H776" t="s">
        <v>167</v>
      </c>
      <c r="I776" t="s">
        <v>45</v>
      </c>
      <c r="K776">
        <v>202504097883043</v>
      </c>
      <c r="L776">
        <v>1033302887757</v>
      </c>
      <c r="M776">
        <v>20250409</v>
      </c>
      <c r="N776" t="s">
        <v>3136</v>
      </c>
      <c r="Q776" t="s">
        <v>170</v>
      </c>
      <c r="R776">
        <v>94953.62</v>
      </c>
      <c r="S776">
        <v>0</v>
      </c>
      <c r="T776">
        <v>4019401</v>
      </c>
      <c r="U776" t="s">
        <v>1022</v>
      </c>
      <c r="V776" t="s">
        <v>1023</v>
      </c>
      <c r="W776" t="s">
        <v>187</v>
      </c>
      <c r="Y776" t="s">
        <v>51</v>
      </c>
      <c r="Z776">
        <v>1224</v>
      </c>
      <c r="AH776">
        <v>0</v>
      </c>
      <c r="AI776">
        <v>202504</v>
      </c>
      <c r="AJ776" t="s">
        <v>86</v>
      </c>
      <c r="AK776">
        <v>1</v>
      </c>
      <c r="AL776">
        <v>1</v>
      </c>
      <c r="AO776">
        <v>1</v>
      </c>
      <c r="AP776" t="s">
        <v>3015</v>
      </c>
      <c r="AQ776" t="s">
        <v>3044</v>
      </c>
      <c r="AR776" t="s">
        <v>3045</v>
      </c>
      <c r="AS776" t="s">
        <v>3046</v>
      </c>
      <c r="AU776" t="s">
        <v>3046</v>
      </c>
    </row>
    <row r="777" spans="1:47" x14ac:dyDescent="0.35">
      <c r="A777">
        <v>329397</v>
      </c>
      <c r="B777" t="s">
        <v>164</v>
      </c>
      <c r="C777" t="s">
        <v>165</v>
      </c>
      <c r="D777" s="2">
        <v>45757</v>
      </c>
      <c r="E777">
        <v>53850</v>
      </c>
      <c r="F777">
        <v>104</v>
      </c>
      <c r="G777" t="s">
        <v>108</v>
      </c>
      <c r="H777" t="s">
        <v>167</v>
      </c>
      <c r="I777" t="s">
        <v>45</v>
      </c>
      <c r="K777" t="s">
        <v>1059</v>
      </c>
      <c r="L777">
        <v>1043309506207</v>
      </c>
      <c r="M777">
        <v>20250408</v>
      </c>
      <c r="N777" t="s">
        <v>168</v>
      </c>
      <c r="P777" t="s">
        <v>255</v>
      </c>
      <c r="Q777" t="s">
        <v>170</v>
      </c>
      <c r="R777">
        <v>1058</v>
      </c>
      <c r="S777">
        <v>0</v>
      </c>
      <c r="T777">
        <v>420391</v>
      </c>
      <c r="U777" t="s">
        <v>1060</v>
      </c>
      <c r="V777" t="s">
        <v>1061</v>
      </c>
      <c r="W777" t="s">
        <v>69</v>
      </c>
      <c r="X777" t="s">
        <v>1062</v>
      </c>
      <c r="Y777" t="s">
        <v>51</v>
      </c>
      <c r="Z777">
        <v>1902</v>
      </c>
      <c r="AH777">
        <v>0</v>
      </c>
      <c r="AI777">
        <v>202504</v>
      </c>
      <c r="AJ777" t="s">
        <v>52</v>
      </c>
      <c r="AK777">
        <v>0</v>
      </c>
      <c r="AL777">
        <v>1</v>
      </c>
      <c r="AO777">
        <v>0</v>
      </c>
      <c r="AP777" t="s">
        <v>3015</v>
      </c>
      <c r="AQ777" t="s">
        <v>3021</v>
      </c>
      <c r="AR777" t="s">
        <v>3022</v>
      </c>
      <c r="AT777" t="s">
        <v>3017</v>
      </c>
      <c r="AU777" t="s">
        <v>3014</v>
      </c>
    </row>
    <row r="778" spans="1:47" x14ac:dyDescent="0.35">
      <c r="A778">
        <v>329396</v>
      </c>
      <c r="B778" t="s">
        <v>164</v>
      </c>
      <c r="C778" t="s">
        <v>165</v>
      </c>
      <c r="D778" s="2">
        <v>45757</v>
      </c>
      <c r="E778">
        <v>53850</v>
      </c>
      <c r="F778">
        <v>104</v>
      </c>
      <c r="G778" t="s">
        <v>108</v>
      </c>
      <c r="H778" t="s">
        <v>167</v>
      </c>
      <c r="I778" t="s">
        <v>45</v>
      </c>
      <c r="K778" t="s">
        <v>1063</v>
      </c>
      <c r="L778">
        <v>1043309506207</v>
      </c>
      <c r="M778">
        <v>20250408</v>
      </c>
      <c r="N778" t="s">
        <v>168</v>
      </c>
      <c r="P778" t="s">
        <v>255</v>
      </c>
      <c r="Q778" t="s">
        <v>170</v>
      </c>
      <c r="R778">
        <v>1244</v>
      </c>
      <c r="S778">
        <v>0</v>
      </c>
      <c r="T778">
        <v>420391</v>
      </c>
      <c r="U778" t="s">
        <v>1060</v>
      </c>
      <c r="V778" t="s">
        <v>1061</v>
      </c>
      <c r="W778" t="s">
        <v>69</v>
      </c>
      <c r="X778" t="s">
        <v>1062</v>
      </c>
      <c r="Y778" t="s">
        <v>51</v>
      </c>
      <c r="Z778">
        <v>1902</v>
      </c>
      <c r="AH778">
        <v>0</v>
      </c>
      <c r="AI778">
        <v>202504</v>
      </c>
      <c r="AJ778" t="s">
        <v>52</v>
      </c>
      <c r="AK778">
        <v>0</v>
      </c>
      <c r="AL778">
        <v>1</v>
      </c>
      <c r="AO778">
        <v>0</v>
      </c>
      <c r="AP778" t="s">
        <v>3015</v>
      </c>
      <c r="AQ778" t="s">
        <v>3021</v>
      </c>
      <c r="AR778" t="s">
        <v>3022</v>
      </c>
      <c r="AT778" t="s">
        <v>3017</v>
      </c>
      <c r="AU778" t="s">
        <v>3014</v>
      </c>
    </row>
    <row r="779" spans="1:47" x14ac:dyDescent="0.35">
      <c r="A779">
        <v>329395</v>
      </c>
      <c r="B779" t="s">
        <v>193</v>
      </c>
      <c r="C779" t="s">
        <v>194</v>
      </c>
      <c r="D779" s="2">
        <v>45756</v>
      </c>
      <c r="E779">
        <v>53850</v>
      </c>
      <c r="F779">
        <v>267</v>
      </c>
      <c r="G779" t="s">
        <v>349</v>
      </c>
      <c r="H779" t="s">
        <v>167</v>
      </c>
      <c r="I779" t="s">
        <v>45</v>
      </c>
      <c r="K779">
        <v>202504087880428</v>
      </c>
      <c r="L779">
        <v>2673300003600</v>
      </c>
      <c r="M779">
        <v>20250408</v>
      </c>
      <c r="N779" t="s">
        <v>266</v>
      </c>
      <c r="Q779" t="s">
        <v>47</v>
      </c>
      <c r="R779">
        <v>107000</v>
      </c>
      <c r="S779">
        <v>107000</v>
      </c>
      <c r="T779">
        <v>1705101</v>
      </c>
      <c r="U779">
        <v>2896870793</v>
      </c>
      <c r="V779" t="s">
        <v>439</v>
      </c>
      <c r="W779" t="s">
        <v>190</v>
      </c>
      <c r="X779" t="s">
        <v>200</v>
      </c>
      <c r="Y779" t="s">
        <v>51</v>
      </c>
      <c r="Z779">
        <v>1878</v>
      </c>
      <c r="AH779">
        <v>0</v>
      </c>
      <c r="AI779">
        <v>202504</v>
      </c>
      <c r="AJ779" t="s">
        <v>56</v>
      </c>
      <c r="AK779">
        <v>0</v>
      </c>
      <c r="AL779">
        <v>1</v>
      </c>
      <c r="AM779">
        <v>1705101</v>
      </c>
      <c r="AN779">
        <v>1</v>
      </c>
      <c r="AO779">
        <v>0</v>
      </c>
      <c r="AP779" t="s">
        <v>3015</v>
      </c>
      <c r="AQ779" t="s">
        <v>3047</v>
      </c>
      <c r="AR779" t="s">
        <v>3056</v>
      </c>
      <c r="AT779" t="s">
        <v>3017</v>
      </c>
      <c r="AU779" t="s">
        <v>3057</v>
      </c>
    </row>
    <row r="780" spans="1:47" x14ac:dyDescent="0.35">
      <c r="A780">
        <v>329394</v>
      </c>
      <c r="B780" t="s">
        <v>193</v>
      </c>
      <c r="C780" t="s">
        <v>194</v>
      </c>
      <c r="D780" s="2">
        <v>45756</v>
      </c>
      <c r="E780">
        <v>53850</v>
      </c>
      <c r="F780">
        <v>114</v>
      </c>
      <c r="G780" t="s">
        <v>188</v>
      </c>
      <c r="H780" t="s">
        <v>167</v>
      </c>
      <c r="I780" t="s">
        <v>45</v>
      </c>
      <c r="K780">
        <v>202504087880141</v>
      </c>
      <c r="L780">
        <v>1143306280621</v>
      </c>
      <c r="M780">
        <v>20250408</v>
      </c>
      <c r="N780" t="s">
        <v>266</v>
      </c>
      <c r="Q780" t="s">
        <v>47</v>
      </c>
      <c r="R780">
        <v>28830</v>
      </c>
      <c r="S780">
        <v>28830</v>
      </c>
      <c r="T780">
        <v>4658875</v>
      </c>
      <c r="U780">
        <v>3230890711</v>
      </c>
      <c r="V780" t="s">
        <v>189</v>
      </c>
      <c r="W780" t="s">
        <v>190</v>
      </c>
      <c r="X780" t="s">
        <v>131</v>
      </c>
      <c r="Y780" t="s">
        <v>51</v>
      </c>
      <c r="Z780">
        <v>870</v>
      </c>
      <c r="AH780">
        <v>0</v>
      </c>
      <c r="AI780">
        <v>202504</v>
      </c>
      <c r="AJ780" t="s">
        <v>56</v>
      </c>
      <c r="AK780">
        <v>0</v>
      </c>
      <c r="AL780">
        <v>1</v>
      </c>
      <c r="AM780">
        <v>4658875</v>
      </c>
      <c r="AN780">
        <v>1</v>
      </c>
      <c r="AO780">
        <v>0</v>
      </c>
      <c r="AP780" t="s">
        <v>3033</v>
      </c>
      <c r="AQ780" t="s">
        <v>3047</v>
      </c>
      <c r="AR780" t="s">
        <v>3048</v>
      </c>
      <c r="AS780" t="s">
        <v>3049</v>
      </c>
      <c r="AU780" t="s">
        <v>3049</v>
      </c>
    </row>
    <row r="781" spans="1:47" x14ac:dyDescent="0.35">
      <c r="A781">
        <v>329393</v>
      </c>
      <c r="B781" t="s">
        <v>193</v>
      </c>
      <c r="C781" t="s">
        <v>194</v>
      </c>
      <c r="D781" s="2">
        <v>45756</v>
      </c>
      <c r="E781">
        <v>53850</v>
      </c>
      <c r="F781">
        <v>171</v>
      </c>
      <c r="G781" t="s">
        <v>198</v>
      </c>
      <c r="H781" t="s">
        <v>167</v>
      </c>
      <c r="I781" t="s">
        <v>45</v>
      </c>
      <c r="K781" t="s">
        <v>1064</v>
      </c>
      <c r="L781">
        <v>1713305728950</v>
      </c>
      <c r="M781">
        <v>20250408</v>
      </c>
      <c r="N781" t="s">
        <v>195</v>
      </c>
      <c r="Q781" t="s">
        <v>47</v>
      </c>
      <c r="R781">
        <v>202735</v>
      </c>
      <c r="S781">
        <v>202735</v>
      </c>
      <c r="T781">
        <v>572895</v>
      </c>
      <c r="U781">
        <v>4161600723</v>
      </c>
      <c r="V781" t="s">
        <v>199</v>
      </c>
      <c r="W781" t="s">
        <v>49</v>
      </c>
      <c r="X781" t="s">
        <v>200</v>
      </c>
      <c r="Y781" t="s">
        <v>51</v>
      </c>
      <c r="Z781">
        <v>1903</v>
      </c>
      <c r="AH781">
        <v>0</v>
      </c>
      <c r="AI781">
        <v>202504</v>
      </c>
      <c r="AJ781" t="s">
        <v>56</v>
      </c>
      <c r="AK781">
        <v>0</v>
      </c>
      <c r="AL781">
        <v>1</v>
      </c>
      <c r="AM781">
        <v>572895</v>
      </c>
      <c r="AN781">
        <v>1</v>
      </c>
      <c r="AO781">
        <v>0</v>
      </c>
      <c r="AP781" t="s">
        <v>3015</v>
      </c>
      <c r="AQ781" t="s">
        <v>3012</v>
      </c>
      <c r="AR781" t="s">
        <v>3016</v>
      </c>
      <c r="AT781" t="s">
        <v>3017</v>
      </c>
      <c r="AU781" t="s">
        <v>3018</v>
      </c>
    </row>
    <row r="782" spans="1:47" x14ac:dyDescent="0.35">
      <c r="A782">
        <v>329392</v>
      </c>
      <c r="B782" t="s">
        <v>214</v>
      </c>
      <c r="C782" t="s">
        <v>215</v>
      </c>
      <c r="D782" s="2">
        <v>45756</v>
      </c>
      <c r="E782">
        <v>53850</v>
      </c>
      <c r="F782">
        <v>110</v>
      </c>
      <c r="G782" t="s">
        <v>230</v>
      </c>
      <c r="H782" t="s">
        <v>167</v>
      </c>
      <c r="I782" t="s">
        <v>45</v>
      </c>
      <c r="K782">
        <v>202504087879265</v>
      </c>
      <c r="L782">
        <v>1103306288240</v>
      </c>
      <c r="M782">
        <v>20250408</v>
      </c>
      <c r="N782" t="s">
        <v>168</v>
      </c>
      <c r="P782" t="s">
        <v>752</v>
      </c>
      <c r="Q782" t="s">
        <v>47</v>
      </c>
      <c r="R782">
        <v>190533.79</v>
      </c>
      <c r="S782">
        <v>0</v>
      </c>
      <c r="T782">
        <v>4960705</v>
      </c>
      <c r="U782">
        <v>8520490726</v>
      </c>
      <c r="V782" t="s">
        <v>753</v>
      </c>
      <c r="W782" t="s">
        <v>49</v>
      </c>
      <c r="X782" t="s">
        <v>110</v>
      </c>
      <c r="Y782" t="s">
        <v>51</v>
      </c>
      <c r="Z782">
        <v>1696</v>
      </c>
      <c r="AH782">
        <v>0</v>
      </c>
      <c r="AI782">
        <v>202504</v>
      </c>
      <c r="AJ782" t="s">
        <v>52</v>
      </c>
      <c r="AK782">
        <v>0</v>
      </c>
      <c r="AL782">
        <v>1</v>
      </c>
      <c r="AO782">
        <v>0</v>
      </c>
      <c r="AP782" t="s">
        <v>3026</v>
      </c>
      <c r="AQ782" t="s">
        <v>3012</v>
      </c>
      <c r="AR782" t="s">
        <v>3027</v>
      </c>
      <c r="AS782" t="s">
        <v>3028</v>
      </c>
      <c r="AU782" t="s">
        <v>3028</v>
      </c>
    </row>
    <row r="783" spans="1:47" x14ac:dyDescent="0.35">
      <c r="A783">
        <v>329391</v>
      </c>
      <c r="B783" t="s">
        <v>333</v>
      </c>
      <c r="C783" t="s">
        <v>334</v>
      </c>
      <c r="D783" s="2">
        <v>45756</v>
      </c>
      <c r="E783">
        <v>53850</v>
      </c>
      <c r="F783">
        <v>136</v>
      </c>
      <c r="G783" t="s">
        <v>551</v>
      </c>
      <c r="H783" t="s">
        <v>167</v>
      </c>
      <c r="I783" t="s">
        <v>45</v>
      </c>
      <c r="K783">
        <v>202504087880206</v>
      </c>
      <c r="M783">
        <v>20250408</v>
      </c>
      <c r="N783" t="s">
        <v>1065</v>
      </c>
      <c r="Q783" t="s">
        <v>47</v>
      </c>
      <c r="R783">
        <v>142558.66</v>
      </c>
      <c r="S783">
        <v>0</v>
      </c>
      <c r="T783">
        <v>4295968</v>
      </c>
      <c r="U783" t="s">
        <v>1066</v>
      </c>
      <c r="V783" t="s">
        <v>1067</v>
      </c>
      <c r="W783" t="s">
        <v>187</v>
      </c>
      <c r="Y783" t="s">
        <v>51</v>
      </c>
      <c r="AH783">
        <v>0</v>
      </c>
      <c r="AI783">
        <v>202504</v>
      </c>
      <c r="AL783">
        <v>0</v>
      </c>
      <c r="AO783">
        <v>0</v>
      </c>
      <c r="AP783" t="s">
        <v>3015</v>
      </c>
      <c r="AQ783" t="s">
        <v>3044</v>
      </c>
      <c r="AR783" t="s">
        <v>3045</v>
      </c>
      <c r="AS783" t="s">
        <v>3046</v>
      </c>
      <c r="AU783" t="s">
        <v>3046</v>
      </c>
    </row>
    <row r="784" spans="1:47" x14ac:dyDescent="0.35">
      <c r="A784">
        <v>329390</v>
      </c>
      <c r="B784" t="s">
        <v>172</v>
      </c>
      <c r="C784" t="s">
        <v>173</v>
      </c>
      <c r="D784" s="2">
        <v>45756</v>
      </c>
      <c r="E784">
        <v>53850</v>
      </c>
      <c r="F784">
        <v>286</v>
      </c>
      <c r="G784" t="s">
        <v>408</v>
      </c>
      <c r="H784" t="s">
        <v>167</v>
      </c>
      <c r="I784" t="s">
        <v>45</v>
      </c>
      <c r="K784">
        <v>202504087880490</v>
      </c>
      <c r="L784">
        <v>2863300002887</v>
      </c>
      <c r="M784">
        <v>20250408</v>
      </c>
      <c r="N784" t="s">
        <v>231</v>
      </c>
      <c r="Q784" t="s">
        <v>47</v>
      </c>
      <c r="R784">
        <v>120000</v>
      </c>
      <c r="S784">
        <v>0</v>
      </c>
      <c r="T784">
        <v>1686888</v>
      </c>
      <c r="U784">
        <v>2639450697</v>
      </c>
      <c r="V784" t="s">
        <v>1068</v>
      </c>
      <c r="W784" t="s">
        <v>49</v>
      </c>
      <c r="X784" t="s">
        <v>1069</v>
      </c>
      <c r="Y784" t="s">
        <v>51</v>
      </c>
      <c r="Z784">
        <v>1841</v>
      </c>
      <c r="AH784">
        <v>0</v>
      </c>
      <c r="AI784">
        <v>202504</v>
      </c>
      <c r="AJ784" t="s">
        <v>56</v>
      </c>
      <c r="AK784">
        <v>0</v>
      </c>
      <c r="AL784">
        <v>1</v>
      </c>
      <c r="AO784">
        <v>0</v>
      </c>
      <c r="AP784" t="s">
        <v>3015</v>
      </c>
      <c r="AQ784" t="s">
        <v>3012</v>
      </c>
      <c r="AR784" t="s">
        <v>3016</v>
      </c>
      <c r="AT784" t="s">
        <v>3017</v>
      </c>
      <c r="AU784" t="s">
        <v>3018</v>
      </c>
    </row>
    <row r="785" spans="1:47" x14ac:dyDescent="0.35">
      <c r="A785">
        <v>329389</v>
      </c>
      <c r="B785" t="s">
        <v>164</v>
      </c>
      <c r="C785" t="s">
        <v>165</v>
      </c>
      <c r="D785" s="2">
        <v>45756</v>
      </c>
      <c r="E785">
        <v>53850</v>
      </c>
      <c r="F785">
        <v>136</v>
      </c>
      <c r="G785" t="s">
        <v>551</v>
      </c>
      <c r="H785" t="s">
        <v>167</v>
      </c>
      <c r="I785" t="s">
        <v>45</v>
      </c>
      <c r="K785" t="s">
        <v>1070</v>
      </c>
      <c r="L785">
        <v>1363300010842</v>
      </c>
      <c r="M785">
        <v>20250408</v>
      </c>
      <c r="N785" t="s">
        <v>168</v>
      </c>
      <c r="P785" t="s">
        <v>255</v>
      </c>
      <c r="Q785" t="s">
        <v>47</v>
      </c>
      <c r="R785">
        <v>1500</v>
      </c>
      <c r="S785">
        <v>0</v>
      </c>
      <c r="T785">
        <v>4855833</v>
      </c>
      <c r="U785">
        <v>2486870740</v>
      </c>
      <c r="V785" t="s">
        <v>1071</v>
      </c>
      <c r="W785" t="s">
        <v>49</v>
      </c>
      <c r="X785" t="s">
        <v>343</v>
      </c>
      <c r="Y785" t="s">
        <v>51</v>
      </c>
      <c r="Z785">
        <v>1909</v>
      </c>
      <c r="AH785">
        <v>0</v>
      </c>
      <c r="AI785">
        <v>202504</v>
      </c>
      <c r="AJ785" t="s">
        <v>86</v>
      </c>
      <c r="AK785">
        <v>1</v>
      </c>
      <c r="AL785">
        <v>1</v>
      </c>
      <c r="AO785">
        <v>0</v>
      </c>
      <c r="AP785" t="s">
        <v>3086</v>
      </c>
      <c r="AQ785" t="s">
        <v>3012</v>
      </c>
      <c r="AR785" t="s">
        <v>3087</v>
      </c>
      <c r="AS785" t="s">
        <v>3014</v>
      </c>
      <c r="AU785" t="s">
        <v>3014</v>
      </c>
    </row>
    <row r="786" spans="1:47" x14ac:dyDescent="0.35">
      <c r="A786">
        <v>329388</v>
      </c>
      <c r="B786" t="s">
        <v>193</v>
      </c>
      <c r="C786" t="s">
        <v>194</v>
      </c>
      <c r="D786" s="2">
        <v>45756</v>
      </c>
      <c r="E786">
        <v>53850</v>
      </c>
      <c r="F786">
        <v>161</v>
      </c>
      <c r="G786" t="s">
        <v>111</v>
      </c>
      <c r="H786" t="s">
        <v>167</v>
      </c>
      <c r="I786" t="s">
        <v>45</v>
      </c>
      <c r="K786" t="s">
        <v>1064</v>
      </c>
      <c r="L786">
        <v>1613300031333</v>
      </c>
      <c r="M786">
        <v>20250408</v>
      </c>
      <c r="N786" t="s">
        <v>175</v>
      </c>
      <c r="Q786" t="s">
        <v>47</v>
      </c>
      <c r="R786">
        <v>48299.15</v>
      </c>
      <c r="S786">
        <v>44230</v>
      </c>
      <c r="T786">
        <v>511904</v>
      </c>
      <c r="U786" t="s">
        <v>388</v>
      </c>
      <c r="V786" t="s">
        <v>389</v>
      </c>
      <c r="W786" t="s">
        <v>69</v>
      </c>
      <c r="X786" t="s">
        <v>55</v>
      </c>
      <c r="Y786" t="s">
        <v>51</v>
      </c>
      <c r="Z786">
        <v>857</v>
      </c>
      <c r="AH786">
        <v>0</v>
      </c>
      <c r="AI786">
        <v>202504</v>
      </c>
      <c r="AJ786" t="s">
        <v>56</v>
      </c>
      <c r="AK786">
        <v>0</v>
      </c>
      <c r="AL786">
        <v>1</v>
      </c>
      <c r="AM786">
        <v>511904</v>
      </c>
      <c r="AN786">
        <v>1</v>
      </c>
      <c r="AO786">
        <v>1</v>
      </c>
      <c r="AP786" t="s">
        <v>3015</v>
      </c>
      <c r="AQ786" t="s">
        <v>3021</v>
      </c>
      <c r="AR786" t="s">
        <v>3022</v>
      </c>
      <c r="AT786" t="s">
        <v>3017</v>
      </c>
      <c r="AU786" t="s">
        <v>3014</v>
      </c>
    </row>
    <row r="787" spans="1:47" x14ac:dyDescent="0.35">
      <c r="A787">
        <v>329387</v>
      </c>
      <c r="B787" t="s">
        <v>193</v>
      </c>
      <c r="C787" t="s">
        <v>194</v>
      </c>
      <c r="D787" s="2">
        <v>45756</v>
      </c>
      <c r="E787">
        <v>53850</v>
      </c>
      <c r="F787">
        <v>171</v>
      </c>
      <c r="G787" t="s">
        <v>198</v>
      </c>
      <c r="H787" t="s">
        <v>167</v>
      </c>
      <c r="I787" t="s">
        <v>45</v>
      </c>
      <c r="K787" t="s">
        <v>1064</v>
      </c>
      <c r="L787">
        <v>1713302214147</v>
      </c>
      <c r="M787">
        <v>20250408</v>
      </c>
      <c r="N787" t="s">
        <v>195</v>
      </c>
      <c r="Q787" t="s">
        <v>47</v>
      </c>
      <c r="R787">
        <v>37505</v>
      </c>
      <c r="S787">
        <v>37505</v>
      </c>
      <c r="T787">
        <v>4199319</v>
      </c>
      <c r="U787">
        <v>6037810725</v>
      </c>
      <c r="V787" t="s">
        <v>285</v>
      </c>
      <c r="W787" t="s">
        <v>49</v>
      </c>
      <c r="X787" t="s">
        <v>200</v>
      </c>
      <c r="Y787" t="s">
        <v>51</v>
      </c>
      <c r="Z787">
        <v>1903</v>
      </c>
      <c r="AH787">
        <v>0</v>
      </c>
      <c r="AI787">
        <v>202504</v>
      </c>
      <c r="AJ787" t="s">
        <v>56</v>
      </c>
      <c r="AK787">
        <v>0</v>
      </c>
      <c r="AL787">
        <v>1</v>
      </c>
      <c r="AM787">
        <v>4199319</v>
      </c>
      <c r="AN787">
        <v>1</v>
      </c>
      <c r="AO787">
        <v>0</v>
      </c>
      <c r="AP787" t="s">
        <v>3015</v>
      </c>
      <c r="AQ787" t="s">
        <v>3012</v>
      </c>
      <c r="AR787" t="s">
        <v>3016</v>
      </c>
      <c r="AT787" t="s">
        <v>3017</v>
      </c>
      <c r="AU787" t="s">
        <v>3018</v>
      </c>
    </row>
    <row r="788" spans="1:47" x14ac:dyDescent="0.35">
      <c r="A788">
        <v>329386</v>
      </c>
      <c r="B788" t="s">
        <v>178</v>
      </c>
      <c r="C788" t="s">
        <v>179</v>
      </c>
      <c r="D788" s="2">
        <v>45756</v>
      </c>
      <c r="E788">
        <v>53850</v>
      </c>
      <c r="F788">
        <v>102</v>
      </c>
      <c r="G788" t="s">
        <v>151</v>
      </c>
      <c r="H788" t="s">
        <v>167</v>
      </c>
      <c r="I788" t="s">
        <v>45</v>
      </c>
      <c r="K788">
        <v>202504087880064</v>
      </c>
      <c r="L788">
        <v>1023308727570</v>
      </c>
      <c r="M788">
        <v>20250408</v>
      </c>
      <c r="N788" t="s">
        <v>236</v>
      </c>
      <c r="P788" t="s">
        <v>51</v>
      </c>
      <c r="Q788" t="s">
        <v>170</v>
      </c>
      <c r="R788">
        <v>2450000</v>
      </c>
      <c r="S788">
        <v>0</v>
      </c>
      <c r="T788">
        <v>3726777</v>
      </c>
      <c r="U788">
        <v>8920410720</v>
      </c>
      <c r="V788" t="s">
        <v>155</v>
      </c>
      <c r="W788" t="s">
        <v>156</v>
      </c>
      <c r="X788" t="s">
        <v>825</v>
      </c>
      <c r="Y788" t="s">
        <v>51</v>
      </c>
      <c r="Z788">
        <v>739</v>
      </c>
      <c r="AH788">
        <v>0</v>
      </c>
      <c r="AI788">
        <v>202504</v>
      </c>
      <c r="AJ788" t="s">
        <v>86</v>
      </c>
      <c r="AK788">
        <v>1</v>
      </c>
      <c r="AL788">
        <v>1</v>
      </c>
      <c r="AO788">
        <v>0</v>
      </c>
      <c r="AP788" t="s">
        <v>3015</v>
      </c>
      <c r="AQ788" t="s">
        <v>3038</v>
      </c>
      <c r="AR788" t="s">
        <v>3039</v>
      </c>
      <c r="AT788" t="s">
        <v>3017</v>
      </c>
      <c r="AU788" t="s">
        <v>3037</v>
      </c>
    </row>
    <row r="789" spans="1:47" x14ac:dyDescent="0.35">
      <c r="A789">
        <v>329385</v>
      </c>
      <c r="B789" t="s">
        <v>178</v>
      </c>
      <c r="C789" t="s">
        <v>179</v>
      </c>
      <c r="D789" s="2">
        <v>45756</v>
      </c>
      <c r="E789">
        <v>53850</v>
      </c>
      <c r="F789">
        <v>114</v>
      </c>
      <c r="G789" t="s">
        <v>188</v>
      </c>
      <c r="H789" t="s">
        <v>167</v>
      </c>
      <c r="I789" t="s">
        <v>45</v>
      </c>
      <c r="K789">
        <v>202504087880142</v>
      </c>
      <c r="L789">
        <v>1143306281461</v>
      </c>
      <c r="M789">
        <v>20250408</v>
      </c>
      <c r="N789" t="s">
        <v>3136</v>
      </c>
      <c r="Q789" t="s">
        <v>170</v>
      </c>
      <c r="R789">
        <v>30378.94</v>
      </c>
      <c r="S789">
        <v>0</v>
      </c>
      <c r="T789">
        <v>4779500</v>
      </c>
      <c r="U789">
        <v>80005800711</v>
      </c>
      <c r="V789" t="s">
        <v>1072</v>
      </c>
      <c r="W789" t="s">
        <v>183</v>
      </c>
      <c r="Y789" t="s">
        <v>51</v>
      </c>
      <c r="Z789">
        <v>519</v>
      </c>
      <c r="AH789">
        <v>0</v>
      </c>
      <c r="AI789">
        <v>202504</v>
      </c>
      <c r="AJ789" t="s">
        <v>56</v>
      </c>
      <c r="AK789">
        <v>0</v>
      </c>
      <c r="AL789">
        <v>1</v>
      </c>
      <c r="AO789">
        <v>1</v>
      </c>
      <c r="AP789" t="s">
        <v>3015</v>
      </c>
      <c r="AQ789" t="s">
        <v>3042</v>
      </c>
      <c r="AR789" t="s">
        <v>3043</v>
      </c>
      <c r="AS789" t="s">
        <v>3037</v>
      </c>
      <c r="AU789" t="s">
        <v>3037</v>
      </c>
    </row>
    <row r="790" spans="1:47" x14ac:dyDescent="0.35">
      <c r="A790">
        <v>329384</v>
      </c>
      <c r="B790" t="s">
        <v>178</v>
      </c>
      <c r="C790" t="s">
        <v>179</v>
      </c>
      <c r="D790" s="2">
        <v>45756</v>
      </c>
      <c r="E790">
        <v>53850</v>
      </c>
      <c r="F790">
        <v>114</v>
      </c>
      <c r="G790" t="s">
        <v>188</v>
      </c>
      <c r="H790" t="s">
        <v>167</v>
      </c>
      <c r="I790" t="s">
        <v>45</v>
      </c>
      <c r="K790">
        <v>202504087880144</v>
      </c>
      <c r="L790">
        <v>1143306281460</v>
      </c>
      <c r="M790">
        <v>20250408</v>
      </c>
      <c r="N790" t="s">
        <v>3136</v>
      </c>
      <c r="Q790" t="s">
        <v>170</v>
      </c>
      <c r="R790">
        <v>60840.44</v>
      </c>
      <c r="S790">
        <v>0</v>
      </c>
      <c r="T790">
        <v>4779500</v>
      </c>
      <c r="U790">
        <v>80005800711</v>
      </c>
      <c r="V790" t="s">
        <v>1072</v>
      </c>
      <c r="W790" t="s">
        <v>183</v>
      </c>
      <c r="Y790" t="s">
        <v>51</v>
      </c>
      <c r="Z790">
        <v>519</v>
      </c>
      <c r="AH790">
        <v>0</v>
      </c>
      <c r="AI790">
        <v>202504</v>
      </c>
      <c r="AJ790" t="s">
        <v>56</v>
      </c>
      <c r="AK790">
        <v>0</v>
      </c>
      <c r="AL790">
        <v>1</v>
      </c>
      <c r="AO790">
        <v>1</v>
      </c>
      <c r="AP790" t="s">
        <v>3015</v>
      </c>
      <c r="AQ790" t="s">
        <v>3042</v>
      </c>
      <c r="AR790" t="s">
        <v>3043</v>
      </c>
      <c r="AS790" t="s">
        <v>3037</v>
      </c>
      <c r="AU790" t="s">
        <v>3037</v>
      </c>
    </row>
    <row r="791" spans="1:47" x14ac:dyDescent="0.35">
      <c r="A791">
        <v>329383</v>
      </c>
      <c r="B791" t="s">
        <v>164</v>
      </c>
      <c r="C791" t="s">
        <v>165</v>
      </c>
      <c r="D791" s="2">
        <v>45756</v>
      </c>
      <c r="E791">
        <v>53850</v>
      </c>
      <c r="F791">
        <v>261</v>
      </c>
      <c r="G791" t="s">
        <v>136</v>
      </c>
      <c r="H791" t="s">
        <v>167</v>
      </c>
      <c r="I791" t="s">
        <v>45</v>
      </c>
      <c r="K791" t="s">
        <v>1073</v>
      </c>
      <c r="L791">
        <v>2613300001265</v>
      </c>
      <c r="M791">
        <v>20250408</v>
      </c>
      <c r="N791" t="s">
        <v>168</v>
      </c>
      <c r="P791" t="s">
        <v>203</v>
      </c>
      <c r="Q791" t="s">
        <v>47</v>
      </c>
      <c r="R791">
        <v>1000</v>
      </c>
      <c r="S791">
        <v>0</v>
      </c>
      <c r="T791">
        <v>1625403</v>
      </c>
      <c r="U791" t="s">
        <v>870</v>
      </c>
      <c r="V791" t="s">
        <v>871</v>
      </c>
      <c r="W791" t="s">
        <v>187</v>
      </c>
      <c r="Y791" t="s">
        <v>51</v>
      </c>
      <c r="Z791">
        <v>1755</v>
      </c>
      <c r="AH791">
        <v>0</v>
      </c>
      <c r="AI791">
        <v>202504</v>
      </c>
      <c r="AJ791" t="s">
        <v>56</v>
      </c>
      <c r="AK791">
        <v>0</v>
      </c>
      <c r="AL791">
        <v>1</v>
      </c>
      <c r="AO791">
        <v>0</v>
      </c>
      <c r="AP791" t="s">
        <v>3015</v>
      </c>
      <c r="AQ791" t="s">
        <v>3044</v>
      </c>
      <c r="AR791" t="s">
        <v>3045</v>
      </c>
      <c r="AS791" t="s">
        <v>3046</v>
      </c>
      <c r="AU791" t="s">
        <v>3046</v>
      </c>
    </row>
    <row r="792" spans="1:47" x14ac:dyDescent="0.35">
      <c r="A792">
        <v>329382</v>
      </c>
      <c r="B792" t="s">
        <v>178</v>
      </c>
      <c r="C792" t="s">
        <v>179</v>
      </c>
      <c r="D792" s="2">
        <v>45756</v>
      </c>
      <c r="E792">
        <v>53850</v>
      </c>
      <c r="F792">
        <v>102</v>
      </c>
      <c r="G792" t="s">
        <v>151</v>
      </c>
      <c r="H792" t="s">
        <v>167</v>
      </c>
      <c r="I792" t="s">
        <v>45</v>
      </c>
      <c r="K792">
        <v>202504087878890</v>
      </c>
      <c r="L792">
        <v>1603300002981</v>
      </c>
      <c r="M792">
        <v>20250408</v>
      </c>
      <c r="N792" t="s">
        <v>46</v>
      </c>
      <c r="P792" t="s">
        <v>51</v>
      </c>
      <c r="Q792" t="s">
        <v>47</v>
      </c>
      <c r="R792">
        <v>23639999.420000002</v>
      </c>
      <c r="S792">
        <v>0</v>
      </c>
      <c r="T792">
        <v>4990319</v>
      </c>
      <c r="U792">
        <v>6655971007</v>
      </c>
      <c r="V792" t="s">
        <v>1074</v>
      </c>
      <c r="W792" t="s">
        <v>1075</v>
      </c>
      <c r="X792" t="s">
        <v>1076</v>
      </c>
      <c r="Y792" t="s">
        <v>51</v>
      </c>
      <c r="Z792">
        <v>739</v>
      </c>
      <c r="AH792">
        <v>0</v>
      </c>
      <c r="AI792">
        <v>202504</v>
      </c>
      <c r="AJ792" t="s">
        <v>86</v>
      </c>
      <c r="AK792">
        <v>1</v>
      </c>
      <c r="AL792">
        <v>1</v>
      </c>
      <c r="AO792">
        <v>0</v>
      </c>
      <c r="AP792" t="s">
        <v>3015</v>
      </c>
      <c r="AQ792" t="s">
        <v>3100</v>
      </c>
      <c r="AR792" t="s">
        <v>3101</v>
      </c>
      <c r="AT792" t="s">
        <v>3017</v>
      </c>
      <c r="AU792" t="s">
        <v>3018</v>
      </c>
    </row>
    <row r="793" spans="1:47" x14ac:dyDescent="0.35">
      <c r="A793">
        <v>329381</v>
      </c>
      <c r="B793" t="s">
        <v>178</v>
      </c>
      <c r="C793" t="s">
        <v>179</v>
      </c>
      <c r="D793" s="2">
        <v>45756</v>
      </c>
      <c r="E793">
        <v>53850</v>
      </c>
      <c r="F793">
        <v>102</v>
      </c>
      <c r="G793" t="s">
        <v>151</v>
      </c>
      <c r="H793" t="s">
        <v>167</v>
      </c>
      <c r="I793" t="s">
        <v>45</v>
      </c>
      <c r="K793">
        <v>202504087880062</v>
      </c>
      <c r="L793">
        <v>1023300113820</v>
      </c>
      <c r="M793">
        <v>20250408</v>
      </c>
      <c r="N793" t="s">
        <v>236</v>
      </c>
      <c r="P793" t="s">
        <v>51</v>
      </c>
      <c r="Q793" t="s">
        <v>170</v>
      </c>
      <c r="R793">
        <v>1270000</v>
      </c>
      <c r="S793">
        <v>0</v>
      </c>
      <c r="T793">
        <v>11382</v>
      </c>
      <c r="U793">
        <v>252420724</v>
      </c>
      <c r="V793" t="s">
        <v>1010</v>
      </c>
      <c r="W793" t="s">
        <v>49</v>
      </c>
      <c r="X793" t="s">
        <v>597</v>
      </c>
      <c r="Y793" t="s">
        <v>51</v>
      </c>
      <c r="Z793">
        <v>1203</v>
      </c>
      <c r="AH793">
        <v>0</v>
      </c>
      <c r="AI793">
        <v>202504</v>
      </c>
      <c r="AJ793" t="s">
        <v>86</v>
      </c>
      <c r="AK793">
        <v>1</v>
      </c>
      <c r="AL793">
        <v>1</v>
      </c>
      <c r="AO793">
        <v>0</v>
      </c>
      <c r="AP793" t="s">
        <v>3015</v>
      </c>
      <c r="AQ793" t="s">
        <v>3012</v>
      </c>
      <c r="AR793" t="s">
        <v>3016</v>
      </c>
      <c r="AT793" t="s">
        <v>3017</v>
      </c>
      <c r="AU793" t="s">
        <v>3018</v>
      </c>
    </row>
    <row r="794" spans="1:47" x14ac:dyDescent="0.35">
      <c r="A794">
        <v>329380</v>
      </c>
      <c r="B794" t="s">
        <v>178</v>
      </c>
      <c r="C794" t="s">
        <v>179</v>
      </c>
      <c r="D794" s="2">
        <v>45756</v>
      </c>
      <c r="E794">
        <v>53850</v>
      </c>
      <c r="F794">
        <v>200</v>
      </c>
      <c r="G794" t="s">
        <v>858</v>
      </c>
      <c r="H794" t="s">
        <v>167</v>
      </c>
      <c r="I794" t="s">
        <v>45</v>
      </c>
      <c r="K794">
        <v>202504087878812</v>
      </c>
      <c r="L794">
        <v>2003300003730</v>
      </c>
      <c r="M794">
        <v>20250408</v>
      </c>
      <c r="N794" t="s">
        <v>46</v>
      </c>
      <c r="P794" t="s">
        <v>51</v>
      </c>
      <c r="Q794" t="s">
        <v>47</v>
      </c>
      <c r="R794">
        <v>750000</v>
      </c>
      <c r="S794">
        <v>0</v>
      </c>
      <c r="T794">
        <v>3731305</v>
      </c>
      <c r="U794" t="s">
        <v>859</v>
      </c>
      <c r="V794" t="s">
        <v>860</v>
      </c>
      <c r="W794" t="s">
        <v>187</v>
      </c>
      <c r="Y794" t="s">
        <v>51</v>
      </c>
      <c r="Z794">
        <v>1837</v>
      </c>
      <c r="AH794">
        <v>0</v>
      </c>
      <c r="AI794">
        <v>202504</v>
      </c>
      <c r="AJ794" t="s">
        <v>56</v>
      </c>
      <c r="AK794">
        <v>0</v>
      </c>
      <c r="AL794">
        <v>1</v>
      </c>
      <c r="AO794">
        <v>0</v>
      </c>
      <c r="AP794" t="s">
        <v>3015</v>
      </c>
      <c r="AQ794" t="s">
        <v>3044</v>
      </c>
      <c r="AR794" t="s">
        <v>3045</v>
      </c>
      <c r="AS794" t="s">
        <v>3046</v>
      </c>
      <c r="AU794" t="s">
        <v>3046</v>
      </c>
    </row>
    <row r="795" spans="1:47" x14ac:dyDescent="0.35">
      <c r="A795">
        <v>329379</v>
      </c>
      <c r="B795" t="s">
        <v>214</v>
      </c>
      <c r="C795" t="s">
        <v>215</v>
      </c>
      <c r="D795" s="2">
        <v>45756</v>
      </c>
      <c r="E795">
        <v>53850</v>
      </c>
      <c r="F795">
        <v>125</v>
      </c>
      <c r="G795" t="s">
        <v>75</v>
      </c>
      <c r="H795" t="s">
        <v>167</v>
      </c>
      <c r="I795" t="s">
        <v>45</v>
      </c>
      <c r="K795">
        <v>202504087879279</v>
      </c>
      <c r="L795">
        <v>1253300003471</v>
      </c>
      <c r="M795">
        <v>20250408</v>
      </c>
      <c r="N795" t="s">
        <v>168</v>
      </c>
      <c r="P795" t="s">
        <v>339</v>
      </c>
      <c r="Q795" t="s">
        <v>170</v>
      </c>
      <c r="R795">
        <v>23319.200000000001</v>
      </c>
      <c r="S795">
        <v>0</v>
      </c>
      <c r="T795">
        <v>3735747</v>
      </c>
      <c r="U795">
        <v>9507921212</v>
      </c>
      <c r="V795" t="s">
        <v>1077</v>
      </c>
      <c r="W795" t="s">
        <v>49</v>
      </c>
      <c r="X795" t="s">
        <v>117</v>
      </c>
      <c r="Y795" t="s">
        <v>51</v>
      </c>
      <c r="AH795">
        <v>0</v>
      </c>
      <c r="AI795">
        <v>202504</v>
      </c>
      <c r="AJ795" t="s">
        <v>56</v>
      </c>
      <c r="AK795">
        <v>0</v>
      </c>
      <c r="AL795">
        <v>1</v>
      </c>
      <c r="AO795">
        <v>0</v>
      </c>
      <c r="AP795" t="s">
        <v>3029</v>
      </c>
      <c r="AQ795" t="s">
        <v>3012</v>
      </c>
      <c r="AR795" t="s">
        <v>3030</v>
      </c>
      <c r="AS795" t="s">
        <v>3014</v>
      </c>
      <c r="AU795" t="s">
        <v>3014</v>
      </c>
    </row>
    <row r="796" spans="1:47" x14ac:dyDescent="0.35">
      <c r="A796">
        <v>329378</v>
      </c>
      <c r="B796" t="s">
        <v>172</v>
      </c>
      <c r="C796" t="s">
        <v>173</v>
      </c>
      <c r="D796" s="2">
        <v>45756</v>
      </c>
      <c r="E796">
        <v>53850</v>
      </c>
      <c r="F796">
        <v>171</v>
      </c>
      <c r="G796" t="s">
        <v>198</v>
      </c>
      <c r="H796" t="s">
        <v>167</v>
      </c>
      <c r="I796" t="s">
        <v>45</v>
      </c>
      <c r="K796" t="s">
        <v>1064</v>
      </c>
      <c r="L796">
        <v>1713305728950</v>
      </c>
      <c r="M796">
        <v>20250408</v>
      </c>
      <c r="N796" t="s">
        <v>195</v>
      </c>
      <c r="Q796" t="s">
        <v>47</v>
      </c>
      <c r="R796">
        <v>202735</v>
      </c>
      <c r="S796">
        <v>202735</v>
      </c>
      <c r="T796">
        <v>572895</v>
      </c>
      <c r="U796">
        <v>4161600723</v>
      </c>
      <c r="V796" t="s">
        <v>199</v>
      </c>
      <c r="W796" t="s">
        <v>49</v>
      </c>
      <c r="X796" t="s">
        <v>200</v>
      </c>
      <c r="Y796" t="s">
        <v>51</v>
      </c>
      <c r="Z796">
        <v>1903</v>
      </c>
      <c r="AH796">
        <v>0</v>
      </c>
      <c r="AI796">
        <v>202504</v>
      </c>
      <c r="AJ796" t="s">
        <v>56</v>
      </c>
      <c r="AK796">
        <v>0</v>
      </c>
      <c r="AL796">
        <v>1</v>
      </c>
      <c r="AM796">
        <v>572895</v>
      </c>
      <c r="AN796">
        <v>1</v>
      </c>
      <c r="AO796">
        <v>0</v>
      </c>
      <c r="AP796" t="s">
        <v>3015</v>
      </c>
      <c r="AQ796" t="s">
        <v>3012</v>
      </c>
      <c r="AR796" t="s">
        <v>3016</v>
      </c>
      <c r="AT796" t="s">
        <v>3017</v>
      </c>
      <c r="AU796" t="s">
        <v>3018</v>
      </c>
    </row>
    <row r="797" spans="1:47" x14ac:dyDescent="0.35">
      <c r="A797">
        <v>329377</v>
      </c>
      <c r="B797" t="s">
        <v>193</v>
      </c>
      <c r="C797" t="s">
        <v>194</v>
      </c>
      <c r="D797" s="2">
        <v>45756</v>
      </c>
      <c r="E797">
        <v>53850</v>
      </c>
      <c r="F797">
        <v>116</v>
      </c>
      <c r="G797" t="s">
        <v>126</v>
      </c>
      <c r="H797" t="s">
        <v>167</v>
      </c>
      <c r="I797" t="s">
        <v>45</v>
      </c>
      <c r="K797">
        <v>202504087879941</v>
      </c>
      <c r="L797">
        <v>2343300010453</v>
      </c>
      <c r="M797">
        <v>20250408</v>
      </c>
      <c r="N797" t="s">
        <v>195</v>
      </c>
      <c r="Q797" t="s">
        <v>47</v>
      </c>
      <c r="R797">
        <v>171133.95</v>
      </c>
      <c r="S797">
        <v>171133.95</v>
      </c>
      <c r="T797">
        <v>4247777</v>
      </c>
      <c r="U797">
        <v>233470236</v>
      </c>
      <c r="V797" t="s">
        <v>206</v>
      </c>
      <c r="W797" t="s">
        <v>49</v>
      </c>
      <c r="X797" t="s">
        <v>117</v>
      </c>
      <c r="Y797" t="s">
        <v>51</v>
      </c>
      <c r="Z797">
        <v>1696</v>
      </c>
      <c r="AH797">
        <v>0</v>
      </c>
      <c r="AI797">
        <v>202504</v>
      </c>
      <c r="AJ797" t="s">
        <v>114</v>
      </c>
      <c r="AK797">
        <v>1</v>
      </c>
      <c r="AL797">
        <v>1</v>
      </c>
      <c r="AM797">
        <v>4247777</v>
      </c>
      <c r="AN797">
        <v>1</v>
      </c>
      <c r="AO797">
        <v>0</v>
      </c>
      <c r="AP797" t="s">
        <v>3029</v>
      </c>
      <c r="AQ797" t="s">
        <v>3012</v>
      </c>
      <c r="AR797" t="s">
        <v>3030</v>
      </c>
      <c r="AS797" t="s">
        <v>3014</v>
      </c>
      <c r="AU797" t="s">
        <v>3014</v>
      </c>
    </row>
    <row r="798" spans="1:47" x14ac:dyDescent="0.35">
      <c r="A798">
        <v>329376</v>
      </c>
      <c r="B798" t="s">
        <v>172</v>
      </c>
      <c r="C798" t="s">
        <v>173</v>
      </c>
      <c r="D798" s="2">
        <v>45756</v>
      </c>
      <c r="E798">
        <v>53850</v>
      </c>
      <c r="F798">
        <v>267</v>
      </c>
      <c r="G798" t="s">
        <v>349</v>
      </c>
      <c r="H798" t="s">
        <v>167</v>
      </c>
      <c r="I798" t="s">
        <v>45</v>
      </c>
      <c r="K798">
        <v>202504087880428</v>
      </c>
      <c r="L798">
        <v>2673300003600</v>
      </c>
      <c r="M798">
        <v>20250408</v>
      </c>
      <c r="N798" t="s">
        <v>266</v>
      </c>
      <c r="Q798" t="s">
        <v>47</v>
      </c>
      <c r="R798">
        <v>107000</v>
      </c>
      <c r="S798">
        <v>107000</v>
      </c>
      <c r="T798">
        <v>1705101</v>
      </c>
      <c r="U798">
        <v>2896870793</v>
      </c>
      <c r="V798" t="s">
        <v>439</v>
      </c>
      <c r="W798" t="s">
        <v>190</v>
      </c>
      <c r="X798" t="s">
        <v>200</v>
      </c>
      <c r="Y798" t="s">
        <v>51</v>
      </c>
      <c r="Z798">
        <v>1878</v>
      </c>
      <c r="AH798">
        <v>0</v>
      </c>
      <c r="AI798">
        <v>202504</v>
      </c>
      <c r="AJ798" t="s">
        <v>56</v>
      </c>
      <c r="AK798">
        <v>0</v>
      </c>
      <c r="AL798">
        <v>1</v>
      </c>
      <c r="AM798">
        <v>1705101</v>
      </c>
      <c r="AN798">
        <v>1</v>
      </c>
      <c r="AO798">
        <v>0</v>
      </c>
      <c r="AP798" t="s">
        <v>3015</v>
      </c>
      <c r="AQ798" t="s">
        <v>3047</v>
      </c>
      <c r="AR798" t="s">
        <v>3056</v>
      </c>
      <c r="AT798" t="s">
        <v>3017</v>
      </c>
      <c r="AU798" t="s">
        <v>3057</v>
      </c>
    </row>
    <row r="799" spans="1:47" x14ac:dyDescent="0.35">
      <c r="A799">
        <v>329375</v>
      </c>
      <c r="B799" t="s">
        <v>178</v>
      </c>
      <c r="C799" t="s">
        <v>179</v>
      </c>
      <c r="D799" s="2">
        <v>45756</v>
      </c>
      <c r="E799">
        <v>53850</v>
      </c>
      <c r="F799">
        <v>102</v>
      </c>
      <c r="G799" t="s">
        <v>151</v>
      </c>
      <c r="H799" t="s">
        <v>167</v>
      </c>
      <c r="I799" t="s">
        <v>45</v>
      </c>
      <c r="K799">
        <v>202504087880073</v>
      </c>
      <c r="L799">
        <v>1603300002981</v>
      </c>
      <c r="M799">
        <v>20250408</v>
      </c>
      <c r="N799" t="s">
        <v>659</v>
      </c>
      <c r="Q799" t="s">
        <v>170</v>
      </c>
      <c r="R799">
        <v>23639999.420000002</v>
      </c>
      <c r="S799">
        <v>0</v>
      </c>
      <c r="T799">
        <v>4990319</v>
      </c>
      <c r="U799">
        <v>6655971007</v>
      </c>
      <c r="V799" t="s">
        <v>1074</v>
      </c>
      <c r="W799" t="s">
        <v>1075</v>
      </c>
      <c r="X799" t="s">
        <v>1076</v>
      </c>
      <c r="Y799" t="s">
        <v>51</v>
      </c>
      <c r="Z799">
        <v>739</v>
      </c>
      <c r="AH799">
        <v>0</v>
      </c>
      <c r="AI799">
        <v>202504</v>
      </c>
      <c r="AJ799" t="s">
        <v>86</v>
      </c>
      <c r="AK799">
        <v>1</v>
      </c>
      <c r="AL799">
        <v>1</v>
      </c>
      <c r="AO799">
        <v>0</v>
      </c>
      <c r="AP799" t="s">
        <v>3015</v>
      </c>
      <c r="AQ799" t="s">
        <v>3100</v>
      </c>
      <c r="AR799" t="s">
        <v>3101</v>
      </c>
      <c r="AT799" t="s">
        <v>3017</v>
      </c>
      <c r="AU799" t="s">
        <v>3018</v>
      </c>
    </row>
    <row r="800" spans="1:47" x14ac:dyDescent="0.35">
      <c r="A800">
        <v>329374</v>
      </c>
      <c r="B800" t="s">
        <v>193</v>
      </c>
      <c r="C800" t="s">
        <v>194</v>
      </c>
      <c r="D800" s="2">
        <v>45756</v>
      </c>
      <c r="E800">
        <v>53850</v>
      </c>
      <c r="F800">
        <v>102</v>
      </c>
      <c r="G800" t="s">
        <v>151</v>
      </c>
      <c r="H800" t="s">
        <v>167</v>
      </c>
      <c r="I800" t="s">
        <v>45</v>
      </c>
      <c r="K800">
        <v>202504087879502</v>
      </c>
      <c r="L800">
        <v>1023308722503</v>
      </c>
      <c r="M800">
        <v>20250408</v>
      </c>
      <c r="N800" t="s">
        <v>195</v>
      </c>
      <c r="Q800" t="s">
        <v>47</v>
      </c>
      <c r="R800">
        <v>22610</v>
      </c>
      <c r="S800">
        <v>22610</v>
      </c>
      <c r="T800">
        <v>413650</v>
      </c>
      <c r="U800">
        <v>3657230722</v>
      </c>
      <c r="V800" t="s">
        <v>196</v>
      </c>
      <c r="W800" t="s">
        <v>190</v>
      </c>
      <c r="X800" t="s">
        <v>197</v>
      </c>
      <c r="Y800" t="s">
        <v>51</v>
      </c>
      <c r="Z800">
        <v>1306</v>
      </c>
      <c r="AH800">
        <v>0</v>
      </c>
      <c r="AI800">
        <v>202504</v>
      </c>
      <c r="AJ800" t="s">
        <v>56</v>
      </c>
      <c r="AK800">
        <v>0</v>
      </c>
      <c r="AL800">
        <v>1</v>
      </c>
      <c r="AM800">
        <v>413650</v>
      </c>
      <c r="AN800">
        <v>1</v>
      </c>
      <c r="AO800">
        <v>0</v>
      </c>
      <c r="AP800" t="s">
        <v>3050</v>
      </c>
      <c r="AQ800" t="s">
        <v>3047</v>
      </c>
      <c r="AR800" t="s">
        <v>3051</v>
      </c>
      <c r="AS800" t="s">
        <v>3049</v>
      </c>
      <c r="AU800" t="s">
        <v>3049</v>
      </c>
    </row>
    <row r="801" spans="1:47" x14ac:dyDescent="0.35">
      <c r="A801">
        <v>329373</v>
      </c>
      <c r="B801" t="s">
        <v>178</v>
      </c>
      <c r="C801" t="s">
        <v>179</v>
      </c>
      <c r="D801" s="2">
        <v>45756</v>
      </c>
      <c r="E801">
        <v>53850</v>
      </c>
      <c r="F801">
        <v>102</v>
      </c>
      <c r="G801" t="s">
        <v>151</v>
      </c>
      <c r="H801" t="s">
        <v>167</v>
      </c>
      <c r="I801" t="s">
        <v>45</v>
      </c>
      <c r="K801">
        <v>202504087878484</v>
      </c>
      <c r="L801">
        <v>1023308727570</v>
      </c>
      <c r="M801">
        <v>20250408</v>
      </c>
      <c r="N801" t="s">
        <v>46</v>
      </c>
      <c r="P801" t="s">
        <v>51</v>
      </c>
      <c r="Q801" t="s">
        <v>47</v>
      </c>
      <c r="R801">
        <v>4000000</v>
      </c>
      <c r="S801">
        <v>0</v>
      </c>
      <c r="T801">
        <v>3726777</v>
      </c>
      <c r="U801">
        <v>8920410720</v>
      </c>
      <c r="V801" t="s">
        <v>155</v>
      </c>
      <c r="W801" t="s">
        <v>156</v>
      </c>
      <c r="X801" t="s">
        <v>825</v>
      </c>
      <c r="Y801" t="s">
        <v>51</v>
      </c>
      <c r="Z801">
        <v>739</v>
      </c>
      <c r="AH801">
        <v>0</v>
      </c>
      <c r="AI801">
        <v>202504</v>
      </c>
      <c r="AJ801" t="s">
        <v>86</v>
      </c>
      <c r="AK801">
        <v>1</v>
      </c>
      <c r="AL801">
        <v>1</v>
      </c>
      <c r="AO801">
        <v>0</v>
      </c>
      <c r="AP801" t="s">
        <v>3015</v>
      </c>
      <c r="AQ801" t="s">
        <v>3038</v>
      </c>
      <c r="AR801" t="s">
        <v>3039</v>
      </c>
      <c r="AT801" t="s">
        <v>3017</v>
      </c>
      <c r="AU801" t="s">
        <v>3037</v>
      </c>
    </row>
    <row r="802" spans="1:47" x14ac:dyDescent="0.35">
      <c r="A802">
        <v>329372</v>
      </c>
      <c r="B802" t="s">
        <v>172</v>
      </c>
      <c r="C802" t="s">
        <v>173</v>
      </c>
      <c r="D802" s="2">
        <v>45756</v>
      </c>
      <c r="E802">
        <v>53850</v>
      </c>
      <c r="F802">
        <v>116</v>
      </c>
      <c r="G802" t="s">
        <v>126</v>
      </c>
      <c r="H802" t="s">
        <v>167</v>
      </c>
      <c r="I802" t="s">
        <v>45</v>
      </c>
      <c r="K802">
        <v>202504087879941</v>
      </c>
      <c r="L802">
        <v>2343300010453</v>
      </c>
      <c r="M802">
        <v>20250408</v>
      </c>
      <c r="N802" t="s">
        <v>195</v>
      </c>
      <c r="Q802" t="s">
        <v>47</v>
      </c>
      <c r="R802">
        <v>171133.95</v>
      </c>
      <c r="S802">
        <v>171133.95</v>
      </c>
      <c r="T802">
        <v>4247777</v>
      </c>
      <c r="U802">
        <v>233470236</v>
      </c>
      <c r="V802" t="s">
        <v>206</v>
      </c>
      <c r="W802" t="s">
        <v>49</v>
      </c>
      <c r="X802" t="s">
        <v>117</v>
      </c>
      <c r="Y802" t="s">
        <v>51</v>
      </c>
      <c r="Z802">
        <v>1696</v>
      </c>
      <c r="AH802">
        <v>0</v>
      </c>
      <c r="AI802">
        <v>202504</v>
      </c>
      <c r="AJ802" t="s">
        <v>114</v>
      </c>
      <c r="AK802">
        <v>1</v>
      </c>
      <c r="AL802">
        <v>1</v>
      </c>
      <c r="AM802">
        <v>4247777</v>
      </c>
      <c r="AN802">
        <v>1</v>
      </c>
      <c r="AO802">
        <v>0</v>
      </c>
      <c r="AP802" t="s">
        <v>3029</v>
      </c>
      <c r="AQ802" t="s">
        <v>3012</v>
      </c>
      <c r="AR802" t="s">
        <v>3030</v>
      </c>
      <c r="AS802" t="s">
        <v>3014</v>
      </c>
      <c r="AU802" t="s">
        <v>3014</v>
      </c>
    </row>
    <row r="803" spans="1:47" x14ac:dyDescent="0.35">
      <c r="A803">
        <v>329371</v>
      </c>
      <c r="B803" t="s">
        <v>178</v>
      </c>
      <c r="C803" t="s">
        <v>179</v>
      </c>
      <c r="D803" s="2">
        <v>45756</v>
      </c>
      <c r="E803">
        <v>53850</v>
      </c>
      <c r="F803">
        <v>102</v>
      </c>
      <c r="G803" t="s">
        <v>151</v>
      </c>
      <c r="H803" t="s">
        <v>167</v>
      </c>
      <c r="I803" t="s">
        <v>45</v>
      </c>
      <c r="K803">
        <v>202504087879191</v>
      </c>
      <c r="L803">
        <v>1023308723686</v>
      </c>
      <c r="M803">
        <v>20250408</v>
      </c>
      <c r="N803" t="s">
        <v>46</v>
      </c>
      <c r="P803" t="s">
        <v>51</v>
      </c>
      <c r="Q803" t="s">
        <v>47</v>
      </c>
      <c r="R803">
        <v>2362000</v>
      </c>
      <c r="S803">
        <v>0</v>
      </c>
      <c r="T803">
        <v>531420</v>
      </c>
      <c r="U803" t="s">
        <v>744</v>
      </c>
      <c r="V803" t="s">
        <v>745</v>
      </c>
      <c r="W803" t="s">
        <v>69</v>
      </c>
      <c r="X803" t="s">
        <v>746</v>
      </c>
      <c r="Y803" t="s">
        <v>51</v>
      </c>
      <c r="Z803">
        <v>1306</v>
      </c>
      <c r="AH803">
        <v>0</v>
      </c>
      <c r="AI803">
        <v>202504</v>
      </c>
      <c r="AJ803" t="s">
        <v>56</v>
      </c>
      <c r="AK803">
        <v>0</v>
      </c>
      <c r="AL803">
        <v>1</v>
      </c>
      <c r="AM803">
        <v>531420</v>
      </c>
      <c r="AN803">
        <v>1</v>
      </c>
      <c r="AO803">
        <v>0</v>
      </c>
      <c r="AP803" t="s">
        <v>3015</v>
      </c>
      <c r="AQ803" t="s">
        <v>3021</v>
      </c>
      <c r="AR803" t="s">
        <v>3022</v>
      </c>
      <c r="AT803" t="s">
        <v>3017</v>
      </c>
      <c r="AU803" t="s">
        <v>3014</v>
      </c>
    </row>
    <row r="804" spans="1:47" x14ac:dyDescent="0.35">
      <c r="A804">
        <v>329370</v>
      </c>
      <c r="B804" t="s">
        <v>172</v>
      </c>
      <c r="C804" t="s">
        <v>173</v>
      </c>
      <c r="D804" s="2">
        <v>45756</v>
      </c>
      <c r="E804">
        <v>53850</v>
      </c>
      <c r="F804">
        <v>182</v>
      </c>
      <c r="G804" t="s">
        <v>318</v>
      </c>
      <c r="H804" t="s">
        <v>167</v>
      </c>
      <c r="I804" t="s">
        <v>45</v>
      </c>
      <c r="K804">
        <v>202504087880332</v>
      </c>
      <c r="L804">
        <v>1823300168510</v>
      </c>
      <c r="M804">
        <v>20250408</v>
      </c>
      <c r="N804" t="s">
        <v>231</v>
      </c>
      <c r="Q804" t="s">
        <v>47</v>
      </c>
      <c r="R804">
        <v>155000</v>
      </c>
      <c r="S804">
        <v>0</v>
      </c>
      <c r="T804">
        <v>3186190</v>
      </c>
      <c r="U804" t="s">
        <v>1078</v>
      </c>
      <c r="V804" t="s">
        <v>1079</v>
      </c>
      <c r="W804" t="s">
        <v>187</v>
      </c>
      <c r="Y804" t="s">
        <v>51</v>
      </c>
      <c r="Z804">
        <v>614</v>
      </c>
      <c r="AH804">
        <v>0</v>
      </c>
      <c r="AI804">
        <v>202504</v>
      </c>
      <c r="AJ804" t="s">
        <v>86</v>
      </c>
      <c r="AK804">
        <v>1</v>
      </c>
      <c r="AL804">
        <v>1</v>
      </c>
      <c r="AO804">
        <v>0</v>
      </c>
      <c r="AP804" t="s">
        <v>3015</v>
      </c>
      <c r="AQ804" t="s">
        <v>3044</v>
      </c>
      <c r="AR804" t="s">
        <v>3045</v>
      </c>
      <c r="AS804" t="s">
        <v>3046</v>
      </c>
      <c r="AU804" t="s">
        <v>3046</v>
      </c>
    </row>
    <row r="805" spans="1:47" x14ac:dyDescent="0.35">
      <c r="A805">
        <v>329369</v>
      </c>
      <c r="B805" t="s">
        <v>178</v>
      </c>
      <c r="C805" t="s">
        <v>179</v>
      </c>
      <c r="D805" s="2">
        <v>45756</v>
      </c>
      <c r="E805">
        <v>53850</v>
      </c>
      <c r="F805">
        <v>175</v>
      </c>
      <c r="G805" t="s">
        <v>99</v>
      </c>
      <c r="H805" t="s">
        <v>167</v>
      </c>
      <c r="I805" t="s">
        <v>45</v>
      </c>
      <c r="K805">
        <v>202504087880034</v>
      </c>
      <c r="L805">
        <v>1753305678410</v>
      </c>
      <c r="M805">
        <v>20250408</v>
      </c>
      <c r="N805" t="s">
        <v>659</v>
      </c>
      <c r="Q805" t="s">
        <v>170</v>
      </c>
      <c r="R805">
        <v>160000</v>
      </c>
      <c r="S805">
        <v>0</v>
      </c>
      <c r="T805">
        <v>567841</v>
      </c>
      <c r="U805" t="s">
        <v>1080</v>
      </c>
      <c r="V805" t="s">
        <v>1081</v>
      </c>
      <c r="W805" t="s">
        <v>187</v>
      </c>
      <c r="Y805" t="s">
        <v>51</v>
      </c>
      <c r="Z805">
        <v>1585</v>
      </c>
      <c r="AH805">
        <v>0</v>
      </c>
      <c r="AI805">
        <v>202504</v>
      </c>
      <c r="AJ805" t="s">
        <v>86</v>
      </c>
      <c r="AK805">
        <v>1</v>
      </c>
      <c r="AL805">
        <v>1</v>
      </c>
      <c r="AO805">
        <v>0</v>
      </c>
      <c r="AP805" t="s">
        <v>3015</v>
      </c>
      <c r="AQ805" t="s">
        <v>3044</v>
      </c>
      <c r="AR805" t="s">
        <v>3045</v>
      </c>
      <c r="AS805" t="s">
        <v>3046</v>
      </c>
      <c r="AU805" t="s">
        <v>3046</v>
      </c>
    </row>
    <row r="806" spans="1:47" x14ac:dyDescent="0.35">
      <c r="A806">
        <v>329368</v>
      </c>
      <c r="B806" t="s">
        <v>178</v>
      </c>
      <c r="C806" t="s">
        <v>179</v>
      </c>
      <c r="D806" s="2">
        <v>45756</v>
      </c>
      <c r="E806">
        <v>53850</v>
      </c>
      <c r="F806">
        <v>147</v>
      </c>
      <c r="G806" t="s">
        <v>771</v>
      </c>
      <c r="H806" t="s">
        <v>167</v>
      </c>
      <c r="I806" t="s">
        <v>45</v>
      </c>
      <c r="K806">
        <v>202504087880231</v>
      </c>
      <c r="L806">
        <v>1473300003059</v>
      </c>
      <c r="M806">
        <v>20250408</v>
      </c>
      <c r="N806" t="s">
        <v>3136</v>
      </c>
      <c r="Q806" t="s">
        <v>170</v>
      </c>
      <c r="R806">
        <v>42791.93</v>
      </c>
      <c r="S806">
        <v>0</v>
      </c>
      <c r="T806">
        <v>4963912</v>
      </c>
      <c r="U806">
        <v>2946001217</v>
      </c>
      <c r="V806" t="s">
        <v>1082</v>
      </c>
      <c r="W806" t="s">
        <v>580</v>
      </c>
      <c r="X806" t="s">
        <v>260</v>
      </c>
      <c r="Y806" t="s">
        <v>51</v>
      </c>
      <c r="Z806">
        <v>1356</v>
      </c>
      <c r="AH806">
        <v>0</v>
      </c>
      <c r="AI806">
        <v>202504</v>
      </c>
      <c r="AJ806" t="s">
        <v>52</v>
      </c>
      <c r="AK806">
        <v>0</v>
      </c>
      <c r="AL806">
        <v>1</v>
      </c>
      <c r="AO806">
        <v>1</v>
      </c>
      <c r="AP806" t="s">
        <v>3015</v>
      </c>
      <c r="AQ806" t="s">
        <v>3078</v>
      </c>
      <c r="AR806" t="s">
        <v>3102</v>
      </c>
      <c r="AT806" t="s">
        <v>3017</v>
      </c>
      <c r="AU806" t="s">
        <v>3057</v>
      </c>
    </row>
    <row r="807" spans="1:47" x14ac:dyDescent="0.35">
      <c r="A807">
        <v>329367</v>
      </c>
      <c r="B807" t="s">
        <v>178</v>
      </c>
      <c r="C807" t="s">
        <v>179</v>
      </c>
      <c r="D807" s="2">
        <v>45756</v>
      </c>
      <c r="E807">
        <v>53850</v>
      </c>
      <c r="F807">
        <v>114</v>
      </c>
      <c r="G807" t="s">
        <v>188</v>
      </c>
      <c r="H807" t="s">
        <v>167</v>
      </c>
      <c r="I807" t="s">
        <v>45</v>
      </c>
      <c r="K807">
        <v>202504087878114</v>
      </c>
      <c r="L807">
        <v>1143306280621</v>
      </c>
      <c r="M807">
        <v>20250408</v>
      </c>
      <c r="N807" t="s">
        <v>310</v>
      </c>
      <c r="Q807" t="s">
        <v>170</v>
      </c>
      <c r="R807">
        <v>203481.28</v>
      </c>
      <c r="S807">
        <v>0</v>
      </c>
      <c r="T807">
        <v>4658875</v>
      </c>
      <c r="U807">
        <v>3230890711</v>
      </c>
      <c r="V807" t="s">
        <v>189</v>
      </c>
      <c r="W807" t="s">
        <v>190</v>
      </c>
      <c r="X807" t="s">
        <v>131</v>
      </c>
      <c r="Y807" t="s">
        <v>51</v>
      </c>
      <c r="Z807">
        <v>870</v>
      </c>
      <c r="AH807">
        <v>0</v>
      </c>
      <c r="AI807">
        <v>202504</v>
      </c>
      <c r="AJ807" t="s">
        <v>56</v>
      </c>
      <c r="AK807">
        <v>0</v>
      </c>
      <c r="AL807">
        <v>1</v>
      </c>
      <c r="AM807">
        <v>4658875</v>
      </c>
      <c r="AN807">
        <v>1</v>
      </c>
      <c r="AO807">
        <v>0</v>
      </c>
      <c r="AP807" t="s">
        <v>3033</v>
      </c>
      <c r="AQ807" t="s">
        <v>3047</v>
      </c>
      <c r="AR807" t="s">
        <v>3048</v>
      </c>
      <c r="AS807" t="s">
        <v>3049</v>
      </c>
      <c r="AU807" t="s">
        <v>3049</v>
      </c>
    </row>
    <row r="808" spans="1:47" x14ac:dyDescent="0.35">
      <c r="A808">
        <v>329366</v>
      </c>
      <c r="B808" t="s">
        <v>193</v>
      </c>
      <c r="C808" t="s">
        <v>194</v>
      </c>
      <c r="D808" s="2">
        <v>45756</v>
      </c>
      <c r="E808">
        <v>53850</v>
      </c>
      <c r="F808">
        <v>131</v>
      </c>
      <c r="G808" t="s">
        <v>216</v>
      </c>
      <c r="H808" t="s">
        <v>167</v>
      </c>
      <c r="I808" t="s">
        <v>45</v>
      </c>
      <c r="K808">
        <v>202504087879650</v>
      </c>
      <c r="L808">
        <v>1313300002205</v>
      </c>
      <c r="M808">
        <v>20250408</v>
      </c>
      <c r="N808" t="s">
        <v>195</v>
      </c>
      <c r="Q808" t="s">
        <v>47</v>
      </c>
      <c r="R808">
        <v>21000</v>
      </c>
      <c r="S808">
        <v>21000</v>
      </c>
      <c r="T808">
        <v>4055163</v>
      </c>
      <c r="U808" t="s">
        <v>522</v>
      </c>
      <c r="V808" t="s">
        <v>523</v>
      </c>
      <c r="W808" t="s">
        <v>69</v>
      </c>
      <c r="X808" t="s">
        <v>131</v>
      </c>
      <c r="Y808" t="s">
        <v>51</v>
      </c>
      <c r="Z808">
        <v>915</v>
      </c>
      <c r="AH808">
        <v>0</v>
      </c>
      <c r="AI808">
        <v>202504</v>
      </c>
      <c r="AJ808" t="s">
        <v>56</v>
      </c>
      <c r="AK808">
        <v>0</v>
      </c>
      <c r="AL808">
        <v>1</v>
      </c>
      <c r="AM808">
        <v>4055163</v>
      </c>
      <c r="AN808">
        <v>1</v>
      </c>
      <c r="AO808">
        <v>0</v>
      </c>
      <c r="AP808" t="s">
        <v>3033</v>
      </c>
      <c r="AQ808" t="s">
        <v>3021</v>
      </c>
      <c r="AR808" t="s">
        <v>3054</v>
      </c>
      <c r="AS808" t="s">
        <v>3055</v>
      </c>
      <c r="AU808" t="s">
        <v>3055</v>
      </c>
    </row>
    <row r="809" spans="1:47" x14ac:dyDescent="0.35">
      <c r="A809">
        <v>329365</v>
      </c>
      <c r="B809" t="s">
        <v>178</v>
      </c>
      <c r="C809" t="s">
        <v>179</v>
      </c>
      <c r="D809" s="2">
        <v>45756</v>
      </c>
      <c r="E809">
        <v>53850</v>
      </c>
      <c r="F809">
        <v>125</v>
      </c>
      <c r="G809" t="s">
        <v>75</v>
      </c>
      <c r="H809" t="s">
        <v>167</v>
      </c>
      <c r="I809" t="s">
        <v>45</v>
      </c>
      <c r="K809">
        <v>202504087878592</v>
      </c>
      <c r="L809">
        <v>1253300000194</v>
      </c>
      <c r="M809">
        <v>20250408</v>
      </c>
      <c r="N809" t="s">
        <v>46</v>
      </c>
      <c r="P809" t="s">
        <v>51</v>
      </c>
      <c r="Q809" t="s">
        <v>47</v>
      </c>
      <c r="R809">
        <v>1468326.89</v>
      </c>
      <c r="S809">
        <v>0</v>
      </c>
      <c r="T809">
        <v>4075615</v>
      </c>
      <c r="U809">
        <v>1898620610</v>
      </c>
      <c r="V809" t="s">
        <v>1083</v>
      </c>
      <c r="W809" t="s">
        <v>49</v>
      </c>
      <c r="X809" t="s">
        <v>421</v>
      </c>
      <c r="Y809" t="s">
        <v>51</v>
      </c>
      <c r="Z809">
        <v>982</v>
      </c>
      <c r="AH809">
        <v>0</v>
      </c>
      <c r="AI809">
        <v>202504</v>
      </c>
      <c r="AJ809" t="s">
        <v>52</v>
      </c>
      <c r="AK809">
        <v>0</v>
      </c>
      <c r="AL809">
        <v>1</v>
      </c>
      <c r="AO809">
        <v>0</v>
      </c>
      <c r="AP809" t="s">
        <v>3015</v>
      </c>
      <c r="AQ809" t="s">
        <v>3012</v>
      </c>
      <c r="AR809" t="s">
        <v>3016</v>
      </c>
      <c r="AT809" t="s">
        <v>3017</v>
      </c>
      <c r="AU809" t="s">
        <v>3018</v>
      </c>
    </row>
    <row r="810" spans="1:47" x14ac:dyDescent="0.35">
      <c r="A810">
        <v>329364</v>
      </c>
      <c r="B810" t="s">
        <v>178</v>
      </c>
      <c r="C810" t="s">
        <v>179</v>
      </c>
      <c r="D810" s="2">
        <v>45756</v>
      </c>
      <c r="E810">
        <v>53850</v>
      </c>
      <c r="F810">
        <v>147</v>
      </c>
      <c r="G810" t="s">
        <v>771</v>
      </c>
      <c r="H810" t="s">
        <v>167</v>
      </c>
      <c r="I810" t="s">
        <v>45</v>
      </c>
      <c r="K810">
        <v>202504087880228</v>
      </c>
      <c r="L810">
        <v>1473300003312</v>
      </c>
      <c r="M810">
        <v>20250408</v>
      </c>
      <c r="N810" t="s">
        <v>3136</v>
      </c>
      <c r="Q810" t="s">
        <v>170</v>
      </c>
      <c r="R810">
        <v>8167.78</v>
      </c>
      <c r="S810">
        <v>0</v>
      </c>
      <c r="T810">
        <v>4991735</v>
      </c>
      <c r="V810" t="s">
        <v>1084</v>
      </c>
      <c r="W810" t="s">
        <v>332</v>
      </c>
      <c r="Y810" t="s">
        <v>51</v>
      </c>
      <c r="Z810">
        <v>1356</v>
      </c>
      <c r="AH810">
        <v>0</v>
      </c>
      <c r="AI810">
        <v>202504</v>
      </c>
      <c r="AJ810" t="s">
        <v>52</v>
      </c>
      <c r="AK810">
        <v>0</v>
      </c>
      <c r="AL810">
        <v>1</v>
      </c>
      <c r="AO810">
        <v>1</v>
      </c>
      <c r="AP810" t="s">
        <v>3015</v>
      </c>
      <c r="AQ810" t="s">
        <v>3058</v>
      </c>
      <c r="AR810" t="s">
        <v>3059</v>
      </c>
      <c r="AS810" t="s">
        <v>3014</v>
      </c>
      <c r="AU810" t="s">
        <v>3014</v>
      </c>
    </row>
    <row r="811" spans="1:47" x14ac:dyDescent="0.35">
      <c r="A811">
        <v>329363</v>
      </c>
      <c r="B811" t="s">
        <v>178</v>
      </c>
      <c r="C811" t="s">
        <v>179</v>
      </c>
      <c r="D811" s="2">
        <v>45756</v>
      </c>
      <c r="E811">
        <v>53850</v>
      </c>
      <c r="F811">
        <v>182</v>
      </c>
      <c r="G811" t="s">
        <v>318</v>
      </c>
      <c r="H811" t="s">
        <v>167</v>
      </c>
      <c r="I811" t="s">
        <v>45</v>
      </c>
      <c r="K811">
        <v>202504087880336</v>
      </c>
      <c r="L811">
        <v>1823300174221</v>
      </c>
      <c r="M811">
        <v>20250408</v>
      </c>
      <c r="N811" t="s">
        <v>3136</v>
      </c>
      <c r="Q811" t="s">
        <v>170</v>
      </c>
      <c r="R811">
        <v>131839.34</v>
      </c>
      <c r="S811">
        <v>0</v>
      </c>
      <c r="T811">
        <v>3020729</v>
      </c>
      <c r="U811" t="s">
        <v>1085</v>
      </c>
      <c r="V811" t="s">
        <v>1086</v>
      </c>
      <c r="W811" t="s">
        <v>187</v>
      </c>
      <c r="Y811" t="s">
        <v>51</v>
      </c>
      <c r="Z811">
        <v>1656</v>
      </c>
      <c r="AH811">
        <v>0</v>
      </c>
      <c r="AI811">
        <v>202504</v>
      </c>
      <c r="AJ811" t="s">
        <v>86</v>
      </c>
      <c r="AK811">
        <v>1</v>
      </c>
      <c r="AL811">
        <v>1</v>
      </c>
      <c r="AO811">
        <v>1</v>
      </c>
      <c r="AP811" t="s">
        <v>3015</v>
      </c>
      <c r="AQ811" t="s">
        <v>3044</v>
      </c>
      <c r="AR811" t="s">
        <v>3045</v>
      </c>
      <c r="AS811" t="s">
        <v>3046</v>
      </c>
      <c r="AU811" t="s">
        <v>3046</v>
      </c>
    </row>
    <row r="812" spans="1:47" x14ac:dyDescent="0.35">
      <c r="A812">
        <v>329362</v>
      </c>
      <c r="B812" t="s">
        <v>164</v>
      </c>
      <c r="C812" t="s">
        <v>165</v>
      </c>
      <c r="D812" s="2">
        <v>45756</v>
      </c>
      <c r="E812">
        <v>53850</v>
      </c>
      <c r="F812">
        <v>178</v>
      </c>
      <c r="G812" t="s">
        <v>315</v>
      </c>
      <c r="H812" t="s">
        <v>167</v>
      </c>
      <c r="I812" t="s">
        <v>45</v>
      </c>
      <c r="K812" t="s">
        <v>1087</v>
      </c>
      <c r="L812">
        <v>1783301004302</v>
      </c>
      <c r="M812">
        <v>20250408</v>
      </c>
      <c r="N812" t="s">
        <v>168</v>
      </c>
      <c r="P812" t="s">
        <v>435</v>
      </c>
      <c r="Q812" t="s">
        <v>170</v>
      </c>
      <c r="R812">
        <v>2399.98</v>
      </c>
      <c r="S812">
        <v>0</v>
      </c>
      <c r="T812">
        <v>4846279</v>
      </c>
      <c r="U812" t="s">
        <v>1088</v>
      </c>
      <c r="V812" t="s">
        <v>1089</v>
      </c>
      <c r="W812" t="s">
        <v>342</v>
      </c>
      <c r="X812" t="s">
        <v>1090</v>
      </c>
      <c r="Y812" t="s">
        <v>51</v>
      </c>
      <c r="Z812">
        <v>746</v>
      </c>
      <c r="AH812">
        <v>0</v>
      </c>
      <c r="AI812">
        <v>202504</v>
      </c>
      <c r="AJ812" t="s">
        <v>56</v>
      </c>
      <c r="AK812">
        <v>0</v>
      </c>
      <c r="AL812">
        <v>1</v>
      </c>
      <c r="AO812">
        <v>0</v>
      </c>
      <c r="AP812" t="s">
        <v>3015</v>
      </c>
      <c r="AQ812" t="s">
        <v>3060</v>
      </c>
      <c r="AR812" t="s">
        <v>3061</v>
      </c>
      <c r="AT812" t="s">
        <v>3017</v>
      </c>
      <c r="AU812" t="s">
        <v>3014</v>
      </c>
    </row>
    <row r="813" spans="1:47" x14ac:dyDescent="0.35">
      <c r="A813">
        <v>329361</v>
      </c>
      <c r="B813" t="s">
        <v>178</v>
      </c>
      <c r="C813" t="s">
        <v>179</v>
      </c>
      <c r="D813" s="2">
        <v>45755</v>
      </c>
      <c r="E813">
        <v>53850</v>
      </c>
      <c r="F813">
        <v>182</v>
      </c>
      <c r="G813" t="s">
        <v>318</v>
      </c>
      <c r="H813" t="s">
        <v>167</v>
      </c>
      <c r="I813" t="s">
        <v>45</v>
      </c>
      <c r="K813">
        <v>202504087876006</v>
      </c>
      <c r="L813">
        <v>1823300017474</v>
      </c>
      <c r="M813">
        <v>20250408</v>
      </c>
      <c r="N813" t="s">
        <v>303</v>
      </c>
      <c r="Q813" t="s">
        <v>170</v>
      </c>
      <c r="R813">
        <v>975210.17</v>
      </c>
      <c r="S813">
        <v>0</v>
      </c>
      <c r="T813">
        <v>3041446</v>
      </c>
      <c r="U813" t="s">
        <v>1091</v>
      </c>
      <c r="V813" t="s">
        <v>1092</v>
      </c>
      <c r="W813" t="s">
        <v>187</v>
      </c>
      <c r="Y813" t="s">
        <v>51</v>
      </c>
      <c r="Z813">
        <v>616</v>
      </c>
      <c r="AH813">
        <v>0</v>
      </c>
      <c r="AI813">
        <v>202504</v>
      </c>
      <c r="AJ813" t="s">
        <v>52</v>
      </c>
      <c r="AK813">
        <v>0</v>
      </c>
      <c r="AL813">
        <v>1</v>
      </c>
      <c r="AO813">
        <v>0</v>
      </c>
      <c r="AP813" t="s">
        <v>3015</v>
      </c>
      <c r="AQ813" t="s">
        <v>3044</v>
      </c>
      <c r="AR813" t="s">
        <v>3045</v>
      </c>
      <c r="AS813" t="s">
        <v>3046</v>
      </c>
      <c r="AU813" t="s">
        <v>3046</v>
      </c>
    </row>
    <row r="814" spans="1:47" x14ac:dyDescent="0.35">
      <c r="A814">
        <v>329360</v>
      </c>
      <c r="B814" t="s">
        <v>178</v>
      </c>
      <c r="C814" t="s">
        <v>179</v>
      </c>
      <c r="D814" s="2">
        <v>45755</v>
      </c>
      <c r="E814">
        <v>53850</v>
      </c>
      <c r="F814">
        <v>125</v>
      </c>
      <c r="G814" t="s">
        <v>75</v>
      </c>
      <c r="H814" t="s">
        <v>167</v>
      </c>
      <c r="I814" t="s">
        <v>45</v>
      </c>
      <c r="K814" t="s">
        <v>1093</v>
      </c>
      <c r="L814">
        <v>1253300002492</v>
      </c>
      <c r="M814">
        <v>20250407</v>
      </c>
      <c r="N814" t="s">
        <v>3136</v>
      </c>
      <c r="Q814" t="s">
        <v>170</v>
      </c>
      <c r="R814">
        <v>1335.49</v>
      </c>
      <c r="S814">
        <v>0</v>
      </c>
      <c r="T814">
        <v>4930799</v>
      </c>
      <c r="U814">
        <v>5212370638</v>
      </c>
      <c r="V814" t="s">
        <v>1094</v>
      </c>
      <c r="W814" t="s">
        <v>49</v>
      </c>
      <c r="X814" t="s">
        <v>241</v>
      </c>
      <c r="Y814" t="s">
        <v>51</v>
      </c>
      <c r="Z814">
        <v>982</v>
      </c>
      <c r="AH814">
        <v>0</v>
      </c>
      <c r="AI814">
        <v>202504</v>
      </c>
      <c r="AJ814" t="s">
        <v>56</v>
      </c>
      <c r="AK814">
        <v>0</v>
      </c>
      <c r="AL814">
        <v>1</v>
      </c>
      <c r="AO814">
        <v>1</v>
      </c>
      <c r="AP814" t="s">
        <v>3015</v>
      </c>
      <c r="AQ814" t="s">
        <v>3012</v>
      </c>
      <c r="AR814" t="s">
        <v>3016</v>
      </c>
      <c r="AT814" t="s">
        <v>3017</v>
      </c>
      <c r="AU814" t="s">
        <v>3018</v>
      </c>
    </row>
    <row r="815" spans="1:47" x14ac:dyDescent="0.35">
      <c r="A815">
        <v>329359</v>
      </c>
      <c r="B815" t="s">
        <v>193</v>
      </c>
      <c r="C815" t="s">
        <v>194</v>
      </c>
      <c r="D815" s="2">
        <v>45755</v>
      </c>
      <c r="E815">
        <v>53850</v>
      </c>
      <c r="F815">
        <v>284</v>
      </c>
      <c r="G815" t="s">
        <v>184</v>
      </c>
      <c r="H815" t="s">
        <v>167</v>
      </c>
      <c r="I815" t="s">
        <v>45</v>
      </c>
      <c r="K815" t="s">
        <v>1095</v>
      </c>
      <c r="L815">
        <v>2843300001336</v>
      </c>
      <c r="M815">
        <v>20250407</v>
      </c>
      <c r="N815" t="s">
        <v>175</v>
      </c>
      <c r="Q815" t="s">
        <v>47</v>
      </c>
      <c r="R815">
        <v>53994.5</v>
      </c>
      <c r="S815">
        <v>51000</v>
      </c>
      <c r="T815">
        <v>1684901</v>
      </c>
      <c r="U815">
        <v>2403010693</v>
      </c>
      <c r="V815" t="s">
        <v>557</v>
      </c>
      <c r="W815" t="s">
        <v>49</v>
      </c>
      <c r="X815" t="s">
        <v>299</v>
      </c>
      <c r="Y815" t="s">
        <v>51</v>
      </c>
      <c r="Z815">
        <v>1767</v>
      </c>
      <c r="AH815">
        <v>0</v>
      </c>
      <c r="AI815">
        <v>202504</v>
      </c>
      <c r="AJ815" t="s">
        <v>56</v>
      </c>
      <c r="AK815">
        <v>0</v>
      </c>
      <c r="AL815">
        <v>1</v>
      </c>
      <c r="AO815">
        <v>1</v>
      </c>
      <c r="AP815" t="s">
        <v>3015</v>
      </c>
      <c r="AQ815" t="s">
        <v>3012</v>
      </c>
      <c r="AR815" t="s">
        <v>3016</v>
      </c>
      <c r="AT815" t="s">
        <v>3017</v>
      </c>
      <c r="AU815" t="s">
        <v>3018</v>
      </c>
    </row>
    <row r="816" spans="1:47" x14ac:dyDescent="0.35">
      <c r="A816">
        <v>329358</v>
      </c>
      <c r="B816" t="s">
        <v>193</v>
      </c>
      <c r="C816" t="s">
        <v>194</v>
      </c>
      <c r="D816" s="2">
        <v>45755</v>
      </c>
      <c r="E816">
        <v>53850</v>
      </c>
      <c r="F816">
        <v>102</v>
      </c>
      <c r="G816" t="s">
        <v>151</v>
      </c>
      <c r="H816" t="s">
        <v>167</v>
      </c>
      <c r="I816" t="s">
        <v>45</v>
      </c>
      <c r="K816" t="s">
        <v>1095</v>
      </c>
      <c r="L816">
        <v>1023308722503</v>
      </c>
      <c r="M816">
        <v>20250407</v>
      </c>
      <c r="N816" t="s">
        <v>195</v>
      </c>
      <c r="Q816" t="s">
        <v>47</v>
      </c>
      <c r="R816">
        <v>30230</v>
      </c>
      <c r="S816">
        <v>30230</v>
      </c>
      <c r="T816">
        <v>413650</v>
      </c>
      <c r="U816">
        <v>3657230722</v>
      </c>
      <c r="V816" t="s">
        <v>196</v>
      </c>
      <c r="W816" t="s">
        <v>190</v>
      </c>
      <c r="X816" t="s">
        <v>197</v>
      </c>
      <c r="Y816" t="s">
        <v>51</v>
      </c>
      <c r="Z816">
        <v>1306</v>
      </c>
      <c r="AH816">
        <v>0</v>
      </c>
      <c r="AI816">
        <v>202504</v>
      </c>
      <c r="AJ816" t="s">
        <v>56</v>
      </c>
      <c r="AK816">
        <v>0</v>
      </c>
      <c r="AL816">
        <v>1</v>
      </c>
      <c r="AM816">
        <v>413650</v>
      </c>
      <c r="AN816">
        <v>1</v>
      </c>
      <c r="AO816">
        <v>0</v>
      </c>
      <c r="AP816" t="s">
        <v>3050</v>
      </c>
      <c r="AQ816" t="s">
        <v>3047</v>
      </c>
      <c r="AR816" t="s">
        <v>3051</v>
      </c>
      <c r="AS816" t="s">
        <v>3049</v>
      </c>
      <c r="AU816" t="s">
        <v>3049</v>
      </c>
    </row>
    <row r="817" spans="1:47" x14ac:dyDescent="0.35">
      <c r="A817">
        <v>329357</v>
      </c>
      <c r="B817" t="s">
        <v>172</v>
      </c>
      <c r="C817" t="s">
        <v>173</v>
      </c>
      <c r="D817" s="2">
        <v>45755</v>
      </c>
      <c r="E817">
        <v>53850</v>
      </c>
      <c r="F817">
        <v>118</v>
      </c>
      <c r="G817" t="s">
        <v>254</v>
      </c>
      <c r="H817" t="s">
        <v>167</v>
      </c>
      <c r="I817" t="s">
        <v>45</v>
      </c>
      <c r="K817">
        <v>202504077877018</v>
      </c>
      <c r="L817">
        <v>1183306281257</v>
      </c>
      <c r="M817">
        <v>20250407</v>
      </c>
      <c r="N817" t="s">
        <v>97</v>
      </c>
      <c r="Q817" t="s">
        <v>47</v>
      </c>
      <c r="R817">
        <v>130000</v>
      </c>
      <c r="S817">
        <v>0</v>
      </c>
      <c r="T817">
        <v>4903828</v>
      </c>
      <c r="U817" t="s">
        <v>1096</v>
      </c>
      <c r="V817" t="s">
        <v>1097</v>
      </c>
      <c r="W817" t="s">
        <v>187</v>
      </c>
      <c r="Y817" t="s">
        <v>51</v>
      </c>
      <c r="Z817">
        <v>632</v>
      </c>
      <c r="AH817">
        <v>0</v>
      </c>
      <c r="AI817">
        <v>202504</v>
      </c>
      <c r="AJ817" t="s">
        <v>119</v>
      </c>
      <c r="AK817">
        <v>1</v>
      </c>
      <c r="AL817">
        <v>1</v>
      </c>
      <c r="AO817">
        <v>0</v>
      </c>
      <c r="AP817" t="s">
        <v>3015</v>
      </c>
      <c r="AQ817" t="s">
        <v>3044</v>
      </c>
      <c r="AR817" t="s">
        <v>3045</v>
      </c>
      <c r="AS817" t="s">
        <v>3046</v>
      </c>
      <c r="AU817" t="s">
        <v>3046</v>
      </c>
    </row>
    <row r="818" spans="1:47" x14ac:dyDescent="0.35">
      <c r="A818">
        <v>329356</v>
      </c>
      <c r="B818" t="s">
        <v>178</v>
      </c>
      <c r="C818" t="s">
        <v>179</v>
      </c>
      <c r="D818" s="2">
        <v>45755</v>
      </c>
      <c r="E818">
        <v>53850</v>
      </c>
      <c r="F818">
        <v>102</v>
      </c>
      <c r="G818" t="s">
        <v>151</v>
      </c>
      <c r="H818" t="s">
        <v>167</v>
      </c>
      <c r="I818" t="s">
        <v>45</v>
      </c>
      <c r="K818">
        <v>202504077875103</v>
      </c>
      <c r="L818">
        <v>1023304132020</v>
      </c>
      <c r="M818">
        <v>20250407</v>
      </c>
      <c r="N818" t="s">
        <v>46</v>
      </c>
      <c r="P818" t="s">
        <v>51</v>
      </c>
      <c r="Q818" t="s">
        <v>47</v>
      </c>
      <c r="R818">
        <v>1546306.64</v>
      </c>
      <c r="S818">
        <v>0</v>
      </c>
      <c r="T818">
        <v>413202</v>
      </c>
      <c r="U818">
        <v>454840778</v>
      </c>
      <c r="V818" t="s">
        <v>634</v>
      </c>
      <c r="W818" t="s">
        <v>49</v>
      </c>
      <c r="X818" t="s">
        <v>364</v>
      </c>
      <c r="Y818" t="s">
        <v>51</v>
      </c>
      <c r="Z818">
        <v>1203</v>
      </c>
      <c r="AH818">
        <v>0</v>
      </c>
      <c r="AI818">
        <v>202504</v>
      </c>
      <c r="AJ818" t="s">
        <v>56</v>
      </c>
      <c r="AK818">
        <v>0</v>
      </c>
      <c r="AL818">
        <v>1</v>
      </c>
      <c r="AO818">
        <v>0</v>
      </c>
      <c r="AP818" t="s">
        <v>3062</v>
      </c>
      <c r="AQ818" t="s">
        <v>3012</v>
      </c>
      <c r="AR818" t="s">
        <v>3063</v>
      </c>
      <c r="AS818" t="s">
        <v>3014</v>
      </c>
      <c r="AU818" t="s">
        <v>3014</v>
      </c>
    </row>
    <row r="819" spans="1:47" x14ac:dyDescent="0.35">
      <c r="A819">
        <v>329355</v>
      </c>
      <c r="B819" t="s">
        <v>172</v>
      </c>
      <c r="C819" t="s">
        <v>173</v>
      </c>
      <c r="D819" s="2">
        <v>45755</v>
      </c>
      <c r="E819">
        <v>53850</v>
      </c>
      <c r="F819">
        <v>118</v>
      </c>
      <c r="G819" t="s">
        <v>254</v>
      </c>
      <c r="H819" t="s">
        <v>167</v>
      </c>
      <c r="I819" t="s">
        <v>45</v>
      </c>
      <c r="K819">
        <v>202504077877019</v>
      </c>
      <c r="L819">
        <v>1183306280338</v>
      </c>
      <c r="M819">
        <v>20250407</v>
      </c>
      <c r="N819" t="s">
        <v>97</v>
      </c>
      <c r="Q819" t="s">
        <v>47</v>
      </c>
      <c r="R819">
        <v>130000</v>
      </c>
      <c r="S819">
        <v>0</v>
      </c>
      <c r="T819">
        <v>4979859</v>
      </c>
      <c r="U819">
        <v>8669660725</v>
      </c>
      <c r="V819" t="s">
        <v>1098</v>
      </c>
      <c r="W819" t="s">
        <v>49</v>
      </c>
      <c r="X819" t="s">
        <v>839</v>
      </c>
      <c r="Y819" t="s">
        <v>51</v>
      </c>
      <c r="Z819">
        <v>979</v>
      </c>
      <c r="AH819">
        <v>0</v>
      </c>
      <c r="AI819">
        <v>202504</v>
      </c>
      <c r="AJ819" t="s">
        <v>56</v>
      </c>
      <c r="AK819">
        <v>0</v>
      </c>
      <c r="AL819">
        <v>1</v>
      </c>
      <c r="AO819">
        <v>0</v>
      </c>
      <c r="AP819" t="s">
        <v>3015</v>
      </c>
      <c r="AQ819" t="s">
        <v>3012</v>
      </c>
      <c r="AR819" t="s">
        <v>3016</v>
      </c>
      <c r="AT819" t="s">
        <v>3017</v>
      </c>
      <c r="AU819" t="s">
        <v>3018</v>
      </c>
    </row>
    <row r="820" spans="1:47" x14ac:dyDescent="0.35">
      <c r="A820">
        <v>329354</v>
      </c>
      <c r="B820" t="s">
        <v>193</v>
      </c>
      <c r="C820" t="s">
        <v>194</v>
      </c>
      <c r="D820" s="2">
        <v>45755</v>
      </c>
      <c r="E820">
        <v>53850</v>
      </c>
      <c r="F820">
        <v>182</v>
      </c>
      <c r="G820" t="s">
        <v>318</v>
      </c>
      <c r="H820" t="s">
        <v>167</v>
      </c>
      <c r="I820" t="s">
        <v>45</v>
      </c>
      <c r="K820" t="s">
        <v>1095</v>
      </c>
      <c r="L820">
        <v>1823300169301</v>
      </c>
      <c r="M820">
        <v>20250407</v>
      </c>
      <c r="N820" t="s">
        <v>195</v>
      </c>
      <c r="Q820" t="s">
        <v>47</v>
      </c>
      <c r="R820">
        <v>37615</v>
      </c>
      <c r="S820">
        <v>37615</v>
      </c>
      <c r="T820">
        <v>4284957</v>
      </c>
      <c r="U820" t="s">
        <v>455</v>
      </c>
      <c r="V820" t="s">
        <v>456</v>
      </c>
      <c r="W820" t="s">
        <v>69</v>
      </c>
      <c r="X820" t="s">
        <v>197</v>
      </c>
      <c r="Y820" t="s">
        <v>51</v>
      </c>
      <c r="Z820">
        <v>1656</v>
      </c>
      <c r="AH820">
        <v>0</v>
      </c>
      <c r="AI820">
        <v>202504</v>
      </c>
      <c r="AJ820" t="s">
        <v>56</v>
      </c>
      <c r="AK820">
        <v>0</v>
      </c>
      <c r="AL820">
        <v>1</v>
      </c>
      <c r="AM820">
        <v>4284957</v>
      </c>
      <c r="AN820">
        <v>1</v>
      </c>
      <c r="AO820">
        <v>0</v>
      </c>
      <c r="AP820" t="s">
        <v>3050</v>
      </c>
      <c r="AQ820" t="s">
        <v>3021</v>
      </c>
      <c r="AR820" t="s">
        <v>3070</v>
      </c>
      <c r="AS820" t="s">
        <v>3055</v>
      </c>
      <c r="AU820" t="s">
        <v>3055</v>
      </c>
    </row>
    <row r="821" spans="1:47" x14ac:dyDescent="0.35">
      <c r="A821">
        <v>329353</v>
      </c>
      <c r="B821" t="s">
        <v>178</v>
      </c>
      <c r="C821" t="s">
        <v>179</v>
      </c>
      <c r="D821" s="2">
        <v>45755</v>
      </c>
      <c r="E821">
        <v>53850</v>
      </c>
      <c r="F821">
        <v>267</v>
      </c>
      <c r="G821" t="s">
        <v>349</v>
      </c>
      <c r="H821" t="s">
        <v>167</v>
      </c>
      <c r="I821" t="s">
        <v>45</v>
      </c>
      <c r="K821" t="s">
        <v>1099</v>
      </c>
      <c r="L821">
        <v>2673300010262</v>
      </c>
      <c r="M821">
        <v>20250407</v>
      </c>
      <c r="N821" t="s">
        <v>3136</v>
      </c>
      <c r="Q821" t="s">
        <v>170</v>
      </c>
      <c r="R821">
        <v>1033.3800000000001</v>
      </c>
      <c r="S821">
        <v>0</v>
      </c>
      <c r="T821">
        <v>1616725</v>
      </c>
      <c r="U821">
        <v>2694030798</v>
      </c>
      <c r="V821" t="s">
        <v>641</v>
      </c>
      <c r="W821" t="s">
        <v>49</v>
      </c>
      <c r="X821" t="s">
        <v>200</v>
      </c>
      <c r="Y821" t="s">
        <v>51</v>
      </c>
      <c r="Z821">
        <v>1878</v>
      </c>
      <c r="AH821">
        <v>0</v>
      </c>
      <c r="AI821">
        <v>202504</v>
      </c>
      <c r="AJ821" t="s">
        <v>56</v>
      </c>
      <c r="AK821">
        <v>0</v>
      </c>
      <c r="AL821">
        <v>1</v>
      </c>
      <c r="AM821">
        <v>1616725</v>
      </c>
      <c r="AN821">
        <v>1</v>
      </c>
      <c r="AO821">
        <v>1</v>
      </c>
      <c r="AP821" t="s">
        <v>3015</v>
      </c>
      <c r="AQ821" t="s">
        <v>3012</v>
      </c>
      <c r="AR821" t="s">
        <v>3016</v>
      </c>
      <c r="AT821" t="s">
        <v>3017</v>
      </c>
      <c r="AU821" t="s">
        <v>3018</v>
      </c>
    </row>
    <row r="822" spans="1:47" x14ac:dyDescent="0.35">
      <c r="A822">
        <v>329352</v>
      </c>
      <c r="B822" t="s">
        <v>172</v>
      </c>
      <c r="C822" t="s">
        <v>173</v>
      </c>
      <c r="D822" s="2">
        <v>45755</v>
      </c>
      <c r="E822">
        <v>53850</v>
      </c>
      <c r="F822">
        <v>102</v>
      </c>
      <c r="G822" t="s">
        <v>151</v>
      </c>
      <c r="H822" t="s">
        <v>167</v>
      </c>
      <c r="I822" t="s">
        <v>45</v>
      </c>
      <c r="K822" t="s">
        <v>1095</v>
      </c>
      <c r="L822">
        <v>1023300660520</v>
      </c>
      <c r="M822">
        <v>20250407</v>
      </c>
      <c r="N822" t="s">
        <v>175</v>
      </c>
      <c r="Q822" t="s">
        <v>47</v>
      </c>
      <c r="R822">
        <v>169736</v>
      </c>
      <c r="S822">
        <v>33835</v>
      </c>
      <c r="T822">
        <v>66052</v>
      </c>
      <c r="U822">
        <v>398110726</v>
      </c>
      <c r="V822" t="s">
        <v>426</v>
      </c>
      <c r="W822" t="s">
        <v>49</v>
      </c>
      <c r="X822" t="s">
        <v>59</v>
      </c>
      <c r="Y822" t="s">
        <v>51</v>
      </c>
      <c r="Z822">
        <v>1203</v>
      </c>
      <c r="AH822">
        <v>0</v>
      </c>
      <c r="AI822">
        <v>202504</v>
      </c>
      <c r="AJ822" t="s">
        <v>119</v>
      </c>
      <c r="AK822">
        <v>1</v>
      </c>
      <c r="AL822">
        <v>1</v>
      </c>
      <c r="AM822">
        <v>66052</v>
      </c>
      <c r="AN822">
        <v>1</v>
      </c>
      <c r="AO822">
        <v>1</v>
      </c>
      <c r="AP822" t="s">
        <v>3015</v>
      </c>
      <c r="AQ822" t="s">
        <v>3012</v>
      </c>
      <c r="AR822" t="s">
        <v>3016</v>
      </c>
      <c r="AT822" t="s">
        <v>3017</v>
      </c>
      <c r="AU822" t="s">
        <v>3018</v>
      </c>
    </row>
    <row r="823" spans="1:47" x14ac:dyDescent="0.35">
      <c r="A823">
        <v>329351</v>
      </c>
      <c r="B823" t="s">
        <v>172</v>
      </c>
      <c r="C823" t="s">
        <v>173</v>
      </c>
      <c r="D823" s="2">
        <v>45755</v>
      </c>
      <c r="E823">
        <v>53850</v>
      </c>
      <c r="F823">
        <v>287</v>
      </c>
      <c r="G823" t="s">
        <v>707</v>
      </c>
      <c r="H823" t="s">
        <v>167</v>
      </c>
      <c r="I823" t="s">
        <v>45</v>
      </c>
      <c r="K823" t="s">
        <v>1095</v>
      </c>
      <c r="L823">
        <v>2873300001853</v>
      </c>
      <c r="M823">
        <v>20250407</v>
      </c>
      <c r="N823" t="s">
        <v>175</v>
      </c>
      <c r="Q823" t="s">
        <v>47</v>
      </c>
      <c r="R823">
        <v>138072.9</v>
      </c>
      <c r="S823">
        <v>79255</v>
      </c>
      <c r="T823">
        <v>3722213</v>
      </c>
      <c r="U823">
        <v>2021570698</v>
      </c>
      <c r="V823" t="s">
        <v>708</v>
      </c>
      <c r="W823" t="s">
        <v>49</v>
      </c>
      <c r="X823" t="s">
        <v>117</v>
      </c>
      <c r="Y823" t="s">
        <v>51</v>
      </c>
      <c r="Z823">
        <v>1877</v>
      </c>
      <c r="AH823">
        <v>0</v>
      </c>
      <c r="AI823">
        <v>202504</v>
      </c>
      <c r="AJ823" t="s">
        <v>52</v>
      </c>
      <c r="AK823">
        <v>0</v>
      </c>
      <c r="AL823">
        <v>1</v>
      </c>
      <c r="AM823">
        <v>3722213</v>
      </c>
      <c r="AN823">
        <v>1</v>
      </c>
      <c r="AO823">
        <v>1</v>
      </c>
      <c r="AP823" t="s">
        <v>3029</v>
      </c>
      <c r="AQ823" t="s">
        <v>3012</v>
      </c>
      <c r="AR823" t="s">
        <v>3030</v>
      </c>
      <c r="AS823" t="s">
        <v>3014</v>
      </c>
      <c r="AU823" t="s">
        <v>3014</v>
      </c>
    </row>
    <row r="824" spans="1:47" x14ac:dyDescent="0.35">
      <c r="A824">
        <v>329350</v>
      </c>
      <c r="B824" t="s">
        <v>756</v>
      </c>
      <c r="C824" t="s">
        <v>757</v>
      </c>
      <c r="D824" s="2">
        <v>45755</v>
      </c>
      <c r="E824">
        <v>53850</v>
      </c>
      <c r="F824">
        <v>182</v>
      </c>
      <c r="G824" t="s">
        <v>318</v>
      </c>
      <c r="H824" t="s">
        <v>167</v>
      </c>
      <c r="I824" t="s">
        <v>45</v>
      </c>
      <c r="K824">
        <v>202504077877288</v>
      </c>
      <c r="L824">
        <v>1823300038953</v>
      </c>
      <c r="M824">
        <v>20250407</v>
      </c>
      <c r="N824" t="s">
        <v>759</v>
      </c>
      <c r="Q824" t="s">
        <v>170</v>
      </c>
      <c r="R824">
        <v>35375</v>
      </c>
      <c r="S824">
        <v>35375</v>
      </c>
      <c r="T824">
        <v>4898608</v>
      </c>
      <c r="U824">
        <v>3093910739</v>
      </c>
      <c r="V824" t="s">
        <v>1101</v>
      </c>
      <c r="W824" t="s">
        <v>49</v>
      </c>
      <c r="X824" t="s">
        <v>1102</v>
      </c>
      <c r="Y824" t="s">
        <v>51</v>
      </c>
      <c r="Z824">
        <v>676</v>
      </c>
      <c r="AH824">
        <v>0</v>
      </c>
      <c r="AI824">
        <v>202504</v>
      </c>
      <c r="AJ824" t="s">
        <v>52</v>
      </c>
      <c r="AK824">
        <v>0</v>
      </c>
      <c r="AL824">
        <v>0</v>
      </c>
      <c r="AM824">
        <v>4898608</v>
      </c>
      <c r="AN824">
        <v>1</v>
      </c>
      <c r="AO824">
        <v>0</v>
      </c>
      <c r="AP824" t="s">
        <v>3015</v>
      </c>
      <c r="AQ824" t="s">
        <v>3012</v>
      </c>
      <c r="AR824" t="s">
        <v>3016</v>
      </c>
      <c r="AT824" t="s">
        <v>3017</v>
      </c>
      <c r="AU824" t="s">
        <v>3018</v>
      </c>
    </row>
    <row r="825" spans="1:47" x14ac:dyDescent="0.35">
      <c r="A825">
        <v>329349</v>
      </c>
      <c r="B825" t="s">
        <v>193</v>
      </c>
      <c r="C825" t="s">
        <v>194</v>
      </c>
      <c r="D825" s="2">
        <v>45755</v>
      </c>
      <c r="E825">
        <v>53850</v>
      </c>
      <c r="F825">
        <v>170</v>
      </c>
      <c r="G825" t="s">
        <v>211</v>
      </c>
      <c r="H825" t="s">
        <v>167</v>
      </c>
      <c r="I825" t="s">
        <v>45</v>
      </c>
      <c r="K825" t="s">
        <v>1095</v>
      </c>
      <c r="L825">
        <v>1703300000428</v>
      </c>
      <c r="M825">
        <v>20250407</v>
      </c>
      <c r="N825" t="s">
        <v>195</v>
      </c>
      <c r="Q825" t="s">
        <v>47</v>
      </c>
      <c r="R825">
        <v>50000</v>
      </c>
      <c r="S825">
        <v>50000</v>
      </c>
      <c r="T825">
        <v>4833134</v>
      </c>
      <c r="U825">
        <v>7323170725</v>
      </c>
      <c r="V825" t="s">
        <v>425</v>
      </c>
      <c r="W825" t="s">
        <v>49</v>
      </c>
      <c r="X825" t="s">
        <v>413</v>
      </c>
      <c r="Y825" t="s">
        <v>51</v>
      </c>
      <c r="Z825">
        <v>694</v>
      </c>
      <c r="AH825">
        <v>0</v>
      </c>
      <c r="AI825">
        <v>202504</v>
      </c>
      <c r="AJ825" t="s">
        <v>56</v>
      </c>
      <c r="AK825">
        <v>0</v>
      </c>
      <c r="AL825">
        <v>1</v>
      </c>
      <c r="AM825">
        <v>4833134</v>
      </c>
      <c r="AN825">
        <v>1</v>
      </c>
      <c r="AO825">
        <v>0</v>
      </c>
      <c r="AP825" t="s">
        <v>3015</v>
      </c>
      <c r="AQ825" t="s">
        <v>3012</v>
      </c>
      <c r="AR825" t="s">
        <v>3016</v>
      </c>
      <c r="AT825" t="s">
        <v>3017</v>
      </c>
      <c r="AU825" t="s">
        <v>3018</v>
      </c>
    </row>
    <row r="826" spans="1:47" x14ac:dyDescent="0.35">
      <c r="A826">
        <v>329348</v>
      </c>
      <c r="B826" t="s">
        <v>172</v>
      </c>
      <c r="C826" t="s">
        <v>173</v>
      </c>
      <c r="D826" s="2">
        <v>45755</v>
      </c>
      <c r="E826">
        <v>53850</v>
      </c>
      <c r="F826">
        <v>108</v>
      </c>
      <c r="G826" t="s">
        <v>124</v>
      </c>
      <c r="H826" t="s">
        <v>167</v>
      </c>
      <c r="I826" t="s">
        <v>45</v>
      </c>
      <c r="K826" t="s">
        <v>1095</v>
      </c>
      <c r="L826">
        <v>1083306291105</v>
      </c>
      <c r="M826">
        <v>20250407</v>
      </c>
      <c r="N826" t="s">
        <v>175</v>
      </c>
      <c r="Q826" t="s">
        <v>47</v>
      </c>
      <c r="R826">
        <v>128778.83</v>
      </c>
      <c r="S826">
        <v>34129.65</v>
      </c>
      <c r="T826">
        <v>4227057</v>
      </c>
      <c r="U826">
        <v>4874620729</v>
      </c>
      <c r="V826" t="s">
        <v>250</v>
      </c>
      <c r="W826" t="s">
        <v>49</v>
      </c>
      <c r="X826" t="s">
        <v>62</v>
      </c>
      <c r="Y826" t="s">
        <v>51</v>
      </c>
      <c r="Z826">
        <v>1058</v>
      </c>
      <c r="AH826">
        <v>0</v>
      </c>
      <c r="AI826">
        <v>202504</v>
      </c>
      <c r="AJ826" t="s">
        <v>56</v>
      </c>
      <c r="AK826">
        <v>0</v>
      </c>
      <c r="AL826">
        <v>1</v>
      </c>
      <c r="AM826">
        <v>4227057</v>
      </c>
      <c r="AN826">
        <v>1</v>
      </c>
      <c r="AO826">
        <v>1</v>
      </c>
      <c r="AP826" t="s">
        <v>3015</v>
      </c>
      <c r="AQ826" t="s">
        <v>3012</v>
      </c>
      <c r="AR826" t="s">
        <v>3016</v>
      </c>
      <c r="AT826" t="s">
        <v>3017</v>
      </c>
      <c r="AU826" t="s">
        <v>3018</v>
      </c>
    </row>
    <row r="827" spans="1:47" x14ac:dyDescent="0.35">
      <c r="A827">
        <v>329347</v>
      </c>
      <c r="B827" t="s">
        <v>193</v>
      </c>
      <c r="C827" t="s">
        <v>194</v>
      </c>
      <c r="D827" s="2">
        <v>45755</v>
      </c>
      <c r="E827">
        <v>53850</v>
      </c>
      <c r="F827">
        <v>268</v>
      </c>
      <c r="G827" t="s">
        <v>83</v>
      </c>
      <c r="H827" t="s">
        <v>167</v>
      </c>
      <c r="I827" t="s">
        <v>45</v>
      </c>
      <c r="K827" t="s">
        <v>1095</v>
      </c>
      <c r="L827">
        <v>2683300010030</v>
      </c>
      <c r="M827">
        <v>20250407</v>
      </c>
      <c r="N827" t="s">
        <v>195</v>
      </c>
      <c r="Q827" t="s">
        <v>47</v>
      </c>
      <c r="R827">
        <v>56580</v>
      </c>
      <c r="S827">
        <v>56580</v>
      </c>
      <c r="T827">
        <v>4966939</v>
      </c>
      <c r="U827" t="s">
        <v>221</v>
      </c>
      <c r="V827" t="s">
        <v>222</v>
      </c>
      <c r="W827" t="s">
        <v>69</v>
      </c>
      <c r="X827" t="s">
        <v>55</v>
      </c>
      <c r="Y827" t="s">
        <v>51</v>
      </c>
      <c r="Z827">
        <v>1870</v>
      </c>
      <c r="AH827">
        <v>0</v>
      </c>
      <c r="AI827">
        <v>202504</v>
      </c>
      <c r="AJ827" t="s">
        <v>56</v>
      </c>
      <c r="AK827">
        <v>0</v>
      </c>
      <c r="AL827">
        <v>1</v>
      </c>
      <c r="AM827">
        <v>4966939</v>
      </c>
      <c r="AN827">
        <v>1</v>
      </c>
      <c r="AO827">
        <v>0</v>
      </c>
      <c r="AP827" t="s">
        <v>3015</v>
      </c>
      <c r="AQ827" t="s">
        <v>3021</v>
      </c>
      <c r="AR827" t="s">
        <v>3022</v>
      </c>
      <c r="AT827" t="s">
        <v>3017</v>
      </c>
      <c r="AU827" t="s">
        <v>3014</v>
      </c>
    </row>
    <row r="828" spans="1:47" x14ac:dyDescent="0.35">
      <c r="A828">
        <v>329346</v>
      </c>
      <c r="B828" t="s">
        <v>178</v>
      </c>
      <c r="C828" t="s">
        <v>179</v>
      </c>
      <c r="D828" s="2">
        <v>45755</v>
      </c>
      <c r="E828">
        <v>53850</v>
      </c>
      <c r="F828">
        <v>204</v>
      </c>
      <c r="G828" t="s">
        <v>329</v>
      </c>
      <c r="H828" t="s">
        <v>167</v>
      </c>
      <c r="I828" t="s">
        <v>45</v>
      </c>
      <c r="K828" t="s">
        <v>1103</v>
      </c>
      <c r="L828">
        <v>2043300012553</v>
      </c>
      <c r="M828">
        <v>20250407</v>
      </c>
      <c r="N828" t="s">
        <v>3136</v>
      </c>
      <c r="Q828" t="s">
        <v>170</v>
      </c>
      <c r="R828">
        <v>1004.79</v>
      </c>
      <c r="S828">
        <v>0</v>
      </c>
      <c r="T828">
        <v>4902092</v>
      </c>
      <c r="U828">
        <v>14374361005</v>
      </c>
      <c r="V828" t="s">
        <v>1104</v>
      </c>
      <c r="W828" t="s">
        <v>49</v>
      </c>
      <c r="X828" t="s">
        <v>200</v>
      </c>
      <c r="Y828" t="s">
        <v>51</v>
      </c>
      <c r="Z828">
        <v>1810</v>
      </c>
      <c r="AH828">
        <v>0</v>
      </c>
      <c r="AI828">
        <v>202504</v>
      </c>
      <c r="AJ828" t="s">
        <v>56</v>
      </c>
      <c r="AK828">
        <v>0</v>
      </c>
      <c r="AL828">
        <v>1</v>
      </c>
      <c r="AO828">
        <v>1</v>
      </c>
      <c r="AP828" t="s">
        <v>3015</v>
      </c>
      <c r="AQ828" t="s">
        <v>3012</v>
      </c>
      <c r="AR828" t="s">
        <v>3016</v>
      </c>
      <c r="AT828" t="s">
        <v>3017</v>
      </c>
      <c r="AU828" t="s">
        <v>3018</v>
      </c>
    </row>
    <row r="829" spans="1:47" x14ac:dyDescent="0.35">
      <c r="A829">
        <v>329345</v>
      </c>
      <c r="B829" t="s">
        <v>164</v>
      </c>
      <c r="C829" t="s">
        <v>165</v>
      </c>
      <c r="D829" s="2">
        <v>45755</v>
      </c>
      <c r="E829">
        <v>53850</v>
      </c>
      <c r="F829">
        <v>268</v>
      </c>
      <c r="G829" t="s">
        <v>83</v>
      </c>
      <c r="H829" t="s">
        <v>167</v>
      </c>
      <c r="I829" t="s">
        <v>45</v>
      </c>
      <c r="K829">
        <v>202504077875826</v>
      </c>
      <c r="L829">
        <v>2681147800157</v>
      </c>
      <c r="M829">
        <v>20250407</v>
      </c>
      <c r="N829" t="s">
        <v>168</v>
      </c>
      <c r="P829" t="s">
        <v>706</v>
      </c>
      <c r="Q829" t="s">
        <v>170</v>
      </c>
      <c r="R829">
        <v>292246.8</v>
      </c>
      <c r="S829">
        <v>0</v>
      </c>
      <c r="T829">
        <v>1606212</v>
      </c>
      <c r="U829">
        <v>1495180794</v>
      </c>
      <c r="V829" t="s">
        <v>120</v>
      </c>
      <c r="W829" t="s">
        <v>49</v>
      </c>
      <c r="X829" t="s">
        <v>121</v>
      </c>
      <c r="Y829" t="s">
        <v>51</v>
      </c>
      <c r="Z829">
        <v>1627</v>
      </c>
      <c r="AH829">
        <v>0</v>
      </c>
      <c r="AI829">
        <v>202504</v>
      </c>
      <c r="AJ829" t="s">
        <v>86</v>
      </c>
      <c r="AK829">
        <v>1</v>
      </c>
      <c r="AL829">
        <v>1</v>
      </c>
      <c r="AO829">
        <v>0</v>
      </c>
      <c r="AP829" t="s">
        <v>3015</v>
      </c>
      <c r="AQ829" t="s">
        <v>3012</v>
      </c>
      <c r="AR829" t="s">
        <v>3016</v>
      </c>
      <c r="AT829" t="s">
        <v>3017</v>
      </c>
      <c r="AU829" t="s">
        <v>3018</v>
      </c>
    </row>
    <row r="830" spans="1:47" x14ac:dyDescent="0.35">
      <c r="A830">
        <v>329344</v>
      </c>
      <c r="B830" t="s">
        <v>193</v>
      </c>
      <c r="C830" t="s">
        <v>194</v>
      </c>
      <c r="D830" s="2">
        <v>45755</v>
      </c>
      <c r="E830">
        <v>53850</v>
      </c>
      <c r="F830">
        <v>189</v>
      </c>
      <c r="G830" t="s">
        <v>286</v>
      </c>
      <c r="H830" t="s">
        <v>167</v>
      </c>
      <c r="I830" t="s">
        <v>45</v>
      </c>
      <c r="K830">
        <v>202504077877308</v>
      </c>
      <c r="L830">
        <v>1893300023546</v>
      </c>
      <c r="M830">
        <v>20250407</v>
      </c>
      <c r="N830" t="s">
        <v>266</v>
      </c>
      <c r="Q830" t="s">
        <v>47</v>
      </c>
      <c r="R830">
        <v>55765</v>
      </c>
      <c r="S830">
        <v>55765</v>
      </c>
      <c r="T830">
        <v>3064562</v>
      </c>
      <c r="U830" t="s">
        <v>287</v>
      </c>
      <c r="V830" t="s">
        <v>288</v>
      </c>
      <c r="W830" t="s">
        <v>69</v>
      </c>
      <c r="X830" t="s">
        <v>55</v>
      </c>
      <c r="Y830" t="s">
        <v>51</v>
      </c>
      <c r="Z830">
        <v>1620</v>
      </c>
      <c r="AH830">
        <v>0</v>
      </c>
      <c r="AI830">
        <v>202504</v>
      </c>
      <c r="AJ830" t="s">
        <v>56</v>
      </c>
      <c r="AK830">
        <v>0</v>
      </c>
      <c r="AL830">
        <v>1</v>
      </c>
      <c r="AM830">
        <v>3064562</v>
      </c>
      <c r="AN830">
        <v>1</v>
      </c>
      <c r="AO830">
        <v>0</v>
      </c>
      <c r="AP830" t="s">
        <v>3015</v>
      </c>
      <c r="AQ830" t="s">
        <v>3021</v>
      </c>
      <c r="AR830" t="s">
        <v>3022</v>
      </c>
      <c r="AT830" t="s">
        <v>3017</v>
      </c>
      <c r="AU830" t="s">
        <v>3014</v>
      </c>
    </row>
    <row r="831" spans="1:47" x14ac:dyDescent="0.35">
      <c r="A831">
        <v>329343</v>
      </c>
      <c r="B831" t="s">
        <v>172</v>
      </c>
      <c r="C831" t="s">
        <v>173</v>
      </c>
      <c r="D831" s="2">
        <v>45755</v>
      </c>
      <c r="E831">
        <v>53850</v>
      </c>
      <c r="F831">
        <v>182</v>
      </c>
      <c r="G831" t="s">
        <v>318</v>
      </c>
      <c r="H831" t="s">
        <v>167</v>
      </c>
      <c r="I831" t="s">
        <v>45</v>
      </c>
      <c r="K831" t="s">
        <v>1095</v>
      </c>
      <c r="L831">
        <v>1823300169301</v>
      </c>
      <c r="M831">
        <v>20250407</v>
      </c>
      <c r="N831" t="s">
        <v>195</v>
      </c>
      <c r="Q831" t="s">
        <v>47</v>
      </c>
      <c r="R831">
        <v>37615</v>
      </c>
      <c r="S831">
        <v>37615</v>
      </c>
      <c r="T831">
        <v>4284957</v>
      </c>
      <c r="U831" t="s">
        <v>455</v>
      </c>
      <c r="V831" t="s">
        <v>456</v>
      </c>
      <c r="W831" t="s">
        <v>69</v>
      </c>
      <c r="X831" t="s">
        <v>197</v>
      </c>
      <c r="Y831" t="s">
        <v>51</v>
      </c>
      <c r="Z831">
        <v>1656</v>
      </c>
      <c r="AH831">
        <v>0</v>
      </c>
      <c r="AI831">
        <v>202504</v>
      </c>
      <c r="AJ831" t="s">
        <v>56</v>
      </c>
      <c r="AK831">
        <v>0</v>
      </c>
      <c r="AL831">
        <v>1</v>
      </c>
      <c r="AM831">
        <v>4284957</v>
      </c>
      <c r="AN831">
        <v>1</v>
      </c>
      <c r="AO831">
        <v>0</v>
      </c>
      <c r="AP831" t="s">
        <v>3050</v>
      </c>
      <c r="AQ831" t="s">
        <v>3021</v>
      </c>
      <c r="AR831" t="s">
        <v>3070</v>
      </c>
      <c r="AS831" t="s">
        <v>3055</v>
      </c>
      <c r="AU831" t="s">
        <v>3055</v>
      </c>
    </row>
    <row r="832" spans="1:47" x14ac:dyDescent="0.35">
      <c r="A832">
        <v>329342</v>
      </c>
      <c r="B832" t="s">
        <v>178</v>
      </c>
      <c r="C832" t="s">
        <v>179</v>
      </c>
      <c r="D832" s="2">
        <v>45755</v>
      </c>
      <c r="E832">
        <v>53850</v>
      </c>
      <c r="F832">
        <v>273</v>
      </c>
      <c r="G832" t="s">
        <v>133</v>
      </c>
      <c r="H832" t="s">
        <v>167</v>
      </c>
      <c r="I832" t="s">
        <v>45</v>
      </c>
      <c r="K832" t="s">
        <v>1105</v>
      </c>
      <c r="L832">
        <v>2733300004121</v>
      </c>
      <c r="M832">
        <v>20250407</v>
      </c>
      <c r="N832" t="s">
        <v>3136</v>
      </c>
      <c r="Q832" t="s">
        <v>170</v>
      </c>
      <c r="R832">
        <v>1035.48</v>
      </c>
      <c r="S832">
        <v>0</v>
      </c>
      <c r="T832">
        <v>1694705</v>
      </c>
      <c r="U832">
        <v>1947330690</v>
      </c>
      <c r="V832" t="s">
        <v>1106</v>
      </c>
      <c r="W832" t="s">
        <v>49</v>
      </c>
      <c r="X832" t="s">
        <v>432</v>
      </c>
      <c r="Y832" t="s">
        <v>51</v>
      </c>
      <c r="Z832">
        <v>1765</v>
      </c>
      <c r="AH832">
        <v>0</v>
      </c>
      <c r="AI832">
        <v>202504</v>
      </c>
      <c r="AJ832" t="s">
        <v>52</v>
      </c>
      <c r="AK832">
        <v>0</v>
      </c>
      <c r="AL832">
        <v>1</v>
      </c>
      <c r="AO832">
        <v>1</v>
      </c>
      <c r="AP832" t="s">
        <v>3015</v>
      </c>
      <c r="AQ832" t="s">
        <v>3012</v>
      </c>
      <c r="AR832" t="s">
        <v>3016</v>
      </c>
      <c r="AT832" t="s">
        <v>3017</v>
      </c>
      <c r="AU832" t="s">
        <v>3018</v>
      </c>
    </row>
    <row r="833" spans="1:47" x14ac:dyDescent="0.35">
      <c r="A833">
        <v>329341</v>
      </c>
      <c r="B833" t="s">
        <v>214</v>
      </c>
      <c r="C833" t="s">
        <v>215</v>
      </c>
      <c r="D833" s="2">
        <v>45755</v>
      </c>
      <c r="E833">
        <v>53850</v>
      </c>
      <c r="F833">
        <v>141</v>
      </c>
      <c r="G833" t="s">
        <v>105</v>
      </c>
      <c r="H833" t="s">
        <v>167</v>
      </c>
      <c r="I833" t="s">
        <v>45</v>
      </c>
      <c r="K833">
        <v>202504077874267</v>
      </c>
      <c r="L833">
        <v>1413300003985</v>
      </c>
      <c r="M833">
        <v>20250407</v>
      </c>
      <c r="N833" t="s">
        <v>168</v>
      </c>
      <c r="P833" t="s">
        <v>217</v>
      </c>
      <c r="Q833" t="s">
        <v>170</v>
      </c>
      <c r="R833">
        <v>35000</v>
      </c>
      <c r="S833">
        <v>0</v>
      </c>
      <c r="T833">
        <v>4996689</v>
      </c>
      <c r="U833">
        <v>80010360750</v>
      </c>
      <c r="V833" t="s">
        <v>106</v>
      </c>
      <c r="W833" t="s">
        <v>49</v>
      </c>
      <c r="X833" t="s">
        <v>107</v>
      </c>
      <c r="Y833" t="s">
        <v>51</v>
      </c>
      <c r="Z833">
        <v>1940</v>
      </c>
      <c r="AH833">
        <v>0</v>
      </c>
      <c r="AI833">
        <v>202504</v>
      </c>
      <c r="AJ833" t="s">
        <v>56</v>
      </c>
      <c r="AK833">
        <v>0</v>
      </c>
      <c r="AL833">
        <v>1</v>
      </c>
      <c r="AO833">
        <v>0</v>
      </c>
      <c r="AP833" t="s">
        <v>3024</v>
      </c>
      <c r="AQ833" t="s">
        <v>3012</v>
      </c>
      <c r="AR833" t="s">
        <v>3025</v>
      </c>
      <c r="AS833" t="s">
        <v>3014</v>
      </c>
      <c r="AU833" t="s">
        <v>3014</v>
      </c>
    </row>
    <row r="834" spans="1:47" x14ac:dyDescent="0.35">
      <c r="A834">
        <v>329340</v>
      </c>
      <c r="B834" t="s">
        <v>178</v>
      </c>
      <c r="C834" t="s">
        <v>179</v>
      </c>
      <c r="D834" s="2">
        <v>45755</v>
      </c>
      <c r="E834">
        <v>53850</v>
      </c>
      <c r="F834">
        <v>196</v>
      </c>
      <c r="G834" t="s">
        <v>567</v>
      </c>
      <c r="H834" t="s">
        <v>167</v>
      </c>
      <c r="I834" t="s">
        <v>45</v>
      </c>
      <c r="K834" t="s">
        <v>1107</v>
      </c>
      <c r="L834">
        <v>1963302354339</v>
      </c>
      <c r="M834">
        <v>20250407</v>
      </c>
      <c r="N834" t="s">
        <v>3136</v>
      </c>
      <c r="Q834" t="s">
        <v>170</v>
      </c>
      <c r="R834">
        <v>1057.92</v>
      </c>
      <c r="S834">
        <v>0</v>
      </c>
      <c r="T834">
        <v>4943315</v>
      </c>
      <c r="U834">
        <v>1578810713</v>
      </c>
      <c r="V834" t="s">
        <v>1108</v>
      </c>
      <c r="W834" t="s">
        <v>580</v>
      </c>
      <c r="X834" t="s">
        <v>200</v>
      </c>
      <c r="Y834" t="s">
        <v>51</v>
      </c>
      <c r="Z834">
        <v>1453</v>
      </c>
      <c r="AH834">
        <v>0</v>
      </c>
      <c r="AI834">
        <v>202504</v>
      </c>
      <c r="AJ834" t="s">
        <v>86</v>
      </c>
      <c r="AK834">
        <v>1</v>
      </c>
      <c r="AL834">
        <v>1</v>
      </c>
      <c r="AO834">
        <v>1</v>
      </c>
      <c r="AP834" t="s">
        <v>3015</v>
      </c>
      <c r="AQ834" t="s">
        <v>3078</v>
      </c>
      <c r="AR834" t="s">
        <v>3102</v>
      </c>
      <c r="AT834" t="s">
        <v>3017</v>
      </c>
      <c r="AU834" t="s">
        <v>3057</v>
      </c>
    </row>
    <row r="835" spans="1:47" x14ac:dyDescent="0.35">
      <c r="A835">
        <v>329339</v>
      </c>
      <c r="B835" t="s">
        <v>178</v>
      </c>
      <c r="C835" t="s">
        <v>179</v>
      </c>
      <c r="D835" s="2">
        <v>45755</v>
      </c>
      <c r="E835">
        <v>53850</v>
      </c>
      <c r="F835">
        <v>187</v>
      </c>
      <c r="G835" t="s">
        <v>251</v>
      </c>
      <c r="H835" t="s">
        <v>167</v>
      </c>
      <c r="I835" t="s">
        <v>45</v>
      </c>
      <c r="K835">
        <v>202504077876611</v>
      </c>
      <c r="L835">
        <v>1873300102696</v>
      </c>
      <c r="M835">
        <v>20250407</v>
      </c>
      <c r="N835" t="s">
        <v>659</v>
      </c>
      <c r="Q835" t="s">
        <v>170</v>
      </c>
      <c r="R835">
        <v>436461.36</v>
      </c>
      <c r="S835">
        <v>0</v>
      </c>
      <c r="T835">
        <v>4000559</v>
      </c>
      <c r="U835">
        <v>2099160737</v>
      </c>
      <c r="V835" t="s">
        <v>528</v>
      </c>
      <c r="W835" t="s">
        <v>49</v>
      </c>
      <c r="X835" t="s">
        <v>117</v>
      </c>
      <c r="Y835" t="s">
        <v>51</v>
      </c>
      <c r="Z835">
        <v>1627</v>
      </c>
      <c r="AH835">
        <v>0</v>
      </c>
      <c r="AI835">
        <v>202504</v>
      </c>
      <c r="AJ835" t="s">
        <v>56</v>
      </c>
      <c r="AK835">
        <v>0</v>
      </c>
      <c r="AL835">
        <v>1</v>
      </c>
      <c r="AO835">
        <v>0</v>
      </c>
      <c r="AP835" t="s">
        <v>3029</v>
      </c>
      <c r="AQ835" t="s">
        <v>3012</v>
      </c>
      <c r="AR835" t="s">
        <v>3030</v>
      </c>
      <c r="AS835" t="s">
        <v>3014</v>
      </c>
      <c r="AU835" t="s">
        <v>3014</v>
      </c>
    </row>
    <row r="836" spans="1:47" x14ac:dyDescent="0.35">
      <c r="A836">
        <v>329338</v>
      </c>
      <c r="B836" t="s">
        <v>178</v>
      </c>
      <c r="C836" t="s">
        <v>179</v>
      </c>
      <c r="D836" s="2">
        <v>45755</v>
      </c>
      <c r="E836">
        <v>53850</v>
      </c>
      <c r="F836">
        <v>120</v>
      </c>
      <c r="G836" t="s">
        <v>411</v>
      </c>
      <c r="H836" t="s">
        <v>167</v>
      </c>
      <c r="I836" t="s">
        <v>45</v>
      </c>
      <c r="K836" t="s">
        <v>1109</v>
      </c>
      <c r="L836">
        <v>1203300002401</v>
      </c>
      <c r="M836">
        <v>20250407</v>
      </c>
      <c r="N836" t="s">
        <v>3136</v>
      </c>
      <c r="Q836" t="s">
        <v>170</v>
      </c>
      <c r="R836">
        <v>1783.86</v>
      </c>
      <c r="S836">
        <v>0</v>
      </c>
      <c r="T836">
        <v>613876</v>
      </c>
      <c r="U836">
        <v>574290722</v>
      </c>
      <c r="V836" t="s">
        <v>545</v>
      </c>
      <c r="W836" t="s">
        <v>546</v>
      </c>
      <c r="X836" t="s">
        <v>421</v>
      </c>
      <c r="Y836" t="s">
        <v>51</v>
      </c>
      <c r="Z836">
        <v>1058</v>
      </c>
      <c r="AH836">
        <v>0</v>
      </c>
      <c r="AI836">
        <v>202504</v>
      </c>
      <c r="AJ836" t="s">
        <v>56</v>
      </c>
      <c r="AK836">
        <v>0</v>
      </c>
      <c r="AL836">
        <v>1</v>
      </c>
      <c r="AM836">
        <v>613876</v>
      </c>
      <c r="AN836">
        <v>1</v>
      </c>
      <c r="AO836">
        <v>1</v>
      </c>
      <c r="AP836" t="s">
        <v>3015</v>
      </c>
      <c r="AQ836" t="s">
        <v>3076</v>
      </c>
      <c r="AR836" t="s">
        <v>3077</v>
      </c>
      <c r="AT836" t="s">
        <v>3017</v>
      </c>
      <c r="AU836" t="s">
        <v>3014</v>
      </c>
    </row>
    <row r="837" spans="1:47" x14ac:dyDescent="0.35">
      <c r="A837">
        <v>329337</v>
      </c>
      <c r="B837" t="s">
        <v>193</v>
      </c>
      <c r="C837" t="s">
        <v>194</v>
      </c>
      <c r="D837" s="2">
        <v>45755</v>
      </c>
      <c r="E837">
        <v>53850</v>
      </c>
      <c r="F837">
        <v>264</v>
      </c>
      <c r="G837" t="s">
        <v>71</v>
      </c>
      <c r="H837" t="s">
        <v>167</v>
      </c>
      <c r="I837" t="s">
        <v>45</v>
      </c>
      <c r="K837" t="s">
        <v>1095</v>
      </c>
      <c r="L837">
        <v>2643300010604</v>
      </c>
      <c r="M837">
        <v>20250407</v>
      </c>
      <c r="N837" t="s">
        <v>195</v>
      </c>
      <c r="Q837" t="s">
        <v>47</v>
      </c>
      <c r="R837">
        <v>21640</v>
      </c>
      <c r="S837">
        <v>21640</v>
      </c>
      <c r="T837">
        <v>3730784</v>
      </c>
      <c r="U837">
        <v>1347980771</v>
      </c>
      <c r="V837" t="s">
        <v>526</v>
      </c>
      <c r="W837" t="s">
        <v>190</v>
      </c>
      <c r="X837" t="s">
        <v>131</v>
      </c>
      <c r="Y837" t="s">
        <v>51</v>
      </c>
      <c r="Z837">
        <v>1851</v>
      </c>
      <c r="AH837">
        <v>0</v>
      </c>
      <c r="AI837">
        <v>202504</v>
      </c>
      <c r="AJ837" t="s">
        <v>56</v>
      </c>
      <c r="AK837">
        <v>0</v>
      </c>
      <c r="AL837">
        <v>1</v>
      </c>
      <c r="AM837">
        <v>3730784</v>
      </c>
      <c r="AN837">
        <v>1</v>
      </c>
      <c r="AO837">
        <v>0</v>
      </c>
      <c r="AP837" t="s">
        <v>3033</v>
      </c>
      <c r="AQ837" t="s">
        <v>3047</v>
      </c>
      <c r="AR837" t="s">
        <v>3048</v>
      </c>
      <c r="AS837" t="s">
        <v>3049</v>
      </c>
      <c r="AU837" t="s">
        <v>3049</v>
      </c>
    </row>
    <row r="838" spans="1:47" x14ac:dyDescent="0.35">
      <c r="A838">
        <v>329336</v>
      </c>
      <c r="B838" t="s">
        <v>178</v>
      </c>
      <c r="C838" t="s">
        <v>179</v>
      </c>
      <c r="D838" s="2">
        <v>45755</v>
      </c>
      <c r="E838">
        <v>53850</v>
      </c>
      <c r="F838">
        <v>188</v>
      </c>
      <c r="G838" t="s">
        <v>419</v>
      </c>
      <c r="H838" t="s">
        <v>167</v>
      </c>
      <c r="I838" t="s">
        <v>45</v>
      </c>
      <c r="K838" t="s">
        <v>1110</v>
      </c>
      <c r="L838">
        <v>1883300028081</v>
      </c>
      <c r="M838">
        <v>20250407</v>
      </c>
      <c r="N838" t="s">
        <v>3136</v>
      </c>
      <c r="Q838" t="s">
        <v>170</v>
      </c>
      <c r="R838">
        <v>1085.97</v>
      </c>
      <c r="S838">
        <v>0</v>
      </c>
      <c r="T838">
        <v>3001543</v>
      </c>
      <c r="U838">
        <v>943900738</v>
      </c>
      <c r="V838" t="s">
        <v>420</v>
      </c>
      <c r="W838" t="s">
        <v>49</v>
      </c>
      <c r="X838" t="s">
        <v>421</v>
      </c>
      <c r="Y838" t="s">
        <v>51</v>
      </c>
      <c r="Z838">
        <v>1627</v>
      </c>
      <c r="AH838">
        <v>0</v>
      </c>
      <c r="AI838">
        <v>202504</v>
      </c>
      <c r="AJ838" t="s">
        <v>52</v>
      </c>
      <c r="AK838">
        <v>0</v>
      </c>
      <c r="AL838">
        <v>1</v>
      </c>
      <c r="AM838">
        <v>3001543</v>
      </c>
      <c r="AN838">
        <v>1</v>
      </c>
      <c r="AO838">
        <v>1</v>
      </c>
      <c r="AP838" t="s">
        <v>3015</v>
      </c>
      <c r="AQ838" t="s">
        <v>3012</v>
      </c>
      <c r="AR838" t="s">
        <v>3016</v>
      </c>
      <c r="AT838" t="s">
        <v>3017</v>
      </c>
      <c r="AU838" t="s">
        <v>3018</v>
      </c>
    </row>
    <row r="839" spans="1:47" x14ac:dyDescent="0.35">
      <c r="A839">
        <v>329335</v>
      </c>
      <c r="B839" t="s">
        <v>178</v>
      </c>
      <c r="C839" t="s">
        <v>179</v>
      </c>
      <c r="D839" s="2">
        <v>45755</v>
      </c>
      <c r="E839">
        <v>53850</v>
      </c>
      <c r="F839">
        <v>102</v>
      </c>
      <c r="G839" t="s">
        <v>151</v>
      </c>
      <c r="H839" t="s">
        <v>167</v>
      </c>
      <c r="I839" t="s">
        <v>45</v>
      </c>
      <c r="K839">
        <v>202504077876856</v>
      </c>
      <c r="L839">
        <v>1023301264620</v>
      </c>
      <c r="M839">
        <v>20250407</v>
      </c>
      <c r="N839" t="s">
        <v>344</v>
      </c>
      <c r="Q839" t="s">
        <v>170</v>
      </c>
      <c r="R839">
        <v>300000</v>
      </c>
      <c r="S839">
        <v>0</v>
      </c>
      <c r="T839">
        <v>126462</v>
      </c>
      <c r="U839" t="s">
        <v>1111</v>
      </c>
      <c r="V839" t="s">
        <v>1112</v>
      </c>
      <c r="W839" t="s">
        <v>187</v>
      </c>
      <c r="Y839" t="s">
        <v>51</v>
      </c>
      <c r="Z839">
        <v>1335</v>
      </c>
      <c r="AH839">
        <v>0</v>
      </c>
      <c r="AI839">
        <v>202504</v>
      </c>
      <c r="AJ839" t="s">
        <v>56</v>
      </c>
      <c r="AK839">
        <v>0</v>
      </c>
      <c r="AL839">
        <v>1</v>
      </c>
      <c r="AO839">
        <v>0</v>
      </c>
      <c r="AP839" t="s">
        <v>3015</v>
      </c>
      <c r="AQ839" t="s">
        <v>3044</v>
      </c>
      <c r="AR839" t="s">
        <v>3045</v>
      </c>
      <c r="AS839" t="s">
        <v>3046</v>
      </c>
      <c r="AU839" t="s">
        <v>3046</v>
      </c>
    </row>
    <row r="840" spans="1:47" x14ac:dyDescent="0.35">
      <c r="A840">
        <v>329334</v>
      </c>
      <c r="B840" t="s">
        <v>178</v>
      </c>
      <c r="C840" t="s">
        <v>179</v>
      </c>
      <c r="D840" s="2">
        <v>45755</v>
      </c>
      <c r="E840">
        <v>53850</v>
      </c>
      <c r="F840">
        <v>268</v>
      </c>
      <c r="G840" t="s">
        <v>83</v>
      </c>
      <c r="H840" t="s">
        <v>167</v>
      </c>
      <c r="I840" t="s">
        <v>45</v>
      </c>
      <c r="K840" t="s">
        <v>1113</v>
      </c>
      <c r="L840">
        <v>2683300005043</v>
      </c>
      <c r="M840">
        <v>20250407</v>
      </c>
      <c r="N840" t="s">
        <v>3136</v>
      </c>
      <c r="Q840" t="s">
        <v>170</v>
      </c>
      <c r="R840">
        <v>1788.37</v>
      </c>
      <c r="S840">
        <v>0</v>
      </c>
      <c r="T840">
        <v>1687990</v>
      </c>
      <c r="U840">
        <v>3703970792</v>
      </c>
      <c r="V840" t="s">
        <v>1114</v>
      </c>
      <c r="W840" t="s">
        <v>49</v>
      </c>
      <c r="X840" t="s">
        <v>200</v>
      </c>
      <c r="Y840" t="s">
        <v>51</v>
      </c>
      <c r="Z840">
        <v>1891</v>
      </c>
      <c r="AH840">
        <v>0</v>
      </c>
      <c r="AI840">
        <v>202504</v>
      </c>
      <c r="AJ840" t="s">
        <v>86</v>
      </c>
      <c r="AK840">
        <v>1</v>
      </c>
      <c r="AL840">
        <v>1</v>
      </c>
      <c r="AM840">
        <v>1687990</v>
      </c>
      <c r="AN840">
        <v>1</v>
      </c>
      <c r="AO840">
        <v>1</v>
      </c>
      <c r="AP840" t="s">
        <v>3015</v>
      </c>
      <c r="AQ840" t="s">
        <v>3012</v>
      </c>
      <c r="AR840" t="s">
        <v>3016</v>
      </c>
      <c r="AT840" t="s">
        <v>3017</v>
      </c>
      <c r="AU840" t="s">
        <v>3018</v>
      </c>
    </row>
    <row r="841" spans="1:47" x14ac:dyDescent="0.35">
      <c r="A841">
        <v>329333</v>
      </c>
      <c r="B841" t="s">
        <v>164</v>
      </c>
      <c r="C841" t="s">
        <v>165</v>
      </c>
      <c r="D841" s="2">
        <v>45755</v>
      </c>
      <c r="E841">
        <v>53850</v>
      </c>
      <c r="F841">
        <v>149</v>
      </c>
      <c r="G841" t="s">
        <v>449</v>
      </c>
      <c r="H841" t="s">
        <v>167</v>
      </c>
      <c r="I841" t="s">
        <v>45</v>
      </c>
      <c r="K841">
        <v>202504077874784</v>
      </c>
      <c r="L841">
        <v>1493300663564</v>
      </c>
      <c r="M841">
        <v>20250407</v>
      </c>
      <c r="N841" t="s">
        <v>168</v>
      </c>
      <c r="P841" t="s">
        <v>255</v>
      </c>
      <c r="Q841" t="s">
        <v>47</v>
      </c>
      <c r="R841">
        <v>5486</v>
      </c>
      <c r="S841">
        <v>0</v>
      </c>
      <c r="T841">
        <v>4851736</v>
      </c>
      <c r="U841">
        <v>8243781211</v>
      </c>
      <c r="V841" t="s">
        <v>450</v>
      </c>
      <c r="W841" t="s">
        <v>49</v>
      </c>
      <c r="X841" t="s">
        <v>451</v>
      </c>
      <c r="Y841" t="s">
        <v>51</v>
      </c>
      <c r="Z841">
        <v>1256</v>
      </c>
      <c r="AH841">
        <v>0</v>
      </c>
      <c r="AI841">
        <v>202504</v>
      </c>
      <c r="AJ841" t="s">
        <v>52</v>
      </c>
      <c r="AK841">
        <v>0</v>
      </c>
      <c r="AL841">
        <v>1</v>
      </c>
      <c r="AO841">
        <v>0</v>
      </c>
      <c r="AP841" t="s">
        <v>3015</v>
      </c>
      <c r="AQ841" t="s">
        <v>3012</v>
      </c>
      <c r="AR841" t="s">
        <v>3016</v>
      </c>
      <c r="AT841" t="s">
        <v>3017</v>
      </c>
      <c r="AU841" t="s">
        <v>3018</v>
      </c>
    </row>
    <row r="842" spans="1:47" x14ac:dyDescent="0.35">
      <c r="A842">
        <v>329332</v>
      </c>
      <c r="B842" t="s">
        <v>178</v>
      </c>
      <c r="C842" t="s">
        <v>179</v>
      </c>
      <c r="D842" s="2">
        <v>45755</v>
      </c>
      <c r="E842">
        <v>53850</v>
      </c>
      <c r="F842">
        <v>167</v>
      </c>
      <c r="G842" t="s">
        <v>278</v>
      </c>
      <c r="H842" t="s">
        <v>167</v>
      </c>
      <c r="I842" t="s">
        <v>45</v>
      </c>
      <c r="K842" t="s">
        <v>1115</v>
      </c>
      <c r="L842">
        <v>1673301674288</v>
      </c>
      <c r="M842">
        <v>20250407</v>
      </c>
      <c r="N842" t="s">
        <v>3136</v>
      </c>
      <c r="Q842" t="s">
        <v>170</v>
      </c>
      <c r="R842">
        <v>1269.1199999999999</v>
      </c>
      <c r="S842">
        <v>0</v>
      </c>
      <c r="T842">
        <v>562079</v>
      </c>
      <c r="U842">
        <v>4629890726</v>
      </c>
      <c r="V842" t="s">
        <v>1116</v>
      </c>
      <c r="W842" t="s">
        <v>49</v>
      </c>
      <c r="X842" t="s">
        <v>597</v>
      </c>
      <c r="Y842" t="s">
        <v>51</v>
      </c>
      <c r="Z842">
        <v>1175</v>
      </c>
      <c r="AH842">
        <v>0</v>
      </c>
      <c r="AI842">
        <v>202504</v>
      </c>
      <c r="AJ842" t="s">
        <v>52</v>
      </c>
      <c r="AK842">
        <v>0</v>
      </c>
      <c r="AL842">
        <v>1</v>
      </c>
      <c r="AM842">
        <v>562079</v>
      </c>
      <c r="AN842">
        <v>1</v>
      </c>
      <c r="AO842">
        <v>1</v>
      </c>
      <c r="AP842" t="s">
        <v>3015</v>
      </c>
      <c r="AQ842" t="s">
        <v>3012</v>
      </c>
      <c r="AR842" t="s">
        <v>3016</v>
      </c>
      <c r="AT842" t="s">
        <v>3017</v>
      </c>
      <c r="AU842" t="s">
        <v>3018</v>
      </c>
    </row>
    <row r="843" spans="1:47" x14ac:dyDescent="0.35">
      <c r="A843">
        <v>329331</v>
      </c>
      <c r="B843" t="s">
        <v>178</v>
      </c>
      <c r="C843" t="s">
        <v>179</v>
      </c>
      <c r="D843" s="2">
        <v>45755</v>
      </c>
      <c r="E843">
        <v>53850</v>
      </c>
      <c r="F843">
        <v>109</v>
      </c>
      <c r="G843" t="s">
        <v>89</v>
      </c>
      <c r="H843" t="s">
        <v>167</v>
      </c>
      <c r="I843" t="s">
        <v>45</v>
      </c>
      <c r="K843" t="s">
        <v>1117</v>
      </c>
      <c r="L843">
        <v>1093306674452</v>
      </c>
      <c r="M843">
        <v>20250407</v>
      </c>
      <c r="N843" t="s">
        <v>3136</v>
      </c>
      <c r="Q843" t="s">
        <v>170</v>
      </c>
      <c r="R843">
        <v>1889.77</v>
      </c>
      <c r="S843">
        <v>0</v>
      </c>
      <c r="T843">
        <v>4924753</v>
      </c>
      <c r="U843">
        <v>7222270725</v>
      </c>
      <c r="V843" t="s">
        <v>1118</v>
      </c>
      <c r="W843" t="s">
        <v>49</v>
      </c>
      <c r="X843" t="s">
        <v>713</v>
      </c>
      <c r="Y843" t="s">
        <v>51</v>
      </c>
      <c r="Z843">
        <v>1903</v>
      </c>
      <c r="AH843">
        <v>0</v>
      </c>
      <c r="AI843">
        <v>202504</v>
      </c>
      <c r="AJ843" t="s">
        <v>56</v>
      </c>
      <c r="AK843">
        <v>0</v>
      </c>
      <c r="AL843">
        <v>1</v>
      </c>
      <c r="AO843">
        <v>1</v>
      </c>
      <c r="AP843" t="s">
        <v>3015</v>
      </c>
      <c r="AQ843" t="s">
        <v>3012</v>
      </c>
      <c r="AR843" t="s">
        <v>3016</v>
      </c>
      <c r="AT843" t="s">
        <v>3017</v>
      </c>
      <c r="AU843" t="s">
        <v>3018</v>
      </c>
    </row>
    <row r="844" spans="1:47" x14ac:dyDescent="0.35">
      <c r="A844">
        <v>329330</v>
      </c>
      <c r="B844" t="s">
        <v>178</v>
      </c>
      <c r="C844" t="s">
        <v>179</v>
      </c>
      <c r="D844" s="2">
        <v>45755</v>
      </c>
      <c r="E844">
        <v>53850</v>
      </c>
      <c r="F844">
        <v>109</v>
      </c>
      <c r="G844" t="s">
        <v>89</v>
      </c>
      <c r="H844" t="s">
        <v>167</v>
      </c>
      <c r="I844" t="s">
        <v>45</v>
      </c>
      <c r="K844" t="s">
        <v>1119</v>
      </c>
      <c r="L844">
        <v>1093306677007</v>
      </c>
      <c r="M844">
        <v>20250407</v>
      </c>
      <c r="N844" t="s">
        <v>3136</v>
      </c>
      <c r="Q844" t="s">
        <v>170</v>
      </c>
      <c r="R844">
        <v>1523.9</v>
      </c>
      <c r="S844">
        <v>0</v>
      </c>
      <c r="T844">
        <v>3710113</v>
      </c>
      <c r="U844">
        <v>8795060725</v>
      </c>
      <c r="V844" t="s">
        <v>1120</v>
      </c>
      <c r="W844" t="s">
        <v>49</v>
      </c>
      <c r="X844" t="s">
        <v>432</v>
      </c>
      <c r="Y844" t="s">
        <v>51</v>
      </c>
      <c r="Z844">
        <v>502</v>
      </c>
      <c r="AH844">
        <v>0</v>
      </c>
      <c r="AI844">
        <v>202504</v>
      </c>
      <c r="AJ844" t="s">
        <v>56</v>
      </c>
      <c r="AK844">
        <v>0</v>
      </c>
      <c r="AL844">
        <v>1</v>
      </c>
      <c r="AM844">
        <v>3710113</v>
      </c>
      <c r="AN844">
        <v>1</v>
      </c>
      <c r="AO844">
        <v>1</v>
      </c>
      <c r="AP844" t="s">
        <v>3015</v>
      </c>
      <c r="AQ844" t="s">
        <v>3012</v>
      </c>
      <c r="AR844" t="s">
        <v>3016</v>
      </c>
      <c r="AT844" t="s">
        <v>3017</v>
      </c>
      <c r="AU844" t="s">
        <v>3018</v>
      </c>
    </row>
    <row r="845" spans="1:47" x14ac:dyDescent="0.35">
      <c r="A845">
        <v>329329</v>
      </c>
      <c r="B845" t="s">
        <v>193</v>
      </c>
      <c r="C845" t="s">
        <v>194</v>
      </c>
      <c r="D845" s="2">
        <v>45755</v>
      </c>
      <c r="E845">
        <v>53850</v>
      </c>
      <c r="F845">
        <v>268</v>
      </c>
      <c r="G845" t="s">
        <v>83</v>
      </c>
      <c r="H845" t="s">
        <v>167</v>
      </c>
      <c r="I845" t="s">
        <v>45</v>
      </c>
      <c r="K845" t="s">
        <v>1095</v>
      </c>
      <c r="L845">
        <v>2683300006749</v>
      </c>
      <c r="M845">
        <v>20250407</v>
      </c>
      <c r="N845" t="s">
        <v>195</v>
      </c>
      <c r="Q845" t="s">
        <v>47</v>
      </c>
      <c r="R845">
        <v>18760</v>
      </c>
      <c r="S845">
        <v>18760</v>
      </c>
      <c r="T845">
        <v>1705239</v>
      </c>
      <c r="U845" t="s">
        <v>1121</v>
      </c>
      <c r="V845" t="s">
        <v>1122</v>
      </c>
      <c r="W845" t="s">
        <v>69</v>
      </c>
      <c r="X845" t="s">
        <v>131</v>
      </c>
      <c r="Y845" t="s">
        <v>51</v>
      </c>
      <c r="Z845">
        <v>1834</v>
      </c>
      <c r="AH845">
        <v>0</v>
      </c>
      <c r="AI845">
        <v>202504</v>
      </c>
      <c r="AJ845" t="s">
        <v>119</v>
      </c>
      <c r="AK845">
        <v>1</v>
      </c>
      <c r="AL845">
        <v>1</v>
      </c>
      <c r="AM845">
        <v>1705239</v>
      </c>
      <c r="AN845">
        <v>1</v>
      </c>
      <c r="AO845">
        <v>0</v>
      </c>
      <c r="AP845" t="s">
        <v>3033</v>
      </c>
      <c r="AQ845" t="s">
        <v>3021</v>
      </c>
      <c r="AR845" t="s">
        <v>3054</v>
      </c>
      <c r="AS845" t="s">
        <v>3055</v>
      </c>
      <c r="AU845" t="s">
        <v>3055</v>
      </c>
    </row>
    <row r="846" spans="1:47" x14ac:dyDescent="0.35">
      <c r="A846">
        <v>329328</v>
      </c>
      <c r="B846" t="s">
        <v>178</v>
      </c>
      <c r="C846" t="s">
        <v>179</v>
      </c>
      <c r="D846" s="2">
        <v>45755</v>
      </c>
      <c r="E846">
        <v>53850</v>
      </c>
      <c r="F846">
        <v>120</v>
      </c>
      <c r="G846" t="s">
        <v>411</v>
      </c>
      <c r="H846" t="s">
        <v>167</v>
      </c>
      <c r="I846" t="s">
        <v>45</v>
      </c>
      <c r="K846" t="s">
        <v>1123</v>
      </c>
      <c r="L846">
        <v>1203300002401</v>
      </c>
      <c r="M846">
        <v>20250407</v>
      </c>
      <c r="N846" t="s">
        <v>3136</v>
      </c>
      <c r="Q846" t="s">
        <v>170</v>
      </c>
      <c r="R846">
        <v>1168.03</v>
      </c>
      <c r="S846">
        <v>0</v>
      </c>
      <c r="T846">
        <v>613876</v>
      </c>
      <c r="U846">
        <v>574290722</v>
      </c>
      <c r="V846" t="s">
        <v>545</v>
      </c>
      <c r="W846" t="s">
        <v>546</v>
      </c>
      <c r="X846" t="s">
        <v>421</v>
      </c>
      <c r="Y846" t="s">
        <v>51</v>
      </c>
      <c r="Z846">
        <v>1058</v>
      </c>
      <c r="AH846">
        <v>0</v>
      </c>
      <c r="AI846">
        <v>202504</v>
      </c>
      <c r="AJ846" t="s">
        <v>56</v>
      </c>
      <c r="AK846">
        <v>0</v>
      </c>
      <c r="AL846">
        <v>1</v>
      </c>
      <c r="AM846">
        <v>613876</v>
      </c>
      <c r="AN846">
        <v>1</v>
      </c>
      <c r="AO846">
        <v>1</v>
      </c>
      <c r="AP846" t="s">
        <v>3015</v>
      </c>
      <c r="AQ846" t="s">
        <v>3076</v>
      </c>
      <c r="AR846" t="s">
        <v>3077</v>
      </c>
      <c r="AT846" t="s">
        <v>3017</v>
      </c>
      <c r="AU846" t="s">
        <v>3014</v>
      </c>
    </row>
    <row r="847" spans="1:47" x14ac:dyDescent="0.35">
      <c r="A847">
        <v>329327</v>
      </c>
      <c r="B847" t="s">
        <v>178</v>
      </c>
      <c r="C847" t="s">
        <v>179</v>
      </c>
      <c r="D847" s="2">
        <v>45755</v>
      </c>
      <c r="E847">
        <v>53850</v>
      </c>
      <c r="F847">
        <v>114</v>
      </c>
      <c r="G847" t="s">
        <v>188</v>
      </c>
      <c r="H847" t="s">
        <v>167</v>
      </c>
      <c r="I847" t="s">
        <v>45</v>
      </c>
      <c r="K847">
        <v>202504077876318</v>
      </c>
      <c r="L847">
        <v>1143306280636</v>
      </c>
      <c r="M847">
        <v>20250407</v>
      </c>
      <c r="N847" t="s">
        <v>220</v>
      </c>
      <c r="Q847" t="s">
        <v>170</v>
      </c>
      <c r="R847">
        <v>212409.61</v>
      </c>
      <c r="S847">
        <v>0</v>
      </c>
      <c r="T847">
        <v>4658875</v>
      </c>
      <c r="U847">
        <v>3230890711</v>
      </c>
      <c r="V847" t="s">
        <v>189</v>
      </c>
      <c r="W847" t="s">
        <v>190</v>
      </c>
      <c r="X847" t="s">
        <v>131</v>
      </c>
      <c r="Y847" t="s">
        <v>51</v>
      </c>
      <c r="Z847">
        <v>870</v>
      </c>
      <c r="AH847">
        <v>0</v>
      </c>
      <c r="AI847">
        <v>202504</v>
      </c>
      <c r="AJ847" t="s">
        <v>56</v>
      </c>
      <c r="AK847">
        <v>0</v>
      </c>
      <c r="AL847">
        <v>1</v>
      </c>
      <c r="AM847">
        <v>4658875</v>
      </c>
      <c r="AN847">
        <v>1</v>
      </c>
      <c r="AO847">
        <v>0</v>
      </c>
      <c r="AP847" t="s">
        <v>3033</v>
      </c>
      <c r="AQ847" t="s">
        <v>3047</v>
      </c>
      <c r="AR847" t="s">
        <v>3048</v>
      </c>
      <c r="AS847" t="s">
        <v>3049</v>
      </c>
      <c r="AU847" t="s">
        <v>3049</v>
      </c>
    </row>
    <row r="848" spans="1:47" x14ac:dyDescent="0.35">
      <c r="A848">
        <v>329326</v>
      </c>
      <c r="B848" t="s">
        <v>172</v>
      </c>
      <c r="C848" t="s">
        <v>173</v>
      </c>
      <c r="D848" s="2">
        <v>45755</v>
      </c>
      <c r="E848">
        <v>53850</v>
      </c>
      <c r="F848">
        <v>103</v>
      </c>
      <c r="G848" t="s">
        <v>80</v>
      </c>
      <c r="H848" t="s">
        <v>167</v>
      </c>
      <c r="I848" t="s">
        <v>45</v>
      </c>
      <c r="K848">
        <v>202504077876891</v>
      </c>
      <c r="L848">
        <v>1033306978389</v>
      </c>
      <c r="M848">
        <v>20250407</v>
      </c>
      <c r="N848" t="s">
        <v>81</v>
      </c>
      <c r="Q848" t="s">
        <v>47</v>
      </c>
      <c r="R848">
        <v>440000</v>
      </c>
      <c r="S848">
        <v>0</v>
      </c>
      <c r="T848">
        <v>4912146</v>
      </c>
      <c r="U848">
        <v>8078930727</v>
      </c>
      <c r="V848" t="s">
        <v>1124</v>
      </c>
      <c r="W848" t="s">
        <v>49</v>
      </c>
      <c r="X848" t="s">
        <v>364</v>
      </c>
      <c r="Y848" t="s">
        <v>51</v>
      </c>
      <c r="Z848">
        <v>739</v>
      </c>
      <c r="AH848">
        <v>0</v>
      </c>
      <c r="AI848">
        <v>202504</v>
      </c>
      <c r="AJ848" t="s">
        <v>52</v>
      </c>
      <c r="AK848">
        <v>0</v>
      </c>
      <c r="AL848">
        <v>1</v>
      </c>
      <c r="AO848">
        <v>0</v>
      </c>
      <c r="AP848" t="s">
        <v>3062</v>
      </c>
      <c r="AQ848" t="s">
        <v>3012</v>
      </c>
      <c r="AR848" t="s">
        <v>3063</v>
      </c>
      <c r="AS848" t="s">
        <v>3014</v>
      </c>
      <c r="AU848" t="s">
        <v>3014</v>
      </c>
    </row>
    <row r="849" spans="1:47" x14ac:dyDescent="0.35">
      <c r="A849">
        <v>329325</v>
      </c>
      <c r="B849" t="s">
        <v>193</v>
      </c>
      <c r="C849" t="s">
        <v>194</v>
      </c>
      <c r="D849" s="2">
        <v>45755</v>
      </c>
      <c r="E849">
        <v>53850</v>
      </c>
      <c r="F849">
        <v>171</v>
      </c>
      <c r="G849" t="s">
        <v>198</v>
      </c>
      <c r="H849" t="s">
        <v>167</v>
      </c>
      <c r="I849" t="s">
        <v>45</v>
      </c>
      <c r="K849" t="s">
        <v>1095</v>
      </c>
      <c r="L849">
        <v>1713305728950</v>
      </c>
      <c r="M849">
        <v>20250407</v>
      </c>
      <c r="N849" t="s">
        <v>195</v>
      </c>
      <c r="Q849" t="s">
        <v>47</v>
      </c>
      <c r="R849">
        <v>41691.050000000003</v>
      </c>
      <c r="S849">
        <v>41691.050000000003</v>
      </c>
      <c r="T849">
        <v>572895</v>
      </c>
      <c r="U849">
        <v>4161600723</v>
      </c>
      <c r="V849" t="s">
        <v>199</v>
      </c>
      <c r="W849" t="s">
        <v>49</v>
      </c>
      <c r="X849" t="s">
        <v>200</v>
      </c>
      <c r="Y849" t="s">
        <v>51</v>
      </c>
      <c r="Z849">
        <v>1903</v>
      </c>
      <c r="AH849">
        <v>0</v>
      </c>
      <c r="AI849">
        <v>202504</v>
      </c>
      <c r="AJ849" t="s">
        <v>56</v>
      </c>
      <c r="AK849">
        <v>0</v>
      </c>
      <c r="AL849">
        <v>1</v>
      </c>
      <c r="AM849">
        <v>572895</v>
      </c>
      <c r="AN849">
        <v>1</v>
      </c>
      <c r="AO849">
        <v>0</v>
      </c>
      <c r="AP849" t="s">
        <v>3015</v>
      </c>
      <c r="AQ849" t="s">
        <v>3012</v>
      </c>
      <c r="AR849" t="s">
        <v>3016</v>
      </c>
      <c r="AT849" t="s">
        <v>3017</v>
      </c>
      <c r="AU849" t="s">
        <v>3018</v>
      </c>
    </row>
    <row r="850" spans="1:47" x14ac:dyDescent="0.35">
      <c r="A850">
        <v>329324</v>
      </c>
      <c r="B850" t="s">
        <v>193</v>
      </c>
      <c r="C850" t="s">
        <v>194</v>
      </c>
      <c r="D850" s="2">
        <v>45755</v>
      </c>
      <c r="E850">
        <v>53850</v>
      </c>
      <c r="F850">
        <v>102</v>
      </c>
      <c r="G850" t="s">
        <v>151</v>
      </c>
      <c r="H850" t="s">
        <v>167</v>
      </c>
      <c r="I850" t="s">
        <v>45</v>
      </c>
      <c r="K850">
        <v>202504077876879</v>
      </c>
      <c r="L850">
        <v>1023308720537</v>
      </c>
      <c r="M850">
        <v>20250407</v>
      </c>
      <c r="N850" t="s">
        <v>266</v>
      </c>
      <c r="Q850" t="s">
        <v>47</v>
      </c>
      <c r="R850">
        <v>47500</v>
      </c>
      <c r="S850">
        <v>47500</v>
      </c>
      <c r="T850">
        <v>4653840</v>
      </c>
      <c r="U850">
        <v>7052850729</v>
      </c>
      <c r="V850" t="s">
        <v>485</v>
      </c>
      <c r="W850" t="s">
        <v>49</v>
      </c>
      <c r="X850" t="s">
        <v>200</v>
      </c>
      <c r="Y850" t="s">
        <v>51</v>
      </c>
      <c r="Z850">
        <v>979</v>
      </c>
      <c r="AH850">
        <v>0</v>
      </c>
      <c r="AI850">
        <v>202504</v>
      </c>
      <c r="AJ850" t="s">
        <v>52</v>
      </c>
      <c r="AK850">
        <v>0</v>
      </c>
      <c r="AL850">
        <v>1</v>
      </c>
      <c r="AM850">
        <v>4653840</v>
      </c>
      <c r="AN850">
        <v>1</v>
      </c>
      <c r="AO850">
        <v>0</v>
      </c>
      <c r="AP850" t="s">
        <v>3015</v>
      </c>
      <c r="AQ850" t="s">
        <v>3012</v>
      </c>
      <c r="AR850" t="s">
        <v>3016</v>
      </c>
      <c r="AT850" t="s">
        <v>3017</v>
      </c>
      <c r="AU850" t="s">
        <v>3018</v>
      </c>
    </row>
    <row r="851" spans="1:47" x14ac:dyDescent="0.35">
      <c r="A851">
        <v>329323</v>
      </c>
      <c r="B851" t="s">
        <v>172</v>
      </c>
      <c r="C851" t="s">
        <v>173</v>
      </c>
      <c r="D851" s="2">
        <v>45755</v>
      </c>
      <c r="E851">
        <v>53850</v>
      </c>
      <c r="F851">
        <v>161</v>
      </c>
      <c r="G851" t="s">
        <v>111</v>
      </c>
      <c r="H851" t="s">
        <v>167</v>
      </c>
      <c r="I851" t="s">
        <v>45</v>
      </c>
      <c r="K851" t="s">
        <v>1095</v>
      </c>
      <c r="L851">
        <v>1613300029653</v>
      </c>
      <c r="M851">
        <v>20250407</v>
      </c>
      <c r="N851" t="s">
        <v>175</v>
      </c>
      <c r="Q851" t="s">
        <v>47</v>
      </c>
      <c r="R851">
        <v>98360.01</v>
      </c>
      <c r="S851">
        <v>7500</v>
      </c>
      <c r="T851">
        <v>4088769</v>
      </c>
      <c r="U851">
        <v>5150120722</v>
      </c>
      <c r="V851" t="s">
        <v>270</v>
      </c>
      <c r="W851" t="s">
        <v>49</v>
      </c>
      <c r="X851" t="s">
        <v>110</v>
      </c>
      <c r="Y851" t="s">
        <v>51</v>
      </c>
      <c r="Z851">
        <v>1903</v>
      </c>
      <c r="AH851">
        <v>0</v>
      </c>
      <c r="AI851">
        <v>202504</v>
      </c>
      <c r="AJ851" t="s">
        <v>56</v>
      </c>
      <c r="AK851">
        <v>0</v>
      </c>
      <c r="AL851">
        <v>1</v>
      </c>
      <c r="AM851">
        <v>4088769</v>
      </c>
      <c r="AN851">
        <v>1</v>
      </c>
      <c r="AO851">
        <v>1</v>
      </c>
      <c r="AP851" t="s">
        <v>3026</v>
      </c>
      <c r="AQ851" t="s">
        <v>3012</v>
      </c>
      <c r="AR851" t="s">
        <v>3027</v>
      </c>
      <c r="AS851" t="s">
        <v>3028</v>
      </c>
      <c r="AU851" t="s">
        <v>3028</v>
      </c>
    </row>
    <row r="852" spans="1:47" x14ac:dyDescent="0.35">
      <c r="A852">
        <v>329322</v>
      </c>
      <c r="B852" t="s">
        <v>178</v>
      </c>
      <c r="C852" t="s">
        <v>179</v>
      </c>
      <c r="D852" s="2">
        <v>45755</v>
      </c>
      <c r="E852">
        <v>53850</v>
      </c>
      <c r="F852">
        <v>216</v>
      </c>
      <c r="G852" t="s">
        <v>817</v>
      </c>
      <c r="H852" t="s">
        <v>167</v>
      </c>
      <c r="I852" t="s">
        <v>45</v>
      </c>
      <c r="K852" t="s">
        <v>1125</v>
      </c>
      <c r="L852">
        <v>2163300012270</v>
      </c>
      <c r="M852">
        <v>20250407</v>
      </c>
      <c r="N852" t="s">
        <v>3136</v>
      </c>
      <c r="Q852" t="s">
        <v>170</v>
      </c>
      <c r="R852">
        <v>2017.05</v>
      </c>
      <c r="S852">
        <v>0</v>
      </c>
      <c r="T852">
        <v>3723660</v>
      </c>
      <c r="U852">
        <v>1453600676</v>
      </c>
      <c r="V852" t="s">
        <v>1126</v>
      </c>
      <c r="W852" t="s">
        <v>49</v>
      </c>
      <c r="X852" t="s">
        <v>241</v>
      </c>
      <c r="Y852" t="s">
        <v>51</v>
      </c>
      <c r="Z852">
        <v>1595</v>
      </c>
      <c r="AH852">
        <v>0</v>
      </c>
      <c r="AI852">
        <v>202504</v>
      </c>
      <c r="AJ852" t="s">
        <v>56</v>
      </c>
      <c r="AK852">
        <v>0</v>
      </c>
      <c r="AL852">
        <v>1</v>
      </c>
      <c r="AO852">
        <v>1</v>
      </c>
      <c r="AP852" t="s">
        <v>3015</v>
      </c>
      <c r="AQ852" t="s">
        <v>3012</v>
      </c>
      <c r="AR852" t="s">
        <v>3016</v>
      </c>
      <c r="AT852" t="s">
        <v>3017</v>
      </c>
      <c r="AU852" t="s">
        <v>3018</v>
      </c>
    </row>
    <row r="853" spans="1:47" x14ac:dyDescent="0.35">
      <c r="A853">
        <v>329321</v>
      </c>
      <c r="B853" t="s">
        <v>193</v>
      </c>
      <c r="C853" t="s">
        <v>194</v>
      </c>
      <c r="D853" s="2">
        <v>45755</v>
      </c>
      <c r="E853">
        <v>53850</v>
      </c>
      <c r="F853">
        <v>102</v>
      </c>
      <c r="G853" t="s">
        <v>151</v>
      </c>
      <c r="H853" t="s">
        <v>167</v>
      </c>
      <c r="I853" t="s">
        <v>45</v>
      </c>
      <c r="K853" t="s">
        <v>1095</v>
      </c>
      <c r="L853">
        <v>1023308722071</v>
      </c>
      <c r="M853">
        <v>20250407</v>
      </c>
      <c r="N853" t="s">
        <v>175</v>
      </c>
      <c r="Q853" t="s">
        <v>47</v>
      </c>
      <c r="R853">
        <v>36910</v>
      </c>
      <c r="S853">
        <v>30210</v>
      </c>
      <c r="T853">
        <v>194802</v>
      </c>
      <c r="U853">
        <v>3151820721</v>
      </c>
      <c r="V853" t="s">
        <v>586</v>
      </c>
      <c r="W853" t="s">
        <v>49</v>
      </c>
      <c r="X853" t="s">
        <v>131</v>
      </c>
      <c r="Y853" t="s">
        <v>51</v>
      </c>
      <c r="Z853">
        <v>1203</v>
      </c>
      <c r="AH853">
        <v>0</v>
      </c>
      <c r="AI853">
        <v>202504</v>
      </c>
      <c r="AJ853" t="s">
        <v>86</v>
      </c>
      <c r="AK853">
        <v>1</v>
      </c>
      <c r="AL853">
        <v>1</v>
      </c>
      <c r="AM853">
        <v>194802</v>
      </c>
      <c r="AN853">
        <v>1</v>
      </c>
      <c r="AO853">
        <v>1</v>
      </c>
      <c r="AP853" t="s">
        <v>3033</v>
      </c>
      <c r="AQ853" t="s">
        <v>3012</v>
      </c>
      <c r="AR853" t="s">
        <v>3034</v>
      </c>
      <c r="AS853" t="s">
        <v>3014</v>
      </c>
      <c r="AU853" t="s">
        <v>3014</v>
      </c>
    </row>
    <row r="854" spans="1:47" x14ac:dyDescent="0.35">
      <c r="A854">
        <v>329320</v>
      </c>
      <c r="B854" t="s">
        <v>178</v>
      </c>
      <c r="C854" t="s">
        <v>179</v>
      </c>
      <c r="D854" s="2">
        <v>45755</v>
      </c>
      <c r="E854">
        <v>53850</v>
      </c>
      <c r="F854">
        <v>109</v>
      </c>
      <c r="G854" t="s">
        <v>89</v>
      </c>
      <c r="H854" t="s">
        <v>167</v>
      </c>
      <c r="I854" t="s">
        <v>45</v>
      </c>
      <c r="K854" t="s">
        <v>1127</v>
      </c>
      <c r="L854">
        <v>1093306677028</v>
      </c>
      <c r="M854">
        <v>20250407</v>
      </c>
      <c r="N854" t="s">
        <v>3136</v>
      </c>
      <c r="Q854" t="s">
        <v>170</v>
      </c>
      <c r="R854">
        <v>1334.44</v>
      </c>
      <c r="S854">
        <v>0</v>
      </c>
      <c r="T854">
        <v>3711845</v>
      </c>
      <c r="U854">
        <v>8604300726</v>
      </c>
      <c r="V854" t="s">
        <v>1128</v>
      </c>
      <c r="W854" t="s">
        <v>49</v>
      </c>
      <c r="X854" t="s">
        <v>432</v>
      </c>
      <c r="Y854" t="s">
        <v>51</v>
      </c>
      <c r="Z854">
        <v>502</v>
      </c>
      <c r="AH854">
        <v>0</v>
      </c>
      <c r="AI854">
        <v>202504</v>
      </c>
      <c r="AJ854" t="s">
        <v>86</v>
      </c>
      <c r="AK854">
        <v>1</v>
      </c>
      <c r="AL854">
        <v>1</v>
      </c>
      <c r="AO854">
        <v>1</v>
      </c>
      <c r="AP854" t="s">
        <v>3015</v>
      </c>
      <c r="AQ854" t="s">
        <v>3012</v>
      </c>
      <c r="AR854" t="s">
        <v>3016</v>
      </c>
      <c r="AT854" t="s">
        <v>3017</v>
      </c>
      <c r="AU854" t="s">
        <v>3018</v>
      </c>
    </row>
    <row r="855" spans="1:47" x14ac:dyDescent="0.35">
      <c r="A855">
        <v>329319</v>
      </c>
      <c r="B855" t="s">
        <v>193</v>
      </c>
      <c r="C855" t="s">
        <v>194</v>
      </c>
      <c r="D855" s="2">
        <v>45755</v>
      </c>
      <c r="E855">
        <v>53850</v>
      </c>
      <c r="F855">
        <v>287</v>
      </c>
      <c r="G855" t="s">
        <v>707</v>
      </c>
      <c r="H855" t="s">
        <v>167</v>
      </c>
      <c r="I855" t="s">
        <v>45</v>
      </c>
      <c r="K855" t="s">
        <v>1095</v>
      </c>
      <c r="L855">
        <v>2873300001853</v>
      </c>
      <c r="M855">
        <v>20250407</v>
      </c>
      <c r="N855" t="s">
        <v>175</v>
      </c>
      <c r="Q855" t="s">
        <v>47</v>
      </c>
      <c r="R855">
        <v>138072.9</v>
      </c>
      <c r="S855">
        <v>79255</v>
      </c>
      <c r="T855">
        <v>3722213</v>
      </c>
      <c r="U855">
        <v>2021570698</v>
      </c>
      <c r="V855" t="s">
        <v>708</v>
      </c>
      <c r="W855" t="s">
        <v>49</v>
      </c>
      <c r="X855" t="s">
        <v>117</v>
      </c>
      <c r="Y855" t="s">
        <v>51</v>
      </c>
      <c r="Z855">
        <v>1877</v>
      </c>
      <c r="AH855">
        <v>0</v>
      </c>
      <c r="AI855">
        <v>202504</v>
      </c>
      <c r="AJ855" t="s">
        <v>52</v>
      </c>
      <c r="AK855">
        <v>0</v>
      </c>
      <c r="AL855">
        <v>1</v>
      </c>
      <c r="AM855">
        <v>3722213</v>
      </c>
      <c r="AN855">
        <v>1</v>
      </c>
      <c r="AO855">
        <v>1</v>
      </c>
      <c r="AP855" t="s">
        <v>3029</v>
      </c>
      <c r="AQ855" t="s">
        <v>3012</v>
      </c>
      <c r="AR855" t="s">
        <v>3030</v>
      </c>
      <c r="AS855" t="s">
        <v>3014</v>
      </c>
      <c r="AU855" t="s">
        <v>3014</v>
      </c>
    </row>
    <row r="856" spans="1:47" x14ac:dyDescent="0.35">
      <c r="A856">
        <v>329318</v>
      </c>
      <c r="B856" t="s">
        <v>178</v>
      </c>
      <c r="C856" t="s">
        <v>179</v>
      </c>
      <c r="D856" s="2">
        <v>45755</v>
      </c>
      <c r="E856">
        <v>53850</v>
      </c>
      <c r="F856">
        <v>102</v>
      </c>
      <c r="G856" t="s">
        <v>151</v>
      </c>
      <c r="H856" t="s">
        <v>167</v>
      </c>
      <c r="I856" t="s">
        <v>45</v>
      </c>
      <c r="K856">
        <v>202504077876859</v>
      </c>
      <c r="L856">
        <v>1023308724252</v>
      </c>
      <c r="M856">
        <v>20250407</v>
      </c>
      <c r="N856" t="s">
        <v>1002</v>
      </c>
      <c r="Q856" t="s">
        <v>47</v>
      </c>
      <c r="R856">
        <v>587520</v>
      </c>
      <c r="S856">
        <v>0</v>
      </c>
      <c r="T856">
        <v>4917772</v>
      </c>
      <c r="U856">
        <v>8218730722</v>
      </c>
      <c r="V856" t="s">
        <v>1129</v>
      </c>
      <c r="W856" t="s">
        <v>49</v>
      </c>
      <c r="X856" t="s">
        <v>364</v>
      </c>
      <c r="Y856" t="s">
        <v>51</v>
      </c>
      <c r="Z856">
        <v>1203</v>
      </c>
      <c r="AH856">
        <v>0</v>
      </c>
      <c r="AI856">
        <v>202504</v>
      </c>
      <c r="AJ856" t="s">
        <v>86</v>
      </c>
      <c r="AK856">
        <v>1</v>
      </c>
      <c r="AL856">
        <v>1</v>
      </c>
      <c r="AO856">
        <v>0</v>
      </c>
      <c r="AP856" t="s">
        <v>3062</v>
      </c>
      <c r="AQ856" t="s">
        <v>3012</v>
      </c>
      <c r="AR856" t="s">
        <v>3063</v>
      </c>
      <c r="AS856" t="s">
        <v>3014</v>
      </c>
      <c r="AU856" t="s">
        <v>3014</v>
      </c>
    </row>
    <row r="857" spans="1:47" x14ac:dyDescent="0.35">
      <c r="A857">
        <v>329317</v>
      </c>
      <c r="B857" t="s">
        <v>178</v>
      </c>
      <c r="C857" t="s">
        <v>179</v>
      </c>
      <c r="D857" s="2">
        <v>45755</v>
      </c>
      <c r="E857">
        <v>53850</v>
      </c>
      <c r="F857">
        <v>267</v>
      </c>
      <c r="G857" t="s">
        <v>349</v>
      </c>
      <c r="H857" t="s">
        <v>167</v>
      </c>
      <c r="I857" t="s">
        <v>45</v>
      </c>
      <c r="K857" t="s">
        <v>1130</v>
      </c>
      <c r="L857">
        <v>2673300000258</v>
      </c>
      <c r="M857">
        <v>20250407</v>
      </c>
      <c r="N857" t="s">
        <v>3136</v>
      </c>
      <c r="Q857" t="s">
        <v>170</v>
      </c>
      <c r="R857">
        <v>1181.46</v>
      </c>
      <c r="S857">
        <v>0</v>
      </c>
      <c r="T857">
        <v>1616725</v>
      </c>
      <c r="U857">
        <v>2694030798</v>
      </c>
      <c r="V857" t="s">
        <v>641</v>
      </c>
      <c r="W857" t="s">
        <v>49</v>
      </c>
      <c r="X857" t="s">
        <v>200</v>
      </c>
      <c r="Y857" t="s">
        <v>51</v>
      </c>
      <c r="Z857">
        <v>1878</v>
      </c>
      <c r="AH857">
        <v>0</v>
      </c>
      <c r="AI857">
        <v>202504</v>
      </c>
      <c r="AJ857" t="s">
        <v>56</v>
      </c>
      <c r="AK857">
        <v>0</v>
      </c>
      <c r="AL857">
        <v>1</v>
      </c>
      <c r="AM857">
        <v>1616725</v>
      </c>
      <c r="AN857">
        <v>1</v>
      </c>
      <c r="AO857">
        <v>1</v>
      </c>
      <c r="AP857" t="s">
        <v>3015</v>
      </c>
      <c r="AQ857" t="s">
        <v>3012</v>
      </c>
      <c r="AR857" t="s">
        <v>3016</v>
      </c>
      <c r="AT857" t="s">
        <v>3017</v>
      </c>
      <c r="AU857" t="s">
        <v>3018</v>
      </c>
    </row>
    <row r="858" spans="1:47" x14ac:dyDescent="0.35">
      <c r="A858">
        <v>329316</v>
      </c>
      <c r="B858" t="s">
        <v>172</v>
      </c>
      <c r="C858" t="s">
        <v>173</v>
      </c>
      <c r="D858" s="2">
        <v>45755</v>
      </c>
      <c r="E858">
        <v>53850</v>
      </c>
      <c r="F858">
        <v>103</v>
      </c>
      <c r="G858" t="s">
        <v>80</v>
      </c>
      <c r="H858" t="s">
        <v>167</v>
      </c>
      <c r="I858" t="s">
        <v>45</v>
      </c>
      <c r="K858">
        <v>202504077876917</v>
      </c>
      <c r="L858">
        <v>1033300114330</v>
      </c>
      <c r="M858">
        <v>20250407</v>
      </c>
      <c r="N858" t="s">
        <v>97</v>
      </c>
      <c r="Q858" t="s">
        <v>47</v>
      </c>
      <c r="R858">
        <v>100000</v>
      </c>
      <c r="S858">
        <v>0</v>
      </c>
      <c r="T858">
        <v>11433</v>
      </c>
      <c r="U858" t="s">
        <v>1131</v>
      </c>
      <c r="V858" t="s">
        <v>1132</v>
      </c>
      <c r="W858" t="s">
        <v>69</v>
      </c>
      <c r="X858" t="s">
        <v>234</v>
      </c>
      <c r="Y858" t="s">
        <v>51</v>
      </c>
      <c r="Z858">
        <v>1175</v>
      </c>
      <c r="AH858">
        <v>0</v>
      </c>
      <c r="AI858">
        <v>202504</v>
      </c>
      <c r="AJ858" t="s">
        <v>56</v>
      </c>
      <c r="AK858">
        <v>0</v>
      </c>
      <c r="AL858">
        <v>1</v>
      </c>
      <c r="AO858">
        <v>0</v>
      </c>
      <c r="AP858" t="s">
        <v>3015</v>
      </c>
      <c r="AQ858" t="s">
        <v>3021</v>
      </c>
      <c r="AR858" t="s">
        <v>3022</v>
      </c>
      <c r="AT858" t="s">
        <v>3017</v>
      </c>
      <c r="AU858" t="s">
        <v>3014</v>
      </c>
    </row>
    <row r="859" spans="1:47" x14ac:dyDescent="0.35">
      <c r="A859">
        <v>329315</v>
      </c>
      <c r="B859" t="s">
        <v>164</v>
      </c>
      <c r="C859" t="s">
        <v>165</v>
      </c>
      <c r="D859" s="2">
        <v>45755</v>
      </c>
      <c r="E859">
        <v>53850</v>
      </c>
      <c r="F859">
        <v>268</v>
      </c>
      <c r="G859" t="s">
        <v>83</v>
      </c>
      <c r="H859" t="s">
        <v>167</v>
      </c>
      <c r="I859" t="s">
        <v>45</v>
      </c>
      <c r="K859">
        <v>202504077875827</v>
      </c>
      <c r="L859">
        <v>2681147800157</v>
      </c>
      <c r="M859">
        <v>20250407</v>
      </c>
      <c r="N859" t="s">
        <v>168</v>
      </c>
      <c r="P859" t="s">
        <v>706</v>
      </c>
      <c r="Q859" t="s">
        <v>170</v>
      </c>
      <c r="R859">
        <v>292048.43</v>
      </c>
      <c r="S859">
        <v>0</v>
      </c>
      <c r="T859">
        <v>1606212</v>
      </c>
      <c r="U859">
        <v>1495180794</v>
      </c>
      <c r="V859" t="s">
        <v>120</v>
      </c>
      <c r="W859" t="s">
        <v>49</v>
      </c>
      <c r="X859" t="s">
        <v>121</v>
      </c>
      <c r="Y859" t="s">
        <v>51</v>
      </c>
      <c r="Z859">
        <v>1627</v>
      </c>
      <c r="AH859">
        <v>0</v>
      </c>
      <c r="AI859">
        <v>202504</v>
      </c>
      <c r="AJ859" t="s">
        <v>86</v>
      </c>
      <c r="AK859">
        <v>1</v>
      </c>
      <c r="AL859">
        <v>1</v>
      </c>
      <c r="AO859">
        <v>0</v>
      </c>
      <c r="AP859" t="s">
        <v>3015</v>
      </c>
      <c r="AQ859" t="s">
        <v>3012</v>
      </c>
      <c r="AR859" t="s">
        <v>3016</v>
      </c>
      <c r="AT859" t="s">
        <v>3017</v>
      </c>
      <c r="AU859" t="s">
        <v>3018</v>
      </c>
    </row>
    <row r="860" spans="1:47" x14ac:dyDescent="0.35">
      <c r="A860">
        <v>329314</v>
      </c>
      <c r="B860" t="s">
        <v>178</v>
      </c>
      <c r="C860" t="s">
        <v>179</v>
      </c>
      <c r="D860" s="2">
        <v>45755</v>
      </c>
      <c r="E860">
        <v>53850</v>
      </c>
      <c r="F860">
        <v>117</v>
      </c>
      <c r="G860" t="s">
        <v>490</v>
      </c>
      <c r="H860" t="s">
        <v>167</v>
      </c>
      <c r="I860" t="s">
        <v>45</v>
      </c>
      <c r="K860" t="s">
        <v>1133</v>
      </c>
      <c r="L860">
        <v>1173300538726</v>
      </c>
      <c r="M860">
        <v>20250407</v>
      </c>
      <c r="N860" t="s">
        <v>3136</v>
      </c>
      <c r="Q860" t="s">
        <v>170</v>
      </c>
      <c r="R860">
        <v>1593.4</v>
      </c>
      <c r="S860">
        <v>0</v>
      </c>
      <c r="T860">
        <v>4784989</v>
      </c>
      <c r="U860">
        <v>1269590772</v>
      </c>
      <c r="V860" t="s">
        <v>492</v>
      </c>
      <c r="W860" t="s">
        <v>49</v>
      </c>
      <c r="X860" t="s">
        <v>413</v>
      </c>
      <c r="Y860" t="s">
        <v>51</v>
      </c>
      <c r="Z860">
        <v>1926</v>
      </c>
      <c r="AH860">
        <v>0</v>
      </c>
      <c r="AI860">
        <v>202504</v>
      </c>
      <c r="AJ860" t="s">
        <v>56</v>
      </c>
      <c r="AK860">
        <v>0</v>
      </c>
      <c r="AL860">
        <v>1</v>
      </c>
      <c r="AM860">
        <v>4784989</v>
      </c>
      <c r="AN860">
        <v>1</v>
      </c>
      <c r="AO860">
        <v>1</v>
      </c>
      <c r="AP860" t="s">
        <v>3015</v>
      </c>
      <c r="AQ860" t="s">
        <v>3012</v>
      </c>
      <c r="AR860" t="s">
        <v>3016</v>
      </c>
      <c r="AT860" t="s">
        <v>3017</v>
      </c>
      <c r="AU860" t="s">
        <v>3018</v>
      </c>
    </row>
    <row r="861" spans="1:47" x14ac:dyDescent="0.35">
      <c r="A861">
        <v>329313</v>
      </c>
      <c r="B861" t="s">
        <v>193</v>
      </c>
      <c r="C861" t="s">
        <v>194</v>
      </c>
      <c r="D861" s="2">
        <v>45755</v>
      </c>
      <c r="E861">
        <v>53850</v>
      </c>
      <c r="F861">
        <v>114</v>
      </c>
      <c r="G861" t="s">
        <v>188</v>
      </c>
      <c r="H861" t="s">
        <v>167</v>
      </c>
      <c r="I861" t="s">
        <v>45</v>
      </c>
      <c r="K861">
        <v>202504077876992</v>
      </c>
      <c r="L861">
        <v>1143306280621</v>
      </c>
      <c r="M861">
        <v>20250407</v>
      </c>
      <c r="N861" t="s">
        <v>266</v>
      </c>
      <c r="Q861" t="s">
        <v>47</v>
      </c>
      <c r="R861">
        <v>53000</v>
      </c>
      <c r="S861">
        <v>53000</v>
      </c>
      <c r="T861">
        <v>4658875</v>
      </c>
      <c r="U861">
        <v>3230890711</v>
      </c>
      <c r="V861" t="s">
        <v>189</v>
      </c>
      <c r="W861" t="s">
        <v>190</v>
      </c>
      <c r="X861" t="s">
        <v>131</v>
      </c>
      <c r="Y861" t="s">
        <v>51</v>
      </c>
      <c r="Z861">
        <v>870</v>
      </c>
      <c r="AH861">
        <v>0</v>
      </c>
      <c r="AI861">
        <v>202504</v>
      </c>
      <c r="AJ861" t="s">
        <v>56</v>
      </c>
      <c r="AK861">
        <v>0</v>
      </c>
      <c r="AL861">
        <v>1</v>
      </c>
      <c r="AM861">
        <v>4658875</v>
      </c>
      <c r="AN861">
        <v>1</v>
      </c>
      <c r="AO861">
        <v>0</v>
      </c>
      <c r="AP861" t="s">
        <v>3033</v>
      </c>
      <c r="AQ861" t="s">
        <v>3047</v>
      </c>
      <c r="AR861" t="s">
        <v>3048</v>
      </c>
      <c r="AS861" t="s">
        <v>3049</v>
      </c>
      <c r="AU861" t="s">
        <v>3049</v>
      </c>
    </row>
    <row r="862" spans="1:47" x14ac:dyDescent="0.35">
      <c r="A862">
        <v>329312</v>
      </c>
      <c r="B862" t="s">
        <v>178</v>
      </c>
      <c r="C862" t="s">
        <v>179</v>
      </c>
      <c r="D862" s="2">
        <v>45755</v>
      </c>
      <c r="E862">
        <v>53850</v>
      </c>
      <c r="F862">
        <v>102</v>
      </c>
      <c r="G862" t="s">
        <v>151</v>
      </c>
      <c r="H862" t="s">
        <v>167</v>
      </c>
      <c r="I862" t="s">
        <v>45</v>
      </c>
      <c r="K862">
        <v>202504077876860</v>
      </c>
      <c r="L862">
        <v>1023308724252</v>
      </c>
      <c r="M862">
        <v>20250407</v>
      </c>
      <c r="N862" t="s">
        <v>1002</v>
      </c>
      <c r="Q862" t="s">
        <v>47</v>
      </c>
      <c r="R862">
        <v>881280</v>
      </c>
      <c r="S862">
        <v>0</v>
      </c>
      <c r="T862">
        <v>4917772</v>
      </c>
      <c r="U862">
        <v>8218730722</v>
      </c>
      <c r="V862" t="s">
        <v>1129</v>
      </c>
      <c r="W862" t="s">
        <v>49</v>
      </c>
      <c r="X862" t="s">
        <v>364</v>
      </c>
      <c r="Y862" t="s">
        <v>51</v>
      </c>
      <c r="Z862">
        <v>1203</v>
      </c>
      <c r="AH862">
        <v>0</v>
      </c>
      <c r="AI862">
        <v>202504</v>
      </c>
      <c r="AJ862" t="s">
        <v>86</v>
      </c>
      <c r="AK862">
        <v>1</v>
      </c>
      <c r="AL862">
        <v>1</v>
      </c>
      <c r="AO862">
        <v>0</v>
      </c>
      <c r="AP862" t="s">
        <v>3062</v>
      </c>
      <c r="AQ862" t="s">
        <v>3012</v>
      </c>
      <c r="AR862" t="s">
        <v>3063</v>
      </c>
      <c r="AS862" t="s">
        <v>3014</v>
      </c>
      <c r="AU862" t="s">
        <v>3014</v>
      </c>
    </row>
    <row r="863" spans="1:47" x14ac:dyDescent="0.35">
      <c r="A863">
        <v>329311</v>
      </c>
      <c r="B863" t="s">
        <v>193</v>
      </c>
      <c r="C863" t="s">
        <v>194</v>
      </c>
      <c r="D863" s="2">
        <v>45755</v>
      </c>
      <c r="E863">
        <v>53850</v>
      </c>
      <c r="F863">
        <v>102</v>
      </c>
      <c r="G863" t="s">
        <v>151</v>
      </c>
      <c r="H863" t="s">
        <v>167</v>
      </c>
      <c r="I863" t="s">
        <v>45</v>
      </c>
      <c r="K863">
        <v>202504057876110</v>
      </c>
      <c r="L863">
        <v>1023308722503</v>
      </c>
      <c r="M863">
        <v>20250405</v>
      </c>
      <c r="N863" t="s">
        <v>195</v>
      </c>
      <c r="Q863" t="s">
        <v>47</v>
      </c>
      <c r="R863">
        <v>18950</v>
      </c>
      <c r="S863">
        <v>18950</v>
      </c>
      <c r="T863">
        <v>413650</v>
      </c>
      <c r="U863">
        <v>3657230722</v>
      </c>
      <c r="V863" t="s">
        <v>196</v>
      </c>
      <c r="W863" t="s">
        <v>190</v>
      </c>
      <c r="X863" t="s">
        <v>197</v>
      </c>
      <c r="Y863" t="s">
        <v>51</v>
      </c>
      <c r="Z863">
        <v>1306</v>
      </c>
      <c r="AH863">
        <v>0</v>
      </c>
      <c r="AI863">
        <v>202504</v>
      </c>
      <c r="AJ863" t="s">
        <v>56</v>
      </c>
      <c r="AK863">
        <v>0</v>
      </c>
      <c r="AL863">
        <v>1</v>
      </c>
      <c r="AM863">
        <v>413650</v>
      </c>
      <c r="AN863">
        <v>1</v>
      </c>
      <c r="AO863">
        <v>0</v>
      </c>
      <c r="AP863" t="s">
        <v>3050</v>
      </c>
      <c r="AQ863" t="s">
        <v>3047</v>
      </c>
      <c r="AR863" t="s">
        <v>3051</v>
      </c>
      <c r="AS863" t="s">
        <v>3049</v>
      </c>
      <c r="AU863" t="s">
        <v>3049</v>
      </c>
    </row>
    <row r="864" spans="1:47" x14ac:dyDescent="0.35">
      <c r="A864">
        <v>329310</v>
      </c>
      <c r="B864" t="s">
        <v>164</v>
      </c>
      <c r="C864" t="s">
        <v>165</v>
      </c>
      <c r="D864" s="2">
        <v>45755</v>
      </c>
      <c r="E864">
        <v>53850</v>
      </c>
      <c r="F864">
        <v>168</v>
      </c>
      <c r="G864" t="s">
        <v>616</v>
      </c>
      <c r="H864" t="s">
        <v>167</v>
      </c>
      <c r="I864" t="s">
        <v>45</v>
      </c>
      <c r="K864" t="s">
        <v>1134</v>
      </c>
      <c r="L864">
        <v>1683306277308</v>
      </c>
      <c r="M864">
        <v>20250404</v>
      </c>
      <c r="N864" t="s">
        <v>168</v>
      </c>
      <c r="P864" t="s">
        <v>255</v>
      </c>
      <c r="Q864" t="s">
        <v>170</v>
      </c>
      <c r="R864">
        <v>4500</v>
      </c>
      <c r="S864">
        <v>0</v>
      </c>
      <c r="T864">
        <v>4950606</v>
      </c>
      <c r="U864">
        <v>7856760728</v>
      </c>
      <c r="V864" t="s">
        <v>1135</v>
      </c>
      <c r="W864" t="s">
        <v>49</v>
      </c>
      <c r="X864" t="s">
        <v>686</v>
      </c>
      <c r="Y864" t="s">
        <v>51</v>
      </c>
      <c r="Z864">
        <v>1926</v>
      </c>
      <c r="AH864">
        <v>0</v>
      </c>
      <c r="AI864">
        <v>202504</v>
      </c>
      <c r="AJ864" t="s">
        <v>52</v>
      </c>
      <c r="AK864">
        <v>0</v>
      </c>
      <c r="AL864">
        <v>1</v>
      </c>
      <c r="AO864">
        <v>0</v>
      </c>
      <c r="AP864" t="s">
        <v>3015</v>
      </c>
      <c r="AQ864" t="s">
        <v>3012</v>
      </c>
      <c r="AR864" t="s">
        <v>3016</v>
      </c>
      <c r="AT864" t="s">
        <v>3017</v>
      </c>
      <c r="AU864" t="s">
        <v>3018</v>
      </c>
    </row>
    <row r="865" spans="1:47" x14ac:dyDescent="0.35">
      <c r="A865">
        <v>329309</v>
      </c>
      <c r="B865" t="s">
        <v>178</v>
      </c>
      <c r="C865" t="s">
        <v>179</v>
      </c>
      <c r="D865" s="2">
        <v>45752</v>
      </c>
      <c r="E865">
        <v>53850</v>
      </c>
      <c r="F865">
        <v>109</v>
      </c>
      <c r="G865" t="s">
        <v>89</v>
      </c>
      <c r="H865" t="s">
        <v>167</v>
      </c>
      <c r="I865" t="s">
        <v>45</v>
      </c>
      <c r="K865">
        <v>202504047868337</v>
      </c>
      <c r="L865">
        <v>1093307072930</v>
      </c>
      <c r="M865">
        <v>20250404</v>
      </c>
      <c r="N865" t="s">
        <v>258</v>
      </c>
      <c r="Q865" t="s">
        <v>170</v>
      </c>
      <c r="R865">
        <v>400000</v>
      </c>
      <c r="S865">
        <v>0</v>
      </c>
      <c r="T865">
        <v>4505060</v>
      </c>
      <c r="U865" t="s">
        <v>1136</v>
      </c>
      <c r="V865" t="s">
        <v>1137</v>
      </c>
      <c r="W865" t="s">
        <v>187</v>
      </c>
      <c r="Y865" t="s">
        <v>51</v>
      </c>
      <c r="Z865">
        <v>778</v>
      </c>
      <c r="AH865">
        <v>0</v>
      </c>
      <c r="AI865">
        <v>202504</v>
      </c>
      <c r="AJ865" t="s">
        <v>86</v>
      </c>
      <c r="AK865">
        <v>1</v>
      </c>
      <c r="AL865">
        <v>1</v>
      </c>
      <c r="AO865">
        <v>0</v>
      </c>
      <c r="AP865" t="s">
        <v>3015</v>
      </c>
      <c r="AQ865" t="s">
        <v>3044</v>
      </c>
      <c r="AR865" t="s">
        <v>3045</v>
      </c>
      <c r="AS865" t="s">
        <v>3046</v>
      </c>
      <c r="AU865" t="s">
        <v>3046</v>
      </c>
    </row>
    <row r="866" spans="1:47" x14ac:dyDescent="0.35">
      <c r="A866">
        <v>329308</v>
      </c>
      <c r="B866" t="s">
        <v>178</v>
      </c>
      <c r="C866" t="s">
        <v>179</v>
      </c>
      <c r="D866" s="2">
        <v>45752</v>
      </c>
      <c r="E866">
        <v>53850</v>
      </c>
      <c r="F866">
        <v>182</v>
      </c>
      <c r="G866" t="s">
        <v>318</v>
      </c>
      <c r="H866" t="s">
        <v>167</v>
      </c>
      <c r="I866" t="s">
        <v>45</v>
      </c>
      <c r="K866">
        <v>202504047867785</v>
      </c>
      <c r="L866">
        <v>1823300072312</v>
      </c>
      <c r="M866">
        <v>20250404</v>
      </c>
      <c r="N866" t="s">
        <v>46</v>
      </c>
      <c r="P866" t="s">
        <v>51</v>
      </c>
      <c r="Q866" t="s">
        <v>47</v>
      </c>
      <c r="R866">
        <v>1091696.83</v>
      </c>
      <c r="S866">
        <v>0</v>
      </c>
      <c r="T866">
        <v>3072878</v>
      </c>
      <c r="U866">
        <v>333580736</v>
      </c>
      <c r="V866" t="s">
        <v>454</v>
      </c>
      <c r="W866" t="s">
        <v>49</v>
      </c>
      <c r="X866" t="s">
        <v>421</v>
      </c>
      <c r="Y866" t="s">
        <v>51</v>
      </c>
      <c r="Z866">
        <v>1627</v>
      </c>
      <c r="AH866">
        <v>0</v>
      </c>
      <c r="AI866">
        <v>202504</v>
      </c>
      <c r="AJ866" t="s">
        <v>52</v>
      </c>
      <c r="AK866">
        <v>0</v>
      </c>
      <c r="AL866">
        <v>1</v>
      </c>
      <c r="AO866">
        <v>0</v>
      </c>
      <c r="AP866" t="s">
        <v>3015</v>
      </c>
      <c r="AQ866" t="s">
        <v>3012</v>
      </c>
      <c r="AR866" t="s">
        <v>3016</v>
      </c>
      <c r="AT866" t="s">
        <v>3017</v>
      </c>
      <c r="AU866" t="s">
        <v>3018</v>
      </c>
    </row>
    <row r="867" spans="1:47" x14ac:dyDescent="0.35">
      <c r="A867">
        <v>329307</v>
      </c>
      <c r="B867" t="s">
        <v>178</v>
      </c>
      <c r="C867" t="s">
        <v>179</v>
      </c>
      <c r="D867" s="2">
        <v>45752</v>
      </c>
      <c r="E867">
        <v>53850</v>
      </c>
      <c r="F867">
        <v>182</v>
      </c>
      <c r="G867" t="s">
        <v>318</v>
      </c>
      <c r="H867" t="s">
        <v>167</v>
      </c>
      <c r="I867" t="s">
        <v>45</v>
      </c>
      <c r="K867">
        <v>202504047869147</v>
      </c>
      <c r="L867">
        <v>1823300169483</v>
      </c>
      <c r="M867">
        <v>20250404</v>
      </c>
      <c r="N867" t="s">
        <v>3136</v>
      </c>
      <c r="Q867" t="s">
        <v>170</v>
      </c>
      <c r="R867">
        <v>16393.25</v>
      </c>
      <c r="S867">
        <v>0</v>
      </c>
      <c r="T867">
        <v>4330466</v>
      </c>
      <c r="U867">
        <v>2609640731</v>
      </c>
      <c r="V867" t="s">
        <v>1138</v>
      </c>
      <c r="W867" t="s">
        <v>49</v>
      </c>
      <c r="X867" t="s">
        <v>364</v>
      </c>
      <c r="Y867" t="s">
        <v>51</v>
      </c>
      <c r="Z867">
        <v>1101</v>
      </c>
      <c r="AH867">
        <v>0</v>
      </c>
      <c r="AI867">
        <v>202504</v>
      </c>
      <c r="AJ867" t="s">
        <v>86</v>
      </c>
      <c r="AK867">
        <v>1</v>
      </c>
      <c r="AL867">
        <v>1</v>
      </c>
      <c r="AO867">
        <v>1</v>
      </c>
      <c r="AP867" t="s">
        <v>3062</v>
      </c>
      <c r="AQ867" t="s">
        <v>3012</v>
      </c>
      <c r="AR867" t="s">
        <v>3063</v>
      </c>
      <c r="AS867" t="s">
        <v>3014</v>
      </c>
      <c r="AU867" t="s">
        <v>3014</v>
      </c>
    </row>
    <row r="868" spans="1:47" x14ac:dyDescent="0.35">
      <c r="A868">
        <v>329306</v>
      </c>
      <c r="B868" t="s">
        <v>193</v>
      </c>
      <c r="C868" t="s">
        <v>194</v>
      </c>
      <c r="D868" s="2">
        <v>45752</v>
      </c>
      <c r="E868">
        <v>53850</v>
      </c>
      <c r="F868">
        <v>114</v>
      </c>
      <c r="G868" t="s">
        <v>188</v>
      </c>
      <c r="H868" t="s">
        <v>167</v>
      </c>
      <c r="I868" t="s">
        <v>45</v>
      </c>
      <c r="K868">
        <v>202504047868928</v>
      </c>
      <c r="L868">
        <v>1143306280621</v>
      </c>
      <c r="M868">
        <v>20250404</v>
      </c>
      <c r="N868" t="s">
        <v>266</v>
      </c>
      <c r="Q868" t="s">
        <v>47</v>
      </c>
      <c r="R868">
        <v>50520</v>
      </c>
      <c r="S868">
        <v>50520</v>
      </c>
      <c r="T868">
        <v>4658875</v>
      </c>
      <c r="U868">
        <v>3230890711</v>
      </c>
      <c r="V868" t="s">
        <v>1139</v>
      </c>
      <c r="W868" t="s">
        <v>190</v>
      </c>
      <c r="X868" t="s">
        <v>131</v>
      </c>
      <c r="Y868" t="s">
        <v>51</v>
      </c>
      <c r="Z868">
        <v>870</v>
      </c>
      <c r="AH868">
        <v>0</v>
      </c>
      <c r="AI868">
        <v>202504</v>
      </c>
      <c r="AJ868" t="s">
        <v>56</v>
      </c>
      <c r="AK868">
        <v>0</v>
      </c>
      <c r="AL868">
        <v>1</v>
      </c>
      <c r="AM868">
        <v>4658875</v>
      </c>
      <c r="AN868">
        <v>1</v>
      </c>
      <c r="AO868">
        <v>0</v>
      </c>
      <c r="AP868" t="s">
        <v>3033</v>
      </c>
      <c r="AQ868" t="s">
        <v>3047</v>
      </c>
      <c r="AR868" t="s">
        <v>3048</v>
      </c>
      <c r="AS868" t="s">
        <v>3049</v>
      </c>
      <c r="AU868" t="s">
        <v>3049</v>
      </c>
    </row>
    <row r="869" spans="1:47" x14ac:dyDescent="0.35">
      <c r="A869">
        <v>329305</v>
      </c>
      <c r="B869" t="s">
        <v>193</v>
      </c>
      <c r="C869" t="s">
        <v>194</v>
      </c>
      <c r="D869" s="2">
        <v>45752</v>
      </c>
      <c r="E869">
        <v>53850</v>
      </c>
      <c r="F869">
        <v>104</v>
      </c>
      <c r="G869" t="s">
        <v>108</v>
      </c>
      <c r="H869" t="s">
        <v>167</v>
      </c>
      <c r="I869" t="s">
        <v>45</v>
      </c>
      <c r="K869" t="s">
        <v>1140</v>
      </c>
      <c r="L869">
        <v>1043305922900</v>
      </c>
      <c r="M869">
        <v>20250404</v>
      </c>
      <c r="N869" t="s">
        <v>195</v>
      </c>
      <c r="Q869" t="s">
        <v>47</v>
      </c>
      <c r="R869">
        <v>32030</v>
      </c>
      <c r="S869">
        <v>32030</v>
      </c>
      <c r="T869">
        <v>592290</v>
      </c>
      <c r="U869" t="s">
        <v>444</v>
      </c>
      <c r="V869" t="s">
        <v>445</v>
      </c>
      <c r="W869" t="s">
        <v>69</v>
      </c>
      <c r="X869" t="s">
        <v>446</v>
      </c>
      <c r="Y869" t="s">
        <v>51</v>
      </c>
      <c r="Z869">
        <v>1902</v>
      </c>
      <c r="AH869">
        <v>0</v>
      </c>
      <c r="AI869">
        <v>202504</v>
      </c>
      <c r="AJ869" t="s">
        <v>56</v>
      </c>
      <c r="AK869">
        <v>0</v>
      </c>
      <c r="AL869">
        <v>1</v>
      </c>
      <c r="AM869">
        <v>592290</v>
      </c>
      <c r="AN869">
        <v>1</v>
      </c>
      <c r="AO869">
        <v>0</v>
      </c>
      <c r="AP869" t="s">
        <v>3015</v>
      </c>
      <c r="AQ869" t="s">
        <v>3021</v>
      </c>
      <c r="AR869" t="s">
        <v>3022</v>
      </c>
      <c r="AT869" t="s">
        <v>3017</v>
      </c>
      <c r="AU869" t="s">
        <v>3014</v>
      </c>
    </row>
    <row r="870" spans="1:47" x14ac:dyDescent="0.35">
      <c r="A870">
        <v>329304</v>
      </c>
      <c r="B870" t="s">
        <v>193</v>
      </c>
      <c r="C870" t="s">
        <v>194</v>
      </c>
      <c r="D870" s="2">
        <v>45752</v>
      </c>
      <c r="E870">
        <v>53850</v>
      </c>
      <c r="F870">
        <v>116</v>
      </c>
      <c r="G870" t="s">
        <v>126</v>
      </c>
      <c r="H870" t="s">
        <v>167</v>
      </c>
      <c r="I870" t="s">
        <v>45</v>
      </c>
      <c r="K870" t="s">
        <v>1140</v>
      </c>
      <c r="L870">
        <v>1423300307298</v>
      </c>
      <c r="M870">
        <v>20250404</v>
      </c>
      <c r="N870" t="s">
        <v>195</v>
      </c>
      <c r="Q870" t="s">
        <v>47</v>
      </c>
      <c r="R870">
        <v>47665</v>
      </c>
      <c r="S870">
        <v>47665</v>
      </c>
      <c r="T870">
        <v>4190581</v>
      </c>
      <c r="U870">
        <v>5161670723</v>
      </c>
      <c r="V870" t="s">
        <v>1141</v>
      </c>
      <c r="W870" t="s">
        <v>49</v>
      </c>
      <c r="X870" t="s">
        <v>590</v>
      </c>
      <c r="Y870" t="s">
        <v>51</v>
      </c>
      <c r="Z870">
        <v>1612</v>
      </c>
      <c r="AH870">
        <v>0</v>
      </c>
      <c r="AI870">
        <v>202504</v>
      </c>
      <c r="AJ870" t="s">
        <v>114</v>
      </c>
      <c r="AK870">
        <v>1</v>
      </c>
      <c r="AL870">
        <v>1</v>
      </c>
      <c r="AM870">
        <v>4190581</v>
      </c>
      <c r="AN870">
        <v>1</v>
      </c>
      <c r="AO870">
        <v>0</v>
      </c>
      <c r="AP870" t="s">
        <v>3015</v>
      </c>
      <c r="AQ870" t="s">
        <v>3012</v>
      </c>
      <c r="AR870" t="s">
        <v>3016</v>
      </c>
      <c r="AT870" t="s">
        <v>3017</v>
      </c>
      <c r="AU870" t="s">
        <v>3018</v>
      </c>
    </row>
    <row r="871" spans="1:47" x14ac:dyDescent="0.35">
      <c r="A871">
        <v>329303</v>
      </c>
      <c r="B871" t="s">
        <v>193</v>
      </c>
      <c r="C871" t="s">
        <v>194</v>
      </c>
      <c r="D871" s="2">
        <v>45752</v>
      </c>
      <c r="E871">
        <v>53850</v>
      </c>
      <c r="F871">
        <v>153</v>
      </c>
      <c r="G871" t="s">
        <v>63</v>
      </c>
      <c r="H871" t="s">
        <v>167</v>
      </c>
      <c r="I871" t="s">
        <v>45</v>
      </c>
      <c r="K871" t="s">
        <v>1140</v>
      </c>
      <c r="L871">
        <v>1533300663089</v>
      </c>
      <c r="M871">
        <v>20250404</v>
      </c>
      <c r="N871" t="s">
        <v>266</v>
      </c>
      <c r="Q871" t="s">
        <v>47</v>
      </c>
      <c r="R871">
        <v>32070</v>
      </c>
      <c r="S871">
        <v>32070</v>
      </c>
      <c r="T871">
        <v>4911375</v>
      </c>
      <c r="U871" t="s">
        <v>1142</v>
      </c>
      <c r="V871" t="s">
        <v>1143</v>
      </c>
      <c r="W871" t="s">
        <v>69</v>
      </c>
      <c r="X871" t="s">
        <v>55</v>
      </c>
      <c r="Y871" t="s">
        <v>51</v>
      </c>
      <c r="Z871">
        <v>1055</v>
      </c>
      <c r="AH871">
        <v>0</v>
      </c>
      <c r="AI871">
        <v>202504</v>
      </c>
      <c r="AJ871" t="s">
        <v>56</v>
      </c>
      <c r="AK871">
        <v>0</v>
      </c>
      <c r="AL871">
        <v>1</v>
      </c>
      <c r="AM871">
        <v>4911375</v>
      </c>
      <c r="AN871">
        <v>1</v>
      </c>
      <c r="AO871">
        <v>0</v>
      </c>
      <c r="AP871" t="s">
        <v>3015</v>
      </c>
      <c r="AQ871" t="s">
        <v>3021</v>
      </c>
      <c r="AR871" t="s">
        <v>3022</v>
      </c>
      <c r="AT871" t="s">
        <v>3017</v>
      </c>
      <c r="AU871" t="s">
        <v>3014</v>
      </c>
    </row>
    <row r="872" spans="1:47" x14ac:dyDescent="0.35">
      <c r="A872">
        <v>329302</v>
      </c>
      <c r="B872" t="s">
        <v>193</v>
      </c>
      <c r="C872" t="s">
        <v>194</v>
      </c>
      <c r="D872" s="2">
        <v>45752</v>
      </c>
      <c r="E872">
        <v>53850</v>
      </c>
      <c r="F872">
        <v>171</v>
      </c>
      <c r="G872" t="s">
        <v>198</v>
      </c>
      <c r="H872" t="s">
        <v>167</v>
      </c>
      <c r="I872" t="s">
        <v>45</v>
      </c>
      <c r="K872" t="s">
        <v>1140</v>
      </c>
      <c r="L872">
        <v>1713302214147</v>
      </c>
      <c r="M872">
        <v>20250404</v>
      </c>
      <c r="N872" t="s">
        <v>195</v>
      </c>
      <c r="Q872" t="s">
        <v>47</v>
      </c>
      <c r="R872">
        <v>123439.35</v>
      </c>
      <c r="S872">
        <v>123439.35</v>
      </c>
      <c r="T872">
        <v>4199319</v>
      </c>
      <c r="U872">
        <v>6037810725</v>
      </c>
      <c r="V872" t="s">
        <v>1144</v>
      </c>
      <c r="W872" t="s">
        <v>49</v>
      </c>
      <c r="X872" t="s">
        <v>200</v>
      </c>
      <c r="Y872" t="s">
        <v>51</v>
      </c>
      <c r="Z872">
        <v>1903</v>
      </c>
      <c r="AH872">
        <v>0</v>
      </c>
      <c r="AI872">
        <v>202504</v>
      </c>
      <c r="AJ872" t="s">
        <v>56</v>
      </c>
      <c r="AK872">
        <v>0</v>
      </c>
      <c r="AL872">
        <v>1</v>
      </c>
      <c r="AM872">
        <v>4199319</v>
      </c>
      <c r="AN872">
        <v>1</v>
      </c>
      <c r="AO872">
        <v>0</v>
      </c>
      <c r="AP872" t="s">
        <v>3015</v>
      </c>
      <c r="AQ872" t="s">
        <v>3012</v>
      </c>
      <c r="AR872" t="s">
        <v>3016</v>
      </c>
      <c r="AT872" t="s">
        <v>3017</v>
      </c>
      <c r="AU872" t="s">
        <v>3018</v>
      </c>
    </row>
    <row r="873" spans="1:47" x14ac:dyDescent="0.35">
      <c r="A873">
        <v>329301</v>
      </c>
      <c r="B873" t="s">
        <v>193</v>
      </c>
      <c r="C873" t="s">
        <v>194</v>
      </c>
      <c r="D873" s="2">
        <v>45752</v>
      </c>
      <c r="E873">
        <v>53850</v>
      </c>
      <c r="F873">
        <v>273</v>
      </c>
      <c r="G873" t="s">
        <v>133</v>
      </c>
      <c r="H873" t="s">
        <v>167</v>
      </c>
      <c r="I873" t="s">
        <v>45</v>
      </c>
      <c r="K873" t="s">
        <v>1140</v>
      </c>
      <c r="L873">
        <v>2733300000498</v>
      </c>
      <c r="M873">
        <v>20250404</v>
      </c>
      <c r="N873" t="s">
        <v>195</v>
      </c>
      <c r="Q873" t="s">
        <v>47</v>
      </c>
      <c r="R873">
        <v>27395</v>
      </c>
      <c r="S873">
        <v>27395</v>
      </c>
      <c r="T873">
        <v>1617415</v>
      </c>
      <c r="U873">
        <v>2262360692</v>
      </c>
      <c r="V873" t="s">
        <v>691</v>
      </c>
      <c r="W873" t="s">
        <v>49</v>
      </c>
      <c r="X873" t="s">
        <v>197</v>
      </c>
      <c r="Y873" t="s">
        <v>51</v>
      </c>
      <c r="Z873">
        <v>1765</v>
      </c>
      <c r="AH873">
        <v>0</v>
      </c>
      <c r="AI873">
        <v>202504</v>
      </c>
      <c r="AJ873" t="s">
        <v>56</v>
      </c>
      <c r="AK873">
        <v>0</v>
      </c>
      <c r="AL873">
        <v>1</v>
      </c>
      <c r="AM873">
        <v>1617415</v>
      </c>
      <c r="AN873">
        <v>1</v>
      </c>
      <c r="AO873">
        <v>0</v>
      </c>
      <c r="AP873" t="s">
        <v>3050</v>
      </c>
      <c r="AQ873" t="s">
        <v>3012</v>
      </c>
      <c r="AR873" t="s">
        <v>3071</v>
      </c>
      <c r="AS873" t="s">
        <v>3028</v>
      </c>
      <c r="AU873" t="s">
        <v>3028</v>
      </c>
    </row>
    <row r="874" spans="1:47" x14ac:dyDescent="0.35">
      <c r="A874">
        <v>329300</v>
      </c>
      <c r="B874" t="s">
        <v>172</v>
      </c>
      <c r="C874" t="s">
        <v>173</v>
      </c>
      <c r="D874" s="2">
        <v>45752</v>
      </c>
      <c r="E874">
        <v>53850</v>
      </c>
      <c r="F874">
        <v>171</v>
      </c>
      <c r="G874" t="s">
        <v>198</v>
      </c>
      <c r="H874" t="s">
        <v>167</v>
      </c>
      <c r="I874" t="s">
        <v>45</v>
      </c>
      <c r="K874" t="s">
        <v>1140</v>
      </c>
      <c r="L874">
        <v>1713305728950</v>
      </c>
      <c r="M874">
        <v>20250404</v>
      </c>
      <c r="N874" t="s">
        <v>195</v>
      </c>
      <c r="Q874" t="s">
        <v>47</v>
      </c>
      <c r="R874">
        <v>303602.48</v>
      </c>
      <c r="S874">
        <v>303602.48</v>
      </c>
      <c r="T874">
        <v>572895</v>
      </c>
      <c r="U874">
        <v>4161600723</v>
      </c>
      <c r="V874" t="s">
        <v>199</v>
      </c>
      <c r="W874" t="s">
        <v>49</v>
      </c>
      <c r="X874" t="s">
        <v>200</v>
      </c>
      <c r="Y874" t="s">
        <v>51</v>
      </c>
      <c r="Z874">
        <v>1903</v>
      </c>
      <c r="AH874">
        <v>0</v>
      </c>
      <c r="AI874">
        <v>202504</v>
      </c>
      <c r="AJ874" t="s">
        <v>56</v>
      </c>
      <c r="AK874">
        <v>0</v>
      </c>
      <c r="AL874">
        <v>1</v>
      </c>
      <c r="AM874">
        <v>572895</v>
      </c>
      <c r="AN874">
        <v>1</v>
      </c>
      <c r="AO874">
        <v>0</v>
      </c>
      <c r="AP874" t="s">
        <v>3015</v>
      </c>
      <c r="AQ874" t="s">
        <v>3012</v>
      </c>
      <c r="AR874" t="s">
        <v>3016</v>
      </c>
      <c r="AT874" t="s">
        <v>3017</v>
      </c>
      <c r="AU874" t="s">
        <v>3018</v>
      </c>
    </row>
    <row r="875" spans="1:47" x14ac:dyDescent="0.35">
      <c r="A875">
        <v>329299</v>
      </c>
      <c r="B875" t="s">
        <v>178</v>
      </c>
      <c r="C875" t="s">
        <v>179</v>
      </c>
      <c r="D875" s="2">
        <v>45752</v>
      </c>
      <c r="E875">
        <v>53850</v>
      </c>
      <c r="F875">
        <v>131</v>
      </c>
      <c r="G875" t="s">
        <v>216</v>
      </c>
      <c r="H875" t="s">
        <v>167</v>
      </c>
      <c r="I875" t="s">
        <v>45</v>
      </c>
      <c r="K875" t="s">
        <v>1145</v>
      </c>
      <c r="L875">
        <v>1313300002966</v>
      </c>
      <c r="M875">
        <v>20250404</v>
      </c>
      <c r="N875" t="s">
        <v>3136</v>
      </c>
      <c r="Q875" t="s">
        <v>170</v>
      </c>
      <c r="R875">
        <v>3519.16</v>
      </c>
      <c r="S875">
        <v>0</v>
      </c>
      <c r="T875">
        <v>4264523</v>
      </c>
      <c r="U875" t="s">
        <v>1146</v>
      </c>
      <c r="V875" t="s">
        <v>1147</v>
      </c>
      <c r="W875" t="s">
        <v>187</v>
      </c>
      <c r="Y875" t="s">
        <v>51</v>
      </c>
      <c r="Z875">
        <v>1345</v>
      </c>
      <c r="AH875">
        <v>0</v>
      </c>
      <c r="AI875">
        <v>202504</v>
      </c>
      <c r="AJ875" t="s">
        <v>86</v>
      </c>
      <c r="AK875">
        <v>1</v>
      </c>
      <c r="AL875">
        <v>1</v>
      </c>
      <c r="AO875">
        <v>1</v>
      </c>
      <c r="AP875" t="s">
        <v>3015</v>
      </c>
      <c r="AQ875" t="s">
        <v>3044</v>
      </c>
      <c r="AR875" t="s">
        <v>3045</v>
      </c>
      <c r="AS875" t="s">
        <v>3046</v>
      </c>
      <c r="AU875" t="s">
        <v>3046</v>
      </c>
    </row>
    <row r="876" spans="1:47" x14ac:dyDescent="0.35">
      <c r="A876">
        <v>329298</v>
      </c>
      <c r="B876" t="s">
        <v>172</v>
      </c>
      <c r="C876" t="s">
        <v>173</v>
      </c>
      <c r="D876" s="2">
        <v>45752</v>
      </c>
      <c r="E876">
        <v>53850</v>
      </c>
      <c r="F876">
        <v>126</v>
      </c>
      <c r="G876" t="s">
        <v>1148</v>
      </c>
      <c r="H876" t="s">
        <v>167</v>
      </c>
      <c r="I876" t="s">
        <v>45</v>
      </c>
      <c r="K876">
        <v>202504047868976</v>
      </c>
      <c r="L876">
        <v>1263300002892</v>
      </c>
      <c r="M876">
        <v>20250404</v>
      </c>
      <c r="N876" t="s">
        <v>81</v>
      </c>
      <c r="Q876" t="s">
        <v>47</v>
      </c>
      <c r="R876">
        <v>150000</v>
      </c>
      <c r="S876">
        <v>0</v>
      </c>
      <c r="T876">
        <v>4846590</v>
      </c>
      <c r="U876" t="s">
        <v>1149</v>
      </c>
      <c r="V876" t="s">
        <v>1150</v>
      </c>
      <c r="W876" t="s">
        <v>187</v>
      </c>
      <c r="Y876" t="s">
        <v>51</v>
      </c>
      <c r="Z876">
        <v>1241</v>
      </c>
      <c r="AH876">
        <v>0</v>
      </c>
      <c r="AI876">
        <v>202504</v>
      </c>
      <c r="AJ876" t="s">
        <v>86</v>
      </c>
      <c r="AK876">
        <v>1</v>
      </c>
      <c r="AL876">
        <v>1</v>
      </c>
      <c r="AO876">
        <v>0</v>
      </c>
      <c r="AP876" t="s">
        <v>3015</v>
      </c>
      <c r="AQ876" t="s">
        <v>3044</v>
      </c>
      <c r="AR876" t="s">
        <v>3045</v>
      </c>
      <c r="AS876" t="s">
        <v>3046</v>
      </c>
      <c r="AU876" t="s">
        <v>3046</v>
      </c>
    </row>
    <row r="877" spans="1:47" x14ac:dyDescent="0.35">
      <c r="A877">
        <v>329297</v>
      </c>
      <c r="B877" t="s">
        <v>193</v>
      </c>
      <c r="C877" t="s">
        <v>194</v>
      </c>
      <c r="D877" s="2">
        <v>45752</v>
      </c>
      <c r="E877">
        <v>53850</v>
      </c>
      <c r="F877">
        <v>102</v>
      </c>
      <c r="G877" t="s">
        <v>151</v>
      </c>
      <c r="H877" t="s">
        <v>167</v>
      </c>
      <c r="I877" t="s">
        <v>45</v>
      </c>
      <c r="K877">
        <v>202504047868266</v>
      </c>
      <c r="L877">
        <v>1023308722503</v>
      </c>
      <c r="M877">
        <v>20250404</v>
      </c>
      <c r="N877" t="s">
        <v>195</v>
      </c>
      <c r="Q877" t="s">
        <v>47</v>
      </c>
      <c r="R877">
        <v>29730</v>
      </c>
      <c r="S877">
        <v>29730</v>
      </c>
      <c r="T877">
        <v>413650</v>
      </c>
      <c r="U877">
        <v>3657230722</v>
      </c>
      <c r="V877" t="s">
        <v>196</v>
      </c>
      <c r="W877" t="s">
        <v>190</v>
      </c>
      <c r="X877" t="s">
        <v>197</v>
      </c>
      <c r="Y877" t="s">
        <v>51</v>
      </c>
      <c r="Z877">
        <v>1306</v>
      </c>
      <c r="AH877">
        <v>0</v>
      </c>
      <c r="AI877">
        <v>202504</v>
      </c>
      <c r="AJ877" t="s">
        <v>56</v>
      </c>
      <c r="AK877">
        <v>0</v>
      </c>
      <c r="AL877">
        <v>1</v>
      </c>
      <c r="AM877">
        <v>413650</v>
      </c>
      <c r="AN877">
        <v>1</v>
      </c>
      <c r="AO877">
        <v>0</v>
      </c>
      <c r="AP877" t="s">
        <v>3050</v>
      </c>
      <c r="AQ877" t="s">
        <v>3047</v>
      </c>
      <c r="AR877" t="s">
        <v>3051</v>
      </c>
      <c r="AS877" t="s">
        <v>3049</v>
      </c>
      <c r="AU877" t="s">
        <v>3049</v>
      </c>
    </row>
    <row r="878" spans="1:47" x14ac:dyDescent="0.35">
      <c r="A878">
        <v>329296</v>
      </c>
      <c r="B878" t="s">
        <v>172</v>
      </c>
      <c r="C878" t="s">
        <v>173</v>
      </c>
      <c r="D878" s="2">
        <v>45752</v>
      </c>
      <c r="E878">
        <v>53850</v>
      </c>
      <c r="F878">
        <v>116</v>
      </c>
      <c r="G878" t="s">
        <v>126</v>
      </c>
      <c r="H878" t="s">
        <v>167</v>
      </c>
      <c r="I878" t="s">
        <v>45</v>
      </c>
      <c r="K878" t="s">
        <v>1140</v>
      </c>
      <c r="L878">
        <v>1093306674353</v>
      </c>
      <c r="M878">
        <v>20250404</v>
      </c>
      <c r="N878" t="s">
        <v>175</v>
      </c>
      <c r="Q878" t="s">
        <v>47</v>
      </c>
      <c r="R878">
        <v>131630</v>
      </c>
      <c r="S878">
        <v>0</v>
      </c>
      <c r="T878">
        <v>4916449</v>
      </c>
      <c r="U878">
        <v>8176830720</v>
      </c>
      <c r="V878" t="s">
        <v>98</v>
      </c>
      <c r="W878" t="s">
        <v>49</v>
      </c>
      <c r="X878" t="s">
        <v>91</v>
      </c>
      <c r="Y878" t="s">
        <v>51</v>
      </c>
      <c r="Z878">
        <v>1903</v>
      </c>
      <c r="AH878">
        <v>0</v>
      </c>
      <c r="AI878">
        <v>202504</v>
      </c>
      <c r="AJ878" t="s">
        <v>56</v>
      </c>
      <c r="AK878">
        <v>0</v>
      </c>
      <c r="AL878">
        <v>1</v>
      </c>
      <c r="AO878">
        <v>1</v>
      </c>
      <c r="AP878" t="s">
        <v>1100</v>
      </c>
      <c r="AQ878" t="s">
        <v>3012</v>
      </c>
      <c r="AR878" t="s">
        <v>3023</v>
      </c>
      <c r="AS878" t="s">
        <v>3014</v>
      </c>
      <c r="AU878" t="s">
        <v>3014</v>
      </c>
    </row>
    <row r="879" spans="1:47" x14ac:dyDescent="0.35">
      <c r="A879">
        <v>329295</v>
      </c>
      <c r="B879" t="s">
        <v>178</v>
      </c>
      <c r="C879" t="s">
        <v>179</v>
      </c>
      <c r="D879" s="2">
        <v>45752</v>
      </c>
      <c r="E879">
        <v>53850</v>
      </c>
      <c r="F879">
        <v>198</v>
      </c>
      <c r="G879" t="s">
        <v>300</v>
      </c>
      <c r="H879" t="s">
        <v>167</v>
      </c>
      <c r="I879" t="s">
        <v>45</v>
      </c>
      <c r="K879" t="s">
        <v>1151</v>
      </c>
      <c r="L879">
        <v>1983300001378</v>
      </c>
      <c r="M879">
        <v>20250404</v>
      </c>
      <c r="N879" t="s">
        <v>3136</v>
      </c>
      <c r="Q879" t="s">
        <v>170</v>
      </c>
      <c r="R879">
        <v>4300.62</v>
      </c>
      <c r="S879">
        <v>0</v>
      </c>
      <c r="T879">
        <v>4251364</v>
      </c>
      <c r="U879" t="s">
        <v>1152</v>
      </c>
      <c r="V879" t="s">
        <v>1153</v>
      </c>
      <c r="W879" t="s">
        <v>187</v>
      </c>
      <c r="Y879" t="s">
        <v>51</v>
      </c>
      <c r="Z879">
        <v>1718</v>
      </c>
      <c r="AH879">
        <v>0</v>
      </c>
      <c r="AI879">
        <v>202504</v>
      </c>
      <c r="AJ879" t="s">
        <v>119</v>
      </c>
      <c r="AK879">
        <v>1</v>
      </c>
      <c r="AL879">
        <v>1</v>
      </c>
      <c r="AO879">
        <v>1</v>
      </c>
      <c r="AP879" t="s">
        <v>3015</v>
      </c>
      <c r="AQ879" t="s">
        <v>3044</v>
      </c>
      <c r="AR879" t="s">
        <v>3045</v>
      </c>
      <c r="AS879" t="s">
        <v>3046</v>
      </c>
      <c r="AU879" t="s">
        <v>3046</v>
      </c>
    </row>
    <row r="880" spans="1:47" x14ac:dyDescent="0.35">
      <c r="A880">
        <v>329294</v>
      </c>
      <c r="B880" t="s">
        <v>164</v>
      </c>
      <c r="C880" t="s">
        <v>165</v>
      </c>
      <c r="D880" s="2">
        <v>45752</v>
      </c>
      <c r="E880">
        <v>53850</v>
      </c>
      <c r="F880">
        <v>145</v>
      </c>
      <c r="G880" t="s">
        <v>115</v>
      </c>
      <c r="H880" t="s">
        <v>167</v>
      </c>
      <c r="I880" t="s">
        <v>45</v>
      </c>
      <c r="K880">
        <v>202504047867699</v>
      </c>
      <c r="L880">
        <v>1453300003997</v>
      </c>
      <c r="M880">
        <v>20250404</v>
      </c>
      <c r="N880" t="s">
        <v>168</v>
      </c>
      <c r="P880" t="s">
        <v>255</v>
      </c>
      <c r="Q880" t="s">
        <v>47</v>
      </c>
      <c r="R880">
        <v>11000</v>
      </c>
      <c r="S880">
        <v>0</v>
      </c>
      <c r="T880">
        <v>3737833</v>
      </c>
      <c r="U880">
        <v>10171711210</v>
      </c>
      <c r="V880" t="s">
        <v>851</v>
      </c>
      <c r="W880" t="s">
        <v>49</v>
      </c>
      <c r="X880" t="s">
        <v>117</v>
      </c>
      <c r="Y880" t="s">
        <v>51</v>
      </c>
      <c r="AH880">
        <v>0</v>
      </c>
      <c r="AI880">
        <v>202504</v>
      </c>
      <c r="AJ880" t="s">
        <v>56</v>
      </c>
      <c r="AK880">
        <v>0</v>
      </c>
      <c r="AL880">
        <v>1</v>
      </c>
      <c r="AO880">
        <v>0</v>
      </c>
      <c r="AP880" t="s">
        <v>3029</v>
      </c>
      <c r="AQ880" t="s">
        <v>3012</v>
      </c>
      <c r="AR880" t="s">
        <v>3030</v>
      </c>
      <c r="AS880" t="s">
        <v>3014</v>
      </c>
      <c r="AU880" t="s">
        <v>3014</v>
      </c>
    </row>
    <row r="881" spans="1:47" x14ac:dyDescent="0.35">
      <c r="A881">
        <v>329293</v>
      </c>
      <c r="B881" t="s">
        <v>178</v>
      </c>
      <c r="C881" t="s">
        <v>179</v>
      </c>
      <c r="D881" s="2">
        <v>45752</v>
      </c>
      <c r="E881">
        <v>53850</v>
      </c>
      <c r="F881">
        <v>109</v>
      </c>
      <c r="G881" t="s">
        <v>89</v>
      </c>
      <c r="H881" t="s">
        <v>167</v>
      </c>
      <c r="I881" t="s">
        <v>45</v>
      </c>
      <c r="K881">
        <v>202504047868337</v>
      </c>
      <c r="L881">
        <v>1093307072930</v>
      </c>
      <c r="M881">
        <v>20250404</v>
      </c>
      <c r="N881" t="s">
        <v>258</v>
      </c>
      <c r="Q881" t="s">
        <v>170</v>
      </c>
      <c r="R881">
        <v>400000</v>
      </c>
      <c r="S881">
        <v>0</v>
      </c>
      <c r="T881">
        <v>4439527</v>
      </c>
      <c r="U881" t="s">
        <v>1154</v>
      </c>
      <c r="V881" t="s">
        <v>1155</v>
      </c>
      <c r="W881" t="s">
        <v>187</v>
      </c>
      <c r="Y881" t="s">
        <v>51</v>
      </c>
      <c r="Z881">
        <v>778</v>
      </c>
      <c r="AH881">
        <v>0</v>
      </c>
      <c r="AI881">
        <v>202504</v>
      </c>
      <c r="AJ881" t="s">
        <v>86</v>
      </c>
      <c r="AK881">
        <v>1</v>
      </c>
      <c r="AL881">
        <v>1</v>
      </c>
      <c r="AO881">
        <v>0</v>
      </c>
      <c r="AP881" t="s">
        <v>3015</v>
      </c>
      <c r="AQ881" t="s">
        <v>3044</v>
      </c>
      <c r="AR881" t="s">
        <v>3045</v>
      </c>
      <c r="AS881" t="s">
        <v>3046</v>
      </c>
      <c r="AU881" t="s">
        <v>3046</v>
      </c>
    </row>
    <row r="882" spans="1:47" x14ac:dyDescent="0.35">
      <c r="A882">
        <v>329292</v>
      </c>
      <c r="B882" t="s">
        <v>178</v>
      </c>
      <c r="C882" t="s">
        <v>179</v>
      </c>
      <c r="D882" s="2">
        <v>45752</v>
      </c>
      <c r="E882">
        <v>53850</v>
      </c>
      <c r="F882">
        <v>117</v>
      </c>
      <c r="G882" t="s">
        <v>490</v>
      </c>
      <c r="H882" t="s">
        <v>167</v>
      </c>
      <c r="I882" t="s">
        <v>45</v>
      </c>
      <c r="K882">
        <v>202504047867413</v>
      </c>
      <c r="L882">
        <v>1173300536339</v>
      </c>
      <c r="M882">
        <v>20250404</v>
      </c>
      <c r="N882" t="s">
        <v>46</v>
      </c>
      <c r="P882" t="s">
        <v>51</v>
      </c>
      <c r="Q882" t="s">
        <v>47</v>
      </c>
      <c r="R882">
        <v>243955.63</v>
      </c>
      <c r="S882">
        <v>0</v>
      </c>
      <c r="T882">
        <v>3028778</v>
      </c>
      <c r="U882" t="s">
        <v>922</v>
      </c>
      <c r="V882" t="s">
        <v>923</v>
      </c>
      <c r="W882" t="s">
        <v>187</v>
      </c>
      <c r="Y882" t="s">
        <v>51</v>
      </c>
      <c r="Z882">
        <v>1772</v>
      </c>
      <c r="AH882">
        <v>0</v>
      </c>
      <c r="AI882">
        <v>202504</v>
      </c>
      <c r="AJ882" t="s">
        <v>52</v>
      </c>
      <c r="AK882">
        <v>0</v>
      </c>
      <c r="AL882">
        <v>1</v>
      </c>
      <c r="AO882">
        <v>0</v>
      </c>
      <c r="AP882" t="s">
        <v>3015</v>
      </c>
      <c r="AQ882" t="s">
        <v>3044</v>
      </c>
      <c r="AR882" t="s">
        <v>3045</v>
      </c>
      <c r="AS882" t="s">
        <v>3046</v>
      </c>
      <c r="AU882" t="s">
        <v>3046</v>
      </c>
    </row>
    <row r="883" spans="1:47" x14ac:dyDescent="0.35">
      <c r="A883">
        <v>329291</v>
      </c>
      <c r="B883" t="s">
        <v>178</v>
      </c>
      <c r="C883" t="s">
        <v>179</v>
      </c>
      <c r="D883" s="2">
        <v>45752</v>
      </c>
      <c r="E883">
        <v>53850</v>
      </c>
      <c r="F883">
        <v>102</v>
      </c>
      <c r="G883" t="s">
        <v>151</v>
      </c>
      <c r="H883" t="s">
        <v>167</v>
      </c>
      <c r="I883" t="s">
        <v>45</v>
      </c>
      <c r="K883">
        <v>202504047868273</v>
      </c>
      <c r="L883">
        <v>1023308726574</v>
      </c>
      <c r="M883">
        <v>20250404</v>
      </c>
      <c r="N883" t="s">
        <v>258</v>
      </c>
      <c r="Q883" t="s">
        <v>170</v>
      </c>
      <c r="R883">
        <v>600000</v>
      </c>
      <c r="S883">
        <v>0</v>
      </c>
      <c r="T883">
        <v>403527</v>
      </c>
      <c r="U883" t="s">
        <v>1156</v>
      </c>
      <c r="V883" t="s">
        <v>1157</v>
      </c>
      <c r="W883" t="s">
        <v>69</v>
      </c>
      <c r="X883" t="s">
        <v>595</v>
      </c>
      <c r="Y883" t="s">
        <v>51</v>
      </c>
      <c r="Z883">
        <v>1110</v>
      </c>
      <c r="AH883">
        <v>0</v>
      </c>
      <c r="AI883">
        <v>202504</v>
      </c>
      <c r="AJ883" t="s">
        <v>56</v>
      </c>
      <c r="AK883">
        <v>0</v>
      </c>
      <c r="AL883">
        <v>1</v>
      </c>
      <c r="AM883">
        <v>403527</v>
      </c>
      <c r="AN883">
        <v>1</v>
      </c>
      <c r="AO883">
        <v>0</v>
      </c>
      <c r="AP883" t="s">
        <v>3015</v>
      </c>
      <c r="AQ883" t="s">
        <v>3021</v>
      </c>
      <c r="AR883" t="s">
        <v>3022</v>
      </c>
      <c r="AT883" t="s">
        <v>3017</v>
      </c>
      <c r="AU883" t="s">
        <v>3014</v>
      </c>
    </row>
    <row r="884" spans="1:47" x14ac:dyDescent="0.35">
      <c r="A884">
        <v>329290</v>
      </c>
      <c r="B884" t="s">
        <v>178</v>
      </c>
      <c r="C884" t="s">
        <v>179</v>
      </c>
      <c r="D884" s="2">
        <v>45752</v>
      </c>
      <c r="E884">
        <v>53850</v>
      </c>
      <c r="F884">
        <v>102</v>
      </c>
      <c r="G884" t="s">
        <v>151</v>
      </c>
      <c r="H884" t="s">
        <v>167</v>
      </c>
      <c r="I884" t="s">
        <v>45</v>
      </c>
      <c r="K884">
        <v>202504047868775</v>
      </c>
      <c r="L884">
        <v>1503300003301</v>
      </c>
      <c r="M884">
        <v>20250404</v>
      </c>
      <c r="N884" t="s">
        <v>659</v>
      </c>
      <c r="Q884" t="s">
        <v>170</v>
      </c>
      <c r="R884">
        <v>1250003.8</v>
      </c>
      <c r="S884">
        <v>0</v>
      </c>
      <c r="T884">
        <v>4992759</v>
      </c>
      <c r="U884">
        <v>2853230429</v>
      </c>
      <c r="V884" t="s">
        <v>1158</v>
      </c>
      <c r="W884" t="s">
        <v>49</v>
      </c>
      <c r="X884" t="s">
        <v>1159</v>
      </c>
      <c r="Y884" t="s">
        <v>51</v>
      </c>
      <c r="Z884">
        <v>739</v>
      </c>
      <c r="AH884">
        <v>0</v>
      </c>
      <c r="AI884">
        <v>202504</v>
      </c>
      <c r="AJ884" t="s">
        <v>86</v>
      </c>
      <c r="AK884">
        <v>1</v>
      </c>
      <c r="AL884">
        <v>1</v>
      </c>
      <c r="AO884">
        <v>0</v>
      </c>
      <c r="AP884" t="s">
        <v>3015</v>
      </c>
      <c r="AQ884" t="s">
        <v>3012</v>
      </c>
      <c r="AR884" t="s">
        <v>3016</v>
      </c>
      <c r="AT884" t="s">
        <v>3017</v>
      </c>
      <c r="AU884" t="s">
        <v>3018</v>
      </c>
    </row>
    <row r="885" spans="1:47" x14ac:dyDescent="0.35">
      <c r="A885">
        <v>329289</v>
      </c>
      <c r="B885" t="s">
        <v>172</v>
      </c>
      <c r="C885" t="s">
        <v>173</v>
      </c>
      <c r="D885" s="2">
        <v>45752</v>
      </c>
      <c r="E885">
        <v>53850</v>
      </c>
      <c r="F885">
        <v>128</v>
      </c>
      <c r="G885" t="s">
        <v>94</v>
      </c>
      <c r="H885" t="s">
        <v>167</v>
      </c>
      <c r="I885" t="s">
        <v>45</v>
      </c>
      <c r="K885" t="s">
        <v>1140</v>
      </c>
      <c r="L885">
        <v>1283300001665</v>
      </c>
      <c r="M885">
        <v>20250404</v>
      </c>
      <c r="N885" t="s">
        <v>175</v>
      </c>
      <c r="Q885" t="s">
        <v>47</v>
      </c>
      <c r="R885">
        <v>105722.96</v>
      </c>
      <c r="S885">
        <v>3030</v>
      </c>
      <c r="T885">
        <v>4254896</v>
      </c>
      <c r="U885">
        <v>6234730726</v>
      </c>
      <c r="V885" t="s">
        <v>95</v>
      </c>
      <c r="W885" t="s">
        <v>49</v>
      </c>
      <c r="X885" t="s">
        <v>96</v>
      </c>
      <c r="Y885" t="s">
        <v>51</v>
      </c>
      <c r="Z885">
        <v>1919</v>
      </c>
      <c r="AH885">
        <v>0</v>
      </c>
      <c r="AI885">
        <v>202504</v>
      </c>
      <c r="AJ885" t="s">
        <v>56</v>
      </c>
      <c r="AK885">
        <v>0</v>
      </c>
      <c r="AL885">
        <v>1</v>
      </c>
      <c r="AO885">
        <v>1</v>
      </c>
      <c r="AP885" t="s">
        <v>3015</v>
      </c>
      <c r="AQ885" t="s">
        <v>3012</v>
      </c>
      <c r="AR885" t="s">
        <v>3016</v>
      </c>
      <c r="AT885" t="s">
        <v>3017</v>
      </c>
      <c r="AU885" t="s">
        <v>3018</v>
      </c>
    </row>
    <row r="886" spans="1:47" x14ac:dyDescent="0.35">
      <c r="A886">
        <v>329288</v>
      </c>
      <c r="B886" t="s">
        <v>178</v>
      </c>
      <c r="C886" t="s">
        <v>179</v>
      </c>
      <c r="D886" s="2">
        <v>45752</v>
      </c>
      <c r="E886">
        <v>53850</v>
      </c>
      <c r="F886">
        <v>102</v>
      </c>
      <c r="G886" t="s">
        <v>151</v>
      </c>
      <c r="H886" t="s">
        <v>167</v>
      </c>
      <c r="I886" t="s">
        <v>45</v>
      </c>
      <c r="K886">
        <v>202504047867071</v>
      </c>
      <c r="L886">
        <v>1503300003301</v>
      </c>
      <c r="M886">
        <v>20250404</v>
      </c>
      <c r="N886" t="s">
        <v>46</v>
      </c>
      <c r="P886" t="s">
        <v>51</v>
      </c>
      <c r="Q886" t="s">
        <v>47</v>
      </c>
      <c r="R886">
        <v>1250004</v>
      </c>
      <c r="S886">
        <v>0</v>
      </c>
      <c r="T886">
        <v>4992759</v>
      </c>
      <c r="U886">
        <v>2853230429</v>
      </c>
      <c r="V886" t="s">
        <v>1158</v>
      </c>
      <c r="W886" t="s">
        <v>49</v>
      </c>
      <c r="X886" t="s">
        <v>1159</v>
      </c>
      <c r="Y886" t="s">
        <v>51</v>
      </c>
      <c r="Z886">
        <v>739</v>
      </c>
      <c r="AH886">
        <v>0</v>
      </c>
      <c r="AI886">
        <v>202504</v>
      </c>
      <c r="AJ886" t="s">
        <v>86</v>
      </c>
      <c r="AK886">
        <v>1</v>
      </c>
      <c r="AL886">
        <v>1</v>
      </c>
      <c r="AO886">
        <v>0</v>
      </c>
      <c r="AP886" t="s">
        <v>3015</v>
      </c>
      <c r="AQ886" t="s">
        <v>3012</v>
      </c>
      <c r="AR886" t="s">
        <v>3016</v>
      </c>
      <c r="AT886" t="s">
        <v>3017</v>
      </c>
      <c r="AU886" t="s">
        <v>3018</v>
      </c>
    </row>
    <row r="887" spans="1:47" x14ac:dyDescent="0.35">
      <c r="A887">
        <v>329287</v>
      </c>
      <c r="B887" t="s">
        <v>178</v>
      </c>
      <c r="C887" t="s">
        <v>179</v>
      </c>
      <c r="D887" s="2">
        <v>45752</v>
      </c>
      <c r="E887">
        <v>53850</v>
      </c>
      <c r="F887">
        <v>102</v>
      </c>
      <c r="G887" t="s">
        <v>151</v>
      </c>
      <c r="H887" t="s">
        <v>167</v>
      </c>
      <c r="I887" t="s">
        <v>45</v>
      </c>
      <c r="K887">
        <v>202504047868273</v>
      </c>
      <c r="L887">
        <v>1023308726574</v>
      </c>
      <c r="M887">
        <v>20250404</v>
      </c>
      <c r="N887" t="s">
        <v>258</v>
      </c>
      <c r="Q887" t="s">
        <v>170</v>
      </c>
      <c r="R887">
        <v>600000</v>
      </c>
      <c r="S887">
        <v>0</v>
      </c>
      <c r="T887">
        <v>46622</v>
      </c>
      <c r="U887" t="s">
        <v>1160</v>
      </c>
      <c r="V887" t="s">
        <v>1161</v>
      </c>
      <c r="W887" t="s">
        <v>69</v>
      </c>
      <c r="X887" t="s">
        <v>595</v>
      </c>
      <c r="Y887" t="s">
        <v>51</v>
      </c>
      <c r="Z887">
        <v>580</v>
      </c>
      <c r="AH887">
        <v>0</v>
      </c>
      <c r="AI887">
        <v>202504</v>
      </c>
      <c r="AJ887" t="s">
        <v>56</v>
      </c>
      <c r="AK887">
        <v>0</v>
      </c>
      <c r="AL887">
        <v>1</v>
      </c>
      <c r="AO887">
        <v>0</v>
      </c>
      <c r="AP887" t="s">
        <v>3015</v>
      </c>
      <c r="AQ887" t="s">
        <v>3021</v>
      </c>
      <c r="AR887" t="s">
        <v>3022</v>
      </c>
      <c r="AT887" t="s">
        <v>3017</v>
      </c>
      <c r="AU887" t="s">
        <v>3014</v>
      </c>
    </row>
    <row r="888" spans="1:47" x14ac:dyDescent="0.35">
      <c r="A888">
        <v>329286</v>
      </c>
      <c r="B888" t="s">
        <v>178</v>
      </c>
      <c r="C888" t="s">
        <v>179</v>
      </c>
      <c r="D888" s="2">
        <v>45752</v>
      </c>
      <c r="E888">
        <v>53850</v>
      </c>
      <c r="F888">
        <v>268</v>
      </c>
      <c r="G888" t="s">
        <v>83</v>
      </c>
      <c r="H888" t="s">
        <v>167</v>
      </c>
      <c r="I888" t="s">
        <v>45</v>
      </c>
      <c r="K888">
        <v>202504047869226</v>
      </c>
      <c r="L888">
        <v>2683300005239</v>
      </c>
      <c r="M888">
        <v>20250404</v>
      </c>
      <c r="N888" t="s">
        <v>3136</v>
      </c>
      <c r="Q888" t="s">
        <v>170</v>
      </c>
      <c r="R888">
        <v>99198.79</v>
      </c>
      <c r="S888">
        <v>0</v>
      </c>
      <c r="T888">
        <v>1600096</v>
      </c>
      <c r="U888" t="s">
        <v>1162</v>
      </c>
      <c r="V888" t="s">
        <v>1163</v>
      </c>
      <c r="W888" t="s">
        <v>187</v>
      </c>
      <c r="Y888" t="s">
        <v>51</v>
      </c>
      <c r="Z888">
        <v>1757</v>
      </c>
      <c r="AH888">
        <v>0</v>
      </c>
      <c r="AI888">
        <v>202504</v>
      </c>
      <c r="AJ888" t="s">
        <v>86</v>
      </c>
      <c r="AK888">
        <v>1</v>
      </c>
      <c r="AL888">
        <v>1</v>
      </c>
      <c r="AO888">
        <v>1</v>
      </c>
      <c r="AP888" t="s">
        <v>3015</v>
      </c>
      <c r="AQ888" t="s">
        <v>3044</v>
      </c>
      <c r="AR888" t="s">
        <v>3045</v>
      </c>
      <c r="AS888" t="s">
        <v>3046</v>
      </c>
      <c r="AU888" t="s">
        <v>3046</v>
      </c>
    </row>
    <row r="889" spans="1:47" x14ac:dyDescent="0.35">
      <c r="A889">
        <v>329285</v>
      </c>
      <c r="B889" t="s">
        <v>164</v>
      </c>
      <c r="C889" t="s">
        <v>165</v>
      </c>
      <c r="D889" s="2">
        <v>45752</v>
      </c>
      <c r="E889">
        <v>53850</v>
      </c>
      <c r="F889">
        <v>131</v>
      </c>
      <c r="G889" t="s">
        <v>216</v>
      </c>
      <c r="H889" t="s">
        <v>167</v>
      </c>
      <c r="I889" t="s">
        <v>45</v>
      </c>
      <c r="K889">
        <v>202504047867631</v>
      </c>
      <c r="L889">
        <v>1313300001588</v>
      </c>
      <c r="M889">
        <v>20250404</v>
      </c>
      <c r="N889" t="s">
        <v>168</v>
      </c>
      <c r="P889" t="s">
        <v>169</v>
      </c>
      <c r="Q889" t="s">
        <v>47</v>
      </c>
      <c r="R889">
        <v>17730</v>
      </c>
      <c r="S889">
        <v>0</v>
      </c>
      <c r="T889">
        <v>4121868</v>
      </c>
      <c r="U889">
        <v>5913290630</v>
      </c>
      <c r="V889" t="s">
        <v>1164</v>
      </c>
      <c r="W889" t="s">
        <v>49</v>
      </c>
      <c r="X889" t="s">
        <v>1165</v>
      </c>
      <c r="Y889" t="s">
        <v>51</v>
      </c>
      <c r="Z889">
        <v>739</v>
      </c>
      <c r="AH889">
        <v>0</v>
      </c>
      <c r="AI889">
        <v>202504</v>
      </c>
      <c r="AJ889" t="s">
        <v>56</v>
      </c>
      <c r="AK889">
        <v>0</v>
      </c>
      <c r="AL889">
        <v>1</v>
      </c>
      <c r="AO889">
        <v>0</v>
      </c>
      <c r="AP889" t="s">
        <v>3015</v>
      </c>
      <c r="AQ889" t="s">
        <v>3012</v>
      </c>
      <c r="AR889" t="s">
        <v>3016</v>
      </c>
      <c r="AT889" t="s">
        <v>3017</v>
      </c>
      <c r="AU889" t="s">
        <v>3018</v>
      </c>
    </row>
    <row r="890" spans="1:47" x14ac:dyDescent="0.35">
      <c r="A890">
        <v>329284</v>
      </c>
      <c r="B890" t="s">
        <v>172</v>
      </c>
      <c r="C890" t="s">
        <v>173</v>
      </c>
      <c r="D890" s="2">
        <v>45752</v>
      </c>
      <c r="E890">
        <v>53850</v>
      </c>
      <c r="F890">
        <v>171</v>
      </c>
      <c r="G890" t="s">
        <v>198</v>
      </c>
      <c r="H890" t="s">
        <v>167</v>
      </c>
      <c r="I890" t="s">
        <v>45</v>
      </c>
      <c r="K890" t="s">
        <v>1140</v>
      </c>
      <c r="L890">
        <v>1713302214147</v>
      </c>
      <c r="M890">
        <v>20250404</v>
      </c>
      <c r="N890" t="s">
        <v>195</v>
      </c>
      <c r="Q890" t="s">
        <v>47</v>
      </c>
      <c r="R890">
        <v>123439.35</v>
      </c>
      <c r="S890">
        <v>123439.35</v>
      </c>
      <c r="T890">
        <v>4199319</v>
      </c>
      <c r="U890">
        <v>6037810725</v>
      </c>
      <c r="V890" t="s">
        <v>1144</v>
      </c>
      <c r="W890" t="s">
        <v>49</v>
      </c>
      <c r="X890" t="s">
        <v>200</v>
      </c>
      <c r="Y890" t="s">
        <v>51</v>
      </c>
      <c r="Z890">
        <v>1903</v>
      </c>
      <c r="AH890">
        <v>0</v>
      </c>
      <c r="AI890">
        <v>202504</v>
      </c>
      <c r="AJ890" t="s">
        <v>56</v>
      </c>
      <c r="AK890">
        <v>0</v>
      </c>
      <c r="AL890">
        <v>1</v>
      </c>
      <c r="AM890">
        <v>4199319</v>
      </c>
      <c r="AN890">
        <v>1</v>
      </c>
      <c r="AO890">
        <v>0</v>
      </c>
      <c r="AP890" t="s">
        <v>3015</v>
      </c>
      <c r="AQ890" t="s">
        <v>3012</v>
      </c>
      <c r="AR890" t="s">
        <v>3016</v>
      </c>
      <c r="AT890" t="s">
        <v>3017</v>
      </c>
      <c r="AU890" t="s">
        <v>3018</v>
      </c>
    </row>
    <row r="891" spans="1:47" x14ac:dyDescent="0.35">
      <c r="A891">
        <v>329283</v>
      </c>
      <c r="B891" t="s">
        <v>193</v>
      </c>
      <c r="C891" t="s">
        <v>194</v>
      </c>
      <c r="D891" s="2">
        <v>45752</v>
      </c>
      <c r="E891">
        <v>53850</v>
      </c>
      <c r="F891">
        <v>171</v>
      </c>
      <c r="G891" t="s">
        <v>198</v>
      </c>
      <c r="H891" t="s">
        <v>167</v>
      </c>
      <c r="I891" t="s">
        <v>45</v>
      </c>
      <c r="K891" t="s">
        <v>1140</v>
      </c>
      <c r="L891">
        <v>1713305728950</v>
      </c>
      <c r="M891">
        <v>20250404</v>
      </c>
      <c r="N891" t="s">
        <v>195</v>
      </c>
      <c r="Q891" t="s">
        <v>47</v>
      </c>
      <c r="R891">
        <v>303602.48</v>
      </c>
      <c r="S891">
        <v>303602.48</v>
      </c>
      <c r="T891">
        <v>572895</v>
      </c>
      <c r="U891">
        <v>4161600723</v>
      </c>
      <c r="V891" t="s">
        <v>199</v>
      </c>
      <c r="W891" t="s">
        <v>49</v>
      </c>
      <c r="X891" t="s">
        <v>200</v>
      </c>
      <c r="Y891" t="s">
        <v>51</v>
      </c>
      <c r="Z891">
        <v>1903</v>
      </c>
      <c r="AH891">
        <v>0</v>
      </c>
      <c r="AI891">
        <v>202504</v>
      </c>
      <c r="AJ891" t="s">
        <v>56</v>
      </c>
      <c r="AK891">
        <v>0</v>
      </c>
      <c r="AL891">
        <v>1</v>
      </c>
      <c r="AM891">
        <v>572895</v>
      </c>
      <c r="AN891">
        <v>1</v>
      </c>
      <c r="AO891">
        <v>0</v>
      </c>
      <c r="AP891" t="s">
        <v>3015</v>
      </c>
      <c r="AQ891" t="s">
        <v>3012</v>
      </c>
      <c r="AR891" t="s">
        <v>3016</v>
      </c>
      <c r="AT891" t="s">
        <v>3017</v>
      </c>
      <c r="AU891" t="s">
        <v>3018</v>
      </c>
    </row>
    <row r="892" spans="1:47" x14ac:dyDescent="0.35">
      <c r="A892">
        <v>329282</v>
      </c>
      <c r="B892" t="s">
        <v>178</v>
      </c>
      <c r="C892" t="s">
        <v>179</v>
      </c>
      <c r="D892" s="2">
        <v>45752</v>
      </c>
      <c r="E892">
        <v>53850</v>
      </c>
      <c r="F892">
        <v>114</v>
      </c>
      <c r="G892" t="s">
        <v>188</v>
      </c>
      <c r="H892" t="s">
        <v>167</v>
      </c>
      <c r="I892" t="s">
        <v>45</v>
      </c>
      <c r="K892">
        <v>202504047866860</v>
      </c>
      <c r="L892">
        <v>1143306285135</v>
      </c>
      <c r="M892">
        <v>20250404</v>
      </c>
      <c r="N892" t="s">
        <v>236</v>
      </c>
      <c r="P892" t="s">
        <v>51</v>
      </c>
      <c r="Q892" t="s">
        <v>170</v>
      </c>
      <c r="R892">
        <v>100000</v>
      </c>
      <c r="S892">
        <v>0</v>
      </c>
      <c r="T892">
        <v>3730898</v>
      </c>
      <c r="U892" t="s">
        <v>835</v>
      </c>
      <c r="V892" t="s">
        <v>836</v>
      </c>
      <c r="W892" t="s">
        <v>69</v>
      </c>
      <c r="X892" t="s">
        <v>131</v>
      </c>
      <c r="Y892" t="s">
        <v>51</v>
      </c>
      <c r="Z892">
        <v>869</v>
      </c>
      <c r="AH892">
        <v>0</v>
      </c>
      <c r="AI892">
        <v>202504</v>
      </c>
      <c r="AJ892" t="s">
        <v>56</v>
      </c>
      <c r="AK892">
        <v>0</v>
      </c>
      <c r="AL892">
        <v>1</v>
      </c>
      <c r="AM892">
        <v>3730898</v>
      </c>
      <c r="AN892">
        <v>1</v>
      </c>
      <c r="AO892">
        <v>0</v>
      </c>
      <c r="AP892" t="s">
        <v>3033</v>
      </c>
      <c r="AQ892" t="s">
        <v>3021</v>
      </c>
      <c r="AR892" t="s">
        <v>3054</v>
      </c>
      <c r="AS892" t="s">
        <v>3055</v>
      </c>
      <c r="AU892" t="s">
        <v>3055</v>
      </c>
    </row>
    <row r="893" spans="1:47" x14ac:dyDescent="0.35">
      <c r="A893">
        <v>329281</v>
      </c>
      <c r="B893" t="s">
        <v>178</v>
      </c>
      <c r="C893" t="s">
        <v>179</v>
      </c>
      <c r="D893" s="2">
        <v>45752</v>
      </c>
      <c r="E893">
        <v>53850</v>
      </c>
      <c r="F893">
        <v>131</v>
      </c>
      <c r="G893" t="s">
        <v>216</v>
      </c>
      <c r="H893" t="s">
        <v>167</v>
      </c>
      <c r="I893" t="s">
        <v>45</v>
      </c>
      <c r="K893" t="s">
        <v>1145</v>
      </c>
      <c r="L893">
        <v>1313300002966</v>
      </c>
      <c r="M893">
        <v>20250404</v>
      </c>
      <c r="N893" t="s">
        <v>3136</v>
      </c>
      <c r="Q893" t="s">
        <v>170</v>
      </c>
      <c r="R893">
        <v>3519.16</v>
      </c>
      <c r="S893">
        <v>0</v>
      </c>
      <c r="T893">
        <v>4053961</v>
      </c>
      <c r="U893" t="s">
        <v>1166</v>
      </c>
      <c r="V893" t="s">
        <v>1167</v>
      </c>
      <c r="W893" t="s">
        <v>187</v>
      </c>
      <c r="Y893" t="s">
        <v>51</v>
      </c>
      <c r="Z893">
        <v>826</v>
      </c>
      <c r="AH893">
        <v>0</v>
      </c>
      <c r="AI893">
        <v>202504</v>
      </c>
      <c r="AJ893" t="s">
        <v>86</v>
      </c>
      <c r="AK893">
        <v>1</v>
      </c>
      <c r="AL893">
        <v>1</v>
      </c>
      <c r="AO893">
        <v>1</v>
      </c>
      <c r="AP893" t="s">
        <v>3015</v>
      </c>
      <c r="AQ893" t="s">
        <v>3044</v>
      </c>
      <c r="AR893" t="s">
        <v>3045</v>
      </c>
      <c r="AS893" t="s">
        <v>3046</v>
      </c>
      <c r="AU893" t="s">
        <v>3046</v>
      </c>
    </row>
    <row r="894" spans="1:47" x14ac:dyDescent="0.35">
      <c r="A894">
        <v>329280</v>
      </c>
      <c r="B894" t="s">
        <v>178</v>
      </c>
      <c r="C894" t="s">
        <v>179</v>
      </c>
      <c r="D894" s="2">
        <v>45752</v>
      </c>
      <c r="E894">
        <v>53850</v>
      </c>
      <c r="F894">
        <v>273</v>
      </c>
      <c r="G894" t="s">
        <v>133</v>
      </c>
      <c r="H894" t="s">
        <v>167</v>
      </c>
      <c r="I894" t="s">
        <v>45</v>
      </c>
      <c r="K894">
        <v>202504047867933</v>
      </c>
      <c r="L894">
        <v>2733300010292</v>
      </c>
      <c r="M894">
        <v>20250404</v>
      </c>
      <c r="N894" t="s">
        <v>46</v>
      </c>
      <c r="P894" t="s">
        <v>51</v>
      </c>
      <c r="Q894" t="s">
        <v>47</v>
      </c>
      <c r="R894">
        <v>320000</v>
      </c>
      <c r="S894">
        <v>0</v>
      </c>
      <c r="T894">
        <v>1687356</v>
      </c>
      <c r="U894" t="s">
        <v>1168</v>
      </c>
      <c r="V894" t="s">
        <v>1169</v>
      </c>
      <c r="W894" t="s">
        <v>187</v>
      </c>
      <c r="Y894" t="s">
        <v>51</v>
      </c>
      <c r="Z894">
        <v>1295</v>
      </c>
      <c r="AH894">
        <v>0</v>
      </c>
      <c r="AI894">
        <v>202504</v>
      </c>
      <c r="AJ894" t="s">
        <v>52</v>
      </c>
      <c r="AK894">
        <v>0</v>
      </c>
      <c r="AL894">
        <v>1</v>
      </c>
      <c r="AO894">
        <v>0</v>
      </c>
      <c r="AP894" t="s">
        <v>3015</v>
      </c>
      <c r="AQ894" t="s">
        <v>3044</v>
      </c>
      <c r="AR894" t="s">
        <v>3045</v>
      </c>
      <c r="AS894" t="s">
        <v>3046</v>
      </c>
      <c r="AU894" t="s">
        <v>3046</v>
      </c>
    </row>
    <row r="895" spans="1:47" x14ac:dyDescent="0.35">
      <c r="A895">
        <v>329279</v>
      </c>
      <c r="B895" t="s">
        <v>193</v>
      </c>
      <c r="C895" t="s">
        <v>194</v>
      </c>
      <c r="D895" s="2">
        <v>45752</v>
      </c>
      <c r="E895">
        <v>53850</v>
      </c>
      <c r="F895">
        <v>128</v>
      </c>
      <c r="G895" t="s">
        <v>94</v>
      </c>
      <c r="H895" t="s">
        <v>167</v>
      </c>
      <c r="I895" t="s">
        <v>45</v>
      </c>
      <c r="K895" t="s">
        <v>1140</v>
      </c>
      <c r="L895">
        <v>1283300003941</v>
      </c>
      <c r="M895">
        <v>20250404</v>
      </c>
      <c r="N895" t="s">
        <v>175</v>
      </c>
      <c r="Q895" t="s">
        <v>47</v>
      </c>
      <c r="R895">
        <v>46650</v>
      </c>
      <c r="S895">
        <v>46650</v>
      </c>
      <c r="T895">
        <v>4916499</v>
      </c>
      <c r="U895" t="s">
        <v>382</v>
      </c>
      <c r="V895" t="s">
        <v>383</v>
      </c>
      <c r="W895" t="s">
        <v>69</v>
      </c>
      <c r="X895" t="s">
        <v>55</v>
      </c>
      <c r="Y895" t="s">
        <v>51</v>
      </c>
      <c r="Z895">
        <v>1166</v>
      </c>
      <c r="AH895">
        <v>0</v>
      </c>
      <c r="AI895">
        <v>202504</v>
      </c>
      <c r="AJ895" t="s">
        <v>56</v>
      </c>
      <c r="AK895">
        <v>0</v>
      </c>
      <c r="AL895">
        <v>1</v>
      </c>
      <c r="AM895">
        <v>4916499</v>
      </c>
      <c r="AN895">
        <v>1</v>
      </c>
      <c r="AO895">
        <v>1</v>
      </c>
      <c r="AP895" t="s">
        <v>3015</v>
      </c>
      <c r="AQ895" t="s">
        <v>3021</v>
      </c>
      <c r="AR895" t="s">
        <v>3022</v>
      </c>
      <c r="AT895" t="s">
        <v>3017</v>
      </c>
      <c r="AU895" t="s">
        <v>3014</v>
      </c>
    </row>
    <row r="896" spans="1:47" x14ac:dyDescent="0.35">
      <c r="A896">
        <v>329278</v>
      </c>
      <c r="B896" t="s">
        <v>178</v>
      </c>
      <c r="C896" t="s">
        <v>179</v>
      </c>
      <c r="D896" s="2">
        <v>45752</v>
      </c>
      <c r="E896">
        <v>53850</v>
      </c>
      <c r="F896">
        <v>286</v>
      </c>
      <c r="G896" t="s">
        <v>408</v>
      </c>
      <c r="H896" t="s">
        <v>167</v>
      </c>
      <c r="I896" t="s">
        <v>45</v>
      </c>
      <c r="K896">
        <v>202504047866977</v>
      </c>
      <c r="L896">
        <v>2863300003269</v>
      </c>
      <c r="M896">
        <v>20250404</v>
      </c>
      <c r="N896" t="s">
        <v>236</v>
      </c>
      <c r="P896" t="s">
        <v>51</v>
      </c>
      <c r="Q896" t="s">
        <v>170</v>
      </c>
      <c r="R896">
        <v>3760894.53</v>
      </c>
      <c r="S896">
        <v>0</v>
      </c>
      <c r="T896">
        <v>1703846</v>
      </c>
      <c r="U896">
        <v>2557890692</v>
      </c>
      <c r="V896" t="s">
        <v>1170</v>
      </c>
      <c r="W896" t="s">
        <v>49</v>
      </c>
      <c r="X896" t="s">
        <v>1076</v>
      </c>
      <c r="Y896" t="s">
        <v>51</v>
      </c>
      <c r="Z896">
        <v>1877</v>
      </c>
      <c r="AH896">
        <v>0</v>
      </c>
      <c r="AI896">
        <v>202504</v>
      </c>
      <c r="AJ896" t="s">
        <v>56</v>
      </c>
      <c r="AK896">
        <v>0</v>
      </c>
      <c r="AL896">
        <v>1</v>
      </c>
      <c r="AO896">
        <v>0</v>
      </c>
      <c r="AP896" t="s">
        <v>3015</v>
      </c>
      <c r="AQ896" t="s">
        <v>3012</v>
      </c>
      <c r="AR896" t="s">
        <v>3016</v>
      </c>
      <c r="AT896" t="s">
        <v>3017</v>
      </c>
      <c r="AU896" t="s">
        <v>3018</v>
      </c>
    </row>
    <row r="897" spans="1:47" x14ac:dyDescent="0.35">
      <c r="A897">
        <v>329277</v>
      </c>
      <c r="B897" t="s">
        <v>193</v>
      </c>
      <c r="C897" t="s">
        <v>194</v>
      </c>
      <c r="D897" s="2">
        <v>45752</v>
      </c>
      <c r="E897">
        <v>53850</v>
      </c>
      <c r="F897">
        <v>174</v>
      </c>
      <c r="G897" t="s">
        <v>224</v>
      </c>
      <c r="H897" t="s">
        <v>167</v>
      </c>
      <c r="I897" t="s">
        <v>45</v>
      </c>
      <c r="K897" t="s">
        <v>1140</v>
      </c>
      <c r="L897">
        <v>1743302879903</v>
      </c>
      <c r="M897">
        <v>20250404</v>
      </c>
      <c r="N897" t="s">
        <v>175</v>
      </c>
      <c r="Q897" t="s">
        <v>47</v>
      </c>
      <c r="R897">
        <v>55724.92</v>
      </c>
      <c r="S897">
        <v>51000</v>
      </c>
      <c r="T897">
        <v>4928259</v>
      </c>
      <c r="U897">
        <v>8287320728</v>
      </c>
      <c r="V897" t="s">
        <v>1171</v>
      </c>
      <c r="W897" t="s">
        <v>49</v>
      </c>
      <c r="X897" t="s">
        <v>117</v>
      </c>
      <c r="Y897" t="s">
        <v>51</v>
      </c>
      <c r="Z897">
        <v>448</v>
      </c>
      <c r="AH897">
        <v>0</v>
      </c>
      <c r="AI897">
        <v>202504</v>
      </c>
      <c r="AJ897" t="s">
        <v>52</v>
      </c>
      <c r="AK897">
        <v>0</v>
      </c>
      <c r="AL897">
        <v>1</v>
      </c>
      <c r="AM897">
        <v>4928259</v>
      </c>
      <c r="AN897">
        <v>1</v>
      </c>
      <c r="AO897">
        <v>1</v>
      </c>
      <c r="AP897" t="s">
        <v>3029</v>
      </c>
      <c r="AQ897" t="s">
        <v>3012</v>
      </c>
      <c r="AR897" t="s">
        <v>3030</v>
      </c>
      <c r="AS897" t="s">
        <v>3014</v>
      </c>
      <c r="AU897" t="s">
        <v>3014</v>
      </c>
    </row>
    <row r="898" spans="1:47" x14ac:dyDescent="0.35">
      <c r="A898">
        <v>329276</v>
      </c>
      <c r="B898" t="s">
        <v>178</v>
      </c>
      <c r="C898" t="s">
        <v>179</v>
      </c>
      <c r="D898" s="2">
        <v>45752</v>
      </c>
      <c r="E898">
        <v>53850</v>
      </c>
      <c r="F898">
        <v>153</v>
      </c>
      <c r="G898" t="s">
        <v>63</v>
      </c>
      <c r="H898" t="s">
        <v>167</v>
      </c>
      <c r="I898" t="s">
        <v>45</v>
      </c>
      <c r="K898">
        <v>202504047866805</v>
      </c>
      <c r="L898">
        <v>1533300662905</v>
      </c>
      <c r="M898">
        <v>20250404</v>
      </c>
      <c r="N898" t="s">
        <v>236</v>
      </c>
      <c r="P898" t="s">
        <v>51</v>
      </c>
      <c r="Q898" t="s">
        <v>170</v>
      </c>
      <c r="R898">
        <v>732000</v>
      </c>
      <c r="S898">
        <v>0</v>
      </c>
      <c r="T898">
        <v>4165339</v>
      </c>
      <c r="U898">
        <v>5612950633</v>
      </c>
      <c r="V898" t="s">
        <v>1020</v>
      </c>
      <c r="W898" t="s">
        <v>49</v>
      </c>
      <c r="X898" t="s">
        <v>1021</v>
      </c>
      <c r="Y898" t="s">
        <v>51</v>
      </c>
      <c r="Z898">
        <v>982</v>
      </c>
      <c r="AH898">
        <v>0</v>
      </c>
      <c r="AI898">
        <v>202504</v>
      </c>
      <c r="AJ898" t="s">
        <v>56</v>
      </c>
      <c r="AK898">
        <v>0</v>
      </c>
      <c r="AL898">
        <v>1</v>
      </c>
      <c r="AO898">
        <v>0</v>
      </c>
      <c r="AP898" t="s">
        <v>3098</v>
      </c>
      <c r="AQ898" t="s">
        <v>3012</v>
      </c>
      <c r="AR898" t="s">
        <v>3099</v>
      </c>
      <c r="AS898" t="s">
        <v>3014</v>
      </c>
      <c r="AU898" t="s">
        <v>3014</v>
      </c>
    </row>
    <row r="899" spans="1:47" x14ac:dyDescent="0.35">
      <c r="A899">
        <v>329275</v>
      </c>
      <c r="B899" t="s">
        <v>193</v>
      </c>
      <c r="C899" t="s">
        <v>194</v>
      </c>
      <c r="D899" s="2">
        <v>45752</v>
      </c>
      <c r="E899">
        <v>53850</v>
      </c>
      <c r="F899">
        <v>181</v>
      </c>
      <c r="G899" t="s">
        <v>180</v>
      </c>
      <c r="H899" t="s">
        <v>167</v>
      </c>
      <c r="I899" t="s">
        <v>45</v>
      </c>
      <c r="K899">
        <v>202504047869135</v>
      </c>
      <c r="L899">
        <v>1813301029924</v>
      </c>
      <c r="M899">
        <v>20250404</v>
      </c>
      <c r="N899" t="s">
        <v>266</v>
      </c>
      <c r="Q899" t="s">
        <v>47</v>
      </c>
      <c r="R899">
        <v>32340</v>
      </c>
      <c r="S899">
        <v>32340</v>
      </c>
      <c r="T899">
        <v>4948468</v>
      </c>
      <c r="U899" t="s">
        <v>422</v>
      </c>
      <c r="V899" t="s">
        <v>423</v>
      </c>
      <c r="W899" t="s">
        <v>69</v>
      </c>
      <c r="X899" t="s">
        <v>55</v>
      </c>
      <c r="Y899" t="s">
        <v>51</v>
      </c>
      <c r="Z899">
        <v>1943</v>
      </c>
      <c r="AH899">
        <v>0</v>
      </c>
      <c r="AI899">
        <v>202504</v>
      </c>
      <c r="AJ899" t="s">
        <v>119</v>
      </c>
      <c r="AK899">
        <v>1</v>
      </c>
      <c r="AL899">
        <v>1</v>
      </c>
      <c r="AM899">
        <v>4948468</v>
      </c>
      <c r="AN899">
        <v>1</v>
      </c>
      <c r="AO899">
        <v>0</v>
      </c>
      <c r="AP899" t="s">
        <v>3015</v>
      </c>
      <c r="AQ899" t="s">
        <v>3021</v>
      </c>
      <c r="AR899" t="s">
        <v>3022</v>
      </c>
      <c r="AT899" t="s">
        <v>3017</v>
      </c>
      <c r="AU899" t="s">
        <v>3014</v>
      </c>
    </row>
    <row r="900" spans="1:47" x14ac:dyDescent="0.35">
      <c r="A900">
        <v>329274</v>
      </c>
      <c r="B900" t="s">
        <v>214</v>
      </c>
      <c r="C900" t="s">
        <v>215</v>
      </c>
      <c r="D900" s="2">
        <v>45752</v>
      </c>
      <c r="E900">
        <v>53850</v>
      </c>
      <c r="F900">
        <v>226</v>
      </c>
      <c r="G900" t="s">
        <v>129</v>
      </c>
      <c r="H900" t="s">
        <v>167</v>
      </c>
      <c r="I900" t="s">
        <v>45</v>
      </c>
      <c r="K900">
        <v>202504047867639</v>
      </c>
      <c r="L900">
        <v>1453300003928</v>
      </c>
      <c r="M900">
        <v>20250404</v>
      </c>
      <c r="N900" t="s">
        <v>168</v>
      </c>
      <c r="P900" t="s">
        <v>217</v>
      </c>
      <c r="Q900" t="s">
        <v>47</v>
      </c>
      <c r="R900">
        <v>48000</v>
      </c>
      <c r="S900">
        <v>0</v>
      </c>
      <c r="T900">
        <v>3726295</v>
      </c>
      <c r="U900">
        <v>10503411216</v>
      </c>
      <c r="V900" t="s">
        <v>1172</v>
      </c>
      <c r="W900" t="s">
        <v>49</v>
      </c>
      <c r="X900" t="s">
        <v>1173</v>
      </c>
      <c r="Y900" t="s">
        <v>51</v>
      </c>
      <c r="Z900">
        <v>1932</v>
      </c>
      <c r="AH900">
        <v>0</v>
      </c>
      <c r="AI900">
        <v>202504</v>
      </c>
      <c r="AJ900" t="s">
        <v>114</v>
      </c>
      <c r="AK900">
        <v>1</v>
      </c>
      <c r="AL900">
        <v>1</v>
      </c>
      <c r="AO900">
        <v>0</v>
      </c>
      <c r="AP900" t="s">
        <v>3015</v>
      </c>
      <c r="AQ900" t="s">
        <v>3012</v>
      </c>
      <c r="AR900" t="s">
        <v>3016</v>
      </c>
      <c r="AT900" t="s">
        <v>3017</v>
      </c>
      <c r="AU900" t="s">
        <v>3018</v>
      </c>
    </row>
    <row r="901" spans="1:47" x14ac:dyDescent="0.35">
      <c r="A901">
        <v>329273</v>
      </c>
      <c r="B901" t="s">
        <v>178</v>
      </c>
      <c r="C901" t="s">
        <v>179</v>
      </c>
      <c r="D901" s="2">
        <v>45752</v>
      </c>
      <c r="E901">
        <v>53850</v>
      </c>
      <c r="F901">
        <v>106</v>
      </c>
      <c r="G901" t="s">
        <v>291</v>
      </c>
      <c r="H901" t="s">
        <v>167</v>
      </c>
      <c r="I901" t="s">
        <v>45</v>
      </c>
      <c r="K901">
        <v>202504047867099</v>
      </c>
      <c r="L901">
        <v>1063304957810</v>
      </c>
      <c r="M901">
        <v>20250404</v>
      </c>
      <c r="N901" t="s">
        <v>46</v>
      </c>
      <c r="P901" t="s">
        <v>51</v>
      </c>
      <c r="Q901" t="s">
        <v>47</v>
      </c>
      <c r="R901">
        <v>386230</v>
      </c>
      <c r="S901">
        <v>0</v>
      </c>
      <c r="T901">
        <v>495781</v>
      </c>
      <c r="U901" t="s">
        <v>1174</v>
      </c>
      <c r="V901" t="s">
        <v>1175</v>
      </c>
      <c r="W901" t="s">
        <v>187</v>
      </c>
      <c r="Y901" t="s">
        <v>51</v>
      </c>
      <c r="Z901">
        <v>1464</v>
      </c>
      <c r="AH901">
        <v>0</v>
      </c>
      <c r="AI901">
        <v>202504</v>
      </c>
      <c r="AJ901" t="s">
        <v>86</v>
      </c>
      <c r="AK901">
        <v>1</v>
      </c>
      <c r="AL901">
        <v>1</v>
      </c>
      <c r="AO901">
        <v>0</v>
      </c>
      <c r="AP901" t="s">
        <v>3015</v>
      </c>
      <c r="AQ901" t="s">
        <v>3044</v>
      </c>
      <c r="AR901" t="s">
        <v>3045</v>
      </c>
      <c r="AS901" t="s">
        <v>3046</v>
      </c>
      <c r="AU901" t="s">
        <v>3046</v>
      </c>
    </row>
    <row r="902" spans="1:47" x14ac:dyDescent="0.35">
      <c r="A902">
        <v>329272</v>
      </c>
      <c r="B902" t="s">
        <v>178</v>
      </c>
      <c r="C902" t="s">
        <v>179</v>
      </c>
      <c r="D902" s="2">
        <v>45752</v>
      </c>
      <c r="E902">
        <v>53850</v>
      </c>
      <c r="F902">
        <v>134</v>
      </c>
      <c r="G902" t="s">
        <v>804</v>
      </c>
      <c r="H902" t="s">
        <v>167</v>
      </c>
      <c r="I902" t="s">
        <v>45</v>
      </c>
      <c r="K902" t="s">
        <v>1176</v>
      </c>
      <c r="L902">
        <v>1343300002838</v>
      </c>
      <c r="M902">
        <v>20250404</v>
      </c>
      <c r="N902" t="s">
        <v>3136</v>
      </c>
      <c r="Q902" t="s">
        <v>170</v>
      </c>
      <c r="R902">
        <v>2746.26</v>
      </c>
      <c r="S902">
        <v>0</v>
      </c>
      <c r="T902">
        <v>4917006</v>
      </c>
      <c r="U902" t="s">
        <v>1177</v>
      </c>
      <c r="V902" t="s">
        <v>1178</v>
      </c>
      <c r="W902" t="s">
        <v>187</v>
      </c>
      <c r="Y902" t="s">
        <v>51</v>
      </c>
      <c r="Z902">
        <v>1659</v>
      </c>
      <c r="AH902">
        <v>0</v>
      </c>
      <c r="AI902">
        <v>202504</v>
      </c>
      <c r="AJ902" t="s">
        <v>114</v>
      </c>
      <c r="AK902">
        <v>1</v>
      </c>
      <c r="AL902">
        <v>1</v>
      </c>
      <c r="AO902">
        <v>1</v>
      </c>
      <c r="AP902" t="s">
        <v>3015</v>
      </c>
      <c r="AQ902" t="s">
        <v>3044</v>
      </c>
      <c r="AR902" t="s">
        <v>3045</v>
      </c>
      <c r="AS902" t="s">
        <v>3046</v>
      </c>
      <c r="AU902" t="s">
        <v>3046</v>
      </c>
    </row>
    <row r="903" spans="1:47" x14ac:dyDescent="0.35">
      <c r="A903">
        <v>329271</v>
      </c>
      <c r="B903" t="s">
        <v>193</v>
      </c>
      <c r="C903" t="s">
        <v>194</v>
      </c>
      <c r="D903" s="2">
        <v>45752</v>
      </c>
      <c r="E903">
        <v>53850</v>
      </c>
      <c r="F903">
        <v>264</v>
      </c>
      <c r="G903" t="s">
        <v>71</v>
      </c>
      <c r="H903" t="s">
        <v>167</v>
      </c>
      <c r="I903" t="s">
        <v>45</v>
      </c>
      <c r="K903" t="s">
        <v>1140</v>
      </c>
      <c r="L903">
        <v>2643300002171</v>
      </c>
      <c r="M903">
        <v>20250404</v>
      </c>
      <c r="N903" t="s">
        <v>195</v>
      </c>
      <c r="Q903" t="s">
        <v>47</v>
      </c>
      <c r="R903">
        <v>33040</v>
      </c>
      <c r="S903">
        <v>33040</v>
      </c>
      <c r="T903">
        <v>1705273</v>
      </c>
      <c r="U903">
        <v>1112900772</v>
      </c>
      <c r="V903" t="s">
        <v>502</v>
      </c>
      <c r="W903" t="s">
        <v>190</v>
      </c>
      <c r="X903" t="s">
        <v>131</v>
      </c>
      <c r="Y903" t="s">
        <v>51</v>
      </c>
      <c r="Z903">
        <v>936</v>
      </c>
      <c r="AH903">
        <v>0</v>
      </c>
      <c r="AI903">
        <v>202504</v>
      </c>
      <c r="AJ903" t="s">
        <v>52</v>
      </c>
      <c r="AK903">
        <v>0</v>
      </c>
      <c r="AL903">
        <v>1</v>
      </c>
      <c r="AM903">
        <v>1705273</v>
      </c>
      <c r="AN903">
        <v>1</v>
      </c>
      <c r="AO903">
        <v>0</v>
      </c>
      <c r="AP903" t="s">
        <v>3033</v>
      </c>
      <c r="AQ903" t="s">
        <v>3047</v>
      </c>
      <c r="AR903" t="s">
        <v>3048</v>
      </c>
      <c r="AS903" t="s">
        <v>3049</v>
      </c>
      <c r="AU903" t="s">
        <v>3049</v>
      </c>
    </row>
    <row r="904" spans="1:47" x14ac:dyDescent="0.35">
      <c r="A904">
        <v>329270</v>
      </c>
      <c r="B904" t="s">
        <v>172</v>
      </c>
      <c r="C904" t="s">
        <v>173</v>
      </c>
      <c r="D904" s="2">
        <v>45752</v>
      </c>
      <c r="E904">
        <v>53850</v>
      </c>
      <c r="F904">
        <v>126</v>
      </c>
      <c r="G904" t="s">
        <v>1148</v>
      </c>
      <c r="H904" t="s">
        <v>167</v>
      </c>
      <c r="I904" t="s">
        <v>45</v>
      </c>
      <c r="K904">
        <v>202504047868976</v>
      </c>
      <c r="L904">
        <v>1263300002892</v>
      </c>
      <c r="M904">
        <v>20250404</v>
      </c>
      <c r="N904" t="s">
        <v>81</v>
      </c>
      <c r="Q904" t="s">
        <v>47</v>
      </c>
      <c r="R904">
        <v>150000</v>
      </c>
      <c r="S904">
        <v>0</v>
      </c>
      <c r="T904">
        <v>4846586</v>
      </c>
      <c r="U904" t="s">
        <v>1179</v>
      </c>
      <c r="V904" t="s">
        <v>1180</v>
      </c>
      <c r="W904" t="s">
        <v>187</v>
      </c>
      <c r="Y904" t="s">
        <v>51</v>
      </c>
      <c r="Z904">
        <v>1241</v>
      </c>
      <c r="AH904">
        <v>0</v>
      </c>
      <c r="AI904">
        <v>202504</v>
      </c>
      <c r="AJ904" t="s">
        <v>86</v>
      </c>
      <c r="AK904">
        <v>1</v>
      </c>
      <c r="AL904">
        <v>1</v>
      </c>
      <c r="AO904">
        <v>0</v>
      </c>
      <c r="AP904" t="s">
        <v>3015</v>
      </c>
      <c r="AQ904" t="s">
        <v>3044</v>
      </c>
      <c r="AR904" t="s">
        <v>3045</v>
      </c>
      <c r="AS904" t="s">
        <v>3046</v>
      </c>
      <c r="AU904" t="s">
        <v>3046</v>
      </c>
    </row>
    <row r="905" spans="1:47" x14ac:dyDescent="0.35">
      <c r="A905">
        <v>329269</v>
      </c>
      <c r="B905" t="s">
        <v>178</v>
      </c>
      <c r="C905" t="s">
        <v>179</v>
      </c>
      <c r="D905" s="2">
        <v>45752</v>
      </c>
      <c r="E905">
        <v>53850</v>
      </c>
      <c r="F905">
        <v>147</v>
      </c>
      <c r="G905" t="s">
        <v>771</v>
      </c>
      <c r="H905" t="s">
        <v>167</v>
      </c>
      <c r="I905" t="s">
        <v>45</v>
      </c>
      <c r="K905">
        <v>202504047869032</v>
      </c>
      <c r="L905">
        <v>1473300003231</v>
      </c>
      <c r="M905">
        <v>20250404</v>
      </c>
      <c r="N905" t="s">
        <v>3136</v>
      </c>
      <c r="Q905" t="s">
        <v>170</v>
      </c>
      <c r="R905">
        <v>57836.480000000003</v>
      </c>
      <c r="S905">
        <v>0</v>
      </c>
      <c r="T905">
        <v>4983955</v>
      </c>
      <c r="V905" t="s">
        <v>1181</v>
      </c>
      <c r="W905" t="s">
        <v>332</v>
      </c>
      <c r="Y905" t="s">
        <v>51</v>
      </c>
      <c r="Z905">
        <v>1356</v>
      </c>
      <c r="AH905">
        <v>0</v>
      </c>
      <c r="AI905">
        <v>202504</v>
      </c>
      <c r="AJ905" t="s">
        <v>52</v>
      </c>
      <c r="AK905">
        <v>0</v>
      </c>
      <c r="AL905">
        <v>1</v>
      </c>
      <c r="AO905">
        <v>1</v>
      </c>
      <c r="AP905" t="s">
        <v>3015</v>
      </c>
      <c r="AQ905" t="s">
        <v>3058</v>
      </c>
      <c r="AR905" t="s">
        <v>3059</v>
      </c>
      <c r="AS905" t="s">
        <v>3014</v>
      </c>
      <c r="AU905" t="s">
        <v>3014</v>
      </c>
    </row>
    <row r="906" spans="1:47" x14ac:dyDescent="0.35">
      <c r="A906">
        <v>329268</v>
      </c>
      <c r="B906" t="s">
        <v>178</v>
      </c>
      <c r="C906" t="s">
        <v>179</v>
      </c>
      <c r="D906" s="2">
        <v>45752</v>
      </c>
      <c r="E906">
        <v>53850</v>
      </c>
      <c r="F906">
        <v>198</v>
      </c>
      <c r="G906" t="s">
        <v>300</v>
      </c>
      <c r="H906" t="s">
        <v>167</v>
      </c>
      <c r="I906" t="s">
        <v>45</v>
      </c>
      <c r="K906" t="s">
        <v>1151</v>
      </c>
      <c r="L906">
        <v>1983300001378</v>
      </c>
      <c r="M906">
        <v>20250404</v>
      </c>
      <c r="N906" t="s">
        <v>3136</v>
      </c>
      <c r="Q906" t="s">
        <v>170</v>
      </c>
      <c r="R906">
        <v>4300.62</v>
      </c>
      <c r="S906">
        <v>0</v>
      </c>
      <c r="T906">
        <v>4409914</v>
      </c>
      <c r="U906" t="s">
        <v>1182</v>
      </c>
      <c r="V906" t="s">
        <v>1183</v>
      </c>
      <c r="W906" t="s">
        <v>187</v>
      </c>
      <c r="Y906" t="s">
        <v>51</v>
      </c>
      <c r="Z906">
        <v>1718</v>
      </c>
      <c r="AH906">
        <v>0</v>
      </c>
      <c r="AI906">
        <v>202504</v>
      </c>
      <c r="AJ906" t="s">
        <v>56</v>
      </c>
      <c r="AK906">
        <v>0</v>
      </c>
      <c r="AL906">
        <v>1</v>
      </c>
      <c r="AO906">
        <v>1</v>
      </c>
      <c r="AP906" t="s">
        <v>3015</v>
      </c>
      <c r="AQ906" t="s">
        <v>3044</v>
      </c>
      <c r="AR906" t="s">
        <v>3045</v>
      </c>
      <c r="AS906" t="s">
        <v>3046</v>
      </c>
      <c r="AU906" t="s">
        <v>3046</v>
      </c>
    </row>
    <row r="907" spans="1:47" x14ac:dyDescent="0.35">
      <c r="A907">
        <v>329267</v>
      </c>
      <c r="B907" t="s">
        <v>172</v>
      </c>
      <c r="C907" t="s">
        <v>173</v>
      </c>
      <c r="D907" s="2">
        <v>45752</v>
      </c>
      <c r="E907">
        <v>53850</v>
      </c>
      <c r="F907">
        <v>175</v>
      </c>
      <c r="G907" t="s">
        <v>99</v>
      </c>
      <c r="H907" t="s">
        <v>167</v>
      </c>
      <c r="I907" t="s">
        <v>45</v>
      </c>
      <c r="K907" t="s">
        <v>1140</v>
      </c>
      <c r="L907">
        <v>1753302201452</v>
      </c>
      <c r="M907">
        <v>20250404</v>
      </c>
      <c r="N907" t="s">
        <v>175</v>
      </c>
      <c r="Q907" t="s">
        <v>47</v>
      </c>
      <c r="R907">
        <v>102859</v>
      </c>
      <c r="S907">
        <v>1600</v>
      </c>
      <c r="T907">
        <v>4329968</v>
      </c>
      <c r="U907">
        <v>1135000774</v>
      </c>
      <c r="V907" t="s">
        <v>1184</v>
      </c>
      <c r="W907" t="s">
        <v>1185</v>
      </c>
      <c r="X907" t="s">
        <v>1186</v>
      </c>
      <c r="Y907" t="s">
        <v>51</v>
      </c>
      <c r="Z907">
        <v>1110</v>
      </c>
      <c r="AH907">
        <v>0</v>
      </c>
      <c r="AI907">
        <v>202504</v>
      </c>
      <c r="AJ907" t="s">
        <v>52</v>
      </c>
      <c r="AK907">
        <v>0</v>
      </c>
      <c r="AL907">
        <v>1</v>
      </c>
      <c r="AM907">
        <v>4329968</v>
      </c>
      <c r="AN907">
        <v>1</v>
      </c>
      <c r="AO907">
        <v>1</v>
      </c>
      <c r="AP907" t="s">
        <v>3015</v>
      </c>
      <c r="AQ907" t="s">
        <v>3103</v>
      </c>
      <c r="AR907" t="s">
        <v>3104</v>
      </c>
      <c r="AT907" t="s">
        <v>3017</v>
      </c>
      <c r="AU907" t="s">
        <v>3057</v>
      </c>
    </row>
    <row r="908" spans="1:47" x14ac:dyDescent="0.35">
      <c r="A908">
        <v>329266</v>
      </c>
      <c r="B908" t="s">
        <v>164</v>
      </c>
      <c r="C908" t="s">
        <v>165</v>
      </c>
      <c r="D908" s="2">
        <v>45752</v>
      </c>
      <c r="E908">
        <v>53850</v>
      </c>
      <c r="F908">
        <v>192</v>
      </c>
      <c r="G908" t="s">
        <v>66</v>
      </c>
      <c r="H908" t="s">
        <v>167</v>
      </c>
      <c r="I908" t="s">
        <v>45</v>
      </c>
      <c r="K908">
        <v>202504047867489</v>
      </c>
      <c r="L908">
        <v>1923300185011</v>
      </c>
      <c r="M908">
        <v>20250404</v>
      </c>
      <c r="N908" t="s">
        <v>168</v>
      </c>
      <c r="P908" t="s">
        <v>255</v>
      </c>
      <c r="Q908" t="s">
        <v>47</v>
      </c>
      <c r="R908">
        <v>5732</v>
      </c>
      <c r="S908">
        <v>0</v>
      </c>
      <c r="T908">
        <v>3710704</v>
      </c>
      <c r="U908" t="s">
        <v>1187</v>
      </c>
      <c r="V908" t="s">
        <v>1188</v>
      </c>
      <c r="W908" t="s">
        <v>69</v>
      </c>
      <c r="X908" t="s">
        <v>686</v>
      </c>
      <c r="Y908" t="s">
        <v>51</v>
      </c>
      <c r="Z908">
        <v>1907</v>
      </c>
      <c r="AH908">
        <v>0</v>
      </c>
      <c r="AI908">
        <v>202504</v>
      </c>
      <c r="AJ908" t="s">
        <v>52</v>
      </c>
      <c r="AK908">
        <v>0</v>
      </c>
      <c r="AL908">
        <v>1</v>
      </c>
      <c r="AO908">
        <v>0</v>
      </c>
      <c r="AP908" t="s">
        <v>3015</v>
      </c>
      <c r="AQ908" t="s">
        <v>3021</v>
      </c>
      <c r="AR908" t="s">
        <v>3022</v>
      </c>
      <c r="AT908" t="s">
        <v>3017</v>
      </c>
      <c r="AU908" t="s">
        <v>3014</v>
      </c>
    </row>
    <row r="909" spans="1:47" x14ac:dyDescent="0.35">
      <c r="A909">
        <v>329265</v>
      </c>
      <c r="B909" t="s">
        <v>178</v>
      </c>
      <c r="C909" t="s">
        <v>179</v>
      </c>
      <c r="D909" s="2">
        <v>45752</v>
      </c>
      <c r="E909">
        <v>53850</v>
      </c>
      <c r="F909">
        <v>102</v>
      </c>
      <c r="G909" t="s">
        <v>151</v>
      </c>
      <c r="H909" t="s">
        <v>167</v>
      </c>
      <c r="I909" t="s">
        <v>45</v>
      </c>
      <c r="K909">
        <v>202504047868273</v>
      </c>
      <c r="L909">
        <v>1023308726574</v>
      </c>
      <c r="M909">
        <v>20250404</v>
      </c>
      <c r="N909" t="s">
        <v>258</v>
      </c>
      <c r="Q909" t="s">
        <v>170</v>
      </c>
      <c r="R909">
        <v>600000</v>
      </c>
      <c r="S909">
        <v>0</v>
      </c>
      <c r="T909">
        <v>403529</v>
      </c>
      <c r="U909" t="s">
        <v>1189</v>
      </c>
      <c r="V909" t="s">
        <v>1190</v>
      </c>
      <c r="W909" t="s">
        <v>69</v>
      </c>
      <c r="X909" t="s">
        <v>595</v>
      </c>
      <c r="Y909" t="s">
        <v>51</v>
      </c>
      <c r="Z909">
        <v>1110</v>
      </c>
      <c r="AH909">
        <v>0</v>
      </c>
      <c r="AI909">
        <v>202504</v>
      </c>
      <c r="AJ909" t="s">
        <v>56</v>
      </c>
      <c r="AK909">
        <v>0</v>
      </c>
      <c r="AL909">
        <v>1</v>
      </c>
      <c r="AO909">
        <v>0</v>
      </c>
      <c r="AP909" t="s">
        <v>3015</v>
      </c>
      <c r="AQ909" t="s">
        <v>3021</v>
      </c>
      <c r="AR909" t="s">
        <v>3022</v>
      </c>
      <c r="AT909" t="s">
        <v>3017</v>
      </c>
      <c r="AU909" t="s">
        <v>3014</v>
      </c>
    </row>
    <row r="910" spans="1:47" x14ac:dyDescent="0.35">
      <c r="A910">
        <v>329264</v>
      </c>
      <c r="B910" t="s">
        <v>178</v>
      </c>
      <c r="C910" t="s">
        <v>179</v>
      </c>
      <c r="D910" s="2">
        <v>45752</v>
      </c>
      <c r="E910">
        <v>53850</v>
      </c>
      <c r="F910">
        <v>268</v>
      </c>
      <c r="G910" t="s">
        <v>83</v>
      </c>
      <c r="H910" t="s">
        <v>167</v>
      </c>
      <c r="I910" t="s">
        <v>45</v>
      </c>
      <c r="K910">
        <v>202504047869226</v>
      </c>
      <c r="L910">
        <v>2683300005239</v>
      </c>
      <c r="M910">
        <v>20250404</v>
      </c>
      <c r="N910" t="s">
        <v>3136</v>
      </c>
      <c r="Q910" t="s">
        <v>170</v>
      </c>
      <c r="R910">
        <v>99198.79</v>
      </c>
      <c r="S910">
        <v>0</v>
      </c>
      <c r="T910">
        <v>1646694</v>
      </c>
      <c r="U910" t="s">
        <v>1191</v>
      </c>
      <c r="V910" t="s">
        <v>1192</v>
      </c>
      <c r="W910" t="s">
        <v>187</v>
      </c>
      <c r="Y910" t="s">
        <v>51</v>
      </c>
      <c r="Z910">
        <v>1757</v>
      </c>
      <c r="AH910">
        <v>0</v>
      </c>
      <c r="AI910">
        <v>202504</v>
      </c>
      <c r="AJ910" t="s">
        <v>86</v>
      </c>
      <c r="AK910">
        <v>1</v>
      </c>
      <c r="AL910">
        <v>1</v>
      </c>
      <c r="AO910">
        <v>1</v>
      </c>
      <c r="AP910" t="s">
        <v>3015</v>
      </c>
      <c r="AQ910" t="s">
        <v>3044</v>
      </c>
      <c r="AR910" t="s">
        <v>3045</v>
      </c>
      <c r="AS910" t="s">
        <v>3046</v>
      </c>
      <c r="AU910" t="s">
        <v>3046</v>
      </c>
    </row>
    <row r="911" spans="1:47" x14ac:dyDescent="0.35">
      <c r="A911">
        <v>329263</v>
      </c>
      <c r="B911" t="s">
        <v>178</v>
      </c>
      <c r="C911" t="s">
        <v>179</v>
      </c>
      <c r="D911" s="2">
        <v>45752</v>
      </c>
      <c r="E911">
        <v>53850</v>
      </c>
      <c r="F911">
        <v>174</v>
      </c>
      <c r="G911" t="s">
        <v>224</v>
      </c>
      <c r="H911" t="s">
        <v>167</v>
      </c>
      <c r="I911" t="s">
        <v>45</v>
      </c>
      <c r="K911">
        <v>202504047867766</v>
      </c>
      <c r="L911">
        <v>1743302880040</v>
      </c>
      <c r="M911">
        <v>20250404</v>
      </c>
      <c r="N911" t="s">
        <v>46</v>
      </c>
      <c r="P911" t="s">
        <v>51</v>
      </c>
      <c r="Q911" t="s">
        <v>47</v>
      </c>
      <c r="R911">
        <v>213953.88</v>
      </c>
      <c r="S911">
        <v>0</v>
      </c>
      <c r="T911">
        <v>4945451</v>
      </c>
      <c r="U911" t="s">
        <v>1193</v>
      </c>
      <c r="V911" t="s">
        <v>1194</v>
      </c>
      <c r="W911" t="s">
        <v>187</v>
      </c>
      <c r="Y911" t="s">
        <v>51</v>
      </c>
      <c r="Z911">
        <v>1106</v>
      </c>
      <c r="AH911">
        <v>0</v>
      </c>
      <c r="AI911">
        <v>202504</v>
      </c>
      <c r="AJ911" t="s">
        <v>52</v>
      </c>
      <c r="AK911">
        <v>0</v>
      </c>
      <c r="AL911">
        <v>1</v>
      </c>
      <c r="AO911">
        <v>0</v>
      </c>
      <c r="AP911" t="s">
        <v>3015</v>
      </c>
      <c r="AQ911" t="s">
        <v>3044</v>
      </c>
      <c r="AR911" t="s">
        <v>3045</v>
      </c>
      <c r="AS911" t="s">
        <v>3046</v>
      </c>
      <c r="AU911" t="s">
        <v>3046</v>
      </c>
    </row>
    <row r="912" spans="1:47" x14ac:dyDescent="0.35">
      <c r="A912">
        <v>329262</v>
      </c>
      <c r="B912" t="s">
        <v>178</v>
      </c>
      <c r="C912" t="s">
        <v>179</v>
      </c>
      <c r="D912" s="2">
        <v>45752</v>
      </c>
      <c r="E912">
        <v>53850</v>
      </c>
      <c r="F912">
        <v>108</v>
      </c>
      <c r="G912" t="s">
        <v>124</v>
      </c>
      <c r="H912" t="s">
        <v>167</v>
      </c>
      <c r="I912" t="s">
        <v>45</v>
      </c>
      <c r="K912" t="s">
        <v>1195</v>
      </c>
      <c r="L912">
        <v>1083306288271</v>
      </c>
      <c r="M912">
        <v>20250404</v>
      </c>
      <c r="N912" t="s">
        <v>3136</v>
      </c>
      <c r="Q912" t="s">
        <v>170</v>
      </c>
      <c r="R912">
        <v>2066.14</v>
      </c>
      <c r="S912">
        <v>0</v>
      </c>
      <c r="T912">
        <v>4238924</v>
      </c>
      <c r="U912">
        <v>6177420723</v>
      </c>
      <c r="V912" t="s">
        <v>1196</v>
      </c>
      <c r="W912" t="s">
        <v>49</v>
      </c>
      <c r="X912" t="s">
        <v>128</v>
      </c>
      <c r="Y912" t="s">
        <v>51</v>
      </c>
      <c r="Z912">
        <v>1058</v>
      </c>
      <c r="AH912">
        <v>0</v>
      </c>
      <c r="AI912">
        <v>202504</v>
      </c>
      <c r="AJ912" t="s">
        <v>52</v>
      </c>
      <c r="AK912">
        <v>0</v>
      </c>
      <c r="AL912">
        <v>1</v>
      </c>
      <c r="AO912">
        <v>1</v>
      </c>
      <c r="AP912" t="s">
        <v>3015</v>
      </c>
      <c r="AQ912" t="s">
        <v>3012</v>
      </c>
      <c r="AR912" t="s">
        <v>3016</v>
      </c>
      <c r="AT912" t="s">
        <v>3017</v>
      </c>
      <c r="AU912" t="s">
        <v>3018</v>
      </c>
    </row>
    <row r="913" spans="1:47" x14ac:dyDescent="0.35">
      <c r="A913">
        <v>329261</v>
      </c>
      <c r="B913" t="s">
        <v>193</v>
      </c>
      <c r="C913" t="s">
        <v>194</v>
      </c>
      <c r="D913" s="2">
        <v>45752</v>
      </c>
      <c r="E913">
        <v>53850</v>
      </c>
      <c r="F913">
        <v>167</v>
      </c>
      <c r="G913" t="s">
        <v>278</v>
      </c>
      <c r="H913" t="s">
        <v>167</v>
      </c>
      <c r="I913" t="s">
        <v>45</v>
      </c>
      <c r="K913">
        <v>202504047869081</v>
      </c>
      <c r="L913">
        <v>1673301672576</v>
      </c>
      <c r="M913">
        <v>20250404</v>
      </c>
      <c r="N913" t="s">
        <v>266</v>
      </c>
      <c r="Q913" t="s">
        <v>47</v>
      </c>
      <c r="R913">
        <v>16020</v>
      </c>
      <c r="S913">
        <v>16020</v>
      </c>
      <c r="T913">
        <v>4639937</v>
      </c>
      <c r="U913">
        <v>7129090721</v>
      </c>
      <c r="V913" t="s">
        <v>1197</v>
      </c>
      <c r="W913" t="s">
        <v>190</v>
      </c>
      <c r="X913" t="s">
        <v>131</v>
      </c>
      <c r="Y913" t="s">
        <v>51</v>
      </c>
      <c r="Z913">
        <v>1175</v>
      </c>
      <c r="AH913">
        <v>0</v>
      </c>
      <c r="AI913">
        <v>202504</v>
      </c>
      <c r="AJ913" t="s">
        <v>52</v>
      </c>
      <c r="AK913">
        <v>0</v>
      </c>
      <c r="AL913">
        <v>1</v>
      </c>
      <c r="AO913">
        <v>0</v>
      </c>
      <c r="AP913" t="s">
        <v>3033</v>
      </c>
      <c r="AQ913" t="s">
        <v>3047</v>
      </c>
      <c r="AR913" t="s">
        <v>3048</v>
      </c>
      <c r="AS913" t="s">
        <v>3049</v>
      </c>
      <c r="AU913" t="s">
        <v>3049</v>
      </c>
    </row>
    <row r="914" spans="1:47" x14ac:dyDescent="0.35">
      <c r="A914">
        <v>329260</v>
      </c>
      <c r="B914" t="s">
        <v>178</v>
      </c>
      <c r="C914" t="s">
        <v>179</v>
      </c>
      <c r="D914" s="2">
        <v>45752</v>
      </c>
      <c r="E914">
        <v>53850</v>
      </c>
      <c r="F914">
        <v>286</v>
      </c>
      <c r="G914" t="s">
        <v>408</v>
      </c>
      <c r="H914" t="s">
        <v>167</v>
      </c>
      <c r="I914" t="s">
        <v>45</v>
      </c>
      <c r="K914">
        <v>202504047867523</v>
      </c>
      <c r="L914">
        <v>2863300003269</v>
      </c>
      <c r="M914">
        <v>20250404</v>
      </c>
      <c r="N914" t="s">
        <v>46</v>
      </c>
      <c r="P914" t="s">
        <v>51</v>
      </c>
      <c r="Q914" t="s">
        <v>47</v>
      </c>
      <c r="R914">
        <v>4000000</v>
      </c>
      <c r="S914">
        <v>0</v>
      </c>
      <c r="T914">
        <v>1703846</v>
      </c>
      <c r="U914">
        <v>2557890692</v>
      </c>
      <c r="V914" t="s">
        <v>1170</v>
      </c>
      <c r="W914" t="s">
        <v>49</v>
      </c>
      <c r="X914" t="s">
        <v>1076</v>
      </c>
      <c r="Y914" t="s">
        <v>51</v>
      </c>
      <c r="Z914">
        <v>1877</v>
      </c>
      <c r="AH914">
        <v>0</v>
      </c>
      <c r="AI914">
        <v>202504</v>
      </c>
      <c r="AJ914" t="s">
        <v>56</v>
      </c>
      <c r="AK914">
        <v>0</v>
      </c>
      <c r="AL914">
        <v>1</v>
      </c>
      <c r="AO914">
        <v>0</v>
      </c>
      <c r="AP914" t="s">
        <v>3015</v>
      </c>
      <c r="AQ914" t="s">
        <v>3012</v>
      </c>
      <c r="AR914" t="s">
        <v>3016</v>
      </c>
      <c r="AT914" t="s">
        <v>3017</v>
      </c>
      <c r="AU914" t="s">
        <v>3018</v>
      </c>
    </row>
    <row r="915" spans="1:47" x14ac:dyDescent="0.35">
      <c r="A915">
        <v>329259</v>
      </c>
      <c r="B915" t="s">
        <v>178</v>
      </c>
      <c r="C915" t="s">
        <v>179</v>
      </c>
      <c r="D915" s="2">
        <v>45752</v>
      </c>
      <c r="E915">
        <v>53850</v>
      </c>
      <c r="F915">
        <v>110</v>
      </c>
      <c r="G915" t="s">
        <v>230</v>
      </c>
      <c r="H915" t="s">
        <v>167</v>
      </c>
      <c r="I915" t="s">
        <v>45</v>
      </c>
      <c r="K915">
        <v>202504047868342</v>
      </c>
      <c r="L915">
        <v>1103304235290</v>
      </c>
      <c r="M915">
        <v>20250404</v>
      </c>
      <c r="N915" t="s">
        <v>659</v>
      </c>
      <c r="Q915" t="s">
        <v>170</v>
      </c>
      <c r="R915">
        <v>200000</v>
      </c>
      <c r="S915">
        <v>0</v>
      </c>
      <c r="T915">
        <v>423529</v>
      </c>
      <c r="U915" t="s">
        <v>1198</v>
      </c>
      <c r="V915" t="s">
        <v>1199</v>
      </c>
      <c r="W915" t="s">
        <v>187</v>
      </c>
      <c r="Y915" t="s">
        <v>51</v>
      </c>
      <c r="Z915">
        <v>458</v>
      </c>
      <c r="AH915">
        <v>0</v>
      </c>
      <c r="AI915">
        <v>202504</v>
      </c>
      <c r="AJ915" t="s">
        <v>56</v>
      </c>
      <c r="AK915">
        <v>0</v>
      </c>
      <c r="AL915">
        <v>1</v>
      </c>
      <c r="AO915">
        <v>0</v>
      </c>
      <c r="AP915" t="s">
        <v>3015</v>
      </c>
      <c r="AQ915" t="s">
        <v>3044</v>
      </c>
      <c r="AR915" t="s">
        <v>3045</v>
      </c>
      <c r="AS915" t="s">
        <v>3046</v>
      </c>
      <c r="AU915" t="s">
        <v>3046</v>
      </c>
    </row>
    <row r="916" spans="1:47" x14ac:dyDescent="0.35">
      <c r="A916">
        <v>329258</v>
      </c>
      <c r="B916" t="s">
        <v>178</v>
      </c>
      <c r="C916" t="s">
        <v>179</v>
      </c>
      <c r="D916" s="2">
        <v>45751</v>
      </c>
      <c r="E916">
        <v>53850</v>
      </c>
      <c r="F916">
        <v>137</v>
      </c>
      <c r="G916" t="s">
        <v>166</v>
      </c>
      <c r="H916" t="s">
        <v>167</v>
      </c>
      <c r="I916" t="s">
        <v>45</v>
      </c>
      <c r="K916">
        <v>202504047865531</v>
      </c>
      <c r="L916">
        <v>1370050040202</v>
      </c>
      <c r="M916">
        <v>20250404</v>
      </c>
      <c r="N916" t="s">
        <v>1200</v>
      </c>
      <c r="Q916" t="s">
        <v>170</v>
      </c>
      <c r="R916">
        <v>467000</v>
      </c>
      <c r="S916">
        <v>0</v>
      </c>
      <c r="T916">
        <v>1007107</v>
      </c>
      <c r="U916" t="s">
        <v>1201</v>
      </c>
      <c r="V916" t="s">
        <v>1202</v>
      </c>
      <c r="W916" t="s">
        <v>187</v>
      </c>
      <c r="Y916" t="s">
        <v>51</v>
      </c>
      <c r="Z916">
        <v>1797</v>
      </c>
      <c r="AH916">
        <v>0</v>
      </c>
      <c r="AI916">
        <v>202504</v>
      </c>
      <c r="AJ916" t="s">
        <v>56</v>
      </c>
      <c r="AK916">
        <v>0</v>
      </c>
      <c r="AL916">
        <v>1</v>
      </c>
      <c r="AO916">
        <v>0</v>
      </c>
      <c r="AP916" t="s">
        <v>3015</v>
      </c>
      <c r="AQ916" t="s">
        <v>3044</v>
      </c>
      <c r="AR916" t="s">
        <v>3045</v>
      </c>
      <c r="AS916" t="s">
        <v>3046</v>
      </c>
      <c r="AU916" t="s">
        <v>3046</v>
      </c>
    </row>
    <row r="917" spans="1:47" x14ac:dyDescent="0.35">
      <c r="A917">
        <v>329257</v>
      </c>
      <c r="B917" t="s">
        <v>178</v>
      </c>
      <c r="C917" t="s">
        <v>179</v>
      </c>
      <c r="D917" s="2">
        <v>45751</v>
      </c>
      <c r="E917">
        <v>53850</v>
      </c>
      <c r="F917">
        <v>148</v>
      </c>
      <c r="G917" t="s">
        <v>78</v>
      </c>
      <c r="H917" t="s">
        <v>167</v>
      </c>
      <c r="I917" t="s">
        <v>45</v>
      </c>
      <c r="K917">
        <v>202504037863564</v>
      </c>
      <c r="L917">
        <v>1483300003872</v>
      </c>
      <c r="M917">
        <v>20250403</v>
      </c>
      <c r="N917" t="s">
        <v>236</v>
      </c>
      <c r="P917" t="s">
        <v>51</v>
      </c>
      <c r="Q917" t="s">
        <v>170</v>
      </c>
      <c r="R917">
        <v>2000000</v>
      </c>
      <c r="S917">
        <v>0</v>
      </c>
      <c r="T917">
        <v>4602337</v>
      </c>
      <c r="U917">
        <v>1418030621</v>
      </c>
      <c r="V917" t="s">
        <v>1203</v>
      </c>
      <c r="W917" t="s">
        <v>49</v>
      </c>
      <c r="X917" t="s">
        <v>698</v>
      </c>
      <c r="Y917" t="s">
        <v>51</v>
      </c>
      <c r="Z917">
        <v>982</v>
      </c>
      <c r="AH917">
        <v>0</v>
      </c>
      <c r="AI917">
        <v>202504</v>
      </c>
      <c r="AJ917" t="s">
        <v>52</v>
      </c>
      <c r="AK917">
        <v>0</v>
      </c>
      <c r="AL917">
        <v>1</v>
      </c>
      <c r="AO917">
        <v>0</v>
      </c>
      <c r="AP917" t="s">
        <v>3015</v>
      </c>
      <c r="AQ917" t="s">
        <v>3012</v>
      </c>
      <c r="AR917" t="s">
        <v>3016</v>
      </c>
      <c r="AT917" t="s">
        <v>3017</v>
      </c>
      <c r="AU917" t="s">
        <v>3018</v>
      </c>
    </row>
    <row r="918" spans="1:47" x14ac:dyDescent="0.35">
      <c r="A918">
        <v>329256</v>
      </c>
      <c r="B918" t="s">
        <v>214</v>
      </c>
      <c r="C918" t="s">
        <v>215</v>
      </c>
      <c r="D918" s="2">
        <v>45751</v>
      </c>
      <c r="E918">
        <v>53850</v>
      </c>
      <c r="F918">
        <v>136</v>
      </c>
      <c r="G918" t="s">
        <v>551</v>
      </c>
      <c r="H918" t="s">
        <v>167</v>
      </c>
      <c r="I918" t="s">
        <v>45</v>
      </c>
      <c r="K918">
        <v>202504037865363</v>
      </c>
      <c r="L918">
        <v>1363300004021</v>
      </c>
      <c r="M918">
        <v>20250403</v>
      </c>
      <c r="N918" t="s">
        <v>168</v>
      </c>
      <c r="P918" t="s">
        <v>414</v>
      </c>
      <c r="Q918" t="s">
        <v>47</v>
      </c>
      <c r="R918">
        <v>40161.040000000001</v>
      </c>
      <c r="S918">
        <v>0</v>
      </c>
      <c r="T918">
        <v>4943632</v>
      </c>
      <c r="U918">
        <v>1429720749</v>
      </c>
      <c r="V918" t="s">
        <v>1204</v>
      </c>
      <c r="W918" t="s">
        <v>49</v>
      </c>
      <c r="X918" t="s">
        <v>710</v>
      </c>
      <c r="Y918" t="s">
        <v>51</v>
      </c>
      <c r="Z918">
        <v>1627</v>
      </c>
      <c r="AH918">
        <v>0</v>
      </c>
      <c r="AI918">
        <v>202504</v>
      </c>
      <c r="AJ918" t="s">
        <v>86</v>
      </c>
      <c r="AK918">
        <v>1</v>
      </c>
      <c r="AL918">
        <v>1</v>
      </c>
      <c r="AO918">
        <v>0</v>
      </c>
      <c r="AP918" t="s">
        <v>3015</v>
      </c>
      <c r="AQ918" t="s">
        <v>3012</v>
      </c>
      <c r="AR918" t="s">
        <v>3016</v>
      </c>
      <c r="AT918" t="s">
        <v>3017</v>
      </c>
      <c r="AU918" t="s">
        <v>3018</v>
      </c>
    </row>
    <row r="919" spans="1:47" x14ac:dyDescent="0.35">
      <c r="A919">
        <v>329255</v>
      </c>
      <c r="B919" t="s">
        <v>178</v>
      </c>
      <c r="C919" t="s">
        <v>179</v>
      </c>
      <c r="D919" s="2">
        <v>45751</v>
      </c>
      <c r="E919">
        <v>53850</v>
      </c>
      <c r="F919">
        <v>182</v>
      </c>
      <c r="G919" t="s">
        <v>318</v>
      </c>
      <c r="H919" t="s">
        <v>167</v>
      </c>
      <c r="I919" t="s">
        <v>45</v>
      </c>
      <c r="K919">
        <v>202504037865818</v>
      </c>
      <c r="L919">
        <v>1823300102662</v>
      </c>
      <c r="M919">
        <v>20250403</v>
      </c>
      <c r="N919" t="s">
        <v>258</v>
      </c>
      <c r="Q919" t="s">
        <v>170</v>
      </c>
      <c r="R919">
        <v>300000</v>
      </c>
      <c r="S919">
        <v>0</v>
      </c>
      <c r="T919">
        <v>3041128</v>
      </c>
      <c r="U919" t="s">
        <v>1205</v>
      </c>
      <c r="V919" t="s">
        <v>1206</v>
      </c>
      <c r="W919" t="s">
        <v>187</v>
      </c>
      <c r="Y919" t="s">
        <v>51</v>
      </c>
      <c r="Z919">
        <v>616</v>
      </c>
      <c r="AH919">
        <v>0</v>
      </c>
      <c r="AI919">
        <v>202504</v>
      </c>
      <c r="AJ919" t="s">
        <v>86</v>
      </c>
      <c r="AK919">
        <v>1</v>
      </c>
      <c r="AL919">
        <v>1</v>
      </c>
      <c r="AO919">
        <v>0</v>
      </c>
      <c r="AP919" t="s">
        <v>3015</v>
      </c>
      <c r="AQ919" t="s">
        <v>3044</v>
      </c>
      <c r="AR919" t="s">
        <v>3045</v>
      </c>
      <c r="AS919" t="s">
        <v>3046</v>
      </c>
      <c r="AU919" t="s">
        <v>3046</v>
      </c>
    </row>
    <row r="920" spans="1:47" x14ac:dyDescent="0.35">
      <c r="A920">
        <v>329254</v>
      </c>
      <c r="B920" t="s">
        <v>178</v>
      </c>
      <c r="C920" t="s">
        <v>179</v>
      </c>
      <c r="D920" s="2">
        <v>45751</v>
      </c>
      <c r="E920">
        <v>53850</v>
      </c>
      <c r="F920">
        <v>273</v>
      </c>
      <c r="G920" t="s">
        <v>133</v>
      </c>
      <c r="H920" t="s">
        <v>167</v>
      </c>
      <c r="I920" t="s">
        <v>45</v>
      </c>
      <c r="K920">
        <v>202504037865929</v>
      </c>
      <c r="L920">
        <v>2733300001088</v>
      </c>
      <c r="M920">
        <v>20250403</v>
      </c>
      <c r="N920" t="s">
        <v>416</v>
      </c>
      <c r="Q920" t="s">
        <v>170</v>
      </c>
      <c r="R920">
        <v>500000</v>
      </c>
      <c r="S920">
        <v>0</v>
      </c>
      <c r="T920">
        <v>1629654</v>
      </c>
      <c r="U920">
        <v>2589190699</v>
      </c>
      <c r="V920" t="s">
        <v>1207</v>
      </c>
      <c r="W920" t="s">
        <v>685</v>
      </c>
      <c r="X920" t="s">
        <v>364</v>
      </c>
      <c r="Y920" t="s">
        <v>51</v>
      </c>
      <c r="Z920">
        <v>1856</v>
      </c>
      <c r="AH920">
        <v>0</v>
      </c>
      <c r="AI920">
        <v>202504</v>
      </c>
      <c r="AJ920" t="s">
        <v>56</v>
      </c>
      <c r="AK920">
        <v>0</v>
      </c>
      <c r="AL920">
        <v>1</v>
      </c>
      <c r="AO920">
        <v>0</v>
      </c>
      <c r="AP920" t="s">
        <v>3062</v>
      </c>
      <c r="AQ920" t="s">
        <v>3082</v>
      </c>
      <c r="AR920" t="s">
        <v>3105</v>
      </c>
      <c r="AS920" t="s">
        <v>3014</v>
      </c>
      <c r="AU920" t="s">
        <v>3014</v>
      </c>
    </row>
    <row r="921" spans="1:47" x14ac:dyDescent="0.35">
      <c r="A921">
        <v>329253</v>
      </c>
      <c r="B921" t="s">
        <v>214</v>
      </c>
      <c r="C921" t="s">
        <v>215</v>
      </c>
      <c r="D921" s="2">
        <v>45751</v>
      </c>
      <c r="E921">
        <v>53850</v>
      </c>
      <c r="F921">
        <v>108</v>
      </c>
      <c r="G921" t="s">
        <v>124</v>
      </c>
      <c r="H921" t="s">
        <v>167</v>
      </c>
      <c r="I921" t="s">
        <v>45</v>
      </c>
      <c r="K921">
        <v>202504037865354</v>
      </c>
      <c r="L921">
        <v>1081204983779</v>
      </c>
      <c r="M921">
        <v>20250403</v>
      </c>
      <c r="N921" t="s">
        <v>168</v>
      </c>
      <c r="P921" t="s">
        <v>520</v>
      </c>
      <c r="Q921" t="s">
        <v>170</v>
      </c>
      <c r="R921">
        <v>59374.89</v>
      </c>
      <c r="S921">
        <v>0</v>
      </c>
      <c r="T921">
        <v>4983779</v>
      </c>
      <c r="U921">
        <v>5371200725</v>
      </c>
      <c r="V921" t="s">
        <v>521</v>
      </c>
      <c r="W921" t="s">
        <v>49</v>
      </c>
      <c r="X921" t="s">
        <v>128</v>
      </c>
      <c r="Y921" t="s">
        <v>51</v>
      </c>
      <c r="Z921">
        <v>1058</v>
      </c>
      <c r="AH921">
        <v>0</v>
      </c>
      <c r="AI921">
        <v>202504</v>
      </c>
      <c r="AJ921" t="s">
        <v>52</v>
      </c>
      <c r="AK921">
        <v>0</v>
      </c>
      <c r="AL921">
        <v>1</v>
      </c>
      <c r="AO921">
        <v>0</v>
      </c>
      <c r="AP921" t="s">
        <v>3015</v>
      </c>
      <c r="AQ921" t="s">
        <v>3012</v>
      </c>
      <c r="AR921" t="s">
        <v>3016</v>
      </c>
      <c r="AT921" t="s">
        <v>3017</v>
      </c>
      <c r="AU921" t="s">
        <v>3018</v>
      </c>
    </row>
    <row r="922" spans="1:47" x14ac:dyDescent="0.35">
      <c r="A922">
        <v>329252</v>
      </c>
      <c r="B922" t="s">
        <v>193</v>
      </c>
      <c r="C922" t="s">
        <v>194</v>
      </c>
      <c r="D922" s="2">
        <v>45751</v>
      </c>
      <c r="E922">
        <v>53850</v>
      </c>
      <c r="F922">
        <v>268</v>
      </c>
      <c r="G922" t="s">
        <v>83</v>
      </c>
      <c r="H922" t="s">
        <v>167</v>
      </c>
      <c r="I922" t="s">
        <v>45</v>
      </c>
      <c r="K922">
        <v>202504037865918</v>
      </c>
      <c r="L922">
        <v>2683300010030</v>
      </c>
      <c r="M922">
        <v>20250403</v>
      </c>
      <c r="N922" t="s">
        <v>195</v>
      </c>
      <c r="Q922" t="s">
        <v>47</v>
      </c>
      <c r="R922">
        <v>31760</v>
      </c>
      <c r="S922">
        <v>31760</v>
      </c>
      <c r="T922">
        <v>4966939</v>
      </c>
      <c r="U922" t="s">
        <v>221</v>
      </c>
      <c r="V922" t="s">
        <v>222</v>
      </c>
      <c r="W922" t="s">
        <v>69</v>
      </c>
      <c r="X922" t="s">
        <v>55</v>
      </c>
      <c r="Y922" t="s">
        <v>51</v>
      </c>
      <c r="Z922">
        <v>1870</v>
      </c>
      <c r="AH922">
        <v>0</v>
      </c>
      <c r="AI922">
        <v>202504</v>
      </c>
      <c r="AJ922" t="s">
        <v>56</v>
      </c>
      <c r="AK922">
        <v>0</v>
      </c>
      <c r="AL922">
        <v>1</v>
      </c>
      <c r="AM922">
        <v>4966939</v>
      </c>
      <c r="AN922">
        <v>1</v>
      </c>
      <c r="AO922">
        <v>0</v>
      </c>
      <c r="AP922" t="s">
        <v>3015</v>
      </c>
      <c r="AQ922" t="s">
        <v>3021</v>
      </c>
      <c r="AR922" t="s">
        <v>3022</v>
      </c>
      <c r="AT922" t="s">
        <v>3017</v>
      </c>
      <c r="AU922" t="s">
        <v>3014</v>
      </c>
    </row>
    <row r="923" spans="1:47" x14ac:dyDescent="0.35">
      <c r="A923">
        <v>329251</v>
      </c>
      <c r="B923" t="s">
        <v>214</v>
      </c>
      <c r="C923" t="s">
        <v>215</v>
      </c>
      <c r="D923" s="2">
        <v>45751</v>
      </c>
      <c r="E923">
        <v>53850</v>
      </c>
      <c r="F923">
        <v>108</v>
      </c>
      <c r="G923" t="s">
        <v>124</v>
      </c>
      <c r="H923" t="s">
        <v>167</v>
      </c>
      <c r="I923" t="s">
        <v>45</v>
      </c>
      <c r="K923">
        <v>202504037865352</v>
      </c>
      <c r="L923">
        <v>1081204983779</v>
      </c>
      <c r="M923">
        <v>20250403</v>
      </c>
      <c r="N923" t="s">
        <v>168</v>
      </c>
      <c r="P923" t="s">
        <v>520</v>
      </c>
      <c r="Q923" t="s">
        <v>170</v>
      </c>
      <c r="R923">
        <v>52214.11</v>
      </c>
      <c r="S923">
        <v>0</v>
      </c>
      <c r="T923">
        <v>4983779</v>
      </c>
      <c r="U923">
        <v>5371200725</v>
      </c>
      <c r="V923" t="s">
        <v>521</v>
      </c>
      <c r="W923" t="s">
        <v>49</v>
      </c>
      <c r="X923" t="s">
        <v>128</v>
      </c>
      <c r="Y923" t="s">
        <v>51</v>
      </c>
      <c r="Z923">
        <v>1058</v>
      </c>
      <c r="AH923">
        <v>0</v>
      </c>
      <c r="AI923">
        <v>202504</v>
      </c>
      <c r="AJ923" t="s">
        <v>52</v>
      </c>
      <c r="AK923">
        <v>0</v>
      </c>
      <c r="AL923">
        <v>1</v>
      </c>
      <c r="AO923">
        <v>0</v>
      </c>
      <c r="AP923" t="s">
        <v>3015</v>
      </c>
      <c r="AQ923" t="s">
        <v>3012</v>
      </c>
      <c r="AR923" t="s">
        <v>3016</v>
      </c>
      <c r="AT923" t="s">
        <v>3017</v>
      </c>
      <c r="AU923" t="s">
        <v>3018</v>
      </c>
    </row>
    <row r="924" spans="1:47" x14ac:dyDescent="0.35">
      <c r="A924">
        <v>329250</v>
      </c>
      <c r="B924" t="s">
        <v>214</v>
      </c>
      <c r="C924" t="s">
        <v>215</v>
      </c>
      <c r="D924" s="2">
        <v>45751</v>
      </c>
      <c r="E924">
        <v>53850</v>
      </c>
      <c r="F924">
        <v>108</v>
      </c>
      <c r="G924" t="s">
        <v>124</v>
      </c>
      <c r="H924" t="s">
        <v>167</v>
      </c>
      <c r="I924" t="s">
        <v>45</v>
      </c>
      <c r="K924">
        <v>202504037865358</v>
      </c>
      <c r="L924">
        <v>1081204983779</v>
      </c>
      <c r="M924">
        <v>20250403</v>
      </c>
      <c r="N924" t="s">
        <v>168</v>
      </c>
      <c r="P924" t="s">
        <v>520</v>
      </c>
      <c r="Q924" t="s">
        <v>170</v>
      </c>
      <c r="R924">
        <v>185695.42</v>
      </c>
      <c r="S924">
        <v>0</v>
      </c>
      <c r="T924">
        <v>4983779</v>
      </c>
      <c r="U924">
        <v>5371200725</v>
      </c>
      <c r="V924" t="s">
        <v>521</v>
      </c>
      <c r="W924" t="s">
        <v>49</v>
      </c>
      <c r="X924" t="s">
        <v>128</v>
      </c>
      <c r="Y924" t="s">
        <v>51</v>
      </c>
      <c r="Z924">
        <v>1058</v>
      </c>
      <c r="AH924">
        <v>0</v>
      </c>
      <c r="AI924">
        <v>202504</v>
      </c>
      <c r="AJ924" t="s">
        <v>52</v>
      </c>
      <c r="AK924">
        <v>0</v>
      </c>
      <c r="AL924">
        <v>1</v>
      </c>
      <c r="AO924">
        <v>0</v>
      </c>
      <c r="AP924" t="s">
        <v>3015</v>
      </c>
      <c r="AQ924" t="s">
        <v>3012</v>
      </c>
      <c r="AR924" t="s">
        <v>3016</v>
      </c>
      <c r="AT924" t="s">
        <v>3017</v>
      </c>
      <c r="AU924" t="s">
        <v>3018</v>
      </c>
    </row>
    <row r="925" spans="1:47" x14ac:dyDescent="0.35">
      <c r="A925">
        <v>329249</v>
      </c>
      <c r="B925" t="s">
        <v>164</v>
      </c>
      <c r="C925" t="s">
        <v>165</v>
      </c>
      <c r="D925" s="2">
        <v>45751</v>
      </c>
      <c r="E925">
        <v>53850</v>
      </c>
      <c r="F925">
        <v>199</v>
      </c>
      <c r="G925" t="s">
        <v>473</v>
      </c>
      <c r="H925" t="s">
        <v>167</v>
      </c>
      <c r="I925" t="s">
        <v>45</v>
      </c>
      <c r="K925" t="s">
        <v>1208</v>
      </c>
      <c r="L925">
        <v>1993300003021</v>
      </c>
      <c r="M925">
        <v>20250403</v>
      </c>
      <c r="N925" t="s">
        <v>168</v>
      </c>
      <c r="P925" t="s">
        <v>255</v>
      </c>
      <c r="Q925" t="s">
        <v>170</v>
      </c>
      <c r="R925">
        <v>2000</v>
      </c>
      <c r="S925">
        <v>0</v>
      </c>
      <c r="T925">
        <v>4946318</v>
      </c>
      <c r="U925">
        <v>2571200746</v>
      </c>
      <c r="V925" t="s">
        <v>475</v>
      </c>
      <c r="W925" t="s">
        <v>476</v>
      </c>
      <c r="X925" t="s">
        <v>241</v>
      </c>
      <c r="Y925" t="s">
        <v>255</v>
      </c>
      <c r="Z925">
        <v>639</v>
      </c>
      <c r="AH925">
        <v>0</v>
      </c>
      <c r="AI925">
        <v>202504</v>
      </c>
      <c r="AJ925" t="s">
        <v>56</v>
      </c>
      <c r="AK925">
        <v>0</v>
      </c>
      <c r="AL925">
        <v>1</v>
      </c>
      <c r="AO925">
        <v>0</v>
      </c>
      <c r="AP925" t="s">
        <v>3015</v>
      </c>
      <c r="AQ925" t="s">
        <v>3072</v>
      </c>
      <c r="AR925" t="s">
        <v>3073</v>
      </c>
      <c r="AT925" t="s">
        <v>3017</v>
      </c>
      <c r="AU925" t="s">
        <v>3057</v>
      </c>
    </row>
    <row r="926" spans="1:47" x14ac:dyDescent="0.35">
      <c r="A926">
        <v>329248</v>
      </c>
      <c r="B926" t="s">
        <v>193</v>
      </c>
      <c r="C926" t="s">
        <v>194</v>
      </c>
      <c r="D926" s="2">
        <v>45751</v>
      </c>
      <c r="E926">
        <v>53850</v>
      </c>
      <c r="F926">
        <v>181</v>
      </c>
      <c r="G926" t="s">
        <v>180</v>
      </c>
      <c r="H926" t="s">
        <v>167</v>
      </c>
      <c r="I926" t="s">
        <v>45</v>
      </c>
      <c r="K926">
        <v>202504037866232</v>
      </c>
      <c r="L926">
        <v>1813301028560</v>
      </c>
      <c r="M926">
        <v>20250403</v>
      </c>
      <c r="N926" t="s">
        <v>266</v>
      </c>
      <c r="Q926" t="s">
        <v>47</v>
      </c>
      <c r="R926">
        <v>47000</v>
      </c>
      <c r="S926">
        <v>47000</v>
      </c>
      <c r="T926">
        <v>454268</v>
      </c>
      <c r="U926" t="s">
        <v>1209</v>
      </c>
      <c r="V926" t="s">
        <v>1210</v>
      </c>
      <c r="W926" t="s">
        <v>69</v>
      </c>
      <c r="X926" t="s">
        <v>131</v>
      </c>
      <c r="Y926" t="s">
        <v>51</v>
      </c>
      <c r="Z926">
        <v>727</v>
      </c>
      <c r="AH926">
        <v>0</v>
      </c>
      <c r="AI926">
        <v>202504</v>
      </c>
      <c r="AJ926" t="s">
        <v>56</v>
      </c>
      <c r="AK926">
        <v>0</v>
      </c>
      <c r="AL926">
        <v>1</v>
      </c>
      <c r="AM926">
        <v>454268</v>
      </c>
      <c r="AN926">
        <v>1</v>
      </c>
      <c r="AO926">
        <v>0</v>
      </c>
      <c r="AP926" t="s">
        <v>3033</v>
      </c>
      <c r="AQ926" t="s">
        <v>3021</v>
      </c>
      <c r="AR926" t="s">
        <v>3054</v>
      </c>
      <c r="AS926" t="s">
        <v>3055</v>
      </c>
      <c r="AU926" t="s">
        <v>3055</v>
      </c>
    </row>
    <row r="927" spans="1:47" x14ac:dyDescent="0.35">
      <c r="A927">
        <v>329247</v>
      </c>
      <c r="B927" t="s">
        <v>214</v>
      </c>
      <c r="C927" t="s">
        <v>215</v>
      </c>
      <c r="D927" s="2">
        <v>45751</v>
      </c>
      <c r="E927">
        <v>53850</v>
      </c>
      <c r="F927">
        <v>108</v>
      </c>
      <c r="G927" t="s">
        <v>124</v>
      </c>
      <c r="H927" t="s">
        <v>167</v>
      </c>
      <c r="I927" t="s">
        <v>45</v>
      </c>
      <c r="K927">
        <v>202504037865350</v>
      </c>
      <c r="L927">
        <v>1081204983779</v>
      </c>
      <c r="M927">
        <v>20250403</v>
      </c>
      <c r="N927" t="s">
        <v>168</v>
      </c>
      <c r="P927" t="s">
        <v>520</v>
      </c>
      <c r="Q927" t="s">
        <v>170</v>
      </c>
      <c r="R927">
        <v>49568.19</v>
      </c>
      <c r="S927">
        <v>0</v>
      </c>
      <c r="T927">
        <v>4983779</v>
      </c>
      <c r="U927">
        <v>5371200725</v>
      </c>
      <c r="V927" t="s">
        <v>521</v>
      </c>
      <c r="W927" t="s">
        <v>49</v>
      </c>
      <c r="X927" t="s">
        <v>128</v>
      </c>
      <c r="Y927" t="s">
        <v>51</v>
      </c>
      <c r="Z927">
        <v>1058</v>
      </c>
      <c r="AH927">
        <v>0</v>
      </c>
      <c r="AI927">
        <v>202504</v>
      </c>
      <c r="AJ927" t="s">
        <v>52</v>
      </c>
      <c r="AK927">
        <v>0</v>
      </c>
      <c r="AL927">
        <v>1</v>
      </c>
      <c r="AO927">
        <v>0</v>
      </c>
      <c r="AP927" t="s">
        <v>3015</v>
      </c>
      <c r="AQ927" t="s">
        <v>3012</v>
      </c>
      <c r="AR927" t="s">
        <v>3016</v>
      </c>
      <c r="AT927" t="s">
        <v>3017</v>
      </c>
      <c r="AU927" t="s">
        <v>3018</v>
      </c>
    </row>
    <row r="928" spans="1:47" x14ac:dyDescent="0.35">
      <c r="A928">
        <v>329246</v>
      </c>
      <c r="B928" t="s">
        <v>164</v>
      </c>
      <c r="C928" t="s">
        <v>165</v>
      </c>
      <c r="D928" s="2">
        <v>45751</v>
      </c>
      <c r="E928">
        <v>53850</v>
      </c>
      <c r="F928">
        <v>199</v>
      </c>
      <c r="G928" t="s">
        <v>473</v>
      </c>
      <c r="H928" t="s">
        <v>167</v>
      </c>
      <c r="I928" t="s">
        <v>45</v>
      </c>
      <c r="K928">
        <v>202504037864274</v>
      </c>
      <c r="L928">
        <v>1993300003021</v>
      </c>
      <c r="M928">
        <v>20250403</v>
      </c>
      <c r="N928" t="s">
        <v>168</v>
      </c>
      <c r="P928" t="s">
        <v>255</v>
      </c>
      <c r="Q928" t="s">
        <v>170</v>
      </c>
      <c r="R928">
        <v>5000</v>
      </c>
      <c r="S928">
        <v>0</v>
      </c>
      <c r="T928">
        <v>4946318</v>
      </c>
      <c r="U928">
        <v>2571200746</v>
      </c>
      <c r="V928" t="s">
        <v>475</v>
      </c>
      <c r="W928" t="s">
        <v>476</v>
      </c>
      <c r="X928" t="s">
        <v>241</v>
      </c>
      <c r="Y928" t="s">
        <v>255</v>
      </c>
      <c r="Z928">
        <v>639</v>
      </c>
      <c r="AH928">
        <v>0</v>
      </c>
      <c r="AI928">
        <v>202504</v>
      </c>
      <c r="AJ928" t="s">
        <v>56</v>
      </c>
      <c r="AK928">
        <v>0</v>
      </c>
      <c r="AL928">
        <v>1</v>
      </c>
      <c r="AO928">
        <v>0</v>
      </c>
      <c r="AP928" t="s">
        <v>3015</v>
      </c>
      <c r="AQ928" t="s">
        <v>3072</v>
      </c>
      <c r="AR928" t="s">
        <v>3073</v>
      </c>
      <c r="AT928" t="s">
        <v>3017</v>
      </c>
      <c r="AU928" t="s">
        <v>3057</v>
      </c>
    </row>
    <row r="929" spans="1:47" x14ac:dyDescent="0.35">
      <c r="A929">
        <v>329245</v>
      </c>
      <c r="B929" t="s">
        <v>193</v>
      </c>
      <c r="C929" t="s">
        <v>194</v>
      </c>
      <c r="D929" s="2">
        <v>45751</v>
      </c>
      <c r="E929">
        <v>53850</v>
      </c>
      <c r="F929">
        <v>102</v>
      </c>
      <c r="G929" t="s">
        <v>151</v>
      </c>
      <c r="H929" t="s">
        <v>167</v>
      </c>
      <c r="I929" t="s">
        <v>45</v>
      </c>
      <c r="K929" t="s">
        <v>1211</v>
      </c>
      <c r="L929">
        <v>1023308722503</v>
      </c>
      <c r="M929">
        <v>20250403</v>
      </c>
      <c r="N929" t="s">
        <v>195</v>
      </c>
      <c r="Q929" t="s">
        <v>47</v>
      </c>
      <c r="R929">
        <v>45010</v>
      </c>
      <c r="S929">
        <v>45010</v>
      </c>
      <c r="T929">
        <v>413650</v>
      </c>
      <c r="U929">
        <v>3657230722</v>
      </c>
      <c r="V929" t="s">
        <v>196</v>
      </c>
      <c r="W929" t="s">
        <v>190</v>
      </c>
      <c r="X929" t="s">
        <v>197</v>
      </c>
      <c r="Y929" t="s">
        <v>51</v>
      </c>
      <c r="Z929">
        <v>1306</v>
      </c>
      <c r="AH929">
        <v>0</v>
      </c>
      <c r="AI929">
        <v>202504</v>
      </c>
      <c r="AJ929" t="s">
        <v>56</v>
      </c>
      <c r="AK929">
        <v>0</v>
      </c>
      <c r="AL929">
        <v>1</v>
      </c>
      <c r="AM929">
        <v>413650</v>
      </c>
      <c r="AN929">
        <v>1</v>
      </c>
      <c r="AO929">
        <v>0</v>
      </c>
      <c r="AP929" t="s">
        <v>3050</v>
      </c>
      <c r="AQ929" t="s">
        <v>3047</v>
      </c>
      <c r="AR929" t="s">
        <v>3051</v>
      </c>
      <c r="AS929" t="s">
        <v>3049</v>
      </c>
      <c r="AU929" t="s">
        <v>3049</v>
      </c>
    </row>
    <row r="930" spans="1:47" x14ac:dyDescent="0.35">
      <c r="A930">
        <v>329244</v>
      </c>
      <c r="B930" t="s">
        <v>214</v>
      </c>
      <c r="C930" t="s">
        <v>215</v>
      </c>
      <c r="D930" s="2">
        <v>45751</v>
      </c>
      <c r="E930">
        <v>53850</v>
      </c>
      <c r="F930">
        <v>103</v>
      </c>
      <c r="G930" t="s">
        <v>80</v>
      </c>
      <c r="H930" t="s">
        <v>167</v>
      </c>
      <c r="I930" t="s">
        <v>45</v>
      </c>
      <c r="K930">
        <v>202504037865347</v>
      </c>
      <c r="L930">
        <v>1033306976736</v>
      </c>
      <c r="M930">
        <v>20250403</v>
      </c>
      <c r="N930" t="s">
        <v>168</v>
      </c>
      <c r="P930" t="s">
        <v>414</v>
      </c>
      <c r="Q930" t="s">
        <v>47</v>
      </c>
      <c r="R930">
        <v>48601</v>
      </c>
      <c r="S930">
        <v>0</v>
      </c>
      <c r="T930">
        <v>4127133</v>
      </c>
      <c r="U930">
        <v>5762170727</v>
      </c>
      <c r="V930" t="s">
        <v>1212</v>
      </c>
      <c r="W930" t="s">
        <v>49</v>
      </c>
      <c r="X930" t="s">
        <v>257</v>
      </c>
      <c r="Y930" t="s">
        <v>51</v>
      </c>
      <c r="Z930">
        <v>739</v>
      </c>
      <c r="AH930">
        <v>0</v>
      </c>
      <c r="AI930">
        <v>202504</v>
      </c>
      <c r="AJ930" t="s">
        <v>86</v>
      </c>
      <c r="AK930">
        <v>1</v>
      </c>
      <c r="AL930">
        <v>1</v>
      </c>
      <c r="AO930">
        <v>0</v>
      </c>
      <c r="AP930" t="s">
        <v>3015</v>
      </c>
      <c r="AQ930" t="s">
        <v>3012</v>
      </c>
      <c r="AR930" t="s">
        <v>3016</v>
      </c>
      <c r="AT930" t="s">
        <v>3017</v>
      </c>
      <c r="AU930" t="s">
        <v>3018</v>
      </c>
    </row>
    <row r="931" spans="1:47" x14ac:dyDescent="0.35">
      <c r="A931">
        <v>329243</v>
      </c>
      <c r="B931" t="s">
        <v>164</v>
      </c>
      <c r="C931" t="s">
        <v>165</v>
      </c>
      <c r="D931" s="2">
        <v>45751</v>
      </c>
      <c r="E931">
        <v>53850</v>
      </c>
      <c r="F931">
        <v>154</v>
      </c>
      <c r="G931" t="s">
        <v>53</v>
      </c>
      <c r="H931" t="s">
        <v>167</v>
      </c>
      <c r="I931" t="s">
        <v>45</v>
      </c>
      <c r="K931">
        <v>202504037865364</v>
      </c>
      <c r="L931">
        <v>1543300004605</v>
      </c>
      <c r="M931">
        <v>20250403</v>
      </c>
      <c r="N931" t="s">
        <v>168</v>
      </c>
      <c r="P931" t="s">
        <v>741</v>
      </c>
      <c r="Q931" t="s">
        <v>47</v>
      </c>
      <c r="R931">
        <v>19999</v>
      </c>
      <c r="S931">
        <v>0</v>
      </c>
      <c r="T931">
        <v>4973543</v>
      </c>
      <c r="U931" t="s">
        <v>1213</v>
      </c>
      <c r="V931" t="s">
        <v>1214</v>
      </c>
      <c r="W931" t="s">
        <v>69</v>
      </c>
      <c r="X931" t="s">
        <v>1215</v>
      </c>
      <c r="Y931" t="s">
        <v>51</v>
      </c>
      <c r="Z931">
        <v>741</v>
      </c>
      <c r="AH931">
        <v>0</v>
      </c>
      <c r="AI931">
        <v>202504</v>
      </c>
      <c r="AJ931" t="s">
        <v>56</v>
      </c>
      <c r="AK931">
        <v>0</v>
      </c>
      <c r="AL931">
        <v>1</v>
      </c>
      <c r="AO931">
        <v>0</v>
      </c>
      <c r="AP931" t="s">
        <v>3015</v>
      </c>
      <c r="AQ931" t="s">
        <v>3021</v>
      </c>
      <c r="AR931" t="s">
        <v>3022</v>
      </c>
      <c r="AT931" t="s">
        <v>3017</v>
      </c>
      <c r="AU931" t="s">
        <v>3014</v>
      </c>
    </row>
    <row r="932" spans="1:47" x14ac:dyDescent="0.35">
      <c r="A932">
        <v>329242</v>
      </c>
      <c r="B932" t="s">
        <v>178</v>
      </c>
      <c r="C932" t="s">
        <v>179</v>
      </c>
      <c r="D932" s="2">
        <v>45751</v>
      </c>
      <c r="E932">
        <v>53850</v>
      </c>
      <c r="F932">
        <v>114</v>
      </c>
      <c r="G932" t="s">
        <v>188</v>
      </c>
      <c r="H932" t="s">
        <v>167</v>
      </c>
      <c r="I932" t="s">
        <v>45</v>
      </c>
      <c r="K932">
        <v>202504037865056</v>
      </c>
      <c r="L932">
        <v>1143306280621</v>
      </c>
      <c r="M932">
        <v>20250403</v>
      </c>
      <c r="N932" t="s">
        <v>46</v>
      </c>
      <c r="P932" t="s">
        <v>51</v>
      </c>
      <c r="Q932" t="s">
        <v>47</v>
      </c>
      <c r="R932">
        <v>370000</v>
      </c>
      <c r="S932">
        <v>0</v>
      </c>
      <c r="T932">
        <v>4658875</v>
      </c>
      <c r="U932">
        <v>3230890711</v>
      </c>
      <c r="V932" t="s">
        <v>1139</v>
      </c>
      <c r="W932" t="s">
        <v>190</v>
      </c>
      <c r="X932" t="s">
        <v>131</v>
      </c>
      <c r="Y932" t="s">
        <v>51</v>
      </c>
      <c r="Z932">
        <v>870</v>
      </c>
      <c r="AH932">
        <v>0</v>
      </c>
      <c r="AI932">
        <v>202504</v>
      </c>
      <c r="AJ932" t="s">
        <v>56</v>
      </c>
      <c r="AK932">
        <v>0</v>
      </c>
      <c r="AL932">
        <v>1</v>
      </c>
      <c r="AM932">
        <v>4658875</v>
      </c>
      <c r="AN932">
        <v>1</v>
      </c>
      <c r="AO932">
        <v>0</v>
      </c>
      <c r="AP932" t="s">
        <v>3033</v>
      </c>
      <c r="AQ932" t="s">
        <v>3047</v>
      </c>
      <c r="AR932" t="s">
        <v>3048</v>
      </c>
      <c r="AS932" t="s">
        <v>3049</v>
      </c>
      <c r="AU932" t="s">
        <v>3049</v>
      </c>
    </row>
    <row r="933" spans="1:47" x14ac:dyDescent="0.35">
      <c r="A933">
        <v>329241</v>
      </c>
      <c r="B933" t="s">
        <v>193</v>
      </c>
      <c r="C933" t="s">
        <v>194</v>
      </c>
      <c r="D933" s="2">
        <v>45751</v>
      </c>
      <c r="E933">
        <v>53850</v>
      </c>
      <c r="F933">
        <v>103</v>
      </c>
      <c r="G933" t="s">
        <v>80</v>
      </c>
      <c r="H933" t="s">
        <v>167</v>
      </c>
      <c r="I933" t="s">
        <v>45</v>
      </c>
      <c r="K933">
        <v>202504037865990</v>
      </c>
      <c r="L933">
        <v>1033306985374</v>
      </c>
      <c r="M933">
        <v>20250403</v>
      </c>
      <c r="N933" t="s">
        <v>266</v>
      </c>
      <c r="Q933" t="s">
        <v>47</v>
      </c>
      <c r="R933">
        <v>31600</v>
      </c>
      <c r="S933">
        <v>31600</v>
      </c>
      <c r="T933">
        <v>3722977</v>
      </c>
      <c r="U933">
        <v>8874860722</v>
      </c>
      <c r="V933" t="s">
        <v>1216</v>
      </c>
      <c r="W933" t="s">
        <v>620</v>
      </c>
      <c r="X933" t="s">
        <v>131</v>
      </c>
      <c r="Y933" t="s">
        <v>51</v>
      </c>
      <c r="Z933">
        <v>1916</v>
      </c>
      <c r="AH933">
        <v>0</v>
      </c>
      <c r="AI933">
        <v>202504</v>
      </c>
      <c r="AJ933" t="s">
        <v>52</v>
      </c>
      <c r="AK933">
        <v>0</v>
      </c>
      <c r="AL933">
        <v>1</v>
      </c>
      <c r="AO933">
        <v>0</v>
      </c>
      <c r="AP933" t="s">
        <v>3033</v>
      </c>
      <c r="AQ933" t="s">
        <v>3080</v>
      </c>
      <c r="AR933" t="s">
        <v>3106</v>
      </c>
      <c r="AS933" t="s">
        <v>3049</v>
      </c>
      <c r="AU933" t="s">
        <v>3049</v>
      </c>
    </row>
    <row r="934" spans="1:47" x14ac:dyDescent="0.35">
      <c r="A934">
        <v>329240</v>
      </c>
      <c r="B934" t="s">
        <v>172</v>
      </c>
      <c r="C934" t="s">
        <v>173</v>
      </c>
      <c r="D934" s="2">
        <v>45751</v>
      </c>
      <c r="E934">
        <v>53850</v>
      </c>
      <c r="F934">
        <v>102</v>
      </c>
      <c r="G934" t="s">
        <v>151</v>
      </c>
      <c r="H934" t="s">
        <v>167</v>
      </c>
      <c r="I934" t="s">
        <v>45</v>
      </c>
      <c r="K934">
        <v>202504037865978</v>
      </c>
      <c r="L934">
        <v>1023308726262</v>
      </c>
      <c r="M934">
        <v>20250403</v>
      </c>
      <c r="N934" t="s">
        <v>325</v>
      </c>
      <c r="Q934" t="s">
        <v>47</v>
      </c>
      <c r="R934">
        <v>570000</v>
      </c>
      <c r="S934">
        <v>0</v>
      </c>
      <c r="T934">
        <v>4978870</v>
      </c>
      <c r="U934">
        <v>8663550724</v>
      </c>
      <c r="V934" t="s">
        <v>1217</v>
      </c>
      <c r="W934" t="s">
        <v>49</v>
      </c>
      <c r="X934" t="s">
        <v>595</v>
      </c>
      <c r="Y934" t="s">
        <v>51</v>
      </c>
      <c r="Z934">
        <v>1203</v>
      </c>
      <c r="AH934">
        <v>0</v>
      </c>
      <c r="AI934">
        <v>202504</v>
      </c>
      <c r="AJ934" t="s">
        <v>86</v>
      </c>
      <c r="AK934">
        <v>1</v>
      </c>
      <c r="AL934">
        <v>1</v>
      </c>
      <c r="AO934">
        <v>0</v>
      </c>
      <c r="AP934" t="s">
        <v>3015</v>
      </c>
      <c r="AQ934" t="s">
        <v>3012</v>
      </c>
      <c r="AR934" t="s">
        <v>3016</v>
      </c>
      <c r="AT934" t="s">
        <v>3017</v>
      </c>
      <c r="AU934" t="s">
        <v>3018</v>
      </c>
    </row>
    <row r="935" spans="1:47" x14ac:dyDescent="0.35">
      <c r="A935">
        <v>329239</v>
      </c>
      <c r="B935" t="s">
        <v>172</v>
      </c>
      <c r="C935" t="s">
        <v>173</v>
      </c>
      <c r="D935" s="2">
        <v>45751</v>
      </c>
      <c r="E935">
        <v>53850</v>
      </c>
      <c r="F935">
        <v>102</v>
      </c>
      <c r="G935" t="s">
        <v>151</v>
      </c>
      <c r="H935" t="s">
        <v>167</v>
      </c>
      <c r="I935" t="s">
        <v>45</v>
      </c>
      <c r="K935">
        <v>202504037865974</v>
      </c>
      <c r="L935">
        <v>2263300012122</v>
      </c>
      <c r="M935">
        <v>20250403</v>
      </c>
      <c r="N935" t="s">
        <v>231</v>
      </c>
      <c r="Q935" t="s">
        <v>47</v>
      </c>
      <c r="R935">
        <v>102000</v>
      </c>
      <c r="S935">
        <v>0</v>
      </c>
      <c r="T935">
        <v>4171923</v>
      </c>
      <c r="U935" t="s">
        <v>1218</v>
      </c>
      <c r="V935" t="s">
        <v>1219</v>
      </c>
      <c r="W935" t="s">
        <v>187</v>
      </c>
      <c r="Y935" t="s">
        <v>51</v>
      </c>
      <c r="Z935">
        <v>1267</v>
      </c>
      <c r="AH935">
        <v>0</v>
      </c>
      <c r="AI935">
        <v>202504</v>
      </c>
      <c r="AJ935" t="s">
        <v>86</v>
      </c>
      <c r="AK935">
        <v>1</v>
      </c>
      <c r="AL935">
        <v>1</v>
      </c>
      <c r="AO935">
        <v>0</v>
      </c>
      <c r="AP935" t="s">
        <v>3015</v>
      </c>
      <c r="AQ935" t="s">
        <v>3044</v>
      </c>
      <c r="AR935" t="s">
        <v>3045</v>
      </c>
      <c r="AS935" t="s">
        <v>3046</v>
      </c>
      <c r="AU935" t="s">
        <v>3046</v>
      </c>
    </row>
    <row r="936" spans="1:47" x14ac:dyDescent="0.35">
      <c r="A936">
        <v>329238</v>
      </c>
      <c r="B936" t="s">
        <v>172</v>
      </c>
      <c r="C936" t="s">
        <v>173</v>
      </c>
      <c r="D936" s="2">
        <v>45751</v>
      </c>
      <c r="E936">
        <v>53850</v>
      </c>
      <c r="F936">
        <v>102</v>
      </c>
      <c r="G936" t="s">
        <v>151</v>
      </c>
      <c r="H936" t="s">
        <v>167</v>
      </c>
      <c r="I936" t="s">
        <v>45</v>
      </c>
      <c r="K936">
        <v>202504037865974</v>
      </c>
      <c r="L936">
        <v>2263300012122</v>
      </c>
      <c r="M936">
        <v>20250403</v>
      </c>
      <c r="N936" t="s">
        <v>231</v>
      </c>
      <c r="Q936" t="s">
        <v>47</v>
      </c>
      <c r="R936">
        <v>102000</v>
      </c>
      <c r="S936">
        <v>0</v>
      </c>
      <c r="T936">
        <v>4173227</v>
      </c>
      <c r="U936" t="s">
        <v>1220</v>
      </c>
      <c r="V936" t="s">
        <v>1221</v>
      </c>
      <c r="W936" t="s">
        <v>187</v>
      </c>
      <c r="Y936" t="s">
        <v>51</v>
      </c>
      <c r="Z936">
        <v>902</v>
      </c>
      <c r="AH936">
        <v>0</v>
      </c>
      <c r="AI936">
        <v>202504</v>
      </c>
      <c r="AJ936" t="s">
        <v>86</v>
      </c>
      <c r="AK936">
        <v>1</v>
      </c>
      <c r="AL936">
        <v>1</v>
      </c>
      <c r="AO936">
        <v>0</v>
      </c>
      <c r="AP936" t="s">
        <v>3015</v>
      </c>
      <c r="AQ936" t="s">
        <v>3044</v>
      </c>
      <c r="AR936" t="s">
        <v>3045</v>
      </c>
      <c r="AS936" t="s">
        <v>3046</v>
      </c>
      <c r="AU936" t="s">
        <v>3046</v>
      </c>
    </row>
    <row r="937" spans="1:47" x14ac:dyDescent="0.35">
      <c r="A937">
        <v>329237</v>
      </c>
      <c r="B937" t="s">
        <v>178</v>
      </c>
      <c r="C937" t="s">
        <v>179</v>
      </c>
      <c r="D937" s="2">
        <v>45751</v>
      </c>
      <c r="E937">
        <v>53850</v>
      </c>
      <c r="F937">
        <v>104</v>
      </c>
      <c r="G937" t="s">
        <v>108</v>
      </c>
      <c r="H937" t="s">
        <v>167</v>
      </c>
      <c r="I937" t="s">
        <v>45</v>
      </c>
      <c r="K937">
        <v>202504037863628</v>
      </c>
      <c r="L937">
        <v>1043301448722</v>
      </c>
      <c r="M937">
        <v>20250403</v>
      </c>
      <c r="N937" t="s">
        <v>236</v>
      </c>
      <c r="P937" t="s">
        <v>51</v>
      </c>
      <c r="Q937" t="s">
        <v>170</v>
      </c>
      <c r="R937">
        <v>800000</v>
      </c>
      <c r="S937">
        <v>0</v>
      </c>
      <c r="T937">
        <v>4155132</v>
      </c>
      <c r="U937">
        <v>5287570724</v>
      </c>
      <c r="V937" t="s">
        <v>1222</v>
      </c>
      <c r="W937" t="s">
        <v>1223</v>
      </c>
      <c r="X937" t="s">
        <v>1224</v>
      </c>
      <c r="Y937" t="s">
        <v>51</v>
      </c>
      <c r="Z937">
        <v>1696</v>
      </c>
      <c r="AH937">
        <v>0</v>
      </c>
      <c r="AI937">
        <v>202504</v>
      </c>
      <c r="AJ937" t="s">
        <v>56</v>
      </c>
      <c r="AK937">
        <v>0</v>
      </c>
      <c r="AL937">
        <v>1</v>
      </c>
      <c r="AO937">
        <v>0</v>
      </c>
      <c r="AP937" t="s">
        <v>3015</v>
      </c>
      <c r="AQ937" t="s">
        <v>3107</v>
      </c>
      <c r="AR937" t="s">
        <v>3108</v>
      </c>
      <c r="AT937" t="s">
        <v>3017</v>
      </c>
      <c r="AU937" t="s">
        <v>3057</v>
      </c>
    </row>
    <row r="938" spans="1:47" x14ac:dyDescent="0.35">
      <c r="A938">
        <v>329236</v>
      </c>
      <c r="B938" t="s">
        <v>193</v>
      </c>
      <c r="C938" t="s">
        <v>194</v>
      </c>
      <c r="D938" s="2">
        <v>45751</v>
      </c>
      <c r="E938">
        <v>53850</v>
      </c>
      <c r="F938">
        <v>116</v>
      </c>
      <c r="G938" t="s">
        <v>126</v>
      </c>
      <c r="H938" t="s">
        <v>167</v>
      </c>
      <c r="I938" t="s">
        <v>45</v>
      </c>
      <c r="K938">
        <v>202504037865881</v>
      </c>
      <c r="L938">
        <v>2343300010453</v>
      </c>
      <c r="M938">
        <v>20250403</v>
      </c>
      <c r="N938" t="s">
        <v>195</v>
      </c>
      <c r="Q938" t="s">
        <v>47</v>
      </c>
      <c r="R938">
        <v>56115.5</v>
      </c>
      <c r="S938">
        <v>56115.5</v>
      </c>
      <c r="T938">
        <v>4247777</v>
      </c>
      <c r="U938">
        <v>233470236</v>
      </c>
      <c r="V938" t="s">
        <v>206</v>
      </c>
      <c r="W938" t="s">
        <v>49</v>
      </c>
      <c r="X938" t="s">
        <v>117</v>
      </c>
      <c r="Y938" t="s">
        <v>51</v>
      </c>
      <c r="Z938">
        <v>1696</v>
      </c>
      <c r="AH938">
        <v>0</v>
      </c>
      <c r="AI938">
        <v>202504</v>
      </c>
      <c r="AJ938" t="s">
        <v>114</v>
      </c>
      <c r="AK938">
        <v>1</v>
      </c>
      <c r="AL938">
        <v>1</v>
      </c>
      <c r="AM938">
        <v>4247777</v>
      </c>
      <c r="AN938">
        <v>1</v>
      </c>
      <c r="AO938">
        <v>0</v>
      </c>
      <c r="AP938" t="s">
        <v>3029</v>
      </c>
      <c r="AQ938" t="s">
        <v>3012</v>
      </c>
      <c r="AR938" t="s">
        <v>3030</v>
      </c>
      <c r="AS938" t="s">
        <v>3014</v>
      </c>
      <c r="AU938" t="s">
        <v>3014</v>
      </c>
    </row>
    <row r="939" spans="1:47" x14ac:dyDescent="0.35">
      <c r="A939">
        <v>329235</v>
      </c>
      <c r="B939" t="s">
        <v>193</v>
      </c>
      <c r="C939" t="s">
        <v>194</v>
      </c>
      <c r="D939" s="2">
        <v>45751</v>
      </c>
      <c r="E939">
        <v>53850</v>
      </c>
      <c r="F939">
        <v>273</v>
      </c>
      <c r="G939" t="s">
        <v>133</v>
      </c>
      <c r="H939" t="s">
        <v>167</v>
      </c>
      <c r="I939" t="s">
        <v>45</v>
      </c>
      <c r="K939" t="s">
        <v>1211</v>
      </c>
      <c r="L939">
        <v>2733300000498</v>
      </c>
      <c r="M939">
        <v>20250403</v>
      </c>
      <c r="N939" t="s">
        <v>195</v>
      </c>
      <c r="Q939" t="s">
        <v>47</v>
      </c>
      <c r="R939">
        <v>32135</v>
      </c>
      <c r="S939">
        <v>32135</v>
      </c>
      <c r="T939">
        <v>1617415</v>
      </c>
      <c r="U939">
        <v>2262360692</v>
      </c>
      <c r="V939" t="s">
        <v>691</v>
      </c>
      <c r="W939" t="s">
        <v>49</v>
      </c>
      <c r="X939" t="s">
        <v>197</v>
      </c>
      <c r="Y939" t="s">
        <v>51</v>
      </c>
      <c r="Z939">
        <v>1765</v>
      </c>
      <c r="AH939">
        <v>0</v>
      </c>
      <c r="AI939">
        <v>202504</v>
      </c>
      <c r="AJ939" t="s">
        <v>56</v>
      </c>
      <c r="AK939">
        <v>0</v>
      </c>
      <c r="AL939">
        <v>1</v>
      </c>
      <c r="AM939">
        <v>1617415</v>
      </c>
      <c r="AN939">
        <v>1</v>
      </c>
      <c r="AO939">
        <v>0</v>
      </c>
      <c r="AP939" t="s">
        <v>3050</v>
      </c>
      <c r="AQ939" t="s">
        <v>3012</v>
      </c>
      <c r="AR939" t="s">
        <v>3071</v>
      </c>
      <c r="AS939" t="s">
        <v>3028</v>
      </c>
      <c r="AU939" t="s">
        <v>3028</v>
      </c>
    </row>
    <row r="940" spans="1:47" x14ac:dyDescent="0.35">
      <c r="A940">
        <v>329234</v>
      </c>
      <c r="B940" t="s">
        <v>193</v>
      </c>
      <c r="C940" t="s">
        <v>194</v>
      </c>
      <c r="D940" s="2">
        <v>45751</v>
      </c>
      <c r="E940">
        <v>53850</v>
      </c>
      <c r="F940">
        <v>116</v>
      </c>
      <c r="G940" t="s">
        <v>126</v>
      </c>
      <c r="H940" t="s">
        <v>167</v>
      </c>
      <c r="I940" t="s">
        <v>45</v>
      </c>
      <c r="K940" t="s">
        <v>1211</v>
      </c>
      <c r="L940">
        <v>1213300003438</v>
      </c>
      <c r="M940">
        <v>20250403</v>
      </c>
      <c r="N940" t="s">
        <v>195</v>
      </c>
      <c r="Q940" t="s">
        <v>47</v>
      </c>
      <c r="R940">
        <v>37500</v>
      </c>
      <c r="S940">
        <v>37500</v>
      </c>
      <c r="T940">
        <v>3727401</v>
      </c>
      <c r="U940">
        <v>8928290728</v>
      </c>
      <c r="V940" t="s">
        <v>1225</v>
      </c>
      <c r="W940" t="s">
        <v>49</v>
      </c>
      <c r="X940" t="s">
        <v>110</v>
      </c>
      <c r="Y940" t="s">
        <v>51</v>
      </c>
      <c r="Z940">
        <v>928</v>
      </c>
      <c r="AH940">
        <v>0</v>
      </c>
      <c r="AI940">
        <v>202504</v>
      </c>
      <c r="AJ940" t="s">
        <v>52</v>
      </c>
      <c r="AK940">
        <v>0</v>
      </c>
      <c r="AL940">
        <v>1</v>
      </c>
      <c r="AM940">
        <v>3727401</v>
      </c>
      <c r="AN940">
        <v>1</v>
      </c>
      <c r="AO940">
        <v>0</v>
      </c>
      <c r="AP940" t="s">
        <v>3026</v>
      </c>
      <c r="AQ940" t="s">
        <v>3012</v>
      </c>
      <c r="AR940" t="s">
        <v>3027</v>
      </c>
      <c r="AS940" t="s">
        <v>3028</v>
      </c>
      <c r="AU940" t="s">
        <v>3028</v>
      </c>
    </row>
    <row r="941" spans="1:47" x14ac:dyDescent="0.35">
      <c r="A941">
        <v>329233</v>
      </c>
      <c r="B941" t="s">
        <v>178</v>
      </c>
      <c r="C941" t="s">
        <v>179</v>
      </c>
      <c r="D941" s="2">
        <v>45751</v>
      </c>
      <c r="E941">
        <v>53850</v>
      </c>
      <c r="F941">
        <v>188</v>
      </c>
      <c r="G941" t="s">
        <v>419</v>
      </c>
      <c r="H941" t="s">
        <v>167</v>
      </c>
      <c r="I941" t="s">
        <v>45</v>
      </c>
      <c r="K941">
        <v>202504037864979</v>
      </c>
      <c r="L941">
        <v>1883300028081</v>
      </c>
      <c r="M941">
        <v>20250403</v>
      </c>
      <c r="N941" t="s">
        <v>46</v>
      </c>
      <c r="P941" t="s">
        <v>51</v>
      </c>
      <c r="Q941" t="s">
        <v>47</v>
      </c>
      <c r="R941">
        <v>2062716.36</v>
      </c>
      <c r="S941">
        <v>0</v>
      </c>
      <c r="T941">
        <v>3001543</v>
      </c>
      <c r="U941">
        <v>943900738</v>
      </c>
      <c r="V941" t="s">
        <v>1226</v>
      </c>
      <c r="W941" t="s">
        <v>49</v>
      </c>
      <c r="X941" t="s">
        <v>421</v>
      </c>
      <c r="Y941" t="s">
        <v>51</v>
      </c>
      <c r="Z941">
        <v>1627</v>
      </c>
      <c r="AH941">
        <v>0</v>
      </c>
      <c r="AI941">
        <v>202504</v>
      </c>
      <c r="AJ941" t="s">
        <v>52</v>
      </c>
      <c r="AK941">
        <v>0</v>
      </c>
      <c r="AL941">
        <v>1</v>
      </c>
      <c r="AM941">
        <v>3001543</v>
      </c>
      <c r="AN941">
        <v>1</v>
      </c>
      <c r="AO941">
        <v>0</v>
      </c>
      <c r="AP941" t="s">
        <v>3015</v>
      </c>
      <c r="AQ941" t="s">
        <v>3012</v>
      </c>
      <c r="AR941" t="s">
        <v>3016</v>
      </c>
      <c r="AT941" t="s">
        <v>3017</v>
      </c>
      <c r="AU941" t="s">
        <v>3018</v>
      </c>
    </row>
    <row r="942" spans="1:47" x14ac:dyDescent="0.35">
      <c r="A942">
        <v>329232</v>
      </c>
      <c r="B942" t="s">
        <v>178</v>
      </c>
      <c r="C942" t="s">
        <v>179</v>
      </c>
      <c r="D942" s="2">
        <v>45751</v>
      </c>
      <c r="E942">
        <v>53850</v>
      </c>
      <c r="F942">
        <v>188</v>
      </c>
      <c r="G942" t="s">
        <v>419</v>
      </c>
      <c r="H942" t="s">
        <v>167</v>
      </c>
      <c r="I942" t="s">
        <v>45</v>
      </c>
      <c r="K942">
        <v>202504037865837</v>
      </c>
      <c r="L942">
        <v>1883300028081</v>
      </c>
      <c r="M942">
        <v>20250403</v>
      </c>
      <c r="N942" t="s">
        <v>416</v>
      </c>
      <c r="Q942" t="s">
        <v>170</v>
      </c>
      <c r="R942">
        <v>1800000</v>
      </c>
      <c r="S942">
        <v>0</v>
      </c>
      <c r="T942">
        <v>3001543</v>
      </c>
      <c r="U942">
        <v>943900738</v>
      </c>
      <c r="V942" t="s">
        <v>1226</v>
      </c>
      <c r="W942" t="s">
        <v>49</v>
      </c>
      <c r="X942" t="s">
        <v>421</v>
      </c>
      <c r="Y942" t="s">
        <v>51</v>
      </c>
      <c r="Z942">
        <v>1627</v>
      </c>
      <c r="AH942">
        <v>0</v>
      </c>
      <c r="AI942">
        <v>202504</v>
      </c>
      <c r="AJ942" t="s">
        <v>52</v>
      </c>
      <c r="AK942">
        <v>0</v>
      </c>
      <c r="AL942">
        <v>1</v>
      </c>
      <c r="AM942">
        <v>3001543</v>
      </c>
      <c r="AN942">
        <v>1</v>
      </c>
      <c r="AO942">
        <v>0</v>
      </c>
      <c r="AP942" t="s">
        <v>3015</v>
      </c>
      <c r="AQ942" t="s">
        <v>3012</v>
      </c>
      <c r="AR942" t="s">
        <v>3016</v>
      </c>
      <c r="AT942" t="s">
        <v>3017</v>
      </c>
      <c r="AU942" t="s">
        <v>3018</v>
      </c>
    </row>
    <row r="943" spans="1:47" x14ac:dyDescent="0.35">
      <c r="A943">
        <v>329231</v>
      </c>
      <c r="B943" t="s">
        <v>172</v>
      </c>
      <c r="C943" t="s">
        <v>173</v>
      </c>
      <c r="D943" s="2">
        <v>45751</v>
      </c>
      <c r="E943">
        <v>53850</v>
      </c>
      <c r="F943">
        <v>181</v>
      </c>
      <c r="G943" t="s">
        <v>180</v>
      </c>
      <c r="H943" t="s">
        <v>167</v>
      </c>
      <c r="I943" t="s">
        <v>45</v>
      </c>
      <c r="K943">
        <v>202504037866232</v>
      </c>
      <c r="L943">
        <v>1813301028560</v>
      </c>
      <c r="M943">
        <v>20250403</v>
      </c>
      <c r="N943" t="s">
        <v>266</v>
      </c>
      <c r="Q943" t="s">
        <v>47</v>
      </c>
      <c r="R943">
        <v>47000</v>
      </c>
      <c r="S943">
        <v>47000</v>
      </c>
      <c r="T943">
        <v>454268</v>
      </c>
      <c r="U943" t="s">
        <v>1209</v>
      </c>
      <c r="V943" t="s">
        <v>1210</v>
      </c>
      <c r="W943" t="s">
        <v>69</v>
      </c>
      <c r="X943" t="s">
        <v>131</v>
      </c>
      <c r="Y943" t="s">
        <v>51</v>
      </c>
      <c r="Z943">
        <v>727</v>
      </c>
      <c r="AH943">
        <v>0</v>
      </c>
      <c r="AI943">
        <v>202504</v>
      </c>
      <c r="AJ943" t="s">
        <v>56</v>
      </c>
      <c r="AK943">
        <v>0</v>
      </c>
      <c r="AL943">
        <v>1</v>
      </c>
      <c r="AM943">
        <v>454268</v>
      </c>
      <c r="AN943">
        <v>1</v>
      </c>
      <c r="AO943">
        <v>0</v>
      </c>
      <c r="AP943" t="s">
        <v>3033</v>
      </c>
      <c r="AQ943" t="s">
        <v>3021</v>
      </c>
      <c r="AR943" t="s">
        <v>3054</v>
      </c>
      <c r="AS943" t="s">
        <v>3055</v>
      </c>
      <c r="AU943" t="s">
        <v>3055</v>
      </c>
    </row>
    <row r="944" spans="1:47" x14ac:dyDescent="0.35">
      <c r="A944">
        <v>329230</v>
      </c>
      <c r="B944" t="s">
        <v>193</v>
      </c>
      <c r="C944" t="s">
        <v>194</v>
      </c>
      <c r="D944" s="2">
        <v>45751</v>
      </c>
      <c r="E944">
        <v>53850</v>
      </c>
      <c r="F944">
        <v>267</v>
      </c>
      <c r="G944" t="s">
        <v>349</v>
      </c>
      <c r="H944" t="s">
        <v>167</v>
      </c>
      <c r="I944" t="s">
        <v>45</v>
      </c>
      <c r="K944">
        <v>202504037866326</v>
      </c>
      <c r="L944">
        <v>2673300002283</v>
      </c>
      <c r="M944">
        <v>20250403</v>
      </c>
      <c r="N944" t="s">
        <v>266</v>
      </c>
      <c r="Q944" t="s">
        <v>47</v>
      </c>
      <c r="R944">
        <v>45900</v>
      </c>
      <c r="S944">
        <v>45900</v>
      </c>
      <c r="T944">
        <v>1653892</v>
      </c>
      <c r="U944">
        <v>3605780794</v>
      </c>
      <c r="V944" t="s">
        <v>1227</v>
      </c>
      <c r="W944" t="s">
        <v>49</v>
      </c>
      <c r="X944" t="s">
        <v>131</v>
      </c>
      <c r="Y944" t="s">
        <v>51</v>
      </c>
      <c r="Z944">
        <v>1891</v>
      </c>
      <c r="AH944">
        <v>0</v>
      </c>
      <c r="AI944">
        <v>202504</v>
      </c>
      <c r="AJ944" t="s">
        <v>52</v>
      </c>
      <c r="AK944">
        <v>0</v>
      </c>
      <c r="AL944">
        <v>1</v>
      </c>
      <c r="AO944">
        <v>0</v>
      </c>
      <c r="AP944" t="s">
        <v>3033</v>
      </c>
      <c r="AQ944" t="s">
        <v>3012</v>
      </c>
      <c r="AR944" t="s">
        <v>3034</v>
      </c>
      <c r="AS944" t="s">
        <v>3014</v>
      </c>
      <c r="AU944" t="s">
        <v>3014</v>
      </c>
    </row>
    <row r="945" spans="1:47" x14ac:dyDescent="0.35">
      <c r="A945">
        <v>329229</v>
      </c>
      <c r="B945" t="s">
        <v>178</v>
      </c>
      <c r="C945" t="s">
        <v>179</v>
      </c>
      <c r="D945" s="2">
        <v>45751</v>
      </c>
      <c r="E945">
        <v>53850</v>
      </c>
      <c r="F945">
        <v>195</v>
      </c>
      <c r="G945" t="s">
        <v>498</v>
      </c>
      <c r="H945" t="s">
        <v>167</v>
      </c>
      <c r="I945" t="s">
        <v>45</v>
      </c>
      <c r="K945">
        <v>202504027865545</v>
      </c>
      <c r="L945">
        <v>1950050084361</v>
      </c>
      <c r="M945">
        <v>20250402</v>
      </c>
      <c r="N945" t="s">
        <v>1228</v>
      </c>
      <c r="Q945" t="s">
        <v>47</v>
      </c>
      <c r="R945">
        <v>398797.32</v>
      </c>
      <c r="S945">
        <v>0</v>
      </c>
      <c r="T945">
        <v>3122467</v>
      </c>
      <c r="U945" t="s">
        <v>1229</v>
      </c>
      <c r="V945" t="s">
        <v>1230</v>
      </c>
      <c r="W945" t="s">
        <v>187</v>
      </c>
      <c r="Y945" t="s">
        <v>51</v>
      </c>
      <c r="AH945">
        <v>0</v>
      </c>
      <c r="AI945">
        <v>202504</v>
      </c>
      <c r="AJ945" t="s">
        <v>56</v>
      </c>
      <c r="AK945">
        <v>0</v>
      </c>
      <c r="AL945">
        <v>1</v>
      </c>
      <c r="AO945">
        <v>0</v>
      </c>
      <c r="AP945" t="s">
        <v>3015</v>
      </c>
      <c r="AQ945" t="s">
        <v>3044</v>
      </c>
      <c r="AR945" t="s">
        <v>3045</v>
      </c>
      <c r="AS945" t="s">
        <v>3046</v>
      </c>
      <c r="AU945" t="s">
        <v>3046</v>
      </c>
    </row>
    <row r="946" spans="1:47" x14ac:dyDescent="0.35">
      <c r="A946">
        <v>329228</v>
      </c>
      <c r="B946" t="s">
        <v>178</v>
      </c>
      <c r="C946" t="s">
        <v>179</v>
      </c>
      <c r="D946" s="2">
        <v>45751</v>
      </c>
      <c r="E946">
        <v>53850</v>
      </c>
      <c r="F946">
        <v>195</v>
      </c>
      <c r="G946" t="s">
        <v>498</v>
      </c>
      <c r="H946" t="s">
        <v>167</v>
      </c>
      <c r="I946" t="s">
        <v>45</v>
      </c>
      <c r="K946">
        <v>202504027865545</v>
      </c>
      <c r="L946">
        <v>1950050084361</v>
      </c>
      <c r="M946">
        <v>20250402</v>
      </c>
      <c r="N946" t="s">
        <v>1228</v>
      </c>
      <c r="Q946" t="s">
        <v>47</v>
      </c>
      <c r="R946">
        <v>398797.32</v>
      </c>
      <c r="S946">
        <v>0</v>
      </c>
      <c r="T946">
        <v>3044588</v>
      </c>
      <c r="U946" t="s">
        <v>1231</v>
      </c>
      <c r="V946" t="s">
        <v>1232</v>
      </c>
      <c r="W946" t="s">
        <v>187</v>
      </c>
      <c r="Y946" t="s">
        <v>51</v>
      </c>
      <c r="AH946">
        <v>0</v>
      </c>
      <c r="AI946">
        <v>202504</v>
      </c>
      <c r="AJ946" t="s">
        <v>56</v>
      </c>
      <c r="AK946">
        <v>0</v>
      </c>
      <c r="AL946">
        <v>1</v>
      </c>
      <c r="AO946">
        <v>0</v>
      </c>
      <c r="AP946" t="s">
        <v>3015</v>
      </c>
      <c r="AQ946" t="s">
        <v>3044</v>
      </c>
      <c r="AR946" t="s">
        <v>3045</v>
      </c>
      <c r="AS946" t="s">
        <v>3046</v>
      </c>
      <c r="AU946" t="s">
        <v>3046</v>
      </c>
    </row>
    <row r="947" spans="1:47" x14ac:dyDescent="0.35">
      <c r="A947">
        <v>329227</v>
      </c>
      <c r="B947" t="s">
        <v>193</v>
      </c>
      <c r="C947" t="s">
        <v>194</v>
      </c>
      <c r="D947" s="2">
        <v>45750</v>
      </c>
      <c r="E947">
        <v>53850</v>
      </c>
      <c r="F947">
        <v>189</v>
      </c>
      <c r="G947" t="s">
        <v>286</v>
      </c>
      <c r="H947" t="s">
        <v>167</v>
      </c>
      <c r="I947" t="s">
        <v>45</v>
      </c>
      <c r="K947">
        <v>202504027863313</v>
      </c>
      <c r="L947">
        <v>1893300023546</v>
      </c>
      <c r="M947">
        <v>20250402</v>
      </c>
      <c r="N947" t="s">
        <v>266</v>
      </c>
      <c r="Q947" t="s">
        <v>47</v>
      </c>
      <c r="R947">
        <v>55950</v>
      </c>
      <c r="S947">
        <v>55950</v>
      </c>
      <c r="T947">
        <v>3064562</v>
      </c>
      <c r="U947" t="s">
        <v>287</v>
      </c>
      <c r="V947" t="s">
        <v>288</v>
      </c>
      <c r="W947" t="s">
        <v>69</v>
      </c>
      <c r="X947" t="s">
        <v>55</v>
      </c>
      <c r="Y947" t="s">
        <v>51</v>
      </c>
      <c r="Z947">
        <v>1620</v>
      </c>
      <c r="AH947">
        <v>0</v>
      </c>
      <c r="AI947">
        <v>202504</v>
      </c>
      <c r="AJ947" t="s">
        <v>56</v>
      </c>
      <c r="AK947">
        <v>0</v>
      </c>
      <c r="AL947">
        <v>1</v>
      </c>
      <c r="AM947">
        <v>3064562</v>
      </c>
      <c r="AN947">
        <v>1</v>
      </c>
      <c r="AO947">
        <v>0</v>
      </c>
      <c r="AP947" t="s">
        <v>3015</v>
      </c>
      <c r="AQ947" t="s">
        <v>3021</v>
      </c>
      <c r="AR947" t="s">
        <v>3022</v>
      </c>
      <c r="AT947" t="s">
        <v>3017</v>
      </c>
      <c r="AU947" t="s">
        <v>3014</v>
      </c>
    </row>
    <row r="948" spans="1:47" x14ac:dyDescent="0.35">
      <c r="A948">
        <v>329226</v>
      </c>
      <c r="B948" t="s">
        <v>172</v>
      </c>
      <c r="C948" t="s">
        <v>173</v>
      </c>
      <c r="D948" s="2">
        <v>45750</v>
      </c>
      <c r="E948">
        <v>53850</v>
      </c>
      <c r="F948">
        <v>171</v>
      </c>
      <c r="G948" t="s">
        <v>198</v>
      </c>
      <c r="H948" t="s">
        <v>167</v>
      </c>
      <c r="I948" t="s">
        <v>45</v>
      </c>
      <c r="K948" t="s">
        <v>1233</v>
      </c>
      <c r="L948">
        <v>1023308717844</v>
      </c>
      <c r="M948">
        <v>20250402</v>
      </c>
      <c r="N948" t="s">
        <v>175</v>
      </c>
      <c r="Q948" t="s">
        <v>47</v>
      </c>
      <c r="R948">
        <v>163950</v>
      </c>
      <c r="S948">
        <v>3950</v>
      </c>
      <c r="T948">
        <v>4201270</v>
      </c>
      <c r="U948" t="s">
        <v>1234</v>
      </c>
      <c r="V948" t="s">
        <v>1235</v>
      </c>
      <c r="W948" t="s">
        <v>69</v>
      </c>
      <c r="X948" t="s">
        <v>70</v>
      </c>
      <c r="Y948" t="s">
        <v>51</v>
      </c>
      <c r="Z948">
        <v>1335</v>
      </c>
      <c r="AH948">
        <v>0</v>
      </c>
      <c r="AI948">
        <v>202504</v>
      </c>
      <c r="AJ948" t="s">
        <v>56</v>
      </c>
      <c r="AK948">
        <v>0</v>
      </c>
      <c r="AL948">
        <v>1</v>
      </c>
      <c r="AM948">
        <v>4201270</v>
      </c>
      <c r="AN948">
        <v>1</v>
      </c>
      <c r="AO948">
        <v>1</v>
      </c>
      <c r="AP948" t="s">
        <v>3015</v>
      </c>
      <c r="AQ948" t="s">
        <v>3021</v>
      </c>
      <c r="AR948" t="s">
        <v>3022</v>
      </c>
      <c r="AT948" t="s">
        <v>3017</v>
      </c>
      <c r="AU948" t="s">
        <v>3014</v>
      </c>
    </row>
    <row r="949" spans="1:47" x14ac:dyDescent="0.35">
      <c r="A949">
        <v>329225</v>
      </c>
      <c r="B949" t="s">
        <v>193</v>
      </c>
      <c r="C949" t="s">
        <v>194</v>
      </c>
      <c r="D949" s="2">
        <v>45750</v>
      </c>
      <c r="E949">
        <v>53850</v>
      </c>
      <c r="F949">
        <v>269</v>
      </c>
      <c r="G949" t="s">
        <v>265</v>
      </c>
      <c r="H949" t="s">
        <v>167</v>
      </c>
      <c r="I949" t="s">
        <v>45</v>
      </c>
      <c r="K949" t="s">
        <v>1233</v>
      </c>
      <c r="L949">
        <v>2693300001614</v>
      </c>
      <c r="M949">
        <v>20250402</v>
      </c>
      <c r="N949" t="s">
        <v>266</v>
      </c>
      <c r="Q949" t="s">
        <v>47</v>
      </c>
      <c r="R949">
        <v>39960</v>
      </c>
      <c r="S949">
        <v>39960</v>
      </c>
      <c r="T949">
        <v>1695085</v>
      </c>
      <c r="U949" t="s">
        <v>267</v>
      </c>
      <c r="V949" t="s">
        <v>268</v>
      </c>
      <c r="W949" t="s">
        <v>69</v>
      </c>
      <c r="X949" t="s">
        <v>55</v>
      </c>
      <c r="Y949" t="s">
        <v>51</v>
      </c>
      <c r="Z949">
        <v>1805</v>
      </c>
      <c r="AH949">
        <v>0</v>
      </c>
      <c r="AI949">
        <v>202504</v>
      </c>
      <c r="AJ949" t="s">
        <v>56</v>
      </c>
      <c r="AK949">
        <v>0</v>
      </c>
      <c r="AL949">
        <v>1</v>
      </c>
      <c r="AM949">
        <v>1695085</v>
      </c>
      <c r="AN949">
        <v>1</v>
      </c>
      <c r="AO949">
        <v>0</v>
      </c>
      <c r="AP949" t="s">
        <v>3015</v>
      </c>
      <c r="AQ949" t="s">
        <v>3021</v>
      </c>
      <c r="AR949" t="s">
        <v>3022</v>
      </c>
      <c r="AT949" t="s">
        <v>3017</v>
      </c>
      <c r="AU949" t="s">
        <v>3014</v>
      </c>
    </row>
    <row r="950" spans="1:47" x14ac:dyDescent="0.35">
      <c r="A950">
        <v>329224</v>
      </c>
      <c r="B950" t="s">
        <v>193</v>
      </c>
      <c r="C950" t="s">
        <v>194</v>
      </c>
      <c r="D950" s="2">
        <v>45750</v>
      </c>
      <c r="E950">
        <v>53850</v>
      </c>
      <c r="F950">
        <v>102</v>
      </c>
      <c r="G950" t="s">
        <v>151</v>
      </c>
      <c r="H950" t="s">
        <v>167</v>
      </c>
      <c r="I950" t="s">
        <v>45</v>
      </c>
      <c r="K950" t="s">
        <v>1233</v>
      </c>
      <c r="L950">
        <v>1023308722503</v>
      </c>
      <c r="M950">
        <v>20250402</v>
      </c>
      <c r="N950" t="s">
        <v>195</v>
      </c>
      <c r="Q950" t="s">
        <v>47</v>
      </c>
      <c r="R950">
        <v>44050</v>
      </c>
      <c r="S950">
        <v>44050</v>
      </c>
      <c r="T950">
        <v>413650</v>
      </c>
      <c r="U950">
        <v>3657230722</v>
      </c>
      <c r="V950" t="s">
        <v>196</v>
      </c>
      <c r="W950" t="s">
        <v>190</v>
      </c>
      <c r="X950" t="s">
        <v>197</v>
      </c>
      <c r="Y950" t="s">
        <v>51</v>
      </c>
      <c r="Z950">
        <v>1306</v>
      </c>
      <c r="AH950">
        <v>0</v>
      </c>
      <c r="AI950">
        <v>202504</v>
      </c>
      <c r="AJ950" t="s">
        <v>56</v>
      </c>
      <c r="AK950">
        <v>0</v>
      </c>
      <c r="AL950">
        <v>1</v>
      </c>
      <c r="AM950">
        <v>413650</v>
      </c>
      <c r="AN950">
        <v>1</v>
      </c>
      <c r="AO950">
        <v>0</v>
      </c>
      <c r="AP950" t="s">
        <v>3050</v>
      </c>
      <c r="AQ950" t="s">
        <v>3047</v>
      </c>
      <c r="AR950" t="s">
        <v>3051</v>
      </c>
      <c r="AS950" t="s">
        <v>3049</v>
      </c>
      <c r="AU950" t="s">
        <v>3049</v>
      </c>
    </row>
    <row r="951" spans="1:47" x14ac:dyDescent="0.35">
      <c r="A951">
        <v>329223</v>
      </c>
      <c r="B951" t="s">
        <v>172</v>
      </c>
      <c r="C951" t="s">
        <v>173</v>
      </c>
      <c r="D951" s="2">
        <v>45750</v>
      </c>
      <c r="E951">
        <v>53850</v>
      </c>
      <c r="F951">
        <v>193</v>
      </c>
      <c r="G951" t="s">
        <v>811</v>
      </c>
      <c r="H951" t="s">
        <v>167</v>
      </c>
      <c r="I951" t="s">
        <v>45</v>
      </c>
      <c r="K951">
        <v>202504027863342</v>
      </c>
      <c r="L951">
        <v>1933300023909</v>
      </c>
      <c r="M951">
        <v>20250402</v>
      </c>
      <c r="N951" t="s">
        <v>231</v>
      </c>
      <c r="Q951" t="s">
        <v>47</v>
      </c>
      <c r="R951">
        <v>115000</v>
      </c>
      <c r="S951">
        <v>0</v>
      </c>
      <c r="T951">
        <v>3051208</v>
      </c>
      <c r="U951" t="s">
        <v>1236</v>
      </c>
      <c r="V951" t="s">
        <v>1237</v>
      </c>
      <c r="W951" t="s">
        <v>187</v>
      </c>
      <c r="Y951" t="s">
        <v>51</v>
      </c>
      <c r="Z951">
        <v>838</v>
      </c>
      <c r="AH951">
        <v>0</v>
      </c>
      <c r="AI951">
        <v>202504</v>
      </c>
      <c r="AJ951" t="s">
        <v>86</v>
      </c>
      <c r="AK951">
        <v>1</v>
      </c>
      <c r="AL951">
        <v>1</v>
      </c>
      <c r="AO951">
        <v>0</v>
      </c>
      <c r="AP951" t="s">
        <v>3015</v>
      </c>
      <c r="AQ951" t="s">
        <v>3044</v>
      </c>
      <c r="AR951" t="s">
        <v>3045</v>
      </c>
      <c r="AS951" t="s">
        <v>3046</v>
      </c>
      <c r="AU951" t="s">
        <v>3046</v>
      </c>
    </row>
    <row r="952" spans="1:47" x14ac:dyDescent="0.35">
      <c r="A952">
        <v>329222</v>
      </c>
      <c r="B952" t="s">
        <v>193</v>
      </c>
      <c r="C952" t="s">
        <v>194</v>
      </c>
      <c r="D952" s="2">
        <v>45750</v>
      </c>
      <c r="E952">
        <v>53850</v>
      </c>
      <c r="F952">
        <v>287</v>
      </c>
      <c r="G952" t="s">
        <v>707</v>
      </c>
      <c r="H952" t="s">
        <v>167</v>
      </c>
      <c r="I952" t="s">
        <v>45</v>
      </c>
      <c r="K952" t="s">
        <v>1233</v>
      </c>
      <c r="L952">
        <v>2873300001853</v>
      </c>
      <c r="M952">
        <v>20250402</v>
      </c>
      <c r="N952" t="s">
        <v>175</v>
      </c>
      <c r="Q952" t="s">
        <v>47</v>
      </c>
      <c r="R952">
        <v>47601.62</v>
      </c>
      <c r="S952">
        <v>33830</v>
      </c>
      <c r="T952">
        <v>3722213</v>
      </c>
      <c r="U952">
        <v>2021570698</v>
      </c>
      <c r="V952" t="s">
        <v>708</v>
      </c>
      <c r="W952" t="s">
        <v>49</v>
      </c>
      <c r="X952" t="s">
        <v>117</v>
      </c>
      <c r="Y952" t="s">
        <v>51</v>
      </c>
      <c r="Z952">
        <v>1877</v>
      </c>
      <c r="AH952">
        <v>0</v>
      </c>
      <c r="AI952">
        <v>202504</v>
      </c>
      <c r="AJ952" t="s">
        <v>52</v>
      </c>
      <c r="AK952">
        <v>0</v>
      </c>
      <c r="AL952">
        <v>1</v>
      </c>
      <c r="AM952">
        <v>3722213</v>
      </c>
      <c r="AN952">
        <v>1</v>
      </c>
      <c r="AO952">
        <v>1</v>
      </c>
      <c r="AP952" t="s">
        <v>3029</v>
      </c>
      <c r="AQ952" t="s">
        <v>3012</v>
      </c>
      <c r="AR952" t="s">
        <v>3030</v>
      </c>
      <c r="AS952" t="s">
        <v>3014</v>
      </c>
      <c r="AU952" t="s">
        <v>3014</v>
      </c>
    </row>
    <row r="953" spans="1:47" x14ac:dyDescent="0.35">
      <c r="A953">
        <v>329221</v>
      </c>
      <c r="B953" t="s">
        <v>164</v>
      </c>
      <c r="C953" t="s">
        <v>165</v>
      </c>
      <c r="D953" s="2">
        <v>45750</v>
      </c>
      <c r="E953">
        <v>53850</v>
      </c>
      <c r="F953">
        <v>145</v>
      </c>
      <c r="G953" t="s">
        <v>115</v>
      </c>
      <c r="H953" t="s">
        <v>167</v>
      </c>
      <c r="I953" t="s">
        <v>45</v>
      </c>
      <c r="K953">
        <v>202504027861354</v>
      </c>
      <c r="L953">
        <v>1453300003997</v>
      </c>
      <c r="M953">
        <v>20250402</v>
      </c>
      <c r="N953" t="s">
        <v>168</v>
      </c>
      <c r="P953" t="s">
        <v>255</v>
      </c>
      <c r="Q953" t="s">
        <v>47</v>
      </c>
      <c r="R953">
        <v>36025.9</v>
      </c>
      <c r="S953">
        <v>0</v>
      </c>
      <c r="T953">
        <v>3737833</v>
      </c>
      <c r="U953">
        <v>10171711210</v>
      </c>
      <c r="V953" t="s">
        <v>851</v>
      </c>
      <c r="W953" t="s">
        <v>49</v>
      </c>
      <c r="X953" t="s">
        <v>117</v>
      </c>
      <c r="Y953" t="s">
        <v>51</v>
      </c>
      <c r="AH953">
        <v>0</v>
      </c>
      <c r="AI953">
        <v>202504</v>
      </c>
      <c r="AJ953" t="s">
        <v>56</v>
      </c>
      <c r="AK953">
        <v>0</v>
      </c>
      <c r="AL953">
        <v>1</v>
      </c>
      <c r="AO953">
        <v>0</v>
      </c>
      <c r="AP953" t="s">
        <v>3029</v>
      </c>
      <c r="AQ953" t="s">
        <v>3012</v>
      </c>
      <c r="AR953" t="s">
        <v>3030</v>
      </c>
      <c r="AS953" t="s">
        <v>3014</v>
      </c>
      <c r="AU953" t="s">
        <v>3014</v>
      </c>
    </row>
    <row r="954" spans="1:47" x14ac:dyDescent="0.35">
      <c r="A954">
        <v>329220</v>
      </c>
      <c r="B954" t="s">
        <v>178</v>
      </c>
      <c r="C954" t="s">
        <v>179</v>
      </c>
      <c r="D954" s="2">
        <v>45750</v>
      </c>
      <c r="E954">
        <v>53850</v>
      </c>
      <c r="F954">
        <v>286</v>
      </c>
      <c r="G954" t="s">
        <v>408</v>
      </c>
      <c r="H954" t="s">
        <v>167</v>
      </c>
      <c r="I954" t="s">
        <v>45</v>
      </c>
      <c r="K954">
        <v>202504027861487</v>
      </c>
      <c r="L954">
        <v>2863300003269</v>
      </c>
      <c r="M954">
        <v>20250402</v>
      </c>
      <c r="N954" t="s">
        <v>46</v>
      </c>
      <c r="P954" t="s">
        <v>51</v>
      </c>
      <c r="Q954" t="s">
        <v>47</v>
      </c>
      <c r="R954">
        <v>1258615.31</v>
      </c>
      <c r="S954">
        <v>0</v>
      </c>
      <c r="T954">
        <v>1703846</v>
      </c>
      <c r="U954">
        <v>2557890692</v>
      </c>
      <c r="V954" t="s">
        <v>1170</v>
      </c>
      <c r="W954" t="s">
        <v>49</v>
      </c>
      <c r="X954" t="s">
        <v>1076</v>
      </c>
      <c r="Y954" t="s">
        <v>51</v>
      </c>
      <c r="Z954">
        <v>1877</v>
      </c>
      <c r="AH954">
        <v>0</v>
      </c>
      <c r="AI954">
        <v>202504</v>
      </c>
      <c r="AJ954" t="s">
        <v>56</v>
      </c>
      <c r="AK954">
        <v>0</v>
      </c>
      <c r="AL954">
        <v>1</v>
      </c>
      <c r="AO954">
        <v>0</v>
      </c>
      <c r="AP954" t="s">
        <v>3015</v>
      </c>
      <c r="AQ954" t="s">
        <v>3012</v>
      </c>
      <c r="AR954" t="s">
        <v>3016</v>
      </c>
      <c r="AT954" t="s">
        <v>3017</v>
      </c>
      <c r="AU954" t="s">
        <v>3018</v>
      </c>
    </row>
    <row r="955" spans="1:47" x14ac:dyDescent="0.35">
      <c r="A955">
        <v>329219</v>
      </c>
      <c r="B955" t="s">
        <v>193</v>
      </c>
      <c r="C955" t="s">
        <v>194</v>
      </c>
      <c r="D955" s="2">
        <v>45750</v>
      </c>
      <c r="E955">
        <v>53850</v>
      </c>
      <c r="F955">
        <v>171</v>
      </c>
      <c r="G955" t="s">
        <v>198</v>
      </c>
      <c r="H955" t="s">
        <v>167</v>
      </c>
      <c r="I955" t="s">
        <v>45</v>
      </c>
      <c r="K955" t="s">
        <v>1233</v>
      </c>
      <c r="L955">
        <v>1713302214147</v>
      </c>
      <c r="M955">
        <v>20250402</v>
      </c>
      <c r="N955" t="s">
        <v>195</v>
      </c>
      <c r="Q955" t="s">
        <v>47</v>
      </c>
      <c r="R955">
        <v>145260</v>
      </c>
      <c r="S955">
        <v>145260</v>
      </c>
      <c r="T955">
        <v>4199319</v>
      </c>
      <c r="U955">
        <v>6037810725</v>
      </c>
      <c r="V955" t="s">
        <v>1144</v>
      </c>
      <c r="W955" t="s">
        <v>49</v>
      </c>
      <c r="X955" t="s">
        <v>200</v>
      </c>
      <c r="Y955" t="s">
        <v>51</v>
      </c>
      <c r="Z955">
        <v>1903</v>
      </c>
      <c r="AH955">
        <v>0</v>
      </c>
      <c r="AI955">
        <v>202504</v>
      </c>
      <c r="AJ955" t="s">
        <v>56</v>
      </c>
      <c r="AK955">
        <v>0</v>
      </c>
      <c r="AL955">
        <v>1</v>
      </c>
      <c r="AM955">
        <v>4199319</v>
      </c>
      <c r="AN955">
        <v>1</v>
      </c>
      <c r="AO955">
        <v>0</v>
      </c>
      <c r="AP955" t="s">
        <v>3015</v>
      </c>
      <c r="AQ955" t="s">
        <v>3012</v>
      </c>
      <c r="AR955" t="s">
        <v>3016</v>
      </c>
      <c r="AT955" t="s">
        <v>3017</v>
      </c>
      <c r="AU955" t="s">
        <v>3018</v>
      </c>
    </row>
    <row r="956" spans="1:47" x14ac:dyDescent="0.35">
      <c r="A956">
        <v>329218</v>
      </c>
      <c r="B956" t="s">
        <v>172</v>
      </c>
      <c r="C956" t="s">
        <v>173</v>
      </c>
      <c r="D956" s="2">
        <v>45750</v>
      </c>
      <c r="E956">
        <v>53850</v>
      </c>
      <c r="F956">
        <v>108</v>
      </c>
      <c r="G956" t="s">
        <v>124</v>
      </c>
      <c r="H956" t="s">
        <v>167</v>
      </c>
      <c r="I956" t="s">
        <v>45</v>
      </c>
      <c r="K956" t="s">
        <v>1233</v>
      </c>
      <c r="L956">
        <v>1083306291105</v>
      </c>
      <c r="M956">
        <v>20250402</v>
      </c>
      <c r="N956" t="s">
        <v>175</v>
      </c>
      <c r="Q956" t="s">
        <v>47</v>
      </c>
      <c r="R956">
        <v>169780.22</v>
      </c>
      <c r="S956">
        <v>150188.15</v>
      </c>
      <c r="T956">
        <v>4227057</v>
      </c>
      <c r="U956">
        <v>4874620729</v>
      </c>
      <c r="V956" t="s">
        <v>250</v>
      </c>
      <c r="W956" t="s">
        <v>49</v>
      </c>
      <c r="X956" t="s">
        <v>62</v>
      </c>
      <c r="Y956" t="s">
        <v>51</v>
      </c>
      <c r="Z956">
        <v>1058</v>
      </c>
      <c r="AH956">
        <v>0</v>
      </c>
      <c r="AI956">
        <v>202504</v>
      </c>
      <c r="AJ956" t="s">
        <v>56</v>
      </c>
      <c r="AK956">
        <v>0</v>
      </c>
      <c r="AL956">
        <v>1</v>
      </c>
      <c r="AM956">
        <v>4227057</v>
      </c>
      <c r="AN956">
        <v>1</v>
      </c>
      <c r="AO956">
        <v>1</v>
      </c>
      <c r="AP956" t="s">
        <v>3015</v>
      </c>
      <c r="AQ956" t="s">
        <v>3012</v>
      </c>
      <c r="AR956" t="s">
        <v>3016</v>
      </c>
      <c r="AT956" t="s">
        <v>3017</v>
      </c>
      <c r="AU956" t="s">
        <v>3018</v>
      </c>
    </row>
    <row r="957" spans="1:47" x14ac:dyDescent="0.35">
      <c r="A957">
        <v>329217</v>
      </c>
      <c r="B957" t="s">
        <v>172</v>
      </c>
      <c r="C957" t="s">
        <v>173</v>
      </c>
      <c r="D957" s="2">
        <v>45750</v>
      </c>
      <c r="E957">
        <v>53850</v>
      </c>
      <c r="F957">
        <v>116</v>
      </c>
      <c r="G957" t="s">
        <v>126</v>
      </c>
      <c r="H957" t="s">
        <v>167</v>
      </c>
      <c r="I957" t="s">
        <v>45</v>
      </c>
      <c r="K957">
        <v>202504027862913</v>
      </c>
      <c r="L957">
        <v>2343300010453</v>
      </c>
      <c r="M957">
        <v>20250402</v>
      </c>
      <c r="N957" t="s">
        <v>195</v>
      </c>
      <c r="Q957" t="s">
        <v>47</v>
      </c>
      <c r="R957">
        <v>145499.5</v>
      </c>
      <c r="S957">
        <v>145499.5</v>
      </c>
      <c r="T957">
        <v>4247777</v>
      </c>
      <c r="U957">
        <v>233470236</v>
      </c>
      <c r="V957" t="s">
        <v>206</v>
      </c>
      <c r="W957" t="s">
        <v>49</v>
      </c>
      <c r="X957" t="s">
        <v>117</v>
      </c>
      <c r="Y957" t="s">
        <v>51</v>
      </c>
      <c r="Z957">
        <v>1696</v>
      </c>
      <c r="AH957">
        <v>0</v>
      </c>
      <c r="AI957">
        <v>202504</v>
      </c>
      <c r="AJ957" t="s">
        <v>114</v>
      </c>
      <c r="AK957">
        <v>1</v>
      </c>
      <c r="AL957">
        <v>1</v>
      </c>
      <c r="AM957">
        <v>4247777</v>
      </c>
      <c r="AN957">
        <v>1</v>
      </c>
      <c r="AO957">
        <v>0</v>
      </c>
      <c r="AP957" t="s">
        <v>3029</v>
      </c>
      <c r="AQ957" t="s">
        <v>3012</v>
      </c>
      <c r="AR957" t="s">
        <v>3030</v>
      </c>
      <c r="AS957" t="s">
        <v>3014</v>
      </c>
      <c r="AU957" t="s">
        <v>3014</v>
      </c>
    </row>
    <row r="958" spans="1:47" x14ac:dyDescent="0.35">
      <c r="A958">
        <v>329216</v>
      </c>
      <c r="B958" t="s">
        <v>178</v>
      </c>
      <c r="C958" t="s">
        <v>179</v>
      </c>
      <c r="D958" s="2">
        <v>45750</v>
      </c>
      <c r="E958">
        <v>53850</v>
      </c>
      <c r="F958">
        <v>122</v>
      </c>
      <c r="G958" t="s">
        <v>43</v>
      </c>
      <c r="H958" t="s">
        <v>167</v>
      </c>
      <c r="I958" t="s">
        <v>45</v>
      </c>
      <c r="K958">
        <v>202504027860835</v>
      </c>
      <c r="L958">
        <v>1223300001682</v>
      </c>
      <c r="M958">
        <v>20250402</v>
      </c>
      <c r="N958" t="s">
        <v>236</v>
      </c>
      <c r="P958" t="s">
        <v>51</v>
      </c>
      <c r="Q958" t="s">
        <v>170</v>
      </c>
      <c r="R958">
        <v>1130000</v>
      </c>
      <c r="S958">
        <v>0</v>
      </c>
      <c r="T958">
        <v>3711207</v>
      </c>
      <c r="U958">
        <v>8825020723</v>
      </c>
      <c r="V958" t="s">
        <v>48</v>
      </c>
      <c r="W958" t="s">
        <v>49</v>
      </c>
      <c r="X958" t="s">
        <v>50</v>
      </c>
      <c r="Y958" t="s">
        <v>51</v>
      </c>
      <c r="Z958">
        <v>1696</v>
      </c>
      <c r="AH958">
        <v>0</v>
      </c>
      <c r="AI958">
        <v>202504</v>
      </c>
      <c r="AJ958" t="s">
        <v>52</v>
      </c>
      <c r="AK958">
        <v>0</v>
      </c>
      <c r="AL958">
        <v>1</v>
      </c>
      <c r="AO958">
        <v>0</v>
      </c>
      <c r="AP958" t="s">
        <v>3011</v>
      </c>
      <c r="AQ958" t="s">
        <v>3012</v>
      </c>
      <c r="AR958" t="s">
        <v>3013</v>
      </c>
      <c r="AS958" t="s">
        <v>3014</v>
      </c>
      <c r="AU958" t="s">
        <v>3014</v>
      </c>
    </row>
    <row r="959" spans="1:47" x14ac:dyDescent="0.35">
      <c r="A959">
        <v>329215</v>
      </c>
      <c r="B959" t="s">
        <v>178</v>
      </c>
      <c r="C959" t="s">
        <v>179</v>
      </c>
      <c r="D959" s="2">
        <v>45750</v>
      </c>
      <c r="E959">
        <v>53850</v>
      </c>
      <c r="F959">
        <v>102</v>
      </c>
      <c r="G959" t="s">
        <v>151</v>
      </c>
      <c r="H959" t="s">
        <v>167</v>
      </c>
      <c r="I959" t="s">
        <v>45</v>
      </c>
      <c r="K959">
        <v>202504027862288</v>
      </c>
      <c r="L959">
        <v>1023301264620</v>
      </c>
      <c r="M959">
        <v>20250402</v>
      </c>
      <c r="N959" t="s">
        <v>633</v>
      </c>
      <c r="P959" t="s">
        <v>51</v>
      </c>
      <c r="Q959" t="s">
        <v>47</v>
      </c>
      <c r="R959">
        <v>350000</v>
      </c>
      <c r="S959">
        <v>0</v>
      </c>
      <c r="T959">
        <v>126462</v>
      </c>
      <c r="U959" t="s">
        <v>1111</v>
      </c>
      <c r="V959" t="s">
        <v>1112</v>
      </c>
      <c r="W959" t="s">
        <v>187</v>
      </c>
      <c r="Y959" t="s">
        <v>51</v>
      </c>
      <c r="Z959">
        <v>1335</v>
      </c>
      <c r="AH959">
        <v>0</v>
      </c>
      <c r="AI959">
        <v>202504</v>
      </c>
      <c r="AJ959" t="s">
        <v>56</v>
      </c>
      <c r="AK959">
        <v>0</v>
      </c>
      <c r="AL959">
        <v>1</v>
      </c>
      <c r="AO959">
        <v>0</v>
      </c>
      <c r="AP959" t="s">
        <v>3015</v>
      </c>
      <c r="AQ959" t="s">
        <v>3044</v>
      </c>
      <c r="AR959" t="s">
        <v>3045</v>
      </c>
      <c r="AS959" t="s">
        <v>3046</v>
      </c>
      <c r="AU959" t="s">
        <v>3046</v>
      </c>
    </row>
    <row r="960" spans="1:47" x14ac:dyDescent="0.35">
      <c r="A960">
        <v>329214</v>
      </c>
      <c r="B960" t="s">
        <v>193</v>
      </c>
      <c r="C960" t="s">
        <v>194</v>
      </c>
      <c r="D960" s="2">
        <v>45750</v>
      </c>
      <c r="E960">
        <v>53850</v>
      </c>
      <c r="F960">
        <v>114</v>
      </c>
      <c r="G960" t="s">
        <v>188</v>
      </c>
      <c r="H960" t="s">
        <v>167</v>
      </c>
      <c r="I960" t="s">
        <v>45</v>
      </c>
      <c r="K960">
        <v>202504027863099</v>
      </c>
      <c r="L960">
        <v>1143306280621</v>
      </c>
      <c r="M960">
        <v>20250402</v>
      </c>
      <c r="N960" t="s">
        <v>266</v>
      </c>
      <c r="Q960" t="s">
        <v>47</v>
      </c>
      <c r="R960">
        <v>45930</v>
      </c>
      <c r="S960">
        <v>45930</v>
      </c>
      <c r="T960">
        <v>4658875</v>
      </c>
      <c r="U960">
        <v>3230890711</v>
      </c>
      <c r="V960" t="s">
        <v>1139</v>
      </c>
      <c r="W960" t="s">
        <v>190</v>
      </c>
      <c r="X960" t="s">
        <v>131</v>
      </c>
      <c r="Y960" t="s">
        <v>51</v>
      </c>
      <c r="Z960">
        <v>870</v>
      </c>
      <c r="AH960">
        <v>0</v>
      </c>
      <c r="AI960">
        <v>202504</v>
      </c>
      <c r="AJ960" t="s">
        <v>56</v>
      </c>
      <c r="AK960">
        <v>0</v>
      </c>
      <c r="AL960">
        <v>1</v>
      </c>
      <c r="AM960">
        <v>4658875</v>
      </c>
      <c r="AN960">
        <v>1</v>
      </c>
      <c r="AO960">
        <v>0</v>
      </c>
      <c r="AP960" t="s">
        <v>3033</v>
      </c>
      <c r="AQ960" t="s">
        <v>3047</v>
      </c>
      <c r="AR960" t="s">
        <v>3048</v>
      </c>
      <c r="AS960" t="s">
        <v>3049</v>
      </c>
      <c r="AU960" t="s">
        <v>3049</v>
      </c>
    </row>
    <row r="961" spans="1:47" x14ac:dyDescent="0.35">
      <c r="A961">
        <v>329213</v>
      </c>
      <c r="B961" t="s">
        <v>178</v>
      </c>
      <c r="C961" t="s">
        <v>179</v>
      </c>
      <c r="D961" s="2">
        <v>45750</v>
      </c>
      <c r="E961">
        <v>53850</v>
      </c>
      <c r="F961">
        <v>286</v>
      </c>
      <c r="G961" t="s">
        <v>408</v>
      </c>
      <c r="H961" t="s">
        <v>167</v>
      </c>
      <c r="I961" t="s">
        <v>45</v>
      </c>
      <c r="K961">
        <v>202504027861856</v>
      </c>
      <c r="L961">
        <v>2863300003129</v>
      </c>
      <c r="M961">
        <v>20250402</v>
      </c>
      <c r="N961" t="s">
        <v>46</v>
      </c>
      <c r="P961" t="s">
        <v>51</v>
      </c>
      <c r="Q961" t="s">
        <v>47</v>
      </c>
      <c r="R961">
        <v>250000</v>
      </c>
      <c r="S961">
        <v>0</v>
      </c>
      <c r="T961">
        <v>1604415</v>
      </c>
      <c r="U961" t="s">
        <v>1238</v>
      </c>
      <c r="V961" t="s">
        <v>1239</v>
      </c>
      <c r="W961" t="s">
        <v>187</v>
      </c>
      <c r="Y961" t="s">
        <v>51</v>
      </c>
      <c r="Z961">
        <v>1848</v>
      </c>
      <c r="AH961">
        <v>0</v>
      </c>
      <c r="AI961">
        <v>202504</v>
      </c>
      <c r="AJ961" t="s">
        <v>56</v>
      </c>
      <c r="AK961">
        <v>0</v>
      </c>
      <c r="AL961">
        <v>1</v>
      </c>
      <c r="AO961">
        <v>0</v>
      </c>
      <c r="AP961" t="s">
        <v>3015</v>
      </c>
      <c r="AQ961" t="s">
        <v>3044</v>
      </c>
      <c r="AR961" t="s">
        <v>3045</v>
      </c>
      <c r="AS961" t="s">
        <v>3046</v>
      </c>
      <c r="AU961" t="s">
        <v>3046</v>
      </c>
    </row>
    <row r="962" spans="1:47" x14ac:dyDescent="0.35">
      <c r="A962">
        <v>329212</v>
      </c>
      <c r="B962" t="s">
        <v>164</v>
      </c>
      <c r="C962" t="s">
        <v>165</v>
      </c>
      <c r="D962" s="2">
        <v>45750</v>
      </c>
      <c r="E962">
        <v>53850</v>
      </c>
      <c r="F962">
        <v>149</v>
      </c>
      <c r="G962" t="s">
        <v>449</v>
      </c>
      <c r="H962" t="s">
        <v>167</v>
      </c>
      <c r="I962" t="s">
        <v>45</v>
      </c>
      <c r="K962">
        <v>202504027861454</v>
      </c>
      <c r="L962">
        <v>1493300663564</v>
      </c>
      <c r="M962">
        <v>20250402</v>
      </c>
      <c r="N962" t="s">
        <v>168</v>
      </c>
      <c r="P962" t="s">
        <v>255</v>
      </c>
      <c r="Q962" t="s">
        <v>47</v>
      </c>
      <c r="R962">
        <v>6024</v>
      </c>
      <c r="S962">
        <v>0</v>
      </c>
      <c r="T962">
        <v>4851736</v>
      </c>
      <c r="U962">
        <v>8243781211</v>
      </c>
      <c r="V962" t="s">
        <v>1240</v>
      </c>
      <c r="W962" t="s">
        <v>49</v>
      </c>
      <c r="X962" t="s">
        <v>451</v>
      </c>
      <c r="Y962" t="s">
        <v>51</v>
      </c>
      <c r="Z962">
        <v>1256</v>
      </c>
      <c r="AH962">
        <v>0</v>
      </c>
      <c r="AI962">
        <v>202504</v>
      </c>
      <c r="AJ962" t="s">
        <v>52</v>
      </c>
      <c r="AK962">
        <v>0</v>
      </c>
      <c r="AL962">
        <v>1</v>
      </c>
      <c r="AO962">
        <v>0</v>
      </c>
      <c r="AP962" t="s">
        <v>3015</v>
      </c>
      <c r="AQ962" t="s">
        <v>3012</v>
      </c>
      <c r="AR962" t="s">
        <v>3016</v>
      </c>
      <c r="AT962" t="s">
        <v>3017</v>
      </c>
      <c r="AU962" t="s">
        <v>3018</v>
      </c>
    </row>
    <row r="963" spans="1:47" x14ac:dyDescent="0.35">
      <c r="A963">
        <v>329211</v>
      </c>
      <c r="B963" t="s">
        <v>164</v>
      </c>
      <c r="C963" t="s">
        <v>165</v>
      </c>
      <c r="D963" s="2">
        <v>45750</v>
      </c>
      <c r="E963">
        <v>53850</v>
      </c>
      <c r="F963">
        <v>103</v>
      </c>
      <c r="G963" t="s">
        <v>80</v>
      </c>
      <c r="H963" t="s">
        <v>167</v>
      </c>
      <c r="I963" t="s">
        <v>45</v>
      </c>
      <c r="K963" t="s">
        <v>1241</v>
      </c>
      <c r="L963">
        <v>1033305050740</v>
      </c>
      <c r="M963">
        <v>20250402</v>
      </c>
      <c r="N963" t="s">
        <v>168</v>
      </c>
      <c r="P963" t="s">
        <v>169</v>
      </c>
      <c r="Q963" t="s">
        <v>170</v>
      </c>
      <c r="R963">
        <v>2050</v>
      </c>
      <c r="S963">
        <v>0</v>
      </c>
      <c r="T963">
        <v>505074</v>
      </c>
      <c r="U963">
        <v>4293180727</v>
      </c>
      <c r="V963" t="s">
        <v>1242</v>
      </c>
      <c r="W963" t="s">
        <v>49</v>
      </c>
      <c r="X963" t="s">
        <v>1243</v>
      </c>
      <c r="Y963" t="s">
        <v>51</v>
      </c>
      <c r="Z963">
        <v>1274</v>
      </c>
      <c r="AH963">
        <v>0</v>
      </c>
      <c r="AI963">
        <v>202504</v>
      </c>
      <c r="AJ963" t="s">
        <v>86</v>
      </c>
      <c r="AK963">
        <v>1</v>
      </c>
      <c r="AL963">
        <v>1</v>
      </c>
      <c r="AO963">
        <v>0</v>
      </c>
      <c r="AP963" t="s">
        <v>3015</v>
      </c>
      <c r="AQ963" t="s">
        <v>3012</v>
      </c>
      <c r="AR963" t="s">
        <v>3016</v>
      </c>
      <c r="AT963" t="s">
        <v>3017</v>
      </c>
      <c r="AU963" t="s">
        <v>3018</v>
      </c>
    </row>
    <row r="964" spans="1:47" x14ac:dyDescent="0.35">
      <c r="A964">
        <v>329210</v>
      </c>
      <c r="B964" t="s">
        <v>193</v>
      </c>
      <c r="C964" t="s">
        <v>194</v>
      </c>
      <c r="D964" s="2">
        <v>45750</v>
      </c>
      <c r="E964">
        <v>53850</v>
      </c>
      <c r="F964">
        <v>171</v>
      </c>
      <c r="G964" t="s">
        <v>198</v>
      </c>
      <c r="H964" t="s">
        <v>167</v>
      </c>
      <c r="I964" t="s">
        <v>45</v>
      </c>
      <c r="K964" t="s">
        <v>1233</v>
      </c>
      <c r="L964">
        <v>1713305728950</v>
      </c>
      <c r="M964">
        <v>20250402</v>
      </c>
      <c r="N964" t="s">
        <v>195</v>
      </c>
      <c r="Q964" t="s">
        <v>47</v>
      </c>
      <c r="R964">
        <v>369028.3</v>
      </c>
      <c r="S964">
        <v>369028.3</v>
      </c>
      <c r="T964">
        <v>572895</v>
      </c>
      <c r="U964">
        <v>4161600723</v>
      </c>
      <c r="V964" t="s">
        <v>199</v>
      </c>
      <c r="W964" t="s">
        <v>49</v>
      </c>
      <c r="X964" t="s">
        <v>200</v>
      </c>
      <c r="Y964" t="s">
        <v>51</v>
      </c>
      <c r="Z964">
        <v>1903</v>
      </c>
      <c r="AH964">
        <v>0</v>
      </c>
      <c r="AI964">
        <v>202504</v>
      </c>
      <c r="AJ964" t="s">
        <v>56</v>
      </c>
      <c r="AK964">
        <v>0</v>
      </c>
      <c r="AL964">
        <v>1</v>
      </c>
      <c r="AM964">
        <v>572895</v>
      </c>
      <c r="AN964">
        <v>1</v>
      </c>
      <c r="AO964">
        <v>0</v>
      </c>
      <c r="AP964" t="s">
        <v>3015</v>
      </c>
      <c r="AQ964" t="s">
        <v>3012</v>
      </c>
      <c r="AR964" t="s">
        <v>3016</v>
      </c>
      <c r="AT964" t="s">
        <v>3017</v>
      </c>
      <c r="AU964" t="s">
        <v>3018</v>
      </c>
    </row>
    <row r="965" spans="1:47" x14ac:dyDescent="0.35">
      <c r="A965">
        <v>329209</v>
      </c>
      <c r="B965" t="s">
        <v>193</v>
      </c>
      <c r="C965" t="s">
        <v>194</v>
      </c>
      <c r="D965" s="2">
        <v>45750</v>
      </c>
      <c r="E965">
        <v>53850</v>
      </c>
      <c r="F965">
        <v>108</v>
      </c>
      <c r="G965" t="s">
        <v>124</v>
      </c>
      <c r="H965" t="s">
        <v>167</v>
      </c>
      <c r="I965" t="s">
        <v>45</v>
      </c>
      <c r="K965" t="s">
        <v>1233</v>
      </c>
      <c r="L965">
        <v>1083306291105</v>
      </c>
      <c r="M965">
        <v>20250402</v>
      </c>
      <c r="N965" t="s">
        <v>175</v>
      </c>
      <c r="Q965" t="s">
        <v>47</v>
      </c>
      <c r="R965">
        <v>169780.22</v>
      </c>
      <c r="S965">
        <v>150188.15</v>
      </c>
      <c r="T965">
        <v>4227057</v>
      </c>
      <c r="U965">
        <v>4874620729</v>
      </c>
      <c r="V965" t="s">
        <v>250</v>
      </c>
      <c r="W965" t="s">
        <v>49</v>
      </c>
      <c r="X965" t="s">
        <v>62</v>
      </c>
      <c r="Y965" t="s">
        <v>51</v>
      </c>
      <c r="Z965">
        <v>1058</v>
      </c>
      <c r="AH965">
        <v>0</v>
      </c>
      <c r="AI965">
        <v>202504</v>
      </c>
      <c r="AJ965" t="s">
        <v>56</v>
      </c>
      <c r="AK965">
        <v>0</v>
      </c>
      <c r="AL965">
        <v>1</v>
      </c>
      <c r="AM965">
        <v>4227057</v>
      </c>
      <c r="AN965">
        <v>1</v>
      </c>
      <c r="AO965">
        <v>1</v>
      </c>
      <c r="AP965" t="s">
        <v>3015</v>
      </c>
      <c r="AQ965" t="s">
        <v>3012</v>
      </c>
      <c r="AR965" t="s">
        <v>3016</v>
      </c>
      <c r="AT965" t="s">
        <v>3017</v>
      </c>
      <c r="AU965" t="s">
        <v>3018</v>
      </c>
    </row>
    <row r="966" spans="1:47" x14ac:dyDescent="0.35">
      <c r="A966">
        <v>329208</v>
      </c>
      <c r="B966" t="s">
        <v>172</v>
      </c>
      <c r="C966" t="s">
        <v>173</v>
      </c>
      <c r="D966" s="2">
        <v>45750</v>
      </c>
      <c r="E966">
        <v>53850</v>
      </c>
      <c r="F966">
        <v>193</v>
      </c>
      <c r="G966" t="s">
        <v>811</v>
      </c>
      <c r="H966" t="s">
        <v>167</v>
      </c>
      <c r="I966" t="s">
        <v>45</v>
      </c>
      <c r="K966">
        <v>202504027863342</v>
      </c>
      <c r="L966">
        <v>1933300023909</v>
      </c>
      <c r="M966">
        <v>20250402</v>
      </c>
      <c r="N966" t="s">
        <v>231</v>
      </c>
      <c r="Q966" t="s">
        <v>47</v>
      </c>
      <c r="R966">
        <v>115000</v>
      </c>
      <c r="S966">
        <v>0</v>
      </c>
      <c r="T966">
        <v>3051199</v>
      </c>
      <c r="U966" t="s">
        <v>1244</v>
      </c>
      <c r="V966" t="s">
        <v>1245</v>
      </c>
      <c r="W966" t="s">
        <v>187</v>
      </c>
      <c r="Y966" t="s">
        <v>51</v>
      </c>
      <c r="Z966">
        <v>838</v>
      </c>
      <c r="AH966">
        <v>0</v>
      </c>
      <c r="AI966">
        <v>202504</v>
      </c>
      <c r="AJ966" t="s">
        <v>86</v>
      </c>
      <c r="AK966">
        <v>1</v>
      </c>
      <c r="AL966">
        <v>1</v>
      </c>
      <c r="AO966">
        <v>0</v>
      </c>
      <c r="AP966" t="s">
        <v>3015</v>
      </c>
      <c r="AQ966" t="s">
        <v>3044</v>
      </c>
      <c r="AR966" t="s">
        <v>3045</v>
      </c>
      <c r="AS966" t="s">
        <v>3046</v>
      </c>
      <c r="AU966" t="s">
        <v>3046</v>
      </c>
    </row>
    <row r="967" spans="1:47" x14ac:dyDescent="0.35">
      <c r="A967">
        <v>329207</v>
      </c>
      <c r="B967" t="s">
        <v>172</v>
      </c>
      <c r="C967" t="s">
        <v>173</v>
      </c>
      <c r="D967" s="2">
        <v>45750</v>
      </c>
      <c r="E967">
        <v>53850</v>
      </c>
      <c r="F967">
        <v>171</v>
      </c>
      <c r="G967" t="s">
        <v>198</v>
      </c>
      <c r="H967" t="s">
        <v>167</v>
      </c>
      <c r="I967" t="s">
        <v>45</v>
      </c>
      <c r="K967" t="s">
        <v>1233</v>
      </c>
      <c r="L967">
        <v>1713305728950</v>
      </c>
      <c r="M967">
        <v>20250402</v>
      </c>
      <c r="N967" t="s">
        <v>195</v>
      </c>
      <c r="Q967" t="s">
        <v>47</v>
      </c>
      <c r="R967">
        <v>369028.3</v>
      </c>
      <c r="S967">
        <v>369028.3</v>
      </c>
      <c r="T967">
        <v>572895</v>
      </c>
      <c r="U967">
        <v>4161600723</v>
      </c>
      <c r="V967" t="s">
        <v>199</v>
      </c>
      <c r="W967" t="s">
        <v>49</v>
      </c>
      <c r="X967" t="s">
        <v>200</v>
      </c>
      <c r="Y967" t="s">
        <v>51</v>
      </c>
      <c r="Z967">
        <v>1903</v>
      </c>
      <c r="AH967">
        <v>0</v>
      </c>
      <c r="AI967">
        <v>202504</v>
      </c>
      <c r="AJ967" t="s">
        <v>56</v>
      </c>
      <c r="AK967">
        <v>0</v>
      </c>
      <c r="AL967">
        <v>1</v>
      </c>
      <c r="AM967">
        <v>572895</v>
      </c>
      <c r="AN967">
        <v>1</v>
      </c>
      <c r="AO967">
        <v>0</v>
      </c>
      <c r="AP967" t="s">
        <v>3015</v>
      </c>
      <c r="AQ967" t="s">
        <v>3012</v>
      </c>
      <c r="AR967" t="s">
        <v>3016</v>
      </c>
      <c r="AT967" t="s">
        <v>3017</v>
      </c>
      <c r="AU967" t="s">
        <v>3018</v>
      </c>
    </row>
    <row r="968" spans="1:47" x14ac:dyDescent="0.35">
      <c r="A968">
        <v>329206</v>
      </c>
      <c r="B968" t="s">
        <v>178</v>
      </c>
      <c r="C968" t="s">
        <v>179</v>
      </c>
      <c r="D968" s="2">
        <v>45750</v>
      </c>
      <c r="E968">
        <v>53850</v>
      </c>
      <c r="F968">
        <v>116</v>
      </c>
      <c r="G968" t="s">
        <v>126</v>
      </c>
      <c r="H968" t="s">
        <v>167</v>
      </c>
      <c r="I968" t="s">
        <v>45</v>
      </c>
      <c r="K968">
        <v>202504027862260</v>
      </c>
      <c r="L968">
        <v>2343300010453</v>
      </c>
      <c r="M968">
        <v>20250402</v>
      </c>
      <c r="N968" t="s">
        <v>46</v>
      </c>
      <c r="P968" t="s">
        <v>51</v>
      </c>
      <c r="Q968" t="s">
        <v>47</v>
      </c>
      <c r="R968">
        <v>800000</v>
      </c>
      <c r="S968">
        <v>0</v>
      </c>
      <c r="T968">
        <v>4247777</v>
      </c>
      <c r="U968">
        <v>233470236</v>
      </c>
      <c r="V968" t="s">
        <v>206</v>
      </c>
      <c r="W968" t="s">
        <v>49</v>
      </c>
      <c r="X968" t="s">
        <v>117</v>
      </c>
      <c r="Y968" t="s">
        <v>51</v>
      </c>
      <c r="Z968">
        <v>1696</v>
      </c>
      <c r="AH968">
        <v>0</v>
      </c>
      <c r="AI968">
        <v>202504</v>
      </c>
      <c r="AJ968" t="s">
        <v>114</v>
      </c>
      <c r="AK968">
        <v>1</v>
      </c>
      <c r="AL968">
        <v>1</v>
      </c>
      <c r="AM968">
        <v>4247777</v>
      </c>
      <c r="AN968">
        <v>1</v>
      </c>
      <c r="AO968">
        <v>0</v>
      </c>
      <c r="AP968" t="s">
        <v>3029</v>
      </c>
      <c r="AQ968" t="s">
        <v>3012</v>
      </c>
      <c r="AR968" t="s">
        <v>3030</v>
      </c>
      <c r="AS968" t="s">
        <v>3014</v>
      </c>
      <c r="AU968" t="s">
        <v>3014</v>
      </c>
    </row>
    <row r="969" spans="1:47" x14ac:dyDescent="0.35">
      <c r="A969">
        <v>329205</v>
      </c>
      <c r="B969" t="s">
        <v>172</v>
      </c>
      <c r="C969" t="s">
        <v>173</v>
      </c>
      <c r="D969" s="2">
        <v>45750</v>
      </c>
      <c r="E969">
        <v>53850</v>
      </c>
      <c r="F969">
        <v>171</v>
      </c>
      <c r="G969" t="s">
        <v>198</v>
      </c>
      <c r="H969" t="s">
        <v>167</v>
      </c>
      <c r="I969" t="s">
        <v>45</v>
      </c>
      <c r="K969" t="s">
        <v>1233</v>
      </c>
      <c r="L969">
        <v>1713302214147</v>
      </c>
      <c r="M969">
        <v>20250402</v>
      </c>
      <c r="N969" t="s">
        <v>195</v>
      </c>
      <c r="Q969" t="s">
        <v>47</v>
      </c>
      <c r="R969">
        <v>145260</v>
      </c>
      <c r="S969">
        <v>145260</v>
      </c>
      <c r="T969">
        <v>4199319</v>
      </c>
      <c r="U969">
        <v>6037810725</v>
      </c>
      <c r="V969" t="s">
        <v>1144</v>
      </c>
      <c r="W969" t="s">
        <v>49</v>
      </c>
      <c r="X969" t="s">
        <v>200</v>
      </c>
      <c r="Y969" t="s">
        <v>51</v>
      </c>
      <c r="Z969">
        <v>1903</v>
      </c>
      <c r="AH969">
        <v>0</v>
      </c>
      <c r="AI969">
        <v>202504</v>
      </c>
      <c r="AJ969" t="s">
        <v>56</v>
      </c>
      <c r="AK969">
        <v>0</v>
      </c>
      <c r="AL969">
        <v>1</v>
      </c>
      <c r="AM969">
        <v>4199319</v>
      </c>
      <c r="AN969">
        <v>1</v>
      </c>
      <c r="AO969">
        <v>0</v>
      </c>
      <c r="AP969" t="s">
        <v>3015</v>
      </c>
      <c r="AQ969" t="s">
        <v>3012</v>
      </c>
      <c r="AR969" t="s">
        <v>3016</v>
      </c>
      <c r="AT969" t="s">
        <v>3017</v>
      </c>
      <c r="AU969" t="s">
        <v>3018</v>
      </c>
    </row>
    <row r="970" spans="1:47" x14ac:dyDescent="0.35">
      <c r="A970">
        <v>329204</v>
      </c>
      <c r="B970" t="s">
        <v>178</v>
      </c>
      <c r="C970" t="s">
        <v>179</v>
      </c>
      <c r="D970" s="2">
        <v>45750</v>
      </c>
      <c r="E970">
        <v>53850</v>
      </c>
      <c r="F970">
        <v>286</v>
      </c>
      <c r="G970" t="s">
        <v>408</v>
      </c>
      <c r="H970" t="s">
        <v>167</v>
      </c>
      <c r="I970" t="s">
        <v>45</v>
      </c>
      <c r="K970">
        <v>202504027861856</v>
      </c>
      <c r="L970">
        <v>2863300003129</v>
      </c>
      <c r="M970">
        <v>20250402</v>
      </c>
      <c r="N970" t="s">
        <v>46</v>
      </c>
      <c r="P970" t="s">
        <v>51</v>
      </c>
      <c r="Q970" t="s">
        <v>47</v>
      </c>
      <c r="R970">
        <v>250000</v>
      </c>
      <c r="S970">
        <v>0</v>
      </c>
      <c r="T970">
        <v>1622185</v>
      </c>
      <c r="U970" t="s">
        <v>1246</v>
      </c>
      <c r="V970" t="s">
        <v>1247</v>
      </c>
      <c r="W970" t="s">
        <v>187</v>
      </c>
      <c r="Y970" t="s">
        <v>51</v>
      </c>
      <c r="Z970">
        <v>1848</v>
      </c>
      <c r="AH970">
        <v>0</v>
      </c>
      <c r="AI970">
        <v>202504</v>
      </c>
      <c r="AJ970" t="s">
        <v>56</v>
      </c>
      <c r="AK970">
        <v>0</v>
      </c>
      <c r="AL970">
        <v>1</v>
      </c>
      <c r="AO970">
        <v>0</v>
      </c>
      <c r="AP970" t="s">
        <v>3015</v>
      </c>
      <c r="AQ970" t="s">
        <v>3044</v>
      </c>
      <c r="AR970" t="s">
        <v>3045</v>
      </c>
      <c r="AS970" t="s">
        <v>3046</v>
      </c>
      <c r="AU970" t="s">
        <v>3046</v>
      </c>
    </row>
    <row r="971" spans="1:47" x14ac:dyDescent="0.35">
      <c r="A971">
        <v>329203</v>
      </c>
      <c r="B971" t="s">
        <v>214</v>
      </c>
      <c r="C971" t="s">
        <v>215</v>
      </c>
      <c r="D971" s="2">
        <v>45750</v>
      </c>
      <c r="E971">
        <v>53850</v>
      </c>
      <c r="F971">
        <v>175</v>
      </c>
      <c r="G971" t="s">
        <v>99</v>
      </c>
      <c r="H971" t="s">
        <v>167</v>
      </c>
      <c r="I971" t="s">
        <v>45</v>
      </c>
      <c r="K971">
        <v>202504027862311</v>
      </c>
      <c r="L971">
        <v>1753302203813</v>
      </c>
      <c r="M971">
        <v>20250402</v>
      </c>
      <c r="N971" t="s">
        <v>168</v>
      </c>
      <c r="P971" t="s">
        <v>511</v>
      </c>
      <c r="Q971" t="s">
        <v>170</v>
      </c>
      <c r="R971">
        <v>241232.45</v>
      </c>
      <c r="S971">
        <v>0</v>
      </c>
      <c r="T971">
        <v>4907691</v>
      </c>
      <c r="U971">
        <v>1146400773</v>
      </c>
      <c r="V971" t="s">
        <v>1034</v>
      </c>
      <c r="W971" t="s">
        <v>49</v>
      </c>
      <c r="X971" t="s">
        <v>257</v>
      </c>
      <c r="Y971" t="s">
        <v>51</v>
      </c>
      <c r="Z971">
        <v>1926</v>
      </c>
      <c r="AH971">
        <v>0</v>
      </c>
      <c r="AI971">
        <v>202504</v>
      </c>
      <c r="AJ971" t="s">
        <v>86</v>
      </c>
      <c r="AK971">
        <v>1</v>
      </c>
      <c r="AL971">
        <v>1</v>
      </c>
      <c r="AO971">
        <v>0</v>
      </c>
      <c r="AP971" t="s">
        <v>3015</v>
      </c>
      <c r="AQ971" t="s">
        <v>3012</v>
      </c>
      <c r="AR971" t="s">
        <v>3016</v>
      </c>
      <c r="AT971" t="s">
        <v>3017</v>
      </c>
      <c r="AU971" t="s">
        <v>3018</v>
      </c>
    </row>
    <row r="972" spans="1:47" x14ac:dyDescent="0.35">
      <c r="A972">
        <v>329202</v>
      </c>
      <c r="B972" t="s">
        <v>727</v>
      </c>
      <c r="C972" t="s">
        <v>728</v>
      </c>
      <c r="D972" s="2">
        <v>45750</v>
      </c>
      <c r="E972">
        <v>53850</v>
      </c>
      <c r="F972">
        <v>266</v>
      </c>
      <c r="G972" t="s">
        <v>1248</v>
      </c>
      <c r="H972" t="s">
        <v>167</v>
      </c>
      <c r="I972" t="s">
        <v>45</v>
      </c>
      <c r="K972">
        <v>202504027863394</v>
      </c>
      <c r="M972">
        <v>20250402</v>
      </c>
      <c r="N972" t="s">
        <v>46</v>
      </c>
      <c r="P972" t="s">
        <v>51</v>
      </c>
      <c r="Q972" t="s">
        <v>47</v>
      </c>
      <c r="R972">
        <v>28147.84</v>
      </c>
      <c r="S972">
        <v>28147.84</v>
      </c>
      <c r="T972">
        <v>1615897</v>
      </c>
      <c r="U972" t="s">
        <v>1249</v>
      </c>
      <c r="V972" t="s">
        <v>1250</v>
      </c>
      <c r="W972" t="s">
        <v>187</v>
      </c>
      <c r="Y972" t="s">
        <v>51</v>
      </c>
      <c r="Z972">
        <v>1811</v>
      </c>
      <c r="AH972">
        <v>0</v>
      </c>
      <c r="AI972">
        <v>202504</v>
      </c>
      <c r="AL972">
        <v>0</v>
      </c>
      <c r="AO972">
        <v>0</v>
      </c>
      <c r="AP972" t="s">
        <v>3015</v>
      </c>
      <c r="AQ972" t="s">
        <v>3044</v>
      </c>
      <c r="AR972" t="s">
        <v>3045</v>
      </c>
      <c r="AS972" t="s">
        <v>3046</v>
      </c>
      <c r="AU972" t="s">
        <v>3046</v>
      </c>
    </row>
    <row r="973" spans="1:47" x14ac:dyDescent="0.35">
      <c r="A973">
        <v>329201</v>
      </c>
      <c r="B973" t="s">
        <v>193</v>
      </c>
      <c r="C973" t="s">
        <v>194</v>
      </c>
      <c r="D973" s="2">
        <v>45750</v>
      </c>
      <c r="E973">
        <v>53850</v>
      </c>
      <c r="F973">
        <v>266</v>
      </c>
      <c r="G973" t="s">
        <v>1248</v>
      </c>
      <c r="H973" t="s">
        <v>167</v>
      </c>
      <c r="I973" t="s">
        <v>45</v>
      </c>
      <c r="K973" t="s">
        <v>1233</v>
      </c>
      <c r="L973">
        <v>2663300001822</v>
      </c>
      <c r="M973">
        <v>20250402</v>
      </c>
      <c r="N973" t="s">
        <v>266</v>
      </c>
      <c r="Q973" t="s">
        <v>47</v>
      </c>
      <c r="R973">
        <v>31100</v>
      </c>
      <c r="S973">
        <v>31100</v>
      </c>
      <c r="T973">
        <v>1626200</v>
      </c>
      <c r="U973" t="s">
        <v>1251</v>
      </c>
      <c r="V973" t="s">
        <v>1252</v>
      </c>
      <c r="W973" t="s">
        <v>69</v>
      </c>
      <c r="X973" t="s">
        <v>55</v>
      </c>
      <c r="Y973" t="s">
        <v>51</v>
      </c>
      <c r="Z973">
        <v>1785</v>
      </c>
      <c r="AH973">
        <v>0</v>
      </c>
      <c r="AI973">
        <v>202504</v>
      </c>
      <c r="AJ973" t="s">
        <v>56</v>
      </c>
      <c r="AK973">
        <v>0</v>
      </c>
      <c r="AL973">
        <v>1</v>
      </c>
      <c r="AM973">
        <v>1626200</v>
      </c>
      <c r="AN973">
        <v>1</v>
      </c>
      <c r="AO973">
        <v>0</v>
      </c>
      <c r="AP973" t="s">
        <v>3015</v>
      </c>
      <c r="AQ973" t="s">
        <v>3021</v>
      </c>
      <c r="AR973" t="s">
        <v>3022</v>
      </c>
      <c r="AT973" t="s">
        <v>3017</v>
      </c>
      <c r="AU973" t="s">
        <v>3014</v>
      </c>
    </row>
    <row r="974" spans="1:47" x14ac:dyDescent="0.35">
      <c r="A974">
        <v>329200</v>
      </c>
      <c r="B974" t="s">
        <v>193</v>
      </c>
      <c r="C974" t="s">
        <v>194</v>
      </c>
      <c r="D974" s="2">
        <v>45750</v>
      </c>
      <c r="E974">
        <v>53850</v>
      </c>
      <c r="F974">
        <v>116</v>
      </c>
      <c r="G974" t="s">
        <v>126</v>
      </c>
      <c r="H974" t="s">
        <v>167</v>
      </c>
      <c r="I974" t="s">
        <v>45</v>
      </c>
      <c r="K974">
        <v>202504027862913</v>
      </c>
      <c r="L974">
        <v>2343300010453</v>
      </c>
      <c r="M974">
        <v>20250402</v>
      </c>
      <c r="N974" t="s">
        <v>195</v>
      </c>
      <c r="Q974" t="s">
        <v>47</v>
      </c>
      <c r="R974">
        <v>145499.5</v>
      </c>
      <c r="S974">
        <v>145499.5</v>
      </c>
      <c r="T974">
        <v>4247777</v>
      </c>
      <c r="U974">
        <v>233470236</v>
      </c>
      <c r="V974" t="s">
        <v>206</v>
      </c>
      <c r="W974" t="s">
        <v>49</v>
      </c>
      <c r="X974" t="s">
        <v>117</v>
      </c>
      <c r="Y974" t="s">
        <v>51</v>
      </c>
      <c r="Z974">
        <v>1696</v>
      </c>
      <c r="AH974">
        <v>0</v>
      </c>
      <c r="AI974">
        <v>202504</v>
      </c>
      <c r="AJ974" t="s">
        <v>114</v>
      </c>
      <c r="AK974">
        <v>1</v>
      </c>
      <c r="AL974">
        <v>1</v>
      </c>
      <c r="AM974">
        <v>4247777</v>
      </c>
      <c r="AN974">
        <v>1</v>
      </c>
      <c r="AO974">
        <v>0</v>
      </c>
      <c r="AP974" t="s">
        <v>3029</v>
      </c>
      <c r="AQ974" t="s">
        <v>3012</v>
      </c>
      <c r="AR974" t="s">
        <v>3030</v>
      </c>
      <c r="AS974" t="s">
        <v>3014</v>
      </c>
      <c r="AU974" t="s">
        <v>3014</v>
      </c>
    </row>
    <row r="975" spans="1:47" x14ac:dyDescent="0.35">
      <c r="A975">
        <v>329199</v>
      </c>
      <c r="B975" t="s">
        <v>214</v>
      </c>
      <c r="C975" t="s">
        <v>215</v>
      </c>
      <c r="D975" s="2">
        <v>45750</v>
      </c>
      <c r="E975">
        <v>53850</v>
      </c>
      <c r="F975">
        <v>148</v>
      </c>
      <c r="G975" t="s">
        <v>78</v>
      </c>
      <c r="H975" t="s">
        <v>167</v>
      </c>
      <c r="I975" t="s">
        <v>45</v>
      </c>
      <c r="K975">
        <v>202504027862309</v>
      </c>
      <c r="L975">
        <v>1483300003872</v>
      </c>
      <c r="M975">
        <v>20250402</v>
      </c>
      <c r="N975" t="s">
        <v>168</v>
      </c>
      <c r="P975" t="s">
        <v>511</v>
      </c>
      <c r="Q975" t="s">
        <v>47</v>
      </c>
      <c r="R975">
        <v>18885.599999999999</v>
      </c>
      <c r="S975">
        <v>0</v>
      </c>
      <c r="T975">
        <v>4602337</v>
      </c>
      <c r="U975">
        <v>1418030621</v>
      </c>
      <c r="V975" t="s">
        <v>1203</v>
      </c>
      <c r="W975" t="s">
        <v>49</v>
      </c>
      <c r="X975" t="s">
        <v>698</v>
      </c>
      <c r="Y975" t="s">
        <v>51</v>
      </c>
      <c r="Z975">
        <v>982</v>
      </c>
      <c r="AH975">
        <v>0</v>
      </c>
      <c r="AI975">
        <v>202504</v>
      </c>
      <c r="AJ975" t="s">
        <v>52</v>
      </c>
      <c r="AK975">
        <v>0</v>
      </c>
      <c r="AL975">
        <v>1</v>
      </c>
      <c r="AO975">
        <v>0</v>
      </c>
      <c r="AP975" t="s">
        <v>3015</v>
      </c>
      <c r="AQ975" t="s">
        <v>3012</v>
      </c>
      <c r="AR975" t="s">
        <v>3016</v>
      </c>
      <c r="AT975" t="s">
        <v>3017</v>
      </c>
      <c r="AU975" t="s">
        <v>3018</v>
      </c>
    </row>
    <row r="976" spans="1:47" x14ac:dyDescent="0.35">
      <c r="A976">
        <v>329198</v>
      </c>
      <c r="B976" t="s">
        <v>178</v>
      </c>
      <c r="C976" t="s">
        <v>179</v>
      </c>
      <c r="D976" s="2">
        <v>45749</v>
      </c>
      <c r="E976">
        <v>53850</v>
      </c>
      <c r="F976">
        <v>195</v>
      </c>
      <c r="G976" t="s">
        <v>498</v>
      </c>
      <c r="H976" t="s">
        <v>167</v>
      </c>
      <c r="I976" t="s">
        <v>45</v>
      </c>
      <c r="K976">
        <v>202504027858462</v>
      </c>
      <c r="L976">
        <v>1953300028752</v>
      </c>
      <c r="M976">
        <v>20250402</v>
      </c>
      <c r="N976" t="s">
        <v>303</v>
      </c>
      <c r="Q976" t="s">
        <v>170</v>
      </c>
      <c r="R976">
        <v>496781.48</v>
      </c>
      <c r="S976">
        <v>0</v>
      </c>
      <c r="T976">
        <v>3103898</v>
      </c>
      <c r="U976" t="s">
        <v>1253</v>
      </c>
      <c r="V976" t="s">
        <v>1254</v>
      </c>
      <c r="W976" t="s">
        <v>69</v>
      </c>
      <c r="X976" t="s">
        <v>234</v>
      </c>
      <c r="Y976" t="s">
        <v>51</v>
      </c>
      <c r="Z976">
        <v>1961</v>
      </c>
      <c r="AH976">
        <v>0</v>
      </c>
      <c r="AI976">
        <v>202504</v>
      </c>
      <c r="AJ976" t="s">
        <v>86</v>
      </c>
      <c r="AK976">
        <v>1</v>
      </c>
      <c r="AL976">
        <v>1</v>
      </c>
      <c r="AO976">
        <v>0</v>
      </c>
      <c r="AP976" t="s">
        <v>3015</v>
      </c>
      <c r="AQ976" t="s">
        <v>3021</v>
      </c>
      <c r="AR976" t="s">
        <v>3022</v>
      </c>
      <c r="AT976" t="s">
        <v>3017</v>
      </c>
      <c r="AU976" t="s">
        <v>3014</v>
      </c>
    </row>
    <row r="977" spans="1:47" x14ac:dyDescent="0.35">
      <c r="A977">
        <v>329197</v>
      </c>
      <c r="B977" t="s">
        <v>193</v>
      </c>
      <c r="C977" t="s">
        <v>194</v>
      </c>
      <c r="D977" s="2">
        <v>45749</v>
      </c>
      <c r="E977">
        <v>53850</v>
      </c>
      <c r="F977">
        <v>161</v>
      </c>
      <c r="G977" t="s">
        <v>111</v>
      </c>
      <c r="H977" t="s">
        <v>167</v>
      </c>
      <c r="I977" t="s">
        <v>45</v>
      </c>
      <c r="K977" t="s">
        <v>1255</v>
      </c>
      <c r="L977">
        <v>1613300031333</v>
      </c>
      <c r="M977">
        <v>20250401</v>
      </c>
      <c r="N977" t="s">
        <v>175</v>
      </c>
      <c r="Q977" t="s">
        <v>47</v>
      </c>
      <c r="R977">
        <v>45503.65</v>
      </c>
      <c r="S977">
        <v>41305</v>
      </c>
      <c r="T977">
        <v>511904</v>
      </c>
      <c r="U977" t="s">
        <v>388</v>
      </c>
      <c r="V977" t="s">
        <v>389</v>
      </c>
      <c r="W977" t="s">
        <v>69</v>
      </c>
      <c r="X977" t="s">
        <v>55</v>
      </c>
      <c r="Y977" t="s">
        <v>51</v>
      </c>
      <c r="Z977">
        <v>857</v>
      </c>
      <c r="AH977">
        <v>0</v>
      </c>
      <c r="AI977">
        <v>202504</v>
      </c>
      <c r="AJ977" t="s">
        <v>56</v>
      </c>
      <c r="AK977">
        <v>0</v>
      </c>
      <c r="AL977">
        <v>1</v>
      </c>
      <c r="AM977">
        <v>511904</v>
      </c>
      <c r="AN977">
        <v>1</v>
      </c>
      <c r="AO977">
        <v>1</v>
      </c>
      <c r="AP977" t="s">
        <v>3015</v>
      </c>
      <c r="AQ977" t="s">
        <v>3021</v>
      </c>
      <c r="AR977" t="s">
        <v>3022</v>
      </c>
      <c r="AT977" t="s">
        <v>3017</v>
      </c>
      <c r="AU977" t="s">
        <v>3014</v>
      </c>
    </row>
    <row r="978" spans="1:47" x14ac:dyDescent="0.35">
      <c r="A978">
        <v>329196</v>
      </c>
      <c r="B978" t="s">
        <v>193</v>
      </c>
      <c r="C978" t="s">
        <v>194</v>
      </c>
      <c r="D978" s="2">
        <v>45749</v>
      </c>
      <c r="E978">
        <v>53850</v>
      </c>
      <c r="F978">
        <v>268</v>
      </c>
      <c r="G978" t="s">
        <v>83</v>
      </c>
      <c r="H978" t="s">
        <v>167</v>
      </c>
      <c r="I978" t="s">
        <v>45</v>
      </c>
      <c r="K978">
        <v>202504017860374</v>
      </c>
      <c r="L978">
        <v>2683300006671</v>
      </c>
      <c r="M978">
        <v>20250401</v>
      </c>
      <c r="N978" t="s">
        <v>266</v>
      </c>
      <c r="Q978" t="s">
        <v>47</v>
      </c>
      <c r="R978">
        <v>24000</v>
      </c>
      <c r="S978">
        <v>24000</v>
      </c>
      <c r="T978">
        <v>1704716</v>
      </c>
      <c r="U978">
        <v>3109600795</v>
      </c>
      <c r="V978" t="s">
        <v>1256</v>
      </c>
      <c r="W978" t="s">
        <v>580</v>
      </c>
      <c r="X978" t="s">
        <v>131</v>
      </c>
      <c r="Y978" t="s">
        <v>51</v>
      </c>
      <c r="Z978">
        <v>1891</v>
      </c>
      <c r="AH978">
        <v>0</v>
      </c>
      <c r="AI978">
        <v>202504</v>
      </c>
      <c r="AJ978" t="s">
        <v>52</v>
      </c>
      <c r="AK978">
        <v>0</v>
      </c>
      <c r="AL978">
        <v>1</v>
      </c>
      <c r="AO978">
        <v>0</v>
      </c>
      <c r="AP978" t="s">
        <v>3033</v>
      </c>
      <c r="AQ978" t="s">
        <v>3078</v>
      </c>
      <c r="AR978" t="s">
        <v>3079</v>
      </c>
      <c r="AS978" t="s">
        <v>3049</v>
      </c>
      <c r="AU978" t="s">
        <v>3049</v>
      </c>
    </row>
    <row r="979" spans="1:47" x14ac:dyDescent="0.35">
      <c r="A979">
        <v>329195</v>
      </c>
      <c r="B979" t="s">
        <v>193</v>
      </c>
      <c r="C979" t="s">
        <v>194</v>
      </c>
      <c r="D979" s="2">
        <v>45749</v>
      </c>
      <c r="E979">
        <v>53850</v>
      </c>
      <c r="F979">
        <v>171</v>
      </c>
      <c r="G979" t="s">
        <v>198</v>
      </c>
      <c r="H979" t="s">
        <v>167</v>
      </c>
      <c r="I979" t="s">
        <v>45</v>
      </c>
      <c r="K979" t="s">
        <v>1255</v>
      </c>
      <c r="L979">
        <v>1713302214147</v>
      </c>
      <c r="M979">
        <v>20250401</v>
      </c>
      <c r="N979" t="s">
        <v>175</v>
      </c>
      <c r="Q979" t="s">
        <v>47</v>
      </c>
      <c r="R979">
        <v>49575</v>
      </c>
      <c r="S979">
        <v>43555</v>
      </c>
      <c r="T979">
        <v>4199319</v>
      </c>
      <c r="U979">
        <v>6037810725</v>
      </c>
      <c r="V979" t="s">
        <v>1144</v>
      </c>
      <c r="W979" t="s">
        <v>49</v>
      </c>
      <c r="X979" t="s">
        <v>200</v>
      </c>
      <c r="Y979" t="s">
        <v>51</v>
      </c>
      <c r="Z979">
        <v>1903</v>
      </c>
      <c r="AH979">
        <v>0</v>
      </c>
      <c r="AI979">
        <v>202504</v>
      </c>
      <c r="AJ979" t="s">
        <v>56</v>
      </c>
      <c r="AK979">
        <v>0</v>
      </c>
      <c r="AL979">
        <v>1</v>
      </c>
      <c r="AM979">
        <v>4199319</v>
      </c>
      <c r="AN979">
        <v>1</v>
      </c>
      <c r="AO979">
        <v>1</v>
      </c>
      <c r="AP979" t="s">
        <v>3015</v>
      </c>
      <c r="AQ979" t="s">
        <v>3012</v>
      </c>
      <c r="AR979" t="s">
        <v>3016</v>
      </c>
      <c r="AT979" t="s">
        <v>3017</v>
      </c>
      <c r="AU979" t="s">
        <v>3018</v>
      </c>
    </row>
    <row r="980" spans="1:47" x14ac:dyDescent="0.35">
      <c r="A980">
        <v>329194</v>
      </c>
      <c r="B980" t="s">
        <v>178</v>
      </c>
      <c r="C980" t="s">
        <v>179</v>
      </c>
      <c r="D980" s="2">
        <v>45749</v>
      </c>
      <c r="E980">
        <v>53850</v>
      </c>
      <c r="F980">
        <v>103</v>
      </c>
      <c r="G980" t="s">
        <v>80</v>
      </c>
      <c r="H980" t="s">
        <v>167</v>
      </c>
      <c r="I980" t="s">
        <v>45</v>
      </c>
      <c r="K980">
        <v>202504017860035</v>
      </c>
      <c r="L980">
        <v>1033306972235</v>
      </c>
      <c r="M980">
        <v>20250401</v>
      </c>
      <c r="N980" t="s">
        <v>344</v>
      </c>
      <c r="Q980" t="s">
        <v>170</v>
      </c>
      <c r="R980">
        <v>449000</v>
      </c>
      <c r="S980">
        <v>0</v>
      </c>
      <c r="T980">
        <v>4397101</v>
      </c>
      <c r="U980">
        <v>6401490724</v>
      </c>
      <c r="V980" t="s">
        <v>1257</v>
      </c>
      <c r="W980" t="s">
        <v>49</v>
      </c>
      <c r="X980" t="s">
        <v>364</v>
      </c>
      <c r="Y980" t="s">
        <v>51</v>
      </c>
      <c r="Z980">
        <v>1274</v>
      </c>
      <c r="AH980">
        <v>0</v>
      </c>
      <c r="AI980">
        <v>202504</v>
      </c>
      <c r="AJ980" t="s">
        <v>56</v>
      </c>
      <c r="AK980">
        <v>0</v>
      </c>
      <c r="AL980">
        <v>1</v>
      </c>
      <c r="AO980">
        <v>0</v>
      </c>
      <c r="AP980" t="s">
        <v>3062</v>
      </c>
      <c r="AQ980" t="s">
        <v>3012</v>
      </c>
      <c r="AR980" t="s">
        <v>3063</v>
      </c>
      <c r="AS980" t="s">
        <v>3014</v>
      </c>
      <c r="AU980" t="s">
        <v>3014</v>
      </c>
    </row>
    <row r="981" spans="1:47" x14ac:dyDescent="0.35">
      <c r="A981">
        <v>329193</v>
      </c>
      <c r="B981" t="s">
        <v>178</v>
      </c>
      <c r="C981" t="s">
        <v>179</v>
      </c>
      <c r="D981" s="2">
        <v>45749</v>
      </c>
      <c r="E981">
        <v>53850</v>
      </c>
      <c r="F981">
        <v>105</v>
      </c>
      <c r="G981" t="s">
        <v>60</v>
      </c>
      <c r="H981" t="s">
        <v>167</v>
      </c>
      <c r="I981" t="s">
        <v>45</v>
      </c>
      <c r="K981">
        <v>202504017860058</v>
      </c>
      <c r="L981">
        <v>1053306288710</v>
      </c>
      <c r="M981">
        <v>20250401</v>
      </c>
      <c r="N981" t="s">
        <v>303</v>
      </c>
      <c r="Q981" t="s">
        <v>170</v>
      </c>
      <c r="R981">
        <v>400000</v>
      </c>
      <c r="S981">
        <v>0</v>
      </c>
      <c r="T981">
        <v>522982</v>
      </c>
      <c r="U981" t="s">
        <v>1258</v>
      </c>
      <c r="V981" t="s">
        <v>1259</v>
      </c>
      <c r="W981" t="s">
        <v>187</v>
      </c>
      <c r="Y981" t="s">
        <v>51</v>
      </c>
      <c r="Z981">
        <v>833</v>
      </c>
      <c r="AH981">
        <v>0</v>
      </c>
      <c r="AI981">
        <v>202504</v>
      </c>
      <c r="AJ981" t="s">
        <v>56</v>
      </c>
      <c r="AK981">
        <v>0</v>
      </c>
      <c r="AL981">
        <v>1</v>
      </c>
      <c r="AO981">
        <v>0</v>
      </c>
      <c r="AP981" t="s">
        <v>3015</v>
      </c>
      <c r="AQ981" t="s">
        <v>3044</v>
      </c>
      <c r="AR981" t="s">
        <v>3045</v>
      </c>
      <c r="AS981" t="s">
        <v>3046</v>
      </c>
      <c r="AU981" t="s">
        <v>3046</v>
      </c>
    </row>
    <row r="982" spans="1:47" x14ac:dyDescent="0.35">
      <c r="A982">
        <v>329192</v>
      </c>
      <c r="B982" t="s">
        <v>164</v>
      </c>
      <c r="C982" t="s">
        <v>165</v>
      </c>
      <c r="D982" s="2">
        <v>45749</v>
      </c>
      <c r="E982">
        <v>53850</v>
      </c>
      <c r="F982">
        <v>174</v>
      </c>
      <c r="G982" t="s">
        <v>224</v>
      </c>
      <c r="H982" t="s">
        <v>167</v>
      </c>
      <c r="I982" t="s">
        <v>45</v>
      </c>
      <c r="K982" t="s">
        <v>1260</v>
      </c>
      <c r="L982">
        <v>1743302877913</v>
      </c>
      <c r="M982">
        <v>20250401</v>
      </c>
      <c r="N982" t="s">
        <v>168</v>
      </c>
      <c r="P982" t="s">
        <v>169</v>
      </c>
      <c r="Q982" t="s">
        <v>47</v>
      </c>
      <c r="R982">
        <v>4193.1000000000004</v>
      </c>
      <c r="S982">
        <v>0</v>
      </c>
      <c r="T982">
        <v>4180010</v>
      </c>
      <c r="U982">
        <v>5953650727</v>
      </c>
      <c r="V982" t="s">
        <v>1261</v>
      </c>
      <c r="W982" t="s">
        <v>190</v>
      </c>
      <c r="X982" t="s">
        <v>1262</v>
      </c>
      <c r="Y982" t="s">
        <v>51</v>
      </c>
      <c r="Z982">
        <v>720</v>
      </c>
      <c r="AH982">
        <v>0</v>
      </c>
      <c r="AI982">
        <v>202504</v>
      </c>
      <c r="AJ982" t="s">
        <v>119</v>
      </c>
      <c r="AK982">
        <v>1</v>
      </c>
      <c r="AL982">
        <v>1</v>
      </c>
      <c r="AO982">
        <v>0</v>
      </c>
      <c r="AP982" t="s">
        <v>3015</v>
      </c>
      <c r="AQ982" t="s">
        <v>3047</v>
      </c>
      <c r="AR982" t="s">
        <v>3056</v>
      </c>
      <c r="AT982" t="s">
        <v>3017</v>
      </c>
      <c r="AU982" t="s">
        <v>3057</v>
      </c>
    </row>
    <row r="983" spans="1:47" x14ac:dyDescent="0.35">
      <c r="A983">
        <v>329191</v>
      </c>
      <c r="B983" t="s">
        <v>178</v>
      </c>
      <c r="C983" t="s">
        <v>179</v>
      </c>
      <c r="D983" s="2">
        <v>45749</v>
      </c>
      <c r="E983">
        <v>53850</v>
      </c>
      <c r="F983">
        <v>175</v>
      </c>
      <c r="G983" t="s">
        <v>99</v>
      </c>
      <c r="H983" t="s">
        <v>167</v>
      </c>
      <c r="I983" t="s">
        <v>45</v>
      </c>
      <c r="K983">
        <v>202504017859492</v>
      </c>
      <c r="L983">
        <v>1753305636160</v>
      </c>
      <c r="M983">
        <v>20250401</v>
      </c>
      <c r="N983" t="s">
        <v>1263</v>
      </c>
      <c r="Q983" t="s">
        <v>47</v>
      </c>
      <c r="R983">
        <v>2927958.33</v>
      </c>
      <c r="S983">
        <v>0</v>
      </c>
      <c r="T983">
        <v>563616</v>
      </c>
      <c r="U983">
        <v>55560775</v>
      </c>
      <c r="V983" t="s">
        <v>856</v>
      </c>
      <c r="W983" t="s">
        <v>49</v>
      </c>
      <c r="X983" t="s">
        <v>110</v>
      </c>
      <c r="Y983" t="s">
        <v>51</v>
      </c>
      <c r="Z983">
        <v>739</v>
      </c>
      <c r="AH983">
        <v>0</v>
      </c>
      <c r="AI983">
        <v>202504</v>
      </c>
      <c r="AJ983" t="s">
        <v>56</v>
      </c>
      <c r="AK983">
        <v>0</v>
      </c>
      <c r="AL983">
        <v>1</v>
      </c>
      <c r="AO983">
        <v>0</v>
      </c>
      <c r="AP983" t="s">
        <v>3026</v>
      </c>
      <c r="AQ983" t="s">
        <v>3012</v>
      </c>
      <c r="AR983" t="s">
        <v>3027</v>
      </c>
      <c r="AS983" t="s">
        <v>3028</v>
      </c>
      <c r="AU983" t="s">
        <v>3028</v>
      </c>
    </row>
    <row r="984" spans="1:47" x14ac:dyDescent="0.35">
      <c r="A984">
        <v>329190</v>
      </c>
      <c r="B984" t="s">
        <v>178</v>
      </c>
      <c r="C984" t="s">
        <v>179</v>
      </c>
      <c r="D984" s="2">
        <v>45749</v>
      </c>
      <c r="E984">
        <v>53850</v>
      </c>
      <c r="F984">
        <v>102</v>
      </c>
      <c r="G984" t="s">
        <v>151</v>
      </c>
      <c r="H984" t="s">
        <v>167</v>
      </c>
      <c r="I984" t="s">
        <v>45</v>
      </c>
      <c r="K984">
        <v>202504017857363</v>
      </c>
      <c r="L984">
        <v>1023308727499</v>
      </c>
      <c r="M984">
        <v>20250401</v>
      </c>
      <c r="N984" t="s">
        <v>46</v>
      </c>
      <c r="P984" t="s">
        <v>51</v>
      </c>
      <c r="Q984" t="s">
        <v>47</v>
      </c>
      <c r="R984">
        <v>300000</v>
      </c>
      <c r="S984">
        <v>0</v>
      </c>
      <c r="T984">
        <v>488324</v>
      </c>
      <c r="U984" t="s">
        <v>1264</v>
      </c>
      <c r="V984" t="s">
        <v>1046</v>
      </c>
      <c r="W984" t="s">
        <v>187</v>
      </c>
      <c r="Y984" t="s">
        <v>51</v>
      </c>
      <c r="Z984">
        <v>580</v>
      </c>
      <c r="AH984">
        <v>0</v>
      </c>
      <c r="AI984">
        <v>202504</v>
      </c>
      <c r="AJ984" t="s">
        <v>56</v>
      </c>
      <c r="AK984">
        <v>0</v>
      </c>
      <c r="AL984">
        <v>1</v>
      </c>
      <c r="AO984">
        <v>0</v>
      </c>
      <c r="AP984" t="s">
        <v>3015</v>
      </c>
      <c r="AQ984" t="s">
        <v>3044</v>
      </c>
      <c r="AR984" t="s">
        <v>3045</v>
      </c>
      <c r="AS984" t="s">
        <v>3046</v>
      </c>
      <c r="AU984" t="s">
        <v>3046</v>
      </c>
    </row>
    <row r="985" spans="1:47" x14ac:dyDescent="0.35">
      <c r="A985">
        <v>329189</v>
      </c>
      <c r="B985" t="s">
        <v>178</v>
      </c>
      <c r="C985" t="s">
        <v>179</v>
      </c>
      <c r="D985" s="2">
        <v>45749</v>
      </c>
      <c r="E985">
        <v>53850</v>
      </c>
      <c r="F985">
        <v>120</v>
      </c>
      <c r="G985" t="s">
        <v>411</v>
      </c>
      <c r="H985" t="s">
        <v>167</v>
      </c>
      <c r="I985" t="s">
        <v>45</v>
      </c>
      <c r="K985">
        <v>202504017857458</v>
      </c>
      <c r="L985">
        <v>1203300002401</v>
      </c>
      <c r="M985">
        <v>20250401</v>
      </c>
      <c r="N985" t="s">
        <v>46</v>
      </c>
      <c r="P985" t="s">
        <v>51</v>
      </c>
      <c r="Q985" t="s">
        <v>47</v>
      </c>
      <c r="R985">
        <v>2263165.14</v>
      </c>
      <c r="S985">
        <v>0</v>
      </c>
      <c r="T985">
        <v>613876</v>
      </c>
      <c r="U985">
        <v>574290722</v>
      </c>
      <c r="V985" t="s">
        <v>545</v>
      </c>
      <c r="W985" t="s">
        <v>546</v>
      </c>
      <c r="X985" t="s">
        <v>421</v>
      </c>
      <c r="Y985" t="s">
        <v>51</v>
      </c>
      <c r="Z985">
        <v>1058</v>
      </c>
      <c r="AH985">
        <v>0</v>
      </c>
      <c r="AI985">
        <v>202504</v>
      </c>
      <c r="AJ985" t="s">
        <v>56</v>
      </c>
      <c r="AK985">
        <v>0</v>
      </c>
      <c r="AL985">
        <v>1</v>
      </c>
      <c r="AM985">
        <v>613876</v>
      </c>
      <c r="AN985">
        <v>1</v>
      </c>
      <c r="AO985">
        <v>0</v>
      </c>
      <c r="AP985" t="s">
        <v>3015</v>
      </c>
      <c r="AQ985" t="s">
        <v>3076</v>
      </c>
      <c r="AR985" t="s">
        <v>3077</v>
      </c>
      <c r="AT985" t="s">
        <v>3017</v>
      </c>
      <c r="AU985" t="s">
        <v>3014</v>
      </c>
    </row>
    <row r="986" spans="1:47" x14ac:dyDescent="0.35">
      <c r="A986">
        <v>329188</v>
      </c>
      <c r="B986" t="s">
        <v>178</v>
      </c>
      <c r="C986" t="s">
        <v>179</v>
      </c>
      <c r="D986" s="2">
        <v>45749</v>
      </c>
      <c r="E986">
        <v>53850</v>
      </c>
      <c r="F986">
        <v>102</v>
      </c>
      <c r="G986" t="s">
        <v>151</v>
      </c>
      <c r="H986" t="s">
        <v>167</v>
      </c>
      <c r="I986" t="s">
        <v>45</v>
      </c>
      <c r="K986">
        <v>202504017860008</v>
      </c>
      <c r="L986">
        <v>1023300113820</v>
      </c>
      <c r="M986">
        <v>20250401</v>
      </c>
      <c r="N986" t="s">
        <v>236</v>
      </c>
      <c r="P986" t="s">
        <v>51</v>
      </c>
      <c r="Q986" t="s">
        <v>170</v>
      </c>
      <c r="R986">
        <v>2950000</v>
      </c>
      <c r="S986">
        <v>0</v>
      </c>
      <c r="T986">
        <v>11382</v>
      </c>
      <c r="U986">
        <v>252420724</v>
      </c>
      <c r="V986" t="s">
        <v>1010</v>
      </c>
      <c r="W986" t="s">
        <v>49</v>
      </c>
      <c r="X986" t="s">
        <v>597</v>
      </c>
      <c r="Y986" t="s">
        <v>51</v>
      </c>
      <c r="Z986">
        <v>1203</v>
      </c>
      <c r="AH986">
        <v>0</v>
      </c>
      <c r="AI986">
        <v>202504</v>
      </c>
      <c r="AJ986" t="s">
        <v>86</v>
      </c>
      <c r="AK986">
        <v>1</v>
      </c>
      <c r="AL986">
        <v>1</v>
      </c>
      <c r="AO986">
        <v>0</v>
      </c>
      <c r="AP986" t="s">
        <v>3015</v>
      </c>
      <c r="AQ986" t="s">
        <v>3012</v>
      </c>
      <c r="AR986" t="s">
        <v>3016</v>
      </c>
      <c r="AT986" t="s">
        <v>3017</v>
      </c>
      <c r="AU986" t="s">
        <v>3018</v>
      </c>
    </row>
    <row r="987" spans="1:47" x14ac:dyDescent="0.35">
      <c r="A987">
        <v>329187</v>
      </c>
      <c r="B987" t="s">
        <v>214</v>
      </c>
      <c r="C987" t="s">
        <v>215</v>
      </c>
      <c r="D987" s="2">
        <v>45749</v>
      </c>
      <c r="E987">
        <v>53850</v>
      </c>
      <c r="F987">
        <v>149</v>
      </c>
      <c r="G987" t="s">
        <v>449</v>
      </c>
      <c r="H987" t="s">
        <v>167</v>
      </c>
      <c r="I987" t="s">
        <v>45</v>
      </c>
      <c r="K987">
        <v>202504017858292</v>
      </c>
      <c r="L987">
        <v>1493300662197</v>
      </c>
      <c r="M987">
        <v>20250401</v>
      </c>
      <c r="N987" t="s">
        <v>168</v>
      </c>
      <c r="P987" t="s">
        <v>511</v>
      </c>
      <c r="Q987" t="s">
        <v>170</v>
      </c>
      <c r="R987">
        <v>5000</v>
      </c>
      <c r="S987">
        <v>0</v>
      </c>
      <c r="T987">
        <v>4636425</v>
      </c>
      <c r="U987">
        <v>6517081219</v>
      </c>
      <c r="V987" t="s">
        <v>1265</v>
      </c>
      <c r="W987" t="s">
        <v>49</v>
      </c>
      <c r="X987" t="s">
        <v>893</v>
      </c>
      <c r="Y987" t="s">
        <v>51</v>
      </c>
      <c r="Z987">
        <v>1256</v>
      </c>
      <c r="AH987">
        <v>0</v>
      </c>
      <c r="AI987">
        <v>202504</v>
      </c>
      <c r="AJ987" t="s">
        <v>52</v>
      </c>
      <c r="AK987">
        <v>0</v>
      </c>
      <c r="AL987">
        <v>1</v>
      </c>
      <c r="AO987">
        <v>0</v>
      </c>
      <c r="AP987" t="s">
        <v>3015</v>
      </c>
      <c r="AQ987" t="s">
        <v>3012</v>
      </c>
      <c r="AR987" t="s">
        <v>3016</v>
      </c>
      <c r="AT987" t="s">
        <v>3017</v>
      </c>
      <c r="AU987" t="s">
        <v>3018</v>
      </c>
    </row>
    <row r="988" spans="1:47" x14ac:dyDescent="0.35">
      <c r="A988">
        <v>329186</v>
      </c>
      <c r="B988" t="s">
        <v>214</v>
      </c>
      <c r="C988" t="s">
        <v>215</v>
      </c>
      <c r="D988" s="2">
        <v>45749</v>
      </c>
      <c r="E988">
        <v>53850</v>
      </c>
      <c r="F988">
        <v>270</v>
      </c>
      <c r="G988" t="s">
        <v>524</v>
      </c>
      <c r="H988" t="s">
        <v>167</v>
      </c>
      <c r="I988" t="s">
        <v>45</v>
      </c>
      <c r="K988">
        <v>202504017858297</v>
      </c>
      <c r="L988">
        <v>2703300010876</v>
      </c>
      <c r="M988">
        <v>20250401</v>
      </c>
      <c r="N988" t="s">
        <v>168</v>
      </c>
      <c r="P988" t="s">
        <v>217</v>
      </c>
      <c r="Q988" t="s">
        <v>47</v>
      </c>
      <c r="R988">
        <v>132253.26</v>
      </c>
      <c r="S988">
        <v>0</v>
      </c>
      <c r="T988">
        <v>3741353</v>
      </c>
      <c r="U988" t="s">
        <v>1266</v>
      </c>
      <c r="V988" t="s">
        <v>1267</v>
      </c>
      <c r="W988" t="s">
        <v>696</v>
      </c>
      <c r="Y988" t="s">
        <v>217</v>
      </c>
      <c r="Z988">
        <v>1809</v>
      </c>
      <c r="AH988">
        <v>0</v>
      </c>
      <c r="AI988">
        <v>202504</v>
      </c>
      <c r="AJ988" t="s">
        <v>56</v>
      </c>
      <c r="AK988">
        <v>0</v>
      </c>
      <c r="AL988">
        <v>1</v>
      </c>
      <c r="AO988">
        <v>0</v>
      </c>
      <c r="AP988" t="s">
        <v>3015</v>
      </c>
      <c r="AQ988" t="s">
        <v>3084</v>
      </c>
      <c r="AR988" t="s">
        <v>3085</v>
      </c>
      <c r="AS988" t="s">
        <v>3046</v>
      </c>
      <c r="AU988" t="s">
        <v>3046</v>
      </c>
    </row>
    <row r="989" spans="1:47" x14ac:dyDescent="0.35">
      <c r="A989">
        <v>329185</v>
      </c>
      <c r="B989" t="s">
        <v>164</v>
      </c>
      <c r="C989" t="s">
        <v>165</v>
      </c>
      <c r="D989" s="2">
        <v>45749</v>
      </c>
      <c r="E989">
        <v>53850</v>
      </c>
      <c r="F989">
        <v>148</v>
      </c>
      <c r="G989" t="s">
        <v>78</v>
      </c>
      <c r="H989" t="s">
        <v>167</v>
      </c>
      <c r="I989" t="s">
        <v>45</v>
      </c>
      <c r="K989">
        <v>202504017856696</v>
      </c>
      <c r="L989">
        <v>1483300004073</v>
      </c>
      <c r="M989">
        <v>20250401</v>
      </c>
      <c r="N989" t="s">
        <v>168</v>
      </c>
      <c r="P989" t="s">
        <v>169</v>
      </c>
      <c r="Q989" t="s">
        <v>170</v>
      </c>
      <c r="R989">
        <v>9000</v>
      </c>
      <c r="S989">
        <v>0</v>
      </c>
      <c r="T989">
        <v>4876039</v>
      </c>
      <c r="U989">
        <v>1670580628</v>
      </c>
      <c r="V989" t="s">
        <v>1268</v>
      </c>
      <c r="W989" t="s">
        <v>49</v>
      </c>
      <c r="X989" t="s">
        <v>1269</v>
      </c>
      <c r="Y989" t="s">
        <v>51</v>
      </c>
      <c r="Z989">
        <v>1063</v>
      </c>
      <c r="AH989">
        <v>0</v>
      </c>
      <c r="AI989">
        <v>202504</v>
      </c>
      <c r="AJ989" t="s">
        <v>56</v>
      </c>
      <c r="AK989">
        <v>0</v>
      </c>
      <c r="AL989">
        <v>1</v>
      </c>
      <c r="AO989">
        <v>0</v>
      </c>
      <c r="AP989" t="s">
        <v>3015</v>
      </c>
      <c r="AQ989" t="s">
        <v>3012</v>
      </c>
      <c r="AR989" t="s">
        <v>3016</v>
      </c>
      <c r="AT989" t="s">
        <v>3017</v>
      </c>
      <c r="AU989" t="s">
        <v>3018</v>
      </c>
    </row>
    <row r="990" spans="1:47" x14ac:dyDescent="0.35">
      <c r="A990">
        <v>329184</v>
      </c>
      <c r="B990" t="s">
        <v>164</v>
      </c>
      <c r="C990" t="s">
        <v>165</v>
      </c>
      <c r="D990" s="2">
        <v>45749</v>
      </c>
      <c r="E990">
        <v>53850</v>
      </c>
      <c r="F990">
        <v>128</v>
      </c>
      <c r="G990" t="s">
        <v>94</v>
      </c>
      <c r="H990" t="s">
        <v>167</v>
      </c>
      <c r="I990" t="s">
        <v>45</v>
      </c>
      <c r="K990">
        <v>202504017858290</v>
      </c>
      <c r="L990">
        <v>1283300002423</v>
      </c>
      <c r="M990">
        <v>20250401</v>
      </c>
      <c r="N990" t="s">
        <v>168</v>
      </c>
      <c r="P990" t="s">
        <v>435</v>
      </c>
      <c r="Q990" t="s">
        <v>47</v>
      </c>
      <c r="R990">
        <v>15000</v>
      </c>
      <c r="S990">
        <v>0</v>
      </c>
      <c r="T990">
        <v>4582488</v>
      </c>
      <c r="U990" t="s">
        <v>571</v>
      </c>
      <c r="V990" t="s">
        <v>572</v>
      </c>
      <c r="W990" t="s">
        <v>187</v>
      </c>
      <c r="Y990" t="s">
        <v>51</v>
      </c>
      <c r="Z990">
        <v>726</v>
      </c>
      <c r="AH990">
        <v>0</v>
      </c>
      <c r="AI990">
        <v>202504</v>
      </c>
      <c r="AJ990" t="s">
        <v>114</v>
      </c>
      <c r="AK990">
        <v>1</v>
      </c>
      <c r="AL990">
        <v>1</v>
      </c>
      <c r="AO990">
        <v>0</v>
      </c>
      <c r="AP990" t="s">
        <v>3015</v>
      </c>
      <c r="AQ990" t="s">
        <v>3044</v>
      </c>
      <c r="AR990" t="s">
        <v>3045</v>
      </c>
      <c r="AS990" t="s">
        <v>3046</v>
      </c>
      <c r="AU990" t="s">
        <v>3046</v>
      </c>
    </row>
    <row r="991" spans="1:47" x14ac:dyDescent="0.35">
      <c r="A991">
        <v>329183</v>
      </c>
      <c r="B991" t="s">
        <v>214</v>
      </c>
      <c r="C991" t="s">
        <v>215</v>
      </c>
      <c r="D991" s="2">
        <v>45749</v>
      </c>
      <c r="E991">
        <v>53850</v>
      </c>
      <c r="F991">
        <v>140</v>
      </c>
      <c r="G991" t="s">
        <v>322</v>
      </c>
      <c r="H991" t="s">
        <v>167</v>
      </c>
      <c r="I991" t="s">
        <v>45</v>
      </c>
      <c r="K991">
        <v>202504017857376</v>
      </c>
      <c r="L991">
        <v>1403300003116</v>
      </c>
      <c r="M991">
        <v>20250401</v>
      </c>
      <c r="N991" t="s">
        <v>168</v>
      </c>
      <c r="P991" t="s">
        <v>1270</v>
      </c>
      <c r="Q991" t="s">
        <v>47</v>
      </c>
      <c r="R991">
        <v>20000</v>
      </c>
      <c r="S991">
        <v>0</v>
      </c>
      <c r="T991">
        <v>4089951</v>
      </c>
      <c r="U991" t="s">
        <v>1271</v>
      </c>
      <c r="V991" t="s">
        <v>1272</v>
      </c>
      <c r="W991" t="s">
        <v>187</v>
      </c>
      <c r="Y991" t="s">
        <v>51</v>
      </c>
      <c r="Z991">
        <v>1403</v>
      </c>
      <c r="AH991">
        <v>0</v>
      </c>
      <c r="AI991">
        <v>202504</v>
      </c>
      <c r="AJ991" t="s">
        <v>86</v>
      </c>
      <c r="AK991">
        <v>1</v>
      </c>
      <c r="AL991">
        <v>1</v>
      </c>
      <c r="AO991">
        <v>0</v>
      </c>
      <c r="AP991" t="s">
        <v>3015</v>
      </c>
      <c r="AQ991" t="s">
        <v>3044</v>
      </c>
      <c r="AR991" t="s">
        <v>3045</v>
      </c>
      <c r="AS991" t="s">
        <v>3046</v>
      </c>
      <c r="AU991" t="s">
        <v>3046</v>
      </c>
    </row>
    <row r="992" spans="1:47" x14ac:dyDescent="0.35">
      <c r="A992">
        <v>329182</v>
      </c>
      <c r="B992" t="s">
        <v>178</v>
      </c>
      <c r="C992" t="s">
        <v>179</v>
      </c>
      <c r="D992" s="2">
        <v>45749</v>
      </c>
      <c r="E992">
        <v>53850</v>
      </c>
      <c r="F992">
        <v>129</v>
      </c>
      <c r="G992" t="s">
        <v>227</v>
      </c>
      <c r="H992" t="s">
        <v>167</v>
      </c>
      <c r="I992" t="s">
        <v>45</v>
      </c>
      <c r="K992">
        <v>202504017856853</v>
      </c>
      <c r="L992">
        <v>1293300002289</v>
      </c>
      <c r="M992">
        <v>20250401</v>
      </c>
      <c r="N992" t="s">
        <v>236</v>
      </c>
      <c r="P992" t="s">
        <v>51</v>
      </c>
      <c r="Q992" t="s">
        <v>170</v>
      </c>
      <c r="R992">
        <v>1010413.22</v>
      </c>
      <c r="S992">
        <v>0</v>
      </c>
      <c r="T992">
        <v>401846</v>
      </c>
      <c r="U992">
        <v>259270726</v>
      </c>
      <c r="V992" t="s">
        <v>271</v>
      </c>
      <c r="W992" t="s">
        <v>49</v>
      </c>
      <c r="X992" t="s">
        <v>272</v>
      </c>
      <c r="Y992" t="s">
        <v>51</v>
      </c>
      <c r="Z992">
        <v>1058</v>
      </c>
      <c r="AH992">
        <v>0</v>
      </c>
      <c r="AI992">
        <v>202504</v>
      </c>
      <c r="AJ992" t="s">
        <v>52</v>
      </c>
      <c r="AK992">
        <v>0</v>
      </c>
      <c r="AL992">
        <v>1</v>
      </c>
      <c r="AO992">
        <v>0</v>
      </c>
      <c r="AP992" t="s">
        <v>3015</v>
      </c>
      <c r="AQ992" t="s">
        <v>3012</v>
      </c>
      <c r="AR992" t="s">
        <v>3016</v>
      </c>
      <c r="AT992" t="s">
        <v>3017</v>
      </c>
      <c r="AU992" t="s">
        <v>3018</v>
      </c>
    </row>
    <row r="993" spans="1:47" x14ac:dyDescent="0.35">
      <c r="A993">
        <v>329181</v>
      </c>
      <c r="B993" t="s">
        <v>172</v>
      </c>
      <c r="C993" t="s">
        <v>173</v>
      </c>
      <c r="D993" s="2">
        <v>45749</v>
      </c>
      <c r="E993">
        <v>53850</v>
      </c>
      <c r="F993">
        <v>171</v>
      </c>
      <c r="G993" t="s">
        <v>198</v>
      </c>
      <c r="H993" t="s">
        <v>167</v>
      </c>
      <c r="I993" t="s">
        <v>45</v>
      </c>
      <c r="K993" t="s">
        <v>1255</v>
      </c>
      <c r="L993">
        <v>1713305728950</v>
      </c>
      <c r="M993">
        <v>20250401</v>
      </c>
      <c r="N993" t="s">
        <v>175</v>
      </c>
      <c r="Q993" t="s">
        <v>47</v>
      </c>
      <c r="R993">
        <v>224517.49</v>
      </c>
      <c r="S993">
        <v>218237.49</v>
      </c>
      <c r="T993">
        <v>572895</v>
      </c>
      <c r="U993">
        <v>4161600723</v>
      </c>
      <c r="V993" t="s">
        <v>199</v>
      </c>
      <c r="W993" t="s">
        <v>49</v>
      </c>
      <c r="X993" t="s">
        <v>200</v>
      </c>
      <c r="Y993" t="s">
        <v>51</v>
      </c>
      <c r="Z993">
        <v>1903</v>
      </c>
      <c r="AH993">
        <v>0</v>
      </c>
      <c r="AI993">
        <v>202504</v>
      </c>
      <c r="AJ993" t="s">
        <v>56</v>
      </c>
      <c r="AK993">
        <v>0</v>
      </c>
      <c r="AL993">
        <v>1</v>
      </c>
      <c r="AM993">
        <v>572895</v>
      </c>
      <c r="AN993">
        <v>1</v>
      </c>
      <c r="AO993">
        <v>1</v>
      </c>
      <c r="AP993" t="s">
        <v>3015</v>
      </c>
      <c r="AQ993" t="s">
        <v>3012</v>
      </c>
      <c r="AR993" t="s">
        <v>3016</v>
      </c>
      <c r="AT993" t="s">
        <v>3017</v>
      </c>
      <c r="AU993" t="s">
        <v>3018</v>
      </c>
    </row>
    <row r="994" spans="1:47" x14ac:dyDescent="0.35">
      <c r="A994">
        <v>329180</v>
      </c>
      <c r="B994" t="s">
        <v>172</v>
      </c>
      <c r="C994" t="s">
        <v>173</v>
      </c>
      <c r="D994" s="2">
        <v>45749</v>
      </c>
      <c r="E994">
        <v>53850</v>
      </c>
      <c r="F994">
        <v>102</v>
      </c>
      <c r="G994" t="s">
        <v>151</v>
      </c>
      <c r="H994" t="s">
        <v>167</v>
      </c>
      <c r="I994" t="s">
        <v>45</v>
      </c>
      <c r="K994" t="s">
        <v>1255</v>
      </c>
      <c r="L994">
        <v>1023308722503</v>
      </c>
      <c r="M994">
        <v>20250401</v>
      </c>
      <c r="N994" t="s">
        <v>195</v>
      </c>
      <c r="Q994" t="s">
        <v>47</v>
      </c>
      <c r="R994">
        <v>58490</v>
      </c>
      <c r="S994">
        <v>58490</v>
      </c>
      <c r="T994">
        <v>413650</v>
      </c>
      <c r="U994">
        <v>3657230722</v>
      </c>
      <c r="V994" t="s">
        <v>196</v>
      </c>
      <c r="W994" t="s">
        <v>190</v>
      </c>
      <c r="X994" t="s">
        <v>197</v>
      </c>
      <c r="Y994" t="s">
        <v>51</v>
      </c>
      <c r="Z994">
        <v>1306</v>
      </c>
      <c r="AH994">
        <v>0</v>
      </c>
      <c r="AI994">
        <v>202504</v>
      </c>
      <c r="AJ994" t="s">
        <v>56</v>
      </c>
      <c r="AK994">
        <v>0</v>
      </c>
      <c r="AL994">
        <v>1</v>
      </c>
      <c r="AM994">
        <v>413650</v>
      </c>
      <c r="AN994">
        <v>1</v>
      </c>
      <c r="AO994">
        <v>0</v>
      </c>
      <c r="AP994" t="s">
        <v>3050</v>
      </c>
      <c r="AQ994" t="s">
        <v>3047</v>
      </c>
      <c r="AR994" t="s">
        <v>3051</v>
      </c>
      <c r="AS994" t="s">
        <v>3049</v>
      </c>
      <c r="AU994" t="s">
        <v>3049</v>
      </c>
    </row>
    <row r="995" spans="1:47" x14ac:dyDescent="0.35">
      <c r="A995">
        <v>329179</v>
      </c>
      <c r="B995" t="s">
        <v>214</v>
      </c>
      <c r="C995" t="s">
        <v>215</v>
      </c>
      <c r="D995" s="2">
        <v>45749</v>
      </c>
      <c r="E995">
        <v>53850</v>
      </c>
      <c r="F995">
        <v>140</v>
      </c>
      <c r="G995" t="s">
        <v>322</v>
      </c>
      <c r="H995" t="s">
        <v>167</v>
      </c>
      <c r="I995" t="s">
        <v>45</v>
      </c>
      <c r="K995">
        <v>202504017857376</v>
      </c>
      <c r="L995">
        <v>1403300003116</v>
      </c>
      <c r="M995">
        <v>20250401</v>
      </c>
      <c r="N995" t="s">
        <v>168</v>
      </c>
      <c r="P995" t="s">
        <v>1270</v>
      </c>
      <c r="Q995" t="s">
        <v>47</v>
      </c>
      <c r="R995">
        <v>20000</v>
      </c>
      <c r="S995">
        <v>0</v>
      </c>
      <c r="T995">
        <v>4090758</v>
      </c>
      <c r="U995" t="s">
        <v>1273</v>
      </c>
      <c r="V995" t="s">
        <v>1274</v>
      </c>
      <c r="W995" t="s">
        <v>187</v>
      </c>
      <c r="Y995" t="s">
        <v>51</v>
      </c>
      <c r="Z995">
        <v>1403</v>
      </c>
      <c r="AH995">
        <v>0</v>
      </c>
      <c r="AI995">
        <v>202504</v>
      </c>
      <c r="AJ995" t="s">
        <v>86</v>
      </c>
      <c r="AK995">
        <v>1</v>
      </c>
      <c r="AL995">
        <v>1</v>
      </c>
      <c r="AO995">
        <v>0</v>
      </c>
      <c r="AP995" t="s">
        <v>3015</v>
      </c>
      <c r="AQ995" t="s">
        <v>3044</v>
      </c>
      <c r="AR995" t="s">
        <v>3045</v>
      </c>
      <c r="AS995" t="s">
        <v>3046</v>
      </c>
      <c r="AU995" t="s">
        <v>3046</v>
      </c>
    </row>
    <row r="996" spans="1:47" x14ac:dyDescent="0.35">
      <c r="A996">
        <v>329178</v>
      </c>
      <c r="B996" t="s">
        <v>164</v>
      </c>
      <c r="C996" t="s">
        <v>165</v>
      </c>
      <c r="D996" s="2">
        <v>45749</v>
      </c>
      <c r="E996">
        <v>53850</v>
      </c>
      <c r="F996">
        <v>148</v>
      </c>
      <c r="G996" t="s">
        <v>78</v>
      </c>
      <c r="H996" t="s">
        <v>167</v>
      </c>
      <c r="I996" t="s">
        <v>45</v>
      </c>
      <c r="K996">
        <v>202504017858305</v>
      </c>
      <c r="L996">
        <v>1483300003872</v>
      </c>
      <c r="M996">
        <v>20250401</v>
      </c>
      <c r="N996" t="s">
        <v>168</v>
      </c>
      <c r="P996" t="s">
        <v>244</v>
      </c>
      <c r="Q996" t="s">
        <v>170</v>
      </c>
      <c r="R996">
        <v>5018.09</v>
      </c>
      <c r="S996">
        <v>0</v>
      </c>
      <c r="T996">
        <v>4602337</v>
      </c>
      <c r="U996">
        <v>1418030621</v>
      </c>
      <c r="V996" t="s">
        <v>1203</v>
      </c>
      <c r="W996" t="s">
        <v>49</v>
      </c>
      <c r="X996" t="s">
        <v>698</v>
      </c>
      <c r="Y996" t="s">
        <v>51</v>
      </c>
      <c r="Z996">
        <v>982</v>
      </c>
      <c r="AH996">
        <v>0</v>
      </c>
      <c r="AI996">
        <v>202504</v>
      </c>
      <c r="AJ996" t="s">
        <v>52</v>
      </c>
      <c r="AK996">
        <v>0</v>
      </c>
      <c r="AL996">
        <v>1</v>
      </c>
      <c r="AO996">
        <v>0</v>
      </c>
      <c r="AP996" t="s">
        <v>3015</v>
      </c>
      <c r="AQ996" t="s">
        <v>3012</v>
      </c>
      <c r="AR996" t="s">
        <v>3016</v>
      </c>
      <c r="AT996" t="s">
        <v>3017</v>
      </c>
      <c r="AU996" t="s">
        <v>3018</v>
      </c>
    </row>
    <row r="997" spans="1:47" x14ac:dyDescent="0.35">
      <c r="A997">
        <v>329177</v>
      </c>
      <c r="B997" t="s">
        <v>172</v>
      </c>
      <c r="C997" t="s">
        <v>173</v>
      </c>
      <c r="D997" s="2">
        <v>45749</v>
      </c>
      <c r="E997">
        <v>53850</v>
      </c>
      <c r="F997">
        <v>108</v>
      </c>
      <c r="G997" t="s">
        <v>124</v>
      </c>
      <c r="H997" t="s">
        <v>167</v>
      </c>
      <c r="I997" t="s">
        <v>45</v>
      </c>
      <c r="K997" t="s">
        <v>1255</v>
      </c>
      <c r="L997">
        <v>1083300011180</v>
      </c>
      <c r="M997">
        <v>20250401</v>
      </c>
      <c r="N997" t="s">
        <v>175</v>
      </c>
      <c r="Q997" t="s">
        <v>47</v>
      </c>
      <c r="R997">
        <v>281108.96999999997</v>
      </c>
      <c r="S997">
        <v>0</v>
      </c>
      <c r="T997">
        <v>1118</v>
      </c>
      <c r="U997">
        <v>3246700722</v>
      </c>
      <c r="V997" t="s">
        <v>125</v>
      </c>
      <c r="W997" t="s">
        <v>49</v>
      </c>
      <c r="X997" t="s">
        <v>96</v>
      </c>
      <c r="Y997" t="s">
        <v>51</v>
      </c>
      <c r="Z997">
        <v>1058</v>
      </c>
      <c r="AH997">
        <v>0</v>
      </c>
      <c r="AI997">
        <v>202504</v>
      </c>
      <c r="AJ997" t="s">
        <v>52</v>
      </c>
      <c r="AK997">
        <v>0</v>
      </c>
      <c r="AL997">
        <v>1</v>
      </c>
      <c r="AO997">
        <v>1</v>
      </c>
      <c r="AP997" t="s">
        <v>3015</v>
      </c>
      <c r="AQ997" t="s">
        <v>3012</v>
      </c>
      <c r="AR997" t="s">
        <v>3016</v>
      </c>
      <c r="AT997" t="s">
        <v>3017</v>
      </c>
      <c r="AU997" t="s">
        <v>3018</v>
      </c>
    </row>
    <row r="998" spans="1:47" x14ac:dyDescent="0.35">
      <c r="A998">
        <v>329176</v>
      </c>
      <c r="B998" t="s">
        <v>172</v>
      </c>
      <c r="C998" t="s">
        <v>173</v>
      </c>
      <c r="D998" s="2">
        <v>45749</v>
      </c>
      <c r="E998">
        <v>53850</v>
      </c>
      <c r="F998">
        <v>175</v>
      </c>
      <c r="G998" t="s">
        <v>99</v>
      </c>
      <c r="H998" t="s">
        <v>167</v>
      </c>
      <c r="I998" t="s">
        <v>45</v>
      </c>
      <c r="K998">
        <v>202504017860265</v>
      </c>
      <c r="L998">
        <v>1753305678410</v>
      </c>
      <c r="M998">
        <v>20250401</v>
      </c>
      <c r="N998" t="s">
        <v>231</v>
      </c>
      <c r="Q998" t="s">
        <v>47</v>
      </c>
      <c r="R998">
        <v>160000</v>
      </c>
      <c r="S998">
        <v>0</v>
      </c>
      <c r="T998">
        <v>567841</v>
      </c>
      <c r="U998" t="s">
        <v>1080</v>
      </c>
      <c r="V998" t="s">
        <v>1081</v>
      </c>
      <c r="W998" t="s">
        <v>187</v>
      </c>
      <c r="Y998" t="s">
        <v>51</v>
      </c>
      <c r="Z998">
        <v>1585</v>
      </c>
      <c r="AH998">
        <v>0</v>
      </c>
      <c r="AI998">
        <v>202504</v>
      </c>
      <c r="AJ998" t="s">
        <v>86</v>
      </c>
      <c r="AK998">
        <v>1</v>
      </c>
      <c r="AL998">
        <v>1</v>
      </c>
      <c r="AO998">
        <v>0</v>
      </c>
      <c r="AP998" t="s">
        <v>3015</v>
      </c>
      <c r="AQ998" t="s">
        <v>3044</v>
      </c>
      <c r="AR998" t="s">
        <v>3045</v>
      </c>
      <c r="AS998" t="s">
        <v>3046</v>
      </c>
      <c r="AU998" t="s">
        <v>3046</v>
      </c>
    </row>
    <row r="999" spans="1:47" x14ac:dyDescent="0.35">
      <c r="A999">
        <v>329175</v>
      </c>
      <c r="B999" t="s">
        <v>471</v>
      </c>
      <c r="C999" t="s">
        <v>472</v>
      </c>
      <c r="D999" s="2">
        <v>45749</v>
      </c>
      <c r="E999">
        <v>53850</v>
      </c>
      <c r="F999">
        <v>270</v>
      </c>
      <c r="G999" t="s">
        <v>524</v>
      </c>
      <c r="H999" t="s">
        <v>167</v>
      </c>
      <c r="I999" t="s">
        <v>45</v>
      </c>
      <c r="K999">
        <v>202504017858299</v>
      </c>
      <c r="L999">
        <v>2703300010876</v>
      </c>
      <c r="M999">
        <v>20250401</v>
      </c>
      <c r="N999" t="s">
        <v>168</v>
      </c>
      <c r="P999" t="s">
        <v>217</v>
      </c>
      <c r="Q999" t="s">
        <v>47</v>
      </c>
      <c r="R999">
        <v>22180.77</v>
      </c>
      <c r="S999">
        <v>0</v>
      </c>
      <c r="T999">
        <v>3741353</v>
      </c>
      <c r="U999" t="s">
        <v>1266</v>
      </c>
      <c r="V999" t="s">
        <v>1267</v>
      </c>
      <c r="W999" t="s">
        <v>696</v>
      </c>
      <c r="Y999" t="s">
        <v>217</v>
      </c>
      <c r="Z999">
        <v>1809</v>
      </c>
      <c r="AH999">
        <v>0</v>
      </c>
      <c r="AI999">
        <v>202504</v>
      </c>
      <c r="AJ999" t="s">
        <v>56</v>
      </c>
      <c r="AK999">
        <v>0</v>
      </c>
      <c r="AL999">
        <v>1</v>
      </c>
      <c r="AO999">
        <v>0</v>
      </c>
      <c r="AP999" t="s">
        <v>3015</v>
      </c>
      <c r="AQ999" t="s">
        <v>3084</v>
      </c>
      <c r="AR999" t="s">
        <v>3085</v>
      </c>
      <c r="AS999" t="s">
        <v>3046</v>
      </c>
      <c r="AU999" t="s">
        <v>3046</v>
      </c>
    </row>
    <row r="1000" spans="1:47" x14ac:dyDescent="0.35">
      <c r="A1000">
        <v>329174</v>
      </c>
      <c r="B1000" t="s">
        <v>178</v>
      </c>
      <c r="C1000" t="s">
        <v>179</v>
      </c>
      <c r="D1000" s="2">
        <v>45749</v>
      </c>
      <c r="E1000">
        <v>53850</v>
      </c>
      <c r="F1000">
        <v>105</v>
      </c>
      <c r="G1000" t="s">
        <v>60</v>
      </c>
      <c r="H1000" t="s">
        <v>167</v>
      </c>
      <c r="I1000" t="s">
        <v>45</v>
      </c>
      <c r="K1000">
        <v>202504017858157</v>
      </c>
      <c r="L1000">
        <v>1053306288710</v>
      </c>
      <c r="M1000">
        <v>20250401</v>
      </c>
      <c r="N1000" t="s">
        <v>46</v>
      </c>
      <c r="P1000" t="s">
        <v>51</v>
      </c>
      <c r="Q1000" t="s">
        <v>47</v>
      </c>
      <c r="R1000">
        <v>711984.13</v>
      </c>
      <c r="S1000">
        <v>0</v>
      </c>
      <c r="T1000">
        <v>522982</v>
      </c>
      <c r="U1000" t="s">
        <v>1258</v>
      </c>
      <c r="V1000" t="s">
        <v>1259</v>
      </c>
      <c r="W1000" t="s">
        <v>187</v>
      </c>
      <c r="Y1000" t="s">
        <v>51</v>
      </c>
      <c r="Z1000">
        <v>833</v>
      </c>
      <c r="AH1000">
        <v>0</v>
      </c>
      <c r="AI1000">
        <v>202504</v>
      </c>
      <c r="AJ1000" t="s">
        <v>56</v>
      </c>
      <c r="AK1000">
        <v>0</v>
      </c>
      <c r="AL1000">
        <v>1</v>
      </c>
      <c r="AO1000">
        <v>0</v>
      </c>
      <c r="AP1000" t="s">
        <v>3015</v>
      </c>
      <c r="AQ1000" t="s">
        <v>3044</v>
      </c>
      <c r="AR1000" t="s">
        <v>3045</v>
      </c>
      <c r="AS1000" t="s">
        <v>3046</v>
      </c>
      <c r="AU1000" t="s">
        <v>3046</v>
      </c>
    </row>
    <row r="1001" spans="1:47" x14ac:dyDescent="0.35">
      <c r="A1001">
        <v>329173</v>
      </c>
      <c r="B1001" t="s">
        <v>471</v>
      </c>
      <c r="C1001" t="s">
        <v>472</v>
      </c>
      <c r="D1001" s="2">
        <v>45749</v>
      </c>
      <c r="E1001">
        <v>53850</v>
      </c>
      <c r="F1001">
        <v>270</v>
      </c>
      <c r="G1001" t="s">
        <v>524</v>
      </c>
      <c r="H1001" t="s">
        <v>167</v>
      </c>
      <c r="I1001" t="s">
        <v>45</v>
      </c>
      <c r="K1001">
        <v>202504017858297</v>
      </c>
      <c r="L1001">
        <v>2703300010876</v>
      </c>
      <c r="M1001">
        <v>20250401</v>
      </c>
      <c r="N1001" t="s">
        <v>168</v>
      </c>
      <c r="P1001" t="s">
        <v>217</v>
      </c>
      <c r="Q1001" t="s">
        <v>47</v>
      </c>
      <c r="R1001">
        <v>132253.26</v>
      </c>
      <c r="S1001">
        <v>0</v>
      </c>
      <c r="T1001">
        <v>3741353</v>
      </c>
      <c r="U1001" t="s">
        <v>1266</v>
      </c>
      <c r="V1001" t="s">
        <v>1267</v>
      </c>
      <c r="W1001" t="s">
        <v>696</v>
      </c>
      <c r="Y1001" t="s">
        <v>217</v>
      </c>
      <c r="Z1001">
        <v>1809</v>
      </c>
      <c r="AH1001">
        <v>0</v>
      </c>
      <c r="AI1001">
        <v>202504</v>
      </c>
      <c r="AJ1001" t="s">
        <v>56</v>
      </c>
      <c r="AK1001">
        <v>0</v>
      </c>
      <c r="AL1001">
        <v>1</v>
      </c>
      <c r="AO1001">
        <v>0</v>
      </c>
      <c r="AP1001" t="s">
        <v>3015</v>
      </c>
      <c r="AQ1001" t="s">
        <v>3084</v>
      </c>
      <c r="AR1001" t="s">
        <v>3085</v>
      </c>
      <c r="AS1001" t="s">
        <v>3046</v>
      </c>
      <c r="AU1001" t="s">
        <v>3046</v>
      </c>
    </row>
    <row r="1002" spans="1:47" x14ac:dyDescent="0.35">
      <c r="A1002">
        <v>329172</v>
      </c>
      <c r="B1002" t="s">
        <v>164</v>
      </c>
      <c r="C1002" t="s">
        <v>165</v>
      </c>
      <c r="D1002" s="2">
        <v>45749</v>
      </c>
      <c r="E1002">
        <v>53850</v>
      </c>
      <c r="F1002">
        <v>191</v>
      </c>
      <c r="G1002" t="s">
        <v>102</v>
      </c>
      <c r="H1002" t="s">
        <v>167</v>
      </c>
      <c r="I1002" t="s">
        <v>45</v>
      </c>
      <c r="K1002" t="s">
        <v>1275</v>
      </c>
      <c r="L1002">
        <v>1913300068419</v>
      </c>
      <c r="M1002">
        <v>20250401</v>
      </c>
      <c r="N1002" t="s">
        <v>168</v>
      </c>
      <c r="P1002" t="s">
        <v>255</v>
      </c>
      <c r="Q1002" t="s">
        <v>47</v>
      </c>
      <c r="R1002">
        <v>1840</v>
      </c>
      <c r="S1002">
        <v>0</v>
      </c>
      <c r="T1002">
        <v>4961778</v>
      </c>
      <c r="U1002">
        <v>3279060739</v>
      </c>
      <c r="V1002" t="s">
        <v>1276</v>
      </c>
      <c r="W1002" t="s">
        <v>49</v>
      </c>
      <c r="X1002" t="s">
        <v>839</v>
      </c>
      <c r="Y1002" t="s">
        <v>51</v>
      </c>
      <c r="Z1002">
        <v>1915</v>
      </c>
      <c r="AH1002">
        <v>0</v>
      </c>
      <c r="AI1002">
        <v>202504</v>
      </c>
      <c r="AJ1002" t="s">
        <v>119</v>
      </c>
      <c r="AK1002">
        <v>1</v>
      </c>
      <c r="AL1002">
        <v>1</v>
      </c>
      <c r="AO1002">
        <v>0</v>
      </c>
      <c r="AP1002" t="s">
        <v>3015</v>
      </c>
      <c r="AQ1002" t="s">
        <v>3012</v>
      </c>
      <c r="AR1002" t="s">
        <v>3016</v>
      </c>
      <c r="AT1002" t="s">
        <v>3017</v>
      </c>
      <c r="AU1002" t="s">
        <v>3018</v>
      </c>
    </row>
    <row r="1003" spans="1:47" x14ac:dyDescent="0.35">
      <c r="A1003">
        <v>329171</v>
      </c>
      <c r="B1003" t="s">
        <v>178</v>
      </c>
      <c r="C1003" t="s">
        <v>179</v>
      </c>
      <c r="D1003" s="2">
        <v>45749</v>
      </c>
      <c r="E1003">
        <v>53850</v>
      </c>
      <c r="F1003">
        <v>105</v>
      </c>
      <c r="G1003" t="s">
        <v>60</v>
      </c>
      <c r="H1003" t="s">
        <v>167</v>
      </c>
      <c r="I1003" t="s">
        <v>45</v>
      </c>
      <c r="K1003">
        <v>202504017858097</v>
      </c>
      <c r="L1003">
        <v>1053306288710</v>
      </c>
      <c r="M1003">
        <v>20250401</v>
      </c>
      <c r="N1003" t="s">
        <v>46</v>
      </c>
      <c r="P1003" t="s">
        <v>51</v>
      </c>
      <c r="Q1003" t="s">
        <v>47</v>
      </c>
      <c r="R1003">
        <v>1154498.28</v>
      </c>
      <c r="S1003">
        <v>0</v>
      </c>
      <c r="T1003">
        <v>522982</v>
      </c>
      <c r="U1003" t="s">
        <v>1258</v>
      </c>
      <c r="V1003" t="s">
        <v>1259</v>
      </c>
      <c r="W1003" t="s">
        <v>187</v>
      </c>
      <c r="Y1003" t="s">
        <v>51</v>
      </c>
      <c r="Z1003">
        <v>833</v>
      </c>
      <c r="AH1003">
        <v>0</v>
      </c>
      <c r="AI1003">
        <v>202504</v>
      </c>
      <c r="AJ1003" t="s">
        <v>56</v>
      </c>
      <c r="AK1003">
        <v>0</v>
      </c>
      <c r="AL1003">
        <v>1</v>
      </c>
      <c r="AO1003">
        <v>0</v>
      </c>
      <c r="AP1003" t="s">
        <v>3015</v>
      </c>
      <c r="AQ1003" t="s">
        <v>3044</v>
      </c>
      <c r="AR1003" t="s">
        <v>3045</v>
      </c>
      <c r="AS1003" t="s">
        <v>3046</v>
      </c>
      <c r="AU1003" t="s">
        <v>3046</v>
      </c>
    </row>
    <row r="1004" spans="1:47" x14ac:dyDescent="0.35">
      <c r="A1004">
        <v>329170</v>
      </c>
      <c r="B1004" t="s">
        <v>164</v>
      </c>
      <c r="C1004" t="s">
        <v>165</v>
      </c>
      <c r="D1004" s="2">
        <v>45749</v>
      </c>
      <c r="E1004">
        <v>53850</v>
      </c>
      <c r="F1004">
        <v>128</v>
      </c>
      <c r="G1004" t="s">
        <v>94</v>
      </c>
      <c r="H1004" t="s">
        <v>167</v>
      </c>
      <c r="I1004" t="s">
        <v>45</v>
      </c>
      <c r="K1004">
        <v>202504017858290</v>
      </c>
      <c r="L1004">
        <v>1283300002423</v>
      </c>
      <c r="M1004">
        <v>20250401</v>
      </c>
      <c r="N1004" t="s">
        <v>168</v>
      </c>
      <c r="P1004" t="s">
        <v>435</v>
      </c>
      <c r="Q1004" t="s">
        <v>47</v>
      </c>
      <c r="R1004">
        <v>15000</v>
      </c>
      <c r="S1004">
        <v>0</v>
      </c>
      <c r="T1004">
        <v>4582492</v>
      </c>
      <c r="U1004" t="s">
        <v>541</v>
      </c>
      <c r="V1004" t="s">
        <v>542</v>
      </c>
      <c r="W1004" t="s">
        <v>187</v>
      </c>
      <c r="Y1004" t="s">
        <v>51</v>
      </c>
      <c r="Z1004">
        <v>726</v>
      </c>
      <c r="AH1004">
        <v>0</v>
      </c>
      <c r="AI1004">
        <v>202504</v>
      </c>
      <c r="AJ1004" t="s">
        <v>52</v>
      </c>
      <c r="AK1004">
        <v>0</v>
      </c>
      <c r="AL1004">
        <v>1</v>
      </c>
      <c r="AO1004">
        <v>0</v>
      </c>
      <c r="AP1004" t="s">
        <v>3015</v>
      </c>
      <c r="AQ1004" t="s">
        <v>3044</v>
      </c>
      <c r="AR1004" t="s">
        <v>3045</v>
      </c>
      <c r="AS1004" t="s">
        <v>3046</v>
      </c>
      <c r="AU1004" t="s">
        <v>3046</v>
      </c>
    </row>
    <row r="1005" spans="1:47" x14ac:dyDescent="0.35">
      <c r="A1005">
        <v>329169</v>
      </c>
      <c r="B1005" t="s">
        <v>178</v>
      </c>
      <c r="C1005" t="s">
        <v>179</v>
      </c>
      <c r="D1005" s="2">
        <v>45749</v>
      </c>
      <c r="E1005">
        <v>53850</v>
      </c>
      <c r="F1005">
        <v>226</v>
      </c>
      <c r="G1005" t="s">
        <v>129</v>
      </c>
      <c r="H1005" t="s">
        <v>167</v>
      </c>
      <c r="I1005" t="s">
        <v>45</v>
      </c>
      <c r="K1005">
        <v>202504017857996</v>
      </c>
      <c r="L1005">
        <v>2263300011408</v>
      </c>
      <c r="M1005">
        <v>20250401</v>
      </c>
      <c r="N1005" t="s">
        <v>46</v>
      </c>
      <c r="P1005" t="s">
        <v>51</v>
      </c>
      <c r="Q1005" t="s">
        <v>47</v>
      </c>
      <c r="R1005">
        <v>242516.36</v>
      </c>
      <c r="S1005">
        <v>0</v>
      </c>
      <c r="T1005">
        <v>4542597</v>
      </c>
      <c r="U1005" t="s">
        <v>1277</v>
      </c>
      <c r="V1005" t="s">
        <v>1278</v>
      </c>
      <c r="W1005" t="s">
        <v>187</v>
      </c>
      <c r="Y1005" t="s">
        <v>51</v>
      </c>
      <c r="Z1005">
        <v>1395</v>
      </c>
      <c r="AH1005">
        <v>0</v>
      </c>
      <c r="AI1005">
        <v>202504</v>
      </c>
      <c r="AJ1005" t="s">
        <v>86</v>
      </c>
      <c r="AK1005">
        <v>1</v>
      </c>
      <c r="AL1005">
        <v>1</v>
      </c>
      <c r="AO1005">
        <v>0</v>
      </c>
      <c r="AP1005" t="s">
        <v>3015</v>
      </c>
      <c r="AQ1005" t="s">
        <v>3044</v>
      </c>
      <c r="AR1005" t="s">
        <v>3045</v>
      </c>
      <c r="AS1005" t="s">
        <v>3046</v>
      </c>
      <c r="AU1005" t="s">
        <v>3046</v>
      </c>
    </row>
    <row r="1006" spans="1:47" x14ac:dyDescent="0.35">
      <c r="A1006">
        <v>329168</v>
      </c>
      <c r="B1006" t="s">
        <v>178</v>
      </c>
      <c r="C1006" t="s">
        <v>179</v>
      </c>
      <c r="D1006" s="2">
        <v>45749</v>
      </c>
      <c r="E1006">
        <v>53850</v>
      </c>
      <c r="F1006">
        <v>109</v>
      </c>
      <c r="G1006" t="s">
        <v>89</v>
      </c>
      <c r="H1006" t="s">
        <v>167</v>
      </c>
      <c r="I1006" t="s">
        <v>45</v>
      </c>
      <c r="K1006">
        <v>202504017860077</v>
      </c>
      <c r="L1006">
        <v>1095500086659</v>
      </c>
      <c r="M1006">
        <v>20250401</v>
      </c>
      <c r="N1006" t="s">
        <v>794</v>
      </c>
      <c r="Q1006" t="s">
        <v>170</v>
      </c>
      <c r="R1006">
        <v>240594.1</v>
      </c>
      <c r="S1006">
        <v>0</v>
      </c>
      <c r="T1006">
        <v>565141</v>
      </c>
      <c r="U1006" t="s">
        <v>1279</v>
      </c>
      <c r="V1006" t="s">
        <v>1280</v>
      </c>
      <c r="W1006" t="s">
        <v>187</v>
      </c>
      <c r="Y1006" t="s">
        <v>51</v>
      </c>
      <c r="Z1006">
        <v>778</v>
      </c>
      <c r="AH1006">
        <v>0</v>
      </c>
      <c r="AI1006">
        <v>202504</v>
      </c>
      <c r="AJ1006" t="s">
        <v>86</v>
      </c>
      <c r="AK1006">
        <v>1</v>
      </c>
      <c r="AL1006">
        <v>1</v>
      </c>
      <c r="AO1006">
        <v>0</v>
      </c>
      <c r="AP1006" t="s">
        <v>3015</v>
      </c>
      <c r="AQ1006" t="s">
        <v>3044</v>
      </c>
      <c r="AR1006" t="s">
        <v>3045</v>
      </c>
      <c r="AS1006" t="s">
        <v>3046</v>
      </c>
      <c r="AU1006" t="s">
        <v>3046</v>
      </c>
    </row>
    <row r="1007" spans="1:47" x14ac:dyDescent="0.35">
      <c r="A1007">
        <v>329167</v>
      </c>
      <c r="B1007" t="s">
        <v>214</v>
      </c>
      <c r="C1007" t="s">
        <v>215</v>
      </c>
      <c r="D1007" s="2">
        <v>45749</v>
      </c>
      <c r="E1007">
        <v>53850</v>
      </c>
      <c r="F1007">
        <v>270</v>
      </c>
      <c r="G1007" t="s">
        <v>524</v>
      </c>
      <c r="H1007" t="s">
        <v>167</v>
      </c>
      <c r="I1007" t="s">
        <v>45</v>
      </c>
      <c r="K1007">
        <v>202504017858299</v>
      </c>
      <c r="L1007">
        <v>2703300010876</v>
      </c>
      <c r="M1007">
        <v>20250401</v>
      </c>
      <c r="N1007" t="s">
        <v>168</v>
      </c>
      <c r="P1007" t="s">
        <v>217</v>
      </c>
      <c r="Q1007" t="s">
        <v>47</v>
      </c>
      <c r="R1007">
        <v>22180.77</v>
      </c>
      <c r="S1007">
        <v>0</v>
      </c>
      <c r="T1007">
        <v>3741353</v>
      </c>
      <c r="U1007" t="s">
        <v>1266</v>
      </c>
      <c r="V1007" t="s">
        <v>1267</v>
      </c>
      <c r="W1007" t="s">
        <v>696</v>
      </c>
      <c r="Y1007" t="s">
        <v>217</v>
      </c>
      <c r="Z1007">
        <v>1809</v>
      </c>
      <c r="AH1007">
        <v>0</v>
      </c>
      <c r="AI1007">
        <v>202504</v>
      </c>
      <c r="AJ1007" t="s">
        <v>56</v>
      </c>
      <c r="AK1007">
        <v>0</v>
      </c>
      <c r="AL1007">
        <v>1</v>
      </c>
      <c r="AO1007">
        <v>0</v>
      </c>
      <c r="AP1007" t="s">
        <v>3015</v>
      </c>
      <c r="AQ1007" t="s">
        <v>3084</v>
      </c>
      <c r="AR1007" t="s">
        <v>3085</v>
      </c>
      <c r="AS1007" t="s">
        <v>3046</v>
      </c>
      <c r="AU1007" t="s">
        <v>3046</v>
      </c>
    </row>
    <row r="1008" spans="1:47" x14ac:dyDescent="0.35">
      <c r="A1008">
        <v>329166</v>
      </c>
      <c r="B1008" t="s">
        <v>178</v>
      </c>
      <c r="C1008" t="s">
        <v>179</v>
      </c>
      <c r="D1008" s="2">
        <v>45749</v>
      </c>
      <c r="E1008">
        <v>53850</v>
      </c>
      <c r="F1008">
        <v>171</v>
      </c>
      <c r="G1008" t="s">
        <v>198</v>
      </c>
      <c r="H1008" t="s">
        <v>167</v>
      </c>
      <c r="I1008" t="s">
        <v>45</v>
      </c>
      <c r="K1008">
        <v>202504017859421</v>
      </c>
      <c r="L1008">
        <v>1713302213842</v>
      </c>
      <c r="M1008">
        <v>20250401</v>
      </c>
      <c r="N1008" t="s">
        <v>258</v>
      </c>
      <c r="Q1008" t="s">
        <v>170</v>
      </c>
      <c r="R1008">
        <v>1415418.69</v>
      </c>
      <c r="S1008">
        <v>0</v>
      </c>
      <c r="T1008">
        <v>4148505</v>
      </c>
      <c r="U1008">
        <v>5848860721</v>
      </c>
      <c r="V1008" t="s">
        <v>1281</v>
      </c>
      <c r="W1008" t="s">
        <v>49</v>
      </c>
      <c r="X1008" t="s">
        <v>260</v>
      </c>
      <c r="Y1008" t="s">
        <v>51</v>
      </c>
      <c r="Z1008">
        <v>1903</v>
      </c>
      <c r="AH1008">
        <v>0</v>
      </c>
      <c r="AI1008">
        <v>202504</v>
      </c>
      <c r="AJ1008" t="s">
        <v>114</v>
      </c>
      <c r="AK1008">
        <v>1</v>
      </c>
      <c r="AL1008">
        <v>1</v>
      </c>
      <c r="AO1008">
        <v>0</v>
      </c>
      <c r="AP1008" t="s">
        <v>3015</v>
      </c>
      <c r="AQ1008" t="s">
        <v>3012</v>
      </c>
      <c r="AR1008" t="s">
        <v>3016</v>
      </c>
      <c r="AT1008" t="s">
        <v>3017</v>
      </c>
      <c r="AU1008" t="s">
        <v>3018</v>
      </c>
    </row>
    <row r="1009" spans="1:47" x14ac:dyDescent="0.35">
      <c r="A1009">
        <v>329165</v>
      </c>
      <c r="B1009" t="s">
        <v>172</v>
      </c>
      <c r="C1009" t="s">
        <v>173</v>
      </c>
      <c r="D1009" s="2">
        <v>45749</v>
      </c>
      <c r="E1009">
        <v>53850</v>
      </c>
      <c r="F1009">
        <v>121</v>
      </c>
      <c r="G1009" t="s">
        <v>140</v>
      </c>
      <c r="H1009" t="s">
        <v>167</v>
      </c>
      <c r="I1009" t="s">
        <v>45</v>
      </c>
      <c r="K1009" t="s">
        <v>1255</v>
      </c>
      <c r="L1009">
        <v>1093300013190</v>
      </c>
      <c r="M1009">
        <v>20250401</v>
      </c>
      <c r="N1009" t="s">
        <v>175</v>
      </c>
      <c r="Q1009" t="s">
        <v>47</v>
      </c>
      <c r="R1009">
        <v>135956.74</v>
      </c>
      <c r="S1009">
        <v>0</v>
      </c>
      <c r="T1009">
        <v>1319</v>
      </c>
      <c r="U1009">
        <v>257660720</v>
      </c>
      <c r="V1009" t="s">
        <v>1282</v>
      </c>
      <c r="W1009" t="s">
        <v>49</v>
      </c>
      <c r="X1009" t="s">
        <v>698</v>
      </c>
      <c r="Y1009" t="s">
        <v>51</v>
      </c>
      <c r="Z1009">
        <v>1696</v>
      </c>
      <c r="AH1009">
        <v>0</v>
      </c>
      <c r="AI1009">
        <v>202504</v>
      </c>
      <c r="AJ1009" t="s">
        <v>56</v>
      </c>
      <c r="AK1009">
        <v>0</v>
      </c>
      <c r="AL1009">
        <v>1</v>
      </c>
      <c r="AO1009">
        <v>1</v>
      </c>
      <c r="AP1009" t="s">
        <v>3015</v>
      </c>
      <c r="AQ1009" t="s">
        <v>3012</v>
      </c>
      <c r="AR1009" t="s">
        <v>3016</v>
      </c>
      <c r="AT1009" t="s">
        <v>3017</v>
      </c>
      <c r="AU1009" t="s">
        <v>3018</v>
      </c>
    </row>
    <row r="1010" spans="1:47" x14ac:dyDescent="0.35">
      <c r="A1010">
        <v>329164</v>
      </c>
      <c r="B1010" t="s">
        <v>178</v>
      </c>
      <c r="C1010" t="s">
        <v>179</v>
      </c>
      <c r="D1010" s="2">
        <v>45749</v>
      </c>
      <c r="E1010">
        <v>53850</v>
      </c>
      <c r="F1010">
        <v>102</v>
      </c>
      <c r="G1010" t="s">
        <v>151</v>
      </c>
      <c r="H1010" t="s">
        <v>167</v>
      </c>
      <c r="I1010" t="s">
        <v>45</v>
      </c>
      <c r="K1010">
        <v>202504017857363</v>
      </c>
      <c r="L1010">
        <v>1023308727499</v>
      </c>
      <c r="M1010">
        <v>20250401</v>
      </c>
      <c r="N1010" t="s">
        <v>46</v>
      </c>
      <c r="P1010" t="s">
        <v>51</v>
      </c>
      <c r="Q1010" t="s">
        <v>47</v>
      </c>
      <c r="R1010">
        <v>300000</v>
      </c>
      <c r="S1010">
        <v>0</v>
      </c>
      <c r="T1010">
        <v>187212</v>
      </c>
      <c r="U1010" t="s">
        <v>1283</v>
      </c>
      <c r="V1010" t="s">
        <v>1284</v>
      </c>
      <c r="W1010" t="s">
        <v>187</v>
      </c>
      <c r="Y1010" t="s">
        <v>51</v>
      </c>
      <c r="Z1010">
        <v>1335</v>
      </c>
      <c r="AH1010">
        <v>0</v>
      </c>
      <c r="AI1010">
        <v>202504</v>
      </c>
      <c r="AJ1010" t="s">
        <v>56</v>
      </c>
      <c r="AK1010">
        <v>0</v>
      </c>
      <c r="AL1010">
        <v>1</v>
      </c>
      <c r="AO1010">
        <v>0</v>
      </c>
      <c r="AP1010" t="s">
        <v>3015</v>
      </c>
      <c r="AQ1010" t="s">
        <v>3044</v>
      </c>
      <c r="AR1010" t="s">
        <v>3045</v>
      </c>
      <c r="AS1010" t="s">
        <v>3046</v>
      </c>
      <c r="AU1010" t="s">
        <v>3046</v>
      </c>
    </row>
    <row r="1011" spans="1:47" x14ac:dyDescent="0.35">
      <c r="A1011">
        <v>329163</v>
      </c>
      <c r="B1011" t="s">
        <v>193</v>
      </c>
      <c r="C1011" t="s">
        <v>194</v>
      </c>
      <c r="D1011" s="2">
        <v>45749</v>
      </c>
      <c r="E1011">
        <v>53850</v>
      </c>
      <c r="F1011">
        <v>171</v>
      </c>
      <c r="G1011" t="s">
        <v>198</v>
      </c>
      <c r="H1011" t="s">
        <v>167</v>
      </c>
      <c r="I1011" t="s">
        <v>45</v>
      </c>
      <c r="K1011" t="s">
        <v>1255</v>
      </c>
      <c r="L1011">
        <v>1713305728950</v>
      </c>
      <c r="M1011">
        <v>20250401</v>
      </c>
      <c r="N1011" t="s">
        <v>175</v>
      </c>
      <c r="Q1011" t="s">
        <v>47</v>
      </c>
      <c r="R1011">
        <v>224517.49</v>
      </c>
      <c r="S1011">
        <v>218237.49</v>
      </c>
      <c r="T1011">
        <v>572895</v>
      </c>
      <c r="U1011">
        <v>4161600723</v>
      </c>
      <c r="V1011" t="s">
        <v>199</v>
      </c>
      <c r="W1011" t="s">
        <v>49</v>
      </c>
      <c r="X1011" t="s">
        <v>200</v>
      </c>
      <c r="Y1011" t="s">
        <v>51</v>
      </c>
      <c r="Z1011">
        <v>1903</v>
      </c>
      <c r="AH1011">
        <v>0</v>
      </c>
      <c r="AI1011">
        <v>202504</v>
      </c>
      <c r="AJ1011" t="s">
        <v>56</v>
      </c>
      <c r="AK1011">
        <v>0</v>
      </c>
      <c r="AL1011">
        <v>1</v>
      </c>
      <c r="AM1011">
        <v>572895</v>
      </c>
      <c r="AN1011">
        <v>1</v>
      </c>
      <c r="AO1011">
        <v>1</v>
      </c>
      <c r="AP1011" t="s">
        <v>3015</v>
      </c>
      <c r="AQ1011" t="s">
        <v>3012</v>
      </c>
      <c r="AR1011" t="s">
        <v>3016</v>
      </c>
      <c r="AT1011" t="s">
        <v>3017</v>
      </c>
      <c r="AU1011" t="s">
        <v>3018</v>
      </c>
    </row>
    <row r="1012" spans="1:47" x14ac:dyDescent="0.35">
      <c r="A1012">
        <v>329162</v>
      </c>
      <c r="B1012" t="s">
        <v>193</v>
      </c>
      <c r="C1012" t="s">
        <v>194</v>
      </c>
      <c r="D1012" s="2">
        <v>45749</v>
      </c>
      <c r="E1012">
        <v>53850</v>
      </c>
      <c r="F1012">
        <v>102</v>
      </c>
      <c r="G1012" t="s">
        <v>151</v>
      </c>
      <c r="H1012" t="s">
        <v>167</v>
      </c>
      <c r="I1012" t="s">
        <v>45</v>
      </c>
      <c r="K1012" t="s">
        <v>1255</v>
      </c>
      <c r="L1012">
        <v>1023308722503</v>
      </c>
      <c r="M1012">
        <v>20250401</v>
      </c>
      <c r="N1012" t="s">
        <v>195</v>
      </c>
      <c r="Q1012" t="s">
        <v>47</v>
      </c>
      <c r="R1012">
        <v>58490</v>
      </c>
      <c r="S1012">
        <v>58490</v>
      </c>
      <c r="T1012">
        <v>413650</v>
      </c>
      <c r="U1012">
        <v>3657230722</v>
      </c>
      <c r="V1012" t="s">
        <v>196</v>
      </c>
      <c r="W1012" t="s">
        <v>190</v>
      </c>
      <c r="X1012" t="s">
        <v>197</v>
      </c>
      <c r="Y1012" t="s">
        <v>51</v>
      </c>
      <c r="Z1012">
        <v>1306</v>
      </c>
      <c r="AH1012">
        <v>0</v>
      </c>
      <c r="AI1012">
        <v>202504</v>
      </c>
      <c r="AJ1012" t="s">
        <v>56</v>
      </c>
      <c r="AK1012">
        <v>0</v>
      </c>
      <c r="AL1012">
        <v>1</v>
      </c>
      <c r="AM1012">
        <v>413650</v>
      </c>
      <c r="AN1012">
        <v>1</v>
      </c>
      <c r="AO1012">
        <v>0</v>
      </c>
      <c r="AP1012" t="s">
        <v>3050</v>
      </c>
      <c r="AQ1012" t="s">
        <v>3047</v>
      </c>
      <c r="AR1012" t="s">
        <v>3051</v>
      </c>
      <c r="AS1012" t="s">
        <v>3049</v>
      </c>
      <c r="AU1012" t="s">
        <v>3049</v>
      </c>
    </row>
    <row r="1013" spans="1:47" x14ac:dyDescent="0.35">
      <c r="A1013">
        <v>329161</v>
      </c>
      <c r="B1013" t="s">
        <v>214</v>
      </c>
      <c r="C1013" t="s">
        <v>215</v>
      </c>
      <c r="D1013" s="2">
        <v>45749</v>
      </c>
      <c r="E1013">
        <v>53850</v>
      </c>
      <c r="F1013">
        <v>270</v>
      </c>
      <c r="G1013" t="s">
        <v>524</v>
      </c>
      <c r="H1013" t="s">
        <v>167</v>
      </c>
      <c r="I1013" t="s">
        <v>45</v>
      </c>
      <c r="K1013">
        <v>202504017858298</v>
      </c>
      <c r="L1013">
        <v>2703300010876</v>
      </c>
      <c r="M1013">
        <v>20250401</v>
      </c>
      <c r="N1013" t="s">
        <v>168</v>
      </c>
      <c r="P1013" t="s">
        <v>217</v>
      </c>
      <c r="Q1013" t="s">
        <v>47</v>
      </c>
      <c r="R1013">
        <v>38228.06</v>
      </c>
      <c r="S1013">
        <v>0</v>
      </c>
      <c r="T1013">
        <v>3741353</v>
      </c>
      <c r="U1013" t="s">
        <v>1266</v>
      </c>
      <c r="V1013" t="s">
        <v>1267</v>
      </c>
      <c r="W1013" t="s">
        <v>696</v>
      </c>
      <c r="Y1013" t="s">
        <v>217</v>
      </c>
      <c r="Z1013">
        <v>1809</v>
      </c>
      <c r="AH1013">
        <v>0</v>
      </c>
      <c r="AI1013">
        <v>202504</v>
      </c>
      <c r="AJ1013" t="s">
        <v>56</v>
      </c>
      <c r="AK1013">
        <v>0</v>
      </c>
      <c r="AL1013">
        <v>1</v>
      </c>
      <c r="AO1013">
        <v>0</v>
      </c>
      <c r="AP1013" t="s">
        <v>3015</v>
      </c>
      <c r="AQ1013" t="s">
        <v>3084</v>
      </c>
      <c r="AR1013" t="s">
        <v>3085</v>
      </c>
      <c r="AS1013" t="s">
        <v>3046</v>
      </c>
      <c r="AU1013" t="s">
        <v>3046</v>
      </c>
    </row>
    <row r="1014" spans="1:47" x14ac:dyDescent="0.35">
      <c r="A1014">
        <v>329160</v>
      </c>
      <c r="B1014" t="s">
        <v>471</v>
      </c>
      <c r="C1014" t="s">
        <v>472</v>
      </c>
      <c r="D1014" s="2">
        <v>45749</v>
      </c>
      <c r="E1014">
        <v>53850</v>
      </c>
      <c r="F1014">
        <v>270</v>
      </c>
      <c r="G1014" t="s">
        <v>524</v>
      </c>
      <c r="H1014" t="s">
        <v>167</v>
      </c>
      <c r="I1014" t="s">
        <v>45</v>
      </c>
      <c r="K1014">
        <v>202504017858298</v>
      </c>
      <c r="L1014">
        <v>2703300010876</v>
      </c>
      <c r="M1014">
        <v>20250401</v>
      </c>
      <c r="N1014" t="s">
        <v>168</v>
      </c>
      <c r="P1014" t="s">
        <v>217</v>
      </c>
      <c r="Q1014" t="s">
        <v>47</v>
      </c>
      <c r="R1014">
        <v>38228.06</v>
      </c>
      <c r="S1014">
        <v>0</v>
      </c>
      <c r="T1014">
        <v>3741353</v>
      </c>
      <c r="U1014" t="s">
        <v>1266</v>
      </c>
      <c r="V1014" t="s">
        <v>1267</v>
      </c>
      <c r="W1014" t="s">
        <v>696</v>
      </c>
      <c r="Y1014" t="s">
        <v>217</v>
      </c>
      <c r="Z1014">
        <v>1809</v>
      </c>
      <c r="AH1014">
        <v>0</v>
      </c>
      <c r="AI1014">
        <v>202504</v>
      </c>
      <c r="AJ1014" t="s">
        <v>56</v>
      </c>
      <c r="AK1014">
        <v>0</v>
      </c>
      <c r="AL1014">
        <v>1</v>
      </c>
      <c r="AO1014">
        <v>0</v>
      </c>
      <c r="AP1014" t="s">
        <v>3015</v>
      </c>
      <c r="AQ1014" t="s">
        <v>3084</v>
      </c>
      <c r="AR1014" t="s">
        <v>3085</v>
      </c>
      <c r="AS1014" t="s">
        <v>3046</v>
      </c>
      <c r="AU1014" t="s">
        <v>3046</v>
      </c>
    </row>
    <row r="1015" spans="1:47" x14ac:dyDescent="0.35">
      <c r="A1015">
        <v>329159</v>
      </c>
      <c r="B1015" t="s">
        <v>193</v>
      </c>
      <c r="C1015" t="s">
        <v>194</v>
      </c>
      <c r="D1015" s="2">
        <v>45749</v>
      </c>
      <c r="E1015">
        <v>53850</v>
      </c>
      <c r="F1015">
        <v>268</v>
      </c>
      <c r="G1015" t="s">
        <v>83</v>
      </c>
      <c r="H1015" t="s">
        <v>167</v>
      </c>
      <c r="I1015" t="s">
        <v>45</v>
      </c>
      <c r="K1015" t="s">
        <v>1255</v>
      </c>
      <c r="L1015">
        <v>2683300010030</v>
      </c>
      <c r="M1015">
        <v>20250401</v>
      </c>
      <c r="N1015" t="s">
        <v>195</v>
      </c>
      <c r="Q1015" t="s">
        <v>47</v>
      </c>
      <c r="R1015">
        <v>30965</v>
      </c>
      <c r="S1015">
        <v>30965</v>
      </c>
      <c r="T1015">
        <v>4966939</v>
      </c>
      <c r="U1015" t="s">
        <v>221</v>
      </c>
      <c r="V1015" t="s">
        <v>222</v>
      </c>
      <c r="W1015" t="s">
        <v>69</v>
      </c>
      <c r="X1015" t="s">
        <v>55</v>
      </c>
      <c r="Y1015" t="s">
        <v>51</v>
      </c>
      <c r="Z1015">
        <v>1870</v>
      </c>
      <c r="AH1015">
        <v>0</v>
      </c>
      <c r="AI1015">
        <v>202504</v>
      </c>
      <c r="AJ1015" t="s">
        <v>56</v>
      </c>
      <c r="AK1015">
        <v>0</v>
      </c>
      <c r="AL1015">
        <v>1</v>
      </c>
      <c r="AM1015">
        <v>4966939</v>
      </c>
      <c r="AN1015">
        <v>1</v>
      </c>
      <c r="AO1015">
        <v>0</v>
      </c>
      <c r="AP1015" t="s">
        <v>3015</v>
      </c>
      <c r="AQ1015" t="s">
        <v>3021</v>
      </c>
      <c r="AR1015" t="s">
        <v>3022</v>
      </c>
      <c r="AT1015" t="s">
        <v>3017</v>
      </c>
      <c r="AU1015" t="s">
        <v>3014</v>
      </c>
    </row>
    <row r="1016" spans="1:47" x14ac:dyDescent="0.35">
      <c r="A1016">
        <v>329158</v>
      </c>
      <c r="B1016" t="s">
        <v>178</v>
      </c>
      <c r="C1016" t="s">
        <v>179</v>
      </c>
      <c r="D1016" s="2">
        <v>45749</v>
      </c>
      <c r="E1016">
        <v>53850</v>
      </c>
      <c r="F1016">
        <v>170</v>
      </c>
      <c r="G1016" t="s">
        <v>211</v>
      </c>
      <c r="H1016" t="s">
        <v>167</v>
      </c>
      <c r="I1016" t="s">
        <v>45</v>
      </c>
      <c r="K1016">
        <v>202504017859384</v>
      </c>
      <c r="L1016">
        <v>1703306288195</v>
      </c>
      <c r="M1016">
        <v>20250401</v>
      </c>
      <c r="N1016" t="s">
        <v>1263</v>
      </c>
      <c r="Q1016" t="s">
        <v>47</v>
      </c>
      <c r="R1016">
        <v>2131682.06</v>
      </c>
      <c r="S1016">
        <v>0</v>
      </c>
      <c r="T1016">
        <v>4401631</v>
      </c>
      <c r="U1016">
        <v>4724350725</v>
      </c>
      <c r="V1016" t="s">
        <v>949</v>
      </c>
      <c r="W1016" t="s">
        <v>49</v>
      </c>
      <c r="X1016" t="s">
        <v>241</v>
      </c>
      <c r="Y1016" t="s">
        <v>51</v>
      </c>
      <c r="Z1016">
        <v>1919</v>
      </c>
      <c r="AH1016">
        <v>0</v>
      </c>
      <c r="AI1016">
        <v>202504</v>
      </c>
      <c r="AJ1016" t="s">
        <v>86</v>
      </c>
      <c r="AK1016">
        <v>1</v>
      </c>
      <c r="AL1016">
        <v>1</v>
      </c>
      <c r="AO1016">
        <v>0</v>
      </c>
      <c r="AP1016" t="s">
        <v>3015</v>
      </c>
      <c r="AQ1016" t="s">
        <v>3012</v>
      </c>
      <c r="AR1016" t="s">
        <v>3016</v>
      </c>
      <c r="AT1016" t="s">
        <v>3017</v>
      </c>
      <c r="AU1016" t="s">
        <v>3018</v>
      </c>
    </row>
    <row r="1017" spans="1:47" x14ac:dyDescent="0.35">
      <c r="A1017">
        <v>329157</v>
      </c>
      <c r="B1017" t="s">
        <v>172</v>
      </c>
      <c r="C1017" t="s">
        <v>173</v>
      </c>
      <c r="D1017" s="2">
        <v>45749</v>
      </c>
      <c r="E1017">
        <v>53850</v>
      </c>
      <c r="F1017">
        <v>102</v>
      </c>
      <c r="G1017" t="s">
        <v>151</v>
      </c>
      <c r="H1017" t="s">
        <v>167</v>
      </c>
      <c r="I1017" t="s">
        <v>45</v>
      </c>
      <c r="K1017">
        <v>202504017860017</v>
      </c>
      <c r="L1017">
        <v>1023306165160</v>
      </c>
      <c r="M1017">
        <v>20250401</v>
      </c>
      <c r="N1017" t="s">
        <v>81</v>
      </c>
      <c r="Q1017" t="s">
        <v>47</v>
      </c>
      <c r="R1017">
        <v>100000</v>
      </c>
      <c r="S1017">
        <v>0</v>
      </c>
      <c r="T1017">
        <v>616516</v>
      </c>
      <c r="U1017" t="s">
        <v>1285</v>
      </c>
      <c r="V1017" t="s">
        <v>1286</v>
      </c>
      <c r="W1017" t="s">
        <v>69</v>
      </c>
      <c r="X1017" t="s">
        <v>724</v>
      </c>
      <c r="Y1017" t="s">
        <v>51</v>
      </c>
      <c r="Z1017">
        <v>1443</v>
      </c>
      <c r="AH1017">
        <v>0</v>
      </c>
      <c r="AI1017">
        <v>202504</v>
      </c>
      <c r="AJ1017" t="s">
        <v>56</v>
      </c>
      <c r="AK1017">
        <v>0</v>
      </c>
      <c r="AL1017">
        <v>1</v>
      </c>
      <c r="AO1017">
        <v>0</v>
      </c>
      <c r="AP1017" t="s">
        <v>3015</v>
      </c>
      <c r="AQ1017" t="s">
        <v>3021</v>
      </c>
      <c r="AR1017" t="s">
        <v>3022</v>
      </c>
      <c r="AT1017" t="s">
        <v>3017</v>
      </c>
      <c r="AU1017" t="s">
        <v>3014</v>
      </c>
    </row>
    <row r="1018" spans="1:47" x14ac:dyDescent="0.35">
      <c r="A1018">
        <v>352674</v>
      </c>
      <c r="B1018" t="s">
        <v>41</v>
      </c>
      <c r="C1018" t="s">
        <v>42</v>
      </c>
      <c r="D1018" s="2">
        <v>45822</v>
      </c>
      <c r="E1018">
        <v>53850</v>
      </c>
      <c r="F1018">
        <v>268</v>
      </c>
      <c r="G1018" t="s">
        <v>83</v>
      </c>
      <c r="H1018" t="s">
        <v>44</v>
      </c>
      <c r="I1018" t="s">
        <v>45</v>
      </c>
      <c r="L1018">
        <v>2683300010038</v>
      </c>
      <c r="M1018">
        <v>20250523</v>
      </c>
      <c r="N1018" t="s">
        <v>46</v>
      </c>
      <c r="Q1018" t="s">
        <v>47</v>
      </c>
      <c r="R1018">
        <v>239552.98</v>
      </c>
      <c r="T1018">
        <v>1604219</v>
      </c>
      <c r="U1018">
        <v>952850790</v>
      </c>
      <c r="V1018" t="s">
        <v>84</v>
      </c>
      <c r="W1018" t="s">
        <v>49</v>
      </c>
      <c r="X1018" t="s">
        <v>85</v>
      </c>
      <c r="Y1018" t="s">
        <v>51</v>
      </c>
      <c r="Z1018">
        <v>1627</v>
      </c>
      <c r="AH1018">
        <v>0</v>
      </c>
      <c r="AI1018">
        <v>202505</v>
      </c>
      <c r="AJ1018" t="s">
        <v>86</v>
      </c>
      <c r="AK1018">
        <v>1</v>
      </c>
      <c r="AL1018">
        <v>1</v>
      </c>
      <c r="AO1018">
        <v>0</v>
      </c>
      <c r="AP1018" t="s">
        <v>3015</v>
      </c>
      <c r="AQ1018" t="s">
        <v>3012</v>
      </c>
      <c r="AR1018" t="s">
        <v>3016</v>
      </c>
      <c r="AT1018" t="s">
        <v>3017</v>
      </c>
      <c r="AU1018" t="s">
        <v>3018</v>
      </c>
    </row>
    <row r="1019" spans="1:47" x14ac:dyDescent="0.35">
      <c r="A1019">
        <v>352672</v>
      </c>
      <c r="B1019" t="s">
        <v>41</v>
      </c>
      <c r="C1019" t="s">
        <v>42</v>
      </c>
      <c r="D1019" s="2">
        <v>45822</v>
      </c>
      <c r="E1019">
        <v>53850</v>
      </c>
      <c r="F1019">
        <v>148</v>
      </c>
      <c r="G1019" t="s">
        <v>78</v>
      </c>
      <c r="H1019" t="s">
        <v>44</v>
      </c>
      <c r="I1019" t="s">
        <v>45</v>
      </c>
      <c r="L1019">
        <v>1483300006067</v>
      </c>
      <c r="M1019">
        <v>20250507</v>
      </c>
      <c r="N1019" t="s">
        <v>46</v>
      </c>
      <c r="Q1019" t="s">
        <v>47</v>
      </c>
      <c r="R1019">
        <v>40000</v>
      </c>
      <c r="T1019">
        <v>3737044</v>
      </c>
      <c r="U1019">
        <v>15554071009</v>
      </c>
      <c r="V1019" t="s">
        <v>87</v>
      </c>
      <c r="W1019" t="s">
        <v>49</v>
      </c>
      <c r="X1019" t="s">
        <v>88</v>
      </c>
      <c r="Y1019" t="s">
        <v>51</v>
      </c>
      <c r="Z1019">
        <v>1196</v>
      </c>
      <c r="AH1019">
        <v>0</v>
      </c>
      <c r="AI1019">
        <v>202505</v>
      </c>
      <c r="AJ1019" t="s">
        <v>56</v>
      </c>
      <c r="AK1019">
        <v>0</v>
      </c>
      <c r="AL1019">
        <v>1</v>
      </c>
      <c r="AO1019">
        <v>0</v>
      </c>
      <c r="AP1019" t="s">
        <v>3015</v>
      </c>
      <c r="AQ1019" t="s">
        <v>3012</v>
      </c>
      <c r="AR1019" t="s">
        <v>3016</v>
      </c>
      <c r="AT1019" t="s">
        <v>3017</v>
      </c>
      <c r="AU1019" t="s">
        <v>3018</v>
      </c>
    </row>
    <row r="1020" spans="1:47" x14ac:dyDescent="0.35">
      <c r="A1020">
        <v>352658</v>
      </c>
      <c r="B1020" t="s">
        <v>41</v>
      </c>
      <c r="C1020" t="s">
        <v>42</v>
      </c>
      <c r="D1020" s="2">
        <v>45822</v>
      </c>
      <c r="E1020">
        <v>53850</v>
      </c>
      <c r="F1020">
        <v>147</v>
      </c>
      <c r="G1020" t="s">
        <v>771</v>
      </c>
      <c r="H1020" t="s">
        <v>44</v>
      </c>
      <c r="I1020" t="s">
        <v>45</v>
      </c>
      <c r="L1020">
        <v>1473300002800</v>
      </c>
      <c r="M1020">
        <v>20250507</v>
      </c>
      <c r="N1020" t="s">
        <v>46</v>
      </c>
      <c r="Q1020" t="s">
        <v>47</v>
      </c>
      <c r="R1020">
        <v>315100</v>
      </c>
      <c r="T1020">
        <v>4932680</v>
      </c>
      <c r="U1020">
        <v>4423920612</v>
      </c>
      <c r="V1020" t="s">
        <v>1287</v>
      </c>
      <c r="W1020" t="s">
        <v>49</v>
      </c>
      <c r="X1020" t="s">
        <v>364</v>
      </c>
      <c r="Y1020" t="s">
        <v>51</v>
      </c>
      <c r="Z1020">
        <v>1196</v>
      </c>
      <c r="AH1020">
        <v>0</v>
      </c>
      <c r="AI1020">
        <v>202505</v>
      </c>
      <c r="AJ1020" t="s">
        <v>56</v>
      </c>
      <c r="AK1020">
        <v>0</v>
      </c>
      <c r="AL1020">
        <v>1</v>
      </c>
      <c r="AO1020">
        <v>0</v>
      </c>
      <c r="AP1020" t="s">
        <v>3062</v>
      </c>
      <c r="AQ1020" t="s">
        <v>3012</v>
      </c>
      <c r="AR1020" t="s">
        <v>3063</v>
      </c>
      <c r="AS1020" t="s">
        <v>3014</v>
      </c>
      <c r="AU1020" t="s">
        <v>3014</v>
      </c>
    </row>
    <row r="1021" spans="1:47" x14ac:dyDescent="0.35">
      <c r="A1021">
        <v>352657</v>
      </c>
      <c r="B1021" t="s">
        <v>41</v>
      </c>
      <c r="C1021" t="s">
        <v>42</v>
      </c>
      <c r="D1021" s="2">
        <v>45822</v>
      </c>
      <c r="E1021">
        <v>53850</v>
      </c>
      <c r="F1021">
        <v>226</v>
      </c>
      <c r="G1021" t="s">
        <v>129</v>
      </c>
      <c r="H1021" t="s">
        <v>44</v>
      </c>
      <c r="I1021" t="s">
        <v>45</v>
      </c>
      <c r="L1021">
        <v>2263300010989</v>
      </c>
      <c r="M1021">
        <v>20250505</v>
      </c>
      <c r="N1021" t="s">
        <v>46</v>
      </c>
      <c r="Q1021" t="s">
        <v>47</v>
      </c>
      <c r="R1021">
        <v>45269.67</v>
      </c>
      <c r="T1021">
        <v>4804128</v>
      </c>
      <c r="U1021">
        <v>6363770725</v>
      </c>
      <c r="V1021" t="s">
        <v>130</v>
      </c>
      <c r="W1021" t="s">
        <v>49</v>
      </c>
      <c r="X1021" t="s">
        <v>131</v>
      </c>
      <c r="Y1021" t="s">
        <v>51</v>
      </c>
      <c r="Z1021">
        <v>1696</v>
      </c>
      <c r="AH1021">
        <v>0</v>
      </c>
      <c r="AI1021">
        <v>202505</v>
      </c>
      <c r="AJ1021" t="s">
        <v>114</v>
      </c>
      <c r="AK1021">
        <v>1</v>
      </c>
      <c r="AL1021">
        <v>1</v>
      </c>
      <c r="AO1021">
        <v>0</v>
      </c>
      <c r="AP1021" t="s">
        <v>3033</v>
      </c>
      <c r="AQ1021" t="s">
        <v>3012</v>
      </c>
      <c r="AR1021" t="s">
        <v>3034</v>
      </c>
      <c r="AS1021" t="s">
        <v>3014</v>
      </c>
      <c r="AU1021" t="s">
        <v>3014</v>
      </c>
    </row>
    <row r="1022" spans="1:47" x14ac:dyDescent="0.35">
      <c r="A1022">
        <v>352653</v>
      </c>
      <c r="B1022" t="s">
        <v>41</v>
      </c>
      <c r="C1022" t="s">
        <v>42</v>
      </c>
      <c r="D1022" s="2">
        <v>45822</v>
      </c>
      <c r="E1022">
        <v>53850</v>
      </c>
      <c r="F1022">
        <v>175</v>
      </c>
      <c r="G1022" t="s">
        <v>99</v>
      </c>
      <c r="H1022" t="s">
        <v>44</v>
      </c>
      <c r="I1022" t="s">
        <v>45</v>
      </c>
      <c r="L1022">
        <v>1753302203813</v>
      </c>
      <c r="M1022">
        <v>20250522</v>
      </c>
      <c r="N1022" t="s">
        <v>46</v>
      </c>
      <c r="Q1022" t="s">
        <v>47</v>
      </c>
      <c r="R1022">
        <v>150000</v>
      </c>
      <c r="T1022">
        <v>4907691</v>
      </c>
      <c r="U1022">
        <v>1146400773</v>
      </c>
      <c r="V1022" t="s">
        <v>1034</v>
      </c>
      <c r="W1022" t="s">
        <v>49</v>
      </c>
      <c r="X1022" t="s">
        <v>257</v>
      </c>
      <c r="Y1022" t="s">
        <v>51</v>
      </c>
      <c r="Z1022">
        <v>1926</v>
      </c>
      <c r="AH1022">
        <v>0</v>
      </c>
      <c r="AI1022">
        <v>202505</v>
      </c>
      <c r="AJ1022" t="s">
        <v>86</v>
      </c>
      <c r="AK1022">
        <v>1</v>
      </c>
      <c r="AL1022">
        <v>1</v>
      </c>
      <c r="AO1022">
        <v>0</v>
      </c>
      <c r="AP1022" t="s">
        <v>3015</v>
      </c>
      <c r="AQ1022" t="s">
        <v>3012</v>
      </c>
      <c r="AR1022" t="s">
        <v>3016</v>
      </c>
      <c r="AT1022" t="s">
        <v>3017</v>
      </c>
      <c r="AU1022" t="s">
        <v>3018</v>
      </c>
    </row>
    <row r="1023" spans="1:47" x14ac:dyDescent="0.35">
      <c r="A1023">
        <v>352652</v>
      </c>
      <c r="B1023" t="s">
        <v>41</v>
      </c>
      <c r="C1023" t="s">
        <v>42</v>
      </c>
      <c r="D1023" s="2">
        <v>45822</v>
      </c>
      <c r="E1023">
        <v>53850</v>
      </c>
      <c r="F1023">
        <v>109</v>
      </c>
      <c r="G1023" t="s">
        <v>89</v>
      </c>
      <c r="H1023" t="s">
        <v>44</v>
      </c>
      <c r="I1023" t="s">
        <v>45</v>
      </c>
      <c r="L1023">
        <v>1093306674353</v>
      </c>
      <c r="M1023">
        <v>20250519</v>
      </c>
      <c r="N1023" t="s">
        <v>46</v>
      </c>
      <c r="Q1023" t="s">
        <v>47</v>
      </c>
      <c r="R1023">
        <v>118651.23</v>
      </c>
      <c r="T1023">
        <v>4916449</v>
      </c>
      <c r="U1023">
        <v>8176830720</v>
      </c>
      <c r="V1023" t="s">
        <v>98</v>
      </c>
      <c r="W1023" t="s">
        <v>49</v>
      </c>
      <c r="X1023" t="s">
        <v>91</v>
      </c>
      <c r="Y1023" t="s">
        <v>51</v>
      </c>
      <c r="Z1023">
        <v>1903</v>
      </c>
      <c r="AH1023">
        <v>0</v>
      </c>
      <c r="AI1023">
        <v>202505</v>
      </c>
      <c r="AJ1023" t="s">
        <v>56</v>
      </c>
      <c r="AK1023">
        <v>0</v>
      </c>
      <c r="AL1023">
        <v>1</v>
      </c>
      <c r="AM1023">
        <v>4916449</v>
      </c>
      <c r="AN1023">
        <v>1</v>
      </c>
      <c r="AO1023">
        <v>0</v>
      </c>
      <c r="AP1023" t="s">
        <v>1100</v>
      </c>
      <c r="AQ1023" t="s">
        <v>3012</v>
      </c>
      <c r="AR1023" t="s">
        <v>3023</v>
      </c>
      <c r="AS1023" t="s">
        <v>3014</v>
      </c>
      <c r="AU1023" t="s">
        <v>3014</v>
      </c>
    </row>
    <row r="1024" spans="1:47" x14ac:dyDescent="0.35">
      <c r="A1024">
        <v>352650</v>
      </c>
      <c r="B1024" t="s">
        <v>41</v>
      </c>
      <c r="C1024" t="s">
        <v>42</v>
      </c>
      <c r="D1024" s="2">
        <v>45822</v>
      </c>
      <c r="E1024">
        <v>53850</v>
      </c>
      <c r="F1024">
        <v>108</v>
      </c>
      <c r="G1024" t="s">
        <v>124</v>
      </c>
      <c r="H1024" t="s">
        <v>44</v>
      </c>
      <c r="I1024" t="s">
        <v>45</v>
      </c>
      <c r="L1024">
        <v>1083300011180</v>
      </c>
      <c r="M1024">
        <v>20250502</v>
      </c>
      <c r="N1024" t="s">
        <v>46</v>
      </c>
      <c r="Q1024" t="s">
        <v>47</v>
      </c>
      <c r="R1024">
        <v>79846.03</v>
      </c>
      <c r="T1024">
        <v>1118</v>
      </c>
      <c r="U1024">
        <v>3246700722</v>
      </c>
      <c r="V1024" t="s">
        <v>125</v>
      </c>
      <c r="W1024" t="s">
        <v>49</v>
      </c>
      <c r="X1024" t="s">
        <v>96</v>
      </c>
      <c r="Y1024" t="s">
        <v>51</v>
      </c>
      <c r="Z1024">
        <v>1058</v>
      </c>
      <c r="AH1024">
        <v>0</v>
      </c>
      <c r="AI1024">
        <v>202505</v>
      </c>
      <c r="AJ1024" t="s">
        <v>52</v>
      </c>
      <c r="AK1024">
        <v>0</v>
      </c>
      <c r="AL1024">
        <v>1</v>
      </c>
      <c r="AO1024">
        <v>0</v>
      </c>
      <c r="AP1024" t="s">
        <v>3015</v>
      </c>
      <c r="AQ1024" t="s">
        <v>3012</v>
      </c>
      <c r="AR1024" t="s">
        <v>3016</v>
      </c>
      <c r="AT1024" t="s">
        <v>3017</v>
      </c>
      <c r="AU1024" t="s">
        <v>3018</v>
      </c>
    </row>
    <row r="1025" spans="1:47" x14ac:dyDescent="0.35">
      <c r="A1025">
        <v>352649</v>
      </c>
      <c r="B1025" t="s">
        <v>41</v>
      </c>
      <c r="C1025" t="s">
        <v>42</v>
      </c>
      <c r="D1025" s="2">
        <v>45822</v>
      </c>
      <c r="E1025">
        <v>53850</v>
      </c>
      <c r="F1025">
        <v>108</v>
      </c>
      <c r="G1025" t="s">
        <v>124</v>
      </c>
      <c r="H1025" t="s">
        <v>44</v>
      </c>
      <c r="I1025" t="s">
        <v>45</v>
      </c>
      <c r="L1025">
        <v>1083300011180</v>
      </c>
      <c r="M1025">
        <v>20250523</v>
      </c>
      <c r="N1025" t="s">
        <v>81</v>
      </c>
      <c r="Q1025" t="s">
        <v>47</v>
      </c>
      <c r="R1025">
        <v>60584.52</v>
      </c>
      <c r="T1025">
        <v>1118</v>
      </c>
      <c r="U1025">
        <v>3246700722</v>
      </c>
      <c r="V1025" t="s">
        <v>125</v>
      </c>
      <c r="W1025" t="s">
        <v>49</v>
      </c>
      <c r="X1025" t="s">
        <v>96</v>
      </c>
      <c r="Y1025" t="s">
        <v>51</v>
      </c>
      <c r="Z1025">
        <v>1058</v>
      </c>
      <c r="AH1025">
        <v>0</v>
      </c>
      <c r="AI1025">
        <v>202505</v>
      </c>
      <c r="AJ1025" t="s">
        <v>52</v>
      </c>
      <c r="AK1025">
        <v>0</v>
      </c>
      <c r="AL1025">
        <v>1</v>
      </c>
      <c r="AO1025">
        <v>0</v>
      </c>
      <c r="AP1025" t="s">
        <v>3015</v>
      </c>
      <c r="AQ1025" t="s">
        <v>3012</v>
      </c>
      <c r="AR1025" t="s">
        <v>3016</v>
      </c>
      <c r="AT1025" t="s">
        <v>3017</v>
      </c>
      <c r="AU1025" t="s">
        <v>3018</v>
      </c>
    </row>
    <row r="1026" spans="1:47" x14ac:dyDescent="0.35">
      <c r="A1026">
        <v>352646</v>
      </c>
      <c r="B1026" t="s">
        <v>41</v>
      </c>
      <c r="C1026" t="s">
        <v>42</v>
      </c>
      <c r="D1026" s="2">
        <v>45822</v>
      </c>
      <c r="E1026">
        <v>53850</v>
      </c>
      <c r="F1026">
        <v>170</v>
      </c>
      <c r="G1026" t="s">
        <v>211</v>
      </c>
      <c r="H1026" t="s">
        <v>44</v>
      </c>
      <c r="I1026" t="s">
        <v>45</v>
      </c>
      <c r="L1026">
        <v>1703306288195</v>
      </c>
      <c r="M1026">
        <v>20250520</v>
      </c>
      <c r="N1026" t="s">
        <v>46</v>
      </c>
      <c r="Q1026" t="s">
        <v>47</v>
      </c>
      <c r="R1026">
        <v>300000</v>
      </c>
      <c r="T1026">
        <v>4401631</v>
      </c>
      <c r="U1026">
        <v>4724350725</v>
      </c>
      <c r="V1026" t="s">
        <v>949</v>
      </c>
      <c r="W1026" t="s">
        <v>49</v>
      </c>
      <c r="X1026" t="s">
        <v>241</v>
      </c>
      <c r="Y1026" t="s">
        <v>51</v>
      </c>
      <c r="Z1026">
        <v>1919</v>
      </c>
      <c r="AH1026">
        <v>0</v>
      </c>
      <c r="AI1026">
        <v>202505</v>
      </c>
      <c r="AJ1026" t="s">
        <v>86</v>
      </c>
      <c r="AK1026">
        <v>1</v>
      </c>
      <c r="AL1026">
        <v>1</v>
      </c>
      <c r="AO1026">
        <v>0</v>
      </c>
      <c r="AP1026" t="s">
        <v>3015</v>
      </c>
      <c r="AQ1026" t="s">
        <v>3012</v>
      </c>
      <c r="AR1026" t="s">
        <v>3016</v>
      </c>
      <c r="AT1026" t="s">
        <v>3017</v>
      </c>
      <c r="AU1026" t="s">
        <v>3018</v>
      </c>
    </row>
    <row r="1027" spans="1:47" x14ac:dyDescent="0.35">
      <c r="A1027">
        <v>352645</v>
      </c>
      <c r="B1027" t="s">
        <v>41</v>
      </c>
      <c r="C1027" t="s">
        <v>42</v>
      </c>
      <c r="D1027" s="2">
        <v>45822</v>
      </c>
      <c r="E1027">
        <v>53850</v>
      </c>
      <c r="F1027">
        <v>165</v>
      </c>
      <c r="G1027" t="s">
        <v>593</v>
      </c>
      <c r="H1027" t="s">
        <v>44</v>
      </c>
      <c r="I1027" t="s">
        <v>45</v>
      </c>
      <c r="L1027">
        <v>1653300628596</v>
      </c>
      <c r="M1027">
        <v>20250516</v>
      </c>
      <c r="N1027" t="s">
        <v>46</v>
      </c>
      <c r="Q1027" t="s">
        <v>47</v>
      </c>
      <c r="R1027">
        <v>33543.4</v>
      </c>
      <c r="T1027">
        <v>4813580</v>
      </c>
      <c r="U1027">
        <v>3996180711</v>
      </c>
      <c r="V1027" t="s">
        <v>1288</v>
      </c>
      <c r="W1027" t="s">
        <v>49</v>
      </c>
      <c r="X1027" t="s">
        <v>117</v>
      </c>
      <c r="Y1027" t="s">
        <v>51</v>
      </c>
      <c r="Z1027">
        <v>844</v>
      </c>
      <c r="AH1027">
        <v>0</v>
      </c>
      <c r="AI1027">
        <v>202505</v>
      </c>
      <c r="AJ1027" t="s">
        <v>56</v>
      </c>
      <c r="AK1027">
        <v>0</v>
      </c>
      <c r="AL1027">
        <v>1</v>
      </c>
      <c r="AO1027">
        <v>0</v>
      </c>
      <c r="AP1027" t="s">
        <v>3029</v>
      </c>
      <c r="AQ1027" t="s">
        <v>3012</v>
      </c>
      <c r="AR1027" t="s">
        <v>3030</v>
      </c>
      <c r="AS1027" t="s">
        <v>3014</v>
      </c>
      <c r="AU1027" t="s">
        <v>3014</v>
      </c>
    </row>
    <row r="1028" spans="1:47" x14ac:dyDescent="0.35">
      <c r="A1028">
        <v>352644</v>
      </c>
      <c r="B1028" t="s">
        <v>41</v>
      </c>
      <c r="C1028" t="s">
        <v>42</v>
      </c>
      <c r="D1028" s="2">
        <v>45822</v>
      </c>
      <c r="E1028">
        <v>53850</v>
      </c>
      <c r="F1028">
        <v>116</v>
      </c>
      <c r="G1028" t="s">
        <v>126</v>
      </c>
      <c r="H1028" t="s">
        <v>44</v>
      </c>
      <c r="I1028" t="s">
        <v>45</v>
      </c>
      <c r="L1028">
        <v>1163307619784</v>
      </c>
      <c r="M1028">
        <v>20250522</v>
      </c>
      <c r="N1028" t="s">
        <v>46</v>
      </c>
      <c r="Q1028" t="s">
        <v>47</v>
      </c>
      <c r="R1028">
        <v>367200</v>
      </c>
      <c r="T1028">
        <v>4826274</v>
      </c>
      <c r="U1028">
        <v>4414960759</v>
      </c>
      <c r="V1028" t="s">
        <v>1289</v>
      </c>
      <c r="W1028" t="s">
        <v>49</v>
      </c>
      <c r="X1028" t="s">
        <v>131</v>
      </c>
      <c r="Y1028" t="s">
        <v>51</v>
      </c>
      <c r="Z1028">
        <v>1903</v>
      </c>
      <c r="AH1028">
        <v>0</v>
      </c>
      <c r="AI1028">
        <v>202505</v>
      </c>
      <c r="AJ1028" t="s">
        <v>86</v>
      </c>
      <c r="AK1028">
        <v>1</v>
      </c>
      <c r="AL1028">
        <v>1</v>
      </c>
      <c r="AO1028">
        <v>0</v>
      </c>
      <c r="AP1028" t="s">
        <v>3033</v>
      </c>
      <c r="AQ1028" t="s">
        <v>3012</v>
      </c>
      <c r="AR1028" t="s">
        <v>3034</v>
      </c>
      <c r="AS1028" t="s">
        <v>3014</v>
      </c>
      <c r="AU1028" t="s">
        <v>3014</v>
      </c>
    </row>
    <row r="1029" spans="1:47" x14ac:dyDescent="0.35">
      <c r="A1029">
        <v>352642</v>
      </c>
      <c r="B1029" t="s">
        <v>41</v>
      </c>
      <c r="C1029" t="s">
        <v>42</v>
      </c>
      <c r="D1029" s="2">
        <v>45822</v>
      </c>
      <c r="E1029">
        <v>53850</v>
      </c>
      <c r="F1029">
        <v>148</v>
      </c>
      <c r="G1029" t="s">
        <v>78</v>
      </c>
      <c r="H1029" t="s">
        <v>44</v>
      </c>
      <c r="I1029" t="s">
        <v>45</v>
      </c>
      <c r="L1029">
        <v>1483300005779</v>
      </c>
      <c r="M1029">
        <v>20250520</v>
      </c>
      <c r="N1029" t="s">
        <v>46</v>
      </c>
      <c r="Q1029" t="s">
        <v>47</v>
      </c>
      <c r="R1029">
        <v>66000</v>
      </c>
      <c r="T1029">
        <v>3722303</v>
      </c>
      <c r="U1029">
        <v>1652800622</v>
      </c>
      <c r="V1029" t="s">
        <v>1290</v>
      </c>
      <c r="W1029" t="s">
        <v>49</v>
      </c>
      <c r="X1029" t="s">
        <v>117</v>
      </c>
      <c r="Y1029" t="s">
        <v>51</v>
      </c>
      <c r="AH1029">
        <v>0</v>
      </c>
      <c r="AI1029">
        <v>202505</v>
      </c>
      <c r="AJ1029" t="s">
        <v>56</v>
      </c>
      <c r="AK1029">
        <v>0</v>
      </c>
      <c r="AL1029">
        <v>1</v>
      </c>
      <c r="AO1029">
        <v>0</v>
      </c>
      <c r="AP1029" t="s">
        <v>3029</v>
      </c>
      <c r="AQ1029" t="s">
        <v>3012</v>
      </c>
      <c r="AR1029" t="s">
        <v>3030</v>
      </c>
      <c r="AS1029" t="s">
        <v>3014</v>
      </c>
      <c r="AU1029" t="s">
        <v>3014</v>
      </c>
    </row>
    <row r="1030" spans="1:47" x14ac:dyDescent="0.35">
      <c r="A1030">
        <v>352640</v>
      </c>
      <c r="B1030" t="s">
        <v>41</v>
      </c>
      <c r="C1030" t="s">
        <v>42</v>
      </c>
      <c r="D1030" s="2">
        <v>45822</v>
      </c>
      <c r="E1030">
        <v>53850</v>
      </c>
      <c r="F1030">
        <v>273</v>
      </c>
      <c r="G1030" t="s">
        <v>133</v>
      </c>
      <c r="H1030" t="s">
        <v>44</v>
      </c>
      <c r="I1030" t="s">
        <v>45</v>
      </c>
      <c r="L1030">
        <v>2733300000419</v>
      </c>
      <c r="M1030">
        <v>20250502</v>
      </c>
      <c r="N1030" t="s">
        <v>46</v>
      </c>
      <c r="Q1030" t="s">
        <v>47</v>
      </c>
      <c r="R1030">
        <v>35133.78</v>
      </c>
      <c r="T1030">
        <v>1615741</v>
      </c>
      <c r="U1030">
        <v>1399580693</v>
      </c>
      <c r="V1030" t="s">
        <v>1291</v>
      </c>
      <c r="W1030" t="s">
        <v>49</v>
      </c>
      <c r="X1030" t="s">
        <v>135</v>
      </c>
      <c r="Y1030" t="s">
        <v>51</v>
      </c>
      <c r="Z1030">
        <v>1856</v>
      </c>
      <c r="AH1030">
        <v>0</v>
      </c>
      <c r="AI1030">
        <v>202505</v>
      </c>
      <c r="AJ1030" t="s">
        <v>56</v>
      </c>
      <c r="AK1030">
        <v>0</v>
      </c>
      <c r="AL1030">
        <v>1</v>
      </c>
      <c r="AO1030">
        <v>0</v>
      </c>
      <c r="AP1030" t="s">
        <v>3015</v>
      </c>
      <c r="AQ1030" t="s">
        <v>3012</v>
      </c>
      <c r="AR1030" t="s">
        <v>3016</v>
      </c>
      <c r="AT1030" t="s">
        <v>3017</v>
      </c>
      <c r="AU1030" t="s">
        <v>3018</v>
      </c>
    </row>
    <row r="1031" spans="1:47" x14ac:dyDescent="0.35">
      <c r="A1031">
        <v>352633</v>
      </c>
      <c r="B1031" t="s">
        <v>41</v>
      </c>
      <c r="C1031" t="s">
        <v>42</v>
      </c>
      <c r="D1031" s="2">
        <v>45822</v>
      </c>
      <c r="E1031">
        <v>53850</v>
      </c>
      <c r="F1031">
        <v>161</v>
      </c>
      <c r="G1031" t="s">
        <v>111</v>
      </c>
      <c r="H1031" t="s">
        <v>44</v>
      </c>
      <c r="I1031" t="s">
        <v>45</v>
      </c>
      <c r="L1031">
        <v>1613300032597</v>
      </c>
      <c r="M1031">
        <v>20250519</v>
      </c>
      <c r="N1031" t="s">
        <v>46</v>
      </c>
      <c r="Q1031" t="s">
        <v>47</v>
      </c>
      <c r="R1031">
        <v>65000</v>
      </c>
      <c r="T1031">
        <v>4848422</v>
      </c>
      <c r="U1031">
        <v>7580050727</v>
      </c>
      <c r="V1031" t="s">
        <v>1292</v>
      </c>
      <c r="W1031" t="s">
        <v>404</v>
      </c>
      <c r="X1031" t="s">
        <v>113</v>
      </c>
      <c r="Y1031" t="s">
        <v>51</v>
      </c>
      <c r="Z1031">
        <v>1903</v>
      </c>
      <c r="AH1031">
        <v>0</v>
      </c>
      <c r="AI1031">
        <v>202505</v>
      </c>
      <c r="AJ1031" t="s">
        <v>56</v>
      </c>
      <c r="AK1031">
        <v>0</v>
      </c>
      <c r="AL1031">
        <v>1</v>
      </c>
      <c r="AO1031">
        <v>0</v>
      </c>
      <c r="AP1031" t="s">
        <v>3015</v>
      </c>
      <c r="AQ1031" t="s">
        <v>3064</v>
      </c>
      <c r="AR1031" t="s">
        <v>3065</v>
      </c>
      <c r="AT1031" t="s">
        <v>3017</v>
      </c>
      <c r="AU1031" t="s">
        <v>3057</v>
      </c>
    </row>
    <row r="1032" spans="1:47" x14ac:dyDescent="0.35">
      <c r="A1032">
        <v>352625</v>
      </c>
      <c r="B1032" t="s">
        <v>41</v>
      </c>
      <c r="C1032" t="s">
        <v>42</v>
      </c>
      <c r="D1032" s="2">
        <v>45822</v>
      </c>
      <c r="E1032">
        <v>53850</v>
      </c>
      <c r="F1032">
        <v>132</v>
      </c>
      <c r="G1032" t="s">
        <v>92</v>
      </c>
      <c r="H1032" t="s">
        <v>44</v>
      </c>
      <c r="I1032" t="s">
        <v>45</v>
      </c>
      <c r="L1032">
        <v>1323300003714</v>
      </c>
      <c r="M1032">
        <v>20250507</v>
      </c>
      <c r="N1032" t="s">
        <v>46</v>
      </c>
      <c r="Q1032" t="s">
        <v>47</v>
      </c>
      <c r="R1032">
        <v>26036</v>
      </c>
      <c r="T1032">
        <v>3724103</v>
      </c>
      <c r="U1032">
        <v>2178850760</v>
      </c>
      <c r="V1032" t="s">
        <v>93</v>
      </c>
      <c r="W1032" t="s">
        <v>49</v>
      </c>
      <c r="X1032" t="s">
        <v>88</v>
      </c>
      <c r="Y1032" t="s">
        <v>51</v>
      </c>
      <c r="Z1032">
        <v>823</v>
      </c>
      <c r="AH1032">
        <v>0</v>
      </c>
      <c r="AI1032">
        <v>202505</v>
      </c>
      <c r="AJ1032" t="s">
        <v>86</v>
      </c>
      <c r="AK1032">
        <v>1</v>
      </c>
      <c r="AL1032">
        <v>1</v>
      </c>
      <c r="AO1032">
        <v>0</v>
      </c>
      <c r="AP1032" t="s">
        <v>3015</v>
      </c>
      <c r="AQ1032" t="s">
        <v>3012</v>
      </c>
      <c r="AR1032" t="s">
        <v>3016</v>
      </c>
      <c r="AT1032" t="s">
        <v>3017</v>
      </c>
      <c r="AU1032" t="s">
        <v>3018</v>
      </c>
    </row>
    <row r="1033" spans="1:47" x14ac:dyDescent="0.35">
      <c r="A1033">
        <v>352624</v>
      </c>
      <c r="B1033" t="s">
        <v>41</v>
      </c>
      <c r="C1033" t="s">
        <v>42</v>
      </c>
      <c r="D1033" s="2">
        <v>45822</v>
      </c>
      <c r="E1033">
        <v>53850</v>
      </c>
      <c r="F1033">
        <v>118</v>
      </c>
      <c r="G1033" t="s">
        <v>254</v>
      </c>
      <c r="H1033" t="s">
        <v>44</v>
      </c>
      <c r="I1033" t="s">
        <v>45</v>
      </c>
      <c r="L1033">
        <v>1183306277717</v>
      </c>
      <c r="M1033">
        <v>20250506</v>
      </c>
      <c r="N1033" t="s">
        <v>46</v>
      </c>
      <c r="Q1033" t="s">
        <v>47</v>
      </c>
      <c r="R1033">
        <v>68573.66</v>
      </c>
      <c r="T1033">
        <v>4237439</v>
      </c>
      <c r="U1033">
        <v>5982410721</v>
      </c>
      <c r="V1033" t="s">
        <v>484</v>
      </c>
      <c r="W1033" t="s">
        <v>49</v>
      </c>
      <c r="X1033" t="s">
        <v>65</v>
      </c>
      <c r="Y1033" t="s">
        <v>51</v>
      </c>
      <c r="Z1033">
        <v>1203</v>
      </c>
      <c r="AH1033">
        <v>0</v>
      </c>
      <c r="AI1033">
        <v>202505</v>
      </c>
      <c r="AJ1033" t="s">
        <v>86</v>
      </c>
      <c r="AK1033">
        <v>1</v>
      </c>
      <c r="AL1033">
        <v>1</v>
      </c>
      <c r="AO1033">
        <v>0</v>
      </c>
      <c r="AP1033" t="s">
        <v>3019</v>
      </c>
      <c r="AQ1033" t="s">
        <v>3012</v>
      </c>
      <c r="AR1033" t="s">
        <v>3020</v>
      </c>
      <c r="AS1033" t="s">
        <v>3014</v>
      </c>
      <c r="AU1033" t="s">
        <v>3014</v>
      </c>
    </row>
    <row r="1034" spans="1:47" x14ac:dyDescent="0.35">
      <c r="A1034">
        <v>352618</v>
      </c>
      <c r="B1034" t="s">
        <v>41</v>
      </c>
      <c r="C1034" t="s">
        <v>42</v>
      </c>
      <c r="D1034" s="2">
        <v>45822</v>
      </c>
      <c r="E1034">
        <v>53850</v>
      </c>
      <c r="F1034">
        <v>105</v>
      </c>
      <c r="G1034" t="s">
        <v>60</v>
      </c>
      <c r="H1034" t="s">
        <v>44</v>
      </c>
      <c r="I1034" t="s">
        <v>45</v>
      </c>
      <c r="L1034">
        <v>1053306287103</v>
      </c>
      <c r="M1034">
        <v>20250522</v>
      </c>
      <c r="N1034" t="s">
        <v>46</v>
      </c>
      <c r="Q1034" t="s">
        <v>47</v>
      </c>
      <c r="R1034">
        <v>425976.13</v>
      </c>
      <c r="T1034">
        <v>4263360</v>
      </c>
      <c r="U1034">
        <v>5982300724</v>
      </c>
      <c r="V1034" t="s">
        <v>61</v>
      </c>
      <c r="W1034" t="s">
        <v>49</v>
      </c>
      <c r="X1034" t="s">
        <v>62</v>
      </c>
      <c r="Y1034" t="s">
        <v>51</v>
      </c>
      <c r="Z1034">
        <v>1058</v>
      </c>
      <c r="AH1034">
        <v>0</v>
      </c>
      <c r="AI1034">
        <v>202505</v>
      </c>
      <c r="AJ1034" t="s">
        <v>56</v>
      </c>
      <c r="AK1034">
        <v>0</v>
      </c>
      <c r="AL1034">
        <v>1</v>
      </c>
      <c r="AO1034">
        <v>0</v>
      </c>
      <c r="AP1034" t="s">
        <v>3015</v>
      </c>
      <c r="AQ1034" t="s">
        <v>3012</v>
      </c>
      <c r="AR1034" t="s">
        <v>3016</v>
      </c>
      <c r="AT1034" t="s">
        <v>3017</v>
      </c>
      <c r="AU1034" t="s">
        <v>3018</v>
      </c>
    </row>
    <row r="1035" spans="1:47" x14ac:dyDescent="0.35">
      <c r="A1035">
        <v>352617</v>
      </c>
      <c r="B1035" t="s">
        <v>41</v>
      </c>
      <c r="C1035" t="s">
        <v>42</v>
      </c>
      <c r="D1035" s="2">
        <v>45822</v>
      </c>
      <c r="E1035">
        <v>53850</v>
      </c>
      <c r="F1035">
        <v>105</v>
      </c>
      <c r="G1035" t="s">
        <v>60</v>
      </c>
      <c r="H1035" t="s">
        <v>44</v>
      </c>
      <c r="I1035" t="s">
        <v>45</v>
      </c>
      <c r="L1035">
        <v>1053306287103</v>
      </c>
      <c r="M1035">
        <v>20250519</v>
      </c>
      <c r="N1035" t="s">
        <v>46</v>
      </c>
      <c r="Q1035" t="s">
        <v>47</v>
      </c>
      <c r="R1035">
        <v>140000</v>
      </c>
      <c r="T1035">
        <v>4263360</v>
      </c>
      <c r="U1035">
        <v>5982300724</v>
      </c>
      <c r="V1035" t="s">
        <v>61</v>
      </c>
      <c r="W1035" t="s">
        <v>49</v>
      </c>
      <c r="X1035" t="s">
        <v>62</v>
      </c>
      <c r="Y1035" t="s">
        <v>51</v>
      </c>
      <c r="Z1035">
        <v>1058</v>
      </c>
      <c r="AH1035">
        <v>0</v>
      </c>
      <c r="AI1035">
        <v>202505</v>
      </c>
      <c r="AJ1035" t="s">
        <v>56</v>
      </c>
      <c r="AK1035">
        <v>0</v>
      </c>
      <c r="AL1035">
        <v>1</v>
      </c>
      <c r="AO1035">
        <v>0</v>
      </c>
      <c r="AP1035" t="s">
        <v>3015</v>
      </c>
      <c r="AQ1035" t="s">
        <v>3012</v>
      </c>
      <c r="AR1035" t="s">
        <v>3016</v>
      </c>
      <c r="AT1035" t="s">
        <v>3017</v>
      </c>
      <c r="AU1035" t="s">
        <v>3018</v>
      </c>
    </row>
    <row r="1036" spans="1:47" x14ac:dyDescent="0.35">
      <c r="A1036">
        <v>352609</v>
      </c>
      <c r="B1036" t="s">
        <v>41</v>
      </c>
      <c r="C1036" t="s">
        <v>42</v>
      </c>
      <c r="D1036" s="2">
        <v>45822</v>
      </c>
      <c r="E1036">
        <v>53850</v>
      </c>
      <c r="F1036">
        <v>261</v>
      </c>
      <c r="G1036" t="s">
        <v>136</v>
      </c>
      <c r="H1036" t="s">
        <v>44</v>
      </c>
      <c r="I1036" t="s">
        <v>45</v>
      </c>
      <c r="L1036">
        <v>2613300010205</v>
      </c>
      <c r="M1036">
        <v>20250529</v>
      </c>
      <c r="N1036" t="s">
        <v>46</v>
      </c>
      <c r="Q1036" t="s">
        <v>47</v>
      </c>
      <c r="R1036">
        <v>29862</v>
      </c>
      <c r="T1036">
        <v>4991786</v>
      </c>
      <c r="U1036">
        <v>993400944</v>
      </c>
      <c r="V1036" t="s">
        <v>137</v>
      </c>
      <c r="W1036" t="s">
        <v>49</v>
      </c>
      <c r="X1036" t="s">
        <v>77</v>
      </c>
      <c r="Y1036" t="s">
        <v>51</v>
      </c>
      <c r="Z1036">
        <v>1782</v>
      </c>
      <c r="AH1036">
        <v>0</v>
      </c>
      <c r="AI1036">
        <v>202505</v>
      </c>
      <c r="AJ1036" t="s">
        <v>56</v>
      </c>
      <c r="AK1036">
        <v>0</v>
      </c>
      <c r="AL1036">
        <v>1</v>
      </c>
      <c r="AM1036">
        <v>4991786</v>
      </c>
      <c r="AN1036">
        <v>1</v>
      </c>
      <c r="AO1036">
        <v>0</v>
      </c>
      <c r="AP1036" t="s">
        <v>3015</v>
      </c>
      <c r="AQ1036" t="s">
        <v>3012</v>
      </c>
      <c r="AR1036" t="s">
        <v>3016</v>
      </c>
      <c r="AT1036" t="s">
        <v>3017</v>
      </c>
      <c r="AU1036" t="s">
        <v>3018</v>
      </c>
    </row>
    <row r="1037" spans="1:47" x14ac:dyDescent="0.35">
      <c r="A1037">
        <v>352600</v>
      </c>
      <c r="B1037" t="s">
        <v>41</v>
      </c>
      <c r="C1037" t="s">
        <v>42</v>
      </c>
      <c r="D1037" s="2">
        <v>45822</v>
      </c>
      <c r="E1037">
        <v>53850</v>
      </c>
      <c r="F1037">
        <v>108</v>
      </c>
      <c r="G1037" t="s">
        <v>124</v>
      </c>
      <c r="H1037" t="s">
        <v>44</v>
      </c>
      <c r="I1037" t="s">
        <v>45</v>
      </c>
      <c r="L1037">
        <v>1083300011180</v>
      </c>
      <c r="M1037">
        <v>20250520</v>
      </c>
      <c r="N1037" t="s">
        <v>81</v>
      </c>
      <c r="Q1037" t="s">
        <v>47</v>
      </c>
      <c r="R1037">
        <v>122693.54</v>
      </c>
      <c r="T1037">
        <v>1118</v>
      </c>
      <c r="U1037">
        <v>3246700722</v>
      </c>
      <c r="V1037" t="s">
        <v>125</v>
      </c>
      <c r="W1037" t="s">
        <v>49</v>
      </c>
      <c r="X1037" t="s">
        <v>96</v>
      </c>
      <c r="Y1037" t="s">
        <v>51</v>
      </c>
      <c r="Z1037">
        <v>1058</v>
      </c>
      <c r="AH1037">
        <v>0</v>
      </c>
      <c r="AI1037">
        <v>202505</v>
      </c>
      <c r="AJ1037" t="s">
        <v>52</v>
      </c>
      <c r="AK1037">
        <v>0</v>
      </c>
      <c r="AL1037">
        <v>1</v>
      </c>
      <c r="AO1037">
        <v>0</v>
      </c>
      <c r="AP1037" t="s">
        <v>3015</v>
      </c>
      <c r="AQ1037" t="s">
        <v>3012</v>
      </c>
      <c r="AR1037" t="s">
        <v>3016</v>
      </c>
      <c r="AT1037" t="s">
        <v>3017</v>
      </c>
      <c r="AU1037" t="s">
        <v>3018</v>
      </c>
    </row>
    <row r="1038" spans="1:47" x14ac:dyDescent="0.35">
      <c r="A1038">
        <v>352583</v>
      </c>
      <c r="B1038" t="s">
        <v>41</v>
      </c>
      <c r="C1038" t="s">
        <v>42</v>
      </c>
      <c r="D1038" s="2">
        <v>45822</v>
      </c>
      <c r="E1038">
        <v>53850</v>
      </c>
      <c r="F1038">
        <v>187</v>
      </c>
      <c r="G1038" t="s">
        <v>251</v>
      </c>
      <c r="H1038" t="s">
        <v>44</v>
      </c>
      <c r="I1038" t="s">
        <v>45</v>
      </c>
      <c r="L1038">
        <v>999361870311</v>
      </c>
      <c r="M1038">
        <v>20250516</v>
      </c>
      <c r="N1038" t="s">
        <v>46</v>
      </c>
      <c r="Q1038" t="s">
        <v>47</v>
      </c>
      <c r="R1038">
        <v>25162.68</v>
      </c>
      <c r="T1038">
        <v>3004644</v>
      </c>
      <c r="U1038">
        <v>80008750731</v>
      </c>
      <c r="V1038" t="s">
        <v>252</v>
      </c>
      <c r="W1038" t="s">
        <v>253</v>
      </c>
      <c r="Y1038" t="s">
        <v>51</v>
      </c>
      <c r="Z1038">
        <v>1627</v>
      </c>
      <c r="AH1038">
        <v>0</v>
      </c>
      <c r="AI1038">
        <v>202505</v>
      </c>
      <c r="AJ1038" t="s">
        <v>56</v>
      </c>
      <c r="AK1038">
        <v>0</v>
      </c>
      <c r="AL1038">
        <v>1</v>
      </c>
      <c r="AO1038">
        <v>0</v>
      </c>
      <c r="AP1038" t="s">
        <v>3015</v>
      </c>
      <c r="AQ1038" t="s">
        <v>3052</v>
      </c>
      <c r="AR1038" t="s">
        <v>3053</v>
      </c>
      <c r="AS1038" t="s">
        <v>3037</v>
      </c>
      <c r="AU1038" t="s">
        <v>3037</v>
      </c>
    </row>
    <row r="1039" spans="1:47" x14ac:dyDescent="0.35">
      <c r="A1039">
        <v>352579</v>
      </c>
      <c r="B1039" t="s">
        <v>41</v>
      </c>
      <c r="C1039" t="s">
        <v>42</v>
      </c>
      <c r="D1039" s="2">
        <v>45822</v>
      </c>
      <c r="E1039">
        <v>53850</v>
      </c>
      <c r="F1039">
        <v>105</v>
      </c>
      <c r="G1039" t="s">
        <v>60</v>
      </c>
      <c r="H1039" t="s">
        <v>44</v>
      </c>
      <c r="I1039" t="s">
        <v>45</v>
      </c>
      <c r="L1039">
        <v>1053306287103</v>
      </c>
      <c r="M1039">
        <v>20250526</v>
      </c>
      <c r="N1039" t="s">
        <v>46</v>
      </c>
      <c r="Q1039" t="s">
        <v>47</v>
      </c>
      <c r="R1039">
        <v>1000000</v>
      </c>
      <c r="T1039">
        <v>4263360</v>
      </c>
      <c r="U1039">
        <v>5982300724</v>
      </c>
      <c r="V1039" t="s">
        <v>61</v>
      </c>
      <c r="W1039" t="s">
        <v>49</v>
      </c>
      <c r="X1039" t="s">
        <v>62</v>
      </c>
      <c r="Y1039" t="s">
        <v>51</v>
      </c>
      <c r="Z1039">
        <v>1058</v>
      </c>
      <c r="AH1039">
        <v>0</v>
      </c>
      <c r="AI1039">
        <v>202505</v>
      </c>
      <c r="AJ1039" t="s">
        <v>56</v>
      </c>
      <c r="AK1039">
        <v>0</v>
      </c>
      <c r="AL1039">
        <v>1</v>
      </c>
      <c r="AO1039">
        <v>0</v>
      </c>
      <c r="AP1039" t="s">
        <v>3015</v>
      </c>
      <c r="AQ1039" t="s">
        <v>3012</v>
      </c>
      <c r="AR1039" t="s">
        <v>3016</v>
      </c>
      <c r="AT1039" t="s">
        <v>3017</v>
      </c>
      <c r="AU1039" t="s">
        <v>3018</v>
      </c>
    </row>
    <row r="1040" spans="1:47" x14ac:dyDescent="0.35">
      <c r="A1040">
        <v>352578</v>
      </c>
      <c r="B1040" t="s">
        <v>41</v>
      </c>
      <c r="C1040" t="s">
        <v>42</v>
      </c>
      <c r="D1040" s="2">
        <v>45822</v>
      </c>
      <c r="E1040">
        <v>53850</v>
      </c>
      <c r="F1040">
        <v>109</v>
      </c>
      <c r="G1040" t="s">
        <v>89</v>
      </c>
      <c r="H1040" t="s">
        <v>44</v>
      </c>
      <c r="I1040" t="s">
        <v>45</v>
      </c>
      <c r="L1040">
        <v>1093306674353</v>
      </c>
      <c r="M1040">
        <v>20250516</v>
      </c>
      <c r="N1040" t="s">
        <v>46</v>
      </c>
      <c r="Q1040" t="s">
        <v>47</v>
      </c>
      <c r="R1040">
        <v>127798.39999999999</v>
      </c>
      <c r="T1040">
        <v>4916449</v>
      </c>
      <c r="U1040">
        <v>8176830720</v>
      </c>
      <c r="V1040" t="s">
        <v>98</v>
      </c>
      <c r="W1040" t="s">
        <v>49</v>
      </c>
      <c r="X1040" t="s">
        <v>91</v>
      </c>
      <c r="Y1040" t="s">
        <v>51</v>
      </c>
      <c r="Z1040">
        <v>1903</v>
      </c>
      <c r="AH1040">
        <v>0</v>
      </c>
      <c r="AI1040">
        <v>202505</v>
      </c>
      <c r="AJ1040" t="s">
        <v>56</v>
      </c>
      <c r="AK1040">
        <v>0</v>
      </c>
      <c r="AL1040">
        <v>1</v>
      </c>
      <c r="AM1040">
        <v>4916449</v>
      </c>
      <c r="AN1040">
        <v>1</v>
      </c>
      <c r="AO1040">
        <v>0</v>
      </c>
      <c r="AP1040" t="s">
        <v>1100</v>
      </c>
      <c r="AQ1040" t="s">
        <v>3012</v>
      </c>
      <c r="AR1040" t="s">
        <v>3023</v>
      </c>
      <c r="AS1040" t="s">
        <v>3014</v>
      </c>
      <c r="AU1040" t="s">
        <v>3014</v>
      </c>
    </row>
    <row r="1041" spans="1:47" x14ac:dyDescent="0.35">
      <c r="A1041">
        <v>352572</v>
      </c>
      <c r="B1041" t="s">
        <v>41</v>
      </c>
      <c r="C1041" t="s">
        <v>42</v>
      </c>
      <c r="D1041" s="2">
        <v>45822</v>
      </c>
      <c r="E1041">
        <v>53850</v>
      </c>
      <c r="F1041">
        <v>108</v>
      </c>
      <c r="G1041" t="s">
        <v>124</v>
      </c>
      <c r="H1041" t="s">
        <v>44</v>
      </c>
      <c r="I1041" t="s">
        <v>45</v>
      </c>
      <c r="L1041">
        <v>1083300011180</v>
      </c>
      <c r="M1041">
        <v>20250502</v>
      </c>
      <c r="N1041" t="s">
        <v>46</v>
      </c>
      <c r="Q1041" t="s">
        <v>47</v>
      </c>
      <c r="R1041">
        <v>260373.79</v>
      </c>
      <c r="T1041">
        <v>1118</v>
      </c>
      <c r="U1041">
        <v>3246700722</v>
      </c>
      <c r="V1041" t="s">
        <v>125</v>
      </c>
      <c r="W1041" t="s">
        <v>49</v>
      </c>
      <c r="X1041" t="s">
        <v>96</v>
      </c>
      <c r="Y1041" t="s">
        <v>51</v>
      </c>
      <c r="Z1041">
        <v>1058</v>
      </c>
      <c r="AH1041">
        <v>0</v>
      </c>
      <c r="AI1041">
        <v>202505</v>
      </c>
      <c r="AJ1041" t="s">
        <v>52</v>
      </c>
      <c r="AK1041">
        <v>0</v>
      </c>
      <c r="AL1041">
        <v>1</v>
      </c>
      <c r="AO1041">
        <v>0</v>
      </c>
      <c r="AP1041" t="s">
        <v>3015</v>
      </c>
      <c r="AQ1041" t="s">
        <v>3012</v>
      </c>
      <c r="AR1041" t="s">
        <v>3016</v>
      </c>
      <c r="AT1041" t="s">
        <v>3017</v>
      </c>
      <c r="AU1041" t="s">
        <v>3018</v>
      </c>
    </row>
    <row r="1042" spans="1:47" x14ac:dyDescent="0.35">
      <c r="A1042">
        <v>352566</v>
      </c>
      <c r="B1042" t="s">
        <v>41</v>
      </c>
      <c r="C1042" t="s">
        <v>42</v>
      </c>
      <c r="D1042" s="2">
        <v>45822</v>
      </c>
      <c r="E1042">
        <v>53850</v>
      </c>
      <c r="F1042">
        <v>187</v>
      </c>
      <c r="G1042" t="s">
        <v>251</v>
      </c>
      <c r="H1042" t="s">
        <v>44</v>
      </c>
      <c r="I1042" t="s">
        <v>45</v>
      </c>
      <c r="L1042">
        <v>999361870311</v>
      </c>
      <c r="M1042">
        <v>20250513</v>
      </c>
      <c r="N1042" t="s">
        <v>46</v>
      </c>
      <c r="Q1042" t="s">
        <v>47</v>
      </c>
      <c r="R1042">
        <v>110485.34</v>
      </c>
      <c r="T1042">
        <v>3004644</v>
      </c>
      <c r="U1042">
        <v>80008750731</v>
      </c>
      <c r="V1042" t="s">
        <v>252</v>
      </c>
      <c r="W1042" t="s">
        <v>253</v>
      </c>
      <c r="Y1042" t="s">
        <v>51</v>
      </c>
      <c r="Z1042">
        <v>1627</v>
      </c>
      <c r="AH1042">
        <v>0</v>
      </c>
      <c r="AI1042">
        <v>202505</v>
      </c>
      <c r="AJ1042" t="s">
        <v>56</v>
      </c>
      <c r="AK1042">
        <v>0</v>
      </c>
      <c r="AL1042">
        <v>1</v>
      </c>
      <c r="AO1042">
        <v>0</v>
      </c>
      <c r="AP1042" t="s">
        <v>3015</v>
      </c>
      <c r="AQ1042" t="s">
        <v>3052</v>
      </c>
      <c r="AR1042" t="s">
        <v>3053</v>
      </c>
      <c r="AS1042" t="s">
        <v>3037</v>
      </c>
      <c r="AU1042" t="s">
        <v>3037</v>
      </c>
    </row>
    <row r="1043" spans="1:47" x14ac:dyDescent="0.35">
      <c r="A1043">
        <v>352561</v>
      </c>
      <c r="B1043" t="s">
        <v>41</v>
      </c>
      <c r="C1043" t="s">
        <v>42</v>
      </c>
      <c r="D1043" s="2">
        <v>45822</v>
      </c>
      <c r="E1043">
        <v>53850</v>
      </c>
      <c r="F1043">
        <v>108</v>
      </c>
      <c r="G1043" t="s">
        <v>124</v>
      </c>
      <c r="H1043" t="s">
        <v>44</v>
      </c>
      <c r="I1043" t="s">
        <v>45</v>
      </c>
      <c r="L1043">
        <v>1083300011180</v>
      </c>
      <c r="M1043">
        <v>20250519</v>
      </c>
      <c r="N1043" t="s">
        <v>81</v>
      </c>
      <c r="Q1043" t="s">
        <v>47</v>
      </c>
      <c r="R1043">
        <v>40244.620000000003</v>
      </c>
      <c r="T1043">
        <v>1118</v>
      </c>
      <c r="U1043">
        <v>3246700722</v>
      </c>
      <c r="V1043" t="s">
        <v>125</v>
      </c>
      <c r="W1043" t="s">
        <v>49</v>
      </c>
      <c r="X1043" t="s">
        <v>96</v>
      </c>
      <c r="Y1043" t="s">
        <v>51</v>
      </c>
      <c r="Z1043">
        <v>1058</v>
      </c>
      <c r="AH1043">
        <v>0</v>
      </c>
      <c r="AI1043">
        <v>202505</v>
      </c>
      <c r="AJ1043" t="s">
        <v>52</v>
      </c>
      <c r="AK1043">
        <v>0</v>
      </c>
      <c r="AL1043">
        <v>1</v>
      </c>
      <c r="AO1043">
        <v>0</v>
      </c>
      <c r="AP1043" t="s">
        <v>3015</v>
      </c>
      <c r="AQ1043" t="s">
        <v>3012</v>
      </c>
      <c r="AR1043" t="s">
        <v>3016</v>
      </c>
      <c r="AT1043" t="s">
        <v>3017</v>
      </c>
      <c r="AU1043" t="s">
        <v>3018</v>
      </c>
    </row>
    <row r="1044" spans="1:47" x14ac:dyDescent="0.35">
      <c r="A1044">
        <v>352558</v>
      </c>
      <c r="B1044" t="s">
        <v>41</v>
      </c>
      <c r="C1044" t="s">
        <v>42</v>
      </c>
      <c r="D1044" s="2">
        <v>45822</v>
      </c>
      <c r="E1044">
        <v>53850</v>
      </c>
      <c r="F1044">
        <v>171</v>
      </c>
      <c r="G1044" t="s">
        <v>198</v>
      </c>
      <c r="H1044" t="s">
        <v>44</v>
      </c>
      <c r="I1044" t="s">
        <v>45</v>
      </c>
      <c r="L1044">
        <v>1713302213842</v>
      </c>
      <c r="M1044">
        <v>20250526</v>
      </c>
      <c r="N1044" t="s">
        <v>46</v>
      </c>
      <c r="Q1044" t="s">
        <v>47</v>
      </c>
      <c r="R1044">
        <v>240000</v>
      </c>
      <c r="T1044">
        <v>4148505</v>
      </c>
      <c r="U1044">
        <v>5848860721</v>
      </c>
      <c r="V1044" t="s">
        <v>1281</v>
      </c>
      <c r="W1044" t="s">
        <v>49</v>
      </c>
      <c r="X1044" t="s">
        <v>260</v>
      </c>
      <c r="Y1044" t="s">
        <v>51</v>
      </c>
      <c r="Z1044">
        <v>1903</v>
      </c>
      <c r="AH1044">
        <v>0</v>
      </c>
      <c r="AI1044">
        <v>202505</v>
      </c>
      <c r="AJ1044" t="s">
        <v>114</v>
      </c>
      <c r="AK1044">
        <v>1</v>
      </c>
      <c r="AL1044">
        <v>1</v>
      </c>
      <c r="AO1044">
        <v>0</v>
      </c>
      <c r="AP1044" t="s">
        <v>3015</v>
      </c>
      <c r="AQ1044" t="s">
        <v>3012</v>
      </c>
      <c r="AR1044" t="s">
        <v>3016</v>
      </c>
      <c r="AT1044" t="s">
        <v>3017</v>
      </c>
      <c r="AU1044" t="s">
        <v>3018</v>
      </c>
    </row>
    <row r="1045" spans="1:47" x14ac:dyDescent="0.35">
      <c r="A1045">
        <v>352553</v>
      </c>
      <c r="B1045" t="s">
        <v>41</v>
      </c>
      <c r="C1045" t="s">
        <v>42</v>
      </c>
      <c r="D1045" s="2">
        <v>45822</v>
      </c>
      <c r="E1045">
        <v>53850</v>
      </c>
      <c r="F1045">
        <v>122</v>
      </c>
      <c r="G1045" t="s">
        <v>43</v>
      </c>
      <c r="H1045" t="s">
        <v>44</v>
      </c>
      <c r="I1045" t="s">
        <v>45</v>
      </c>
      <c r="L1045">
        <v>1223300001682</v>
      </c>
      <c r="M1045">
        <v>20250529</v>
      </c>
      <c r="N1045" t="s">
        <v>46</v>
      </c>
      <c r="Q1045" t="s">
        <v>47</v>
      </c>
      <c r="R1045">
        <v>329680.36</v>
      </c>
      <c r="T1045">
        <v>3711207</v>
      </c>
      <c r="U1045">
        <v>8825020723</v>
      </c>
      <c r="V1045" t="s">
        <v>48</v>
      </c>
      <c r="W1045" t="s">
        <v>49</v>
      </c>
      <c r="X1045" t="s">
        <v>50</v>
      </c>
      <c r="Y1045" t="s">
        <v>51</v>
      </c>
      <c r="Z1045">
        <v>1696</v>
      </c>
      <c r="AH1045">
        <v>0</v>
      </c>
      <c r="AI1045">
        <v>202505</v>
      </c>
      <c r="AJ1045" t="s">
        <v>86</v>
      </c>
      <c r="AK1045">
        <v>1</v>
      </c>
      <c r="AL1045">
        <v>1</v>
      </c>
      <c r="AO1045">
        <v>0</v>
      </c>
      <c r="AP1045" t="s">
        <v>3011</v>
      </c>
      <c r="AQ1045" t="s">
        <v>3012</v>
      </c>
      <c r="AR1045" t="s">
        <v>3013</v>
      </c>
      <c r="AS1045" t="s">
        <v>3014</v>
      </c>
      <c r="AU1045" t="s">
        <v>3014</v>
      </c>
    </row>
    <row r="1046" spans="1:47" x14ac:dyDescent="0.35">
      <c r="A1046">
        <v>352548</v>
      </c>
      <c r="B1046" t="s">
        <v>41</v>
      </c>
      <c r="C1046" t="s">
        <v>42</v>
      </c>
      <c r="D1046" s="2">
        <v>45822</v>
      </c>
      <c r="E1046">
        <v>53850</v>
      </c>
      <c r="F1046">
        <v>122</v>
      </c>
      <c r="G1046" t="s">
        <v>43</v>
      </c>
      <c r="H1046" t="s">
        <v>44</v>
      </c>
      <c r="I1046" t="s">
        <v>45</v>
      </c>
      <c r="L1046">
        <v>1223300002128</v>
      </c>
      <c r="M1046">
        <v>20250528</v>
      </c>
      <c r="N1046" t="s">
        <v>46</v>
      </c>
      <c r="Q1046" t="s">
        <v>47</v>
      </c>
      <c r="R1046">
        <v>40618.199999999997</v>
      </c>
      <c r="T1046">
        <v>3711207</v>
      </c>
      <c r="U1046">
        <v>8825020723</v>
      </c>
      <c r="V1046" t="s">
        <v>48</v>
      </c>
      <c r="W1046" t="s">
        <v>49</v>
      </c>
      <c r="X1046" t="s">
        <v>50</v>
      </c>
      <c r="Y1046" t="s">
        <v>51</v>
      </c>
      <c r="Z1046">
        <v>1696</v>
      </c>
      <c r="AH1046">
        <v>0</v>
      </c>
      <c r="AI1046">
        <v>202505</v>
      </c>
      <c r="AJ1046" t="s">
        <v>86</v>
      </c>
      <c r="AK1046">
        <v>1</v>
      </c>
      <c r="AL1046">
        <v>1</v>
      </c>
      <c r="AO1046">
        <v>0</v>
      </c>
      <c r="AP1046" t="s">
        <v>3011</v>
      </c>
      <c r="AQ1046" t="s">
        <v>3012</v>
      </c>
      <c r="AR1046" t="s">
        <v>3013</v>
      </c>
      <c r="AS1046" t="s">
        <v>3014</v>
      </c>
      <c r="AU1046" t="s">
        <v>3014</v>
      </c>
    </row>
    <row r="1047" spans="1:47" x14ac:dyDescent="0.35">
      <c r="A1047">
        <v>352541</v>
      </c>
      <c r="B1047" t="s">
        <v>41</v>
      </c>
      <c r="C1047" t="s">
        <v>42</v>
      </c>
      <c r="D1047" s="2">
        <v>45822</v>
      </c>
      <c r="E1047">
        <v>53850</v>
      </c>
      <c r="F1047">
        <v>171</v>
      </c>
      <c r="G1047" t="s">
        <v>198</v>
      </c>
      <c r="H1047" t="s">
        <v>44</v>
      </c>
      <c r="I1047" t="s">
        <v>45</v>
      </c>
      <c r="L1047">
        <v>1713302213842</v>
      </c>
      <c r="M1047">
        <v>20250507</v>
      </c>
      <c r="N1047" t="s">
        <v>46</v>
      </c>
      <c r="Q1047" t="s">
        <v>47</v>
      </c>
      <c r="R1047">
        <v>100000</v>
      </c>
      <c r="T1047">
        <v>4148505</v>
      </c>
      <c r="U1047">
        <v>5848860721</v>
      </c>
      <c r="V1047" t="s">
        <v>1281</v>
      </c>
      <c r="W1047" t="s">
        <v>49</v>
      </c>
      <c r="X1047" t="s">
        <v>260</v>
      </c>
      <c r="Y1047" t="s">
        <v>51</v>
      </c>
      <c r="Z1047">
        <v>1903</v>
      </c>
      <c r="AH1047">
        <v>0</v>
      </c>
      <c r="AI1047">
        <v>202505</v>
      </c>
      <c r="AJ1047" t="s">
        <v>114</v>
      </c>
      <c r="AK1047">
        <v>1</v>
      </c>
      <c r="AL1047">
        <v>1</v>
      </c>
      <c r="AO1047">
        <v>0</v>
      </c>
      <c r="AP1047" t="s">
        <v>3015</v>
      </c>
      <c r="AQ1047" t="s">
        <v>3012</v>
      </c>
      <c r="AR1047" t="s">
        <v>3016</v>
      </c>
      <c r="AT1047" t="s">
        <v>3017</v>
      </c>
      <c r="AU1047" t="s">
        <v>3018</v>
      </c>
    </row>
    <row r="1048" spans="1:47" x14ac:dyDescent="0.35">
      <c r="A1048">
        <v>352540</v>
      </c>
      <c r="B1048" t="s">
        <v>41</v>
      </c>
      <c r="C1048" t="s">
        <v>42</v>
      </c>
      <c r="D1048" s="2">
        <v>45822</v>
      </c>
      <c r="E1048">
        <v>53850</v>
      </c>
      <c r="F1048">
        <v>153</v>
      </c>
      <c r="G1048" t="s">
        <v>63</v>
      </c>
      <c r="H1048" t="s">
        <v>44</v>
      </c>
      <c r="I1048" t="s">
        <v>45</v>
      </c>
      <c r="L1048">
        <v>1533300663954</v>
      </c>
      <c r="M1048">
        <v>20250516</v>
      </c>
      <c r="N1048" t="s">
        <v>46</v>
      </c>
      <c r="Q1048" t="s">
        <v>47</v>
      </c>
      <c r="R1048">
        <v>177434.65</v>
      </c>
      <c r="T1048">
        <v>3716076</v>
      </c>
      <c r="U1048">
        <v>11929640966</v>
      </c>
      <c r="V1048" t="s">
        <v>1293</v>
      </c>
      <c r="W1048" t="s">
        <v>1294</v>
      </c>
      <c r="X1048" t="s">
        <v>1215</v>
      </c>
      <c r="Y1048" t="s">
        <v>51</v>
      </c>
      <c r="Z1048">
        <v>1055</v>
      </c>
      <c r="AH1048">
        <v>0</v>
      </c>
      <c r="AI1048">
        <v>202505</v>
      </c>
      <c r="AJ1048" t="s">
        <v>56</v>
      </c>
      <c r="AK1048">
        <v>0</v>
      </c>
      <c r="AL1048">
        <v>1</v>
      </c>
      <c r="AO1048">
        <v>0</v>
      </c>
      <c r="AP1048" t="s">
        <v>3015</v>
      </c>
      <c r="AQ1048" t="s">
        <v>3109</v>
      </c>
      <c r="AR1048" t="s">
        <v>3110</v>
      </c>
      <c r="AT1048" t="s">
        <v>3017</v>
      </c>
      <c r="AU1048" t="s">
        <v>3037</v>
      </c>
    </row>
    <row r="1049" spans="1:47" x14ac:dyDescent="0.35">
      <c r="A1049">
        <v>352530</v>
      </c>
      <c r="B1049" t="s">
        <v>41</v>
      </c>
      <c r="C1049" t="s">
        <v>42</v>
      </c>
      <c r="D1049" s="2">
        <v>45822</v>
      </c>
      <c r="E1049">
        <v>53850</v>
      </c>
      <c r="F1049">
        <v>148</v>
      </c>
      <c r="G1049" t="s">
        <v>78</v>
      </c>
      <c r="H1049" t="s">
        <v>44</v>
      </c>
      <c r="I1049" t="s">
        <v>45</v>
      </c>
      <c r="L1049">
        <v>1483300006067</v>
      </c>
      <c r="M1049">
        <v>20250507</v>
      </c>
      <c r="N1049" t="s">
        <v>46</v>
      </c>
      <c r="Q1049" t="s">
        <v>47</v>
      </c>
      <c r="R1049">
        <v>40000</v>
      </c>
      <c r="T1049">
        <v>3737044</v>
      </c>
      <c r="U1049">
        <v>15554071009</v>
      </c>
      <c r="V1049" t="s">
        <v>87</v>
      </c>
      <c r="W1049" t="s">
        <v>49</v>
      </c>
      <c r="X1049" t="s">
        <v>88</v>
      </c>
      <c r="Y1049" t="s">
        <v>51</v>
      </c>
      <c r="Z1049">
        <v>1196</v>
      </c>
      <c r="AH1049">
        <v>0</v>
      </c>
      <c r="AI1049">
        <v>202505</v>
      </c>
      <c r="AJ1049" t="s">
        <v>56</v>
      </c>
      <c r="AK1049">
        <v>0</v>
      </c>
      <c r="AL1049">
        <v>1</v>
      </c>
      <c r="AO1049">
        <v>0</v>
      </c>
      <c r="AP1049" t="s">
        <v>3015</v>
      </c>
      <c r="AQ1049" t="s">
        <v>3012</v>
      </c>
      <c r="AR1049" t="s">
        <v>3016</v>
      </c>
      <c r="AT1049" t="s">
        <v>3017</v>
      </c>
      <c r="AU1049" t="s">
        <v>3018</v>
      </c>
    </row>
    <row r="1050" spans="1:47" x14ac:dyDescent="0.35">
      <c r="A1050">
        <v>352529</v>
      </c>
      <c r="B1050" t="s">
        <v>41</v>
      </c>
      <c r="C1050" t="s">
        <v>42</v>
      </c>
      <c r="D1050" s="2">
        <v>45822</v>
      </c>
      <c r="E1050">
        <v>53850</v>
      </c>
      <c r="F1050">
        <v>171</v>
      </c>
      <c r="G1050" t="s">
        <v>198</v>
      </c>
      <c r="H1050" t="s">
        <v>44</v>
      </c>
      <c r="I1050" t="s">
        <v>45</v>
      </c>
      <c r="L1050">
        <v>1713302213842</v>
      </c>
      <c r="M1050">
        <v>20250507</v>
      </c>
      <c r="N1050" t="s">
        <v>46</v>
      </c>
      <c r="Q1050" t="s">
        <v>47</v>
      </c>
      <c r="R1050">
        <v>500000</v>
      </c>
      <c r="T1050">
        <v>4148505</v>
      </c>
      <c r="U1050">
        <v>5848860721</v>
      </c>
      <c r="V1050" t="s">
        <v>1281</v>
      </c>
      <c r="W1050" t="s">
        <v>49</v>
      </c>
      <c r="X1050" t="s">
        <v>260</v>
      </c>
      <c r="Y1050" t="s">
        <v>51</v>
      </c>
      <c r="Z1050">
        <v>1903</v>
      </c>
      <c r="AH1050">
        <v>0</v>
      </c>
      <c r="AI1050">
        <v>202505</v>
      </c>
      <c r="AJ1050" t="s">
        <v>114</v>
      </c>
      <c r="AK1050">
        <v>1</v>
      </c>
      <c r="AL1050">
        <v>1</v>
      </c>
      <c r="AO1050">
        <v>0</v>
      </c>
      <c r="AP1050" t="s">
        <v>3015</v>
      </c>
      <c r="AQ1050" t="s">
        <v>3012</v>
      </c>
      <c r="AR1050" t="s">
        <v>3016</v>
      </c>
      <c r="AT1050" t="s">
        <v>3017</v>
      </c>
      <c r="AU1050" t="s">
        <v>3018</v>
      </c>
    </row>
    <row r="1051" spans="1:47" x14ac:dyDescent="0.35">
      <c r="A1051">
        <v>352517</v>
      </c>
      <c r="B1051" t="s">
        <v>41</v>
      </c>
      <c r="C1051" t="s">
        <v>42</v>
      </c>
      <c r="D1051" s="2">
        <v>45822</v>
      </c>
      <c r="E1051">
        <v>53850</v>
      </c>
      <c r="F1051">
        <v>125</v>
      </c>
      <c r="G1051" t="s">
        <v>75</v>
      </c>
      <c r="H1051" t="s">
        <v>44</v>
      </c>
      <c r="I1051" t="s">
        <v>45</v>
      </c>
      <c r="L1051">
        <v>1253300002567</v>
      </c>
      <c r="M1051">
        <v>20250526</v>
      </c>
      <c r="N1051" t="s">
        <v>46</v>
      </c>
      <c r="Q1051" t="s">
        <v>47</v>
      </c>
      <c r="R1051">
        <v>40262</v>
      </c>
      <c r="T1051">
        <v>4951371</v>
      </c>
      <c r="U1051">
        <v>9498701219</v>
      </c>
      <c r="V1051" t="s">
        <v>1295</v>
      </c>
      <c r="W1051" t="s">
        <v>49</v>
      </c>
      <c r="X1051" t="s">
        <v>110</v>
      </c>
      <c r="Y1051" t="s">
        <v>51</v>
      </c>
      <c r="Z1051">
        <v>1337</v>
      </c>
      <c r="AH1051">
        <v>0</v>
      </c>
      <c r="AI1051">
        <v>202505</v>
      </c>
      <c r="AJ1051" t="s">
        <v>56</v>
      </c>
      <c r="AK1051">
        <v>0</v>
      </c>
      <c r="AL1051">
        <v>1</v>
      </c>
      <c r="AO1051">
        <v>0</v>
      </c>
      <c r="AP1051" t="s">
        <v>3026</v>
      </c>
      <c r="AQ1051" t="s">
        <v>3012</v>
      </c>
      <c r="AR1051" t="s">
        <v>3027</v>
      </c>
      <c r="AS1051" t="s">
        <v>3028</v>
      </c>
      <c r="AU1051" t="s">
        <v>3028</v>
      </c>
    </row>
    <row r="1052" spans="1:47" x14ac:dyDescent="0.35">
      <c r="A1052">
        <v>352505</v>
      </c>
      <c r="B1052" t="s">
        <v>41</v>
      </c>
      <c r="C1052" t="s">
        <v>42</v>
      </c>
      <c r="D1052" s="2">
        <v>45822</v>
      </c>
      <c r="E1052">
        <v>53850</v>
      </c>
      <c r="F1052">
        <v>153</v>
      </c>
      <c r="G1052" t="s">
        <v>63</v>
      </c>
      <c r="H1052" t="s">
        <v>44</v>
      </c>
      <c r="I1052" t="s">
        <v>45</v>
      </c>
      <c r="L1052">
        <v>1533300663959</v>
      </c>
      <c r="M1052">
        <v>20250519</v>
      </c>
      <c r="N1052" t="s">
        <v>46</v>
      </c>
      <c r="Q1052" t="s">
        <v>47</v>
      </c>
      <c r="R1052">
        <v>46200</v>
      </c>
      <c r="T1052">
        <v>3721097</v>
      </c>
      <c r="U1052">
        <v>10391641213</v>
      </c>
      <c r="V1052" t="s">
        <v>64</v>
      </c>
      <c r="W1052" t="s">
        <v>49</v>
      </c>
      <c r="X1052" t="s">
        <v>65</v>
      </c>
      <c r="Y1052" t="s">
        <v>51</v>
      </c>
      <c r="Z1052">
        <v>1237</v>
      </c>
      <c r="AH1052">
        <v>0</v>
      </c>
      <c r="AI1052">
        <v>202505</v>
      </c>
      <c r="AJ1052" t="s">
        <v>56</v>
      </c>
      <c r="AK1052">
        <v>0</v>
      </c>
      <c r="AL1052">
        <v>1</v>
      </c>
      <c r="AO1052">
        <v>0</v>
      </c>
      <c r="AP1052" t="s">
        <v>3019</v>
      </c>
      <c r="AQ1052" t="s">
        <v>3012</v>
      </c>
      <c r="AR1052" t="s">
        <v>3020</v>
      </c>
      <c r="AS1052" t="s">
        <v>3014</v>
      </c>
      <c r="AU1052" t="s">
        <v>3014</v>
      </c>
    </row>
    <row r="1053" spans="1:47" x14ac:dyDescent="0.35">
      <c r="A1053">
        <v>352503</v>
      </c>
      <c r="B1053" t="s">
        <v>41</v>
      </c>
      <c r="C1053" t="s">
        <v>42</v>
      </c>
      <c r="D1053" s="2">
        <v>45822</v>
      </c>
      <c r="E1053">
        <v>53850</v>
      </c>
      <c r="F1053">
        <v>145</v>
      </c>
      <c r="G1053" t="s">
        <v>115</v>
      </c>
      <c r="H1053" t="s">
        <v>44</v>
      </c>
      <c r="I1053" t="s">
        <v>45</v>
      </c>
      <c r="L1053">
        <v>1453300003389</v>
      </c>
      <c r="M1053">
        <v>20250512</v>
      </c>
      <c r="N1053" t="s">
        <v>46</v>
      </c>
      <c r="Q1053" t="s">
        <v>47</v>
      </c>
      <c r="R1053">
        <v>151719.9</v>
      </c>
      <c r="T1053">
        <v>4955147</v>
      </c>
      <c r="U1053">
        <v>5645531210</v>
      </c>
      <c r="V1053" t="s">
        <v>1296</v>
      </c>
      <c r="W1053" t="s">
        <v>49</v>
      </c>
      <c r="X1053" t="s">
        <v>110</v>
      </c>
      <c r="Y1053" t="s">
        <v>51</v>
      </c>
      <c r="Z1053">
        <v>982</v>
      </c>
      <c r="AH1053">
        <v>0</v>
      </c>
      <c r="AI1053">
        <v>202505</v>
      </c>
      <c r="AJ1053" t="s">
        <v>119</v>
      </c>
      <c r="AK1053">
        <v>1</v>
      </c>
      <c r="AL1053">
        <v>1</v>
      </c>
      <c r="AO1053">
        <v>0</v>
      </c>
      <c r="AP1053" t="s">
        <v>3026</v>
      </c>
      <c r="AQ1053" t="s">
        <v>3012</v>
      </c>
      <c r="AR1053" t="s">
        <v>3027</v>
      </c>
      <c r="AS1053" t="s">
        <v>3028</v>
      </c>
      <c r="AU1053" t="s">
        <v>3028</v>
      </c>
    </row>
    <row r="1054" spans="1:47" x14ac:dyDescent="0.35">
      <c r="A1054">
        <v>352489</v>
      </c>
      <c r="B1054" t="s">
        <v>41</v>
      </c>
      <c r="C1054" t="s">
        <v>42</v>
      </c>
      <c r="D1054" s="2">
        <v>45822</v>
      </c>
      <c r="E1054">
        <v>53850</v>
      </c>
      <c r="F1054">
        <v>125</v>
      </c>
      <c r="G1054" t="s">
        <v>75</v>
      </c>
      <c r="H1054" t="s">
        <v>44</v>
      </c>
      <c r="I1054" t="s">
        <v>45</v>
      </c>
      <c r="L1054">
        <v>1253309512895</v>
      </c>
      <c r="M1054">
        <v>20250528</v>
      </c>
      <c r="N1054" t="s">
        <v>46</v>
      </c>
      <c r="Q1054" t="s">
        <v>47</v>
      </c>
      <c r="R1054">
        <v>39983.01</v>
      </c>
      <c r="T1054">
        <v>4795279</v>
      </c>
      <c r="U1054">
        <v>1020090658</v>
      </c>
      <c r="V1054" t="s">
        <v>76</v>
      </c>
      <c r="W1054" t="s">
        <v>49</v>
      </c>
      <c r="X1054" t="s">
        <v>77</v>
      </c>
      <c r="Y1054" t="s">
        <v>51</v>
      </c>
      <c r="Z1054">
        <v>982</v>
      </c>
      <c r="AH1054">
        <v>0</v>
      </c>
      <c r="AI1054">
        <v>202505</v>
      </c>
      <c r="AJ1054" t="s">
        <v>56</v>
      </c>
      <c r="AK1054">
        <v>0</v>
      </c>
      <c r="AL1054">
        <v>1</v>
      </c>
      <c r="AO1054">
        <v>0</v>
      </c>
      <c r="AP1054" t="s">
        <v>3015</v>
      </c>
      <c r="AQ1054" t="s">
        <v>3012</v>
      </c>
      <c r="AR1054" t="s">
        <v>3016</v>
      </c>
      <c r="AT1054" t="s">
        <v>3017</v>
      </c>
      <c r="AU1054" t="s">
        <v>3018</v>
      </c>
    </row>
    <row r="1055" spans="1:47" x14ac:dyDescent="0.35">
      <c r="A1055">
        <v>352487</v>
      </c>
      <c r="B1055" t="s">
        <v>41</v>
      </c>
      <c r="C1055" t="s">
        <v>42</v>
      </c>
      <c r="D1055" s="2">
        <v>45822</v>
      </c>
      <c r="E1055">
        <v>53850</v>
      </c>
      <c r="F1055">
        <v>191</v>
      </c>
      <c r="G1055" t="s">
        <v>102</v>
      </c>
      <c r="H1055" t="s">
        <v>44</v>
      </c>
      <c r="I1055" t="s">
        <v>45</v>
      </c>
      <c r="L1055">
        <v>1913300068122</v>
      </c>
      <c r="M1055">
        <v>20250521</v>
      </c>
      <c r="N1055" t="s">
        <v>46</v>
      </c>
      <c r="Q1055" t="s">
        <v>47</v>
      </c>
      <c r="R1055">
        <v>50000</v>
      </c>
      <c r="T1055">
        <v>4918280</v>
      </c>
      <c r="U1055">
        <v>3480410798</v>
      </c>
      <c r="V1055" t="s">
        <v>103</v>
      </c>
      <c r="W1055" t="s">
        <v>49</v>
      </c>
      <c r="X1055" t="s">
        <v>85</v>
      </c>
      <c r="Y1055" t="s">
        <v>51</v>
      </c>
      <c r="AH1055">
        <v>0</v>
      </c>
      <c r="AI1055">
        <v>202505</v>
      </c>
      <c r="AJ1055" t="s">
        <v>119</v>
      </c>
      <c r="AK1055">
        <v>1</v>
      </c>
      <c r="AL1055">
        <v>1</v>
      </c>
      <c r="AO1055">
        <v>0</v>
      </c>
      <c r="AP1055" t="s">
        <v>3015</v>
      </c>
      <c r="AQ1055" t="s">
        <v>3012</v>
      </c>
      <c r="AR1055" t="s">
        <v>3016</v>
      </c>
      <c r="AT1055" t="s">
        <v>3017</v>
      </c>
      <c r="AU1055" t="s">
        <v>3018</v>
      </c>
    </row>
    <row r="1056" spans="1:47" x14ac:dyDescent="0.35">
      <c r="A1056">
        <v>352479</v>
      </c>
      <c r="B1056" t="s">
        <v>41</v>
      </c>
      <c r="C1056" t="s">
        <v>42</v>
      </c>
      <c r="D1056" s="2">
        <v>45822</v>
      </c>
      <c r="E1056">
        <v>53850</v>
      </c>
      <c r="F1056">
        <v>103</v>
      </c>
      <c r="G1056" t="s">
        <v>80</v>
      </c>
      <c r="H1056" t="s">
        <v>44</v>
      </c>
      <c r="I1056" t="s">
        <v>45</v>
      </c>
      <c r="L1056">
        <v>1033306967935</v>
      </c>
      <c r="M1056">
        <v>20250516</v>
      </c>
      <c r="N1056" t="s">
        <v>46</v>
      </c>
      <c r="Q1056" t="s">
        <v>47</v>
      </c>
      <c r="R1056">
        <v>43064.93</v>
      </c>
      <c r="T1056">
        <v>155052</v>
      </c>
      <c r="U1056">
        <v>2563580725</v>
      </c>
      <c r="V1056" t="s">
        <v>82</v>
      </c>
      <c r="W1056" t="s">
        <v>49</v>
      </c>
      <c r="X1056" t="s">
        <v>59</v>
      </c>
      <c r="Y1056" t="s">
        <v>51</v>
      </c>
      <c r="Z1056">
        <v>1926</v>
      </c>
      <c r="AH1056">
        <v>0</v>
      </c>
      <c r="AI1056">
        <v>202505</v>
      </c>
      <c r="AJ1056" t="s">
        <v>56</v>
      </c>
      <c r="AK1056">
        <v>0</v>
      </c>
      <c r="AL1056">
        <v>1</v>
      </c>
      <c r="AM1056">
        <v>155052</v>
      </c>
      <c r="AN1056">
        <v>1</v>
      </c>
      <c r="AO1056">
        <v>0</v>
      </c>
      <c r="AP1056" t="s">
        <v>3015</v>
      </c>
      <c r="AQ1056" t="s">
        <v>3012</v>
      </c>
      <c r="AR1056" t="s">
        <v>3016</v>
      </c>
      <c r="AT1056" t="s">
        <v>3017</v>
      </c>
      <c r="AU1056" t="s">
        <v>3018</v>
      </c>
    </row>
    <row r="1057" spans="1:47" x14ac:dyDescent="0.35">
      <c r="A1057">
        <v>352465</v>
      </c>
      <c r="B1057" t="s">
        <v>41</v>
      </c>
      <c r="C1057" t="s">
        <v>42</v>
      </c>
      <c r="D1057" s="2">
        <v>45822</v>
      </c>
      <c r="E1057">
        <v>53850</v>
      </c>
      <c r="F1057">
        <v>141</v>
      </c>
      <c r="G1057" t="s">
        <v>105</v>
      </c>
      <c r="H1057" t="s">
        <v>44</v>
      </c>
      <c r="I1057" t="s">
        <v>45</v>
      </c>
      <c r="L1057">
        <v>1413300003738</v>
      </c>
      <c r="M1057">
        <v>20250523</v>
      </c>
      <c r="N1057" t="s">
        <v>46</v>
      </c>
      <c r="Q1057" t="s">
        <v>47</v>
      </c>
      <c r="R1057">
        <v>273506.31</v>
      </c>
      <c r="T1057">
        <v>4835947</v>
      </c>
      <c r="U1057">
        <v>3351210756</v>
      </c>
      <c r="V1057" t="s">
        <v>148</v>
      </c>
      <c r="W1057" t="s">
        <v>49</v>
      </c>
      <c r="X1057" t="s">
        <v>50</v>
      </c>
      <c r="Y1057" t="s">
        <v>51</v>
      </c>
      <c r="Z1057">
        <v>1627</v>
      </c>
      <c r="AH1057">
        <v>0</v>
      </c>
      <c r="AI1057">
        <v>202505</v>
      </c>
      <c r="AJ1057" t="s">
        <v>56</v>
      </c>
      <c r="AK1057">
        <v>0</v>
      </c>
      <c r="AL1057">
        <v>1</v>
      </c>
      <c r="AO1057">
        <v>0</v>
      </c>
      <c r="AP1057" t="s">
        <v>3011</v>
      </c>
      <c r="AQ1057" t="s">
        <v>3012</v>
      </c>
      <c r="AR1057" t="s">
        <v>3013</v>
      </c>
      <c r="AS1057" t="s">
        <v>3014</v>
      </c>
      <c r="AU1057" t="s">
        <v>3014</v>
      </c>
    </row>
    <row r="1058" spans="1:47" x14ac:dyDescent="0.35">
      <c r="A1058">
        <v>352457</v>
      </c>
      <c r="B1058" t="s">
        <v>41</v>
      </c>
      <c r="C1058" t="s">
        <v>42</v>
      </c>
      <c r="D1058" s="2">
        <v>45822</v>
      </c>
      <c r="E1058">
        <v>53850</v>
      </c>
      <c r="F1058">
        <v>148</v>
      </c>
      <c r="G1058" t="s">
        <v>78</v>
      </c>
      <c r="H1058" t="s">
        <v>44</v>
      </c>
      <c r="I1058" t="s">
        <v>45</v>
      </c>
      <c r="L1058">
        <v>1483300006067</v>
      </c>
      <c r="M1058">
        <v>20250522</v>
      </c>
      <c r="N1058" t="s">
        <v>46</v>
      </c>
      <c r="Q1058" t="s">
        <v>47</v>
      </c>
      <c r="R1058">
        <v>45000</v>
      </c>
      <c r="T1058">
        <v>3737044</v>
      </c>
      <c r="U1058">
        <v>15554071009</v>
      </c>
      <c r="V1058" t="s">
        <v>87</v>
      </c>
      <c r="W1058" t="s">
        <v>49</v>
      </c>
      <c r="X1058" t="s">
        <v>88</v>
      </c>
      <c r="Y1058" t="s">
        <v>51</v>
      </c>
      <c r="Z1058">
        <v>1196</v>
      </c>
      <c r="AH1058">
        <v>0</v>
      </c>
      <c r="AI1058">
        <v>202505</v>
      </c>
      <c r="AJ1058" t="s">
        <v>56</v>
      </c>
      <c r="AK1058">
        <v>0</v>
      </c>
      <c r="AL1058">
        <v>1</v>
      </c>
      <c r="AO1058">
        <v>0</v>
      </c>
      <c r="AP1058" t="s">
        <v>3015</v>
      </c>
      <c r="AQ1058" t="s">
        <v>3012</v>
      </c>
      <c r="AR1058" t="s">
        <v>3016</v>
      </c>
      <c r="AT1058" t="s">
        <v>3017</v>
      </c>
      <c r="AU1058" t="s">
        <v>3018</v>
      </c>
    </row>
    <row r="1059" spans="1:47" x14ac:dyDescent="0.35">
      <c r="A1059">
        <v>352446</v>
      </c>
      <c r="B1059" t="s">
        <v>41</v>
      </c>
      <c r="C1059" t="s">
        <v>42</v>
      </c>
      <c r="D1059" s="2">
        <v>45822</v>
      </c>
      <c r="E1059">
        <v>53850</v>
      </c>
      <c r="F1059">
        <v>187</v>
      </c>
      <c r="G1059" t="s">
        <v>251</v>
      </c>
      <c r="H1059" t="s">
        <v>44</v>
      </c>
      <c r="I1059" t="s">
        <v>45</v>
      </c>
      <c r="L1059">
        <v>999361870311</v>
      </c>
      <c r="M1059">
        <v>20250516</v>
      </c>
      <c r="N1059" t="s">
        <v>46</v>
      </c>
      <c r="Q1059" t="s">
        <v>47</v>
      </c>
      <c r="R1059">
        <v>660695.05000000005</v>
      </c>
      <c r="T1059">
        <v>3004644</v>
      </c>
      <c r="U1059">
        <v>80008750731</v>
      </c>
      <c r="V1059" t="s">
        <v>252</v>
      </c>
      <c r="W1059" t="s">
        <v>253</v>
      </c>
      <c r="Y1059" t="s">
        <v>51</v>
      </c>
      <c r="Z1059">
        <v>1627</v>
      </c>
      <c r="AH1059">
        <v>0</v>
      </c>
      <c r="AI1059">
        <v>202505</v>
      </c>
      <c r="AJ1059" t="s">
        <v>56</v>
      </c>
      <c r="AK1059">
        <v>0</v>
      </c>
      <c r="AL1059">
        <v>1</v>
      </c>
      <c r="AO1059">
        <v>0</v>
      </c>
      <c r="AP1059" t="s">
        <v>3015</v>
      </c>
      <c r="AQ1059" t="s">
        <v>3052</v>
      </c>
      <c r="AR1059" t="s">
        <v>3053</v>
      </c>
      <c r="AS1059" t="s">
        <v>3037</v>
      </c>
      <c r="AU1059" t="s">
        <v>3037</v>
      </c>
    </row>
    <row r="1060" spans="1:47" x14ac:dyDescent="0.35">
      <c r="A1060">
        <v>352433</v>
      </c>
      <c r="B1060" t="s">
        <v>41</v>
      </c>
      <c r="C1060" t="s">
        <v>42</v>
      </c>
      <c r="D1060" s="2">
        <v>45822</v>
      </c>
      <c r="E1060">
        <v>53850</v>
      </c>
      <c r="F1060">
        <v>105</v>
      </c>
      <c r="G1060" t="s">
        <v>60</v>
      </c>
      <c r="H1060" t="s">
        <v>44</v>
      </c>
      <c r="I1060" t="s">
        <v>45</v>
      </c>
      <c r="L1060">
        <v>1053306287103</v>
      </c>
      <c r="M1060">
        <v>20250530</v>
      </c>
      <c r="N1060" t="s">
        <v>46</v>
      </c>
      <c r="Q1060" t="s">
        <v>47</v>
      </c>
      <c r="R1060">
        <v>33925.46</v>
      </c>
      <c r="T1060">
        <v>4263360</v>
      </c>
      <c r="U1060">
        <v>5982300724</v>
      </c>
      <c r="V1060" t="s">
        <v>61</v>
      </c>
      <c r="W1060" t="s">
        <v>49</v>
      </c>
      <c r="X1060" t="s">
        <v>62</v>
      </c>
      <c r="Y1060" t="s">
        <v>51</v>
      </c>
      <c r="Z1060">
        <v>1058</v>
      </c>
      <c r="AH1060">
        <v>0</v>
      </c>
      <c r="AI1060">
        <v>202505</v>
      </c>
      <c r="AJ1060" t="s">
        <v>56</v>
      </c>
      <c r="AK1060">
        <v>0</v>
      </c>
      <c r="AL1060">
        <v>1</v>
      </c>
      <c r="AO1060">
        <v>0</v>
      </c>
      <c r="AP1060" t="s">
        <v>3015</v>
      </c>
      <c r="AQ1060" t="s">
        <v>3012</v>
      </c>
      <c r="AR1060" t="s">
        <v>3016</v>
      </c>
      <c r="AT1060" t="s">
        <v>3017</v>
      </c>
      <c r="AU1060" t="s">
        <v>3018</v>
      </c>
    </row>
    <row r="1061" spans="1:47" x14ac:dyDescent="0.35">
      <c r="A1061">
        <v>352429</v>
      </c>
      <c r="B1061" t="s">
        <v>41</v>
      </c>
      <c r="C1061" t="s">
        <v>42</v>
      </c>
      <c r="D1061" s="2">
        <v>45822</v>
      </c>
      <c r="E1061">
        <v>53850</v>
      </c>
      <c r="F1061">
        <v>148</v>
      </c>
      <c r="G1061" t="s">
        <v>78</v>
      </c>
      <c r="H1061" t="s">
        <v>44</v>
      </c>
      <c r="I1061" t="s">
        <v>45</v>
      </c>
      <c r="L1061">
        <v>1483300006067</v>
      </c>
      <c r="M1061">
        <v>20250507</v>
      </c>
      <c r="N1061" t="s">
        <v>46</v>
      </c>
      <c r="Q1061" t="s">
        <v>47</v>
      </c>
      <c r="R1061">
        <v>40000</v>
      </c>
      <c r="T1061">
        <v>3737044</v>
      </c>
      <c r="U1061">
        <v>15554071009</v>
      </c>
      <c r="V1061" t="s">
        <v>87</v>
      </c>
      <c r="W1061" t="s">
        <v>49</v>
      </c>
      <c r="X1061" t="s">
        <v>88</v>
      </c>
      <c r="Y1061" t="s">
        <v>51</v>
      </c>
      <c r="Z1061">
        <v>1196</v>
      </c>
      <c r="AH1061">
        <v>0</v>
      </c>
      <c r="AI1061">
        <v>202505</v>
      </c>
      <c r="AJ1061" t="s">
        <v>56</v>
      </c>
      <c r="AK1061">
        <v>0</v>
      </c>
      <c r="AL1061">
        <v>1</v>
      </c>
      <c r="AO1061">
        <v>0</v>
      </c>
      <c r="AP1061" t="s">
        <v>3015</v>
      </c>
      <c r="AQ1061" t="s">
        <v>3012</v>
      </c>
      <c r="AR1061" t="s">
        <v>3016</v>
      </c>
      <c r="AT1061" t="s">
        <v>3017</v>
      </c>
      <c r="AU1061" t="s">
        <v>3018</v>
      </c>
    </row>
    <row r="1062" spans="1:47" x14ac:dyDescent="0.35">
      <c r="A1062">
        <v>352413</v>
      </c>
      <c r="B1062" t="s">
        <v>41</v>
      </c>
      <c r="C1062" t="s">
        <v>42</v>
      </c>
      <c r="D1062" s="2">
        <v>45822</v>
      </c>
      <c r="E1062">
        <v>53850</v>
      </c>
      <c r="F1062">
        <v>261</v>
      </c>
      <c r="G1062" t="s">
        <v>136</v>
      </c>
      <c r="H1062" t="s">
        <v>44</v>
      </c>
      <c r="I1062" t="s">
        <v>45</v>
      </c>
      <c r="L1062">
        <v>2613300010205</v>
      </c>
      <c r="M1062">
        <v>20250527</v>
      </c>
      <c r="N1062" t="s">
        <v>46</v>
      </c>
      <c r="Q1062" t="s">
        <v>47</v>
      </c>
      <c r="R1062">
        <v>27796.5</v>
      </c>
      <c r="T1062">
        <v>4991786</v>
      </c>
      <c r="U1062">
        <v>993400944</v>
      </c>
      <c r="V1062" t="s">
        <v>137</v>
      </c>
      <c r="W1062" t="s">
        <v>49</v>
      </c>
      <c r="X1062" t="s">
        <v>77</v>
      </c>
      <c r="Y1062" t="s">
        <v>51</v>
      </c>
      <c r="Z1062">
        <v>1782</v>
      </c>
      <c r="AH1062">
        <v>0</v>
      </c>
      <c r="AI1062">
        <v>202505</v>
      </c>
      <c r="AJ1062" t="s">
        <v>56</v>
      </c>
      <c r="AK1062">
        <v>0</v>
      </c>
      <c r="AL1062">
        <v>1</v>
      </c>
      <c r="AM1062">
        <v>4991786</v>
      </c>
      <c r="AN1062">
        <v>1</v>
      </c>
      <c r="AO1062">
        <v>0</v>
      </c>
      <c r="AP1062" t="s">
        <v>3015</v>
      </c>
      <c r="AQ1062" t="s">
        <v>3012</v>
      </c>
      <c r="AR1062" t="s">
        <v>3016</v>
      </c>
      <c r="AT1062" t="s">
        <v>3017</v>
      </c>
      <c r="AU1062" t="s">
        <v>3018</v>
      </c>
    </row>
    <row r="1063" spans="1:47" x14ac:dyDescent="0.35">
      <c r="A1063">
        <v>352376</v>
      </c>
      <c r="B1063" t="s">
        <v>41</v>
      </c>
      <c r="C1063" t="s">
        <v>42</v>
      </c>
      <c r="D1063" s="2">
        <v>45822</v>
      </c>
      <c r="E1063">
        <v>53850</v>
      </c>
      <c r="F1063">
        <v>141</v>
      </c>
      <c r="G1063" t="s">
        <v>105</v>
      </c>
      <c r="H1063" t="s">
        <v>44</v>
      </c>
      <c r="I1063" t="s">
        <v>45</v>
      </c>
      <c r="L1063">
        <v>1413300003347</v>
      </c>
      <c r="M1063">
        <v>20250515</v>
      </c>
      <c r="N1063" t="s">
        <v>46</v>
      </c>
      <c r="Q1063" t="s">
        <v>47</v>
      </c>
      <c r="R1063">
        <v>40000</v>
      </c>
      <c r="T1063">
        <v>4835947</v>
      </c>
      <c r="U1063">
        <v>3351210756</v>
      </c>
      <c r="V1063" t="s">
        <v>148</v>
      </c>
      <c r="W1063" t="s">
        <v>49</v>
      </c>
      <c r="X1063" t="s">
        <v>50</v>
      </c>
      <c r="Y1063" t="s">
        <v>51</v>
      </c>
      <c r="Z1063">
        <v>1627</v>
      </c>
      <c r="AH1063">
        <v>0</v>
      </c>
      <c r="AI1063">
        <v>202505</v>
      </c>
      <c r="AJ1063" t="s">
        <v>56</v>
      </c>
      <c r="AK1063">
        <v>0</v>
      </c>
      <c r="AL1063">
        <v>1</v>
      </c>
      <c r="AO1063">
        <v>0</v>
      </c>
      <c r="AP1063" t="s">
        <v>3011</v>
      </c>
      <c r="AQ1063" t="s">
        <v>3012</v>
      </c>
      <c r="AR1063" t="s">
        <v>3013</v>
      </c>
      <c r="AS1063" t="s">
        <v>3014</v>
      </c>
      <c r="AU1063" t="s">
        <v>3014</v>
      </c>
    </row>
    <row r="1064" spans="1:47" x14ac:dyDescent="0.35">
      <c r="A1064">
        <v>352339</v>
      </c>
      <c r="B1064" t="s">
        <v>41</v>
      </c>
      <c r="C1064" t="s">
        <v>42</v>
      </c>
      <c r="D1064" s="2">
        <v>45822</v>
      </c>
      <c r="E1064">
        <v>53850</v>
      </c>
      <c r="F1064">
        <v>154</v>
      </c>
      <c r="G1064" t="s">
        <v>53</v>
      </c>
      <c r="H1064" t="s">
        <v>44</v>
      </c>
      <c r="I1064" t="s">
        <v>45</v>
      </c>
      <c r="L1064">
        <v>1543300004860</v>
      </c>
      <c r="M1064">
        <v>20250521</v>
      </c>
      <c r="N1064" t="s">
        <v>46</v>
      </c>
      <c r="Q1064" t="s">
        <v>47</v>
      </c>
      <c r="R1064">
        <v>27250</v>
      </c>
      <c r="T1064">
        <v>3715569</v>
      </c>
      <c r="U1064">
        <v>5424970654</v>
      </c>
      <c r="V1064" t="s">
        <v>54</v>
      </c>
      <c r="W1064" t="s">
        <v>49</v>
      </c>
      <c r="X1064" t="s">
        <v>55</v>
      </c>
      <c r="Y1064" t="s">
        <v>51</v>
      </c>
      <c r="Z1064">
        <v>741</v>
      </c>
      <c r="AH1064">
        <v>0</v>
      </c>
      <c r="AI1064">
        <v>202505</v>
      </c>
      <c r="AJ1064" t="s">
        <v>56</v>
      </c>
      <c r="AK1064">
        <v>0</v>
      </c>
      <c r="AL1064">
        <v>1</v>
      </c>
      <c r="AO1064">
        <v>0</v>
      </c>
      <c r="AP1064" t="s">
        <v>3015</v>
      </c>
      <c r="AQ1064" t="s">
        <v>3012</v>
      </c>
      <c r="AR1064" t="s">
        <v>3016</v>
      </c>
      <c r="AT1064" t="s">
        <v>3017</v>
      </c>
      <c r="AU1064" t="s">
        <v>3018</v>
      </c>
    </row>
    <row r="1065" spans="1:47" x14ac:dyDescent="0.35">
      <c r="A1065">
        <v>352326</v>
      </c>
      <c r="B1065" t="s">
        <v>41</v>
      </c>
      <c r="C1065" t="s">
        <v>42</v>
      </c>
      <c r="D1065" s="2">
        <v>45822</v>
      </c>
      <c r="E1065">
        <v>53850</v>
      </c>
      <c r="F1065">
        <v>103</v>
      </c>
      <c r="G1065" t="s">
        <v>80</v>
      </c>
      <c r="H1065" t="s">
        <v>44</v>
      </c>
      <c r="I1065" t="s">
        <v>45</v>
      </c>
      <c r="L1065">
        <v>1033306967935</v>
      </c>
      <c r="M1065">
        <v>20250506</v>
      </c>
      <c r="N1065" t="s">
        <v>97</v>
      </c>
      <c r="Q1065" t="s">
        <v>47</v>
      </c>
      <c r="R1065">
        <v>25636.55</v>
      </c>
      <c r="T1065">
        <v>155052</v>
      </c>
      <c r="U1065">
        <v>2563580725</v>
      </c>
      <c r="V1065" t="s">
        <v>82</v>
      </c>
      <c r="W1065" t="s">
        <v>49</v>
      </c>
      <c r="X1065" t="s">
        <v>59</v>
      </c>
      <c r="Y1065" t="s">
        <v>51</v>
      </c>
      <c r="Z1065">
        <v>1926</v>
      </c>
      <c r="AH1065">
        <v>0</v>
      </c>
      <c r="AI1065">
        <v>202505</v>
      </c>
      <c r="AJ1065" t="s">
        <v>56</v>
      </c>
      <c r="AK1065">
        <v>0</v>
      </c>
      <c r="AL1065">
        <v>1</v>
      </c>
      <c r="AM1065">
        <v>155052</v>
      </c>
      <c r="AN1065">
        <v>1</v>
      </c>
      <c r="AO1065">
        <v>0</v>
      </c>
      <c r="AP1065" t="s">
        <v>3015</v>
      </c>
      <c r="AQ1065" t="s">
        <v>3012</v>
      </c>
      <c r="AR1065" t="s">
        <v>3016</v>
      </c>
      <c r="AT1065" t="s">
        <v>3017</v>
      </c>
      <c r="AU1065" t="s">
        <v>3018</v>
      </c>
    </row>
    <row r="1066" spans="1:47" x14ac:dyDescent="0.35">
      <c r="A1066">
        <v>352298</v>
      </c>
      <c r="B1066" t="s">
        <v>41</v>
      </c>
      <c r="C1066" t="s">
        <v>42</v>
      </c>
      <c r="D1066" s="2">
        <v>45822</v>
      </c>
      <c r="E1066">
        <v>53850</v>
      </c>
      <c r="F1066">
        <v>191</v>
      </c>
      <c r="G1066" t="s">
        <v>102</v>
      </c>
      <c r="H1066" t="s">
        <v>44</v>
      </c>
      <c r="I1066" t="s">
        <v>45</v>
      </c>
      <c r="L1066">
        <v>1913300068122</v>
      </c>
      <c r="M1066">
        <v>20250522</v>
      </c>
      <c r="N1066" t="s">
        <v>46</v>
      </c>
      <c r="Q1066" t="s">
        <v>47</v>
      </c>
      <c r="R1066">
        <v>30000</v>
      </c>
      <c r="T1066">
        <v>4918280</v>
      </c>
      <c r="U1066">
        <v>3480410798</v>
      </c>
      <c r="V1066" t="s">
        <v>103</v>
      </c>
      <c r="W1066" t="s">
        <v>49</v>
      </c>
      <c r="X1066" t="s">
        <v>85</v>
      </c>
      <c r="Y1066" t="s">
        <v>51</v>
      </c>
      <c r="AH1066">
        <v>0</v>
      </c>
      <c r="AI1066">
        <v>202505</v>
      </c>
      <c r="AJ1066" t="s">
        <v>119</v>
      </c>
      <c r="AK1066">
        <v>1</v>
      </c>
      <c r="AL1066">
        <v>1</v>
      </c>
      <c r="AO1066">
        <v>0</v>
      </c>
      <c r="AP1066" t="s">
        <v>3015</v>
      </c>
      <c r="AQ1066" t="s">
        <v>3012</v>
      </c>
      <c r="AR1066" t="s">
        <v>3016</v>
      </c>
      <c r="AT1066" t="s">
        <v>3017</v>
      </c>
      <c r="AU1066" t="s">
        <v>3018</v>
      </c>
    </row>
    <row r="1067" spans="1:47" x14ac:dyDescent="0.35">
      <c r="A1067">
        <v>352290</v>
      </c>
      <c r="B1067" t="s">
        <v>41</v>
      </c>
      <c r="C1067" t="s">
        <v>42</v>
      </c>
      <c r="D1067" s="2">
        <v>45822</v>
      </c>
      <c r="E1067">
        <v>53850</v>
      </c>
      <c r="F1067">
        <v>141</v>
      </c>
      <c r="G1067" t="s">
        <v>105</v>
      </c>
      <c r="H1067" t="s">
        <v>44</v>
      </c>
      <c r="I1067" t="s">
        <v>45</v>
      </c>
      <c r="L1067">
        <v>1413300003347</v>
      </c>
      <c r="M1067">
        <v>20250521</v>
      </c>
      <c r="N1067" t="s">
        <v>46</v>
      </c>
      <c r="Q1067" t="s">
        <v>47</v>
      </c>
      <c r="R1067">
        <v>27164.07</v>
      </c>
      <c r="T1067">
        <v>4835947</v>
      </c>
      <c r="U1067">
        <v>3351210756</v>
      </c>
      <c r="V1067" t="s">
        <v>148</v>
      </c>
      <c r="W1067" t="s">
        <v>49</v>
      </c>
      <c r="X1067" t="s">
        <v>50</v>
      </c>
      <c r="Y1067" t="s">
        <v>51</v>
      </c>
      <c r="Z1067">
        <v>1627</v>
      </c>
      <c r="AH1067">
        <v>0</v>
      </c>
      <c r="AI1067">
        <v>202505</v>
      </c>
      <c r="AJ1067" t="s">
        <v>56</v>
      </c>
      <c r="AK1067">
        <v>0</v>
      </c>
      <c r="AL1067">
        <v>1</v>
      </c>
      <c r="AO1067">
        <v>0</v>
      </c>
      <c r="AP1067" t="s">
        <v>3011</v>
      </c>
      <c r="AQ1067" t="s">
        <v>3012</v>
      </c>
      <c r="AR1067" t="s">
        <v>3013</v>
      </c>
      <c r="AS1067" t="s">
        <v>3014</v>
      </c>
      <c r="AU1067" t="s">
        <v>3014</v>
      </c>
    </row>
    <row r="1068" spans="1:47" x14ac:dyDescent="0.35">
      <c r="A1068">
        <v>352283</v>
      </c>
      <c r="B1068" t="s">
        <v>41</v>
      </c>
      <c r="C1068" t="s">
        <v>42</v>
      </c>
      <c r="D1068" s="2">
        <v>45822</v>
      </c>
      <c r="E1068">
        <v>53850</v>
      </c>
      <c r="F1068">
        <v>189</v>
      </c>
      <c r="G1068" t="s">
        <v>286</v>
      </c>
      <c r="H1068" t="s">
        <v>44</v>
      </c>
      <c r="I1068" t="s">
        <v>45</v>
      </c>
      <c r="L1068">
        <v>1893300039198</v>
      </c>
      <c r="M1068">
        <v>20250521</v>
      </c>
      <c r="N1068" t="s">
        <v>46</v>
      </c>
      <c r="Q1068" t="s">
        <v>47</v>
      </c>
      <c r="R1068">
        <v>53000</v>
      </c>
      <c r="T1068">
        <v>4946691</v>
      </c>
      <c r="U1068">
        <v>3168470734</v>
      </c>
      <c r="V1068" t="s">
        <v>1297</v>
      </c>
      <c r="W1068" t="s">
        <v>49</v>
      </c>
      <c r="X1068" t="s">
        <v>1298</v>
      </c>
      <c r="Y1068" t="s">
        <v>51</v>
      </c>
      <c r="Z1068">
        <v>1381</v>
      </c>
      <c r="AH1068">
        <v>0</v>
      </c>
      <c r="AI1068">
        <v>202505</v>
      </c>
      <c r="AJ1068" t="s">
        <v>86</v>
      </c>
      <c r="AK1068">
        <v>1</v>
      </c>
      <c r="AL1068">
        <v>1</v>
      </c>
      <c r="AO1068">
        <v>0</v>
      </c>
      <c r="AP1068" t="s">
        <v>3015</v>
      </c>
      <c r="AQ1068" t="s">
        <v>3012</v>
      </c>
      <c r="AR1068" t="s">
        <v>3016</v>
      </c>
      <c r="AT1068" t="s">
        <v>3017</v>
      </c>
      <c r="AU1068" t="s">
        <v>3018</v>
      </c>
    </row>
    <row r="1069" spans="1:47" x14ac:dyDescent="0.35">
      <c r="A1069">
        <v>352268</v>
      </c>
      <c r="B1069" t="s">
        <v>41</v>
      </c>
      <c r="C1069" t="s">
        <v>42</v>
      </c>
      <c r="D1069" s="2">
        <v>45822</v>
      </c>
      <c r="E1069">
        <v>53850</v>
      </c>
      <c r="F1069">
        <v>122</v>
      </c>
      <c r="G1069" t="s">
        <v>43</v>
      </c>
      <c r="H1069" t="s">
        <v>44</v>
      </c>
      <c r="I1069" t="s">
        <v>45</v>
      </c>
      <c r="L1069">
        <v>1223300001682</v>
      </c>
      <c r="M1069">
        <v>20250527</v>
      </c>
      <c r="N1069" t="s">
        <v>46</v>
      </c>
      <c r="Q1069" t="s">
        <v>47</v>
      </c>
      <c r="R1069">
        <v>25620</v>
      </c>
      <c r="T1069">
        <v>3711207</v>
      </c>
      <c r="U1069">
        <v>8825020723</v>
      </c>
      <c r="V1069" t="s">
        <v>48</v>
      </c>
      <c r="W1069" t="s">
        <v>49</v>
      </c>
      <c r="X1069" t="s">
        <v>50</v>
      </c>
      <c r="Y1069" t="s">
        <v>51</v>
      </c>
      <c r="Z1069">
        <v>1696</v>
      </c>
      <c r="AH1069">
        <v>0</v>
      </c>
      <c r="AI1069">
        <v>202505</v>
      </c>
      <c r="AJ1069" t="s">
        <v>86</v>
      </c>
      <c r="AK1069">
        <v>1</v>
      </c>
      <c r="AL1069">
        <v>1</v>
      </c>
      <c r="AO1069">
        <v>0</v>
      </c>
      <c r="AP1069" t="s">
        <v>3011</v>
      </c>
      <c r="AQ1069" t="s">
        <v>3012</v>
      </c>
      <c r="AR1069" t="s">
        <v>3013</v>
      </c>
      <c r="AS1069" t="s">
        <v>3014</v>
      </c>
      <c r="AU1069" t="s">
        <v>3014</v>
      </c>
    </row>
    <row r="1070" spans="1:47" x14ac:dyDescent="0.35">
      <c r="A1070">
        <v>352259</v>
      </c>
      <c r="B1070" t="s">
        <v>41</v>
      </c>
      <c r="C1070" t="s">
        <v>42</v>
      </c>
      <c r="D1070" s="2">
        <v>45822</v>
      </c>
      <c r="E1070">
        <v>53850</v>
      </c>
      <c r="F1070">
        <v>145</v>
      </c>
      <c r="G1070" t="s">
        <v>115</v>
      </c>
      <c r="H1070" t="s">
        <v>44</v>
      </c>
      <c r="I1070" t="s">
        <v>45</v>
      </c>
      <c r="L1070">
        <v>1453300004026</v>
      </c>
      <c r="M1070">
        <v>20250509</v>
      </c>
      <c r="N1070" t="s">
        <v>46</v>
      </c>
      <c r="Q1070" t="s">
        <v>47</v>
      </c>
      <c r="R1070">
        <v>51240</v>
      </c>
      <c r="T1070">
        <v>3741477</v>
      </c>
      <c r="U1070">
        <v>10665571211</v>
      </c>
      <c r="V1070" t="s">
        <v>1299</v>
      </c>
      <c r="W1070" t="s">
        <v>49</v>
      </c>
      <c r="X1070" t="s">
        <v>1300</v>
      </c>
      <c r="Y1070" t="s">
        <v>51</v>
      </c>
      <c r="Z1070">
        <v>1222</v>
      </c>
      <c r="AH1070">
        <v>0</v>
      </c>
      <c r="AI1070">
        <v>202505</v>
      </c>
      <c r="AJ1070" t="s">
        <v>56</v>
      </c>
      <c r="AK1070">
        <v>0</v>
      </c>
      <c r="AL1070">
        <v>1</v>
      </c>
      <c r="AO1070">
        <v>0</v>
      </c>
      <c r="AP1070" t="s">
        <v>3111</v>
      </c>
      <c r="AQ1070" t="s">
        <v>3012</v>
      </c>
      <c r="AR1070" t="s">
        <v>3112</v>
      </c>
      <c r="AS1070" t="s">
        <v>3014</v>
      </c>
      <c r="AU1070" t="s">
        <v>3014</v>
      </c>
    </row>
    <row r="1071" spans="1:47" x14ac:dyDescent="0.35">
      <c r="A1071">
        <v>352219</v>
      </c>
      <c r="B1071" t="s">
        <v>41</v>
      </c>
      <c r="C1071" t="s">
        <v>42</v>
      </c>
      <c r="D1071" s="2">
        <v>45822</v>
      </c>
      <c r="E1071">
        <v>53850</v>
      </c>
      <c r="F1071">
        <v>136</v>
      </c>
      <c r="G1071" t="s">
        <v>551</v>
      </c>
      <c r="H1071" t="s">
        <v>44</v>
      </c>
      <c r="I1071" t="s">
        <v>45</v>
      </c>
      <c r="L1071">
        <v>1363300003325</v>
      </c>
      <c r="M1071">
        <v>20250506</v>
      </c>
      <c r="N1071" t="s">
        <v>46</v>
      </c>
      <c r="Q1071" t="s">
        <v>47</v>
      </c>
      <c r="R1071">
        <v>43255.89</v>
      </c>
      <c r="T1071">
        <v>4395683</v>
      </c>
      <c r="U1071">
        <v>2036760037</v>
      </c>
      <c r="V1071" t="s">
        <v>553</v>
      </c>
      <c r="W1071" t="s">
        <v>49</v>
      </c>
      <c r="X1071" t="s">
        <v>554</v>
      </c>
      <c r="Y1071" t="s">
        <v>51</v>
      </c>
      <c r="Z1071">
        <v>1627</v>
      </c>
      <c r="AH1071">
        <v>0</v>
      </c>
      <c r="AI1071">
        <v>202505</v>
      </c>
      <c r="AJ1071" t="s">
        <v>56</v>
      </c>
      <c r="AK1071">
        <v>0</v>
      </c>
      <c r="AL1071">
        <v>1</v>
      </c>
      <c r="AO1071">
        <v>0</v>
      </c>
      <c r="AP1071" t="s">
        <v>3015</v>
      </c>
      <c r="AQ1071" t="s">
        <v>3012</v>
      </c>
      <c r="AR1071" t="s">
        <v>3016</v>
      </c>
      <c r="AT1071" t="s">
        <v>3017</v>
      </c>
      <c r="AU1071" t="s">
        <v>3018</v>
      </c>
    </row>
    <row r="1072" spans="1:47" x14ac:dyDescent="0.35">
      <c r="A1072">
        <v>352162</v>
      </c>
      <c r="B1072" t="s">
        <v>41</v>
      </c>
      <c r="C1072" t="s">
        <v>42</v>
      </c>
      <c r="D1072" s="2">
        <v>45822</v>
      </c>
      <c r="E1072">
        <v>53850</v>
      </c>
      <c r="F1072">
        <v>99</v>
      </c>
      <c r="G1072" t="s">
        <v>335</v>
      </c>
      <c r="H1072" t="s">
        <v>44</v>
      </c>
      <c r="I1072" t="s">
        <v>45</v>
      </c>
      <c r="M1072">
        <v>20250508</v>
      </c>
      <c r="N1072" t="s">
        <v>46</v>
      </c>
      <c r="Q1072" t="s">
        <v>47</v>
      </c>
      <c r="R1072">
        <v>55919.05</v>
      </c>
      <c r="T1072">
        <v>1900001</v>
      </c>
      <c r="U1072">
        <v>604840777</v>
      </c>
      <c r="V1072" t="s">
        <v>1301</v>
      </c>
      <c r="W1072" t="s">
        <v>1302</v>
      </c>
      <c r="X1072" t="s">
        <v>1303</v>
      </c>
      <c r="Y1072" t="s">
        <v>51</v>
      </c>
      <c r="AH1072">
        <v>0</v>
      </c>
      <c r="AI1072">
        <v>202505</v>
      </c>
      <c r="AJ1072" t="s">
        <v>114</v>
      </c>
      <c r="AK1072">
        <v>1</v>
      </c>
      <c r="AL1072">
        <v>1</v>
      </c>
      <c r="AO1072">
        <v>0</v>
      </c>
      <c r="AP1072" t="s">
        <v>3015</v>
      </c>
      <c r="AQ1072" t="s">
        <v>3113</v>
      </c>
      <c r="AR1072" t="s">
        <v>3114</v>
      </c>
      <c r="AT1072" t="s">
        <v>3017</v>
      </c>
      <c r="AU1072" t="s">
        <v>3037</v>
      </c>
    </row>
    <row r="1073" spans="1:47" x14ac:dyDescent="0.35">
      <c r="A1073">
        <v>352156</v>
      </c>
      <c r="B1073" t="s">
        <v>41</v>
      </c>
      <c r="C1073" t="s">
        <v>42</v>
      </c>
      <c r="D1073" s="2">
        <v>45822</v>
      </c>
      <c r="E1073">
        <v>53850</v>
      </c>
      <c r="F1073">
        <v>116</v>
      </c>
      <c r="G1073" t="s">
        <v>126</v>
      </c>
      <c r="H1073" t="s">
        <v>44</v>
      </c>
      <c r="I1073" t="s">
        <v>45</v>
      </c>
      <c r="L1073">
        <v>1163307620827</v>
      </c>
      <c r="M1073">
        <v>20250522</v>
      </c>
      <c r="N1073" t="s">
        <v>46</v>
      </c>
      <c r="Q1073" t="s">
        <v>47</v>
      </c>
      <c r="R1073">
        <v>27000</v>
      </c>
      <c r="T1073">
        <v>4871871</v>
      </c>
      <c r="U1073">
        <v>2516140726</v>
      </c>
      <c r="V1073" t="s">
        <v>1304</v>
      </c>
      <c r="W1073" t="s">
        <v>49</v>
      </c>
      <c r="X1073" t="s">
        <v>59</v>
      </c>
      <c r="Y1073" t="s">
        <v>51</v>
      </c>
      <c r="Z1073">
        <v>1903</v>
      </c>
      <c r="AH1073">
        <v>0</v>
      </c>
      <c r="AI1073">
        <v>202505</v>
      </c>
      <c r="AJ1073" t="s">
        <v>56</v>
      </c>
      <c r="AK1073">
        <v>0</v>
      </c>
      <c r="AL1073">
        <v>1</v>
      </c>
      <c r="AO1073">
        <v>0</v>
      </c>
      <c r="AP1073" t="s">
        <v>3015</v>
      </c>
      <c r="AQ1073" t="s">
        <v>3012</v>
      </c>
      <c r="AR1073" t="s">
        <v>3016</v>
      </c>
      <c r="AT1073" t="s">
        <v>3017</v>
      </c>
      <c r="AU1073" t="s">
        <v>3018</v>
      </c>
    </row>
    <row r="1074" spans="1:47" x14ac:dyDescent="0.35">
      <c r="A1074">
        <v>352100</v>
      </c>
      <c r="B1074" t="s">
        <v>41</v>
      </c>
      <c r="C1074" t="s">
        <v>42</v>
      </c>
      <c r="D1074" s="2">
        <v>45822</v>
      </c>
      <c r="E1074">
        <v>53850</v>
      </c>
      <c r="F1074">
        <v>125</v>
      </c>
      <c r="G1074" t="s">
        <v>75</v>
      </c>
      <c r="H1074" t="s">
        <v>44</v>
      </c>
      <c r="I1074" t="s">
        <v>45</v>
      </c>
      <c r="L1074">
        <v>1253309512895</v>
      </c>
      <c r="M1074">
        <v>20250528</v>
      </c>
      <c r="N1074" t="s">
        <v>46</v>
      </c>
      <c r="Q1074" t="s">
        <v>47</v>
      </c>
      <c r="R1074">
        <v>29469.42</v>
      </c>
      <c r="T1074">
        <v>4795279</v>
      </c>
      <c r="U1074">
        <v>1020090658</v>
      </c>
      <c r="V1074" t="s">
        <v>76</v>
      </c>
      <c r="W1074" t="s">
        <v>49</v>
      </c>
      <c r="X1074" t="s">
        <v>77</v>
      </c>
      <c r="Y1074" t="s">
        <v>51</v>
      </c>
      <c r="Z1074">
        <v>982</v>
      </c>
      <c r="AH1074">
        <v>0</v>
      </c>
      <c r="AI1074">
        <v>202505</v>
      </c>
      <c r="AJ1074" t="s">
        <v>56</v>
      </c>
      <c r="AK1074">
        <v>0</v>
      </c>
      <c r="AL1074">
        <v>1</v>
      </c>
      <c r="AO1074">
        <v>0</v>
      </c>
      <c r="AP1074" t="s">
        <v>3015</v>
      </c>
      <c r="AQ1074" t="s">
        <v>3012</v>
      </c>
      <c r="AR1074" t="s">
        <v>3016</v>
      </c>
      <c r="AT1074" t="s">
        <v>3017</v>
      </c>
      <c r="AU1074" t="s">
        <v>3018</v>
      </c>
    </row>
    <row r="1075" spans="1:47" x14ac:dyDescent="0.35">
      <c r="A1075">
        <v>352044</v>
      </c>
      <c r="B1075" t="s">
        <v>41</v>
      </c>
      <c r="C1075" t="s">
        <v>42</v>
      </c>
      <c r="D1075" s="2">
        <v>45822</v>
      </c>
      <c r="E1075">
        <v>53850</v>
      </c>
      <c r="F1075">
        <v>191</v>
      </c>
      <c r="G1075" t="s">
        <v>102</v>
      </c>
      <c r="H1075" t="s">
        <v>44</v>
      </c>
      <c r="I1075" t="s">
        <v>45</v>
      </c>
      <c r="L1075">
        <v>1913300068122</v>
      </c>
      <c r="M1075">
        <v>20250526</v>
      </c>
      <c r="N1075" t="s">
        <v>46</v>
      </c>
      <c r="Q1075" t="s">
        <v>47</v>
      </c>
      <c r="R1075">
        <v>50000</v>
      </c>
      <c r="T1075">
        <v>4918280</v>
      </c>
      <c r="U1075">
        <v>3480410798</v>
      </c>
      <c r="V1075" t="s">
        <v>103</v>
      </c>
      <c r="W1075" t="s">
        <v>49</v>
      </c>
      <c r="X1075" t="s">
        <v>85</v>
      </c>
      <c r="Y1075" t="s">
        <v>51</v>
      </c>
      <c r="AH1075">
        <v>0</v>
      </c>
      <c r="AI1075">
        <v>202505</v>
      </c>
      <c r="AJ1075" t="s">
        <v>119</v>
      </c>
      <c r="AK1075">
        <v>1</v>
      </c>
      <c r="AL1075">
        <v>1</v>
      </c>
      <c r="AO1075">
        <v>0</v>
      </c>
      <c r="AP1075" t="s">
        <v>3015</v>
      </c>
      <c r="AQ1075" t="s">
        <v>3012</v>
      </c>
      <c r="AR1075" t="s">
        <v>3016</v>
      </c>
      <c r="AT1075" t="s">
        <v>3017</v>
      </c>
      <c r="AU1075" t="s">
        <v>3018</v>
      </c>
    </row>
    <row r="1076" spans="1:47" x14ac:dyDescent="0.35">
      <c r="A1076">
        <v>352033</v>
      </c>
      <c r="B1076" t="s">
        <v>41</v>
      </c>
      <c r="C1076" t="s">
        <v>42</v>
      </c>
      <c r="D1076" s="2">
        <v>45822</v>
      </c>
      <c r="E1076">
        <v>53850</v>
      </c>
      <c r="F1076">
        <v>147</v>
      </c>
      <c r="G1076" t="s">
        <v>771</v>
      </c>
      <c r="H1076" t="s">
        <v>44</v>
      </c>
      <c r="I1076" t="s">
        <v>45</v>
      </c>
      <c r="L1076">
        <v>1473300002800</v>
      </c>
      <c r="M1076">
        <v>20250507</v>
      </c>
      <c r="N1076" t="s">
        <v>46</v>
      </c>
      <c r="Q1076" t="s">
        <v>47</v>
      </c>
      <c r="R1076">
        <v>72400</v>
      </c>
      <c r="T1076">
        <v>4932680</v>
      </c>
      <c r="U1076">
        <v>4423920612</v>
      </c>
      <c r="V1076" t="s">
        <v>1287</v>
      </c>
      <c r="W1076" t="s">
        <v>49</v>
      </c>
      <c r="X1076" t="s">
        <v>364</v>
      </c>
      <c r="Y1076" t="s">
        <v>51</v>
      </c>
      <c r="Z1076">
        <v>1196</v>
      </c>
      <c r="AH1076">
        <v>0</v>
      </c>
      <c r="AI1076">
        <v>202505</v>
      </c>
      <c r="AJ1076" t="s">
        <v>56</v>
      </c>
      <c r="AK1076">
        <v>0</v>
      </c>
      <c r="AL1076">
        <v>1</v>
      </c>
      <c r="AO1076">
        <v>0</v>
      </c>
      <c r="AP1076" t="s">
        <v>3062</v>
      </c>
      <c r="AQ1076" t="s">
        <v>3012</v>
      </c>
      <c r="AR1076" t="s">
        <v>3063</v>
      </c>
      <c r="AS1076" t="s">
        <v>3014</v>
      </c>
      <c r="AU1076" t="s">
        <v>3014</v>
      </c>
    </row>
    <row r="1077" spans="1:47" x14ac:dyDescent="0.35">
      <c r="A1077">
        <v>351995</v>
      </c>
      <c r="B1077" t="s">
        <v>41</v>
      </c>
      <c r="C1077" t="s">
        <v>42</v>
      </c>
      <c r="D1077" s="2">
        <v>45822</v>
      </c>
      <c r="E1077">
        <v>53850</v>
      </c>
      <c r="F1077">
        <v>105</v>
      </c>
      <c r="G1077" t="s">
        <v>60</v>
      </c>
      <c r="H1077" t="s">
        <v>44</v>
      </c>
      <c r="I1077" t="s">
        <v>45</v>
      </c>
      <c r="L1077">
        <v>1053306287103</v>
      </c>
      <c r="M1077">
        <v>20250530</v>
      </c>
      <c r="N1077" t="s">
        <v>46</v>
      </c>
      <c r="Q1077" t="s">
        <v>47</v>
      </c>
      <c r="R1077">
        <v>974371.24</v>
      </c>
      <c r="T1077">
        <v>4263360</v>
      </c>
      <c r="U1077">
        <v>5982300724</v>
      </c>
      <c r="V1077" t="s">
        <v>61</v>
      </c>
      <c r="W1077" t="s">
        <v>49</v>
      </c>
      <c r="X1077" t="s">
        <v>62</v>
      </c>
      <c r="Y1077" t="s">
        <v>51</v>
      </c>
      <c r="Z1077">
        <v>1058</v>
      </c>
      <c r="AH1077">
        <v>0</v>
      </c>
      <c r="AI1077">
        <v>202505</v>
      </c>
      <c r="AJ1077" t="s">
        <v>56</v>
      </c>
      <c r="AK1077">
        <v>0</v>
      </c>
      <c r="AL1077">
        <v>1</v>
      </c>
      <c r="AO1077">
        <v>0</v>
      </c>
      <c r="AP1077" t="s">
        <v>3015</v>
      </c>
      <c r="AQ1077" t="s">
        <v>3012</v>
      </c>
      <c r="AR1077" t="s">
        <v>3016</v>
      </c>
      <c r="AT1077" t="s">
        <v>3017</v>
      </c>
      <c r="AU1077" t="s">
        <v>3018</v>
      </c>
    </row>
    <row r="1078" spans="1:47" x14ac:dyDescent="0.35">
      <c r="A1078">
        <v>351993</v>
      </c>
      <c r="B1078" t="s">
        <v>41</v>
      </c>
      <c r="C1078" t="s">
        <v>42</v>
      </c>
      <c r="D1078" s="2">
        <v>45822</v>
      </c>
      <c r="E1078">
        <v>53850</v>
      </c>
      <c r="F1078">
        <v>153</v>
      </c>
      <c r="G1078" t="s">
        <v>63</v>
      </c>
      <c r="H1078" t="s">
        <v>44</v>
      </c>
      <c r="I1078" t="s">
        <v>45</v>
      </c>
      <c r="L1078">
        <v>1533300663959</v>
      </c>
      <c r="M1078">
        <v>20250509</v>
      </c>
      <c r="N1078" t="s">
        <v>46</v>
      </c>
      <c r="Q1078" t="s">
        <v>47</v>
      </c>
      <c r="R1078">
        <v>41031.54</v>
      </c>
      <c r="T1078">
        <v>3721097</v>
      </c>
      <c r="U1078">
        <v>10391641213</v>
      </c>
      <c r="V1078" t="s">
        <v>64</v>
      </c>
      <c r="W1078" t="s">
        <v>49</v>
      </c>
      <c r="X1078" t="s">
        <v>65</v>
      </c>
      <c r="Y1078" t="s">
        <v>51</v>
      </c>
      <c r="Z1078">
        <v>1237</v>
      </c>
      <c r="AH1078">
        <v>0</v>
      </c>
      <c r="AI1078">
        <v>202505</v>
      </c>
      <c r="AJ1078" t="s">
        <v>56</v>
      </c>
      <c r="AK1078">
        <v>0</v>
      </c>
      <c r="AL1078">
        <v>1</v>
      </c>
      <c r="AO1078">
        <v>0</v>
      </c>
      <c r="AP1078" t="s">
        <v>3019</v>
      </c>
      <c r="AQ1078" t="s">
        <v>3012</v>
      </c>
      <c r="AR1078" t="s">
        <v>3020</v>
      </c>
      <c r="AS1078" t="s">
        <v>3014</v>
      </c>
      <c r="AU1078" t="s">
        <v>3014</v>
      </c>
    </row>
    <row r="1079" spans="1:47" x14ac:dyDescent="0.35">
      <c r="A1079">
        <v>351979</v>
      </c>
      <c r="B1079" t="s">
        <v>41</v>
      </c>
      <c r="C1079" t="s">
        <v>42</v>
      </c>
      <c r="D1079" s="2">
        <v>45822</v>
      </c>
      <c r="E1079">
        <v>53850</v>
      </c>
      <c r="F1079">
        <v>148</v>
      </c>
      <c r="G1079" t="s">
        <v>78</v>
      </c>
      <c r="H1079" t="s">
        <v>44</v>
      </c>
      <c r="I1079" t="s">
        <v>45</v>
      </c>
      <c r="L1079">
        <v>1483300006067</v>
      </c>
      <c r="M1079">
        <v>20250522</v>
      </c>
      <c r="N1079" t="s">
        <v>46</v>
      </c>
      <c r="Q1079" t="s">
        <v>47</v>
      </c>
      <c r="R1079">
        <v>45000</v>
      </c>
      <c r="T1079">
        <v>3737044</v>
      </c>
      <c r="U1079">
        <v>15554071009</v>
      </c>
      <c r="V1079" t="s">
        <v>87</v>
      </c>
      <c r="W1079" t="s">
        <v>49</v>
      </c>
      <c r="X1079" t="s">
        <v>88</v>
      </c>
      <c r="Y1079" t="s">
        <v>51</v>
      </c>
      <c r="Z1079">
        <v>1196</v>
      </c>
      <c r="AH1079">
        <v>0</v>
      </c>
      <c r="AI1079">
        <v>202505</v>
      </c>
      <c r="AJ1079" t="s">
        <v>56</v>
      </c>
      <c r="AK1079">
        <v>0</v>
      </c>
      <c r="AL1079">
        <v>1</v>
      </c>
      <c r="AO1079">
        <v>0</v>
      </c>
      <c r="AP1079" t="s">
        <v>3015</v>
      </c>
      <c r="AQ1079" t="s">
        <v>3012</v>
      </c>
      <c r="AR1079" t="s">
        <v>3016</v>
      </c>
      <c r="AT1079" t="s">
        <v>3017</v>
      </c>
      <c r="AU1079" t="s">
        <v>3018</v>
      </c>
    </row>
    <row r="1080" spans="1:47" x14ac:dyDescent="0.35">
      <c r="A1080">
        <v>351963</v>
      </c>
      <c r="B1080" t="s">
        <v>41</v>
      </c>
      <c r="C1080" t="s">
        <v>42</v>
      </c>
      <c r="D1080" s="2">
        <v>45822</v>
      </c>
      <c r="E1080">
        <v>53850</v>
      </c>
      <c r="F1080">
        <v>122</v>
      </c>
      <c r="G1080" t="s">
        <v>43</v>
      </c>
      <c r="H1080" t="s">
        <v>44</v>
      </c>
      <c r="I1080" t="s">
        <v>45</v>
      </c>
      <c r="L1080">
        <v>1223300001682</v>
      </c>
      <c r="M1080">
        <v>20250527</v>
      </c>
      <c r="N1080" t="s">
        <v>46</v>
      </c>
      <c r="Q1080" t="s">
        <v>47</v>
      </c>
      <c r="R1080">
        <v>502850.93</v>
      </c>
      <c r="T1080">
        <v>3711207</v>
      </c>
      <c r="U1080">
        <v>8825020723</v>
      </c>
      <c r="V1080" t="s">
        <v>48</v>
      </c>
      <c r="W1080" t="s">
        <v>49</v>
      </c>
      <c r="X1080" t="s">
        <v>50</v>
      </c>
      <c r="Y1080" t="s">
        <v>51</v>
      </c>
      <c r="Z1080">
        <v>1696</v>
      </c>
      <c r="AH1080">
        <v>0</v>
      </c>
      <c r="AI1080">
        <v>202505</v>
      </c>
      <c r="AJ1080" t="s">
        <v>86</v>
      </c>
      <c r="AK1080">
        <v>1</v>
      </c>
      <c r="AL1080">
        <v>1</v>
      </c>
      <c r="AO1080">
        <v>0</v>
      </c>
      <c r="AP1080" t="s">
        <v>3011</v>
      </c>
      <c r="AQ1080" t="s">
        <v>3012</v>
      </c>
      <c r="AR1080" t="s">
        <v>3013</v>
      </c>
      <c r="AS1080" t="s">
        <v>3014</v>
      </c>
      <c r="AU1080" t="s">
        <v>3014</v>
      </c>
    </row>
    <row r="1081" spans="1:47" x14ac:dyDescent="0.35">
      <c r="A1081">
        <v>351950</v>
      </c>
      <c r="B1081" t="s">
        <v>41</v>
      </c>
      <c r="C1081" t="s">
        <v>42</v>
      </c>
      <c r="D1081" s="2">
        <v>45822</v>
      </c>
      <c r="E1081">
        <v>53850</v>
      </c>
      <c r="F1081">
        <v>148</v>
      </c>
      <c r="G1081" t="s">
        <v>78</v>
      </c>
      <c r="H1081" t="s">
        <v>44</v>
      </c>
      <c r="I1081" t="s">
        <v>45</v>
      </c>
      <c r="L1081">
        <v>1483300006067</v>
      </c>
      <c r="M1081">
        <v>20250527</v>
      </c>
      <c r="N1081" t="s">
        <v>46</v>
      </c>
      <c r="Q1081" t="s">
        <v>47</v>
      </c>
      <c r="R1081">
        <v>40000</v>
      </c>
      <c r="T1081">
        <v>3737044</v>
      </c>
      <c r="U1081">
        <v>15554071009</v>
      </c>
      <c r="V1081" t="s">
        <v>87</v>
      </c>
      <c r="W1081" t="s">
        <v>49</v>
      </c>
      <c r="X1081" t="s">
        <v>88</v>
      </c>
      <c r="Y1081" t="s">
        <v>51</v>
      </c>
      <c r="Z1081">
        <v>1196</v>
      </c>
      <c r="AH1081">
        <v>0</v>
      </c>
      <c r="AI1081">
        <v>202505</v>
      </c>
      <c r="AJ1081" t="s">
        <v>56</v>
      </c>
      <c r="AK1081">
        <v>0</v>
      </c>
      <c r="AL1081">
        <v>1</v>
      </c>
      <c r="AO1081">
        <v>0</v>
      </c>
      <c r="AP1081" t="s">
        <v>3015</v>
      </c>
      <c r="AQ1081" t="s">
        <v>3012</v>
      </c>
      <c r="AR1081" t="s">
        <v>3016</v>
      </c>
      <c r="AT1081" t="s">
        <v>3017</v>
      </c>
      <c r="AU1081" t="s">
        <v>3018</v>
      </c>
    </row>
    <row r="1082" spans="1:47" x14ac:dyDescent="0.35">
      <c r="A1082">
        <v>351929</v>
      </c>
      <c r="B1082" t="s">
        <v>41</v>
      </c>
      <c r="C1082" t="s">
        <v>42</v>
      </c>
      <c r="D1082" s="2">
        <v>45822</v>
      </c>
      <c r="E1082">
        <v>53850</v>
      </c>
      <c r="F1082">
        <v>171</v>
      </c>
      <c r="G1082" t="s">
        <v>198</v>
      </c>
      <c r="H1082" t="s">
        <v>44</v>
      </c>
      <c r="I1082" t="s">
        <v>45</v>
      </c>
      <c r="L1082">
        <v>1713302213842</v>
      </c>
      <c r="M1082">
        <v>20250502</v>
      </c>
      <c r="N1082" t="s">
        <v>46</v>
      </c>
      <c r="Q1082" t="s">
        <v>47</v>
      </c>
      <c r="R1082">
        <v>25620</v>
      </c>
      <c r="T1082">
        <v>4148505</v>
      </c>
      <c r="U1082">
        <v>5848860721</v>
      </c>
      <c r="V1082" t="s">
        <v>1281</v>
      </c>
      <c r="W1082" t="s">
        <v>49</v>
      </c>
      <c r="X1082" t="s">
        <v>260</v>
      </c>
      <c r="Y1082" t="s">
        <v>51</v>
      </c>
      <c r="Z1082">
        <v>1903</v>
      </c>
      <c r="AH1082">
        <v>0</v>
      </c>
      <c r="AI1082">
        <v>202505</v>
      </c>
      <c r="AJ1082" t="s">
        <v>114</v>
      </c>
      <c r="AK1082">
        <v>1</v>
      </c>
      <c r="AL1082">
        <v>1</v>
      </c>
      <c r="AO1082">
        <v>0</v>
      </c>
      <c r="AP1082" t="s">
        <v>3015</v>
      </c>
      <c r="AQ1082" t="s">
        <v>3012</v>
      </c>
      <c r="AR1082" t="s">
        <v>3016</v>
      </c>
      <c r="AT1082" t="s">
        <v>3017</v>
      </c>
      <c r="AU1082" t="s">
        <v>3018</v>
      </c>
    </row>
    <row r="1083" spans="1:47" x14ac:dyDescent="0.35">
      <c r="A1083">
        <v>351921</v>
      </c>
      <c r="B1083" t="s">
        <v>41</v>
      </c>
      <c r="C1083" t="s">
        <v>42</v>
      </c>
      <c r="D1083" s="2">
        <v>45822</v>
      </c>
      <c r="E1083">
        <v>53850</v>
      </c>
      <c r="F1083">
        <v>261</v>
      </c>
      <c r="G1083" t="s">
        <v>136</v>
      </c>
      <c r="H1083" t="s">
        <v>44</v>
      </c>
      <c r="I1083" t="s">
        <v>45</v>
      </c>
      <c r="L1083">
        <v>2613300000185</v>
      </c>
      <c r="M1083">
        <v>20250513</v>
      </c>
      <c r="N1083" t="s">
        <v>46</v>
      </c>
      <c r="Q1083" t="s">
        <v>47</v>
      </c>
      <c r="R1083">
        <v>78000</v>
      </c>
      <c r="T1083">
        <v>1603119</v>
      </c>
      <c r="U1083">
        <v>941080707</v>
      </c>
      <c r="V1083" t="s">
        <v>1305</v>
      </c>
      <c r="W1083" t="s">
        <v>49</v>
      </c>
      <c r="X1083" t="s">
        <v>62</v>
      </c>
      <c r="Y1083" t="s">
        <v>51</v>
      </c>
      <c r="Z1083">
        <v>1856</v>
      </c>
      <c r="AH1083">
        <v>0</v>
      </c>
      <c r="AI1083">
        <v>202505</v>
      </c>
      <c r="AJ1083" t="s">
        <v>52</v>
      </c>
      <c r="AK1083">
        <v>0</v>
      </c>
      <c r="AL1083">
        <v>1</v>
      </c>
      <c r="AO1083">
        <v>0</v>
      </c>
      <c r="AP1083" t="s">
        <v>3015</v>
      </c>
      <c r="AQ1083" t="s">
        <v>3012</v>
      </c>
      <c r="AR1083" t="s">
        <v>3016</v>
      </c>
      <c r="AT1083" t="s">
        <v>3017</v>
      </c>
      <c r="AU1083" t="s">
        <v>3018</v>
      </c>
    </row>
    <row r="1084" spans="1:47" x14ac:dyDescent="0.35">
      <c r="A1084">
        <v>351890</v>
      </c>
      <c r="B1084" t="s">
        <v>41</v>
      </c>
      <c r="C1084" t="s">
        <v>42</v>
      </c>
      <c r="D1084" s="2">
        <v>45822</v>
      </c>
      <c r="E1084">
        <v>53850</v>
      </c>
      <c r="F1084">
        <v>187</v>
      </c>
      <c r="G1084" t="s">
        <v>251</v>
      </c>
      <c r="H1084" t="s">
        <v>44</v>
      </c>
      <c r="I1084" t="s">
        <v>45</v>
      </c>
      <c r="L1084">
        <v>999361870311</v>
      </c>
      <c r="M1084">
        <v>20250505</v>
      </c>
      <c r="N1084" t="s">
        <v>46</v>
      </c>
      <c r="Q1084" t="s">
        <v>47</v>
      </c>
      <c r="R1084">
        <v>26652.48</v>
      </c>
      <c r="T1084">
        <v>3004644</v>
      </c>
      <c r="U1084">
        <v>80008750731</v>
      </c>
      <c r="V1084" t="s">
        <v>252</v>
      </c>
      <c r="W1084" t="s">
        <v>253</v>
      </c>
      <c r="Y1084" t="s">
        <v>51</v>
      </c>
      <c r="Z1084">
        <v>1627</v>
      </c>
      <c r="AH1084">
        <v>0</v>
      </c>
      <c r="AI1084">
        <v>202505</v>
      </c>
      <c r="AJ1084" t="s">
        <v>56</v>
      </c>
      <c r="AK1084">
        <v>0</v>
      </c>
      <c r="AL1084">
        <v>1</v>
      </c>
      <c r="AO1084">
        <v>0</v>
      </c>
      <c r="AP1084" t="s">
        <v>3015</v>
      </c>
      <c r="AQ1084" t="s">
        <v>3052</v>
      </c>
      <c r="AR1084" t="s">
        <v>3053</v>
      </c>
      <c r="AS1084" t="s">
        <v>3037</v>
      </c>
      <c r="AU1084" t="s">
        <v>3037</v>
      </c>
    </row>
    <row r="1085" spans="1:47" x14ac:dyDescent="0.35">
      <c r="A1085">
        <v>351889</v>
      </c>
      <c r="B1085" t="s">
        <v>41</v>
      </c>
      <c r="C1085" t="s">
        <v>42</v>
      </c>
      <c r="D1085" s="2">
        <v>45822</v>
      </c>
      <c r="E1085">
        <v>53850</v>
      </c>
      <c r="F1085">
        <v>175</v>
      </c>
      <c r="G1085" t="s">
        <v>99</v>
      </c>
      <c r="H1085" t="s">
        <v>44</v>
      </c>
      <c r="I1085" t="s">
        <v>45</v>
      </c>
      <c r="L1085">
        <v>1753302203813</v>
      </c>
      <c r="M1085">
        <v>20250505</v>
      </c>
      <c r="N1085" t="s">
        <v>46</v>
      </c>
      <c r="Q1085" t="s">
        <v>47</v>
      </c>
      <c r="R1085">
        <v>127974.14</v>
      </c>
      <c r="T1085">
        <v>4907691</v>
      </c>
      <c r="U1085">
        <v>1146400773</v>
      </c>
      <c r="V1085" t="s">
        <v>1034</v>
      </c>
      <c r="W1085" t="s">
        <v>49</v>
      </c>
      <c r="X1085" t="s">
        <v>257</v>
      </c>
      <c r="Y1085" t="s">
        <v>51</v>
      </c>
      <c r="Z1085">
        <v>1926</v>
      </c>
      <c r="AH1085">
        <v>0</v>
      </c>
      <c r="AI1085">
        <v>202505</v>
      </c>
      <c r="AJ1085" t="s">
        <v>86</v>
      </c>
      <c r="AK1085">
        <v>1</v>
      </c>
      <c r="AL1085">
        <v>1</v>
      </c>
      <c r="AO1085">
        <v>0</v>
      </c>
      <c r="AP1085" t="s">
        <v>3015</v>
      </c>
      <c r="AQ1085" t="s">
        <v>3012</v>
      </c>
      <c r="AR1085" t="s">
        <v>3016</v>
      </c>
      <c r="AT1085" t="s">
        <v>3017</v>
      </c>
      <c r="AU1085" t="s">
        <v>3018</v>
      </c>
    </row>
    <row r="1086" spans="1:47" x14ac:dyDescent="0.35">
      <c r="A1086">
        <v>351888</v>
      </c>
      <c r="B1086" t="s">
        <v>41</v>
      </c>
      <c r="C1086" t="s">
        <v>42</v>
      </c>
      <c r="D1086" s="2">
        <v>45822</v>
      </c>
      <c r="E1086">
        <v>53850</v>
      </c>
      <c r="F1086">
        <v>171</v>
      </c>
      <c r="G1086" t="s">
        <v>198</v>
      </c>
      <c r="H1086" t="s">
        <v>44</v>
      </c>
      <c r="I1086" t="s">
        <v>45</v>
      </c>
      <c r="L1086">
        <v>1713302213842</v>
      </c>
      <c r="M1086">
        <v>20250526</v>
      </c>
      <c r="N1086" t="s">
        <v>46</v>
      </c>
      <c r="Q1086" t="s">
        <v>47</v>
      </c>
      <c r="R1086">
        <v>200000</v>
      </c>
      <c r="T1086">
        <v>4148505</v>
      </c>
      <c r="U1086">
        <v>5848860721</v>
      </c>
      <c r="V1086" t="s">
        <v>1281</v>
      </c>
      <c r="W1086" t="s">
        <v>49</v>
      </c>
      <c r="X1086" t="s">
        <v>260</v>
      </c>
      <c r="Y1086" t="s">
        <v>51</v>
      </c>
      <c r="Z1086">
        <v>1903</v>
      </c>
      <c r="AH1086">
        <v>0</v>
      </c>
      <c r="AI1086">
        <v>202505</v>
      </c>
      <c r="AJ1086" t="s">
        <v>114</v>
      </c>
      <c r="AK1086">
        <v>1</v>
      </c>
      <c r="AL1086">
        <v>1</v>
      </c>
      <c r="AO1086">
        <v>0</v>
      </c>
      <c r="AP1086" t="s">
        <v>3015</v>
      </c>
      <c r="AQ1086" t="s">
        <v>3012</v>
      </c>
      <c r="AR1086" t="s">
        <v>3016</v>
      </c>
      <c r="AT1086" t="s">
        <v>3017</v>
      </c>
      <c r="AU1086" t="s">
        <v>3018</v>
      </c>
    </row>
    <row r="1087" spans="1:47" x14ac:dyDescent="0.35">
      <c r="A1087">
        <v>351813</v>
      </c>
      <c r="B1087" t="s">
        <v>41</v>
      </c>
      <c r="C1087" t="s">
        <v>42</v>
      </c>
      <c r="D1087" s="2">
        <v>45822</v>
      </c>
      <c r="E1087">
        <v>53850</v>
      </c>
      <c r="F1087">
        <v>128</v>
      </c>
      <c r="G1087" t="s">
        <v>94</v>
      </c>
      <c r="H1087" t="s">
        <v>44</v>
      </c>
      <c r="I1087" t="s">
        <v>45</v>
      </c>
      <c r="L1087">
        <v>1283300003276</v>
      </c>
      <c r="M1087">
        <v>20250528</v>
      </c>
      <c r="N1087" t="s">
        <v>46</v>
      </c>
      <c r="Q1087" t="s">
        <v>47</v>
      </c>
      <c r="R1087">
        <v>84790</v>
      </c>
      <c r="T1087">
        <v>4804234</v>
      </c>
      <c r="U1087">
        <v>7652810727</v>
      </c>
      <c r="V1087" t="s">
        <v>1306</v>
      </c>
      <c r="W1087" t="s">
        <v>49</v>
      </c>
      <c r="X1087" t="s">
        <v>1307</v>
      </c>
      <c r="Y1087" t="s">
        <v>51</v>
      </c>
      <c r="Z1087">
        <v>462</v>
      </c>
      <c r="AH1087">
        <v>0</v>
      </c>
      <c r="AI1087">
        <v>202505</v>
      </c>
      <c r="AJ1087" t="s">
        <v>56</v>
      </c>
      <c r="AK1087">
        <v>0</v>
      </c>
      <c r="AL1087">
        <v>1</v>
      </c>
      <c r="AO1087">
        <v>0</v>
      </c>
      <c r="AP1087" t="s">
        <v>3015</v>
      </c>
      <c r="AQ1087" t="s">
        <v>3012</v>
      </c>
      <c r="AR1087" t="s">
        <v>3016</v>
      </c>
      <c r="AT1087" t="s">
        <v>3017</v>
      </c>
      <c r="AU1087" t="s">
        <v>3018</v>
      </c>
    </row>
    <row r="1088" spans="1:47" x14ac:dyDescent="0.35">
      <c r="A1088">
        <v>351794</v>
      </c>
      <c r="B1088" t="s">
        <v>41</v>
      </c>
      <c r="C1088" t="s">
        <v>42</v>
      </c>
      <c r="D1088" s="2">
        <v>45822</v>
      </c>
      <c r="E1088">
        <v>53850</v>
      </c>
      <c r="F1088">
        <v>109</v>
      </c>
      <c r="G1088" t="s">
        <v>89</v>
      </c>
      <c r="H1088" t="s">
        <v>44</v>
      </c>
      <c r="I1088" t="s">
        <v>45</v>
      </c>
      <c r="L1088">
        <v>1093306667367</v>
      </c>
      <c r="M1088">
        <v>20250530</v>
      </c>
      <c r="N1088" t="s">
        <v>46</v>
      </c>
      <c r="Q1088" t="s">
        <v>47</v>
      </c>
      <c r="R1088">
        <v>30000</v>
      </c>
      <c r="T1088">
        <v>4026861</v>
      </c>
      <c r="U1088">
        <v>5195820724</v>
      </c>
      <c r="V1088" t="s">
        <v>1011</v>
      </c>
      <c r="W1088" t="s">
        <v>49</v>
      </c>
      <c r="X1088" t="s">
        <v>131</v>
      </c>
      <c r="Y1088" t="s">
        <v>51</v>
      </c>
      <c r="Z1088">
        <v>1696</v>
      </c>
      <c r="AH1088">
        <v>0</v>
      </c>
      <c r="AI1088">
        <v>202505</v>
      </c>
      <c r="AJ1088" t="s">
        <v>56</v>
      </c>
      <c r="AK1088">
        <v>0</v>
      </c>
      <c r="AL1088">
        <v>1</v>
      </c>
      <c r="AM1088">
        <v>4026861</v>
      </c>
      <c r="AN1088">
        <v>1</v>
      </c>
      <c r="AO1088">
        <v>0</v>
      </c>
      <c r="AP1088" t="s">
        <v>3033</v>
      </c>
      <c r="AQ1088" t="s">
        <v>3012</v>
      </c>
      <c r="AR1088" t="s">
        <v>3034</v>
      </c>
      <c r="AS1088" t="s">
        <v>3014</v>
      </c>
      <c r="AU1088" t="s">
        <v>3014</v>
      </c>
    </row>
    <row r="1089" spans="1:47" x14ac:dyDescent="0.35">
      <c r="A1089">
        <v>351763</v>
      </c>
      <c r="B1089" t="s">
        <v>41</v>
      </c>
      <c r="C1089" t="s">
        <v>42</v>
      </c>
      <c r="D1089" s="2">
        <v>45822</v>
      </c>
      <c r="E1089">
        <v>53850</v>
      </c>
      <c r="F1089">
        <v>148</v>
      </c>
      <c r="G1089" t="s">
        <v>78</v>
      </c>
      <c r="H1089" t="s">
        <v>44</v>
      </c>
      <c r="I1089" t="s">
        <v>45</v>
      </c>
      <c r="L1089">
        <v>1483300006067</v>
      </c>
      <c r="M1089">
        <v>20250527</v>
      </c>
      <c r="N1089" t="s">
        <v>46</v>
      </c>
      <c r="Q1089" t="s">
        <v>47</v>
      </c>
      <c r="R1089">
        <v>40000</v>
      </c>
      <c r="T1089">
        <v>3737044</v>
      </c>
      <c r="U1089">
        <v>15554071009</v>
      </c>
      <c r="V1089" t="s">
        <v>87</v>
      </c>
      <c r="W1089" t="s">
        <v>49</v>
      </c>
      <c r="X1089" t="s">
        <v>88</v>
      </c>
      <c r="Y1089" t="s">
        <v>51</v>
      </c>
      <c r="Z1089">
        <v>1196</v>
      </c>
      <c r="AH1089">
        <v>0</v>
      </c>
      <c r="AI1089">
        <v>202505</v>
      </c>
      <c r="AJ1089" t="s">
        <v>56</v>
      </c>
      <c r="AK1089">
        <v>0</v>
      </c>
      <c r="AL1089">
        <v>1</v>
      </c>
      <c r="AO1089">
        <v>0</v>
      </c>
      <c r="AP1089" t="s">
        <v>3015</v>
      </c>
      <c r="AQ1089" t="s">
        <v>3012</v>
      </c>
      <c r="AR1089" t="s">
        <v>3016</v>
      </c>
      <c r="AT1089" t="s">
        <v>3017</v>
      </c>
      <c r="AU1089" t="s">
        <v>3018</v>
      </c>
    </row>
    <row r="1090" spans="1:47" x14ac:dyDescent="0.35">
      <c r="A1090">
        <v>351708</v>
      </c>
      <c r="B1090" t="s">
        <v>41</v>
      </c>
      <c r="C1090" t="s">
        <v>42</v>
      </c>
      <c r="D1090" s="2">
        <v>45822</v>
      </c>
      <c r="E1090">
        <v>53850</v>
      </c>
      <c r="F1090">
        <v>141</v>
      </c>
      <c r="G1090" t="s">
        <v>105</v>
      </c>
      <c r="H1090" t="s">
        <v>44</v>
      </c>
      <c r="I1090" t="s">
        <v>45</v>
      </c>
      <c r="L1090">
        <v>1413300003985</v>
      </c>
      <c r="M1090">
        <v>20250515</v>
      </c>
      <c r="N1090" t="s">
        <v>46</v>
      </c>
      <c r="Q1090" t="s">
        <v>47</v>
      </c>
      <c r="R1090">
        <v>2814221.66</v>
      </c>
      <c r="T1090">
        <v>4996689</v>
      </c>
      <c r="U1090">
        <v>80010360750</v>
      </c>
      <c r="V1090" t="s">
        <v>106</v>
      </c>
      <c r="W1090" t="s">
        <v>49</v>
      </c>
      <c r="X1090" t="s">
        <v>107</v>
      </c>
      <c r="Y1090" t="s">
        <v>51</v>
      </c>
      <c r="Z1090">
        <v>1940</v>
      </c>
      <c r="AH1090">
        <v>0</v>
      </c>
      <c r="AI1090">
        <v>202505</v>
      </c>
      <c r="AJ1090" t="s">
        <v>56</v>
      </c>
      <c r="AK1090">
        <v>0</v>
      </c>
      <c r="AL1090">
        <v>1</v>
      </c>
      <c r="AO1090">
        <v>0</v>
      </c>
      <c r="AP1090" t="s">
        <v>3024</v>
      </c>
      <c r="AQ1090" t="s">
        <v>3012</v>
      </c>
      <c r="AR1090" t="s">
        <v>3025</v>
      </c>
      <c r="AS1090" t="s">
        <v>3014</v>
      </c>
      <c r="AU1090" t="s">
        <v>3014</v>
      </c>
    </row>
    <row r="1091" spans="1:47" x14ac:dyDescent="0.35">
      <c r="A1091">
        <v>351683</v>
      </c>
      <c r="B1091" t="s">
        <v>41</v>
      </c>
      <c r="C1091" t="s">
        <v>42</v>
      </c>
      <c r="D1091" s="2">
        <v>45822</v>
      </c>
      <c r="E1091">
        <v>53850</v>
      </c>
      <c r="F1091">
        <v>105</v>
      </c>
      <c r="G1091" t="s">
        <v>60</v>
      </c>
      <c r="H1091" t="s">
        <v>44</v>
      </c>
      <c r="I1091" t="s">
        <v>45</v>
      </c>
      <c r="L1091">
        <v>1053306287103</v>
      </c>
      <c r="M1091">
        <v>20250522</v>
      </c>
      <c r="N1091" t="s">
        <v>46</v>
      </c>
      <c r="Q1091" t="s">
        <v>47</v>
      </c>
      <c r="R1091">
        <v>724480.51</v>
      </c>
      <c r="T1091">
        <v>4263360</v>
      </c>
      <c r="U1091">
        <v>5982300724</v>
      </c>
      <c r="V1091" t="s">
        <v>61</v>
      </c>
      <c r="W1091" t="s">
        <v>49</v>
      </c>
      <c r="X1091" t="s">
        <v>62</v>
      </c>
      <c r="Y1091" t="s">
        <v>51</v>
      </c>
      <c r="Z1091">
        <v>1058</v>
      </c>
      <c r="AH1091">
        <v>0</v>
      </c>
      <c r="AI1091">
        <v>202505</v>
      </c>
      <c r="AJ1091" t="s">
        <v>56</v>
      </c>
      <c r="AK1091">
        <v>0</v>
      </c>
      <c r="AL1091">
        <v>1</v>
      </c>
      <c r="AO1091">
        <v>0</v>
      </c>
      <c r="AP1091" t="s">
        <v>3015</v>
      </c>
      <c r="AQ1091" t="s">
        <v>3012</v>
      </c>
      <c r="AR1091" t="s">
        <v>3016</v>
      </c>
      <c r="AT1091" t="s">
        <v>3017</v>
      </c>
      <c r="AU1091" t="s">
        <v>3018</v>
      </c>
    </row>
    <row r="1092" spans="1:47" x14ac:dyDescent="0.35">
      <c r="A1092">
        <v>351676</v>
      </c>
      <c r="B1092" t="s">
        <v>41</v>
      </c>
      <c r="C1092" t="s">
        <v>42</v>
      </c>
      <c r="D1092" s="2">
        <v>45822</v>
      </c>
      <c r="E1092">
        <v>53850</v>
      </c>
      <c r="F1092">
        <v>122</v>
      </c>
      <c r="G1092" t="s">
        <v>43</v>
      </c>
      <c r="H1092" t="s">
        <v>44</v>
      </c>
      <c r="I1092" t="s">
        <v>45</v>
      </c>
      <c r="L1092">
        <v>1223300002128</v>
      </c>
      <c r="M1092">
        <v>20250528</v>
      </c>
      <c r="N1092" t="s">
        <v>46</v>
      </c>
      <c r="Q1092" t="s">
        <v>47</v>
      </c>
      <c r="R1092">
        <v>129520.59</v>
      </c>
      <c r="T1092">
        <v>3711207</v>
      </c>
      <c r="U1092">
        <v>8825020723</v>
      </c>
      <c r="V1092" t="s">
        <v>48</v>
      </c>
      <c r="W1092" t="s">
        <v>49</v>
      </c>
      <c r="X1092" t="s">
        <v>50</v>
      </c>
      <c r="Y1092" t="s">
        <v>51</v>
      </c>
      <c r="Z1092">
        <v>1696</v>
      </c>
      <c r="AH1092">
        <v>0</v>
      </c>
      <c r="AI1092">
        <v>202505</v>
      </c>
      <c r="AJ1092" t="s">
        <v>86</v>
      </c>
      <c r="AK1092">
        <v>1</v>
      </c>
      <c r="AL1092">
        <v>1</v>
      </c>
      <c r="AO1092">
        <v>0</v>
      </c>
      <c r="AP1092" t="s">
        <v>3011</v>
      </c>
      <c r="AQ1092" t="s">
        <v>3012</v>
      </c>
      <c r="AR1092" t="s">
        <v>3013</v>
      </c>
      <c r="AS1092" t="s">
        <v>3014</v>
      </c>
      <c r="AU1092" t="s">
        <v>3014</v>
      </c>
    </row>
    <row r="1093" spans="1:47" x14ac:dyDescent="0.35">
      <c r="A1093">
        <v>351649</v>
      </c>
      <c r="B1093" t="s">
        <v>41</v>
      </c>
      <c r="C1093" t="s">
        <v>42</v>
      </c>
      <c r="D1093" s="2">
        <v>45822</v>
      </c>
      <c r="E1093">
        <v>53850</v>
      </c>
      <c r="F1093">
        <v>116</v>
      </c>
      <c r="G1093" t="s">
        <v>126</v>
      </c>
      <c r="H1093" t="s">
        <v>44</v>
      </c>
      <c r="I1093" t="s">
        <v>45</v>
      </c>
      <c r="L1093">
        <v>1163307620827</v>
      </c>
      <c r="M1093">
        <v>20250522</v>
      </c>
      <c r="N1093" t="s">
        <v>46</v>
      </c>
      <c r="Q1093" t="s">
        <v>47</v>
      </c>
      <c r="R1093">
        <v>67000</v>
      </c>
      <c r="T1093">
        <v>4871871</v>
      </c>
      <c r="U1093">
        <v>2516140726</v>
      </c>
      <c r="V1093" t="s">
        <v>1304</v>
      </c>
      <c r="W1093" t="s">
        <v>49</v>
      </c>
      <c r="X1093" t="s">
        <v>59</v>
      </c>
      <c r="Y1093" t="s">
        <v>51</v>
      </c>
      <c r="Z1093">
        <v>1903</v>
      </c>
      <c r="AH1093">
        <v>0</v>
      </c>
      <c r="AI1093">
        <v>202505</v>
      </c>
      <c r="AJ1093" t="s">
        <v>56</v>
      </c>
      <c r="AK1093">
        <v>0</v>
      </c>
      <c r="AL1093">
        <v>1</v>
      </c>
      <c r="AO1093">
        <v>0</v>
      </c>
      <c r="AP1093" t="s">
        <v>3015</v>
      </c>
      <c r="AQ1093" t="s">
        <v>3012</v>
      </c>
      <c r="AR1093" t="s">
        <v>3016</v>
      </c>
      <c r="AT1093" t="s">
        <v>3017</v>
      </c>
      <c r="AU1093" t="s">
        <v>3018</v>
      </c>
    </row>
    <row r="1094" spans="1:47" x14ac:dyDescent="0.35">
      <c r="A1094">
        <v>351646</v>
      </c>
      <c r="B1094" t="s">
        <v>41</v>
      </c>
      <c r="C1094" t="s">
        <v>42</v>
      </c>
      <c r="D1094" s="2">
        <v>45822</v>
      </c>
      <c r="E1094">
        <v>53850</v>
      </c>
      <c r="F1094">
        <v>147</v>
      </c>
      <c r="G1094" t="s">
        <v>771</v>
      </c>
      <c r="H1094" t="s">
        <v>44</v>
      </c>
      <c r="I1094" t="s">
        <v>45</v>
      </c>
      <c r="L1094">
        <v>1473300002945</v>
      </c>
      <c r="M1094">
        <v>20250516</v>
      </c>
      <c r="N1094" t="s">
        <v>46</v>
      </c>
      <c r="Q1094" t="s">
        <v>47</v>
      </c>
      <c r="R1094">
        <v>25624.18</v>
      </c>
      <c r="T1094">
        <v>4953849</v>
      </c>
      <c r="U1094">
        <v>8560621214</v>
      </c>
      <c r="V1094" t="s">
        <v>1308</v>
      </c>
      <c r="W1094" t="s">
        <v>49</v>
      </c>
      <c r="X1094" t="s">
        <v>88</v>
      </c>
      <c r="Y1094" t="s">
        <v>51</v>
      </c>
      <c r="Z1094">
        <v>1356</v>
      </c>
      <c r="AH1094">
        <v>0</v>
      </c>
      <c r="AI1094">
        <v>202505</v>
      </c>
      <c r="AJ1094" t="s">
        <v>56</v>
      </c>
      <c r="AK1094">
        <v>0</v>
      </c>
      <c r="AL1094">
        <v>1</v>
      </c>
      <c r="AO1094">
        <v>0</v>
      </c>
      <c r="AP1094" t="s">
        <v>3015</v>
      </c>
      <c r="AQ1094" t="s">
        <v>3012</v>
      </c>
      <c r="AR1094" t="s">
        <v>3016</v>
      </c>
      <c r="AT1094" t="s">
        <v>3017</v>
      </c>
      <c r="AU1094" t="s">
        <v>3018</v>
      </c>
    </row>
    <row r="1095" spans="1:47" x14ac:dyDescent="0.35">
      <c r="A1095">
        <v>351633</v>
      </c>
      <c r="B1095" t="s">
        <v>41</v>
      </c>
      <c r="C1095" t="s">
        <v>42</v>
      </c>
      <c r="D1095" s="2">
        <v>45822</v>
      </c>
      <c r="E1095">
        <v>53850</v>
      </c>
      <c r="F1095">
        <v>145</v>
      </c>
      <c r="G1095" t="s">
        <v>115</v>
      </c>
      <c r="H1095" t="s">
        <v>44</v>
      </c>
      <c r="I1095" t="s">
        <v>45</v>
      </c>
      <c r="L1095">
        <v>1453300003679</v>
      </c>
      <c r="M1095">
        <v>20250512</v>
      </c>
      <c r="N1095" t="s">
        <v>46</v>
      </c>
      <c r="Q1095" t="s">
        <v>47</v>
      </c>
      <c r="R1095">
        <v>51335.360000000001</v>
      </c>
      <c r="T1095">
        <v>4955147</v>
      </c>
      <c r="U1095">
        <v>5645531210</v>
      </c>
      <c r="V1095" t="s">
        <v>1296</v>
      </c>
      <c r="W1095" t="s">
        <v>49</v>
      </c>
      <c r="X1095" t="s">
        <v>110</v>
      </c>
      <c r="Y1095" t="s">
        <v>51</v>
      </c>
      <c r="Z1095">
        <v>982</v>
      </c>
      <c r="AH1095">
        <v>0</v>
      </c>
      <c r="AI1095">
        <v>202505</v>
      </c>
      <c r="AJ1095" t="s">
        <v>119</v>
      </c>
      <c r="AK1095">
        <v>1</v>
      </c>
      <c r="AL1095">
        <v>1</v>
      </c>
      <c r="AO1095">
        <v>0</v>
      </c>
      <c r="AP1095" t="s">
        <v>3026</v>
      </c>
      <c r="AQ1095" t="s">
        <v>3012</v>
      </c>
      <c r="AR1095" t="s">
        <v>3027</v>
      </c>
      <c r="AS1095" t="s">
        <v>3028</v>
      </c>
      <c r="AU1095" t="s">
        <v>3028</v>
      </c>
    </row>
    <row r="1096" spans="1:47" x14ac:dyDescent="0.35">
      <c r="A1096">
        <v>351589</v>
      </c>
      <c r="B1096" t="s">
        <v>41</v>
      </c>
      <c r="C1096" t="s">
        <v>42</v>
      </c>
      <c r="D1096" s="2">
        <v>45822</v>
      </c>
      <c r="E1096">
        <v>53850</v>
      </c>
      <c r="F1096">
        <v>125</v>
      </c>
      <c r="G1096" t="s">
        <v>75</v>
      </c>
      <c r="H1096" t="s">
        <v>44</v>
      </c>
      <c r="I1096" t="s">
        <v>45</v>
      </c>
      <c r="L1096">
        <v>1253300002567</v>
      </c>
      <c r="M1096">
        <v>20250527</v>
      </c>
      <c r="N1096" t="s">
        <v>46</v>
      </c>
      <c r="Q1096" t="s">
        <v>47</v>
      </c>
      <c r="R1096">
        <v>50262</v>
      </c>
      <c r="T1096">
        <v>4951371</v>
      </c>
      <c r="U1096">
        <v>9498701219</v>
      </c>
      <c r="V1096" t="s">
        <v>1295</v>
      </c>
      <c r="W1096" t="s">
        <v>49</v>
      </c>
      <c r="X1096" t="s">
        <v>110</v>
      </c>
      <c r="Y1096" t="s">
        <v>51</v>
      </c>
      <c r="Z1096">
        <v>1337</v>
      </c>
      <c r="AH1096">
        <v>0</v>
      </c>
      <c r="AI1096">
        <v>202505</v>
      </c>
      <c r="AJ1096" t="s">
        <v>56</v>
      </c>
      <c r="AK1096">
        <v>0</v>
      </c>
      <c r="AL1096">
        <v>1</v>
      </c>
      <c r="AO1096">
        <v>0</v>
      </c>
      <c r="AP1096" t="s">
        <v>3026</v>
      </c>
      <c r="AQ1096" t="s">
        <v>3012</v>
      </c>
      <c r="AR1096" t="s">
        <v>3027</v>
      </c>
      <c r="AS1096" t="s">
        <v>3028</v>
      </c>
      <c r="AU1096" t="s">
        <v>3028</v>
      </c>
    </row>
    <row r="1097" spans="1:47" x14ac:dyDescent="0.35">
      <c r="A1097">
        <v>351543</v>
      </c>
      <c r="B1097" t="s">
        <v>41</v>
      </c>
      <c r="C1097" t="s">
        <v>42</v>
      </c>
      <c r="D1097" s="2">
        <v>45822</v>
      </c>
      <c r="E1097">
        <v>53850</v>
      </c>
      <c r="F1097">
        <v>171</v>
      </c>
      <c r="G1097" t="s">
        <v>198</v>
      </c>
      <c r="H1097" t="s">
        <v>44</v>
      </c>
      <c r="I1097" t="s">
        <v>45</v>
      </c>
      <c r="L1097">
        <v>1713302213842</v>
      </c>
      <c r="M1097">
        <v>20250526</v>
      </c>
      <c r="N1097" t="s">
        <v>46</v>
      </c>
      <c r="Q1097" t="s">
        <v>47</v>
      </c>
      <c r="R1097">
        <v>150000</v>
      </c>
      <c r="T1097">
        <v>4148505</v>
      </c>
      <c r="U1097">
        <v>5848860721</v>
      </c>
      <c r="V1097" t="s">
        <v>1281</v>
      </c>
      <c r="W1097" t="s">
        <v>49</v>
      </c>
      <c r="X1097" t="s">
        <v>260</v>
      </c>
      <c r="Y1097" t="s">
        <v>51</v>
      </c>
      <c r="Z1097">
        <v>1903</v>
      </c>
      <c r="AH1097">
        <v>0</v>
      </c>
      <c r="AI1097">
        <v>202505</v>
      </c>
      <c r="AJ1097" t="s">
        <v>114</v>
      </c>
      <c r="AK1097">
        <v>1</v>
      </c>
      <c r="AL1097">
        <v>1</v>
      </c>
      <c r="AO1097">
        <v>0</v>
      </c>
      <c r="AP1097" t="s">
        <v>3015</v>
      </c>
      <c r="AQ1097" t="s">
        <v>3012</v>
      </c>
      <c r="AR1097" t="s">
        <v>3016</v>
      </c>
      <c r="AT1097" t="s">
        <v>3017</v>
      </c>
      <c r="AU1097" t="s">
        <v>3018</v>
      </c>
    </row>
    <row r="1098" spans="1:47" x14ac:dyDescent="0.35">
      <c r="A1098">
        <v>351446</v>
      </c>
      <c r="B1098" t="s">
        <v>41</v>
      </c>
      <c r="C1098" t="s">
        <v>42</v>
      </c>
      <c r="D1098" s="2">
        <v>45822</v>
      </c>
      <c r="E1098">
        <v>53850</v>
      </c>
      <c r="F1098">
        <v>128</v>
      </c>
      <c r="G1098" t="s">
        <v>94</v>
      </c>
      <c r="H1098" t="s">
        <v>44</v>
      </c>
      <c r="I1098" t="s">
        <v>45</v>
      </c>
      <c r="L1098">
        <v>1283300003276</v>
      </c>
      <c r="M1098">
        <v>20250527</v>
      </c>
      <c r="N1098" t="s">
        <v>46</v>
      </c>
      <c r="Q1098" t="s">
        <v>47</v>
      </c>
      <c r="R1098">
        <v>81130</v>
      </c>
      <c r="T1098">
        <v>4804234</v>
      </c>
      <c r="U1098">
        <v>7652810727</v>
      </c>
      <c r="V1098" t="s">
        <v>1306</v>
      </c>
      <c r="W1098" t="s">
        <v>49</v>
      </c>
      <c r="X1098" t="s">
        <v>1307</v>
      </c>
      <c r="Y1098" t="s">
        <v>51</v>
      </c>
      <c r="Z1098">
        <v>462</v>
      </c>
      <c r="AH1098">
        <v>0</v>
      </c>
      <c r="AI1098">
        <v>202505</v>
      </c>
      <c r="AJ1098" t="s">
        <v>56</v>
      </c>
      <c r="AK1098">
        <v>0</v>
      </c>
      <c r="AL1098">
        <v>1</v>
      </c>
      <c r="AO1098">
        <v>0</v>
      </c>
      <c r="AP1098" t="s">
        <v>3015</v>
      </c>
      <c r="AQ1098" t="s">
        <v>3012</v>
      </c>
      <c r="AR1098" t="s">
        <v>3016</v>
      </c>
      <c r="AT1098" t="s">
        <v>3017</v>
      </c>
      <c r="AU1098" t="s">
        <v>3018</v>
      </c>
    </row>
    <row r="1099" spans="1:47" x14ac:dyDescent="0.35">
      <c r="A1099">
        <v>351405</v>
      </c>
      <c r="B1099" t="s">
        <v>41</v>
      </c>
      <c r="C1099" t="s">
        <v>42</v>
      </c>
      <c r="D1099" s="2">
        <v>45822</v>
      </c>
      <c r="E1099">
        <v>53850</v>
      </c>
      <c r="F1099">
        <v>187</v>
      </c>
      <c r="G1099" t="s">
        <v>251</v>
      </c>
      <c r="H1099" t="s">
        <v>44</v>
      </c>
      <c r="I1099" t="s">
        <v>45</v>
      </c>
      <c r="L1099">
        <v>999361870311</v>
      </c>
      <c r="M1099">
        <v>20250514</v>
      </c>
      <c r="N1099" t="s">
        <v>46</v>
      </c>
      <c r="Q1099" t="s">
        <v>47</v>
      </c>
      <c r="R1099">
        <v>36397.43</v>
      </c>
      <c r="T1099">
        <v>3004644</v>
      </c>
      <c r="U1099">
        <v>80008750731</v>
      </c>
      <c r="V1099" t="s">
        <v>252</v>
      </c>
      <c r="W1099" t="s">
        <v>253</v>
      </c>
      <c r="Y1099" t="s">
        <v>51</v>
      </c>
      <c r="Z1099">
        <v>1627</v>
      </c>
      <c r="AH1099">
        <v>0</v>
      </c>
      <c r="AI1099">
        <v>202505</v>
      </c>
      <c r="AJ1099" t="s">
        <v>56</v>
      </c>
      <c r="AK1099">
        <v>0</v>
      </c>
      <c r="AL1099">
        <v>1</v>
      </c>
      <c r="AO1099">
        <v>0</v>
      </c>
      <c r="AP1099" t="s">
        <v>3015</v>
      </c>
      <c r="AQ1099" t="s">
        <v>3052</v>
      </c>
      <c r="AR1099" t="s">
        <v>3053</v>
      </c>
      <c r="AS1099" t="s">
        <v>3037</v>
      </c>
      <c r="AU1099" t="s">
        <v>3037</v>
      </c>
    </row>
    <row r="1100" spans="1:47" x14ac:dyDescent="0.35">
      <c r="A1100">
        <v>351362</v>
      </c>
      <c r="B1100" t="s">
        <v>41</v>
      </c>
      <c r="C1100" t="s">
        <v>42</v>
      </c>
      <c r="D1100" s="2">
        <v>45822</v>
      </c>
      <c r="E1100">
        <v>53850</v>
      </c>
      <c r="F1100">
        <v>191</v>
      </c>
      <c r="G1100" t="s">
        <v>102</v>
      </c>
      <c r="H1100" t="s">
        <v>44</v>
      </c>
      <c r="I1100" t="s">
        <v>45</v>
      </c>
      <c r="L1100">
        <v>1913300068122</v>
      </c>
      <c r="M1100">
        <v>20250509</v>
      </c>
      <c r="N1100" t="s">
        <v>46</v>
      </c>
      <c r="Q1100" t="s">
        <v>47</v>
      </c>
      <c r="R1100">
        <v>40000</v>
      </c>
      <c r="T1100">
        <v>4918280</v>
      </c>
      <c r="U1100">
        <v>3480410798</v>
      </c>
      <c r="V1100" t="s">
        <v>103</v>
      </c>
      <c r="W1100" t="s">
        <v>49</v>
      </c>
      <c r="X1100" t="s">
        <v>85</v>
      </c>
      <c r="Y1100" t="s">
        <v>51</v>
      </c>
      <c r="AH1100">
        <v>0</v>
      </c>
      <c r="AI1100">
        <v>202505</v>
      </c>
      <c r="AJ1100" t="s">
        <v>119</v>
      </c>
      <c r="AK1100">
        <v>1</v>
      </c>
      <c r="AL1100">
        <v>1</v>
      </c>
      <c r="AO1100">
        <v>0</v>
      </c>
      <c r="AP1100" t="s">
        <v>3015</v>
      </c>
      <c r="AQ1100" t="s">
        <v>3012</v>
      </c>
      <c r="AR1100" t="s">
        <v>3016</v>
      </c>
      <c r="AT1100" t="s">
        <v>3017</v>
      </c>
      <c r="AU1100" t="s">
        <v>3018</v>
      </c>
    </row>
    <row r="1101" spans="1:47" x14ac:dyDescent="0.35">
      <c r="A1101">
        <v>351352</v>
      </c>
      <c r="B1101" t="s">
        <v>41</v>
      </c>
      <c r="C1101" t="s">
        <v>42</v>
      </c>
      <c r="D1101" s="2">
        <v>45822</v>
      </c>
      <c r="E1101">
        <v>53850</v>
      </c>
      <c r="F1101">
        <v>191</v>
      </c>
      <c r="G1101" t="s">
        <v>102</v>
      </c>
      <c r="H1101" t="s">
        <v>44</v>
      </c>
      <c r="I1101" t="s">
        <v>45</v>
      </c>
      <c r="L1101">
        <v>1913300068122</v>
      </c>
      <c r="M1101">
        <v>20250515</v>
      </c>
      <c r="N1101" t="s">
        <v>46</v>
      </c>
      <c r="Q1101" t="s">
        <v>47</v>
      </c>
      <c r="R1101">
        <v>50000</v>
      </c>
      <c r="T1101">
        <v>4918280</v>
      </c>
      <c r="U1101">
        <v>3480410798</v>
      </c>
      <c r="V1101" t="s">
        <v>103</v>
      </c>
      <c r="W1101" t="s">
        <v>49</v>
      </c>
      <c r="X1101" t="s">
        <v>85</v>
      </c>
      <c r="Y1101" t="s">
        <v>51</v>
      </c>
      <c r="AH1101">
        <v>0</v>
      </c>
      <c r="AI1101">
        <v>202505</v>
      </c>
      <c r="AJ1101" t="s">
        <v>119</v>
      </c>
      <c r="AK1101">
        <v>1</v>
      </c>
      <c r="AL1101">
        <v>1</v>
      </c>
      <c r="AO1101">
        <v>0</v>
      </c>
      <c r="AP1101" t="s">
        <v>3015</v>
      </c>
      <c r="AQ1101" t="s">
        <v>3012</v>
      </c>
      <c r="AR1101" t="s">
        <v>3016</v>
      </c>
      <c r="AT1101" t="s">
        <v>3017</v>
      </c>
      <c r="AU1101" t="s">
        <v>3018</v>
      </c>
    </row>
    <row r="1102" spans="1:47" x14ac:dyDescent="0.35">
      <c r="A1102">
        <v>351293</v>
      </c>
      <c r="B1102" t="s">
        <v>41</v>
      </c>
      <c r="C1102" t="s">
        <v>42</v>
      </c>
      <c r="D1102" s="2">
        <v>45822</v>
      </c>
      <c r="E1102">
        <v>53850</v>
      </c>
      <c r="F1102">
        <v>148</v>
      </c>
      <c r="G1102" t="s">
        <v>78</v>
      </c>
      <c r="H1102" t="s">
        <v>44</v>
      </c>
      <c r="I1102" t="s">
        <v>45</v>
      </c>
      <c r="L1102">
        <v>1483300006067</v>
      </c>
      <c r="M1102">
        <v>20250527</v>
      </c>
      <c r="N1102" t="s">
        <v>46</v>
      </c>
      <c r="Q1102" t="s">
        <v>47</v>
      </c>
      <c r="R1102">
        <v>36233.43</v>
      </c>
      <c r="T1102">
        <v>3737044</v>
      </c>
      <c r="U1102">
        <v>15554071009</v>
      </c>
      <c r="V1102" t="s">
        <v>87</v>
      </c>
      <c r="W1102" t="s">
        <v>49</v>
      </c>
      <c r="X1102" t="s">
        <v>88</v>
      </c>
      <c r="Y1102" t="s">
        <v>51</v>
      </c>
      <c r="Z1102">
        <v>1196</v>
      </c>
      <c r="AH1102">
        <v>0</v>
      </c>
      <c r="AI1102">
        <v>202505</v>
      </c>
      <c r="AJ1102" t="s">
        <v>56</v>
      </c>
      <c r="AK1102">
        <v>0</v>
      </c>
      <c r="AL1102">
        <v>1</v>
      </c>
      <c r="AO1102">
        <v>0</v>
      </c>
      <c r="AP1102" t="s">
        <v>3015</v>
      </c>
      <c r="AQ1102" t="s">
        <v>3012</v>
      </c>
      <c r="AR1102" t="s">
        <v>3016</v>
      </c>
      <c r="AT1102" t="s">
        <v>3017</v>
      </c>
      <c r="AU1102" t="s">
        <v>3018</v>
      </c>
    </row>
    <row r="1103" spans="1:47" x14ac:dyDescent="0.35">
      <c r="A1103">
        <v>351252</v>
      </c>
      <c r="B1103" t="s">
        <v>41</v>
      </c>
      <c r="C1103" t="s">
        <v>42</v>
      </c>
      <c r="D1103" s="2">
        <v>45822</v>
      </c>
      <c r="E1103">
        <v>53850</v>
      </c>
      <c r="F1103">
        <v>171</v>
      </c>
      <c r="G1103" t="s">
        <v>198</v>
      </c>
      <c r="H1103" t="s">
        <v>44</v>
      </c>
      <c r="I1103" t="s">
        <v>45</v>
      </c>
      <c r="L1103">
        <v>1713302213842</v>
      </c>
      <c r="M1103">
        <v>20250507</v>
      </c>
      <c r="N1103" t="s">
        <v>46</v>
      </c>
      <c r="Q1103" t="s">
        <v>47</v>
      </c>
      <c r="R1103">
        <v>400000</v>
      </c>
      <c r="T1103">
        <v>4148505</v>
      </c>
      <c r="U1103">
        <v>5848860721</v>
      </c>
      <c r="V1103" t="s">
        <v>1281</v>
      </c>
      <c r="W1103" t="s">
        <v>49</v>
      </c>
      <c r="X1103" t="s">
        <v>260</v>
      </c>
      <c r="Y1103" t="s">
        <v>51</v>
      </c>
      <c r="Z1103">
        <v>1903</v>
      </c>
      <c r="AH1103">
        <v>0</v>
      </c>
      <c r="AI1103">
        <v>202505</v>
      </c>
      <c r="AJ1103" t="s">
        <v>114</v>
      </c>
      <c r="AK1103">
        <v>1</v>
      </c>
      <c r="AL1103">
        <v>1</v>
      </c>
      <c r="AO1103">
        <v>0</v>
      </c>
      <c r="AP1103" t="s">
        <v>3015</v>
      </c>
      <c r="AQ1103" t="s">
        <v>3012</v>
      </c>
      <c r="AR1103" t="s">
        <v>3016</v>
      </c>
      <c r="AT1103" t="s">
        <v>3017</v>
      </c>
      <c r="AU1103" t="s">
        <v>3018</v>
      </c>
    </row>
    <row r="1104" spans="1:47" x14ac:dyDescent="0.35">
      <c r="A1104">
        <v>351188</v>
      </c>
      <c r="B1104" t="s">
        <v>41</v>
      </c>
      <c r="C1104" t="s">
        <v>42</v>
      </c>
      <c r="D1104" s="2">
        <v>45822</v>
      </c>
      <c r="E1104">
        <v>53850</v>
      </c>
      <c r="F1104">
        <v>122</v>
      </c>
      <c r="G1104" t="s">
        <v>43</v>
      </c>
      <c r="H1104" t="s">
        <v>44</v>
      </c>
      <c r="I1104" t="s">
        <v>45</v>
      </c>
      <c r="L1104">
        <v>1223300002128</v>
      </c>
      <c r="M1104">
        <v>20250528</v>
      </c>
      <c r="N1104" t="s">
        <v>46</v>
      </c>
      <c r="Q1104" t="s">
        <v>47</v>
      </c>
      <c r="R1104">
        <v>26719.7</v>
      </c>
      <c r="T1104">
        <v>3711207</v>
      </c>
      <c r="U1104">
        <v>8825020723</v>
      </c>
      <c r="V1104" t="s">
        <v>48</v>
      </c>
      <c r="W1104" t="s">
        <v>49</v>
      </c>
      <c r="X1104" t="s">
        <v>50</v>
      </c>
      <c r="Y1104" t="s">
        <v>51</v>
      </c>
      <c r="Z1104">
        <v>1696</v>
      </c>
      <c r="AH1104">
        <v>0</v>
      </c>
      <c r="AI1104">
        <v>202505</v>
      </c>
      <c r="AJ1104" t="s">
        <v>86</v>
      </c>
      <c r="AK1104">
        <v>1</v>
      </c>
      <c r="AL1104">
        <v>1</v>
      </c>
      <c r="AO1104">
        <v>0</v>
      </c>
      <c r="AP1104" t="s">
        <v>3011</v>
      </c>
      <c r="AQ1104" t="s">
        <v>3012</v>
      </c>
      <c r="AR1104" t="s">
        <v>3013</v>
      </c>
      <c r="AS1104" t="s">
        <v>3014</v>
      </c>
      <c r="AU1104" t="s">
        <v>3014</v>
      </c>
    </row>
    <row r="1105" spans="1:47" x14ac:dyDescent="0.35">
      <c r="A1105">
        <v>351084</v>
      </c>
      <c r="B1105" t="s">
        <v>41</v>
      </c>
      <c r="C1105" t="s">
        <v>42</v>
      </c>
      <c r="D1105" s="2">
        <v>45822</v>
      </c>
      <c r="E1105">
        <v>53850</v>
      </c>
      <c r="F1105">
        <v>122</v>
      </c>
      <c r="G1105" t="s">
        <v>43</v>
      </c>
      <c r="H1105" t="s">
        <v>44</v>
      </c>
      <c r="I1105" t="s">
        <v>45</v>
      </c>
      <c r="L1105">
        <v>1223300002128</v>
      </c>
      <c r="M1105">
        <v>20250528</v>
      </c>
      <c r="N1105" t="s">
        <v>46</v>
      </c>
      <c r="Q1105" t="s">
        <v>47</v>
      </c>
      <c r="R1105">
        <v>1856796.59</v>
      </c>
      <c r="T1105">
        <v>3711207</v>
      </c>
      <c r="U1105">
        <v>8825020723</v>
      </c>
      <c r="V1105" t="s">
        <v>48</v>
      </c>
      <c r="W1105" t="s">
        <v>49</v>
      </c>
      <c r="X1105" t="s">
        <v>50</v>
      </c>
      <c r="Y1105" t="s">
        <v>51</v>
      </c>
      <c r="Z1105">
        <v>1696</v>
      </c>
      <c r="AH1105">
        <v>0</v>
      </c>
      <c r="AI1105">
        <v>202505</v>
      </c>
      <c r="AJ1105" t="s">
        <v>86</v>
      </c>
      <c r="AK1105">
        <v>1</v>
      </c>
      <c r="AL1105">
        <v>1</v>
      </c>
      <c r="AO1105">
        <v>0</v>
      </c>
      <c r="AP1105" t="s">
        <v>3011</v>
      </c>
      <c r="AQ1105" t="s">
        <v>3012</v>
      </c>
      <c r="AR1105" t="s">
        <v>3013</v>
      </c>
      <c r="AS1105" t="s">
        <v>3014</v>
      </c>
      <c r="AU1105" t="s">
        <v>3014</v>
      </c>
    </row>
    <row r="1106" spans="1:47" x14ac:dyDescent="0.35">
      <c r="A1106">
        <v>351076</v>
      </c>
      <c r="B1106" t="s">
        <v>41</v>
      </c>
      <c r="C1106" t="s">
        <v>42</v>
      </c>
      <c r="D1106" s="2">
        <v>45822</v>
      </c>
      <c r="E1106">
        <v>53850</v>
      </c>
      <c r="F1106">
        <v>187</v>
      </c>
      <c r="G1106" t="s">
        <v>251</v>
      </c>
      <c r="H1106" t="s">
        <v>44</v>
      </c>
      <c r="I1106" t="s">
        <v>45</v>
      </c>
      <c r="L1106">
        <v>999361870311</v>
      </c>
      <c r="M1106">
        <v>20250513</v>
      </c>
      <c r="N1106" t="s">
        <v>46</v>
      </c>
      <c r="Q1106" t="s">
        <v>47</v>
      </c>
      <c r="R1106">
        <v>292408.40999999997</v>
      </c>
      <c r="T1106">
        <v>3004644</v>
      </c>
      <c r="U1106">
        <v>80008750731</v>
      </c>
      <c r="V1106" t="s">
        <v>252</v>
      </c>
      <c r="W1106" t="s">
        <v>253</v>
      </c>
      <c r="Y1106" t="s">
        <v>51</v>
      </c>
      <c r="Z1106">
        <v>1627</v>
      </c>
      <c r="AH1106">
        <v>0</v>
      </c>
      <c r="AI1106">
        <v>202505</v>
      </c>
      <c r="AJ1106" t="s">
        <v>56</v>
      </c>
      <c r="AK1106">
        <v>0</v>
      </c>
      <c r="AL1106">
        <v>1</v>
      </c>
      <c r="AO1106">
        <v>0</v>
      </c>
      <c r="AP1106" t="s">
        <v>3015</v>
      </c>
      <c r="AQ1106" t="s">
        <v>3052</v>
      </c>
      <c r="AR1106" t="s">
        <v>3053</v>
      </c>
      <c r="AS1106" t="s">
        <v>3037</v>
      </c>
      <c r="AU1106" t="s">
        <v>3037</v>
      </c>
    </row>
    <row r="1107" spans="1:47" x14ac:dyDescent="0.35">
      <c r="A1107">
        <v>351067</v>
      </c>
      <c r="B1107" t="s">
        <v>41</v>
      </c>
      <c r="C1107" t="s">
        <v>42</v>
      </c>
      <c r="D1107" s="2">
        <v>45822</v>
      </c>
      <c r="E1107">
        <v>53850</v>
      </c>
      <c r="F1107">
        <v>104</v>
      </c>
      <c r="G1107" t="s">
        <v>108</v>
      </c>
      <c r="H1107" t="s">
        <v>44</v>
      </c>
      <c r="I1107" t="s">
        <v>45</v>
      </c>
      <c r="L1107">
        <v>1043309503913</v>
      </c>
      <c r="M1107">
        <v>20250516</v>
      </c>
      <c r="N1107" t="s">
        <v>46</v>
      </c>
      <c r="Q1107" t="s">
        <v>47</v>
      </c>
      <c r="R1107">
        <v>53391.13</v>
      </c>
      <c r="T1107">
        <v>424944</v>
      </c>
      <c r="U1107">
        <v>3454860721</v>
      </c>
      <c r="V1107" t="s">
        <v>118</v>
      </c>
      <c r="W1107" t="s">
        <v>49</v>
      </c>
      <c r="X1107" t="s">
        <v>117</v>
      </c>
      <c r="Y1107" t="s">
        <v>51</v>
      </c>
      <c r="Z1107">
        <v>1696</v>
      </c>
      <c r="AH1107">
        <v>0</v>
      </c>
      <c r="AI1107">
        <v>202505</v>
      </c>
      <c r="AJ1107" t="s">
        <v>119</v>
      </c>
      <c r="AK1107">
        <v>1</v>
      </c>
      <c r="AL1107">
        <v>1</v>
      </c>
      <c r="AO1107">
        <v>0</v>
      </c>
      <c r="AP1107" t="s">
        <v>3029</v>
      </c>
      <c r="AQ1107" t="s">
        <v>3012</v>
      </c>
      <c r="AR1107" t="s">
        <v>3030</v>
      </c>
      <c r="AS1107" t="s">
        <v>3014</v>
      </c>
      <c r="AU1107" t="s">
        <v>3014</v>
      </c>
    </row>
    <row r="1108" spans="1:47" x14ac:dyDescent="0.35">
      <c r="A1108">
        <v>350896</v>
      </c>
      <c r="B1108" t="s">
        <v>41</v>
      </c>
      <c r="C1108" t="s">
        <v>42</v>
      </c>
      <c r="D1108" s="2">
        <v>45822</v>
      </c>
      <c r="E1108">
        <v>53850</v>
      </c>
      <c r="F1108">
        <v>187</v>
      </c>
      <c r="G1108" t="s">
        <v>251</v>
      </c>
      <c r="H1108" t="s">
        <v>44</v>
      </c>
      <c r="I1108" t="s">
        <v>45</v>
      </c>
      <c r="L1108">
        <v>999361870311</v>
      </c>
      <c r="M1108">
        <v>20250512</v>
      </c>
      <c r="N1108" t="s">
        <v>46</v>
      </c>
      <c r="Q1108" t="s">
        <v>47</v>
      </c>
      <c r="R1108">
        <v>31580.99</v>
      </c>
      <c r="T1108">
        <v>3004644</v>
      </c>
      <c r="U1108">
        <v>80008750731</v>
      </c>
      <c r="V1108" t="s">
        <v>252</v>
      </c>
      <c r="W1108" t="s">
        <v>253</v>
      </c>
      <c r="Y1108" t="s">
        <v>51</v>
      </c>
      <c r="Z1108">
        <v>1627</v>
      </c>
      <c r="AH1108">
        <v>0</v>
      </c>
      <c r="AI1108">
        <v>202505</v>
      </c>
      <c r="AJ1108" t="s">
        <v>56</v>
      </c>
      <c r="AK1108">
        <v>0</v>
      </c>
      <c r="AL1108">
        <v>1</v>
      </c>
      <c r="AO1108">
        <v>0</v>
      </c>
      <c r="AP1108" t="s">
        <v>3015</v>
      </c>
      <c r="AQ1108" t="s">
        <v>3052</v>
      </c>
      <c r="AR1108" t="s">
        <v>3053</v>
      </c>
      <c r="AS1108" t="s">
        <v>3037</v>
      </c>
      <c r="AU1108" t="s">
        <v>3037</v>
      </c>
    </row>
    <row r="1109" spans="1:47" x14ac:dyDescent="0.35">
      <c r="A1109">
        <v>350847</v>
      </c>
      <c r="B1109" t="s">
        <v>41</v>
      </c>
      <c r="C1109" t="s">
        <v>42</v>
      </c>
      <c r="D1109" s="2">
        <v>45822</v>
      </c>
      <c r="E1109">
        <v>53850</v>
      </c>
      <c r="F1109">
        <v>128</v>
      </c>
      <c r="G1109" t="s">
        <v>94</v>
      </c>
      <c r="H1109" t="s">
        <v>44</v>
      </c>
      <c r="I1109" t="s">
        <v>45</v>
      </c>
      <c r="L1109">
        <v>1283300003276</v>
      </c>
      <c r="M1109">
        <v>20250523</v>
      </c>
      <c r="N1109" t="s">
        <v>46</v>
      </c>
      <c r="Q1109" t="s">
        <v>47</v>
      </c>
      <c r="R1109">
        <v>36600</v>
      </c>
      <c r="T1109">
        <v>4804234</v>
      </c>
      <c r="U1109">
        <v>7652810727</v>
      </c>
      <c r="V1109" t="s">
        <v>1306</v>
      </c>
      <c r="W1109" t="s">
        <v>49</v>
      </c>
      <c r="X1109" t="s">
        <v>1307</v>
      </c>
      <c r="Y1109" t="s">
        <v>51</v>
      </c>
      <c r="Z1109">
        <v>462</v>
      </c>
      <c r="AH1109">
        <v>0</v>
      </c>
      <c r="AI1109">
        <v>202505</v>
      </c>
      <c r="AJ1109" t="s">
        <v>56</v>
      </c>
      <c r="AK1109">
        <v>0</v>
      </c>
      <c r="AL1109">
        <v>1</v>
      </c>
      <c r="AO1109">
        <v>0</v>
      </c>
      <c r="AP1109" t="s">
        <v>3015</v>
      </c>
      <c r="AQ1109" t="s">
        <v>3012</v>
      </c>
      <c r="AR1109" t="s">
        <v>3016</v>
      </c>
      <c r="AT1109" t="s">
        <v>3017</v>
      </c>
      <c r="AU1109" t="s">
        <v>3018</v>
      </c>
    </row>
    <row r="1110" spans="1:47" x14ac:dyDescent="0.35">
      <c r="A1110">
        <v>350828</v>
      </c>
      <c r="B1110" t="s">
        <v>41</v>
      </c>
      <c r="C1110" t="s">
        <v>42</v>
      </c>
      <c r="D1110" s="2">
        <v>45822</v>
      </c>
      <c r="E1110">
        <v>53850</v>
      </c>
      <c r="F1110">
        <v>268</v>
      </c>
      <c r="G1110" t="s">
        <v>83</v>
      </c>
      <c r="H1110" t="s">
        <v>44</v>
      </c>
      <c r="I1110" t="s">
        <v>45</v>
      </c>
      <c r="L1110">
        <v>2683300010038</v>
      </c>
      <c r="M1110">
        <v>20250523</v>
      </c>
      <c r="N1110" t="s">
        <v>46</v>
      </c>
      <c r="Q1110" t="s">
        <v>47</v>
      </c>
      <c r="R1110">
        <v>99150.27</v>
      </c>
      <c r="T1110">
        <v>1604219</v>
      </c>
      <c r="U1110">
        <v>952850790</v>
      </c>
      <c r="V1110" t="s">
        <v>84</v>
      </c>
      <c r="W1110" t="s">
        <v>49</v>
      </c>
      <c r="X1110" t="s">
        <v>85</v>
      </c>
      <c r="Y1110" t="s">
        <v>51</v>
      </c>
      <c r="Z1110">
        <v>1627</v>
      </c>
      <c r="AH1110">
        <v>0</v>
      </c>
      <c r="AI1110">
        <v>202505</v>
      </c>
      <c r="AJ1110" t="s">
        <v>86</v>
      </c>
      <c r="AK1110">
        <v>1</v>
      </c>
      <c r="AL1110">
        <v>1</v>
      </c>
      <c r="AO1110">
        <v>0</v>
      </c>
      <c r="AP1110" t="s">
        <v>3015</v>
      </c>
      <c r="AQ1110" t="s">
        <v>3012</v>
      </c>
      <c r="AR1110" t="s">
        <v>3016</v>
      </c>
      <c r="AT1110" t="s">
        <v>3017</v>
      </c>
      <c r="AU1110" t="s">
        <v>3018</v>
      </c>
    </row>
    <row r="1111" spans="1:47" x14ac:dyDescent="0.35">
      <c r="A1111">
        <v>350748</v>
      </c>
      <c r="B1111" t="s">
        <v>41</v>
      </c>
      <c r="C1111" t="s">
        <v>42</v>
      </c>
      <c r="D1111" s="2">
        <v>45822</v>
      </c>
      <c r="E1111">
        <v>53850</v>
      </c>
      <c r="F1111">
        <v>122</v>
      </c>
      <c r="G1111" t="s">
        <v>43</v>
      </c>
      <c r="H1111" t="s">
        <v>44</v>
      </c>
      <c r="I1111" t="s">
        <v>45</v>
      </c>
      <c r="L1111">
        <v>1223300001682</v>
      </c>
      <c r="M1111">
        <v>20250529</v>
      </c>
      <c r="N1111" t="s">
        <v>46</v>
      </c>
      <c r="Q1111" t="s">
        <v>47</v>
      </c>
      <c r="R1111">
        <v>1252933.6200000001</v>
      </c>
      <c r="T1111">
        <v>3711207</v>
      </c>
      <c r="U1111">
        <v>8825020723</v>
      </c>
      <c r="V1111" t="s">
        <v>48</v>
      </c>
      <c r="W1111" t="s">
        <v>49</v>
      </c>
      <c r="X1111" t="s">
        <v>50</v>
      </c>
      <c r="Y1111" t="s">
        <v>51</v>
      </c>
      <c r="Z1111">
        <v>1696</v>
      </c>
      <c r="AH1111">
        <v>0</v>
      </c>
      <c r="AI1111">
        <v>202505</v>
      </c>
      <c r="AJ1111" t="s">
        <v>86</v>
      </c>
      <c r="AK1111">
        <v>1</v>
      </c>
      <c r="AL1111">
        <v>1</v>
      </c>
      <c r="AO1111">
        <v>0</v>
      </c>
      <c r="AP1111" t="s">
        <v>3011</v>
      </c>
      <c r="AQ1111" t="s">
        <v>3012</v>
      </c>
      <c r="AR1111" t="s">
        <v>3013</v>
      </c>
      <c r="AS1111" t="s">
        <v>3014</v>
      </c>
      <c r="AU1111" t="s">
        <v>3014</v>
      </c>
    </row>
    <row r="1112" spans="1:47" x14ac:dyDescent="0.35">
      <c r="A1112">
        <v>350691</v>
      </c>
      <c r="B1112" t="s">
        <v>41</v>
      </c>
      <c r="C1112" t="s">
        <v>42</v>
      </c>
      <c r="D1112" s="2">
        <v>45822</v>
      </c>
      <c r="E1112">
        <v>53850</v>
      </c>
      <c r="F1112">
        <v>141</v>
      </c>
      <c r="G1112" t="s">
        <v>105</v>
      </c>
      <c r="H1112" t="s">
        <v>44</v>
      </c>
      <c r="I1112" t="s">
        <v>45</v>
      </c>
      <c r="L1112">
        <v>1413300003347</v>
      </c>
      <c r="M1112">
        <v>20250515</v>
      </c>
      <c r="N1112" t="s">
        <v>46</v>
      </c>
      <c r="Q1112" t="s">
        <v>47</v>
      </c>
      <c r="R1112">
        <v>182691.95</v>
      </c>
      <c r="T1112">
        <v>4835947</v>
      </c>
      <c r="U1112">
        <v>3351210756</v>
      </c>
      <c r="V1112" t="s">
        <v>148</v>
      </c>
      <c r="W1112" t="s">
        <v>49</v>
      </c>
      <c r="X1112" t="s">
        <v>50</v>
      </c>
      <c r="Y1112" t="s">
        <v>51</v>
      </c>
      <c r="Z1112">
        <v>1627</v>
      </c>
      <c r="AH1112">
        <v>0</v>
      </c>
      <c r="AI1112">
        <v>202505</v>
      </c>
      <c r="AJ1112" t="s">
        <v>56</v>
      </c>
      <c r="AK1112">
        <v>0</v>
      </c>
      <c r="AL1112">
        <v>1</v>
      </c>
      <c r="AO1112">
        <v>0</v>
      </c>
      <c r="AP1112" t="s">
        <v>3011</v>
      </c>
      <c r="AQ1112" t="s">
        <v>3012</v>
      </c>
      <c r="AR1112" t="s">
        <v>3013</v>
      </c>
      <c r="AS1112" t="s">
        <v>3014</v>
      </c>
      <c r="AU1112" t="s">
        <v>3014</v>
      </c>
    </row>
    <row r="1113" spans="1:47" x14ac:dyDescent="0.35">
      <c r="A1113">
        <v>350653</v>
      </c>
      <c r="B1113" t="s">
        <v>41</v>
      </c>
      <c r="C1113" t="s">
        <v>42</v>
      </c>
      <c r="D1113" s="2">
        <v>45822</v>
      </c>
      <c r="E1113">
        <v>53850</v>
      </c>
      <c r="F1113">
        <v>117</v>
      </c>
      <c r="G1113" t="s">
        <v>490</v>
      </c>
      <c r="H1113" t="s">
        <v>44</v>
      </c>
      <c r="I1113" t="s">
        <v>45</v>
      </c>
      <c r="L1113">
        <v>1173300539106</v>
      </c>
      <c r="M1113">
        <v>20250520</v>
      </c>
      <c r="N1113" t="s">
        <v>46</v>
      </c>
      <c r="Q1113" t="s">
        <v>47</v>
      </c>
      <c r="R1113">
        <v>28251.78</v>
      </c>
      <c r="T1113">
        <v>4859514</v>
      </c>
      <c r="U1113" t="s">
        <v>1309</v>
      </c>
      <c r="V1113" t="s">
        <v>1310</v>
      </c>
      <c r="W1113" t="s">
        <v>69</v>
      </c>
      <c r="X1113" t="s">
        <v>234</v>
      </c>
      <c r="Y1113" t="s">
        <v>51</v>
      </c>
      <c r="Z1113">
        <v>1772</v>
      </c>
      <c r="AH1113">
        <v>0</v>
      </c>
      <c r="AI1113">
        <v>202505</v>
      </c>
      <c r="AJ1113" t="s">
        <v>86</v>
      </c>
      <c r="AK1113">
        <v>1</v>
      </c>
      <c r="AL1113">
        <v>1</v>
      </c>
      <c r="AO1113">
        <v>0</v>
      </c>
      <c r="AP1113" t="s">
        <v>3015</v>
      </c>
      <c r="AQ1113" t="s">
        <v>3021</v>
      </c>
      <c r="AR1113" t="s">
        <v>3022</v>
      </c>
      <c r="AT1113" t="s">
        <v>3017</v>
      </c>
      <c r="AU1113" t="s">
        <v>3014</v>
      </c>
    </row>
    <row r="1114" spans="1:47" x14ac:dyDescent="0.35">
      <c r="A1114">
        <v>350576</v>
      </c>
      <c r="B1114" t="s">
        <v>41</v>
      </c>
      <c r="C1114" t="s">
        <v>42</v>
      </c>
      <c r="D1114" s="2">
        <v>45822</v>
      </c>
      <c r="E1114">
        <v>53850</v>
      </c>
      <c r="F1114">
        <v>148</v>
      </c>
      <c r="G1114" t="s">
        <v>78</v>
      </c>
      <c r="H1114" t="s">
        <v>44</v>
      </c>
      <c r="I1114" t="s">
        <v>45</v>
      </c>
      <c r="L1114">
        <v>1483300006067</v>
      </c>
      <c r="M1114">
        <v>20250522</v>
      </c>
      <c r="N1114" t="s">
        <v>46</v>
      </c>
      <c r="Q1114" t="s">
        <v>47</v>
      </c>
      <c r="R1114">
        <v>40000</v>
      </c>
      <c r="T1114">
        <v>3737044</v>
      </c>
      <c r="U1114">
        <v>15554071009</v>
      </c>
      <c r="V1114" t="s">
        <v>87</v>
      </c>
      <c r="W1114" t="s">
        <v>49</v>
      </c>
      <c r="X1114" t="s">
        <v>88</v>
      </c>
      <c r="Y1114" t="s">
        <v>51</v>
      </c>
      <c r="Z1114">
        <v>1196</v>
      </c>
      <c r="AH1114">
        <v>0</v>
      </c>
      <c r="AI1114">
        <v>202505</v>
      </c>
      <c r="AJ1114" t="s">
        <v>56</v>
      </c>
      <c r="AK1114">
        <v>0</v>
      </c>
      <c r="AL1114">
        <v>1</v>
      </c>
      <c r="AO1114">
        <v>0</v>
      </c>
      <c r="AP1114" t="s">
        <v>3015</v>
      </c>
      <c r="AQ1114" t="s">
        <v>3012</v>
      </c>
      <c r="AR1114" t="s">
        <v>3016</v>
      </c>
      <c r="AT1114" t="s">
        <v>3017</v>
      </c>
      <c r="AU1114" t="s">
        <v>3018</v>
      </c>
    </row>
    <row r="1115" spans="1:47" x14ac:dyDescent="0.35">
      <c r="A1115">
        <v>350521</v>
      </c>
      <c r="B1115" t="s">
        <v>41</v>
      </c>
      <c r="C1115" t="s">
        <v>42</v>
      </c>
      <c r="D1115" s="2">
        <v>45822</v>
      </c>
      <c r="E1115">
        <v>53850</v>
      </c>
      <c r="F1115">
        <v>261</v>
      </c>
      <c r="G1115" t="s">
        <v>136</v>
      </c>
      <c r="H1115" t="s">
        <v>44</v>
      </c>
      <c r="I1115" t="s">
        <v>45</v>
      </c>
      <c r="L1115">
        <v>2613300000185</v>
      </c>
      <c r="M1115">
        <v>20250502</v>
      </c>
      <c r="N1115" t="s">
        <v>46</v>
      </c>
      <c r="Q1115" t="s">
        <v>47</v>
      </c>
      <c r="R1115">
        <v>70000</v>
      </c>
      <c r="T1115">
        <v>1603119</v>
      </c>
      <c r="U1115">
        <v>941080707</v>
      </c>
      <c r="V1115" t="s">
        <v>1305</v>
      </c>
      <c r="W1115" t="s">
        <v>49</v>
      </c>
      <c r="X1115" t="s">
        <v>62</v>
      </c>
      <c r="Y1115" t="s">
        <v>51</v>
      </c>
      <c r="Z1115">
        <v>1856</v>
      </c>
      <c r="AH1115">
        <v>0</v>
      </c>
      <c r="AI1115">
        <v>202505</v>
      </c>
      <c r="AJ1115" t="s">
        <v>52</v>
      </c>
      <c r="AK1115">
        <v>0</v>
      </c>
      <c r="AL1115">
        <v>1</v>
      </c>
      <c r="AO1115">
        <v>0</v>
      </c>
      <c r="AP1115" t="s">
        <v>3015</v>
      </c>
      <c r="AQ1115" t="s">
        <v>3012</v>
      </c>
      <c r="AR1115" t="s">
        <v>3016</v>
      </c>
      <c r="AT1115" t="s">
        <v>3017</v>
      </c>
      <c r="AU1115" t="s">
        <v>3018</v>
      </c>
    </row>
    <row r="1116" spans="1:47" x14ac:dyDescent="0.35">
      <c r="A1116">
        <v>350518</v>
      </c>
      <c r="B1116" t="s">
        <v>41</v>
      </c>
      <c r="C1116" t="s">
        <v>42</v>
      </c>
      <c r="D1116" s="2">
        <v>45822</v>
      </c>
      <c r="E1116">
        <v>53850</v>
      </c>
      <c r="F1116">
        <v>137</v>
      </c>
      <c r="G1116" t="s">
        <v>166</v>
      </c>
      <c r="H1116" t="s">
        <v>44</v>
      </c>
      <c r="I1116" t="s">
        <v>45</v>
      </c>
      <c r="L1116">
        <v>1373300006051</v>
      </c>
      <c r="M1116">
        <v>20250513</v>
      </c>
      <c r="N1116" t="s">
        <v>46</v>
      </c>
      <c r="Q1116" t="s">
        <v>47</v>
      </c>
      <c r="R1116">
        <v>31925</v>
      </c>
      <c r="T1116">
        <v>3742657</v>
      </c>
      <c r="U1116">
        <v>1855700702</v>
      </c>
      <c r="V1116" t="s">
        <v>1311</v>
      </c>
      <c r="W1116" t="s">
        <v>49</v>
      </c>
      <c r="X1116" t="s">
        <v>91</v>
      </c>
      <c r="Y1116" t="s">
        <v>51</v>
      </c>
      <c r="Z1116">
        <v>1867</v>
      </c>
      <c r="AH1116">
        <v>0</v>
      </c>
      <c r="AI1116">
        <v>202505</v>
      </c>
      <c r="AJ1116" t="s">
        <v>56</v>
      </c>
      <c r="AK1116">
        <v>0</v>
      </c>
      <c r="AL1116">
        <v>1</v>
      </c>
      <c r="AO1116">
        <v>0</v>
      </c>
      <c r="AP1116" t="s">
        <v>1100</v>
      </c>
      <c r="AQ1116" t="s">
        <v>3012</v>
      </c>
      <c r="AR1116" t="s">
        <v>3023</v>
      </c>
      <c r="AS1116" t="s">
        <v>3014</v>
      </c>
      <c r="AU1116" t="s">
        <v>3014</v>
      </c>
    </row>
    <row r="1117" spans="1:47" x14ac:dyDescent="0.35">
      <c r="A1117">
        <v>350469</v>
      </c>
      <c r="B1117" t="s">
        <v>41</v>
      </c>
      <c r="C1117" t="s">
        <v>42</v>
      </c>
      <c r="D1117" s="2">
        <v>45822</v>
      </c>
      <c r="E1117">
        <v>53850</v>
      </c>
      <c r="F1117">
        <v>161</v>
      </c>
      <c r="G1117" t="s">
        <v>111</v>
      </c>
      <c r="H1117" t="s">
        <v>44</v>
      </c>
      <c r="I1117" t="s">
        <v>45</v>
      </c>
      <c r="L1117">
        <v>1613300032597</v>
      </c>
      <c r="M1117">
        <v>20250519</v>
      </c>
      <c r="N1117" t="s">
        <v>46</v>
      </c>
      <c r="Q1117" t="s">
        <v>47</v>
      </c>
      <c r="R1117">
        <v>299847.46999999997</v>
      </c>
      <c r="T1117">
        <v>4848422</v>
      </c>
      <c r="U1117">
        <v>7580050727</v>
      </c>
      <c r="V1117" t="s">
        <v>1292</v>
      </c>
      <c r="W1117" t="s">
        <v>404</v>
      </c>
      <c r="X1117" t="s">
        <v>113</v>
      </c>
      <c r="Y1117" t="s">
        <v>51</v>
      </c>
      <c r="Z1117">
        <v>1903</v>
      </c>
      <c r="AH1117">
        <v>0</v>
      </c>
      <c r="AI1117">
        <v>202505</v>
      </c>
      <c r="AJ1117" t="s">
        <v>56</v>
      </c>
      <c r="AK1117">
        <v>0</v>
      </c>
      <c r="AL1117">
        <v>1</v>
      </c>
      <c r="AO1117">
        <v>0</v>
      </c>
      <c r="AP1117" t="s">
        <v>3015</v>
      </c>
      <c r="AQ1117" t="s">
        <v>3064</v>
      </c>
      <c r="AR1117" t="s">
        <v>3065</v>
      </c>
      <c r="AT1117" t="s">
        <v>3017</v>
      </c>
      <c r="AU1117" t="s">
        <v>3057</v>
      </c>
    </row>
    <row r="1118" spans="1:47" x14ac:dyDescent="0.35">
      <c r="A1118">
        <v>350364</v>
      </c>
      <c r="B1118" t="s">
        <v>41</v>
      </c>
      <c r="C1118" t="s">
        <v>42</v>
      </c>
      <c r="D1118" s="2">
        <v>45822</v>
      </c>
      <c r="E1118">
        <v>53850</v>
      </c>
      <c r="F1118">
        <v>153</v>
      </c>
      <c r="G1118" t="s">
        <v>63</v>
      </c>
      <c r="H1118" t="s">
        <v>44</v>
      </c>
      <c r="I1118" t="s">
        <v>45</v>
      </c>
      <c r="L1118">
        <v>1533300663959</v>
      </c>
      <c r="M1118">
        <v>20250505</v>
      </c>
      <c r="N1118" t="s">
        <v>46</v>
      </c>
      <c r="Q1118" t="s">
        <v>47</v>
      </c>
      <c r="R1118">
        <v>37951.49</v>
      </c>
      <c r="T1118">
        <v>3721097</v>
      </c>
      <c r="U1118">
        <v>10391641213</v>
      </c>
      <c r="V1118" t="s">
        <v>64</v>
      </c>
      <c r="W1118" t="s">
        <v>49</v>
      </c>
      <c r="X1118" t="s">
        <v>65</v>
      </c>
      <c r="Y1118" t="s">
        <v>51</v>
      </c>
      <c r="Z1118">
        <v>1237</v>
      </c>
      <c r="AH1118">
        <v>0</v>
      </c>
      <c r="AI1118">
        <v>202505</v>
      </c>
      <c r="AJ1118" t="s">
        <v>56</v>
      </c>
      <c r="AK1118">
        <v>0</v>
      </c>
      <c r="AL1118">
        <v>1</v>
      </c>
      <c r="AO1118">
        <v>0</v>
      </c>
      <c r="AP1118" t="s">
        <v>3019</v>
      </c>
      <c r="AQ1118" t="s">
        <v>3012</v>
      </c>
      <c r="AR1118" t="s">
        <v>3020</v>
      </c>
      <c r="AS1118" t="s">
        <v>3014</v>
      </c>
      <c r="AU1118" t="s">
        <v>3014</v>
      </c>
    </row>
    <row r="1119" spans="1:47" x14ac:dyDescent="0.35">
      <c r="A1119">
        <v>350283</v>
      </c>
      <c r="B1119" t="s">
        <v>41</v>
      </c>
      <c r="C1119" t="s">
        <v>42</v>
      </c>
      <c r="D1119" s="2">
        <v>45822</v>
      </c>
      <c r="E1119">
        <v>53850</v>
      </c>
      <c r="F1119">
        <v>125</v>
      </c>
      <c r="G1119" t="s">
        <v>75</v>
      </c>
      <c r="H1119" t="s">
        <v>44</v>
      </c>
      <c r="I1119" t="s">
        <v>45</v>
      </c>
      <c r="L1119">
        <v>1253309512895</v>
      </c>
      <c r="M1119">
        <v>20250523</v>
      </c>
      <c r="N1119" t="s">
        <v>46</v>
      </c>
      <c r="Q1119" t="s">
        <v>47</v>
      </c>
      <c r="R1119">
        <v>34953.980000000003</v>
      </c>
      <c r="T1119">
        <v>4795279</v>
      </c>
      <c r="U1119">
        <v>1020090658</v>
      </c>
      <c r="V1119" t="s">
        <v>76</v>
      </c>
      <c r="W1119" t="s">
        <v>49</v>
      </c>
      <c r="X1119" t="s">
        <v>77</v>
      </c>
      <c r="Y1119" t="s">
        <v>51</v>
      </c>
      <c r="Z1119">
        <v>982</v>
      </c>
      <c r="AH1119">
        <v>0</v>
      </c>
      <c r="AI1119">
        <v>202505</v>
      </c>
      <c r="AJ1119" t="s">
        <v>56</v>
      </c>
      <c r="AK1119">
        <v>0</v>
      </c>
      <c r="AL1119">
        <v>1</v>
      </c>
      <c r="AO1119">
        <v>0</v>
      </c>
      <c r="AP1119" t="s">
        <v>3015</v>
      </c>
      <c r="AQ1119" t="s">
        <v>3012</v>
      </c>
      <c r="AR1119" t="s">
        <v>3016</v>
      </c>
      <c r="AT1119" t="s">
        <v>3017</v>
      </c>
      <c r="AU1119" t="s">
        <v>3018</v>
      </c>
    </row>
    <row r="1120" spans="1:47" x14ac:dyDescent="0.35">
      <c r="A1120">
        <v>349304</v>
      </c>
      <c r="B1120" t="s">
        <v>138</v>
      </c>
      <c r="C1120" t="s">
        <v>139</v>
      </c>
      <c r="D1120" s="2">
        <v>45822</v>
      </c>
      <c r="E1120">
        <v>53850</v>
      </c>
      <c r="F1120">
        <v>102</v>
      </c>
      <c r="G1120" t="s">
        <v>151</v>
      </c>
      <c r="H1120" t="s">
        <v>141</v>
      </c>
      <c r="I1120" t="s">
        <v>45</v>
      </c>
      <c r="R1120" t="s">
        <v>142</v>
      </c>
      <c r="T1120">
        <v>4269640</v>
      </c>
      <c r="U1120">
        <v>4797080969</v>
      </c>
      <c r="V1120" t="s">
        <v>152</v>
      </c>
      <c r="W1120" t="s">
        <v>153</v>
      </c>
      <c r="X1120" t="s">
        <v>154</v>
      </c>
      <c r="Z1120">
        <v>1926</v>
      </c>
      <c r="AH1120">
        <v>0</v>
      </c>
      <c r="AL1120">
        <v>1</v>
      </c>
      <c r="AO1120">
        <v>0</v>
      </c>
      <c r="AP1120" t="s">
        <v>3015</v>
      </c>
      <c r="AQ1120" t="s">
        <v>3035</v>
      </c>
      <c r="AR1120" t="s">
        <v>3036</v>
      </c>
      <c r="AT1120" t="s">
        <v>3017</v>
      </c>
      <c r="AU1120" t="s">
        <v>3037</v>
      </c>
    </row>
    <row r="1121" spans="1:47" x14ac:dyDescent="0.35">
      <c r="A1121">
        <v>349301</v>
      </c>
      <c r="B1121" t="s">
        <v>138</v>
      </c>
      <c r="C1121" t="s">
        <v>139</v>
      </c>
      <c r="D1121" s="2">
        <v>45822</v>
      </c>
      <c r="E1121">
        <v>53850</v>
      </c>
      <c r="F1121">
        <v>122</v>
      </c>
      <c r="G1121" t="s">
        <v>43</v>
      </c>
      <c r="H1121" t="s">
        <v>141</v>
      </c>
      <c r="I1121" t="s">
        <v>45</v>
      </c>
      <c r="R1121" t="s">
        <v>142</v>
      </c>
      <c r="T1121">
        <v>3711207</v>
      </c>
      <c r="U1121">
        <v>8825020723</v>
      </c>
      <c r="V1121" t="s">
        <v>48</v>
      </c>
      <c r="W1121" t="s">
        <v>49</v>
      </c>
      <c r="X1121" t="s">
        <v>150</v>
      </c>
      <c r="Z1121">
        <v>1696</v>
      </c>
      <c r="AH1121">
        <v>0</v>
      </c>
      <c r="AL1121">
        <v>1</v>
      </c>
      <c r="AO1121">
        <v>0</v>
      </c>
      <c r="AP1121" t="s">
        <v>3011</v>
      </c>
      <c r="AQ1121" t="s">
        <v>3012</v>
      </c>
      <c r="AR1121" t="s">
        <v>3013</v>
      </c>
      <c r="AS1121" t="s">
        <v>3014</v>
      </c>
      <c r="AU1121" t="s">
        <v>3014</v>
      </c>
    </row>
    <row r="1122" spans="1:47" x14ac:dyDescent="0.35">
      <c r="A1122">
        <v>349274</v>
      </c>
      <c r="B1122" t="s">
        <v>138</v>
      </c>
      <c r="C1122" t="s">
        <v>139</v>
      </c>
      <c r="D1122" s="2">
        <v>45822</v>
      </c>
      <c r="E1122">
        <v>53850</v>
      </c>
      <c r="F1122">
        <v>265</v>
      </c>
      <c r="G1122" t="s">
        <v>758</v>
      </c>
      <c r="H1122" t="s">
        <v>141</v>
      </c>
      <c r="I1122" t="s">
        <v>45</v>
      </c>
      <c r="R1122" t="s">
        <v>142</v>
      </c>
      <c r="T1122">
        <v>1702012</v>
      </c>
      <c r="U1122">
        <v>1313480772</v>
      </c>
      <c r="V1122" t="s">
        <v>1312</v>
      </c>
      <c r="W1122" t="s">
        <v>49</v>
      </c>
      <c r="X1122" t="s">
        <v>1313</v>
      </c>
      <c r="Z1122">
        <v>1926</v>
      </c>
      <c r="AH1122">
        <v>0</v>
      </c>
      <c r="AL1122">
        <v>1</v>
      </c>
      <c r="AO1122">
        <v>0</v>
      </c>
      <c r="AP1122" t="s">
        <v>3015</v>
      </c>
      <c r="AQ1122" t="s">
        <v>3012</v>
      </c>
      <c r="AR1122" t="s">
        <v>3016</v>
      </c>
      <c r="AT1122" t="s">
        <v>3017</v>
      </c>
      <c r="AU1122" t="s">
        <v>3018</v>
      </c>
    </row>
    <row r="1123" spans="1:47" x14ac:dyDescent="0.35">
      <c r="A1123">
        <v>349266</v>
      </c>
      <c r="B1123" t="s">
        <v>138</v>
      </c>
      <c r="C1123" t="s">
        <v>139</v>
      </c>
      <c r="D1123" s="2">
        <v>45822</v>
      </c>
      <c r="E1123">
        <v>53850</v>
      </c>
      <c r="F1123">
        <v>286</v>
      </c>
      <c r="G1123" t="s">
        <v>408</v>
      </c>
      <c r="H1123" t="s">
        <v>141</v>
      </c>
      <c r="I1123" t="s">
        <v>45</v>
      </c>
      <c r="R1123" t="s">
        <v>142</v>
      </c>
      <c r="T1123">
        <v>1703846</v>
      </c>
      <c r="U1123">
        <v>2557890692</v>
      </c>
      <c r="V1123" t="s">
        <v>1170</v>
      </c>
      <c r="W1123" t="s">
        <v>49</v>
      </c>
      <c r="X1123" t="s">
        <v>1314</v>
      </c>
      <c r="Z1123">
        <v>1877</v>
      </c>
      <c r="AH1123">
        <v>0</v>
      </c>
      <c r="AL1123">
        <v>1</v>
      </c>
      <c r="AO1123">
        <v>0</v>
      </c>
      <c r="AP1123" t="s">
        <v>3015</v>
      </c>
      <c r="AQ1123" t="s">
        <v>3012</v>
      </c>
      <c r="AR1123" t="s">
        <v>3016</v>
      </c>
      <c r="AT1123" t="s">
        <v>3017</v>
      </c>
      <c r="AU1123" t="s">
        <v>3018</v>
      </c>
    </row>
    <row r="1124" spans="1:47" x14ac:dyDescent="0.35">
      <c r="A1124">
        <v>349253</v>
      </c>
      <c r="B1124" t="s">
        <v>138</v>
      </c>
      <c r="C1124" t="s">
        <v>139</v>
      </c>
      <c r="D1124" s="2">
        <v>45822</v>
      </c>
      <c r="E1124">
        <v>53850</v>
      </c>
      <c r="F1124">
        <v>141</v>
      </c>
      <c r="G1124" t="s">
        <v>105</v>
      </c>
      <c r="H1124" t="s">
        <v>141</v>
      </c>
      <c r="I1124" t="s">
        <v>45</v>
      </c>
      <c r="R1124" t="s">
        <v>142</v>
      </c>
      <c r="T1124">
        <v>4835947</v>
      </c>
      <c r="U1124">
        <v>3351210756</v>
      </c>
      <c r="V1124" t="s">
        <v>148</v>
      </c>
      <c r="W1124" t="s">
        <v>49</v>
      </c>
      <c r="X1124" t="s">
        <v>149</v>
      </c>
      <c r="Z1124">
        <v>1627</v>
      </c>
      <c r="AH1124">
        <v>0</v>
      </c>
      <c r="AL1124">
        <v>1</v>
      </c>
      <c r="AO1124">
        <v>0</v>
      </c>
      <c r="AP1124" t="s">
        <v>3011</v>
      </c>
      <c r="AQ1124" t="s">
        <v>3012</v>
      </c>
      <c r="AR1124" t="s">
        <v>3013</v>
      </c>
      <c r="AS1124" t="s">
        <v>3014</v>
      </c>
      <c r="AU1124" t="s">
        <v>3014</v>
      </c>
    </row>
    <row r="1125" spans="1:47" x14ac:dyDescent="0.35">
      <c r="A1125">
        <v>349221</v>
      </c>
      <c r="B1125" t="s">
        <v>138</v>
      </c>
      <c r="C1125" t="s">
        <v>139</v>
      </c>
      <c r="D1125" s="2">
        <v>45822</v>
      </c>
      <c r="E1125">
        <v>53850</v>
      </c>
      <c r="F1125">
        <v>121</v>
      </c>
      <c r="G1125" t="s">
        <v>140</v>
      </c>
      <c r="H1125" t="s">
        <v>141</v>
      </c>
      <c r="I1125" t="s">
        <v>45</v>
      </c>
      <c r="R1125" t="s">
        <v>142</v>
      </c>
      <c r="T1125">
        <v>4669940</v>
      </c>
      <c r="U1125">
        <v>7216060728</v>
      </c>
      <c r="V1125" t="s">
        <v>143</v>
      </c>
      <c r="W1125" t="s">
        <v>49</v>
      </c>
      <c r="X1125" t="s">
        <v>144</v>
      </c>
      <c r="AH1125">
        <v>0</v>
      </c>
      <c r="AL1125">
        <v>1</v>
      </c>
      <c r="AO1125">
        <v>0</v>
      </c>
      <c r="AP1125" t="s">
        <v>3015</v>
      </c>
      <c r="AQ1125" t="s">
        <v>3012</v>
      </c>
      <c r="AR1125" t="s">
        <v>3016</v>
      </c>
      <c r="AT1125" t="s">
        <v>3017</v>
      </c>
      <c r="AU1125" t="s">
        <v>3018</v>
      </c>
    </row>
    <row r="1126" spans="1:47" x14ac:dyDescent="0.35">
      <c r="A1126">
        <v>349207</v>
      </c>
      <c r="B1126" t="s">
        <v>138</v>
      </c>
      <c r="C1126" t="s">
        <v>139</v>
      </c>
      <c r="D1126" s="2">
        <v>45822</v>
      </c>
      <c r="E1126">
        <v>53850</v>
      </c>
      <c r="F1126">
        <v>102</v>
      </c>
      <c r="G1126" t="s">
        <v>151</v>
      </c>
      <c r="H1126" t="s">
        <v>141</v>
      </c>
      <c r="I1126" t="s">
        <v>45</v>
      </c>
      <c r="R1126" t="s">
        <v>142</v>
      </c>
      <c r="T1126">
        <v>4449008</v>
      </c>
      <c r="U1126">
        <v>6606180724</v>
      </c>
      <c r="V1126" t="s">
        <v>1315</v>
      </c>
      <c r="W1126" t="s">
        <v>49</v>
      </c>
      <c r="X1126" t="s">
        <v>1316</v>
      </c>
      <c r="Z1126">
        <v>739</v>
      </c>
      <c r="AH1126">
        <v>0</v>
      </c>
      <c r="AL1126">
        <v>1</v>
      </c>
      <c r="AO1126">
        <v>0</v>
      </c>
      <c r="AP1126" t="s">
        <v>3062</v>
      </c>
      <c r="AQ1126" t="s">
        <v>3012</v>
      </c>
      <c r="AR1126" t="s">
        <v>3063</v>
      </c>
      <c r="AS1126" t="s">
        <v>3014</v>
      </c>
      <c r="AU1126" t="s">
        <v>3014</v>
      </c>
    </row>
    <row r="1127" spans="1:47" x14ac:dyDescent="0.35">
      <c r="A1127">
        <v>349202</v>
      </c>
      <c r="B1127" t="s">
        <v>138</v>
      </c>
      <c r="C1127" t="s">
        <v>139</v>
      </c>
      <c r="D1127" s="2">
        <v>45822</v>
      </c>
      <c r="E1127">
        <v>53850</v>
      </c>
      <c r="F1127">
        <v>109</v>
      </c>
      <c r="G1127" t="s">
        <v>89</v>
      </c>
      <c r="H1127" t="s">
        <v>141</v>
      </c>
      <c r="I1127" t="s">
        <v>45</v>
      </c>
      <c r="R1127" t="s">
        <v>142</v>
      </c>
      <c r="T1127">
        <v>4536482</v>
      </c>
      <c r="U1127">
        <v>268480720</v>
      </c>
      <c r="V1127" t="s">
        <v>158</v>
      </c>
      <c r="W1127" t="s">
        <v>49</v>
      </c>
      <c r="X1127" t="s">
        <v>159</v>
      </c>
      <c r="Z1127">
        <v>1919</v>
      </c>
      <c r="AH1127">
        <v>0</v>
      </c>
      <c r="AL1127">
        <v>1</v>
      </c>
      <c r="AO1127">
        <v>0</v>
      </c>
      <c r="AP1127" t="s">
        <v>1100</v>
      </c>
      <c r="AQ1127" t="s">
        <v>3012</v>
      </c>
      <c r="AR1127" t="s">
        <v>3023</v>
      </c>
      <c r="AS1127" t="s">
        <v>3014</v>
      </c>
      <c r="AU1127" t="s">
        <v>3014</v>
      </c>
    </row>
    <row r="1128" spans="1:47" x14ac:dyDescent="0.35">
      <c r="A1128">
        <v>349184</v>
      </c>
      <c r="B1128" t="s">
        <v>138</v>
      </c>
      <c r="C1128" t="s">
        <v>139</v>
      </c>
      <c r="D1128" s="2">
        <v>45822</v>
      </c>
      <c r="E1128">
        <v>53850</v>
      </c>
      <c r="F1128">
        <v>103</v>
      </c>
      <c r="G1128" t="s">
        <v>80</v>
      </c>
      <c r="H1128" t="s">
        <v>141</v>
      </c>
      <c r="I1128" t="s">
        <v>45</v>
      </c>
      <c r="R1128" t="s">
        <v>142</v>
      </c>
      <c r="T1128">
        <v>4679373</v>
      </c>
      <c r="U1128">
        <v>3294040724</v>
      </c>
      <c r="V1128" t="s">
        <v>1317</v>
      </c>
      <c r="W1128" t="s">
        <v>190</v>
      </c>
      <c r="X1128" t="s">
        <v>1318</v>
      </c>
      <c r="Z1128">
        <v>1926</v>
      </c>
      <c r="AH1128">
        <v>0</v>
      </c>
      <c r="AL1128">
        <v>1</v>
      </c>
      <c r="AO1128">
        <v>0</v>
      </c>
      <c r="AP1128" t="s">
        <v>3015</v>
      </c>
      <c r="AQ1128" t="s">
        <v>3047</v>
      </c>
      <c r="AR1128" t="s">
        <v>3056</v>
      </c>
      <c r="AT1128" t="s">
        <v>3017</v>
      </c>
      <c r="AU1128" t="s">
        <v>3057</v>
      </c>
    </row>
    <row r="1129" spans="1:47" x14ac:dyDescent="0.35">
      <c r="A1129">
        <v>349183</v>
      </c>
      <c r="B1129" t="s">
        <v>138</v>
      </c>
      <c r="C1129" t="s">
        <v>139</v>
      </c>
      <c r="D1129" s="2">
        <v>45822</v>
      </c>
      <c r="E1129">
        <v>53850</v>
      </c>
      <c r="F1129">
        <v>102</v>
      </c>
      <c r="G1129" t="s">
        <v>151</v>
      </c>
      <c r="H1129" t="s">
        <v>141</v>
      </c>
      <c r="I1129" t="s">
        <v>45</v>
      </c>
      <c r="R1129" t="s">
        <v>142</v>
      </c>
      <c r="T1129">
        <v>4269640</v>
      </c>
      <c r="U1129">
        <v>4797080969</v>
      </c>
      <c r="V1129" t="s">
        <v>152</v>
      </c>
      <c r="W1129" t="s">
        <v>153</v>
      </c>
      <c r="X1129" t="s">
        <v>154</v>
      </c>
      <c r="Z1129">
        <v>1926</v>
      </c>
      <c r="AH1129">
        <v>0</v>
      </c>
      <c r="AL1129">
        <v>1</v>
      </c>
      <c r="AO1129">
        <v>0</v>
      </c>
      <c r="AP1129" t="s">
        <v>3015</v>
      </c>
      <c r="AQ1129" t="s">
        <v>3035</v>
      </c>
      <c r="AR1129" t="s">
        <v>3036</v>
      </c>
      <c r="AT1129" t="s">
        <v>3017</v>
      </c>
      <c r="AU1129" t="s">
        <v>3037</v>
      </c>
    </row>
    <row r="1130" spans="1:47" x14ac:dyDescent="0.35">
      <c r="A1130">
        <v>349169</v>
      </c>
      <c r="B1130" t="s">
        <v>138</v>
      </c>
      <c r="C1130" t="s">
        <v>139</v>
      </c>
      <c r="D1130" s="2">
        <v>45822</v>
      </c>
      <c r="E1130">
        <v>53850</v>
      </c>
      <c r="F1130">
        <v>105</v>
      </c>
      <c r="G1130" t="s">
        <v>60</v>
      </c>
      <c r="H1130" t="s">
        <v>141</v>
      </c>
      <c r="I1130" t="s">
        <v>45</v>
      </c>
      <c r="R1130" t="s">
        <v>142</v>
      </c>
      <c r="T1130">
        <v>4263360</v>
      </c>
      <c r="U1130">
        <v>5982300724</v>
      </c>
      <c r="V1130" t="s">
        <v>61</v>
      </c>
      <c r="W1130" t="s">
        <v>49</v>
      </c>
      <c r="X1130" t="s">
        <v>160</v>
      </c>
      <c r="Z1130">
        <v>1058</v>
      </c>
      <c r="AH1130">
        <v>0</v>
      </c>
      <c r="AL1130">
        <v>1</v>
      </c>
      <c r="AO1130">
        <v>0</v>
      </c>
      <c r="AP1130" t="s">
        <v>3015</v>
      </c>
      <c r="AQ1130" t="s">
        <v>3012</v>
      </c>
      <c r="AR1130" t="s">
        <v>3016</v>
      </c>
      <c r="AT1130" t="s">
        <v>3017</v>
      </c>
      <c r="AU1130" t="s">
        <v>3018</v>
      </c>
    </row>
    <row r="1131" spans="1:47" x14ac:dyDescent="0.35">
      <c r="A1131">
        <v>349163</v>
      </c>
      <c r="B1131" t="s">
        <v>138</v>
      </c>
      <c r="C1131" t="s">
        <v>139</v>
      </c>
      <c r="D1131" s="2">
        <v>45822</v>
      </c>
      <c r="E1131">
        <v>53850</v>
      </c>
      <c r="F1131">
        <v>199</v>
      </c>
      <c r="G1131" t="s">
        <v>473</v>
      </c>
      <c r="H1131" t="s">
        <v>141</v>
      </c>
      <c r="I1131" t="s">
        <v>45</v>
      </c>
      <c r="R1131" t="s">
        <v>142</v>
      </c>
      <c r="T1131">
        <v>4862196</v>
      </c>
      <c r="U1131">
        <v>1430150746</v>
      </c>
      <c r="V1131" t="s">
        <v>1319</v>
      </c>
      <c r="W1131" t="s">
        <v>49</v>
      </c>
      <c r="X1131" t="s">
        <v>1320</v>
      </c>
      <c r="Z1131">
        <v>1627</v>
      </c>
      <c r="AH1131">
        <v>0</v>
      </c>
      <c r="AL1131">
        <v>1</v>
      </c>
      <c r="AO1131">
        <v>0</v>
      </c>
      <c r="AP1131" t="s">
        <v>3015</v>
      </c>
      <c r="AQ1131" t="s">
        <v>3012</v>
      </c>
      <c r="AR1131" t="s">
        <v>3016</v>
      </c>
      <c r="AT1131" t="s">
        <v>3017</v>
      </c>
      <c r="AU1131" t="s">
        <v>3018</v>
      </c>
    </row>
    <row r="1132" spans="1:47" x14ac:dyDescent="0.35">
      <c r="A1132">
        <v>349130</v>
      </c>
      <c r="B1132" t="s">
        <v>138</v>
      </c>
      <c r="C1132" t="s">
        <v>139</v>
      </c>
      <c r="D1132" s="2">
        <v>45822</v>
      </c>
      <c r="E1132">
        <v>53850</v>
      </c>
      <c r="F1132">
        <v>102</v>
      </c>
      <c r="G1132" t="s">
        <v>151</v>
      </c>
      <c r="H1132" t="s">
        <v>141</v>
      </c>
      <c r="I1132" t="s">
        <v>45</v>
      </c>
      <c r="R1132" t="s">
        <v>142</v>
      </c>
      <c r="T1132">
        <v>11382</v>
      </c>
      <c r="U1132">
        <v>252420724</v>
      </c>
      <c r="V1132" t="s">
        <v>1010</v>
      </c>
      <c r="W1132" t="s">
        <v>49</v>
      </c>
      <c r="X1132" t="s">
        <v>1321</v>
      </c>
      <c r="Z1132">
        <v>1203</v>
      </c>
      <c r="AH1132">
        <v>0</v>
      </c>
      <c r="AL1132">
        <v>1</v>
      </c>
      <c r="AO1132">
        <v>0</v>
      </c>
      <c r="AP1132" t="s">
        <v>3015</v>
      </c>
      <c r="AQ1132" t="s">
        <v>3012</v>
      </c>
      <c r="AR1132" t="s">
        <v>3016</v>
      </c>
      <c r="AT1132" t="s">
        <v>3017</v>
      </c>
      <c r="AU1132" t="s">
        <v>3018</v>
      </c>
    </row>
    <row r="1133" spans="1:47" x14ac:dyDescent="0.35">
      <c r="A1133">
        <v>349102</v>
      </c>
      <c r="B1133" t="s">
        <v>138</v>
      </c>
      <c r="C1133" t="s">
        <v>139</v>
      </c>
      <c r="D1133" s="2">
        <v>45822</v>
      </c>
      <c r="E1133">
        <v>53850</v>
      </c>
      <c r="F1133">
        <v>102</v>
      </c>
      <c r="G1133" t="s">
        <v>151</v>
      </c>
      <c r="H1133" t="s">
        <v>141</v>
      </c>
      <c r="I1133" t="s">
        <v>45</v>
      </c>
      <c r="R1133" t="s">
        <v>142</v>
      </c>
      <c r="T1133">
        <v>4269640</v>
      </c>
      <c r="U1133">
        <v>4797080969</v>
      </c>
      <c r="V1133" t="s">
        <v>152</v>
      </c>
      <c r="W1133" t="s">
        <v>153</v>
      </c>
      <c r="X1133" t="s">
        <v>154</v>
      </c>
      <c r="Z1133">
        <v>1926</v>
      </c>
      <c r="AH1133">
        <v>0</v>
      </c>
      <c r="AL1133">
        <v>1</v>
      </c>
      <c r="AO1133">
        <v>0</v>
      </c>
      <c r="AP1133" t="s">
        <v>3015</v>
      </c>
      <c r="AQ1133" t="s">
        <v>3035</v>
      </c>
      <c r="AR1133" t="s">
        <v>3036</v>
      </c>
      <c r="AT1133" t="s">
        <v>3017</v>
      </c>
      <c r="AU1133" t="s">
        <v>3037</v>
      </c>
    </row>
    <row r="1134" spans="1:47" x14ac:dyDescent="0.35">
      <c r="A1134">
        <v>349085</v>
      </c>
      <c r="B1134" t="s">
        <v>138</v>
      </c>
      <c r="C1134" t="s">
        <v>139</v>
      </c>
      <c r="D1134" s="2">
        <v>45822</v>
      </c>
      <c r="E1134">
        <v>53850</v>
      </c>
      <c r="F1134">
        <v>109</v>
      </c>
      <c r="G1134" t="s">
        <v>89</v>
      </c>
      <c r="H1134" t="s">
        <v>141</v>
      </c>
      <c r="I1134" t="s">
        <v>45</v>
      </c>
      <c r="R1134" t="s">
        <v>142</v>
      </c>
      <c r="T1134">
        <v>4536482</v>
      </c>
      <c r="U1134">
        <v>268480720</v>
      </c>
      <c r="V1134" t="s">
        <v>158</v>
      </c>
      <c r="W1134" t="s">
        <v>49</v>
      </c>
      <c r="X1134" t="s">
        <v>159</v>
      </c>
      <c r="Z1134">
        <v>1919</v>
      </c>
      <c r="AH1134">
        <v>0</v>
      </c>
      <c r="AL1134">
        <v>1</v>
      </c>
      <c r="AO1134">
        <v>0</v>
      </c>
      <c r="AP1134" t="s">
        <v>1100</v>
      </c>
      <c r="AQ1134" t="s">
        <v>3012</v>
      </c>
      <c r="AR1134" t="s">
        <v>3023</v>
      </c>
      <c r="AS1134" t="s">
        <v>3014</v>
      </c>
      <c r="AU1134" t="s">
        <v>3014</v>
      </c>
    </row>
    <row r="1135" spans="1:47" x14ac:dyDescent="0.35">
      <c r="A1135">
        <v>349051</v>
      </c>
      <c r="B1135" t="s">
        <v>138</v>
      </c>
      <c r="C1135" t="s">
        <v>139</v>
      </c>
      <c r="D1135" s="2">
        <v>45822</v>
      </c>
      <c r="E1135">
        <v>53850</v>
      </c>
      <c r="F1135">
        <v>187</v>
      </c>
      <c r="G1135" t="s">
        <v>251</v>
      </c>
      <c r="H1135" t="s">
        <v>141</v>
      </c>
      <c r="I1135" t="s">
        <v>45</v>
      </c>
      <c r="R1135" t="s">
        <v>142</v>
      </c>
      <c r="T1135">
        <v>3004644</v>
      </c>
      <c r="U1135">
        <v>80008750731</v>
      </c>
      <c r="V1135" t="s">
        <v>252</v>
      </c>
      <c r="W1135" t="s">
        <v>253</v>
      </c>
      <c r="Z1135">
        <v>1627</v>
      </c>
      <c r="AH1135">
        <v>0</v>
      </c>
      <c r="AL1135">
        <v>1</v>
      </c>
      <c r="AO1135">
        <v>0</v>
      </c>
      <c r="AP1135" t="s">
        <v>3015</v>
      </c>
      <c r="AQ1135" t="s">
        <v>3052</v>
      </c>
      <c r="AR1135" t="s">
        <v>3053</v>
      </c>
      <c r="AS1135" t="s">
        <v>3037</v>
      </c>
      <c r="AU1135" t="s">
        <v>3037</v>
      </c>
    </row>
    <row r="1136" spans="1:47" x14ac:dyDescent="0.35">
      <c r="A1136">
        <v>349045</v>
      </c>
      <c r="B1136" t="s">
        <v>138</v>
      </c>
      <c r="C1136" t="s">
        <v>139</v>
      </c>
      <c r="D1136" s="2">
        <v>45822</v>
      </c>
      <c r="E1136">
        <v>53850</v>
      </c>
      <c r="F1136">
        <v>190</v>
      </c>
      <c r="G1136" t="s">
        <v>145</v>
      </c>
      <c r="H1136" t="s">
        <v>141</v>
      </c>
      <c r="I1136" t="s">
        <v>45</v>
      </c>
      <c r="R1136" t="s">
        <v>142</v>
      </c>
      <c r="T1136">
        <v>4884959</v>
      </c>
      <c r="U1136">
        <v>6732580722</v>
      </c>
      <c r="V1136" t="s">
        <v>146</v>
      </c>
      <c r="W1136" t="s">
        <v>49</v>
      </c>
      <c r="X1136" t="s">
        <v>147</v>
      </c>
      <c r="Z1136">
        <v>1926</v>
      </c>
      <c r="AH1136">
        <v>0</v>
      </c>
      <c r="AL1136">
        <v>1</v>
      </c>
      <c r="AO1136">
        <v>0</v>
      </c>
      <c r="AP1136" t="s">
        <v>3015</v>
      </c>
      <c r="AQ1136" t="s">
        <v>3012</v>
      </c>
      <c r="AR1136" t="s">
        <v>3016</v>
      </c>
      <c r="AT1136" t="s">
        <v>3017</v>
      </c>
      <c r="AU1136" t="s">
        <v>3018</v>
      </c>
    </row>
    <row r="1137" spans="1:47" x14ac:dyDescent="0.35">
      <c r="A1137">
        <v>349037</v>
      </c>
      <c r="B1137" t="s">
        <v>138</v>
      </c>
      <c r="C1137" t="s">
        <v>139</v>
      </c>
      <c r="D1137" s="2">
        <v>45822</v>
      </c>
      <c r="E1137">
        <v>53850</v>
      </c>
      <c r="F1137">
        <v>102</v>
      </c>
      <c r="G1137" t="s">
        <v>151</v>
      </c>
      <c r="H1137" t="s">
        <v>141</v>
      </c>
      <c r="I1137" t="s">
        <v>45</v>
      </c>
      <c r="R1137" t="s">
        <v>142</v>
      </c>
      <c r="T1137">
        <v>3726777</v>
      </c>
      <c r="U1137">
        <v>8920410720</v>
      </c>
      <c r="V1137" t="s">
        <v>155</v>
      </c>
      <c r="W1137" t="s">
        <v>156</v>
      </c>
      <c r="X1137" t="s">
        <v>157</v>
      </c>
      <c r="Z1137">
        <v>739</v>
      </c>
      <c r="AH1137">
        <v>0</v>
      </c>
      <c r="AL1137">
        <v>1</v>
      </c>
      <c r="AO1137">
        <v>0</v>
      </c>
      <c r="AP1137" t="s">
        <v>3015</v>
      </c>
      <c r="AQ1137" t="s">
        <v>3038</v>
      </c>
      <c r="AR1137" t="s">
        <v>3039</v>
      </c>
      <c r="AT1137" t="s">
        <v>3017</v>
      </c>
      <c r="AU1137" t="s">
        <v>3037</v>
      </c>
    </row>
    <row r="1138" spans="1:47" x14ac:dyDescent="0.35">
      <c r="A1138">
        <v>349031</v>
      </c>
      <c r="B1138" t="s">
        <v>138</v>
      </c>
      <c r="C1138" t="s">
        <v>139</v>
      </c>
      <c r="D1138" s="2">
        <v>45822</v>
      </c>
      <c r="E1138">
        <v>53850</v>
      </c>
      <c r="F1138">
        <v>190</v>
      </c>
      <c r="G1138" t="s">
        <v>145</v>
      </c>
      <c r="H1138" t="s">
        <v>141</v>
      </c>
      <c r="I1138" t="s">
        <v>45</v>
      </c>
      <c r="R1138" t="s">
        <v>142</v>
      </c>
      <c r="T1138">
        <v>4884959</v>
      </c>
      <c r="U1138">
        <v>6732580722</v>
      </c>
      <c r="V1138" t="s">
        <v>146</v>
      </c>
      <c r="W1138" t="s">
        <v>49</v>
      </c>
      <c r="X1138" t="s">
        <v>147</v>
      </c>
      <c r="Z1138">
        <v>1926</v>
      </c>
      <c r="AH1138">
        <v>0</v>
      </c>
      <c r="AL1138">
        <v>1</v>
      </c>
      <c r="AO1138">
        <v>0</v>
      </c>
      <c r="AP1138" t="s">
        <v>3015</v>
      </c>
      <c r="AQ1138" t="s">
        <v>3012</v>
      </c>
      <c r="AR1138" t="s">
        <v>3016</v>
      </c>
      <c r="AT1138" t="s">
        <v>3017</v>
      </c>
      <c r="AU1138" t="s">
        <v>3018</v>
      </c>
    </row>
    <row r="1139" spans="1:47" x14ac:dyDescent="0.35">
      <c r="A1139">
        <v>349013</v>
      </c>
      <c r="B1139" t="s">
        <v>138</v>
      </c>
      <c r="C1139" t="s">
        <v>139</v>
      </c>
      <c r="D1139" s="2">
        <v>45822</v>
      </c>
      <c r="E1139">
        <v>53850</v>
      </c>
      <c r="F1139">
        <v>102</v>
      </c>
      <c r="G1139" t="s">
        <v>151</v>
      </c>
      <c r="H1139" t="s">
        <v>141</v>
      </c>
      <c r="I1139" t="s">
        <v>45</v>
      </c>
      <c r="R1139" t="s">
        <v>142</v>
      </c>
      <c r="T1139">
        <v>3726777</v>
      </c>
      <c r="U1139">
        <v>8920410720</v>
      </c>
      <c r="V1139" t="s">
        <v>155</v>
      </c>
      <c r="W1139" t="s">
        <v>156</v>
      </c>
      <c r="X1139" t="s">
        <v>157</v>
      </c>
      <c r="Z1139">
        <v>739</v>
      </c>
      <c r="AH1139">
        <v>0</v>
      </c>
      <c r="AL1139">
        <v>1</v>
      </c>
      <c r="AO1139">
        <v>0</v>
      </c>
      <c r="AP1139" t="s">
        <v>3015</v>
      </c>
      <c r="AQ1139" t="s">
        <v>3038</v>
      </c>
      <c r="AR1139" t="s">
        <v>3039</v>
      </c>
      <c r="AT1139" t="s">
        <v>3017</v>
      </c>
      <c r="AU1139" t="s">
        <v>3037</v>
      </c>
    </row>
    <row r="1140" spans="1:47" x14ac:dyDescent="0.35">
      <c r="A1140">
        <v>348562</v>
      </c>
      <c r="B1140" t="s">
        <v>193</v>
      </c>
      <c r="C1140" t="s">
        <v>194</v>
      </c>
      <c r="D1140" s="2">
        <v>45812</v>
      </c>
      <c r="E1140">
        <v>53850</v>
      </c>
      <c r="F1140">
        <v>128</v>
      </c>
      <c r="G1140" t="s">
        <v>94</v>
      </c>
      <c r="H1140" t="s">
        <v>167</v>
      </c>
      <c r="I1140" t="s">
        <v>45</v>
      </c>
      <c r="K1140">
        <v>202505318034753</v>
      </c>
      <c r="L1140">
        <v>1283300003941</v>
      </c>
      <c r="M1140">
        <v>20250531</v>
      </c>
      <c r="N1140" t="s">
        <v>195</v>
      </c>
      <c r="Q1140" t="s">
        <v>47</v>
      </c>
      <c r="R1140">
        <v>31650</v>
      </c>
      <c r="S1140">
        <v>31650</v>
      </c>
      <c r="T1140">
        <v>4916499</v>
      </c>
      <c r="U1140" t="s">
        <v>382</v>
      </c>
      <c r="V1140" t="s">
        <v>383</v>
      </c>
      <c r="W1140" t="s">
        <v>69</v>
      </c>
      <c r="X1140" t="s">
        <v>55</v>
      </c>
      <c r="Y1140" t="s">
        <v>51</v>
      </c>
      <c r="Z1140">
        <v>1166</v>
      </c>
      <c r="AH1140">
        <v>0</v>
      </c>
      <c r="AI1140">
        <v>202505</v>
      </c>
      <c r="AJ1140" t="s">
        <v>56</v>
      </c>
      <c r="AK1140">
        <v>0</v>
      </c>
      <c r="AL1140">
        <v>1</v>
      </c>
      <c r="AM1140">
        <v>4916499</v>
      </c>
      <c r="AN1140">
        <v>1</v>
      </c>
      <c r="AO1140">
        <v>0</v>
      </c>
      <c r="AP1140" t="s">
        <v>3015</v>
      </c>
      <c r="AQ1140" t="s">
        <v>3021</v>
      </c>
      <c r="AR1140" t="s">
        <v>3022</v>
      </c>
      <c r="AT1140" t="s">
        <v>3017</v>
      </c>
      <c r="AU1140" t="s">
        <v>3014</v>
      </c>
    </row>
    <row r="1141" spans="1:47" x14ac:dyDescent="0.35">
      <c r="A1141">
        <v>348561</v>
      </c>
      <c r="B1141" t="s">
        <v>193</v>
      </c>
      <c r="C1141" t="s">
        <v>194</v>
      </c>
      <c r="D1141" s="2">
        <v>45812</v>
      </c>
      <c r="E1141">
        <v>53850</v>
      </c>
      <c r="F1141">
        <v>117</v>
      </c>
      <c r="G1141" t="s">
        <v>490</v>
      </c>
      <c r="H1141" t="s">
        <v>167</v>
      </c>
      <c r="I1141" t="s">
        <v>45</v>
      </c>
      <c r="K1141" t="s">
        <v>1322</v>
      </c>
      <c r="L1141">
        <v>1173300538726</v>
      </c>
      <c r="M1141">
        <v>20250531</v>
      </c>
      <c r="N1141" t="s">
        <v>195</v>
      </c>
      <c r="Q1141" t="s">
        <v>47</v>
      </c>
      <c r="R1141">
        <v>39880</v>
      </c>
      <c r="S1141">
        <v>39880</v>
      </c>
      <c r="T1141">
        <v>4784989</v>
      </c>
      <c r="U1141">
        <v>1269590772</v>
      </c>
      <c r="V1141" t="s">
        <v>492</v>
      </c>
      <c r="W1141" t="s">
        <v>49</v>
      </c>
      <c r="X1141" t="s">
        <v>413</v>
      </c>
      <c r="Y1141" t="s">
        <v>51</v>
      </c>
      <c r="Z1141">
        <v>1926</v>
      </c>
      <c r="AH1141">
        <v>0</v>
      </c>
      <c r="AI1141">
        <v>202505</v>
      </c>
      <c r="AJ1141" t="s">
        <v>56</v>
      </c>
      <c r="AK1141">
        <v>0</v>
      </c>
      <c r="AL1141">
        <v>1</v>
      </c>
      <c r="AM1141">
        <v>4784989</v>
      </c>
      <c r="AN1141">
        <v>1</v>
      </c>
      <c r="AO1141">
        <v>0</v>
      </c>
      <c r="AP1141" t="s">
        <v>3015</v>
      </c>
      <c r="AQ1141" t="s">
        <v>3012</v>
      </c>
      <c r="AR1141" t="s">
        <v>3016</v>
      </c>
      <c r="AT1141" t="s">
        <v>3017</v>
      </c>
      <c r="AU1141" t="s">
        <v>3018</v>
      </c>
    </row>
    <row r="1142" spans="1:47" x14ac:dyDescent="0.35">
      <c r="A1142">
        <v>348560</v>
      </c>
      <c r="B1142" t="s">
        <v>164</v>
      </c>
      <c r="C1142" t="s">
        <v>165</v>
      </c>
      <c r="D1142" s="2">
        <v>45812</v>
      </c>
      <c r="E1142">
        <v>53850</v>
      </c>
      <c r="F1142">
        <v>147</v>
      </c>
      <c r="G1142" t="s">
        <v>771</v>
      </c>
      <c r="H1142" t="s">
        <v>167</v>
      </c>
      <c r="I1142" t="s">
        <v>45</v>
      </c>
      <c r="K1142" t="s">
        <v>1323</v>
      </c>
      <c r="L1142">
        <v>1473300005217</v>
      </c>
      <c r="M1142">
        <v>20250530</v>
      </c>
      <c r="N1142" t="s">
        <v>168</v>
      </c>
      <c r="P1142" t="s">
        <v>255</v>
      </c>
      <c r="Q1142" t="s">
        <v>170</v>
      </c>
      <c r="R1142">
        <v>1000</v>
      </c>
      <c r="S1142">
        <v>0</v>
      </c>
      <c r="T1142">
        <v>3724704</v>
      </c>
      <c r="U1142">
        <v>4306130610</v>
      </c>
      <c r="V1142" t="s">
        <v>773</v>
      </c>
      <c r="W1142" t="s">
        <v>49</v>
      </c>
      <c r="X1142" t="s">
        <v>686</v>
      </c>
      <c r="Y1142" t="s">
        <v>51</v>
      </c>
      <c r="Z1142">
        <v>1196</v>
      </c>
      <c r="AH1142">
        <v>0</v>
      </c>
      <c r="AI1142">
        <v>202505</v>
      </c>
      <c r="AJ1142" t="s">
        <v>52</v>
      </c>
      <c r="AK1142">
        <v>0</v>
      </c>
      <c r="AL1142">
        <v>1</v>
      </c>
      <c r="AO1142">
        <v>0</v>
      </c>
      <c r="AP1142" t="s">
        <v>3015</v>
      </c>
      <c r="AQ1142" t="s">
        <v>3012</v>
      </c>
      <c r="AR1142" t="s">
        <v>3016</v>
      </c>
      <c r="AT1142" t="s">
        <v>3017</v>
      </c>
      <c r="AU1142" t="s">
        <v>3018</v>
      </c>
    </row>
    <row r="1143" spans="1:47" x14ac:dyDescent="0.35">
      <c r="A1143">
        <v>348559</v>
      </c>
      <c r="B1143" t="s">
        <v>164</v>
      </c>
      <c r="C1143" t="s">
        <v>165</v>
      </c>
      <c r="D1143" s="2">
        <v>45812</v>
      </c>
      <c r="E1143">
        <v>53850</v>
      </c>
      <c r="F1143">
        <v>168</v>
      </c>
      <c r="G1143" t="s">
        <v>616</v>
      </c>
      <c r="H1143" t="s">
        <v>167</v>
      </c>
      <c r="I1143" t="s">
        <v>45</v>
      </c>
      <c r="K1143" t="s">
        <v>1324</v>
      </c>
      <c r="L1143">
        <v>1683306277308</v>
      </c>
      <c r="M1143">
        <v>20250530</v>
      </c>
      <c r="N1143" t="s">
        <v>168</v>
      </c>
      <c r="P1143" t="s">
        <v>255</v>
      </c>
      <c r="Q1143" t="s">
        <v>170</v>
      </c>
      <c r="R1143">
        <v>2100</v>
      </c>
      <c r="S1143">
        <v>0</v>
      </c>
      <c r="T1143">
        <v>4950606</v>
      </c>
      <c r="U1143">
        <v>7856760728</v>
      </c>
      <c r="V1143" t="s">
        <v>1325</v>
      </c>
      <c r="W1143" t="s">
        <v>49</v>
      </c>
      <c r="X1143" t="s">
        <v>686</v>
      </c>
      <c r="Y1143" t="s">
        <v>51</v>
      </c>
      <c r="Z1143">
        <v>1926</v>
      </c>
      <c r="AH1143">
        <v>0</v>
      </c>
      <c r="AI1143">
        <v>202505</v>
      </c>
      <c r="AJ1143" t="s">
        <v>86</v>
      </c>
      <c r="AK1143">
        <v>1</v>
      </c>
      <c r="AL1143">
        <v>1</v>
      </c>
      <c r="AO1143">
        <v>0</v>
      </c>
      <c r="AP1143" t="s">
        <v>3015</v>
      </c>
      <c r="AQ1143" t="s">
        <v>3012</v>
      </c>
      <c r="AR1143" t="s">
        <v>3016</v>
      </c>
      <c r="AT1143" t="s">
        <v>3017</v>
      </c>
      <c r="AU1143" t="s">
        <v>3018</v>
      </c>
    </row>
    <row r="1144" spans="1:47" x14ac:dyDescent="0.35">
      <c r="A1144">
        <v>348558</v>
      </c>
      <c r="B1144" t="s">
        <v>178</v>
      </c>
      <c r="C1144" t="s">
        <v>179</v>
      </c>
      <c r="D1144" s="2">
        <v>45812</v>
      </c>
      <c r="E1144">
        <v>53850</v>
      </c>
      <c r="F1144">
        <v>190</v>
      </c>
      <c r="G1144" t="s">
        <v>145</v>
      </c>
      <c r="H1144" t="s">
        <v>167</v>
      </c>
      <c r="I1144" t="s">
        <v>45</v>
      </c>
      <c r="K1144">
        <v>202505298034361</v>
      </c>
      <c r="L1144">
        <v>1900050025418</v>
      </c>
      <c r="M1144">
        <v>20250529</v>
      </c>
      <c r="N1144" t="s">
        <v>1326</v>
      </c>
      <c r="Q1144" t="s">
        <v>47</v>
      </c>
      <c r="R1144">
        <v>499974.96</v>
      </c>
      <c r="S1144">
        <v>0</v>
      </c>
      <c r="T1144">
        <v>3018135</v>
      </c>
      <c r="U1144" t="s">
        <v>1327</v>
      </c>
      <c r="V1144" t="s">
        <v>1328</v>
      </c>
      <c r="W1144" t="s">
        <v>69</v>
      </c>
      <c r="X1144" t="s">
        <v>234</v>
      </c>
      <c r="Y1144" t="s">
        <v>51</v>
      </c>
      <c r="Z1144">
        <v>828</v>
      </c>
      <c r="AH1144">
        <v>0</v>
      </c>
      <c r="AI1144">
        <v>202505</v>
      </c>
      <c r="AJ1144" t="s">
        <v>86</v>
      </c>
      <c r="AK1144">
        <v>1</v>
      </c>
      <c r="AL1144">
        <v>1</v>
      </c>
      <c r="AO1144">
        <v>0</v>
      </c>
      <c r="AP1144" t="s">
        <v>3015</v>
      </c>
      <c r="AQ1144" t="s">
        <v>3021</v>
      </c>
      <c r="AR1144" t="s">
        <v>3022</v>
      </c>
      <c r="AT1144" t="s">
        <v>3017</v>
      </c>
      <c r="AU1144" t="s">
        <v>3014</v>
      </c>
    </row>
    <row r="1145" spans="1:47" x14ac:dyDescent="0.35">
      <c r="A1145">
        <v>348550</v>
      </c>
      <c r="B1145" t="s">
        <v>164</v>
      </c>
      <c r="C1145" t="s">
        <v>165</v>
      </c>
      <c r="D1145" s="2">
        <v>45808</v>
      </c>
      <c r="E1145">
        <v>53850</v>
      </c>
      <c r="F1145">
        <v>171</v>
      </c>
      <c r="G1145" t="s">
        <v>198</v>
      </c>
      <c r="H1145" t="s">
        <v>167</v>
      </c>
      <c r="I1145" t="s">
        <v>45</v>
      </c>
      <c r="K1145">
        <v>202505308024312</v>
      </c>
      <c r="L1145">
        <v>1713302213842</v>
      </c>
      <c r="M1145">
        <v>20250530</v>
      </c>
      <c r="N1145" t="s">
        <v>168</v>
      </c>
      <c r="P1145" t="s">
        <v>255</v>
      </c>
      <c r="Q1145" t="s">
        <v>170</v>
      </c>
      <c r="R1145">
        <v>13206</v>
      </c>
      <c r="S1145">
        <v>0</v>
      </c>
      <c r="T1145">
        <v>4148505</v>
      </c>
      <c r="U1145">
        <v>5848860721</v>
      </c>
      <c r="V1145" t="s">
        <v>1281</v>
      </c>
      <c r="W1145" t="s">
        <v>49</v>
      </c>
      <c r="X1145" t="s">
        <v>260</v>
      </c>
      <c r="Y1145" t="s">
        <v>51</v>
      </c>
      <c r="Z1145">
        <v>1903</v>
      </c>
      <c r="AH1145">
        <v>0</v>
      </c>
      <c r="AI1145">
        <v>202505</v>
      </c>
      <c r="AJ1145" t="s">
        <v>114</v>
      </c>
      <c r="AK1145">
        <v>1</v>
      </c>
      <c r="AL1145">
        <v>1</v>
      </c>
      <c r="AO1145">
        <v>0</v>
      </c>
      <c r="AP1145" t="s">
        <v>3015</v>
      </c>
      <c r="AQ1145" t="s">
        <v>3012</v>
      </c>
      <c r="AR1145" t="s">
        <v>3016</v>
      </c>
      <c r="AT1145" t="s">
        <v>3017</v>
      </c>
      <c r="AU1145" t="s">
        <v>3018</v>
      </c>
    </row>
    <row r="1146" spans="1:47" x14ac:dyDescent="0.35">
      <c r="A1146">
        <v>348549</v>
      </c>
      <c r="B1146" t="s">
        <v>172</v>
      </c>
      <c r="C1146" t="s">
        <v>173</v>
      </c>
      <c r="D1146" s="2">
        <v>45808</v>
      </c>
      <c r="E1146">
        <v>53850</v>
      </c>
      <c r="F1146">
        <v>187</v>
      </c>
      <c r="G1146" t="s">
        <v>251</v>
      </c>
      <c r="H1146" t="s">
        <v>167</v>
      </c>
      <c r="I1146" t="s">
        <v>45</v>
      </c>
      <c r="K1146">
        <v>202505308027709</v>
      </c>
      <c r="L1146">
        <v>1873300124079</v>
      </c>
      <c r="M1146">
        <v>20250530</v>
      </c>
      <c r="N1146" t="s">
        <v>231</v>
      </c>
      <c r="Q1146" t="s">
        <v>47</v>
      </c>
      <c r="R1146">
        <v>200000</v>
      </c>
      <c r="S1146">
        <v>0</v>
      </c>
      <c r="T1146">
        <v>4085572</v>
      </c>
      <c r="U1146" t="s">
        <v>1329</v>
      </c>
      <c r="V1146" t="s">
        <v>1330</v>
      </c>
      <c r="W1146" t="s">
        <v>187</v>
      </c>
      <c r="Y1146" t="s">
        <v>51</v>
      </c>
      <c r="Z1146">
        <v>478</v>
      </c>
      <c r="AH1146">
        <v>0</v>
      </c>
      <c r="AI1146">
        <v>202505</v>
      </c>
      <c r="AL1146">
        <v>1</v>
      </c>
      <c r="AO1146">
        <v>0</v>
      </c>
      <c r="AP1146" t="s">
        <v>3015</v>
      </c>
      <c r="AQ1146" t="s">
        <v>3044</v>
      </c>
      <c r="AR1146" t="s">
        <v>3045</v>
      </c>
      <c r="AS1146" t="s">
        <v>3046</v>
      </c>
      <c r="AU1146" t="s">
        <v>3046</v>
      </c>
    </row>
    <row r="1147" spans="1:47" x14ac:dyDescent="0.35">
      <c r="A1147">
        <v>348548</v>
      </c>
      <c r="B1147" t="s">
        <v>193</v>
      </c>
      <c r="C1147" t="s">
        <v>194</v>
      </c>
      <c r="D1147" s="2">
        <v>45808</v>
      </c>
      <c r="E1147">
        <v>53850</v>
      </c>
      <c r="F1147">
        <v>171</v>
      </c>
      <c r="G1147" t="s">
        <v>198</v>
      </c>
      <c r="H1147" t="s">
        <v>167</v>
      </c>
      <c r="I1147" t="s">
        <v>45</v>
      </c>
      <c r="K1147" t="s">
        <v>1331</v>
      </c>
      <c r="L1147">
        <v>1713305728950</v>
      </c>
      <c r="M1147">
        <v>20250530</v>
      </c>
      <c r="N1147" t="s">
        <v>195</v>
      </c>
      <c r="Q1147" t="s">
        <v>47</v>
      </c>
      <c r="R1147">
        <v>369560.4</v>
      </c>
      <c r="S1147">
        <v>369560.4</v>
      </c>
      <c r="T1147">
        <v>572895</v>
      </c>
      <c r="U1147">
        <v>4161600723</v>
      </c>
      <c r="V1147" t="s">
        <v>199</v>
      </c>
      <c r="W1147" t="s">
        <v>49</v>
      </c>
      <c r="X1147" t="s">
        <v>200</v>
      </c>
      <c r="Y1147" t="s">
        <v>51</v>
      </c>
      <c r="Z1147">
        <v>1903</v>
      </c>
      <c r="AH1147">
        <v>0</v>
      </c>
      <c r="AI1147">
        <v>202505</v>
      </c>
      <c r="AJ1147" t="s">
        <v>86</v>
      </c>
      <c r="AK1147">
        <v>1</v>
      </c>
      <c r="AL1147">
        <v>1</v>
      </c>
      <c r="AM1147">
        <v>572895</v>
      </c>
      <c r="AN1147">
        <v>1</v>
      </c>
      <c r="AO1147">
        <v>0</v>
      </c>
      <c r="AP1147" t="s">
        <v>3015</v>
      </c>
      <c r="AQ1147" t="s">
        <v>3012</v>
      </c>
      <c r="AR1147" t="s">
        <v>3016</v>
      </c>
      <c r="AT1147" t="s">
        <v>3017</v>
      </c>
      <c r="AU1147" t="s">
        <v>3018</v>
      </c>
    </row>
    <row r="1148" spans="1:47" x14ac:dyDescent="0.35">
      <c r="A1148">
        <v>348547</v>
      </c>
      <c r="B1148" t="s">
        <v>178</v>
      </c>
      <c r="C1148" t="s">
        <v>179</v>
      </c>
      <c r="D1148" s="2">
        <v>45808</v>
      </c>
      <c r="E1148">
        <v>53850</v>
      </c>
      <c r="F1148">
        <v>189</v>
      </c>
      <c r="G1148" t="s">
        <v>286</v>
      </c>
      <c r="H1148" t="s">
        <v>167</v>
      </c>
      <c r="I1148" t="s">
        <v>45</v>
      </c>
      <c r="K1148">
        <v>202505308027189</v>
      </c>
      <c r="L1148">
        <v>1893300017217</v>
      </c>
      <c r="M1148">
        <v>20250530</v>
      </c>
      <c r="N1148" t="s">
        <v>3136</v>
      </c>
      <c r="Q1148" t="s">
        <v>170</v>
      </c>
      <c r="R1148">
        <v>12138.63</v>
      </c>
      <c r="S1148">
        <v>0</v>
      </c>
      <c r="T1148">
        <v>4351680</v>
      </c>
      <c r="U1148" t="s">
        <v>1332</v>
      </c>
      <c r="V1148" t="s">
        <v>1333</v>
      </c>
      <c r="W1148" t="s">
        <v>187</v>
      </c>
      <c r="Y1148" t="s">
        <v>51</v>
      </c>
      <c r="Z1148">
        <v>1620</v>
      </c>
      <c r="AH1148">
        <v>0</v>
      </c>
      <c r="AI1148">
        <v>202505</v>
      </c>
      <c r="AL1148">
        <v>1</v>
      </c>
      <c r="AO1148">
        <v>1</v>
      </c>
      <c r="AP1148" t="s">
        <v>3015</v>
      </c>
      <c r="AQ1148" t="s">
        <v>3044</v>
      </c>
      <c r="AR1148" t="s">
        <v>3045</v>
      </c>
      <c r="AS1148" t="s">
        <v>3046</v>
      </c>
      <c r="AU1148" t="s">
        <v>3046</v>
      </c>
    </row>
    <row r="1149" spans="1:47" x14ac:dyDescent="0.35">
      <c r="A1149">
        <v>348546</v>
      </c>
      <c r="B1149" t="s">
        <v>172</v>
      </c>
      <c r="C1149" t="s">
        <v>173</v>
      </c>
      <c r="D1149" s="2">
        <v>45808</v>
      </c>
      <c r="E1149">
        <v>53850</v>
      </c>
      <c r="F1149">
        <v>141</v>
      </c>
      <c r="G1149" t="s">
        <v>105</v>
      </c>
      <c r="H1149" t="s">
        <v>167</v>
      </c>
      <c r="I1149" t="s">
        <v>45</v>
      </c>
      <c r="K1149" t="s">
        <v>1331</v>
      </c>
      <c r="L1149">
        <v>1413300004393</v>
      </c>
      <c r="M1149">
        <v>20250530</v>
      </c>
      <c r="N1149" t="s">
        <v>175</v>
      </c>
      <c r="Q1149" t="s">
        <v>47</v>
      </c>
      <c r="R1149">
        <v>87236.69</v>
      </c>
      <c r="S1149">
        <v>12890</v>
      </c>
      <c r="T1149">
        <v>3743595</v>
      </c>
      <c r="U1149">
        <v>5408440757</v>
      </c>
      <c r="V1149" t="s">
        <v>1334</v>
      </c>
      <c r="W1149" t="s">
        <v>332</v>
      </c>
      <c r="X1149" t="s">
        <v>70</v>
      </c>
      <c r="Y1149" t="s">
        <v>51</v>
      </c>
      <c r="Z1149">
        <v>862</v>
      </c>
      <c r="AH1149">
        <v>0</v>
      </c>
      <c r="AI1149">
        <v>202505</v>
      </c>
      <c r="AJ1149" t="s">
        <v>86</v>
      </c>
      <c r="AK1149">
        <v>1</v>
      </c>
      <c r="AL1149">
        <v>1</v>
      </c>
      <c r="AM1149">
        <v>3743595</v>
      </c>
      <c r="AN1149">
        <v>1</v>
      </c>
      <c r="AO1149">
        <v>1</v>
      </c>
      <c r="AP1149" t="s">
        <v>3015</v>
      </c>
      <c r="AQ1149" t="s">
        <v>3058</v>
      </c>
      <c r="AR1149" t="s">
        <v>3059</v>
      </c>
      <c r="AT1149" t="s">
        <v>3017</v>
      </c>
      <c r="AU1149" t="s">
        <v>3014</v>
      </c>
    </row>
    <row r="1150" spans="1:47" x14ac:dyDescent="0.35">
      <c r="A1150">
        <v>348545</v>
      </c>
      <c r="B1150" t="s">
        <v>172</v>
      </c>
      <c r="C1150" t="s">
        <v>173</v>
      </c>
      <c r="D1150" s="2">
        <v>45808</v>
      </c>
      <c r="E1150">
        <v>53850</v>
      </c>
      <c r="F1150">
        <v>145</v>
      </c>
      <c r="G1150" t="s">
        <v>115</v>
      </c>
      <c r="H1150" t="s">
        <v>167</v>
      </c>
      <c r="I1150" t="s">
        <v>45</v>
      </c>
      <c r="K1150">
        <v>202505308027480</v>
      </c>
      <c r="L1150">
        <v>1453300003755</v>
      </c>
      <c r="M1150">
        <v>20250530</v>
      </c>
      <c r="N1150" t="s">
        <v>231</v>
      </c>
      <c r="Q1150" t="s">
        <v>47</v>
      </c>
      <c r="R1150">
        <v>100000</v>
      </c>
      <c r="S1150">
        <v>0</v>
      </c>
      <c r="T1150">
        <v>4991602</v>
      </c>
      <c r="U1150">
        <v>80153690633</v>
      </c>
      <c r="V1150" t="s">
        <v>1335</v>
      </c>
      <c r="W1150" t="s">
        <v>69</v>
      </c>
      <c r="X1150" t="s">
        <v>1336</v>
      </c>
      <c r="Y1150" t="s">
        <v>51</v>
      </c>
      <c r="Z1150">
        <v>1222</v>
      </c>
      <c r="AH1150">
        <v>0</v>
      </c>
      <c r="AI1150">
        <v>202505</v>
      </c>
      <c r="AL1150">
        <v>1</v>
      </c>
      <c r="AO1150">
        <v>0</v>
      </c>
      <c r="AP1150" t="s">
        <v>3015</v>
      </c>
      <c r="AQ1150" t="s">
        <v>3021</v>
      </c>
      <c r="AR1150" t="s">
        <v>3022</v>
      </c>
      <c r="AT1150" t="s">
        <v>3017</v>
      </c>
      <c r="AU1150" t="s">
        <v>3014</v>
      </c>
    </row>
    <row r="1151" spans="1:47" x14ac:dyDescent="0.35">
      <c r="A1151">
        <v>348544</v>
      </c>
      <c r="B1151" t="s">
        <v>172</v>
      </c>
      <c r="C1151" t="s">
        <v>173</v>
      </c>
      <c r="D1151" s="2">
        <v>45808</v>
      </c>
      <c r="E1151">
        <v>53850</v>
      </c>
      <c r="F1151">
        <v>267</v>
      </c>
      <c r="G1151" t="s">
        <v>349</v>
      </c>
      <c r="H1151" t="s">
        <v>167</v>
      </c>
      <c r="I1151" t="s">
        <v>45</v>
      </c>
      <c r="K1151">
        <v>202505308027801</v>
      </c>
      <c r="L1151">
        <v>2673300000258</v>
      </c>
      <c r="M1151">
        <v>20250530</v>
      </c>
      <c r="N1151" t="s">
        <v>266</v>
      </c>
      <c r="Q1151" t="s">
        <v>47</v>
      </c>
      <c r="R1151">
        <v>244200</v>
      </c>
      <c r="S1151">
        <v>0</v>
      </c>
      <c r="T1151">
        <v>1616725</v>
      </c>
      <c r="U1151">
        <v>2694030798</v>
      </c>
      <c r="V1151" t="s">
        <v>641</v>
      </c>
      <c r="W1151" t="s">
        <v>49</v>
      </c>
      <c r="X1151" t="s">
        <v>200</v>
      </c>
      <c r="Y1151" t="s">
        <v>51</v>
      </c>
      <c r="Z1151">
        <v>1878</v>
      </c>
      <c r="AH1151">
        <v>0</v>
      </c>
      <c r="AI1151">
        <v>202505</v>
      </c>
      <c r="AJ1151" t="s">
        <v>56</v>
      </c>
      <c r="AK1151">
        <v>0</v>
      </c>
      <c r="AL1151">
        <v>1</v>
      </c>
      <c r="AM1151">
        <v>1616725</v>
      </c>
      <c r="AN1151">
        <v>1</v>
      </c>
      <c r="AO1151">
        <v>0</v>
      </c>
      <c r="AP1151" t="s">
        <v>3015</v>
      </c>
      <c r="AQ1151" t="s">
        <v>3012</v>
      </c>
      <c r="AR1151" t="s">
        <v>3016</v>
      </c>
      <c r="AT1151" t="s">
        <v>3017</v>
      </c>
      <c r="AU1151" t="s">
        <v>3018</v>
      </c>
    </row>
    <row r="1152" spans="1:47" x14ac:dyDescent="0.35">
      <c r="A1152">
        <v>348543</v>
      </c>
      <c r="B1152" t="s">
        <v>172</v>
      </c>
      <c r="C1152" t="s">
        <v>173</v>
      </c>
      <c r="D1152" s="2">
        <v>45808</v>
      </c>
      <c r="E1152">
        <v>53850</v>
      </c>
      <c r="F1152">
        <v>182</v>
      </c>
      <c r="G1152" t="s">
        <v>318</v>
      </c>
      <c r="H1152" t="s">
        <v>167</v>
      </c>
      <c r="I1152" t="s">
        <v>45</v>
      </c>
      <c r="K1152" t="s">
        <v>1331</v>
      </c>
      <c r="L1152">
        <v>1823300167815</v>
      </c>
      <c r="M1152">
        <v>20250530</v>
      </c>
      <c r="N1152" t="s">
        <v>175</v>
      </c>
      <c r="Q1152" t="s">
        <v>47</v>
      </c>
      <c r="R1152">
        <v>85050</v>
      </c>
      <c r="S1152">
        <v>5650</v>
      </c>
      <c r="T1152">
        <v>4113436</v>
      </c>
      <c r="U1152">
        <v>2356720736</v>
      </c>
      <c r="V1152" t="s">
        <v>1337</v>
      </c>
      <c r="W1152" t="s">
        <v>49</v>
      </c>
      <c r="X1152" t="s">
        <v>1338</v>
      </c>
      <c r="Y1152" t="s">
        <v>51</v>
      </c>
      <c r="Z1152">
        <v>1627</v>
      </c>
      <c r="AH1152">
        <v>0</v>
      </c>
      <c r="AI1152">
        <v>202505</v>
      </c>
      <c r="AJ1152" t="s">
        <v>52</v>
      </c>
      <c r="AK1152">
        <v>0</v>
      </c>
      <c r="AL1152">
        <v>1</v>
      </c>
      <c r="AM1152">
        <v>4113436</v>
      </c>
      <c r="AN1152">
        <v>1</v>
      </c>
      <c r="AO1152">
        <v>1</v>
      </c>
      <c r="AP1152" t="s">
        <v>3115</v>
      </c>
      <c r="AQ1152" t="s">
        <v>3012</v>
      </c>
      <c r="AR1152" t="s">
        <v>3116</v>
      </c>
      <c r="AS1152" t="s">
        <v>3014</v>
      </c>
      <c r="AU1152" t="s">
        <v>3014</v>
      </c>
    </row>
    <row r="1153" spans="1:47" x14ac:dyDescent="0.35">
      <c r="A1153">
        <v>348542</v>
      </c>
      <c r="B1153" t="s">
        <v>172</v>
      </c>
      <c r="C1153" t="s">
        <v>173</v>
      </c>
      <c r="D1153" s="2">
        <v>45808</v>
      </c>
      <c r="E1153">
        <v>53850</v>
      </c>
      <c r="F1153">
        <v>128</v>
      </c>
      <c r="G1153" t="s">
        <v>94</v>
      </c>
      <c r="H1153" t="s">
        <v>167</v>
      </c>
      <c r="I1153" t="s">
        <v>45</v>
      </c>
      <c r="K1153" t="s">
        <v>1331</v>
      </c>
      <c r="L1153">
        <v>1283300001665</v>
      </c>
      <c r="M1153">
        <v>20250530</v>
      </c>
      <c r="N1153" t="s">
        <v>175</v>
      </c>
      <c r="Q1153" t="s">
        <v>47</v>
      </c>
      <c r="R1153">
        <v>483186.57</v>
      </c>
      <c r="S1153">
        <v>9790</v>
      </c>
      <c r="T1153">
        <v>4254896</v>
      </c>
      <c r="U1153">
        <v>6234730726</v>
      </c>
      <c r="V1153" t="s">
        <v>95</v>
      </c>
      <c r="W1153" t="s">
        <v>49</v>
      </c>
      <c r="X1153" t="s">
        <v>96</v>
      </c>
      <c r="Y1153" t="s">
        <v>51</v>
      </c>
      <c r="Z1153">
        <v>1919</v>
      </c>
      <c r="AH1153">
        <v>0</v>
      </c>
      <c r="AI1153">
        <v>202505</v>
      </c>
      <c r="AJ1153" t="s">
        <v>56</v>
      </c>
      <c r="AK1153">
        <v>0</v>
      </c>
      <c r="AL1153">
        <v>1</v>
      </c>
      <c r="AO1153">
        <v>1</v>
      </c>
      <c r="AP1153" t="s">
        <v>3015</v>
      </c>
      <c r="AQ1153" t="s">
        <v>3012</v>
      </c>
      <c r="AR1153" t="s">
        <v>3016</v>
      </c>
      <c r="AT1153" t="s">
        <v>3017</v>
      </c>
      <c r="AU1153" t="s">
        <v>3018</v>
      </c>
    </row>
    <row r="1154" spans="1:47" x14ac:dyDescent="0.35">
      <c r="A1154">
        <v>348541</v>
      </c>
      <c r="B1154" t="s">
        <v>178</v>
      </c>
      <c r="C1154" t="s">
        <v>179</v>
      </c>
      <c r="D1154" s="2">
        <v>45808</v>
      </c>
      <c r="E1154">
        <v>53850</v>
      </c>
      <c r="F1154">
        <v>185</v>
      </c>
      <c r="G1154" t="s">
        <v>235</v>
      </c>
      <c r="H1154" t="s">
        <v>167</v>
      </c>
      <c r="I1154" t="s">
        <v>45</v>
      </c>
      <c r="K1154">
        <v>202505308027693</v>
      </c>
      <c r="L1154">
        <v>1853300025786</v>
      </c>
      <c r="M1154">
        <v>20250530</v>
      </c>
      <c r="N1154" t="s">
        <v>3136</v>
      </c>
      <c r="Q1154" t="s">
        <v>170</v>
      </c>
      <c r="R1154">
        <v>108303.22</v>
      </c>
      <c r="S1154">
        <v>0</v>
      </c>
      <c r="T1154">
        <v>3048294</v>
      </c>
      <c r="U1154" t="s">
        <v>1339</v>
      </c>
      <c r="V1154" t="s">
        <v>1340</v>
      </c>
      <c r="W1154" t="s">
        <v>187</v>
      </c>
      <c r="Y1154" t="s">
        <v>51</v>
      </c>
      <c r="Z1154">
        <v>610</v>
      </c>
      <c r="AH1154">
        <v>0</v>
      </c>
      <c r="AI1154">
        <v>202505</v>
      </c>
      <c r="AL1154">
        <v>1</v>
      </c>
      <c r="AO1154">
        <v>1</v>
      </c>
      <c r="AP1154" t="s">
        <v>3015</v>
      </c>
      <c r="AQ1154" t="s">
        <v>3044</v>
      </c>
      <c r="AR1154" t="s">
        <v>3045</v>
      </c>
      <c r="AS1154" t="s">
        <v>3046</v>
      </c>
      <c r="AU1154" t="s">
        <v>3046</v>
      </c>
    </row>
    <row r="1155" spans="1:47" x14ac:dyDescent="0.35">
      <c r="A1155">
        <v>348540</v>
      </c>
      <c r="B1155" t="s">
        <v>193</v>
      </c>
      <c r="C1155" t="s">
        <v>194</v>
      </c>
      <c r="D1155" s="2">
        <v>45808</v>
      </c>
      <c r="E1155">
        <v>53850</v>
      </c>
      <c r="F1155">
        <v>171</v>
      </c>
      <c r="G1155" t="s">
        <v>198</v>
      </c>
      <c r="H1155" t="s">
        <v>167</v>
      </c>
      <c r="I1155" t="s">
        <v>45</v>
      </c>
      <c r="K1155" t="s">
        <v>1331</v>
      </c>
      <c r="L1155">
        <v>1713302214147</v>
      </c>
      <c r="M1155">
        <v>20250530</v>
      </c>
      <c r="N1155" t="s">
        <v>195</v>
      </c>
      <c r="Q1155" t="s">
        <v>47</v>
      </c>
      <c r="R1155">
        <v>134143.07</v>
      </c>
      <c r="S1155">
        <v>134143.07</v>
      </c>
      <c r="T1155">
        <v>4199319</v>
      </c>
      <c r="U1155">
        <v>6037810725</v>
      </c>
      <c r="V1155" t="s">
        <v>1144</v>
      </c>
      <c r="W1155" t="s">
        <v>49</v>
      </c>
      <c r="X1155" t="s">
        <v>200</v>
      </c>
      <c r="Y1155" t="s">
        <v>51</v>
      </c>
      <c r="Z1155">
        <v>1903</v>
      </c>
      <c r="AH1155">
        <v>0</v>
      </c>
      <c r="AI1155">
        <v>202505</v>
      </c>
      <c r="AJ1155" t="s">
        <v>86</v>
      </c>
      <c r="AK1155">
        <v>1</v>
      </c>
      <c r="AL1155">
        <v>1</v>
      </c>
      <c r="AM1155">
        <v>4199319</v>
      </c>
      <c r="AN1155">
        <v>1</v>
      </c>
      <c r="AO1155">
        <v>0</v>
      </c>
      <c r="AP1155" t="s">
        <v>3015</v>
      </c>
      <c r="AQ1155" t="s">
        <v>3012</v>
      </c>
      <c r="AR1155" t="s">
        <v>3016</v>
      </c>
      <c r="AT1155" t="s">
        <v>3017</v>
      </c>
      <c r="AU1155" t="s">
        <v>3018</v>
      </c>
    </row>
    <row r="1156" spans="1:47" x14ac:dyDescent="0.35">
      <c r="A1156">
        <v>348539</v>
      </c>
      <c r="B1156" t="s">
        <v>178</v>
      </c>
      <c r="C1156" t="s">
        <v>179</v>
      </c>
      <c r="D1156" s="2">
        <v>45808</v>
      </c>
      <c r="E1156">
        <v>53850</v>
      </c>
      <c r="F1156">
        <v>174</v>
      </c>
      <c r="G1156" t="s">
        <v>224</v>
      </c>
      <c r="H1156" t="s">
        <v>167</v>
      </c>
      <c r="I1156" t="s">
        <v>45</v>
      </c>
      <c r="K1156">
        <v>202505308024053</v>
      </c>
      <c r="L1156">
        <v>1743302879671</v>
      </c>
      <c r="M1156">
        <v>20250530</v>
      </c>
      <c r="N1156" t="s">
        <v>236</v>
      </c>
      <c r="P1156" t="s">
        <v>51</v>
      </c>
      <c r="Q1156" t="s">
        <v>170</v>
      </c>
      <c r="R1156">
        <v>1071179.8700000001</v>
      </c>
      <c r="S1156">
        <v>0</v>
      </c>
      <c r="T1156">
        <v>4866710</v>
      </c>
      <c r="U1156">
        <v>265680728</v>
      </c>
      <c r="V1156" t="s">
        <v>225</v>
      </c>
      <c r="W1156" t="s">
        <v>49</v>
      </c>
      <c r="X1156" t="s">
        <v>226</v>
      </c>
      <c r="Y1156" t="s">
        <v>51</v>
      </c>
      <c r="Z1156">
        <v>1058</v>
      </c>
      <c r="AH1156">
        <v>0</v>
      </c>
      <c r="AI1156">
        <v>202505</v>
      </c>
      <c r="AJ1156" t="s">
        <v>52</v>
      </c>
      <c r="AK1156">
        <v>0</v>
      </c>
      <c r="AL1156">
        <v>1</v>
      </c>
      <c r="AO1156">
        <v>0</v>
      </c>
      <c r="AP1156" t="s">
        <v>3015</v>
      </c>
      <c r="AQ1156" t="s">
        <v>3012</v>
      </c>
      <c r="AR1156" t="s">
        <v>3016</v>
      </c>
      <c r="AT1156" t="s">
        <v>3017</v>
      </c>
      <c r="AU1156" t="s">
        <v>3018</v>
      </c>
    </row>
    <row r="1157" spans="1:47" x14ac:dyDescent="0.35">
      <c r="A1157">
        <v>348538</v>
      </c>
      <c r="B1157" t="s">
        <v>172</v>
      </c>
      <c r="C1157" t="s">
        <v>173</v>
      </c>
      <c r="D1157" s="2">
        <v>45808</v>
      </c>
      <c r="E1157">
        <v>53850</v>
      </c>
      <c r="F1157">
        <v>171</v>
      </c>
      <c r="G1157" t="s">
        <v>198</v>
      </c>
      <c r="H1157" t="s">
        <v>167</v>
      </c>
      <c r="I1157" t="s">
        <v>45</v>
      </c>
      <c r="K1157" t="s">
        <v>1331</v>
      </c>
      <c r="L1157">
        <v>1713302214147</v>
      </c>
      <c r="M1157">
        <v>20250530</v>
      </c>
      <c r="N1157" t="s">
        <v>195</v>
      </c>
      <c r="Q1157" t="s">
        <v>47</v>
      </c>
      <c r="R1157">
        <v>134143.07</v>
      </c>
      <c r="S1157">
        <v>134143.07</v>
      </c>
      <c r="T1157">
        <v>4199319</v>
      </c>
      <c r="U1157">
        <v>6037810725</v>
      </c>
      <c r="V1157" t="s">
        <v>1144</v>
      </c>
      <c r="W1157" t="s">
        <v>49</v>
      </c>
      <c r="X1157" t="s">
        <v>200</v>
      </c>
      <c r="Y1157" t="s">
        <v>51</v>
      </c>
      <c r="Z1157">
        <v>1903</v>
      </c>
      <c r="AH1157">
        <v>0</v>
      </c>
      <c r="AI1157">
        <v>202505</v>
      </c>
      <c r="AJ1157" t="s">
        <v>86</v>
      </c>
      <c r="AK1157">
        <v>1</v>
      </c>
      <c r="AL1157">
        <v>1</v>
      </c>
      <c r="AM1157">
        <v>4199319</v>
      </c>
      <c r="AN1157">
        <v>1</v>
      </c>
      <c r="AO1157">
        <v>0</v>
      </c>
      <c r="AP1157" t="s">
        <v>3015</v>
      </c>
      <c r="AQ1157" t="s">
        <v>3012</v>
      </c>
      <c r="AR1157" t="s">
        <v>3016</v>
      </c>
      <c r="AT1157" t="s">
        <v>3017</v>
      </c>
      <c r="AU1157" t="s">
        <v>3018</v>
      </c>
    </row>
    <row r="1158" spans="1:47" x14ac:dyDescent="0.35">
      <c r="A1158">
        <v>348537</v>
      </c>
      <c r="B1158" t="s">
        <v>164</v>
      </c>
      <c r="C1158" t="s">
        <v>165</v>
      </c>
      <c r="D1158" s="2">
        <v>45808</v>
      </c>
      <c r="E1158">
        <v>53850</v>
      </c>
      <c r="F1158">
        <v>118</v>
      </c>
      <c r="G1158" t="s">
        <v>254</v>
      </c>
      <c r="H1158" t="s">
        <v>167</v>
      </c>
      <c r="I1158" t="s">
        <v>45</v>
      </c>
      <c r="K1158" t="s">
        <v>1341</v>
      </c>
      <c r="L1158">
        <v>1183306279524</v>
      </c>
      <c r="M1158">
        <v>20250530</v>
      </c>
      <c r="N1158" t="s">
        <v>168</v>
      </c>
      <c r="P1158" t="s">
        <v>435</v>
      </c>
      <c r="Q1158" t="s">
        <v>47</v>
      </c>
      <c r="R1158">
        <v>1650</v>
      </c>
      <c r="S1158">
        <v>0</v>
      </c>
      <c r="T1158">
        <v>4908948</v>
      </c>
      <c r="U1158">
        <v>8176650722</v>
      </c>
      <c r="V1158" t="s">
        <v>1342</v>
      </c>
      <c r="W1158" t="s">
        <v>49</v>
      </c>
      <c r="X1158" t="s">
        <v>123</v>
      </c>
      <c r="Y1158" t="s">
        <v>51</v>
      </c>
      <c r="Z1158">
        <v>1649</v>
      </c>
      <c r="AH1158">
        <v>0</v>
      </c>
      <c r="AI1158">
        <v>202505</v>
      </c>
      <c r="AL1158">
        <v>1</v>
      </c>
      <c r="AO1158">
        <v>0</v>
      </c>
      <c r="AP1158" t="s">
        <v>3031</v>
      </c>
      <c r="AQ1158" t="s">
        <v>3012</v>
      </c>
      <c r="AR1158" t="s">
        <v>3032</v>
      </c>
      <c r="AS1158" t="s">
        <v>3014</v>
      </c>
      <c r="AU1158" t="s">
        <v>3014</v>
      </c>
    </row>
    <row r="1159" spans="1:47" x14ac:dyDescent="0.35">
      <c r="A1159">
        <v>348536</v>
      </c>
      <c r="B1159" t="s">
        <v>178</v>
      </c>
      <c r="C1159" t="s">
        <v>179</v>
      </c>
      <c r="D1159" s="2">
        <v>45808</v>
      </c>
      <c r="E1159">
        <v>53850</v>
      </c>
      <c r="F1159">
        <v>128</v>
      </c>
      <c r="G1159" t="s">
        <v>94</v>
      </c>
      <c r="H1159" t="s">
        <v>167</v>
      </c>
      <c r="I1159" t="s">
        <v>45</v>
      </c>
      <c r="K1159">
        <v>202505308027410</v>
      </c>
      <c r="L1159">
        <v>1283300001665</v>
      </c>
      <c r="M1159">
        <v>20250530</v>
      </c>
      <c r="N1159" t="s">
        <v>344</v>
      </c>
      <c r="Q1159" t="s">
        <v>170</v>
      </c>
      <c r="R1159">
        <v>1425000</v>
      </c>
      <c r="S1159">
        <v>0</v>
      </c>
      <c r="T1159">
        <v>4254896</v>
      </c>
      <c r="U1159">
        <v>6234730726</v>
      </c>
      <c r="V1159" t="s">
        <v>95</v>
      </c>
      <c r="W1159" t="s">
        <v>49</v>
      </c>
      <c r="X1159" t="s">
        <v>96</v>
      </c>
      <c r="Y1159" t="s">
        <v>51</v>
      </c>
      <c r="Z1159">
        <v>1919</v>
      </c>
      <c r="AH1159">
        <v>0</v>
      </c>
      <c r="AI1159">
        <v>202505</v>
      </c>
      <c r="AJ1159" t="s">
        <v>56</v>
      </c>
      <c r="AK1159">
        <v>0</v>
      </c>
      <c r="AL1159">
        <v>1</v>
      </c>
      <c r="AO1159">
        <v>0</v>
      </c>
      <c r="AP1159" t="s">
        <v>3015</v>
      </c>
      <c r="AQ1159" t="s">
        <v>3012</v>
      </c>
      <c r="AR1159" t="s">
        <v>3016</v>
      </c>
      <c r="AT1159" t="s">
        <v>3017</v>
      </c>
      <c r="AU1159" t="s">
        <v>3018</v>
      </c>
    </row>
    <row r="1160" spans="1:47" x14ac:dyDescent="0.35">
      <c r="A1160">
        <v>348535</v>
      </c>
      <c r="B1160" t="s">
        <v>178</v>
      </c>
      <c r="C1160" t="s">
        <v>179</v>
      </c>
      <c r="D1160" s="2">
        <v>45808</v>
      </c>
      <c r="E1160">
        <v>53850</v>
      </c>
      <c r="F1160">
        <v>136</v>
      </c>
      <c r="G1160" t="s">
        <v>551</v>
      </c>
      <c r="H1160" t="s">
        <v>167</v>
      </c>
      <c r="I1160" t="s">
        <v>45</v>
      </c>
      <c r="K1160">
        <v>202505308027183</v>
      </c>
      <c r="L1160">
        <v>1363300001888</v>
      </c>
      <c r="M1160">
        <v>20250530</v>
      </c>
      <c r="N1160" t="s">
        <v>46</v>
      </c>
      <c r="P1160" t="s">
        <v>51</v>
      </c>
      <c r="Q1160" t="s">
        <v>47</v>
      </c>
      <c r="R1160">
        <v>1105649</v>
      </c>
      <c r="S1160">
        <v>0</v>
      </c>
      <c r="T1160">
        <v>4234848</v>
      </c>
      <c r="U1160">
        <v>61820742</v>
      </c>
      <c r="V1160" t="s">
        <v>1343</v>
      </c>
      <c r="W1160" t="s">
        <v>1344</v>
      </c>
      <c r="X1160" t="s">
        <v>1345</v>
      </c>
      <c r="Y1160" t="s">
        <v>51</v>
      </c>
      <c r="Z1160">
        <v>1909</v>
      </c>
      <c r="AH1160">
        <v>0</v>
      </c>
      <c r="AI1160">
        <v>202505</v>
      </c>
      <c r="AL1160">
        <v>1</v>
      </c>
      <c r="AO1160">
        <v>0</v>
      </c>
      <c r="AP1160" t="s">
        <v>3015</v>
      </c>
      <c r="AQ1160" t="s">
        <v>3117</v>
      </c>
      <c r="AR1160" t="s">
        <v>3118</v>
      </c>
      <c r="AT1160" t="s">
        <v>3017</v>
      </c>
      <c r="AU1160" t="s">
        <v>3037</v>
      </c>
    </row>
    <row r="1161" spans="1:47" x14ac:dyDescent="0.35">
      <c r="A1161">
        <v>348534</v>
      </c>
      <c r="B1161" t="s">
        <v>333</v>
      </c>
      <c r="C1161" t="s">
        <v>334</v>
      </c>
      <c r="D1161" s="2">
        <v>45808</v>
      </c>
      <c r="E1161">
        <v>53850</v>
      </c>
      <c r="F1161">
        <v>99</v>
      </c>
      <c r="G1161" t="s">
        <v>335</v>
      </c>
      <c r="H1161" t="s">
        <v>167</v>
      </c>
      <c r="I1161" t="s">
        <v>45</v>
      </c>
      <c r="K1161">
        <v>202505308027190</v>
      </c>
      <c r="M1161">
        <v>20250530</v>
      </c>
      <c r="N1161" t="s">
        <v>3136</v>
      </c>
      <c r="Q1161" t="s">
        <v>170</v>
      </c>
      <c r="R1161">
        <v>12138.63</v>
      </c>
      <c r="S1161">
        <v>0</v>
      </c>
      <c r="T1161">
        <v>4351680</v>
      </c>
      <c r="U1161" t="s">
        <v>1332</v>
      </c>
      <c r="V1161" t="s">
        <v>1333</v>
      </c>
      <c r="W1161" t="s">
        <v>187</v>
      </c>
      <c r="Y1161" t="s">
        <v>51</v>
      </c>
      <c r="Z1161">
        <v>1620</v>
      </c>
      <c r="AH1161">
        <v>0</v>
      </c>
      <c r="AI1161">
        <v>202505</v>
      </c>
      <c r="AL1161">
        <v>0</v>
      </c>
      <c r="AO1161">
        <v>1</v>
      </c>
      <c r="AP1161" t="s">
        <v>3015</v>
      </c>
      <c r="AQ1161" t="s">
        <v>3044</v>
      </c>
      <c r="AR1161" t="s">
        <v>3045</v>
      </c>
      <c r="AS1161" t="s">
        <v>3046</v>
      </c>
      <c r="AU1161" t="s">
        <v>3046</v>
      </c>
    </row>
    <row r="1162" spans="1:47" x14ac:dyDescent="0.35">
      <c r="A1162">
        <v>348533</v>
      </c>
      <c r="B1162" t="s">
        <v>193</v>
      </c>
      <c r="C1162" t="s">
        <v>194</v>
      </c>
      <c r="D1162" s="2">
        <v>45808</v>
      </c>
      <c r="E1162">
        <v>53850</v>
      </c>
      <c r="F1162">
        <v>174</v>
      </c>
      <c r="G1162" t="s">
        <v>224</v>
      </c>
      <c r="H1162" t="s">
        <v>167</v>
      </c>
      <c r="I1162" t="s">
        <v>45</v>
      </c>
      <c r="K1162" t="s">
        <v>1331</v>
      </c>
      <c r="L1162">
        <v>1743302881011</v>
      </c>
      <c r="M1162">
        <v>20250530</v>
      </c>
      <c r="N1162" t="s">
        <v>266</v>
      </c>
      <c r="Q1162" t="s">
        <v>47</v>
      </c>
      <c r="R1162">
        <v>35220</v>
      </c>
      <c r="S1162">
        <v>35220</v>
      </c>
      <c r="T1162">
        <v>3711270</v>
      </c>
      <c r="U1162">
        <v>8706460725</v>
      </c>
      <c r="V1162" t="s">
        <v>1346</v>
      </c>
      <c r="W1162" t="s">
        <v>49</v>
      </c>
      <c r="X1162" t="s">
        <v>131</v>
      </c>
      <c r="Y1162" t="s">
        <v>51</v>
      </c>
      <c r="Z1162">
        <v>1058</v>
      </c>
      <c r="AH1162">
        <v>0</v>
      </c>
      <c r="AI1162">
        <v>202505</v>
      </c>
      <c r="AJ1162" t="s">
        <v>119</v>
      </c>
      <c r="AK1162">
        <v>1</v>
      </c>
      <c r="AL1162">
        <v>1</v>
      </c>
      <c r="AM1162">
        <v>3711270</v>
      </c>
      <c r="AN1162">
        <v>1</v>
      </c>
      <c r="AO1162">
        <v>0</v>
      </c>
      <c r="AP1162" t="s">
        <v>3033</v>
      </c>
      <c r="AQ1162" t="s">
        <v>3012</v>
      </c>
      <c r="AR1162" t="s">
        <v>3034</v>
      </c>
      <c r="AS1162" t="s">
        <v>3014</v>
      </c>
      <c r="AU1162" t="s">
        <v>3014</v>
      </c>
    </row>
    <row r="1163" spans="1:47" x14ac:dyDescent="0.35">
      <c r="A1163">
        <v>348532</v>
      </c>
      <c r="B1163" t="s">
        <v>178</v>
      </c>
      <c r="C1163" t="s">
        <v>179</v>
      </c>
      <c r="D1163" s="2">
        <v>45808</v>
      </c>
      <c r="E1163">
        <v>53850</v>
      </c>
      <c r="F1163">
        <v>175</v>
      </c>
      <c r="G1163" t="s">
        <v>99</v>
      </c>
      <c r="H1163" t="s">
        <v>167</v>
      </c>
      <c r="I1163" t="s">
        <v>45</v>
      </c>
      <c r="K1163">
        <v>202505308027637</v>
      </c>
      <c r="L1163">
        <v>1753302205383</v>
      </c>
      <c r="M1163">
        <v>20250530</v>
      </c>
      <c r="N1163" t="s">
        <v>344</v>
      </c>
      <c r="Q1163" t="s">
        <v>170</v>
      </c>
      <c r="R1163">
        <v>309500</v>
      </c>
      <c r="S1163">
        <v>0</v>
      </c>
      <c r="T1163">
        <v>4268589</v>
      </c>
      <c r="U1163" t="s">
        <v>1347</v>
      </c>
      <c r="V1163" t="s">
        <v>1348</v>
      </c>
      <c r="W1163" t="s">
        <v>187</v>
      </c>
      <c r="Y1163" t="s">
        <v>51</v>
      </c>
      <c r="Z1163">
        <v>1093</v>
      </c>
      <c r="AH1163">
        <v>0</v>
      </c>
      <c r="AI1163">
        <v>202505</v>
      </c>
      <c r="AJ1163" t="s">
        <v>86</v>
      </c>
      <c r="AK1163">
        <v>1</v>
      </c>
      <c r="AL1163">
        <v>1</v>
      </c>
      <c r="AO1163">
        <v>0</v>
      </c>
      <c r="AP1163" t="s">
        <v>3015</v>
      </c>
      <c r="AQ1163" t="s">
        <v>3044</v>
      </c>
      <c r="AR1163" t="s">
        <v>3045</v>
      </c>
      <c r="AS1163" t="s">
        <v>3046</v>
      </c>
      <c r="AU1163" t="s">
        <v>3046</v>
      </c>
    </row>
    <row r="1164" spans="1:47" x14ac:dyDescent="0.35">
      <c r="A1164">
        <v>348531</v>
      </c>
      <c r="B1164" t="s">
        <v>193</v>
      </c>
      <c r="C1164" t="s">
        <v>194</v>
      </c>
      <c r="D1164" s="2">
        <v>45808</v>
      </c>
      <c r="E1164">
        <v>53850</v>
      </c>
      <c r="F1164">
        <v>135</v>
      </c>
      <c r="G1164" t="s">
        <v>1349</v>
      </c>
      <c r="H1164" t="s">
        <v>167</v>
      </c>
      <c r="I1164" t="s">
        <v>45</v>
      </c>
      <c r="K1164" t="s">
        <v>1331</v>
      </c>
      <c r="L1164">
        <v>1923300036309</v>
      </c>
      <c r="M1164">
        <v>20250530</v>
      </c>
      <c r="N1164" t="s">
        <v>266</v>
      </c>
      <c r="Q1164" t="s">
        <v>47</v>
      </c>
      <c r="R1164">
        <v>30991.16</v>
      </c>
      <c r="S1164">
        <v>30991.16</v>
      </c>
      <c r="T1164">
        <v>3732862</v>
      </c>
      <c r="U1164">
        <v>239870686</v>
      </c>
      <c r="V1164" t="s">
        <v>1350</v>
      </c>
      <c r="W1164" t="s">
        <v>49</v>
      </c>
      <c r="X1164" t="s">
        <v>131</v>
      </c>
      <c r="Y1164" t="s">
        <v>51</v>
      </c>
      <c r="AH1164">
        <v>0</v>
      </c>
      <c r="AI1164">
        <v>202505</v>
      </c>
      <c r="AJ1164" t="s">
        <v>56</v>
      </c>
      <c r="AK1164">
        <v>0</v>
      </c>
      <c r="AL1164">
        <v>1</v>
      </c>
      <c r="AM1164">
        <v>3732862</v>
      </c>
      <c r="AN1164">
        <v>1</v>
      </c>
      <c r="AO1164">
        <v>0</v>
      </c>
      <c r="AP1164" t="s">
        <v>3033</v>
      </c>
      <c r="AQ1164" t="s">
        <v>3012</v>
      </c>
      <c r="AR1164" t="s">
        <v>3034</v>
      </c>
      <c r="AS1164" t="s">
        <v>3014</v>
      </c>
      <c r="AU1164" t="s">
        <v>3014</v>
      </c>
    </row>
    <row r="1165" spans="1:47" x14ac:dyDescent="0.35">
      <c r="A1165">
        <v>348530</v>
      </c>
      <c r="B1165" t="s">
        <v>172</v>
      </c>
      <c r="C1165" t="s">
        <v>173</v>
      </c>
      <c r="D1165" s="2">
        <v>45808</v>
      </c>
      <c r="E1165">
        <v>53850</v>
      </c>
      <c r="F1165">
        <v>171</v>
      </c>
      <c r="G1165" t="s">
        <v>198</v>
      </c>
      <c r="H1165" t="s">
        <v>167</v>
      </c>
      <c r="I1165" t="s">
        <v>45</v>
      </c>
      <c r="K1165" t="s">
        <v>1331</v>
      </c>
      <c r="L1165">
        <v>1713305728950</v>
      </c>
      <c r="M1165">
        <v>20250530</v>
      </c>
      <c r="N1165" t="s">
        <v>195</v>
      </c>
      <c r="Q1165" t="s">
        <v>47</v>
      </c>
      <c r="R1165">
        <v>369560.4</v>
      </c>
      <c r="S1165">
        <v>369560.4</v>
      </c>
      <c r="T1165">
        <v>572895</v>
      </c>
      <c r="U1165">
        <v>4161600723</v>
      </c>
      <c r="V1165" t="s">
        <v>199</v>
      </c>
      <c r="W1165" t="s">
        <v>49</v>
      </c>
      <c r="X1165" t="s">
        <v>200</v>
      </c>
      <c r="Y1165" t="s">
        <v>51</v>
      </c>
      <c r="Z1165">
        <v>1903</v>
      </c>
      <c r="AH1165">
        <v>0</v>
      </c>
      <c r="AI1165">
        <v>202505</v>
      </c>
      <c r="AJ1165" t="s">
        <v>86</v>
      </c>
      <c r="AK1165">
        <v>1</v>
      </c>
      <c r="AL1165">
        <v>1</v>
      </c>
      <c r="AM1165">
        <v>572895</v>
      </c>
      <c r="AN1165">
        <v>1</v>
      </c>
      <c r="AO1165">
        <v>0</v>
      </c>
      <c r="AP1165" t="s">
        <v>3015</v>
      </c>
      <c r="AQ1165" t="s">
        <v>3012</v>
      </c>
      <c r="AR1165" t="s">
        <v>3016</v>
      </c>
      <c r="AT1165" t="s">
        <v>3017</v>
      </c>
      <c r="AU1165" t="s">
        <v>3018</v>
      </c>
    </row>
    <row r="1166" spans="1:47" x14ac:dyDescent="0.35">
      <c r="A1166">
        <v>348529</v>
      </c>
      <c r="B1166" t="s">
        <v>178</v>
      </c>
      <c r="C1166" t="s">
        <v>179</v>
      </c>
      <c r="D1166" s="2">
        <v>45808</v>
      </c>
      <c r="E1166">
        <v>53850</v>
      </c>
      <c r="F1166">
        <v>105</v>
      </c>
      <c r="G1166" t="s">
        <v>60</v>
      </c>
      <c r="H1166" t="s">
        <v>167</v>
      </c>
      <c r="I1166" t="s">
        <v>45</v>
      </c>
      <c r="K1166">
        <v>202505308027285</v>
      </c>
      <c r="L1166">
        <v>1053306286600</v>
      </c>
      <c r="M1166">
        <v>20250530</v>
      </c>
      <c r="N1166" t="s">
        <v>3136</v>
      </c>
      <c r="Q1166" t="s">
        <v>170</v>
      </c>
      <c r="R1166">
        <v>17259.12</v>
      </c>
      <c r="S1166">
        <v>0</v>
      </c>
      <c r="T1166">
        <v>4235456</v>
      </c>
      <c r="U1166" t="s">
        <v>1351</v>
      </c>
      <c r="V1166" t="s">
        <v>1352</v>
      </c>
      <c r="W1166" t="s">
        <v>187</v>
      </c>
      <c r="Y1166" t="s">
        <v>51</v>
      </c>
      <c r="AH1166">
        <v>0</v>
      </c>
      <c r="AI1166">
        <v>202505</v>
      </c>
      <c r="AL1166">
        <v>1</v>
      </c>
      <c r="AO1166">
        <v>1</v>
      </c>
      <c r="AP1166" t="s">
        <v>3015</v>
      </c>
      <c r="AQ1166" t="s">
        <v>3044</v>
      </c>
      <c r="AR1166" t="s">
        <v>3045</v>
      </c>
      <c r="AS1166" t="s">
        <v>3046</v>
      </c>
      <c r="AU1166" t="s">
        <v>3046</v>
      </c>
    </row>
    <row r="1167" spans="1:47" x14ac:dyDescent="0.35">
      <c r="A1167">
        <v>348528</v>
      </c>
      <c r="B1167" t="s">
        <v>193</v>
      </c>
      <c r="C1167" t="s">
        <v>194</v>
      </c>
      <c r="D1167" s="2">
        <v>45808</v>
      </c>
      <c r="E1167">
        <v>53850</v>
      </c>
      <c r="F1167">
        <v>134</v>
      </c>
      <c r="G1167" t="s">
        <v>804</v>
      </c>
      <c r="H1167" t="s">
        <v>167</v>
      </c>
      <c r="I1167" t="s">
        <v>45</v>
      </c>
      <c r="K1167" t="s">
        <v>1331</v>
      </c>
      <c r="L1167">
        <v>1343300002724</v>
      </c>
      <c r="M1167">
        <v>20250530</v>
      </c>
      <c r="N1167" t="s">
        <v>175</v>
      </c>
      <c r="Q1167" t="s">
        <v>47</v>
      </c>
      <c r="R1167">
        <v>37563.050000000003</v>
      </c>
      <c r="S1167">
        <v>32210</v>
      </c>
      <c r="T1167">
        <v>4876967</v>
      </c>
      <c r="U1167" t="s">
        <v>1353</v>
      </c>
      <c r="V1167" t="s">
        <v>1354</v>
      </c>
      <c r="W1167" t="s">
        <v>69</v>
      </c>
      <c r="X1167" t="s">
        <v>1355</v>
      </c>
      <c r="Y1167" t="s">
        <v>51</v>
      </c>
      <c r="Z1167">
        <v>1562</v>
      </c>
      <c r="AH1167">
        <v>0</v>
      </c>
      <c r="AI1167">
        <v>202505</v>
      </c>
      <c r="AJ1167" t="s">
        <v>119</v>
      </c>
      <c r="AK1167">
        <v>1</v>
      </c>
      <c r="AL1167">
        <v>1</v>
      </c>
      <c r="AM1167">
        <v>4876967</v>
      </c>
      <c r="AN1167">
        <v>1</v>
      </c>
      <c r="AO1167">
        <v>1</v>
      </c>
      <c r="AP1167" t="s">
        <v>3015</v>
      </c>
      <c r="AQ1167" t="s">
        <v>3021</v>
      </c>
      <c r="AR1167" t="s">
        <v>3022</v>
      </c>
      <c r="AT1167" t="s">
        <v>3017</v>
      </c>
      <c r="AU1167" t="s">
        <v>3014</v>
      </c>
    </row>
    <row r="1168" spans="1:47" x14ac:dyDescent="0.35">
      <c r="A1168">
        <v>348527</v>
      </c>
      <c r="B1168" t="s">
        <v>193</v>
      </c>
      <c r="C1168" t="s">
        <v>194</v>
      </c>
      <c r="D1168" s="2">
        <v>45808</v>
      </c>
      <c r="E1168">
        <v>53850</v>
      </c>
      <c r="F1168">
        <v>181</v>
      </c>
      <c r="G1168" t="s">
        <v>180</v>
      </c>
      <c r="H1168" t="s">
        <v>167</v>
      </c>
      <c r="I1168" t="s">
        <v>45</v>
      </c>
      <c r="K1168">
        <v>202505308027661</v>
      </c>
      <c r="L1168">
        <v>1813301029924</v>
      </c>
      <c r="M1168">
        <v>20250530</v>
      </c>
      <c r="N1168" t="s">
        <v>266</v>
      </c>
      <c r="Q1168" t="s">
        <v>47</v>
      </c>
      <c r="R1168">
        <v>35425</v>
      </c>
      <c r="S1168">
        <v>35425</v>
      </c>
      <c r="T1168">
        <v>4948468</v>
      </c>
      <c r="U1168" t="s">
        <v>422</v>
      </c>
      <c r="V1168" t="s">
        <v>423</v>
      </c>
      <c r="W1168" t="s">
        <v>69</v>
      </c>
      <c r="X1168" t="s">
        <v>55</v>
      </c>
      <c r="Y1168" t="s">
        <v>51</v>
      </c>
      <c r="Z1168">
        <v>1943</v>
      </c>
      <c r="AH1168">
        <v>0</v>
      </c>
      <c r="AI1168">
        <v>202505</v>
      </c>
      <c r="AJ1168" t="s">
        <v>119</v>
      </c>
      <c r="AK1168">
        <v>1</v>
      </c>
      <c r="AL1168">
        <v>1</v>
      </c>
      <c r="AM1168">
        <v>4948468</v>
      </c>
      <c r="AN1168">
        <v>1</v>
      </c>
      <c r="AO1168">
        <v>0</v>
      </c>
      <c r="AP1168" t="s">
        <v>3015</v>
      </c>
      <c r="AQ1168" t="s">
        <v>3021</v>
      </c>
      <c r="AR1168" t="s">
        <v>3022</v>
      </c>
      <c r="AT1168" t="s">
        <v>3017</v>
      </c>
      <c r="AU1168" t="s">
        <v>3014</v>
      </c>
    </row>
    <row r="1169" spans="1:47" x14ac:dyDescent="0.35">
      <c r="A1169">
        <v>348526</v>
      </c>
      <c r="B1169" t="s">
        <v>172</v>
      </c>
      <c r="C1169" t="s">
        <v>173</v>
      </c>
      <c r="D1169" s="2">
        <v>45808</v>
      </c>
      <c r="E1169">
        <v>53850</v>
      </c>
      <c r="F1169">
        <v>161</v>
      </c>
      <c r="G1169" t="s">
        <v>111</v>
      </c>
      <c r="H1169" t="s">
        <v>167</v>
      </c>
      <c r="I1169" t="s">
        <v>45</v>
      </c>
      <c r="K1169" t="s">
        <v>1331</v>
      </c>
      <c r="L1169">
        <v>1613300029653</v>
      </c>
      <c r="M1169">
        <v>20250530</v>
      </c>
      <c r="N1169" t="s">
        <v>175</v>
      </c>
      <c r="Q1169" t="s">
        <v>47</v>
      </c>
      <c r="R1169">
        <v>217448.27</v>
      </c>
      <c r="S1169">
        <v>6100</v>
      </c>
      <c r="T1169">
        <v>4088769</v>
      </c>
      <c r="U1169">
        <v>5150120722</v>
      </c>
      <c r="V1169" t="s">
        <v>270</v>
      </c>
      <c r="W1169" t="s">
        <v>49</v>
      </c>
      <c r="X1169" t="s">
        <v>110</v>
      </c>
      <c r="Y1169" t="s">
        <v>51</v>
      </c>
      <c r="Z1169">
        <v>1903</v>
      </c>
      <c r="AH1169">
        <v>0</v>
      </c>
      <c r="AI1169">
        <v>202505</v>
      </c>
      <c r="AJ1169" t="s">
        <v>56</v>
      </c>
      <c r="AK1169">
        <v>0</v>
      </c>
      <c r="AL1169">
        <v>1</v>
      </c>
      <c r="AM1169">
        <v>4088769</v>
      </c>
      <c r="AN1169">
        <v>1</v>
      </c>
      <c r="AO1169">
        <v>1</v>
      </c>
      <c r="AP1169" t="s">
        <v>3026</v>
      </c>
      <c r="AQ1169" t="s">
        <v>3012</v>
      </c>
      <c r="AR1169" t="s">
        <v>3027</v>
      </c>
      <c r="AS1169" t="s">
        <v>3028</v>
      </c>
      <c r="AU1169" t="s">
        <v>3028</v>
      </c>
    </row>
    <row r="1170" spans="1:47" x14ac:dyDescent="0.35">
      <c r="A1170">
        <v>348525</v>
      </c>
      <c r="B1170" t="s">
        <v>193</v>
      </c>
      <c r="C1170" t="s">
        <v>194</v>
      </c>
      <c r="D1170" s="2">
        <v>45808</v>
      </c>
      <c r="E1170">
        <v>53850</v>
      </c>
      <c r="F1170">
        <v>108</v>
      </c>
      <c r="G1170" t="s">
        <v>124</v>
      </c>
      <c r="H1170" t="s">
        <v>167</v>
      </c>
      <c r="I1170" t="s">
        <v>45</v>
      </c>
      <c r="K1170" t="s">
        <v>1331</v>
      </c>
      <c r="L1170">
        <v>1083305200700</v>
      </c>
      <c r="M1170">
        <v>20250530</v>
      </c>
      <c r="N1170" t="s">
        <v>175</v>
      </c>
      <c r="Q1170" t="s">
        <v>47</v>
      </c>
      <c r="R1170">
        <v>56238.38</v>
      </c>
      <c r="S1170">
        <v>37610</v>
      </c>
      <c r="T1170">
        <v>520070</v>
      </c>
      <c r="U1170">
        <v>4357120726</v>
      </c>
      <c r="V1170" t="s">
        <v>457</v>
      </c>
      <c r="W1170" t="s">
        <v>49</v>
      </c>
      <c r="X1170" t="s">
        <v>110</v>
      </c>
      <c r="Y1170" t="s">
        <v>51</v>
      </c>
      <c r="Z1170">
        <v>1058</v>
      </c>
      <c r="AH1170">
        <v>0</v>
      </c>
      <c r="AI1170">
        <v>202505</v>
      </c>
      <c r="AJ1170" t="s">
        <v>52</v>
      </c>
      <c r="AK1170">
        <v>0</v>
      </c>
      <c r="AL1170">
        <v>1</v>
      </c>
      <c r="AM1170">
        <v>520070</v>
      </c>
      <c r="AN1170">
        <v>1</v>
      </c>
      <c r="AO1170">
        <v>1</v>
      </c>
      <c r="AP1170" t="s">
        <v>3026</v>
      </c>
      <c r="AQ1170" t="s">
        <v>3012</v>
      </c>
      <c r="AR1170" t="s">
        <v>3027</v>
      </c>
      <c r="AS1170" t="s">
        <v>3028</v>
      </c>
      <c r="AU1170" t="s">
        <v>3028</v>
      </c>
    </row>
    <row r="1171" spans="1:47" x14ac:dyDescent="0.35">
      <c r="A1171">
        <v>348524</v>
      </c>
      <c r="B1171" t="s">
        <v>172</v>
      </c>
      <c r="C1171" t="s">
        <v>173</v>
      </c>
      <c r="D1171" s="2">
        <v>45808</v>
      </c>
      <c r="E1171">
        <v>53850</v>
      </c>
      <c r="F1171">
        <v>102</v>
      </c>
      <c r="G1171" t="s">
        <v>151</v>
      </c>
      <c r="H1171" t="s">
        <v>167</v>
      </c>
      <c r="I1171" t="s">
        <v>45</v>
      </c>
      <c r="K1171" t="s">
        <v>1331</v>
      </c>
      <c r="L1171">
        <v>1023308717655</v>
      </c>
      <c r="M1171">
        <v>20250530</v>
      </c>
      <c r="N1171" t="s">
        <v>175</v>
      </c>
      <c r="Q1171" t="s">
        <v>47</v>
      </c>
      <c r="R1171">
        <v>208564.6</v>
      </c>
      <c r="S1171">
        <v>11670</v>
      </c>
      <c r="T1171">
        <v>4226959</v>
      </c>
      <c r="U1171">
        <v>6150080726</v>
      </c>
      <c r="V1171" t="s">
        <v>176</v>
      </c>
      <c r="W1171" t="s">
        <v>49</v>
      </c>
      <c r="X1171" t="s">
        <v>177</v>
      </c>
      <c r="Y1171" t="s">
        <v>51</v>
      </c>
      <c r="Z1171">
        <v>739</v>
      </c>
      <c r="AH1171">
        <v>0</v>
      </c>
      <c r="AI1171">
        <v>202505</v>
      </c>
      <c r="AJ1171" t="s">
        <v>86</v>
      </c>
      <c r="AK1171">
        <v>1</v>
      </c>
      <c r="AL1171">
        <v>1</v>
      </c>
      <c r="AO1171">
        <v>1</v>
      </c>
      <c r="AP1171" t="s">
        <v>3015</v>
      </c>
      <c r="AQ1171" t="s">
        <v>3012</v>
      </c>
      <c r="AR1171" t="s">
        <v>3016</v>
      </c>
      <c r="AT1171" t="s">
        <v>3017</v>
      </c>
      <c r="AU1171" t="s">
        <v>3018</v>
      </c>
    </row>
    <row r="1172" spans="1:47" x14ac:dyDescent="0.35">
      <c r="A1172">
        <v>348523</v>
      </c>
      <c r="B1172" t="s">
        <v>333</v>
      </c>
      <c r="C1172" t="s">
        <v>334</v>
      </c>
      <c r="D1172" s="2">
        <v>45808</v>
      </c>
      <c r="E1172">
        <v>53850</v>
      </c>
      <c r="F1172">
        <v>103</v>
      </c>
      <c r="G1172" t="s">
        <v>80</v>
      </c>
      <c r="H1172" t="s">
        <v>167</v>
      </c>
      <c r="I1172" t="s">
        <v>45</v>
      </c>
      <c r="K1172">
        <v>202505308027231</v>
      </c>
      <c r="M1172">
        <v>20250530</v>
      </c>
      <c r="N1172" t="s">
        <v>1356</v>
      </c>
      <c r="Q1172" t="s">
        <v>170</v>
      </c>
      <c r="R1172">
        <v>50000</v>
      </c>
      <c r="S1172">
        <v>0</v>
      </c>
      <c r="T1172">
        <v>457680</v>
      </c>
      <c r="U1172" t="s">
        <v>1357</v>
      </c>
      <c r="V1172" t="s">
        <v>1358</v>
      </c>
      <c r="W1172" t="s">
        <v>187</v>
      </c>
      <c r="Y1172" t="s">
        <v>51</v>
      </c>
      <c r="Z1172">
        <v>806</v>
      </c>
      <c r="AH1172">
        <v>0</v>
      </c>
      <c r="AI1172">
        <v>202505</v>
      </c>
      <c r="AL1172">
        <v>0</v>
      </c>
      <c r="AO1172">
        <v>0</v>
      </c>
      <c r="AP1172" t="s">
        <v>3015</v>
      </c>
      <c r="AQ1172" t="s">
        <v>3044</v>
      </c>
      <c r="AR1172" t="s">
        <v>3045</v>
      </c>
      <c r="AS1172" t="s">
        <v>3046</v>
      </c>
      <c r="AU1172" t="s">
        <v>3046</v>
      </c>
    </row>
    <row r="1173" spans="1:47" x14ac:dyDescent="0.35">
      <c r="A1173">
        <v>348522</v>
      </c>
      <c r="B1173" t="s">
        <v>193</v>
      </c>
      <c r="C1173" t="s">
        <v>194</v>
      </c>
      <c r="D1173" s="2">
        <v>45808</v>
      </c>
      <c r="E1173">
        <v>53850</v>
      </c>
      <c r="F1173">
        <v>174</v>
      </c>
      <c r="G1173" t="s">
        <v>224</v>
      </c>
      <c r="H1173" t="s">
        <v>167</v>
      </c>
      <c r="I1173" t="s">
        <v>45</v>
      </c>
      <c r="K1173" t="s">
        <v>1331</v>
      </c>
      <c r="L1173">
        <v>1743302879903</v>
      </c>
      <c r="M1173">
        <v>20250530</v>
      </c>
      <c r="N1173" t="s">
        <v>175</v>
      </c>
      <c r="Q1173" t="s">
        <v>47</v>
      </c>
      <c r="R1173">
        <v>73281.100000000006</v>
      </c>
      <c r="S1173">
        <v>59290</v>
      </c>
      <c r="T1173">
        <v>4928259</v>
      </c>
      <c r="U1173">
        <v>8287320728</v>
      </c>
      <c r="V1173" t="s">
        <v>1171</v>
      </c>
      <c r="W1173" t="s">
        <v>49</v>
      </c>
      <c r="X1173" t="s">
        <v>117</v>
      </c>
      <c r="Y1173" t="s">
        <v>51</v>
      </c>
      <c r="Z1173">
        <v>448</v>
      </c>
      <c r="AH1173">
        <v>0</v>
      </c>
      <c r="AI1173">
        <v>202505</v>
      </c>
      <c r="AJ1173" t="s">
        <v>52</v>
      </c>
      <c r="AK1173">
        <v>0</v>
      </c>
      <c r="AL1173">
        <v>1</v>
      </c>
      <c r="AM1173">
        <v>4928259</v>
      </c>
      <c r="AN1173">
        <v>1</v>
      </c>
      <c r="AO1173">
        <v>1</v>
      </c>
      <c r="AP1173" t="s">
        <v>3029</v>
      </c>
      <c r="AQ1173" t="s">
        <v>3012</v>
      </c>
      <c r="AR1173" t="s">
        <v>3030</v>
      </c>
      <c r="AS1173" t="s">
        <v>3014</v>
      </c>
      <c r="AU1173" t="s">
        <v>3014</v>
      </c>
    </row>
    <row r="1174" spans="1:47" x14ac:dyDescent="0.35">
      <c r="A1174">
        <v>348521</v>
      </c>
      <c r="B1174" t="s">
        <v>178</v>
      </c>
      <c r="C1174" t="s">
        <v>179</v>
      </c>
      <c r="D1174" s="2">
        <v>45808</v>
      </c>
      <c r="E1174">
        <v>53850</v>
      </c>
      <c r="F1174">
        <v>105</v>
      </c>
      <c r="G1174" t="s">
        <v>60</v>
      </c>
      <c r="H1174" t="s">
        <v>167</v>
      </c>
      <c r="I1174" t="s">
        <v>45</v>
      </c>
      <c r="K1174">
        <v>202505308027285</v>
      </c>
      <c r="L1174">
        <v>1053306286600</v>
      </c>
      <c r="M1174">
        <v>20250530</v>
      </c>
      <c r="N1174" t="s">
        <v>3136</v>
      </c>
      <c r="Q1174" t="s">
        <v>170</v>
      </c>
      <c r="R1174">
        <v>17259.12</v>
      </c>
      <c r="S1174">
        <v>0</v>
      </c>
      <c r="T1174">
        <v>4186319</v>
      </c>
      <c r="U1174" t="s">
        <v>1359</v>
      </c>
      <c r="V1174" t="s">
        <v>1360</v>
      </c>
      <c r="W1174" t="s">
        <v>187</v>
      </c>
      <c r="Y1174" t="s">
        <v>51</v>
      </c>
      <c r="Z1174">
        <v>1452</v>
      </c>
      <c r="AH1174">
        <v>0</v>
      </c>
      <c r="AI1174">
        <v>202505</v>
      </c>
      <c r="AL1174">
        <v>1</v>
      </c>
      <c r="AO1174">
        <v>1</v>
      </c>
      <c r="AP1174" t="s">
        <v>3015</v>
      </c>
      <c r="AQ1174" t="s">
        <v>3044</v>
      </c>
      <c r="AR1174" t="s">
        <v>3045</v>
      </c>
      <c r="AS1174" t="s">
        <v>3046</v>
      </c>
      <c r="AU1174" t="s">
        <v>3046</v>
      </c>
    </row>
    <row r="1175" spans="1:47" x14ac:dyDescent="0.35">
      <c r="A1175">
        <v>348520</v>
      </c>
      <c r="B1175" t="s">
        <v>178</v>
      </c>
      <c r="C1175" t="s">
        <v>179</v>
      </c>
      <c r="D1175" s="2">
        <v>45808</v>
      </c>
      <c r="E1175">
        <v>53850</v>
      </c>
      <c r="F1175">
        <v>99</v>
      </c>
      <c r="G1175" t="s">
        <v>335</v>
      </c>
      <c r="H1175" t="s">
        <v>167</v>
      </c>
      <c r="I1175" t="s">
        <v>45</v>
      </c>
      <c r="K1175">
        <v>202505308025295</v>
      </c>
      <c r="L1175">
        <v>999361870311</v>
      </c>
      <c r="M1175">
        <v>20250530</v>
      </c>
      <c r="N1175" t="s">
        <v>46</v>
      </c>
      <c r="P1175" t="s">
        <v>51</v>
      </c>
      <c r="Q1175" t="s">
        <v>47</v>
      </c>
      <c r="R1175">
        <v>3375000</v>
      </c>
      <c r="S1175">
        <v>0</v>
      </c>
      <c r="T1175">
        <v>3004644</v>
      </c>
      <c r="U1175">
        <v>80008750731</v>
      </c>
      <c r="V1175" t="s">
        <v>252</v>
      </c>
      <c r="W1175" t="s">
        <v>253</v>
      </c>
      <c r="Y1175" t="s">
        <v>51</v>
      </c>
      <c r="Z1175">
        <v>1627</v>
      </c>
      <c r="AH1175">
        <v>0</v>
      </c>
      <c r="AI1175">
        <v>202505</v>
      </c>
      <c r="AJ1175" t="s">
        <v>56</v>
      </c>
      <c r="AK1175">
        <v>0</v>
      </c>
      <c r="AL1175">
        <v>1</v>
      </c>
      <c r="AO1175">
        <v>0</v>
      </c>
      <c r="AP1175" t="s">
        <v>3015</v>
      </c>
      <c r="AQ1175" t="s">
        <v>3052</v>
      </c>
      <c r="AR1175" t="s">
        <v>3053</v>
      </c>
      <c r="AS1175" t="s">
        <v>3037</v>
      </c>
      <c r="AU1175" t="s">
        <v>3037</v>
      </c>
    </row>
    <row r="1176" spans="1:47" x14ac:dyDescent="0.35">
      <c r="A1176">
        <v>348519</v>
      </c>
      <c r="B1176" t="s">
        <v>178</v>
      </c>
      <c r="C1176" t="s">
        <v>179</v>
      </c>
      <c r="D1176" s="2">
        <v>45808</v>
      </c>
      <c r="E1176">
        <v>53850</v>
      </c>
      <c r="F1176">
        <v>185</v>
      </c>
      <c r="G1176" t="s">
        <v>235</v>
      </c>
      <c r="H1176" t="s">
        <v>167</v>
      </c>
      <c r="I1176" t="s">
        <v>45</v>
      </c>
      <c r="K1176">
        <v>202505308027693</v>
      </c>
      <c r="L1176">
        <v>1853300025786</v>
      </c>
      <c r="M1176">
        <v>20250530</v>
      </c>
      <c r="N1176" t="s">
        <v>3136</v>
      </c>
      <c r="Q1176" t="s">
        <v>170</v>
      </c>
      <c r="R1176">
        <v>108303.22</v>
      </c>
      <c r="S1176">
        <v>0</v>
      </c>
      <c r="T1176">
        <v>3017106</v>
      </c>
      <c r="U1176" t="s">
        <v>1361</v>
      </c>
      <c r="V1176" t="s">
        <v>1362</v>
      </c>
      <c r="W1176" t="s">
        <v>187</v>
      </c>
      <c r="Y1176" t="s">
        <v>51</v>
      </c>
      <c r="Z1176">
        <v>610</v>
      </c>
      <c r="AH1176">
        <v>0</v>
      </c>
      <c r="AI1176">
        <v>202505</v>
      </c>
      <c r="AL1176">
        <v>1</v>
      </c>
      <c r="AO1176">
        <v>1</v>
      </c>
      <c r="AP1176" t="s">
        <v>3015</v>
      </c>
      <c r="AQ1176" t="s">
        <v>3044</v>
      </c>
      <c r="AR1176" t="s">
        <v>3045</v>
      </c>
      <c r="AS1176" t="s">
        <v>3046</v>
      </c>
      <c r="AU1176" t="s">
        <v>3046</v>
      </c>
    </row>
    <row r="1177" spans="1:47" x14ac:dyDescent="0.35">
      <c r="A1177">
        <v>348518</v>
      </c>
      <c r="B1177" t="s">
        <v>193</v>
      </c>
      <c r="C1177" t="s">
        <v>194</v>
      </c>
      <c r="D1177" s="2">
        <v>45808</v>
      </c>
      <c r="E1177">
        <v>53850</v>
      </c>
      <c r="F1177">
        <v>114</v>
      </c>
      <c r="G1177" t="s">
        <v>188</v>
      </c>
      <c r="H1177" t="s">
        <v>167</v>
      </c>
      <c r="I1177" t="s">
        <v>45</v>
      </c>
      <c r="K1177">
        <v>202505308027337</v>
      </c>
      <c r="L1177">
        <v>1143306280621</v>
      </c>
      <c r="M1177">
        <v>20250530</v>
      </c>
      <c r="N1177" t="s">
        <v>266</v>
      </c>
      <c r="Q1177" t="s">
        <v>47</v>
      </c>
      <c r="R1177">
        <v>35400</v>
      </c>
      <c r="S1177">
        <v>35400</v>
      </c>
      <c r="T1177">
        <v>4658875</v>
      </c>
      <c r="U1177">
        <v>3230890711</v>
      </c>
      <c r="V1177" t="s">
        <v>1363</v>
      </c>
      <c r="W1177" t="s">
        <v>49</v>
      </c>
      <c r="X1177" t="s">
        <v>131</v>
      </c>
      <c r="Y1177" t="s">
        <v>51</v>
      </c>
      <c r="Z1177">
        <v>870</v>
      </c>
      <c r="AH1177">
        <v>0</v>
      </c>
      <c r="AI1177">
        <v>202505</v>
      </c>
      <c r="AJ1177" t="s">
        <v>56</v>
      </c>
      <c r="AK1177">
        <v>0</v>
      </c>
      <c r="AL1177">
        <v>1</v>
      </c>
      <c r="AM1177">
        <v>4658875</v>
      </c>
      <c r="AN1177">
        <v>1</v>
      </c>
      <c r="AO1177">
        <v>0</v>
      </c>
      <c r="AP1177" t="s">
        <v>3033</v>
      </c>
      <c r="AQ1177" t="s">
        <v>3012</v>
      </c>
      <c r="AR1177" t="s">
        <v>3034</v>
      </c>
      <c r="AS1177" t="s">
        <v>3014</v>
      </c>
      <c r="AU1177" t="s">
        <v>3014</v>
      </c>
    </row>
    <row r="1178" spans="1:47" x14ac:dyDescent="0.35">
      <c r="A1178">
        <v>348517</v>
      </c>
      <c r="B1178" t="s">
        <v>193</v>
      </c>
      <c r="C1178" t="s">
        <v>194</v>
      </c>
      <c r="D1178" s="2">
        <v>45808</v>
      </c>
      <c r="E1178">
        <v>53850</v>
      </c>
      <c r="F1178">
        <v>102</v>
      </c>
      <c r="G1178" t="s">
        <v>151</v>
      </c>
      <c r="H1178" t="s">
        <v>167</v>
      </c>
      <c r="I1178" t="s">
        <v>45</v>
      </c>
      <c r="K1178">
        <v>202505308026354</v>
      </c>
      <c r="L1178">
        <v>1023308722503</v>
      </c>
      <c r="M1178">
        <v>20250530</v>
      </c>
      <c r="N1178" t="s">
        <v>195</v>
      </c>
      <c r="Q1178" t="s">
        <v>47</v>
      </c>
      <c r="R1178">
        <v>31980</v>
      </c>
      <c r="S1178">
        <v>31980</v>
      </c>
      <c r="T1178">
        <v>413650</v>
      </c>
      <c r="U1178">
        <v>3657230722</v>
      </c>
      <c r="V1178" t="s">
        <v>196</v>
      </c>
      <c r="W1178" t="s">
        <v>190</v>
      </c>
      <c r="X1178" t="s">
        <v>197</v>
      </c>
      <c r="Y1178" t="s">
        <v>51</v>
      </c>
      <c r="Z1178">
        <v>1306</v>
      </c>
      <c r="AH1178">
        <v>0</v>
      </c>
      <c r="AI1178">
        <v>202505</v>
      </c>
      <c r="AJ1178" t="s">
        <v>56</v>
      </c>
      <c r="AK1178">
        <v>0</v>
      </c>
      <c r="AL1178">
        <v>1</v>
      </c>
      <c r="AM1178">
        <v>413650</v>
      </c>
      <c r="AN1178">
        <v>1</v>
      </c>
      <c r="AO1178">
        <v>0</v>
      </c>
      <c r="AP1178" t="s">
        <v>3050</v>
      </c>
      <c r="AQ1178" t="s">
        <v>3047</v>
      </c>
      <c r="AR1178" t="s">
        <v>3051</v>
      </c>
      <c r="AS1178" t="s">
        <v>3049</v>
      </c>
      <c r="AU1178" t="s">
        <v>3049</v>
      </c>
    </row>
    <row r="1179" spans="1:47" x14ac:dyDescent="0.35">
      <c r="A1179">
        <v>348516</v>
      </c>
      <c r="B1179" t="s">
        <v>193</v>
      </c>
      <c r="C1179" t="s">
        <v>194</v>
      </c>
      <c r="D1179" s="2">
        <v>45808</v>
      </c>
      <c r="E1179">
        <v>53850</v>
      </c>
      <c r="F1179">
        <v>287</v>
      </c>
      <c r="G1179" t="s">
        <v>707</v>
      </c>
      <c r="H1179" t="s">
        <v>167</v>
      </c>
      <c r="I1179" t="s">
        <v>45</v>
      </c>
      <c r="K1179" t="s">
        <v>1331</v>
      </c>
      <c r="L1179">
        <v>2873300001853</v>
      </c>
      <c r="M1179">
        <v>20250530</v>
      </c>
      <c r="N1179" t="s">
        <v>175</v>
      </c>
      <c r="Q1179" t="s">
        <v>47</v>
      </c>
      <c r="R1179">
        <v>51669.84</v>
      </c>
      <c r="S1179">
        <v>35590</v>
      </c>
      <c r="T1179">
        <v>3722213</v>
      </c>
      <c r="U1179">
        <v>2021570698</v>
      </c>
      <c r="V1179" t="s">
        <v>708</v>
      </c>
      <c r="W1179" t="s">
        <v>49</v>
      </c>
      <c r="X1179" t="s">
        <v>117</v>
      </c>
      <c r="Y1179" t="s">
        <v>51</v>
      </c>
      <c r="Z1179">
        <v>1877</v>
      </c>
      <c r="AH1179">
        <v>0</v>
      </c>
      <c r="AI1179">
        <v>202505</v>
      </c>
      <c r="AJ1179" t="s">
        <v>52</v>
      </c>
      <c r="AK1179">
        <v>0</v>
      </c>
      <c r="AL1179">
        <v>1</v>
      </c>
      <c r="AM1179">
        <v>3722213</v>
      </c>
      <c r="AN1179">
        <v>1</v>
      </c>
      <c r="AO1179">
        <v>1</v>
      </c>
      <c r="AP1179" t="s">
        <v>3029</v>
      </c>
      <c r="AQ1179" t="s">
        <v>3012</v>
      </c>
      <c r="AR1179" t="s">
        <v>3030</v>
      </c>
      <c r="AS1179" t="s">
        <v>3014</v>
      </c>
      <c r="AU1179" t="s">
        <v>3014</v>
      </c>
    </row>
    <row r="1180" spans="1:47" x14ac:dyDescent="0.35">
      <c r="A1180">
        <v>348515</v>
      </c>
      <c r="B1180" t="s">
        <v>178</v>
      </c>
      <c r="C1180" t="s">
        <v>179</v>
      </c>
      <c r="D1180" s="2">
        <v>45808</v>
      </c>
      <c r="E1180">
        <v>53850</v>
      </c>
      <c r="F1180">
        <v>120</v>
      </c>
      <c r="G1180" t="s">
        <v>411</v>
      </c>
      <c r="H1180" t="s">
        <v>167</v>
      </c>
      <c r="I1180" t="s">
        <v>45</v>
      </c>
      <c r="K1180">
        <v>202505308023972</v>
      </c>
      <c r="L1180">
        <v>1203300002401</v>
      </c>
      <c r="M1180">
        <v>20250530</v>
      </c>
      <c r="N1180" t="s">
        <v>236</v>
      </c>
      <c r="P1180" t="s">
        <v>51</v>
      </c>
      <c r="Q1180" t="s">
        <v>170</v>
      </c>
      <c r="R1180">
        <v>2057740.82</v>
      </c>
      <c r="S1180">
        <v>0</v>
      </c>
      <c r="T1180">
        <v>613876</v>
      </c>
      <c r="U1180">
        <v>574290722</v>
      </c>
      <c r="V1180" t="s">
        <v>545</v>
      </c>
      <c r="W1180" t="s">
        <v>546</v>
      </c>
      <c r="X1180" t="s">
        <v>421</v>
      </c>
      <c r="Y1180" t="s">
        <v>51</v>
      </c>
      <c r="Z1180">
        <v>1058</v>
      </c>
      <c r="AH1180">
        <v>0</v>
      </c>
      <c r="AI1180">
        <v>202505</v>
      </c>
      <c r="AJ1180" t="s">
        <v>56</v>
      </c>
      <c r="AK1180">
        <v>0</v>
      </c>
      <c r="AL1180">
        <v>1</v>
      </c>
      <c r="AM1180">
        <v>613876</v>
      </c>
      <c r="AN1180">
        <v>1</v>
      </c>
      <c r="AO1180">
        <v>0</v>
      </c>
      <c r="AP1180" t="s">
        <v>3015</v>
      </c>
      <c r="AQ1180" t="s">
        <v>3076</v>
      </c>
      <c r="AR1180" t="s">
        <v>3077</v>
      </c>
      <c r="AT1180" t="s">
        <v>3017</v>
      </c>
      <c r="AU1180" t="s">
        <v>3014</v>
      </c>
    </row>
    <row r="1181" spans="1:47" x14ac:dyDescent="0.35">
      <c r="A1181">
        <v>348514</v>
      </c>
      <c r="B1181" t="s">
        <v>214</v>
      </c>
      <c r="C1181" t="s">
        <v>215</v>
      </c>
      <c r="D1181" s="2">
        <v>45808</v>
      </c>
      <c r="E1181">
        <v>53850</v>
      </c>
      <c r="F1181">
        <v>104</v>
      </c>
      <c r="G1181" t="s">
        <v>108</v>
      </c>
      <c r="H1181" t="s">
        <v>167</v>
      </c>
      <c r="I1181" t="s">
        <v>45</v>
      </c>
      <c r="K1181">
        <v>202505308025935</v>
      </c>
      <c r="L1181">
        <v>1041204801448</v>
      </c>
      <c r="M1181">
        <v>20250530</v>
      </c>
      <c r="N1181" t="s">
        <v>168</v>
      </c>
      <c r="P1181" t="s">
        <v>520</v>
      </c>
      <c r="Q1181" t="s">
        <v>170</v>
      </c>
      <c r="R1181">
        <v>50000</v>
      </c>
      <c r="S1181">
        <v>0</v>
      </c>
      <c r="T1181">
        <v>4801448</v>
      </c>
      <c r="U1181">
        <v>7244980723</v>
      </c>
      <c r="V1181" t="s">
        <v>1364</v>
      </c>
      <c r="W1181" t="s">
        <v>49</v>
      </c>
      <c r="X1181" t="s">
        <v>241</v>
      </c>
      <c r="Y1181" t="s">
        <v>51</v>
      </c>
      <c r="Z1181">
        <v>727</v>
      </c>
      <c r="AH1181">
        <v>0</v>
      </c>
      <c r="AI1181">
        <v>202505</v>
      </c>
      <c r="AL1181">
        <v>1</v>
      </c>
      <c r="AO1181">
        <v>0</v>
      </c>
      <c r="AP1181" t="s">
        <v>3015</v>
      </c>
      <c r="AQ1181" t="s">
        <v>3012</v>
      </c>
      <c r="AR1181" t="s">
        <v>3016</v>
      </c>
      <c r="AT1181" t="s">
        <v>3017</v>
      </c>
      <c r="AU1181" t="s">
        <v>3018</v>
      </c>
    </row>
    <row r="1182" spans="1:47" x14ac:dyDescent="0.35">
      <c r="A1182">
        <v>348513</v>
      </c>
      <c r="B1182" t="s">
        <v>172</v>
      </c>
      <c r="C1182" t="s">
        <v>173</v>
      </c>
      <c r="D1182" s="2">
        <v>45808</v>
      </c>
      <c r="E1182">
        <v>53850</v>
      </c>
      <c r="F1182">
        <v>170</v>
      </c>
      <c r="G1182" t="s">
        <v>211</v>
      </c>
      <c r="H1182" t="s">
        <v>167</v>
      </c>
      <c r="I1182" t="s">
        <v>45</v>
      </c>
      <c r="K1182" t="s">
        <v>1331</v>
      </c>
      <c r="L1182">
        <v>1703306288421</v>
      </c>
      <c r="M1182">
        <v>20250530</v>
      </c>
      <c r="N1182" t="s">
        <v>175</v>
      </c>
      <c r="Q1182" t="s">
        <v>47</v>
      </c>
      <c r="R1182">
        <v>130913.59</v>
      </c>
      <c r="S1182">
        <v>0</v>
      </c>
      <c r="T1182">
        <v>4803929</v>
      </c>
      <c r="U1182">
        <v>4829870726</v>
      </c>
      <c r="V1182" t="s">
        <v>212</v>
      </c>
      <c r="W1182" t="s">
        <v>49</v>
      </c>
      <c r="X1182" t="s">
        <v>213</v>
      </c>
      <c r="Y1182" t="s">
        <v>51</v>
      </c>
      <c r="Z1182">
        <v>1696</v>
      </c>
      <c r="AH1182">
        <v>0</v>
      </c>
      <c r="AI1182">
        <v>202505</v>
      </c>
      <c r="AL1182">
        <v>1</v>
      </c>
      <c r="AO1182">
        <v>1</v>
      </c>
      <c r="AP1182" t="s">
        <v>3015</v>
      </c>
      <c r="AQ1182" t="s">
        <v>3012</v>
      </c>
      <c r="AR1182" t="s">
        <v>3016</v>
      </c>
      <c r="AT1182" t="s">
        <v>3017</v>
      </c>
      <c r="AU1182" t="s">
        <v>3018</v>
      </c>
    </row>
    <row r="1183" spans="1:47" x14ac:dyDescent="0.35">
      <c r="A1183">
        <v>348512</v>
      </c>
      <c r="B1183" t="s">
        <v>164</v>
      </c>
      <c r="C1183" t="s">
        <v>165</v>
      </c>
      <c r="D1183" s="2">
        <v>45808</v>
      </c>
      <c r="E1183">
        <v>53850</v>
      </c>
      <c r="F1183">
        <v>274</v>
      </c>
      <c r="G1183" t="s">
        <v>427</v>
      </c>
      <c r="H1183" t="s">
        <v>167</v>
      </c>
      <c r="I1183" t="s">
        <v>45</v>
      </c>
      <c r="K1183" t="s">
        <v>1365</v>
      </c>
      <c r="L1183">
        <v>2743300000272</v>
      </c>
      <c r="M1183">
        <v>20250530</v>
      </c>
      <c r="N1183" t="s">
        <v>168</v>
      </c>
      <c r="P1183" t="s">
        <v>255</v>
      </c>
      <c r="Q1183" t="s">
        <v>47</v>
      </c>
      <c r="R1183">
        <v>1630.18</v>
      </c>
      <c r="S1183">
        <v>0</v>
      </c>
      <c r="T1183">
        <v>1622875</v>
      </c>
      <c r="U1183">
        <v>1689300695</v>
      </c>
      <c r="V1183" t="s">
        <v>429</v>
      </c>
      <c r="W1183" t="s">
        <v>49</v>
      </c>
      <c r="X1183" t="s">
        <v>430</v>
      </c>
      <c r="Y1183" t="s">
        <v>51</v>
      </c>
      <c r="Z1183">
        <v>1413</v>
      </c>
      <c r="AH1183">
        <v>0</v>
      </c>
      <c r="AI1183">
        <v>202505</v>
      </c>
      <c r="AL1183">
        <v>1</v>
      </c>
      <c r="AO1183">
        <v>0</v>
      </c>
      <c r="AP1183" t="s">
        <v>3015</v>
      </c>
      <c r="AQ1183" t="s">
        <v>3012</v>
      </c>
      <c r="AR1183" t="s">
        <v>3016</v>
      </c>
      <c r="AT1183" t="s">
        <v>3017</v>
      </c>
      <c r="AU1183" t="s">
        <v>3018</v>
      </c>
    </row>
    <row r="1184" spans="1:47" x14ac:dyDescent="0.35">
      <c r="A1184">
        <v>348511</v>
      </c>
      <c r="B1184" t="s">
        <v>172</v>
      </c>
      <c r="C1184" t="s">
        <v>173</v>
      </c>
      <c r="D1184" s="2">
        <v>45808</v>
      </c>
      <c r="E1184">
        <v>53850</v>
      </c>
      <c r="F1184">
        <v>120</v>
      </c>
      <c r="G1184" t="s">
        <v>411</v>
      </c>
      <c r="H1184" t="s">
        <v>167</v>
      </c>
      <c r="I1184" t="s">
        <v>45</v>
      </c>
      <c r="K1184" t="s">
        <v>1331</v>
      </c>
      <c r="L1184">
        <v>1033306972385</v>
      </c>
      <c r="M1184">
        <v>20250530</v>
      </c>
      <c r="N1184" t="s">
        <v>175</v>
      </c>
      <c r="Q1184" t="s">
        <v>47</v>
      </c>
      <c r="R1184">
        <v>265131.34999999998</v>
      </c>
      <c r="S1184">
        <v>0</v>
      </c>
      <c r="T1184">
        <v>4419363</v>
      </c>
      <c r="U1184">
        <v>6616290729</v>
      </c>
      <c r="V1184" t="s">
        <v>1366</v>
      </c>
      <c r="W1184" t="s">
        <v>49</v>
      </c>
      <c r="X1184" t="s">
        <v>59</v>
      </c>
      <c r="Y1184" t="s">
        <v>51</v>
      </c>
      <c r="Z1184">
        <v>1274</v>
      </c>
      <c r="AH1184">
        <v>0</v>
      </c>
      <c r="AI1184">
        <v>202505</v>
      </c>
      <c r="AL1184">
        <v>1</v>
      </c>
      <c r="AO1184">
        <v>1</v>
      </c>
      <c r="AP1184" t="s">
        <v>3015</v>
      </c>
      <c r="AQ1184" t="s">
        <v>3012</v>
      </c>
      <c r="AR1184" t="s">
        <v>3016</v>
      </c>
      <c r="AT1184" t="s">
        <v>3017</v>
      </c>
      <c r="AU1184" t="s">
        <v>3018</v>
      </c>
    </row>
    <row r="1185" spans="1:47" x14ac:dyDescent="0.35">
      <c r="A1185">
        <v>348510</v>
      </c>
      <c r="B1185" t="s">
        <v>178</v>
      </c>
      <c r="C1185" t="s">
        <v>179</v>
      </c>
      <c r="D1185" s="2">
        <v>45808</v>
      </c>
      <c r="E1185">
        <v>53850</v>
      </c>
      <c r="F1185">
        <v>181</v>
      </c>
      <c r="G1185" t="s">
        <v>180</v>
      </c>
      <c r="H1185" t="s">
        <v>167</v>
      </c>
      <c r="I1185" t="s">
        <v>45</v>
      </c>
      <c r="K1185">
        <v>202505298027657</v>
      </c>
      <c r="L1185">
        <v>1813301035232</v>
      </c>
      <c r="M1185">
        <v>20250529</v>
      </c>
      <c r="N1185" t="s">
        <v>236</v>
      </c>
      <c r="P1185" t="s">
        <v>51</v>
      </c>
      <c r="Q1185" t="s">
        <v>170</v>
      </c>
      <c r="R1185">
        <v>656000</v>
      </c>
      <c r="S1185">
        <v>0</v>
      </c>
      <c r="T1185">
        <v>3738884</v>
      </c>
      <c r="U1185">
        <v>8714420729</v>
      </c>
      <c r="V1185" t="s">
        <v>1367</v>
      </c>
      <c r="W1185" t="s">
        <v>69</v>
      </c>
      <c r="X1185" t="s">
        <v>234</v>
      </c>
      <c r="Y1185" t="s">
        <v>51</v>
      </c>
      <c r="Z1185">
        <v>1943</v>
      </c>
      <c r="AH1185">
        <v>0</v>
      </c>
      <c r="AI1185">
        <v>202505</v>
      </c>
      <c r="AL1185">
        <v>1</v>
      </c>
      <c r="AO1185">
        <v>0</v>
      </c>
      <c r="AP1185" t="s">
        <v>3015</v>
      </c>
      <c r="AQ1185" t="s">
        <v>3021</v>
      </c>
      <c r="AR1185" t="s">
        <v>3022</v>
      </c>
      <c r="AT1185" t="s">
        <v>3017</v>
      </c>
      <c r="AU1185" t="s">
        <v>3014</v>
      </c>
    </row>
    <row r="1186" spans="1:47" x14ac:dyDescent="0.35">
      <c r="A1186">
        <v>348509</v>
      </c>
      <c r="B1186" t="s">
        <v>178</v>
      </c>
      <c r="C1186" t="s">
        <v>179</v>
      </c>
      <c r="D1186" s="2">
        <v>45807</v>
      </c>
      <c r="E1186">
        <v>53850</v>
      </c>
      <c r="F1186">
        <v>273</v>
      </c>
      <c r="G1186" t="s">
        <v>133</v>
      </c>
      <c r="H1186" t="s">
        <v>167</v>
      </c>
      <c r="I1186" t="s">
        <v>45</v>
      </c>
      <c r="K1186">
        <v>202505308022767</v>
      </c>
      <c r="L1186">
        <v>2733300001901</v>
      </c>
      <c r="M1186">
        <v>20250530</v>
      </c>
      <c r="N1186" t="s">
        <v>303</v>
      </c>
      <c r="Q1186" t="s">
        <v>170</v>
      </c>
      <c r="R1186">
        <v>992320</v>
      </c>
      <c r="S1186">
        <v>0</v>
      </c>
      <c r="T1186">
        <v>1671965</v>
      </c>
      <c r="U1186" t="s">
        <v>1368</v>
      </c>
      <c r="V1186" t="s">
        <v>1369</v>
      </c>
      <c r="W1186" t="s">
        <v>187</v>
      </c>
      <c r="Y1186" t="s">
        <v>51</v>
      </c>
      <c r="Z1186">
        <v>1844</v>
      </c>
      <c r="AH1186">
        <v>0</v>
      </c>
      <c r="AI1186">
        <v>202505</v>
      </c>
      <c r="AJ1186" t="s">
        <v>52</v>
      </c>
      <c r="AK1186">
        <v>0</v>
      </c>
      <c r="AL1186">
        <v>1</v>
      </c>
      <c r="AO1186">
        <v>0</v>
      </c>
      <c r="AP1186" t="s">
        <v>3015</v>
      </c>
      <c r="AQ1186" t="s">
        <v>3044</v>
      </c>
      <c r="AR1186" t="s">
        <v>3045</v>
      </c>
      <c r="AS1186" t="s">
        <v>3046</v>
      </c>
      <c r="AU1186" t="s">
        <v>3046</v>
      </c>
    </row>
    <row r="1187" spans="1:47" x14ac:dyDescent="0.35">
      <c r="A1187">
        <v>348508</v>
      </c>
      <c r="B1187" t="s">
        <v>178</v>
      </c>
      <c r="C1187" t="s">
        <v>179</v>
      </c>
      <c r="D1187" s="2">
        <v>45807</v>
      </c>
      <c r="E1187">
        <v>53850</v>
      </c>
      <c r="F1187">
        <v>273</v>
      </c>
      <c r="G1187" t="s">
        <v>133</v>
      </c>
      <c r="H1187" t="s">
        <v>167</v>
      </c>
      <c r="I1187" t="s">
        <v>45</v>
      </c>
      <c r="K1187">
        <v>202505308022766</v>
      </c>
      <c r="L1187">
        <v>2733300001901</v>
      </c>
      <c r="M1187">
        <v>20250530</v>
      </c>
      <c r="N1187" t="s">
        <v>924</v>
      </c>
      <c r="Q1187" t="s">
        <v>47</v>
      </c>
      <c r="R1187">
        <v>1000000</v>
      </c>
      <c r="S1187">
        <v>0</v>
      </c>
      <c r="T1187">
        <v>1671771</v>
      </c>
      <c r="U1187" t="s">
        <v>1370</v>
      </c>
      <c r="V1187" t="s">
        <v>1371</v>
      </c>
      <c r="W1187" t="s">
        <v>187</v>
      </c>
      <c r="Y1187" t="s">
        <v>51</v>
      </c>
      <c r="Z1187">
        <v>1844</v>
      </c>
      <c r="AH1187">
        <v>0</v>
      </c>
      <c r="AI1187">
        <v>202505</v>
      </c>
      <c r="AJ1187" t="s">
        <v>52</v>
      </c>
      <c r="AK1187">
        <v>0</v>
      </c>
      <c r="AL1187">
        <v>1</v>
      </c>
      <c r="AO1187">
        <v>0</v>
      </c>
      <c r="AP1187" t="s">
        <v>3015</v>
      </c>
      <c r="AQ1187" t="s">
        <v>3044</v>
      </c>
      <c r="AR1187" t="s">
        <v>3045</v>
      </c>
      <c r="AS1187" t="s">
        <v>3046</v>
      </c>
      <c r="AU1187" t="s">
        <v>3046</v>
      </c>
    </row>
    <row r="1188" spans="1:47" x14ac:dyDescent="0.35">
      <c r="A1188">
        <v>348507</v>
      </c>
      <c r="B1188" t="s">
        <v>178</v>
      </c>
      <c r="C1188" t="s">
        <v>179</v>
      </c>
      <c r="D1188" s="2">
        <v>45807</v>
      </c>
      <c r="E1188">
        <v>53850</v>
      </c>
      <c r="F1188">
        <v>103</v>
      </c>
      <c r="G1188" t="s">
        <v>80</v>
      </c>
      <c r="H1188" t="s">
        <v>167</v>
      </c>
      <c r="I1188" t="s">
        <v>45</v>
      </c>
      <c r="K1188">
        <v>202505308022317</v>
      </c>
      <c r="L1188">
        <v>1033301682021</v>
      </c>
      <c r="M1188">
        <v>20250530</v>
      </c>
      <c r="N1188" t="s">
        <v>924</v>
      </c>
      <c r="Q1188" t="s">
        <v>47</v>
      </c>
      <c r="R1188">
        <v>350000</v>
      </c>
      <c r="S1188">
        <v>0</v>
      </c>
      <c r="T1188">
        <v>107653</v>
      </c>
      <c r="U1188" t="s">
        <v>1372</v>
      </c>
      <c r="V1188" t="s">
        <v>1373</v>
      </c>
      <c r="W1188" t="s">
        <v>187</v>
      </c>
      <c r="Y1188" t="s">
        <v>51</v>
      </c>
      <c r="AH1188">
        <v>0</v>
      </c>
      <c r="AI1188">
        <v>202505</v>
      </c>
      <c r="AJ1188" t="s">
        <v>86</v>
      </c>
      <c r="AK1188">
        <v>1</v>
      </c>
      <c r="AL1188">
        <v>1</v>
      </c>
      <c r="AO1188">
        <v>0</v>
      </c>
      <c r="AP1188" t="s">
        <v>3015</v>
      </c>
      <c r="AQ1188" t="s">
        <v>3044</v>
      </c>
      <c r="AR1188" t="s">
        <v>3045</v>
      </c>
      <c r="AS1188" t="s">
        <v>3046</v>
      </c>
      <c r="AU1188" t="s">
        <v>3046</v>
      </c>
    </row>
    <row r="1189" spans="1:47" x14ac:dyDescent="0.35">
      <c r="A1189">
        <v>348506</v>
      </c>
      <c r="B1189" t="s">
        <v>178</v>
      </c>
      <c r="C1189" t="s">
        <v>179</v>
      </c>
      <c r="D1189" s="2">
        <v>45807</v>
      </c>
      <c r="E1189">
        <v>53850</v>
      </c>
      <c r="F1189">
        <v>188</v>
      </c>
      <c r="G1189" t="s">
        <v>419</v>
      </c>
      <c r="H1189" t="s">
        <v>167</v>
      </c>
      <c r="I1189" t="s">
        <v>45</v>
      </c>
      <c r="K1189">
        <v>202505308022232</v>
      </c>
      <c r="L1189">
        <v>1883300130370</v>
      </c>
      <c r="M1189">
        <v>20250530</v>
      </c>
      <c r="N1189" t="s">
        <v>921</v>
      </c>
      <c r="Q1189" t="s">
        <v>170</v>
      </c>
      <c r="R1189">
        <v>250000</v>
      </c>
      <c r="S1189">
        <v>0</v>
      </c>
      <c r="T1189">
        <v>3007793</v>
      </c>
      <c r="U1189" t="s">
        <v>1374</v>
      </c>
      <c r="V1189" t="s">
        <v>1375</v>
      </c>
      <c r="W1189" t="s">
        <v>69</v>
      </c>
      <c r="X1189" t="s">
        <v>131</v>
      </c>
      <c r="Y1189" t="s">
        <v>51</v>
      </c>
      <c r="Z1189">
        <v>637</v>
      </c>
      <c r="AH1189">
        <v>0</v>
      </c>
      <c r="AI1189">
        <v>202505</v>
      </c>
      <c r="AJ1189" t="s">
        <v>56</v>
      </c>
      <c r="AK1189">
        <v>0</v>
      </c>
      <c r="AL1189">
        <v>1</v>
      </c>
      <c r="AO1189">
        <v>0</v>
      </c>
      <c r="AP1189" t="s">
        <v>3033</v>
      </c>
      <c r="AQ1189" t="s">
        <v>3021</v>
      </c>
      <c r="AR1189" t="s">
        <v>3054</v>
      </c>
      <c r="AS1189" t="s">
        <v>3055</v>
      </c>
      <c r="AU1189" t="s">
        <v>3055</v>
      </c>
    </row>
    <row r="1190" spans="1:47" x14ac:dyDescent="0.35">
      <c r="A1190">
        <v>348505</v>
      </c>
      <c r="B1190" t="s">
        <v>178</v>
      </c>
      <c r="C1190" t="s">
        <v>179</v>
      </c>
      <c r="D1190" s="2">
        <v>45807</v>
      </c>
      <c r="E1190">
        <v>53850</v>
      </c>
      <c r="F1190">
        <v>270</v>
      </c>
      <c r="G1190" t="s">
        <v>524</v>
      </c>
      <c r="H1190" t="s">
        <v>167</v>
      </c>
      <c r="I1190" t="s">
        <v>45</v>
      </c>
      <c r="K1190">
        <v>202505308022749</v>
      </c>
      <c r="L1190">
        <v>2703300002369</v>
      </c>
      <c r="M1190">
        <v>20250530</v>
      </c>
      <c r="N1190" t="s">
        <v>303</v>
      </c>
      <c r="Q1190" t="s">
        <v>170</v>
      </c>
      <c r="R1190">
        <v>1111398.3999999999</v>
      </c>
      <c r="S1190">
        <v>0</v>
      </c>
      <c r="T1190">
        <v>1679871</v>
      </c>
      <c r="U1190" t="s">
        <v>1376</v>
      </c>
      <c r="V1190" t="s">
        <v>1377</v>
      </c>
      <c r="W1190" t="s">
        <v>187</v>
      </c>
      <c r="Y1190" t="s">
        <v>51</v>
      </c>
      <c r="Z1190">
        <v>1803</v>
      </c>
      <c r="AH1190">
        <v>0</v>
      </c>
      <c r="AI1190">
        <v>202505</v>
      </c>
      <c r="AJ1190" t="s">
        <v>52</v>
      </c>
      <c r="AK1190">
        <v>0</v>
      </c>
      <c r="AL1190">
        <v>1</v>
      </c>
      <c r="AO1190">
        <v>0</v>
      </c>
      <c r="AP1190" t="s">
        <v>3015</v>
      </c>
      <c r="AQ1190" t="s">
        <v>3044</v>
      </c>
      <c r="AR1190" t="s">
        <v>3045</v>
      </c>
      <c r="AS1190" t="s">
        <v>3046</v>
      </c>
      <c r="AU1190" t="s">
        <v>3046</v>
      </c>
    </row>
    <row r="1191" spans="1:47" x14ac:dyDescent="0.35">
      <c r="A1191">
        <v>348504</v>
      </c>
      <c r="B1191" t="s">
        <v>178</v>
      </c>
      <c r="C1191" t="s">
        <v>179</v>
      </c>
      <c r="D1191" s="2">
        <v>45807</v>
      </c>
      <c r="E1191">
        <v>53850</v>
      </c>
      <c r="F1191">
        <v>270</v>
      </c>
      <c r="G1191" t="s">
        <v>524</v>
      </c>
      <c r="H1191" t="s">
        <v>167</v>
      </c>
      <c r="I1191" t="s">
        <v>45</v>
      </c>
      <c r="K1191">
        <v>202505308022748</v>
      </c>
      <c r="L1191">
        <v>2703300002369</v>
      </c>
      <c r="M1191">
        <v>20250530</v>
      </c>
      <c r="N1191" t="s">
        <v>924</v>
      </c>
      <c r="Q1191" t="s">
        <v>47</v>
      </c>
      <c r="R1191">
        <v>1075000</v>
      </c>
      <c r="S1191">
        <v>0</v>
      </c>
      <c r="T1191">
        <v>1679871</v>
      </c>
      <c r="U1191" t="s">
        <v>1376</v>
      </c>
      <c r="V1191" t="s">
        <v>1377</v>
      </c>
      <c r="W1191" t="s">
        <v>187</v>
      </c>
      <c r="Y1191" t="s">
        <v>51</v>
      </c>
      <c r="Z1191">
        <v>1803</v>
      </c>
      <c r="AH1191">
        <v>0</v>
      </c>
      <c r="AI1191">
        <v>202505</v>
      </c>
      <c r="AJ1191" t="s">
        <v>52</v>
      </c>
      <c r="AK1191">
        <v>0</v>
      </c>
      <c r="AL1191">
        <v>1</v>
      </c>
      <c r="AO1191">
        <v>0</v>
      </c>
      <c r="AP1191" t="s">
        <v>3015</v>
      </c>
      <c r="AQ1191" t="s">
        <v>3044</v>
      </c>
      <c r="AR1191" t="s">
        <v>3045</v>
      </c>
      <c r="AS1191" t="s">
        <v>3046</v>
      </c>
      <c r="AU1191" t="s">
        <v>3046</v>
      </c>
    </row>
    <row r="1192" spans="1:47" x14ac:dyDescent="0.35">
      <c r="A1192">
        <v>348503</v>
      </c>
      <c r="B1192" t="s">
        <v>178</v>
      </c>
      <c r="C1192" t="s">
        <v>179</v>
      </c>
      <c r="D1192" s="2">
        <v>45807</v>
      </c>
      <c r="E1192">
        <v>53850</v>
      </c>
      <c r="F1192">
        <v>103</v>
      </c>
      <c r="G1192" t="s">
        <v>80</v>
      </c>
      <c r="H1192" t="s">
        <v>167</v>
      </c>
      <c r="I1192" t="s">
        <v>45</v>
      </c>
      <c r="K1192">
        <v>202505308022317</v>
      </c>
      <c r="L1192">
        <v>1033301682021</v>
      </c>
      <c r="M1192">
        <v>20250530</v>
      </c>
      <c r="N1192" t="s">
        <v>924</v>
      </c>
      <c r="Q1192" t="s">
        <v>47</v>
      </c>
      <c r="R1192">
        <v>350000</v>
      </c>
      <c r="S1192">
        <v>0</v>
      </c>
      <c r="T1192">
        <v>150652</v>
      </c>
      <c r="U1192" t="s">
        <v>1378</v>
      </c>
      <c r="V1192" t="s">
        <v>1379</v>
      </c>
      <c r="W1192" t="s">
        <v>187</v>
      </c>
      <c r="Y1192" t="s">
        <v>51</v>
      </c>
      <c r="AH1192">
        <v>0</v>
      </c>
      <c r="AI1192">
        <v>202505</v>
      </c>
      <c r="AJ1192" t="s">
        <v>56</v>
      </c>
      <c r="AK1192">
        <v>0</v>
      </c>
      <c r="AL1192">
        <v>1</v>
      </c>
      <c r="AO1192">
        <v>0</v>
      </c>
      <c r="AP1192" t="s">
        <v>3015</v>
      </c>
      <c r="AQ1192" t="s">
        <v>3044</v>
      </c>
      <c r="AR1192" t="s">
        <v>3045</v>
      </c>
      <c r="AS1192" t="s">
        <v>3046</v>
      </c>
      <c r="AU1192" t="s">
        <v>3046</v>
      </c>
    </row>
    <row r="1193" spans="1:47" x14ac:dyDescent="0.35">
      <c r="A1193">
        <v>348502</v>
      </c>
      <c r="B1193" t="s">
        <v>178</v>
      </c>
      <c r="C1193" t="s">
        <v>179</v>
      </c>
      <c r="D1193" s="2">
        <v>45807</v>
      </c>
      <c r="E1193">
        <v>53850</v>
      </c>
      <c r="F1193">
        <v>273</v>
      </c>
      <c r="G1193" t="s">
        <v>133</v>
      </c>
      <c r="H1193" t="s">
        <v>167</v>
      </c>
      <c r="I1193" t="s">
        <v>45</v>
      </c>
      <c r="K1193">
        <v>202505308022767</v>
      </c>
      <c r="L1193">
        <v>2733300001901</v>
      </c>
      <c r="M1193">
        <v>20250530</v>
      </c>
      <c r="N1193" t="s">
        <v>303</v>
      </c>
      <c r="Q1193" t="s">
        <v>170</v>
      </c>
      <c r="R1193">
        <v>992320</v>
      </c>
      <c r="S1193">
        <v>0</v>
      </c>
      <c r="T1193">
        <v>1671771</v>
      </c>
      <c r="U1193" t="s">
        <v>1370</v>
      </c>
      <c r="V1193" t="s">
        <v>1371</v>
      </c>
      <c r="W1193" t="s">
        <v>187</v>
      </c>
      <c r="Y1193" t="s">
        <v>51</v>
      </c>
      <c r="Z1193">
        <v>1844</v>
      </c>
      <c r="AH1193">
        <v>0</v>
      </c>
      <c r="AI1193">
        <v>202505</v>
      </c>
      <c r="AJ1193" t="s">
        <v>52</v>
      </c>
      <c r="AK1193">
        <v>0</v>
      </c>
      <c r="AL1193">
        <v>1</v>
      </c>
      <c r="AO1193">
        <v>0</v>
      </c>
      <c r="AP1193" t="s">
        <v>3015</v>
      </c>
      <c r="AQ1193" t="s">
        <v>3044</v>
      </c>
      <c r="AR1193" t="s">
        <v>3045</v>
      </c>
      <c r="AS1193" t="s">
        <v>3046</v>
      </c>
      <c r="AU1193" t="s">
        <v>3046</v>
      </c>
    </row>
    <row r="1194" spans="1:47" x14ac:dyDescent="0.35">
      <c r="A1194">
        <v>348501</v>
      </c>
      <c r="B1194" t="s">
        <v>178</v>
      </c>
      <c r="C1194" t="s">
        <v>179</v>
      </c>
      <c r="D1194" s="2">
        <v>45807</v>
      </c>
      <c r="E1194">
        <v>53850</v>
      </c>
      <c r="F1194">
        <v>273</v>
      </c>
      <c r="G1194" t="s">
        <v>133</v>
      </c>
      <c r="H1194" t="s">
        <v>167</v>
      </c>
      <c r="I1194" t="s">
        <v>45</v>
      </c>
      <c r="K1194">
        <v>202505308022766</v>
      </c>
      <c r="L1194">
        <v>2733300001901</v>
      </c>
      <c r="M1194">
        <v>20250530</v>
      </c>
      <c r="N1194" t="s">
        <v>924</v>
      </c>
      <c r="Q1194" t="s">
        <v>47</v>
      </c>
      <c r="R1194">
        <v>1000000</v>
      </c>
      <c r="S1194">
        <v>0</v>
      </c>
      <c r="T1194">
        <v>1671965</v>
      </c>
      <c r="U1194" t="s">
        <v>1368</v>
      </c>
      <c r="V1194" t="s">
        <v>1369</v>
      </c>
      <c r="W1194" t="s">
        <v>187</v>
      </c>
      <c r="Y1194" t="s">
        <v>51</v>
      </c>
      <c r="Z1194">
        <v>1844</v>
      </c>
      <c r="AH1194">
        <v>0</v>
      </c>
      <c r="AI1194">
        <v>202505</v>
      </c>
      <c r="AJ1194" t="s">
        <v>52</v>
      </c>
      <c r="AK1194">
        <v>0</v>
      </c>
      <c r="AL1194">
        <v>1</v>
      </c>
      <c r="AO1194">
        <v>0</v>
      </c>
      <c r="AP1194" t="s">
        <v>3015</v>
      </c>
      <c r="AQ1194" t="s">
        <v>3044</v>
      </c>
      <c r="AR1194" t="s">
        <v>3045</v>
      </c>
      <c r="AS1194" t="s">
        <v>3046</v>
      </c>
      <c r="AU1194" t="s">
        <v>3046</v>
      </c>
    </row>
    <row r="1195" spans="1:47" x14ac:dyDescent="0.35">
      <c r="A1195">
        <v>348500</v>
      </c>
      <c r="B1195" t="s">
        <v>333</v>
      </c>
      <c r="C1195" t="s">
        <v>334</v>
      </c>
      <c r="D1195" s="2">
        <v>45807</v>
      </c>
      <c r="E1195">
        <v>53850</v>
      </c>
      <c r="F1195">
        <v>99</v>
      </c>
      <c r="G1195" t="s">
        <v>335</v>
      </c>
      <c r="H1195" t="s">
        <v>167</v>
      </c>
      <c r="I1195" t="s">
        <v>45</v>
      </c>
      <c r="K1195">
        <v>202505298023305</v>
      </c>
      <c r="M1195">
        <v>20250529</v>
      </c>
      <c r="N1195" t="s">
        <v>3136</v>
      </c>
      <c r="Q1195" t="s">
        <v>170</v>
      </c>
      <c r="R1195">
        <v>19671.54</v>
      </c>
      <c r="S1195">
        <v>0</v>
      </c>
      <c r="T1195">
        <v>461851</v>
      </c>
      <c r="U1195" t="s">
        <v>1380</v>
      </c>
      <c r="V1195" t="s">
        <v>1381</v>
      </c>
      <c r="W1195" t="s">
        <v>187</v>
      </c>
      <c r="Y1195" t="s">
        <v>51</v>
      </c>
      <c r="AH1195">
        <v>0</v>
      </c>
      <c r="AI1195">
        <v>202505</v>
      </c>
      <c r="AJ1195" t="s">
        <v>86</v>
      </c>
      <c r="AK1195">
        <v>1</v>
      </c>
      <c r="AL1195">
        <v>0</v>
      </c>
      <c r="AO1195">
        <v>1</v>
      </c>
      <c r="AP1195" t="s">
        <v>3015</v>
      </c>
      <c r="AQ1195" t="s">
        <v>3044</v>
      </c>
      <c r="AR1195" t="s">
        <v>3045</v>
      </c>
      <c r="AS1195" t="s">
        <v>3046</v>
      </c>
      <c r="AU1195" t="s">
        <v>3046</v>
      </c>
    </row>
    <row r="1196" spans="1:47" x14ac:dyDescent="0.35">
      <c r="A1196">
        <v>348499</v>
      </c>
      <c r="B1196" t="s">
        <v>178</v>
      </c>
      <c r="C1196" t="s">
        <v>179</v>
      </c>
      <c r="D1196" s="2">
        <v>45807</v>
      </c>
      <c r="E1196">
        <v>53850</v>
      </c>
      <c r="F1196">
        <v>176</v>
      </c>
      <c r="G1196" t="s">
        <v>390</v>
      </c>
      <c r="H1196" t="s">
        <v>167</v>
      </c>
      <c r="I1196" t="s">
        <v>45</v>
      </c>
      <c r="K1196">
        <v>202505298023302</v>
      </c>
      <c r="L1196">
        <v>1763300020131</v>
      </c>
      <c r="M1196">
        <v>20250529</v>
      </c>
      <c r="N1196" t="s">
        <v>3136</v>
      </c>
      <c r="Q1196" t="s">
        <v>170</v>
      </c>
      <c r="R1196">
        <v>104917.75</v>
      </c>
      <c r="S1196">
        <v>0</v>
      </c>
      <c r="T1196">
        <v>4995696</v>
      </c>
      <c r="U1196" t="s">
        <v>1382</v>
      </c>
      <c r="V1196" t="s">
        <v>1383</v>
      </c>
      <c r="W1196" t="s">
        <v>187</v>
      </c>
      <c r="Y1196" t="s">
        <v>51</v>
      </c>
      <c r="Z1196">
        <v>672</v>
      </c>
      <c r="AH1196">
        <v>0</v>
      </c>
      <c r="AI1196">
        <v>202505</v>
      </c>
      <c r="AJ1196" t="s">
        <v>86</v>
      </c>
      <c r="AK1196">
        <v>1</v>
      </c>
      <c r="AL1196">
        <v>1</v>
      </c>
      <c r="AO1196">
        <v>1</v>
      </c>
      <c r="AP1196" t="s">
        <v>3015</v>
      </c>
      <c r="AQ1196" t="s">
        <v>3044</v>
      </c>
      <c r="AR1196" t="s">
        <v>3045</v>
      </c>
      <c r="AS1196" t="s">
        <v>3046</v>
      </c>
      <c r="AU1196" t="s">
        <v>3046</v>
      </c>
    </row>
    <row r="1197" spans="1:47" x14ac:dyDescent="0.35">
      <c r="A1197">
        <v>348498</v>
      </c>
      <c r="B1197" t="s">
        <v>333</v>
      </c>
      <c r="C1197" t="s">
        <v>334</v>
      </c>
      <c r="D1197" s="2">
        <v>45807</v>
      </c>
      <c r="E1197">
        <v>53850</v>
      </c>
      <c r="F1197">
        <v>99</v>
      </c>
      <c r="G1197" t="s">
        <v>335</v>
      </c>
      <c r="H1197" t="s">
        <v>167</v>
      </c>
      <c r="I1197" t="s">
        <v>45</v>
      </c>
      <c r="K1197">
        <v>202505298023305</v>
      </c>
      <c r="M1197">
        <v>20250529</v>
      </c>
      <c r="N1197" t="s">
        <v>3136</v>
      </c>
      <c r="Q1197" t="s">
        <v>170</v>
      </c>
      <c r="R1197">
        <v>19671.54</v>
      </c>
      <c r="S1197">
        <v>0</v>
      </c>
      <c r="T1197">
        <v>545653</v>
      </c>
      <c r="U1197" t="s">
        <v>1384</v>
      </c>
      <c r="V1197" t="s">
        <v>1385</v>
      </c>
      <c r="W1197" t="s">
        <v>187</v>
      </c>
      <c r="Y1197" t="s">
        <v>51</v>
      </c>
      <c r="Z1197">
        <v>1657</v>
      </c>
      <c r="AH1197">
        <v>0</v>
      </c>
      <c r="AI1197">
        <v>202505</v>
      </c>
      <c r="AJ1197" t="s">
        <v>86</v>
      </c>
      <c r="AK1197">
        <v>1</v>
      </c>
      <c r="AL1197">
        <v>0</v>
      </c>
      <c r="AO1197">
        <v>1</v>
      </c>
      <c r="AP1197" t="s">
        <v>3015</v>
      </c>
      <c r="AQ1197" t="s">
        <v>3044</v>
      </c>
      <c r="AR1197" t="s">
        <v>3045</v>
      </c>
      <c r="AS1197" t="s">
        <v>3046</v>
      </c>
      <c r="AU1197" t="s">
        <v>3046</v>
      </c>
    </row>
    <row r="1198" spans="1:47" x14ac:dyDescent="0.35">
      <c r="A1198">
        <v>348497</v>
      </c>
      <c r="B1198" t="s">
        <v>178</v>
      </c>
      <c r="C1198" t="s">
        <v>179</v>
      </c>
      <c r="D1198" s="2">
        <v>45807</v>
      </c>
      <c r="E1198">
        <v>53850</v>
      </c>
      <c r="F1198">
        <v>122</v>
      </c>
      <c r="G1198" t="s">
        <v>43</v>
      </c>
      <c r="H1198" t="s">
        <v>167</v>
      </c>
      <c r="I1198" t="s">
        <v>45</v>
      </c>
      <c r="K1198">
        <v>202505298020860</v>
      </c>
      <c r="L1198">
        <v>1223300002128</v>
      </c>
      <c r="M1198">
        <v>20250529</v>
      </c>
      <c r="N1198" t="s">
        <v>633</v>
      </c>
      <c r="P1198" t="s">
        <v>51</v>
      </c>
      <c r="Q1198" t="s">
        <v>170</v>
      </c>
      <c r="R1198">
        <v>1422206.78</v>
      </c>
      <c r="S1198">
        <v>0</v>
      </c>
      <c r="T1198">
        <v>3711207</v>
      </c>
      <c r="U1198">
        <v>8825020723</v>
      </c>
      <c r="V1198" t="s">
        <v>48</v>
      </c>
      <c r="W1198" t="s">
        <v>49</v>
      </c>
      <c r="X1198" t="s">
        <v>50</v>
      </c>
      <c r="Y1198" t="s">
        <v>51</v>
      </c>
      <c r="Z1198">
        <v>1696</v>
      </c>
      <c r="AH1198">
        <v>0</v>
      </c>
      <c r="AI1198">
        <v>202505</v>
      </c>
      <c r="AJ1198" t="s">
        <v>86</v>
      </c>
      <c r="AK1198">
        <v>1</v>
      </c>
      <c r="AL1198">
        <v>1</v>
      </c>
      <c r="AO1198">
        <v>0</v>
      </c>
      <c r="AP1198" t="s">
        <v>3011</v>
      </c>
      <c r="AQ1198" t="s">
        <v>3012</v>
      </c>
      <c r="AR1198" t="s">
        <v>3013</v>
      </c>
      <c r="AS1198" t="s">
        <v>3014</v>
      </c>
      <c r="AU1198" t="s">
        <v>3014</v>
      </c>
    </row>
    <row r="1199" spans="1:47" x14ac:dyDescent="0.35">
      <c r="A1199">
        <v>348496</v>
      </c>
      <c r="B1199" t="s">
        <v>172</v>
      </c>
      <c r="C1199" t="s">
        <v>173</v>
      </c>
      <c r="D1199" s="2">
        <v>45807</v>
      </c>
      <c r="E1199">
        <v>53850</v>
      </c>
      <c r="F1199">
        <v>102</v>
      </c>
      <c r="G1199" t="s">
        <v>151</v>
      </c>
      <c r="H1199" t="s">
        <v>167</v>
      </c>
      <c r="I1199" t="s">
        <v>45</v>
      </c>
      <c r="K1199">
        <v>202505298023327</v>
      </c>
      <c r="L1199">
        <v>1023306275332</v>
      </c>
      <c r="M1199">
        <v>20250529</v>
      </c>
      <c r="N1199" t="s">
        <v>231</v>
      </c>
      <c r="Q1199" t="s">
        <v>47</v>
      </c>
      <c r="R1199">
        <v>155000</v>
      </c>
      <c r="S1199">
        <v>0</v>
      </c>
      <c r="T1199">
        <v>71112</v>
      </c>
      <c r="U1199" t="s">
        <v>1386</v>
      </c>
      <c r="V1199" t="s">
        <v>1387</v>
      </c>
      <c r="W1199" t="s">
        <v>187</v>
      </c>
      <c r="Y1199" t="s">
        <v>51</v>
      </c>
      <c r="Z1199">
        <v>841</v>
      </c>
      <c r="AH1199">
        <v>0</v>
      </c>
      <c r="AI1199">
        <v>202505</v>
      </c>
      <c r="AJ1199" t="s">
        <v>86</v>
      </c>
      <c r="AK1199">
        <v>1</v>
      </c>
      <c r="AL1199">
        <v>1</v>
      </c>
      <c r="AO1199">
        <v>0</v>
      </c>
      <c r="AP1199" t="s">
        <v>3015</v>
      </c>
      <c r="AQ1199" t="s">
        <v>3044</v>
      </c>
      <c r="AR1199" t="s">
        <v>3045</v>
      </c>
      <c r="AS1199" t="s">
        <v>3046</v>
      </c>
      <c r="AU1199" t="s">
        <v>3046</v>
      </c>
    </row>
    <row r="1200" spans="1:47" x14ac:dyDescent="0.35">
      <c r="A1200">
        <v>348495</v>
      </c>
      <c r="B1200" t="s">
        <v>178</v>
      </c>
      <c r="C1200" t="s">
        <v>179</v>
      </c>
      <c r="D1200" s="2">
        <v>45807</v>
      </c>
      <c r="E1200">
        <v>53850</v>
      </c>
      <c r="F1200">
        <v>103</v>
      </c>
      <c r="G1200" t="s">
        <v>80</v>
      </c>
      <c r="H1200" t="s">
        <v>167</v>
      </c>
      <c r="I1200" t="s">
        <v>45</v>
      </c>
      <c r="K1200">
        <v>202505298023304</v>
      </c>
      <c r="L1200">
        <v>1033306979739</v>
      </c>
      <c r="M1200">
        <v>20250529</v>
      </c>
      <c r="N1200" t="s">
        <v>3136</v>
      </c>
      <c r="Q1200" t="s">
        <v>170</v>
      </c>
      <c r="R1200">
        <v>19671.54</v>
      </c>
      <c r="S1200">
        <v>0</v>
      </c>
      <c r="T1200">
        <v>545653</v>
      </c>
      <c r="U1200" t="s">
        <v>1384</v>
      </c>
      <c r="V1200" t="s">
        <v>1385</v>
      </c>
      <c r="W1200" t="s">
        <v>187</v>
      </c>
      <c r="Y1200" t="s">
        <v>51</v>
      </c>
      <c r="Z1200">
        <v>1657</v>
      </c>
      <c r="AH1200">
        <v>0</v>
      </c>
      <c r="AI1200">
        <v>202505</v>
      </c>
      <c r="AJ1200" t="s">
        <v>86</v>
      </c>
      <c r="AK1200">
        <v>1</v>
      </c>
      <c r="AL1200">
        <v>1</v>
      </c>
      <c r="AO1200">
        <v>1</v>
      </c>
      <c r="AP1200" t="s">
        <v>3015</v>
      </c>
      <c r="AQ1200" t="s">
        <v>3044</v>
      </c>
      <c r="AR1200" t="s">
        <v>3045</v>
      </c>
      <c r="AS1200" t="s">
        <v>3046</v>
      </c>
      <c r="AU1200" t="s">
        <v>3046</v>
      </c>
    </row>
    <row r="1201" spans="1:47" x14ac:dyDescent="0.35">
      <c r="A1201">
        <v>348494</v>
      </c>
      <c r="B1201" t="s">
        <v>178</v>
      </c>
      <c r="C1201" t="s">
        <v>179</v>
      </c>
      <c r="D1201" s="2">
        <v>45807</v>
      </c>
      <c r="E1201">
        <v>53850</v>
      </c>
      <c r="F1201">
        <v>181</v>
      </c>
      <c r="G1201" t="s">
        <v>180</v>
      </c>
      <c r="H1201" t="s">
        <v>167</v>
      </c>
      <c r="I1201" t="s">
        <v>45</v>
      </c>
      <c r="K1201">
        <v>202505298021226</v>
      </c>
      <c r="L1201">
        <v>1813301028560</v>
      </c>
      <c r="M1201">
        <v>20250529</v>
      </c>
      <c r="N1201" t="s">
        <v>46</v>
      </c>
      <c r="P1201" t="s">
        <v>51</v>
      </c>
      <c r="Q1201" t="s">
        <v>47</v>
      </c>
      <c r="R1201">
        <v>70457.62</v>
      </c>
      <c r="S1201">
        <v>0</v>
      </c>
      <c r="T1201">
        <v>454268</v>
      </c>
      <c r="U1201" t="s">
        <v>1209</v>
      </c>
      <c r="V1201" t="s">
        <v>1210</v>
      </c>
      <c r="W1201" t="s">
        <v>69</v>
      </c>
      <c r="X1201" t="s">
        <v>131</v>
      </c>
      <c r="Y1201" t="s">
        <v>51</v>
      </c>
      <c r="Z1201">
        <v>727</v>
      </c>
      <c r="AH1201">
        <v>0</v>
      </c>
      <c r="AI1201">
        <v>202505</v>
      </c>
      <c r="AJ1201" t="s">
        <v>56</v>
      </c>
      <c r="AK1201">
        <v>0</v>
      </c>
      <c r="AL1201">
        <v>1</v>
      </c>
      <c r="AM1201">
        <v>454268</v>
      </c>
      <c r="AN1201">
        <v>1</v>
      </c>
      <c r="AO1201">
        <v>0</v>
      </c>
      <c r="AP1201" t="s">
        <v>3033</v>
      </c>
      <c r="AQ1201" t="s">
        <v>3021</v>
      </c>
      <c r="AR1201" t="s">
        <v>3054</v>
      </c>
      <c r="AS1201" t="s">
        <v>3055</v>
      </c>
      <c r="AU1201" t="s">
        <v>3055</v>
      </c>
    </row>
    <row r="1202" spans="1:47" x14ac:dyDescent="0.35">
      <c r="A1202">
        <v>348493</v>
      </c>
      <c r="B1202" t="s">
        <v>193</v>
      </c>
      <c r="C1202" t="s">
        <v>194</v>
      </c>
      <c r="D1202" s="2">
        <v>45807</v>
      </c>
      <c r="E1202">
        <v>53850</v>
      </c>
      <c r="F1202">
        <v>116</v>
      </c>
      <c r="G1202" t="s">
        <v>126</v>
      </c>
      <c r="H1202" t="s">
        <v>167</v>
      </c>
      <c r="I1202" t="s">
        <v>45</v>
      </c>
      <c r="K1202">
        <v>202505298023221</v>
      </c>
      <c r="L1202">
        <v>2343300010453</v>
      </c>
      <c r="M1202">
        <v>20250529</v>
      </c>
      <c r="N1202" t="s">
        <v>195</v>
      </c>
      <c r="Q1202" t="s">
        <v>47</v>
      </c>
      <c r="R1202">
        <v>48970</v>
      </c>
      <c r="S1202">
        <v>48970</v>
      </c>
      <c r="T1202">
        <v>4247777</v>
      </c>
      <c r="U1202">
        <v>233470236</v>
      </c>
      <c r="V1202" t="s">
        <v>206</v>
      </c>
      <c r="W1202" t="s">
        <v>49</v>
      </c>
      <c r="X1202" t="s">
        <v>117</v>
      </c>
      <c r="Y1202" t="s">
        <v>51</v>
      </c>
      <c r="Z1202">
        <v>1696</v>
      </c>
      <c r="AH1202">
        <v>0</v>
      </c>
      <c r="AI1202">
        <v>202505</v>
      </c>
      <c r="AJ1202" t="s">
        <v>114</v>
      </c>
      <c r="AK1202">
        <v>1</v>
      </c>
      <c r="AL1202">
        <v>1</v>
      </c>
      <c r="AM1202">
        <v>4247777</v>
      </c>
      <c r="AN1202">
        <v>1</v>
      </c>
      <c r="AO1202">
        <v>0</v>
      </c>
      <c r="AP1202" t="s">
        <v>3029</v>
      </c>
      <c r="AQ1202" t="s">
        <v>3012</v>
      </c>
      <c r="AR1202" t="s">
        <v>3030</v>
      </c>
      <c r="AS1202" t="s">
        <v>3014</v>
      </c>
      <c r="AU1202" t="s">
        <v>3014</v>
      </c>
    </row>
    <row r="1203" spans="1:47" x14ac:dyDescent="0.35">
      <c r="A1203">
        <v>348492</v>
      </c>
      <c r="B1203" t="s">
        <v>333</v>
      </c>
      <c r="C1203" t="s">
        <v>334</v>
      </c>
      <c r="D1203" s="2">
        <v>45807</v>
      </c>
      <c r="E1203">
        <v>53850</v>
      </c>
      <c r="F1203">
        <v>99</v>
      </c>
      <c r="G1203" t="s">
        <v>335</v>
      </c>
      <c r="H1203" t="s">
        <v>167</v>
      </c>
      <c r="I1203" t="s">
        <v>45</v>
      </c>
      <c r="K1203">
        <v>202505298023305</v>
      </c>
      <c r="M1203">
        <v>20250529</v>
      </c>
      <c r="N1203" t="s">
        <v>3136</v>
      </c>
      <c r="Q1203" t="s">
        <v>170</v>
      </c>
      <c r="R1203">
        <v>19671.54</v>
      </c>
      <c r="S1203">
        <v>0</v>
      </c>
      <c r="T1203">
        <v>597069</v>
      </c>
      <c r="U1203" t="s">
        <v>1388</v>
      </c>
      <c r="V1203" t="s">
        <v>1389</v>
      </c>
      <c r="W1203" t="s">
        <v>187</v>
      </c>
      <c r="Y1203" t="s">
        <v>51</v>
      </c>
      <c r="AH1203">
        <v>0</v>
      </c>
      <c r="AI1203">
        <v>202505</v>
      </c>
      <c r="AJ1203" t="s">
        <v>86</v>
      </c>
      <c r="AK1203">
        <v>1</v>
      </c>
      <c r="AL1203">
        <v>0</v>
      </c>
      <c r="AO1203">
        <v>1</v>
      </c>
      <c r="AP1203" t="s">
        <v>3015</v>
      </c>
      <c r="AQ1203" t="s">
        <v>3044</v>
      </c>
      <c r="AR1203" t="s">
        <v>3045</v>
      </c>
      <c r="AS1203" t="s">
        <v>3046</v>
      </c>
      <c r="AU1203" t="s">
        <v>3046</v>
      </c>
    </row>
    <row r="1204" spans="1:47" x14ac:dyDescent="0.35">
      <c r="A1204">
        <v>348491</v>
      </c>
      <c r="B1204" t="s">
        <v>164</v>
      </c>
      <c r="C1204" t="s">
        <v>165</v>
      </c>
      <c r="D1204" s="2">
        <v>45807</v>
      </c>
      <c r="E1204">
        <v>53850</v>
      </c>
      <c r="F1204">
        <v>271</v>
      </c>
      <c r="G1204" t="s">
        <v>275</v>
      </c>
      <c r="H1204" t="s">
        <v>167</v>
      </c>
      <c r="I1204" t="s">
        <v>45</v>
      </c>
      <c r="K1204">
        <v>202505298022166</v>
      </c>
      <c r="L1204">
        <v>2713300010112</v>
      </c>
      <c r="M1204">
        <v>20250529</v>
      </c>
      <c r="N1204" t="s">
        <v>168</v>
      </c>
      <c r="P1204" t="s">
        <v>435</v>
      </c>
      <c r="Q1204" t="s">
        <v>47</v>
      </c>
      <c r="R1204">
        <v>5000</v>
      </c>
      <c r="S1204">
        <v>0</v>
      </c>
      <c r="T1204">
        <v>1611557</v>
      </c>
      <c r="U1204" t="s">
        <v>890</v>
      </c>
      <c r="V1204" t="s">
        <v>891</v>
      </c>
      <c r="W1204" t="s">
        <v>69</v>
      </c>
      <c r="X1204" t="s">
        <v>402</v>
      </c>
      <c r="Y1204" t="s">
        <v>51</v>
      </c>
      <c r="Z1204">
        <v>1850</v>
      </c>
      <c r="AH1204">
        <v>0</v>
      </c>
      <c r="AI1204">
        <v>202505</v>
      </c>
      <c r="AJ1204" t="s">
        <v>52</v>
      </c>
      <c r="AK1204">
        <v>0</v>
      </c>
      <c r="AL1204">
        <v>1</v>
      </c>
      <c r="AO1204">
        <v>0</v>
      </c>
      <c r="AP1204" t="s">
        <v>3015</v>
      </c>
      <c r="AQ1204" t="s">
        <v>3021</v>
      </c>
      <c r="AR1204" t="s">
        <v>3022</v>
      </c>
      <c r="AT1204" t="s">
        <v>3017</v>
      </c>
      <c r="AU1204" t="s">
        <v>3014</v>
      </c>
    </row>
    <row r="1205" spans="1:47" x14ac:dyDescent="0.35">
      <c r="A1205">
        <v>348490</v>
      </c>
      <c r="B1205" t="s">
        <v>756</v>
      </c>
      <c r="C1205" t="s">
        <v>757</v>
      </c>
      <c r="D1205" s="2">
        <v>45807</v>
      </c>
      <c r="E1205">
        <v>53850</v>
      </c>
      <c r="F1205">
        <v>182</v>
      </c>
      <c r="G1205" t="s">
        <v>318</v>
      </c>
      <c r="H1205" t="s">
        <v>167</v>
      </c>
      <c r="I1205" t="s">
        <v>45</v>
      </c>
      <c r="K1205">
        <v>202505298023642</v>
      </c>
      <c r="L1205">
        <v>1823300039445</v>
      </c>
      <c r="M1205">
        <v>20250529</v>
      </c>
      <c r="N1205" t="s">
        <v>236</v>
      </c>
      <c r="Q1205" t="s">
        <v>170</v>
      </c>
      <c r="R1205">
        <v>37906</v>
      </c>
      <c r="S1205">
        <v>37906</v>
      </c>
      <c r="T1205">
        <v>4977010</v>
      </c>
      <c r="U1205" t="s">
        <v>1390</v>
      </c>
      <c r="V1205" t="s">
        <v>1391</v>
      </c>
      <c r="W1205" t="s">
        <v>187</v>
      </c>
      <c r="Y1205" t="s">
        <v>51</v>
      </c>
      <c r="Z1205">
        <v>614</v>
      </c>
      <c r="AH1205">
        <v>0</v>
      </c>
      <c r="AI1205">
        <v>202505</v>
      </c>
      <c r="AL1205">
        <v>0</v>
      </c>
      <c r="AO1205">
        <v>0</v>
      </c>
      <c r="AP1205" t="s">
        <v>3015</v>
      </c>
      <c r="AQ1205" t="s">
        <v>3044</v>
      </c>
      <c r="AR1205" t="s">
        <v>3045</v>
      </c>
      <c r="AS1205" t="s">
        <v>3046</v>
      </c>
      <c r="AU1205" t="s">
        <v>3046</v>
      </c>
    </row>
    <row r="1206" spans="1:47" x14ac:dyDescent="0.35">
      <c r="A1206">
        <v>348489</v>
      </c>
      <c r="B1206" t="s">
        <v>178</v>
      </c>
      <c r="C1206" t="s">
        <v>179</v>
      </c>
      <c r="D1206" s="2">
        <v>45807</v>
      </c>
      <c r="E1206">
        <v>53850</v>
      </c>
      <c r="F1206">
        <v>109</v>
      </c>
      <c r="G1206" t="s">
        <v>89</v>
      </c>
      <c r="H1206" t="s">
        <v>167</v>
      </c>
      <c r="I1206" t="s">
        <v>45</v>
      </c>
      <c r="K1206">
        <v>202505298022047</v>
      </c>
      <c r="L1206">
        <v>1093304728910</v>
      </c>
      <c r="M1206">
        <v>20250529</v>
      </c>
      <c r="N1206" t="s">
        <v>46</v>
      </c>
      <c r="P1206" t="s">
        <v>51</v>
      </c>
      <c r="Q1206" t="s">
        <v>47</v>
      </c>
      <c r="R1206">
        <v>230000</v>
      </c>
      <c r="S1206">
        <v>0</v>
      </c>
      <c r="T1206">
        <v>472891</v>
      </c>
      <c r="U1206" t="s">
        <v>1392</v>
      </c>
      <c r="V1206" t="s">
        <v>1393</v>
      </c>
      <c r="W1206" t="s">
        <v>187</v>
      </c>
      <c r="Y1206" t="s">
        <v>51</v>
      </c>
      <c r="Z1206">
        <v>778</v>
      </c>
      <c r="AH1206">
        <v>0</v>
      </c>
      <c r="AI1206">
        <v>202505</v>
      </c>
      <c r="AJ1206" t="s">
        <v>86</v>
      </c>
      <c r="AK1206">
        <v>1</v>
      </c>
      <c r="AL1206">
        <v>1</v>
      </c>
      <c r="AO1206">
        <v>0</v>
      </c>
      <c r="AP1206" t="s">
        <v>3015</v>
      </c>
      <c r="AQ1206" t="s">
        <v>3044</v>
      </c>
      <c r="AR1206" t="s">
        <v>3045</v>
      </c>
      <c r="AS1206" t="s">
        <v>3046</v>
      </c>
      <c r="AU1206" t="s">
        <v>3046</v>
      </c>
    </row>
    <row r="1207" spans="1:47" x14ac:dyDescent="0.35">
      <c r="A1207">
        <v>348488</v>
      </c>
      <c r="B1207" t="s">
        <v>178</v>
      </c>
      <c r="C1207" t="s">
        <v>179</v>
      </c>
      <c r="D1207" s="2">
        <v>45807</v>
      </c>
      <c r="E1207">
        <v>53850</v>
      </c>
      <c r="F1207">
        <v>105</v>
      </c>
      <c r="G1207" t="s">
        <v>60</v>
      </c>
      <c r="H1207" t="s">
        <v>167</v>
      </c>
      <c r="I1207" t="s">
        <v>45</v>
      </c>
      <c r="K1207">
        <v>202505298021918</v>
      </c>
      <c r="L1207">
        <v>1053306288710</v>
      </c>
      <c r="M1207">
        <v>20250529</v>
      </c>
      <c r="N1207" t="s">
        <v>46</v>
      </c>
      <c r="P1207" t="s">
        <v>51</v>
      </c>
      <c r="Q1207" t="s">
        <v>47</v>
      </c>
      <c r="R1207">
        <v>296427.53999999998</v>
      </c>
      <c r="S1207">
        <v>0</v>
      </c>
      <c r="T1207">
        <v>522982</v>
      </c>
      <c r="U1207" t="s">
        <v>1258</v>
      </c>
      <c r="V1207" t="s">
        <v>1259</v>
      </c>
      <c r="W1207" t="s">
        <v>187</v>
      </c>
      <c r="Y1207" t="s">
        <v>51</v>
      </c>
      <c r="Z1207">
        <v>833</v>
      </c>
      <c r="AH1207">
        <v>0</v>
      </c>
      <c r="AI1207">
        <v>202505</v>
      </c>
      <c r="AJ1207" t="s">
        <v>86</v>
      </c>
      <c r="AK1207">
        <v>1</v>
      </c>
      <c r="AL1207">
        <v>1</v>
      </c>
      <c r="AO1207">
        <v>0</v>
      </c>
      <c r="AP1207" t="s">
        <v>3015</v>
      </c>
      <c r="AQ1207" t="s">
        <v>3044</v>
      </c>
      <c r="AR1207" t="s">
        <v>3045</v>
      </c>
      <c r="AS1207" t="s">
        <v>3046</v>
      </c>
      <c r="AU1207" t="s">
        <v>3046</v>
      </c>
    </row>
    <row r="1208" spans="1:47" x14ac:dyDescent="0.35">
      <c r="A1208">
        <v>348487</v>
      </c>
      <c r="B1208" t="s">
        <v>172</v>
      </c>
      <c r="C1208" t="s">
        <v>173</v>
      </c>
      <c r="D1208" s="2">
        <v>45807</v>
      </c>
      <c r="E1208">
        <v>53850</v>
      </c>
      <c r="F1208">
        <v>102</v>
      </c>
      <c r="G1208" t="s">
        <v>151</v>
      </c>
      <c r="H1208" t="s">
        <v>167</v>
      </c>
      <c r="I1208" t="s">
        <v>45</v>
      </c>
      <c r="K1208">
        <v>202505298023327</v>
      </c>
      <c r="L1208">
        <v>1023306275332</v>
      </c>
      <c r="M1208">
        <v>20250529</v>
      </c>
      <c r="N1208" t="s">
        <v>231</v>
      </c>
      <c r="Q1208" t="s">
        <v>47</v>
      </c>
      <c r="R1208">
        <v>155000</v>
      </c>
      <c r="S1208">
        <v>0</v>
      </c>
      <c r="T1208">
        <v>71122</v>
      </c>
      <c r="U1208" t="s">
        <v>1394</v>
      </c>
      <c r="V1208" t="s">
        <v>1395</v>
      </c>
      <c r="W1208" t="s">
        <v>187</v>
      </c>
      <c r="Y1208" t="s">
        <v>51</v>
      </c>
      <c r="Z1208">
        <v>515</v>
      </c>
      <c r="AH1208">
        <v>0</v>
      </c>
      <c r="AI1208">
        <v>202505</v>
      </c>
      <c r="AJ1208" t="s">
        <v>86</v>
      </c>
      <c r="AK1208">
        <v>1</v>
      </c>
      <c r="AL1208">
        <v>1</v>
      </c>
      <c r="AO1208">
        <v>0</v>
      </c>
      <c r="AP1208" t="s">
        <v>3015</v>
      </c>
      <c r="AQ1208" t="s">
        <v>3044</v>
      </c>
      <c r="AR1208" t="s">
        <v>3045</v>
      </c>
      <c r="AS1208" t="s">
        <v>3046</v>
      </c>
      <c r="AU1208" t="s">
        <v>3046</v>
      </c>
    </row>
    <row r="1209" spans="1:47" x14ac:dyDescent="0.35">
      <c r="A1209">
        <v>348486</v>
      </c>
      <c r="B1209" t="s">
        <v>193</v>
      </c>
      <c r="C1209" t="s">
        <v>194</v>
      </c>
      <c r="D1209" s="2">
        <v>45807</v>
      </c>
      <c r="E1209">
        <v>53850</v>
      </c>
      <c r="F1209">
        <v>109</v>
      </c>
      <c r="G1209" t="s">
        <v>89</v>
      </c>
      <c r="H1209" t="s">
        <v>167</v>
      </c>
      <c r="I1209" t="s">
        <v>45</v>
      </c>
      <c r="K1209">
        <v>202505298023398</v>
      </c>
      <c r="L1209">
        <v>1093306675356</v>
      </c>
      <c r="M1209">
        <v>20250529</v>
      </c>
      <c r="N1209" t="s">
        <v>266</v>
      </c>
      <c r="Q1209" t="s">
        <v>47</v>
      </c>
      <c r="R1209">
        <v>33850</v>
      </c>
      <c r="S1209">
        <v>33850</v>
      </c>
      <c r="T1209">
        <v>4976123</v>
      </c>
      <c r="U1209">
        <v>8630940727</v>
      </c>
      <c r="V1209" t="s">
        <v>717</v>
      </c>
      <c r="W1209" t="s">
        <v>49</v>
      </c>
      <c r="X1209" t="s">
        <v>131</v>
      </c>
      <c r="Y1209" t="s">
        <v>51</v>
      </c>
      <c r="Z1209">
        <v>502</v>
      </c>
      <c r="AH1209">
        <v>0</v>
      </c>
      <c r="AI1209">
        <v>202505</v>
      </c>
      <c r="AJ1209" t="s">
        <v>56</v>
      </c>
      <c r="AK1209">
        <v>0</v>
      </c>
      <c r="AL1209">
        <v>1</v>
      </c>
      <c r="AM1209">
        <v>4976123</v>
      </c>
      <c r="AN1209">
        <v>1</v>
      </c>
      <c r="AO1209">
        <v>0</v>
      </c>
      <c r="AP1209" t="s">
        <v>3033</v>
      </c>
      <c r="AQ1209" t="s">
        <v>3012</v>
      </c>
      <c r="AR1209" t="s">
        <v>3034</v>
      </c>
      <c r="AS1209" t="s">
        <v>3014</v>
      </c>
      <c r="AU1209" t="s">
        <v>3014</v>
      </c>
    </row>
    <row r="1210" spans="1:47" x14ac:dyDescent="0.35">
      <c r="A1210">
        <v>348485</v>
      </c>
      <c r="B1210" t="s">
        <v>164</v>
      </c>
      <c r="C1210" t="s">
        <v>165</v>
      </c>
      <c r="D1210" s="2">
        <v>45807</v>
      </c>
      <c r="E1210">
        <v>53850</v>
      </c>
      <c r="F1210">
        <v>267</v>
      </c>
      <c r="G1210" t="s">
        <v>349</v>
      </c>
      <c r="H1210" t="s">
        <v>167</v>
      </c>
      <c r="I1210" t="s">
        <v>45</v>
      </c>
      <c r="K1210">
        <v>202505298021783</v>
      </c>
      <c r="L1210">
        <v>2673300003629</v>
      </c>
      <c r="M1210">
        <v>20250529</v>
      </c>
      <c r="N1210" t="s">
        <v>168</v>
      </c>
      <c r="P1210" t="s">
        <v>255</v>
      </c>
      <c r="Q1210" t="s">
        <v>47</v>
      </c>
      <c r="R1210">
        <v>9000</v>
      </c>
      <c r="S1210">
        <v>0</v>
      </c>
      <c r="T1210">
        <v>1702554</v>
      </c>
      <c r="U1210" t="s">
        <v>1396</v>
      </c>
      <c r="V1210" t="s">
        <v>1397</v>
      </c>
      <c r="W1210" t="s">
        <v>342</v>
      </c>
      <c r="X1210" t="s">
        <v>1398</v>
      </c>
      <c r="Y1210" t="s">
        <v>51</v>
      </c>
      <c r="Z1210">
        <v>1878</v>
      </c>
      <c r="AH1210">
        <v>0</v>
      </c>
      <c r="AI1210">
        <v>202505</v>
      </c>
      <c r="AJ1210" t="s">
        <v>86</v>
      </c>
      <c r="AK1210">
        <v>1</v>
      </c>
      <c r="AL1210">
        <v>1</v>
      </c>
      <c r="AO1210">
        <v>0</v>
      </c>
      <c r="AP1210" t="s">
        <v>3015</v>
      </c>
      <c r="AQ1210" t="s">
        <v>3060</v>
      </c>
      <c r="AR1210" t="s">
        <v>3061</v>
      </c>
      <c r="AT1210" t="s">
        <v>3017</v>
      </c>
      <c r="AU1210" t="s">
        <v>3014</v>
      </c>
    </row>
    <row r="1211" spans="1:47" x14ac:dyDescent="0.35">
      <c r="A1211">
        <v>348484</v>
      </c>
      <c r="B1211" t="s">
        <v>178</v>
      </c>
      <c r="C1211" t="s">
        <v>179</v>
      </c>
      <c r="D1211" s="2">
        <v>45807</v>
      </c>
      <c r="E1211">
        <v>53850</v>
      </c>
      <c r="F1211">
        <v>103</v>
      </c>
      <c r="G1211" t="s">
        <v>80</v>
      </c>
      <c r="H1211" t="s">
        <v>167</v>
      </c>
      <c r="I1211" t="s">
        <v>45</v>
      </c>
      <c r="K1211">
        <v>202505298023304</v>
      </c>
      <c r="L1211">
        <v>1033306979739</v>
      </c>
      <c r="M1211">
        <v>20250529</v>
      </c>
      <c r="N1211" t="s">
        <v>3136</v>
      </c>
      <c r="Q1211" t="s">
        <v>170</v>
      </c>
      <c r="R1211">
        <v>19671.54</v>
      </c>
      <c r="S1211">
        <v>0</v>
      </c>
      <c r="T1211">
        <v>461851</v>
      </c>
      <c r="U1211" t="s">
        <v>1380</v>
      </c>
      <c r="V1211" t="s">
        <v>1381</v>
      </c>
      <c r="W1211" t="s">
        <v>187</v>
      </c>
      <c r="Y1211" t="s">
        <v>51</v>
      </c>
      <c r="AH1211">
        <v>0</v>
      </c>
      <c r="AI1211">
        <v>202505</v>
      </c>
      <c r="AJ1211" t="s">
        <v>86</v>
      </c>
      <c r="AK1211">
        <v>1</v>
      </c>
      <c r="AL1211">
        <v>1</v>
      </c>
      <c r="AO1211">
        <v>1</v>
      </c>
      <c r="AP1211" t="s">
        <v>3015</v>
      </c>
      <c r="AQ1211" t="s">
        <v>3044</v>
      </c>
      <c r="AR1211" t="s">
        <v>3045</v>
      </c>
      <c r="AS1211" t="s">
        <v>3046</v>
      </c>
      <c r="AU1211" t="s">
        <v>3046</v>
      </c>
    </row>
    <row r="1212" spans="1:47" x14ac:dyDescent="0.35">
      <c r="A1212">
        <v>348483</v>
      </c>
      <c r="B1212" t="s">
        <v>178</v>
      </c>
      <c r="C1212" t="s">
        <v>179</v>
      </c>
      <c r="D1212" s="2">
        <v>45807</v>
      </c>
      <c r="E1212">
        <v>53850</v>
      </c>
      <c r="F1212">
        <v>171</v>
      </c>
      <c r="G1212" t="s">
        <v>198</v>
      </c>
      <c r="H1212" t="s">
        <v>167</v>
      </c>
      <c r="I1212" t="s">
        <v>45</v>
      </c>
      <c r="K1212">
        <v>202505298021936</v>
      </c>
      <c r="L1212">
        <v>1713302213769</v>
      </c>
      <c r="M1212">
        <v>20250529</v>
      </c>
      <c r="N1212" t="s">
        <v>46</v>
      </c>
      <c r="P1212" t="s">
        <v>51</v>
      </c>
      <c r="Q1212" t="s">
        <v>47</v>
      </c>
      <c r="R1212">
        <v>1733161.25</v>
      </c>
      <c r="S1212">
        <v>0</v>
      </c>
      <c r="T1212">
        <v>545638</v>
      </c>
      <c r="U1212">
        <v>434710729</v>
      </c>
      <c r="V1212" t="s">
        <v>1399</v>
      </c>
      <c r="W1212" t="s">
        <v>49</v>
      </c>
      <c r="X1212" t="s">
        <v>117</v>
      </c>
      <c r="Y1212" t="s">
        <v>51</v>
      </c>
      <c r="Z1212">
        <v>1903</v>
      </c>
      <c r="AH1212">
        <v>0</v>
      </c>
      <c r="AI1212">
        <v>202505</v>
      </c>
      <c r="AJ1212" t="s">
        <v>114</v>
      </c>
      <c r="AK1212">
        <v>1</v>
      </c>
      <c r="AL1212">
        <v>1</v>
      </c>
      <c r="AO1212">
        <v>0</v>
      </c>
      <c r="AP1212" t="s">
        <v>3029</v>
      </c>
      <c r="AQ1212" t="s">
        <v>3012</v>
      </c>
      <c r="AR1212" t="s">
        <v>3030</v>
      </c>
      <c r="AS1212" t="s">
        <v>3014</v>
      </c>
      <c r="AU1212" t="s">
        <v>3014</v>
      </c>
    </row>
    <row r="1213" spans="1:47" x14ac:dyDescent="0.35">
      <c r="A1213">
        <v>348482</v>
      </c>
      <c r="B1213" t="s">
        <v>178</v>
      </c>
      <c r="C1213" t="s">
        <v>179</v>
      </c>
      <c r="D1213" s="2">
        <v>45807</v>
      </c>
      <c r="E1213">
        <v>53850</v>
      </c>
      <c r="F1213">
        <v>102</v>
      </c>
      <c r="G1213" t="s">
        <v>151</v>
      </c>
      <c r="H1213" t="s">
        <v>167</v>
      </c>
      <c r="I1213" t="s">
        <v>45</v>
      </c>
      <c r="K1213">
        <v>202505298020646</v>
      </c>
      <c r="L1213">
        <v>1503300003188</v>
      </c>
      <c r="M1213">
        <v>20250529</v>
      </c>
      <c r="N1213" t="s">
        <v>236</v>
      </c>
      <c r="P1213" t="s">
        <v>51</v>
      </c>
      <c r="Q1213" t="s">
        <v>170</v>
      </c>
      <c r="R1213">
        <v>1400000</v>
      </c>
      <c r="S1213">
        <v>0</v>
      </c>
      <c r="T1213">
        <v>4269640</v>
      </c>
      <c r="U1213">
        <v>4797080969</v>
      </c>
      <c r="V1213" t="s">
        <v>152</v>
      </c>
      <c r="W1213" t="s">
        <v>153</v>
      </c>
      <c r="X1213" t="s">
        <v>210</v>
      </c>
      <c r="Y1213" t="s">
        <v>51</v>
      </c>
      <c r="Z1213">
        <v>1926</v>
      </c>
      <c r="AH1213">
        <v>0</v>
      </c>
      <c r="AI1213">
        <v>202505</v>
      </c>
      <c r="AJ1213" t="s">
        <v>52</v>
      </c>
      <c r="AK1213">
        <v>0</v>
      </c>
      <c r="AL1213">
        <v>1</v>
      </c>
      <c r="AO1213">
        <v>0</v>
      </c>
      <c r="AP1213" t="s">
        <v>3015</v>
      </c>
      <c r="AQ1213" t="s">
        <v>3035</v>
      </c>
      <c r="AR1213" t="s">
        <v>3036</v>
      </c>
      <c r="AT1213" t="s">
        <v>3017</v>
      </c>
      <c r="AU1213" t="s">
        <v>3037</v>
      </c>
    </row>
    <row r="1214" spans="1:47" x14ac:dyDescent="0.35">
      <c r="A1214">
        <v>348481</v>
      </c>
      <c r="B1214" t="s">
        <v>178</v>
      </c>
      <c r="C1214" t="s">
        <v>179</v>
      </c>
      <c r="D1214" s="2">
        <v>45807</v>
      </c>
      <c r="E1214">
        <v>53850</v>
      </c>
      <c r="F1214">
        <v>103</v>
      </c>
      <c r="G1214" t="s">
        <v>80</v>
      </c>
      <c r="H1214" t="s">
        <v>167</v>
      </c>
      <c r="I1214" t="s">
        <v>45</v>
      </c>
      <c r="K1214">
        <v>202505298021209</v>
      </c>
      <c r="L1214">
        <v>1033306975431</v>
      </c>
      <c r="M1214">
        <v>20250529</v>
      </c>
      <c r="N1214" t="s">
        <v>46</v>
      </c>
      <c r="P1214" t="s">
        <v>51</v>
      </c>
      <c r="Q1214" t="s">
        <v>47</v>
      </c>
      <c r="R1214">
        <v>613389.04</v>
      </c>
      <c r="S1214">
        <v>0</v>
      </c>
      <c r="T1214">
        <v>4785176</v>
      </c>
      <c r="U1214">
        <v>7587320727</v>
      </c>
      <c r="V1214" t="s">
        <v>1400</v>
      </c>
      <c r="W1214" t="s">
        <v>49</v>
      </c>
      <c r="X1214" t="s">
        <v>364</v>
      </c>
      <c r="Y1214" t="s">
        <v>51</v>
      </c>
      <c r="Z1214">
        <v>1274</v>
      </c>
      <c r="AH1214">
        <v>0</v>
      </c>
      <c r="AI1214">
        <v>202505</v>
      </c>
      <c r="AJ1214" t="s">
        <v>86</v>
      </c>
      <c r="AK1214">
        <v>1</v>
      </c>
      <c r="AL1214">
        <v>1</v>
      </c>
      <c r="AO1214">
        <v>0</v>
      </c>
      <c r="AP1214" t="s">
        <v>3062</v>
      </c>
      <c r="AQ1214" t="s">
        <v>3012</v>
      </c>
      <c r="AR1214" t="s">
        <v>3063</v>
      </c>
      <c r="AS1214" t="s">
        <v>3014</v>
      </c>
      <c r="AU1214" t="s">
        <v>3014</v>
      </c>
    </row>
    <row r="1215" spans="1:47" x14ac:dyDescent="0.35">
      <c r="A1215">
        <v>348480</v>
      </c>
      <c r="B1215" t="s">
        <v>193</v>
      </c>
      <c r="C1215" t="s">
        <v>194</v>
      </c>
      <c r="D1215" s="2">
        <v>45807</v>
      </c>
      <c r="E1215">
        <v>53850</v>
      </c>
      <c r="F1215">
        <v>109</v>
      </c>
      <c r="G1215" t="s">
        <v>89</v>
      </c>
      <c r="H1215" t="s">
        <v>167</v>
      </c>
      <c r="I1215" t="s">
        <v>45</v>
      </c>
      <c r="K1215">
        <v>202505298023415</v>
      </c>
      <c r="L1215">
        <v>1093306674001</v>
      </c>
      <c r="M1215">
        <v>20250529</v>
      </c>
      <c r="N1215" t="s">
        <v>266</v>
      </c>
      <c r="Q1215" t="s">
        <v>47</v>
      </c>
      <c r="R1215">
        <v>24935</v>
      </c>
      <c r="S1215">
        <v>24935</v>
      </c>
      <c r="T1215">
        <v>4125303</v>
      </c>
      <c r="U1215" t="s">
        <v>774</v>
      </c>
      <c r="V1215" t="s">
        <v>775</v>
      </c>
      <c r="W1215" t="s">
        <v>69</v>
      </c>
      <c r="X1215" t="s">
        <v>131</v>
      </c>
      <c r="Y1215" t="s">
        <v>51</v>
      </c>
      <c r="Z1215">
        <v>783</v>
      </c>
      <c r="AH1215">
        <v>0</v>
      </c>
      <c r="AI1215">
        <v>202505</v>
      </c>
      <c r="AJ1215" t="s">
        <v>56</v>
      </c>
      <c r="AK1215">
        <v>0</v>
      </c>
      <c r="AL1215">
        <v>1</v>
      </c>
      <c r="AM1215">
        <v>4125303</v>
      </c>
      <c r="AN1215">
        <v>1</v>
      </c>
      <c r="AO1215">
        <v>0</v>
      </c>
      <c r="AP1215" t="s">
        <v>3033</v>
      </c>
      <c r="AQ1215" t="s">
        <v>3021</v>
      </c>
      <c r="AR1215" t="s">
        <v>3054</v>
      </c>
      <c r="AS1215" t="s">
        <v>3055</v>
      </c>
      <c r="AU1215" t="s">
        <v>3055</v>
      </c>
    </row>
    <row r="1216" spans="1:47" x14ac:dyDescent="0.35">
      <c r="A1216">
        <v>348479</v>
      </c>
      <c r="B1216" t="s">
        <v>193</v>
      </c>
      <c r="C1216" t="s">
        <v>194</v>
      </c>
      <c r="D1216" s="2">
        <v>45807</v>
      </c>
      <c r="E1216">
        <v>53850</v>
      </c>
      <c r="F1216">
        <v>114</v>
      </c>
      <c r="G1216" t="s">
        <v>188</v>
      </c>
      <c r="H1216" t="s">
        <v>167</v>
      </c>
      <c r="I1216" t="s">
        <v>45</v>
      </c>
      <c r="K1216">
        <v>202505298023431</v>
      </c>
      <c r="L1216">
        <v>1143306280621</v>
      </c>
      <c r="M1216">
        <v>20250529</v>
      </c>
      <c r="N1216" t="s">
        <v>266</v>
      </c>
      <c r="Q1216" t="s">
        <v>47</v>
      </c>
      <c r="R1216">
        <v>57900</v>
      </c>
      <c r="S1216">
        <v>57900</v>
      </c>
      <c r="T1216">
        <v>4658875</v>
      </c>
      <c r="U1216">
        <v>3230890711</v>
      </c>
      <c r="V1216" t="s">
        <v>1363</v>
      </c>
      <c r="W1216" t="s">
        <v>49</v>
      </c>
      <c r="X1216" t="s">
        <v>131</v>
      </c>
      <c r="Y1216" t="s">
        <v>51</v>
      </c>
      <c r="Z1216">
        <v>870</v>
      </c>
      <c r="AH1216">
        <v>0</v>
      </c>
      <c r="AI1216">
        <v>202505</v>
      </c>
      <c r="AJ1216" t="s">
        <v>56</v>
      </c>
      <c r="AK1216">
        <v>0</v>
      </c>
      <c r="AL1216">
        <v>1</v>
      </c>
      <c r="AM1216">
        <v>4658875</v>
      </c>
      <c r="AN1216">
        <v>1</v>
      </c>
      <c r="AO1216">
        <v>0</v>
      </c>
      <c r="AP1216" t="s">
        <v>3033</v>
      </c>
      <c r="AQ1216" t="s">
        <v>3012</v>
      </c>
      <c r="AR1216" t="s">
        <v>3034</v>
      </c>
      <c r="AS1216" t="s">
        <v>3014</v>
      </c>
      <c r="AU1216" t="s">
        <v>3014</v>
      </c>
    </row>
    <row r="1217" spans="1:47" x14ac:dyDescent="0.35">
      <c r="A1217">
        <v>348478</v>
      </c>
      <c r="B1217" t="s">
        <v>178</v>
      </c>
      <c r="C1217" t="s">
        <v>179</v>
      </c>
      <c r="D1217" s="2">
        <v>45807</v>
      </c>
      <c r="E1217">
        <v>53850</v>
      </c>
      <c r="F1217">
        <v>109</v>
      </c>
      <c r="G1217" t="s">
        <v>89</v>
      </c>
      <c r="H1217" t="s">
        <v>167</v>
      </c>
      <c r="I1217" t="s">
        <v>45</v>
      </c>
      <c r="K1217">
        <v>202505298021182</v>
      </c>
      <c r="L1217">
        <v>1093306673843</v>
      </c>
      <c r="M1217">
        <v>20250529</v>
      </c>
      <c r="N1217" t="s">
        <v>236</v>
      </c>
      <c r="P1217" t="s">
        <v>51</v>
      </c>
      <c r="Q1217" t="s">
        <v>170</v>
      </c>
      <c r="R1217">
        <v>771195.52</v>
      </c>
      <c r="S1217">
        <v>0</v>
      </c>
      <c r="T1217">
        <v>3183543</v>
      </c>
      <c r="U1217">
        <v>252920723</v>
      </c>
      <c r="V1217" t="s">
        <v>1401</v>
      </c>
      <c r="W1217" t="s">
        <v>49</v>
      </c>
      <c r="X1217" t="s">
        <v>117</v>
      </c>
      <c r="Y1217" t="s">
        <v>51</v>
      </c>
      <c r="Z1217">
        <v>1919</v>
      </c>
      <c r="AH1217">
        <v>0</v>
      </c>
      <c r="AI1217">
        <v>202505</v>
      </c>
      <c r="AJ1217" t="s">
        <v>86</v>
      </c>
      <c r="AK1217">
        <v>1</v>
      </c>
      <c r="AL1217">
        <v>1</v>
      </c>
      <c r="AO1217">
        <v>0</v>
      </c>
      <c r="AP1217" t="s">
        <v>3029</v>
      </c>
      <c r="AQ1217" t="s">
        <v>3012</v>
      </c>
      <c r="AR1217" t="s">
        <v>3030</v>
      </c>
      <c r="AS1217" t="s">
        <v>3014</v>
      </c>
      <c r="AU1217" t="s">
        <v>3014</v>
      </c>
    </row>
    <row r="1218" spans="1:47" x14ac:dyDescent="0.35">
      <c r="A1218">
        <v>348477</v>
      </c>
      <c r="B1218" t="s">
        <v>193</v>
      </c>
      <c r="C1218" t="s">
        <v>194</v>
      </c>
      <c r="D1218" s="2">
        <v>45807</v>
      </c>
      <c r="E1218">
        <v>53850</v>
      </c>
      <c r="F1218">
        <v>108</v>
      </c>
      <c r="G1218" t="s">
        <v>124</v>
      </c>
      <c r="H1218" t="s">
        <v>167</v>
      </c>
      <c r="I1218" t="s">
        <v>45</v>
      </c>
      <c r="K1218" t="s">
        <v>1402</v>
      </c>
      <c r="L1218">
        <v>1083306291105</v>
      </c>
      <c r="M1218">
        <v>20250529</v>
      </c>
      <c r="N1218" t="s">
        <v>175</v>
      </c>
      <c r="Q1218" t="s">
        <v>47</v>
      </c>
      <c r="R1218">
        <v>57610.3</v>
      </c>
      <c r="S1218">
        <v>51658.6</v>
      </c>
      <c r="T1218">
        <v>4227057</v>
      </c>
      <c r="U1218">
        <v>4874620729</v>
      </c>
      <c r="V1218" t="s">
        <v>250</v>
      </c>
      <c r="W1218" t="s">
        <v>49</v>
      </c>
      <c r="X1218" t="s">
        <v>62</v>
      </c>
      <c r="Y1218" t="s">
        <v>51</v>
      </c>
      <c r="Z1218">
        <v>1058</v>
      </c>
      <c r="AH1218">
        <v>0</v>
      </c>
      <c r="AI1218">
        <v>202505</v>
      </c>
      <c r="AJ1218" t="s">
        <v>56</v>
      </c>
      <c r="AK1218">
        <v>0</v>
      </c>
      <c r="AL1218">
        <v>1</v>
      </c>
      <c r="AM1218">
        <v>4227057</v>
      </c>
      <c r="AN1218">
        <v>1</v>
      </c>
      <c r="AO1218">
        <v>1</v>
      </c>
      <c r="AP1218" t="s">
        <v>3015</v>
      </c>
      <c r="AQ1218" t="s">
        <v>3012</v>
      </c>
      <c r="AR1218" t="s">
        <v>3016</v>
      </c>
      <c r="AT1218" t="s">
        <v>3017</v>
      </c>
      <c r="AU1218" t="s">
        <v>3018</v>
      </c>
    </row>
    <row r="1219" spans="1:47" x14ac:dyDescent="0.35">
      <c r="A1219">
        <v>348476</v>
      </c>
      <c r="B1219" t="s">
        <v>193</v>
      </c>
      <c r="C1219" t="s">
        <v>194</v>
      </c>
      <c r="D1219" s="2">
        <v>45807</v>
      </c>
      <c r="E1219">
        <v>53850</v>
      </c>
      <c r="F1219">
        <v>102</v>
      </c>
      <c r="G1219" t="s">
        <v>151</v>
      </c>
      <c r="H1219" t="s">
        <v>167</v>
      </c>
      <c r="I1219" t="s">
        <v>45</v>
      </c>
      <c r="K1219">
        <v>202505298022969</v>
      </c>
      <c r="L1219">
        <v>1023308722503</v>
      </c>
      <c r="M1219">
        <v>20250529</v>
      </c>
      <c r="N1219" t="s">
        <v>195</v>
      </c>
      <c r="Q1219" t="s">
        <v>47</v>
      </c>
      <c r="R1219">
        <v>26990</v>
      </c>
      <c r="S1219">
        <v>26990</v>
      </c>
      <c r="T1219">
        <v>413650</v>
      </c>
      <c r="U1219">
        <v>3657230722</v>
      </c>
      <c r="V1219" t="s">
        <v>196</v>
      </c>
      <c r="W1219" t="s">
        <v>190</v>
      </c>
      <c r="X1219" t="s">
        <v>197</v>
      </c>
      <c r="Y1219" t="s">
        <v>51</v>
      </c>
      <c r="Z1219">
        <v>1306</v>
      </c>
      <c r="AH1219">
        <v>0</v>
      </c>
      <c r="AI1219">
        <v>202505</v>
      </c>
      <c r="AJ1219" t="s">
        <v>56</v>
      </c>
      <c r="AK1219">
        <v>0</v>
      </c>
      <c r="AL1219">
        <v>1</v>
      </c>
      <c r="AM1219">
        <v>413650</v>
      </c>
      <c r="AN1219">
        <v>1</v>
      </c>
      <c r="AO1219">
        <v>0</v>
      </c>
      <c r="AP1219" t="s">
        <v>3050</v>
      </c>
      <c r="AQ1219" t="s">
        <v>3047</v>
      </c>
      <c r="AR1219" t="s">
        <v>3051</v>
      </c>
      <c r="AS1219" t="s">
        <v>3049</v>
      </c>
      <c r="AU1219" t="s">
        <v>3049</v>
      </c>
    </row>
    <row r="1220" spans="1:47" x14ac:dyDescent="0.35">
      <c r="A1220">
        <v>348475</v>
      </c>
      <c r="B1220" t="s">
        <v>193</v>
      </c>
      <c r="C1220" t="s">
        <v>194</v>
      </c>
      <c r="D1220" s="2">
        <v>45807</v>
      </c>
      <c r="E1220">
        <v>53850</v>
      </c>
      <c r="F1220">
        <v>287</v>
      </c>
      <c r="G1220" t="s">
        <v>707</v>
      </c>
      <c r="H1220" t="s">
        <v>167</v>
      </c>
      <c r="I1220" t="s">
        <v>45</v>
      </c>
      <c r="K1220" t="s">
        <v>1402</v>
      </c>
      <c r="L1220">
        <v>2873300001853</v>
      </c>
      <c r="M1220">
        <v>20250529</v>
      </c>
      <c r="N1220" t="s">
        <v>175</v>
      </c>
      <c r="Q1220" t="s">
        <v>47</v>
      </c>
      <c r="R1220">
        <v>70714.070000000007</v>
      </c>
      <c r="S1220">
        <v>41945</v>
      </c>
      <c r="T1220">
        <v>3722213</v>
      </c>
      <c r="U1220">
        <v>2021570698</v>
      </c>
      <c r="V1220" t="s">
        <v>708</v>
      </c>
      <c r="W1220" t="s">
        <v>49</v>
      </c>
      <c r="X1220" t="s">
        <v>117</v>
      </c>
      <c r="Y1220" t="s">
        <v>51</v>
      </c>
      <c r="Z1220">
        <v>1877</v>
      </c>
      <c r="AH1220">
        <v>0</v>
      </c>
      <c r="AI1220">
        <v>202505</v>
      </c>
      <c r="AJ1220" t="s">
        <v>52</v>
      </c>
      <c r="AK1220">
        <v>0</v>
      </c>
      <c r="AL1220">
        <v>1</v>
      </c>
      <c r="AM1220">
        <v>3722213</v>
      </c>
      <c r="AN1220">
        <v>1</v>
      </c>
      <c r="AO1220">
        <v>1</v>
      </c>
      <c r="AP1220" t="s">
        <v>3029</v>
      </c>
      <c r="AQ1220" t="s">
        <v>3012</v>
      </c>
      <c r="AR1220" t="s">
        <v>3030</v>
      </c>
      <c r="AS1220" t="s">
        <v>3014</v>
      </c>
      <c r="AU1220" t="s">
        <v>3014</v>
      </c>
    </row>
    <row r="1221" spans="1:47" x14ac:dyDescent="0.35">
      <c r="A1221">
        <v>348474</v>
      </c>
      <c r="B1221" t="s">
        <v>333</v>
      </c>
      <c r="C1221" t="s">
        <v>334</v>
      </c>
      <c r="D1221" s="2">
        <v>45807</v>
      </c>
      <c r="E1221">
        <v>53850</v>
      </c>
      <c r="F1221">
        <v>99</v>
      </c>
      <c r="G1221" t="s">
        <v>335</v>
      </c>
      <c r="H1221" t="s">
        <v>167</v>
      </c>
      <c r="I1221" t="s">
        <v>45</v>
      </c>
      <c r="K1221">
        <v>202505298023308</v>
      </c>
      <c r="M1221">
        <v>20250529</v>
      </c>
      <c r="N1221" t="s">
        <v>3136</v>
      </c>
      <c r="Q1221" t="s">
        <v>170</v>
      </c>
      <c r="R1221">
        <v>11266.94</v>
      </c>
      <c r="S1221">
        <v>0</v>
      </c>
      <c r="T1221">
        <v>1650841</v>
      </c>
      <c r="U1221" t="s">
        <v>1403</v>
      </c>
      <c r="V1221" t="s">
        <v>1404</v>
      </c>
      <c r="W1221" t="s">
        <v>187</v>
      </c>
      <c r="Y1221" t="s">
        <v>51</v>
      </c>
      <c r="Z1221">
        <v>1295</v>
      </c>
      <c r="AH1221">
        <v>0</v>
      </c>
      <c r="AI1221">
        <v>202505</v>
      </c>
      <c r="AJ1221" t="s">
        <v>52</v>
      </c>
      <c r="AK1221">
        <v>0</v>
      </c>
      <c r="AL1221">
        <v>0</v>
      </c>
      <c r="AO1221">
        <v>1</v>
      </c>
      <c r="AP1221" t="s">
        <v>3015</v>
      </c>
      <c r="AQ1221" t="s">
        <v>3044</v>
      </c>
      <c r="AR1221" t="s">
        <v>3045</v>
      </c>
      <c r="AS1221" t="s">
        <v>3046</v>
      </c>
      <c r="AU1221" t="s">
        <v>3046</v>
      </c>
    </row>
    <row r="1222" spans="1:47" x14ac:dyDescent="0.35">
      <c r="A1222">
        <v>348473</v>
      </c>
      <c r="B1222" t="s">
        <v>178</v>
      </c>
      <c r="C1222" t="s">
        <v>179</v>
      </c>
      <c r="D1222" s="2">
        <v>45807</v>
      </c>
      <c r="E1222">
        <v>53850</v>
      </c>
      <c r="F1222">
        <v>273</v>
      </c>
      <c r="G1222" t="s">
        <v>133</v>
      </c>
      <c r="H1222" t="s">
        <v>167</v>
      </c>
      <c r="I1222" t="s">
        <v>45</v>
      </c>
      <c r="K1222">
        <v>202505298020813</v>
      </c>
      <c r="L1222">
        <v>2733300004156</v>
      </c>
      <c r="M1222">
        <v>20250529</v>
      </c>
      <c r="N1222" t="s">
        <v>310</v>
      </c>
      <c r="Q1222" t="s">
        <v>170</v>
      </c>
      <c r="R1222">
        <v>1161775</v>
      </c>
      <c r="S1222">
        <v>0</v>
      </c>
      <c r="T1222">
        <v>1695938</v>
      </c>
      <c r="U1222">
        <v>2232960159</v>
      </c>
      <c r="V1222" t="s">
        <v>311</v>
      </c>
      <c r="W1222" t="s">
        <v>49</v>
      </c>
      <c r="X1222" t="s">
        <v>312</v>
      </c>
      <c r="Y1222" t="s">
        <v>51</v>
      </c>
      <c r="Z1222">
        <v>1856</v>
      </c>
      <c r="AH1222">
        <v>0</v>
      </c>
      <c r="AI1222">
        <v>202505</v>
      </c>
      <c r="AJ1222" t="s">
        <v>52</v>
      </c>
      <c r="AK1222">
        <v>0</v>
      </c>
      <c r="AL1222">
        <v>1</v>
      </c>
      <c r="AO1222">
        <v>0</v>
      </c>
      <c r="AP1222" t="s">
        <v>3015</v>
      </c>
      <c r="AQ1222" t="s">
        <v>3012</v>
      </c>
      <c r="AR1222" t="s">
        <v>3016</v>
      </c>
      <c r="AT1222" t="s">
        <v>3017</v>
      </c>
      <c r="AU1222" t="s">
        <v>3018</v>
      </c>
    </row>
    <row r="1223" spans="1:47" x14ac:dyDescent="0.35">
      <c r="A1223">
        <v>348472</v>
      </c>
      <c r="B1223" t="s">
        <v>727</v>
      </c>
      <c r="C1223" t="s">
        <v>728</v>
      </c>
      <c r="D1223" s="2">
        <v>45807</v>
      </c>
      <c r="E1223">
        <v>53850</v>
      </c>
      <c r="F1223">
        <v>182</v>
      </c>
      <c r="G1223" t="s">
        <v>318</v>
      </c>
      <c r="H1223" t="s">
        <v>167</v>
      </c>
      <c r="I1223" t="s">
        <v>45</v>
      </c>
      <c r="K1223">
        <v>202505298023641</v>
      </c>
      <c r="M1223">
        <v>20250529</v>
      </c>
      <c r="N1223" t="s">
        <v>236</v>
      </c>
      <c r="P1223" t="s">
        <v>51</v>
      </c>
      <c r="Q1223" t="s">
        <v>170</v>
      </c>
      <c r="R1223">
        <v>37900</v>
      </c>
      <c r="S1223">
        <v>37900</v>
      </c>
      <c r="T1223">
        <v>4977010</v>
      </c>
      <c r="U1223" t="s">
        <v>1390</v>
      </c>
      <c r="V1223" t="s">
        <v>1391</v>
      </c>
      <c r="W1223" t="s">
        <v>187</v>
      </c>
      <c r="Y1223" t="s">
        <v>51</v>
      </c>
      <c r="Z1223">
        <v>614</v>
      </c>
      <c r="AH1223">
        <v>0</v>
      </c>
      <c r="AI1223">
        <v>202505</v>
      </c>
      <c r="AL1223">
        <v>0</v>
      </c>
      <c r="AO1223">
        <v>0</v>
      </c>
      <c r="AP1223" t="s">
        <v>3015</v>
      </c>
      <c r="AQ1223" t="s">
        <v>3044</v>
      </c>
      <c r="AR1223" t="s">
        <v>3045</v>
      </c>
      <c r="AS1223" t="s">
        <v>3046</v>
      </c>
      <c r="AU1223" t="s">
        <v>3046</v>
      </c>
    </row>
    <row r="1224" spans="1:47" x14ac:dyDescent="0.35">
      <c r="A1224">
        <v>348471</v>
      </c>
      <c r="B1224" t="s">
        <v>164</v>
      </c>
      <c r="C1224" t="s">
        <v>165</v>
      </c>
      <c r="D1224" s="2">
        <v>45807</v>
      </c>
      <c r="E1224">
        <v>53850</v>
      </c>
      <c r="F1224">
        <v>104</v>
      </c>
      <c r="G1224" t="s">
        <v>108</v>
      </c>
      <c r="H1224" t="s">
        <v>167</v>
      </c>
      <c r="I1224" t="s">
        <v>45</v>
      </c>
      <c r="K1224" t="s">
        <v>1405</v>
      </c>
      <c r="L1224">
        <v>1043309506207</v>
      </c>
      <c r="M1224">
        <v>20250529</v>
      </c>
      <c r="N1224" t="s">
        <v>168</v>
      </c>
      <c r="P1224" t="s">
        <v>255</v>
      </c>
      <c r="Q1224" t="s">
        <v>170</v>
      </c>
      <c r="R1224">
        <v>2500</v>
      </c>
      <c r="S1224">
        <v>0</v>
      </c>
      <c r="T1224">
        <v>420391</v>
      </c>
      <c r="U1224" t="s">
        <v>1060</v>
      </c>
      <c r="V1224" t="s">
        <v>1061</v>
      </c>
      <c r="W1224" t="s">
        <v>69</v>
      </c>
      <c r="X1224" t="s">
        <v>1062</v>
      </c>
      <c r="Y1224" t="s">
        <v>51</v>
      </c>
      <c r="Z1224">
        <v>1902</v>
      </c>
      <c r="AH1224">
        <v>0</v>
      </c>
      <c r="AI1224">
        <v>202505</v>
      </c>
      <c r="AJ1224" t="s">
        <v>52</v>
      </c>
      <c r="AK1224">
        <v>0</v>
      </c>
      <c r="AL1224">
        <v>1</v>
      </c>
      <c r="AO1224">
        <v>0</v>
      </c>
      <c r="AP1224" t="s">
        <v>3015</v>
      </c>
      <c r="AQ1224" t="s">
        <v>3021</v>
      </c>
      <c r="AR1224" t="s">
        <v>3022</v>
      </c>
      <c r="AT1224" t="s">
        <v>3017</v>
      </c>
      <c r="AU1224" t="s">
        <v>3014</v>
      </c>
    </row>
    <row r="1225" spans="1:47" x14ac:dyDescent="0.35">
      <c r="A1225">
        <v>348470</v>
      </c>
      <c r="B1225" t="s">
        <v>164</v>
      </c>
      <c r="C1225" t="s">
        <v>165</v>
      </c>
      <c r="D1225" s="2">
        <v>45807</v>
      </c>
      <c r="E1225">
        <v>53850</v>
      </c>
      <c r="F1225">
        <v>261</v>
      </c>
      <c r="G1225" t="s">
        <v>136</v>
      </c>
      <c r="H1225" t="s">
        <v>167</v>
      </c>
      <c r="I1225" t="s">
        <v>45</v>
      </c>
      <c r="K1225" t="s">
        <v>1406</v>
      </c>
      <c r="L1225">
        <v>2613300010222</v>
      </c>
      <c r="M1225">
        <v>20250529</v>
      </c>
      <c r="N1225" t="s">
        <v>168</v>
      </c>
      <c r="P1225" t="s">
        <v>435</v>
      </c>
      <c r="Q1225" t="s">
        <v>47</v>
      </c>
      <c r="R1225">
        <v>1760</v>
      </c>
      <c r="S1225">
        <v>0</v>
      </c>
      <c r="T1225">
        <v>4994040</v>
      </c>
      <c r="U1225">
        <v>997390943</v>
      </c>
      <c r="V1225" t="s">
        <v>1407</v>
      </c>
      <c r="W1225" t="s">
        <v>49</v>
      </c>
      <c r="X1225" t="s">
        <v>77</v>
      </c>
      <c r="Y1225" t="s">
        <v>51</v>
      </c>
      <c r="Z1225">
        <v>1782</v>
      </c>
      <c r="AH1225">
        <v>0</v>
      </c>
      <c r="AI1225">
        <v>202505</v>
      </c>
      <c r="AJ1225" t="s">
        <v>56</v>
      </c>
      <c r="AK1225">
        <v>0</v>
      </c>
      <c r="AL1225">
        <v>1</v>
      </c>
      <c r="AO1225">
        <v>0</v>
      </c>
      <c r="AP1225" t="s">
        <v>3015</v>
      </c>
      <c r="AQ1225" t="s">
        <v>3012</v>
      </c>
      <c r="AR1225" t="s">
        <v>3016</v>
      </c>
      <c r="AT1225" t="s">
        <v>3017</v>
      </c>
      <c r="AU1225" t="s">
        <v>3018</v>
      </c>
    </row>
    <row r="1226" spans="1:47" x14ac:dyDescent="0.35">
      <c r="A1226">
        <v>348469</v>
      </c>
      <c r="B1226" t="s">
        <v>178</v>
      </c>
      <c r="C1226" t="s">
        <v>179</v>
      </c>
      <c r="D1226" s="2">
        <v>45807</v>
      </c>
      <c r="E1226">
        <v>53850</v>
      </c>
      <c r="F1226">
        <v>105</v>
      </c>
      <c r="G1226" t="s">
        <v>60</v>
      </c>
      <c r="H1226" t="s">
        <v>167</v>
      </c>
      <c r="I1226" t="s">
        <v>45</v>
      </c>
      <c r="K1226">
        <v>202505298021932</v>
      </c>
      <c r="L1226">
        <v>1053306288710</v>
      </c>
      <c r="M1226">
        <v>20250529</v>
      </c>
      <c r="N1226" t="s">
        <v>46</v>
      </c>
      <c r="P1226" t="s">
        <v>51</v>
      </c>
      <c r="Q1226" t="s">
        <v>47</v>
      </c>
      <c r="R1226">
        <v>208073.67</v>
      </c>
      <c r="S1226">
        <v>0</v>
      </c>
      <c r="T1226">
        <v>522982</v>
      </c>
      <c r="U1226" t="s">
        <v>1258</v>
      </c>
      <c r="V1226" t="s">
        <v>1259</v>
      </c>
      <c r="W1226" t="s">
        <v>187</v>
      </c>
      <c r="Y1226" t="s">
        <v>51</v>
      </c>
      <c r="Z1226">
        <v>833</v>
      </c>
      <c r="AH1226">
        <v>0</v>
      </c>
      <c r="AI1226">
        <v>202505</v>
      </c>
      <c r="AJ1226" t="s">
        <v>86</v>
      </c>
      <c r="AK1226">
        <v>1</v>
      </c>
      <c r="AL1226">
        <v>1</v>
      </c>
      <c r="AO1226">
        <v>0</v>
      </c>
      <c r="AP1226" t="s">
        <v>3015</v>
      </c>
      <c r="AQ1226" t="s">
        <v>3044</v>
      </c>
      <c r="AR1226" t="s">
        <v>3045</v>
      </c>
      <c r="AS1226" t="s">
        <v>3046</v>
      </c>
      <c r="AU1226" t="s">
        <v>3046</v>
      </c>
    </row>
    <row r="1227" spans="1:47" x14ac:dyDescent="0.35">
      <c r="A1227">
        <v>348468</v>
      </c>
      <c r="B1227" t="s">
        <v>193</v>
      </c>
      <c r="C1227" t="s">
        <v>194</v>
      </c>
      <c r="D1227" s="2">
        <v>45807</v>
      </c>
      <c r="E1227">
        <v>53850</v>
      </c>
      <c r="F1227">
        <v>102</v>
      </c>
      <c r="G1227" t="s">
        <v>151</v>
      </c>
      <c r="H1227" t="s">
        <v>167</v>
      </c>
      <c r="I1227" t="s">
        <v>45</v>
      </c>
      <c r="K1227" t="s">
        <v>1402</v>
      </c>
      <c r="L1227">
        <v>1023308723527</v>
      </c>
      <c r="M1227">
        <v>20250529</v>
      </c>
      <c r="N1227" t="s">
        <v>195</v>
      </c>
      <c r="Q1227" t="s">
        <v>47</v>
      </c>
      <c r="R1227">
        <v>18640</v>
      </c>
      <c r="S1227">
        <v>18640</v>
      </c>
      <c r="T1227">
        <v>4883007</v>
      </c>
      <c r="U1227">
        <v>8028310723</v>
      </c>
      <c r="V1227" t="s">
        <v>314</v>
      </c>
      <c r="W1227" t="s">
        <v>190</v>
      </c>
      <c r="X1227" t="s">
        <v>131</v>
      </c>
      <c r="Y1227" t="s">
        <v>51</v>
      </c>
      <c r="Z1227">
        <v>1949</v>
      </c>
      <c r="AH1227">
        <v>0</v>
      </c>
      <c r="AI1227">
        <v>202505</v>
      </c>
      <c r="AJ1227" t="s">
        <v>119</v>
      </c>
      <c r="AK1227">
        <v>1</v>
      </c>
      <c r="AL1227">
        <v>1</v>
      </c>
      <c r="AM1227">
        <v>4883007</v>
      </c>
      <c r="AN1227">
        <v>1</v>
      </c>
      <c r="AO1227">
        <v>0</v>
      </c>
      <c r="AP1227" t="s">
        <v>3033</v>
      </c>
      <c r="AQ1227" t="s">
        <v>3047</v>
      </c>
      <c r="AR1227" t="s">
        <v>3048</v>
      </c>
      <c r="AS1227" t="s">
        <v>3049</v>
      </c>
      <c r="AU1227" t="s">
        <v>3049</v>
      </c>
    </row>
    <row r="1228" spans="1:47" x14ac:dyDescent="0.35">
      <c r="A1228">
        <v>348467</v>
      </c>
      <c r="B1228" t="s">
        <v>164</v>
      </c>
      <c r="C1228" t="s">
        <v>165</v>
      </c>
      <c r="D1228" s="2">
        <v>45807</v>
      </c>
      <c r="E1228">
        <v>53850</v>
      </c>
      <c r="F1228">
        <v>121</v>
      </c>
      <c r="G1228" t="s">
        <v>140</v>
      </c>
      <c r="H1228" t="s">
        <v>167</v>
      </c>
      <c r="I1228" t="s">
        <v>45</v>
      </c>
      <c r="K1228" t="s">
        <v>1408</v>
      </c>
      <c r="L1228">
        <v>1213300010474</v>
      </c>
      <c r="M1228">
        <v>20250529</v>
      </c>
      <c r="N1228" t="s">
        <v>168</v>
      </c>
      <c r="P1228" t="s">
        <v>203</v>
      </c>
      <c r="Q1228" t="s">
        <v>47</v>
      </c>
      <c r="R1228">
        <v>3056.06</v>
      </c>
      <c r="S1228">
        <v>0</v>
      </c>
      <c r="T1228">
        <v>4797139</v>
      </c>
      <c r="U1228" t="s">
        <v>366</v>
      </c>
      <c r="V1228" t="s">
        <v>367</v>
      </c>
      <c r="W1228" t="s">
        <v>187</v>
      </c>
      <c r="Y1228" t="s">
        <v>51</v>
      </c>
      <c r="Z1228">
        <v>964</v>
      </c>
      <c r="AH1228">
        <v>0</v>
      </c>
      <c r="AI1228">
        <v>202505</v>
      </c>
      <c r="AJ1228" t="s">
        <v>86</v>
      </c>
      <c r="AK1228">
        <v>1</v>
      </c>
      <c r="AL1228">
        <v>1</v>
      </c>
      <c r="AO1228">
        <v>0</v>
      </c>
      <c r="AP1228" t="s">
        <v>3015</v>
      </c>
      <c r="AQ1228" t="s">
        <v>3044</v>
      </c>
      <c r="AR1228" t="s">
        <v>3045</v>
      </c>
      <c r="AS1228" t="s">
        <v>3046</v>
      </c>
      <c r="AU1228" t="s">
        <v>3046</v>
      </c>
    </row>
    <row r="1229" spans="1:47" x14ac:dyDescent="0.35">
      <c r="A1229">
        <v>348466</v>
      </c>
      <c r="B1229" t="s">
        <v>164</v>
      </c>
      <c r="C1229" t="s">
        <v>165</v>
      </c>
      <c r="D1229" s="2">
        <v>45807</v>
      </c>
      <c r="E1229">
        <v>53850</v>
      </c>
      <c r="F1229">
        <v>173</v>
      </c>
      <c r="G1229" t="s">
        <v>1409</v>
      </c>
      <c r="H1229" t="s">
        <v>167</v>
      </c>
      <c r="I1229" t="s">
        <v>45</v>
      </c>
      <c r="K1229" t="s">
        <v>1410</v>
      </c>
      <c r="L1229">
        <v>1733302705346</v>
      </c>
      <c r="M1229">
        <v>20250529</v>
      </c>
      <c r="N1229" t="s">
        <v>168</v>
      </c>
      <c r="P1229" t="s">
        <v>169</v>
      </c>
      <c r="Q1229" t="s">
        <v>47</v>
      </c>
      <c r="R1229">
        <v>1690</v>
      </c>
      <c r="S1229">
        <v>0</v>
      </c>
      <c r="T1229">
        <v>4669709</v>
      </c>
      <c r="U1229">
        <v>7222880721</v>
      </c>
      <c r="V1229" t="s">
        <v>1411</v>
      </c>
      <c r="W1229" t="s">
        <v>49</v>
      </c>
      <c r="X1229" t="s">
        <v>128</v>
      </c>
      <c r="Y1229" t="s">
        <v>51</v>
      </c>
      <c r="Z1229">
        <v>1530</v>
      </c>
      <c r="AH1229">
        <v>0</v>
      </c>
      <c r="AI1229">
        <v>202505</v>
      </c>
      <c r="AJ1229" t="s">
        <v>86</v>
      </c>
      <c r="AK1229">
        <v>1</v>
      </c>
      <c r="AL1229">
        <v>1</v>
      </c>
      <c r="AO1229">
        <v>0</v>
      </c>
      <c r="AP1229" t="s">
        <v>3015</v>
      </c>
      <c r="AQ1229" t="s">
        <v>3012</v>
      </c>
      <c r="AR1229" t="s">
        <v>3016</v>
      </c>
      <c r="AT1229" t="s">
        <v>3017</v>
      </c>
      <c r="AU1229" t="s">
        <v>3018</v>
      </c>
    </row>
    <row r="1230" spans="1:47" x14ac:dyDescent="0.35">
      <c r="A1230">
        <v>348465</v>
      </c>
      <c r="B1230" t="s">
        <v>178</v>
      </c>
      <c r="C1230" t="s">
        <v>179</v>
      </c>
      <c r="D1230" s="2">
        <v>45807</v>
      </c>
      <c r="E1230">
        <v>53850</v>
      </c>
      <c r="F1230">
        <v>122</v>
      </c>
      <c r="G1230" t="s">
        <v>43</v>
      </c>
      <c r="H1230" t="s">
        <v>167</v>
      </c>
      <c r="I1230" t="s">
        <v>45</v>
      </c>
      <c r="K1230">
        <v>202505298022050</v>
      </c>
      <c r="L1230">
        <v>1223300001682</v>
      </c>
      <c r="M1230">
        <v>20250529</v>
      </c>
      <c r="N1230" t="s">
        <v>46</v>
      </c>
      <c r="P1230" t="s">
        <v>51</v>
      </c>
      <c r="Q1230" t="s">
        <v>47</v>
      </c>
      <c r="R1230">
        <v>1252933.6200000001</v>
      </c>
      <c r="S1230">
        <v>0</v>
      </c>
      <c r="T1230">
        <v>3711207</v>
      </c>
      <c r="U1230">
        <v>8825020723</v>
      </c>
      <c r="V1230" t="s">
        <v>48</v>
      </c>
      <c r="W1230" t="s">
        <v>49</v>
      </c>
      <c r="X1230" t="s">
        <v>50</v>
      </c>
      <c r="Y1230" t="s">
        <v>51</v>
      </c>
      <c r="Z1230">
        <v>1696</v>
      </c>
      <c r="AH1230">
        <v>0</v>
      </c>
      <c r="AI1230">
        <v>202505</v>
      </c>
      <c r="AJ1230" t="s">
        <v>86</v>
      </c>
      <c r="AK1230">
        <v>1</v>
      </c>
      <c r="AL1230">
        <v>1</v>
      </c>
      <c r="AO1230">
        <v>0</v>
      </c>
      <c r="AP1230" t="s">
        <v>3011</v>
      </c>
      <c r="AQ1230" t="s">
        <v>3012</v>
      </c>
      <c r="AR1230" t="s">
        <v>3013</v>
      </c>
      <c r="AS1230" t="s">
        <v>3014</v>
      </c>
      <c r="AU1230" t="s">
        <v>3014</v>
      </c>
    </row>
    <row r="1231" spans="1:47" x14ac:dyDescent="0.35">
      <c r="A1231">
        <v>348464</v>
      </c>
      <c r="B1231" t="s">
        <v>178</v>
      </c>
      <c r="C1231" t="s">
        <v>179</v>
      </c>
      <c r="D1231" s="2">
        <v>45807</v>
      </c>
      <c r="E1231">
        <v>53850</v>
      </c>
      <c r="F1231">
        <v>103</v>
      </c>
      <c r="G1231" t="s">
        <v>80</v>
      </c>
      <c r="H1231" t="s">
        <v>167</v>
      </c>
      <c r="I1231" t="s">
        <v>45</v>
      </c>
      <c r="K1231">
        <v>202505298023304</v>
      </c>
      <c r="L1231">
        <v>1033306979739</v>
      </c>
      <c r="M1231">
        <v>20250529</v>
      </c>
      <c r="N1231" t="s">
        <v>3136</v>
      </c>
      <c r="Q1231" t="s">
        <v>170</v>
      </c>
      <c r="R1231">
        <v>19671.54</v>
      </c>
      <c r="S1231">
        <v>0</v>
      </c>
      <c r="T1231">
        <v>597069</v>
      </c>
      <c r="U1231" t="s">
        <v>1388</v>
      </c>
      <c r="V1231" t="s">
        <v>1389</v>
      </c>
      <c r="W1231" t="s">
        <v>187</v>
      </c>
      <c r="Y1231" t="s">
        <v>51</v>
      </c>
      <c r="AH1231">
        <v>0</v>
      </c>
      <c r="AI1231">
        <v>202505</v>
      </c>
      <c r="AJ1231" t="s">
        <v>86</v>
      </c>
      <c r="AK1231">
        <v>1</v>
      </c>
      <c r="AL1231">
        <v>1</v>
      </c>
      <c r="AO1231">
        <v>1</v>
      </c>
      <c r="AP1231" t="s">
        <v>3015</v>
      </c>
      <c r="AQ1231" t="s">
        <v>3044</v>
      </c>
      <c r="AR1231" t="s">
        <v>3045</v>
      </c>
      <c r="AS1231" t="s">
        <v>3046</v>
      </c>
      <c r="AU1231" t="s">
        <v>3046</v>
      </c>
    </row>
    <row r="1232" spans="1:47" x14ac:dyDescent="0.35">
      <c r="A1232">
        <v>348463</v>
      </c>
      <c r="B1232" t="s">
        <v>178</v>
      </c>
      <c r="C1232" t="s">
        <v>179</v>
      </c>
      <c r="D1232" s="2">
        <v>45807</v>
      </c>
      <c r="E1232">
        <v>53850</v>
      </c>
      <c r="F1232">
        <v>273</v>
      </c>
      <c r="G1232" t="s">
        <v>133</v>
      </c>
      <c r="H1232" t="s">
        <v>167</v>
      </c>
      <c r="I1232" t="s">
        <v>45</v>
      </c>
      <c r="K1232">
        <v>202505298023307</v>
      </c>
      <c r="L1232">
        <v>2733300001505</v>
      </c>
      <c r="M1232">
        <v>20250529</v>
      </c>
      <c r="N1232" t="s">
        <v>3136</v>
      </c>
      <c r="Q1232" t="s">
        <v>170</v>
      </c>
      <c r="R1232">
        <v>11266.94</v>
      </c>
      <c r="S1232">
        <v>0</v>
      </c>
      <c r="T1232">
        <v>1650841</v>
      </c>
      <c r="U1232" t="s">
        <v>1403</v>
      </c>
      <c r="V1232" t="s">
        <v>1404</v>
      </c>
      <c r="W1232" t="s">
        <v>187</v>
      </c>
      <c r="Y1232" t="s">
        <v>51</v>
      </c>
      <c r="Z1232">
        <v>1295</v>
      </c>
      <c r="AH1232">
        <v>0</v>
      </c>
      <c r="AI1232">
        <v>202505</v>
      </c>
      <c r="AJ1232" t="s">
        <v>52</v>
      </c>
      <c r="AK1232">
        <v>0</v>
      </c>
      <c r="AL1232">
        <v>1</v>
      </c>
      <c r="AO1232">
        <v>1</v>
      </c>
      <c r="AP1232" t="s">
        <v>3015</v>
      </c>
      <c r="AQ1232" t="s">
        <v>3044</v>
      </c>
      <c r="AR1232" t="s">
        <v>3045</v>
      </c>
      <c r="AS1232" t="s">
        <v>3046</v>
      </c>
      <c r="AU1232" t="s">
        <v>3046</v>
      </c>
    </row>
    <row r="1233" spans="1:47" x14ac:dyDescent="0.35">
      <c r="A1233">
        <v>348462</v>
      </c>
      <c r="B1233" t="s">
        <v>172</v>
      </c>
      <c r="C1233" t="s">
        <v>173</v>
      </c>
      <c r="D1233" s="2">
        <v>45807</v>
      </c>
      <c r="E1233">
        <v>53850</v>
      </c>
      <c r="F1233">
        <v>141</v>
      </c>
      <c r="G1233" t="s">
        <v>105</v>
      </c>
      <c r="H1233" t="s">
        <v>167</v>
      </c>
      <c r="I1233" t="s">
        <v>45</v>
      </c>
      <c r="K1233">
        <v>202505298023489</v>
      </c>
      <c r="L1233">
        <v>1413300002371</v>
      </c>
      <c r="M1233">
        <v>20250529</v>
      </c>
      <c r="N1233" t="s">
        <v>81</v>
      </c>
      <c r="Q1233" t="s">
        <v>47</v>
      </c>
      <c r="R1233">
        <v>152340</v>
      </c>
      <c r="S1233">
        <v>0</v>
      </c>
      <c r="T1233">
        <v>4846049</v>
      </c>
      <c r="U1233" t="s">
        <v>1412</v>
      </c>
      <c r="V1233" t="s">
        <v>1413</v>
      </c>
      <c r="W1233" t="s">
        <v>342</v>
      </c>
      <c r="X1233" t="s">
        <v>364</v>
      </c>
      <c r="Y1233" t="s">
        <v>51</v>
      </c>
      <c r="Z1233">
        <v>862</v>
      </c>
      <c r="AH1233">
        <v>0</v>
      </c>
      <c r="AI1233">
        <v>202505</v>
      </c>
      <c r="AJ1233" t="s">
        <v>86</v>
      </c>
      <c r="AK1233">
        <v>1</v>
      </c>
      <c r="AL1233">
        <v>1</v>
      </c>
      <c r="AO1233">
        <v>0</v>
      </c>
      <c r="AP1233" t="s">
        <v>3015</v>
      </c>
      <c r="AQ1233" t="s">
        <v>3060</v>
      </c>
      <c r="AR1233" t="s">
        <v>3061</v>
      </c>
      <c r="AT1233" t="s">
        <v>3017</v>
      </c>
      <c r="AU1233" t="s">
        <v>3014</v>
      </c>
    </row>
    <row r="1234" spans="1:47" x14ac:dyDescent="0.35">
      <c r="A1234">
        <v>348461</v>
      </c>
      <c r="B1234" t="s">
        <v>178</v>
      </c>
      <c r="C1234" t="s">
        <v>179</v>
      </c>
      <c r="D1234" s="2">
        <v>45807</v>
      </c>
      <c r="E1234">
        <v>53850</v>
      </c>
      <c r="F1234">
        <v>105</v>
      </c>
      <c r="G1234" t="s">
        <v>60</v>
      </c>
      <c r="H1234" t="s">
        <v>167</v>
      </c>
      <c r="I1234" t="s">
        <v>45</v>
      </c>
      <c r="K1234">
        <v>202505298021931</v>
      </c>
      <c r="L1234">
        <v>1053306288710</v>
      </c>
      <c r="M1234">
        <v>20250529</v>
      </c>
      <c r="N1234" t="s">
        <v>46</v>
      </c>
      <c r="P1234" t="s">
        <v>51</v>
      </c>
      <c r="Q1234" t="s">
        <v>47</v>
      </c>
      <c r="R1234">
        <v>250672.78</v>
      </c>
      <c r="S1234">
        <v>0</v>
      </c>
      <c r="T1234">
        <v>522982</v>
      </c>
      <c r="U1234" t="s">
        <v>1258</v>
      </c>
      <c r="V1234" t="s">
        <v>1259</v>
      </c>
      <c r="W1234" t="s">
        <v>187</v>
      </c>
      <c r="Y1234" t="s">
        <v>51</v>
      </c>
      <c r="Z1234">
        <v>833</v>
      </c>
      <c r="AH1234">
        <v>0</v>
      </c>
      <c r="AI1234">
        <v>202505</v>
      </c>
      <c r="AJ1234" t="s">
        <v>86</v>
      </c>
      <c r="AK1234">
        <v>1</v>
      </c>
      <c r="AL1234">
        <v>1</v>
      </c>
      <c r="AO1234">
        <v>0</v>
      </c>
      <c r="AP1234" t="s">
        <v>3015</v>
      </c>
      <c r="AQ1234" t="s">
        <v>3044</v>
      </c>
      <c r="AR1234" t="s">
        <v>3045</v>
      </c>
      <c r="AS1234" t="s">
        <v>3046</v>
      </c>
      <c r="AU1234" t="s">
        <v>3046</v>
      </c>
    </row>
    <row r="1235" spans="1:47" x14ac:dyDescent="0.35">
      <c r="A1235">
        <v>348460</v>
      </c>
      <c r="B1235" t="s">
        <v>172</v>
      </c>
      <c r="C1235" t="s">
        <v>173</v>
      </c>
      <c r="D1235" s="2">
        <v>45807</v>
      </c>
      <c r="E1235">
        <v>53850</v>
      </c>
      <c r="F1235">
        <v>118</v>
      </c>
      <c r="G1235" t="s">
        <v>254</v>
      </c>
      <c r="H1235" t="s">
        <v>167</v>
      </c>
      <c r="I1235" t="s">
        <v>45</v>
      </c>
      <c r="K1235">
        <v>202505298023444</v>
      </c>
      <c r="L1235">
        <v>1183306281320</v>
      </c>
      <c r="M1235">
        <v>20250529</v>
      </c>
      <c r="N1235" t="s">
        <v>231</v>
      </c>
      <c r="Q1235" t="s">
        <v>47</v>
      </c>
      <c r="R1235">
        <v>122500</v>
      </c>
      <c r="S1235">
        <v>0</v>
      </c>
      <c r="T1235">
        <v>528885</v>
      </c>
      <c r="U1235" t="s">
        <v>1414</v>
      </c>
      <c r="V1235" t="s">
        <v>1415</v>
      </c>
      <c r="W1235" t="s">
        <v>187</v>
      </c>
      <c r="Y1235" t="s">
        <v>51</v>
      </c>
      <c r="Z1235">
        <v>632</v>
      </c>
      <c r="AH1235">
        <v>0</v>
      </c>
      <c r="AI1235">
        <v>202505</v>
      </c>
      <c r="AJ1235" t="s">
        <v>86</v>
      </c>
      <c r="AK1235">
        <v>1</v>
      </c>
      <c r="AL1235">
        <v>1</v>
      </c>
      <c r="AO1235">
        <v>0</v>
      </c>
      <c r="AP1235" t="s">
        <v>3015</v>
      </c>
      <c r="AQ1235" t="s">
        <v>3044</v>
      </c>
      <c r="AR1235" t="s">
        <v>3045</v>
      </c>
      <c r="AS1235" t="s">
        <v>3046</v>
      </c>
      <c r="AU1235" t="s">
        <v>3046</v>
      </c>
    </row>
    <row r="1236" spans="1:47" x14ac:dyDescent="0.35">
      <c r="A1236">
        <v>348459</v>
      </c>
      <c r="B1236" t="s">
        <v>178</v>
      </c>
      <c r="C1236" t="s">
        <v>179</v>
      </c>
      <c r="D1236" s="2">
        <v>45807</v>
      </c>
      <c r="E1236">
        <v>53850</v>
      </c>
      <c r="F1236">
        <v>105</v>
      </c>
      <c r="G1236" t="s">
        <v>60</v>
      </c>
      <c r="H1236" t="s">
        <v>167</v>
      </c>
      <c r="I1236" t="s">
        <v>45</v>
      </c>
      <c r="K1236">
        <v>202505298021920</v>
      </c>
      <c r="L1236">
        <v>1053306288710</v>
      </c>
      <c r="M1236">
        <v>20250529</v>
      </c>
      <c r="N1236" t="s">
        <v>46</v>
      </c>
      <c r="P1236" t="s">
        <v>51</v>
      </c>
      <c r="Q1236" t="s">
        <v>47</v>
      </c>
      <c r="R1236">
        <v>296427.53999999998</v>
      </c>
      <c r="S1236">
        <v>0</v>
      </c>
      <c r="T1236">
        <v>522982</v>
      </c>
      <c r="U1236" t="s">
        <v>1258</v>
      </c>
      <c r="V1236" t="s">
        <v>1259</v>
      </c>
      <c r="W1236" t="s">
        <v>187</v>
      </c>
      <c r="Y1236" t="s">
        <v>51</v>
      </c>
      <c r="Z1236">
        <v>833</v>
      </c>
      <c r="AH1236">
        <v>0</v>
      </c>
      <c r="AI1236">
        <v>202505</v>
      </c>
      <c r="AJ1236" t="s">
        <v>86</v>
      </c>
      <c r="AK1236">
        <v>1</v>
      </c>
      <c r="AL1236">
        <v>1</v>
      </c>
      <c r="AO1236">
        <v>0</v>
      </c>
      <c r="AP1236" t="s">
        <v>3015</v>
      </c>
      <c r="AQ1236" t="s">
        <v>3044</v>
      </c>
      <c r="AR1236" t="s">
        <v>3045</v>
      </c>
      <c r="AS1236" t="s">
        <v>3046</v>
      </c>
      <c r="AU1236" t="s">
        <v>3046</v>
      </c>
    </row>
    <row r="1237" spans="1:47" x14ac:dyDescent="0.35">
      <c r="A1237">
        <v>348458</v>
      </c>
      <c r="B1237" t="s">
        <v>164</v>
      </c>
      <c r="C1237" t="s">
        <v>165</v>
      </c>
      <c r="D1237" s="2">
        <v>45807</v>
      </c>
      <c r="E1237">
        <v>53850</v>
      </c>
      <c r="F1237">
        <v>129</v>
      </c>
      <c r="G1237" t="s">
        <v>227</v>
      </c>
      <c r="H1237" t="s">
        <v>167</v>
      </c>
      <c r="I1237" t="s">
        <v>45</v>
      </c>
      <c r="K1237">
        <v>202505298021998</v>
      </c>
      <c r="L1237">
        <v>1293300002811</v>
      </c>
      <c r="M1237">
        <v>20250529</v>
      </c>
      <c r="N1237" t="s">
        <v>168</v>
      </c>
      <c r="P1237" t="s">
        <v>169</v>
      </c>
      <c r="Q1237" t="s">
        <v>47</v>
      </c>
      <c r="R1237">
        <v>15638.64</v>
      </c>
      <c r="S1237">
        <v>0</v>
      </c>
      <c r="T1237">
        <v>4972184</v>
      </c>
      <c r="U1237">
        <v>7780290727</v>
      </c>
      <c r="V1237" t="s">
        <v>720</v>
      </c>
      <c r="W1237" t="s">
        <v>49</v>
      </c>
      <c r="X1237" t="s">
        <v>721</v>
      </c>
      <c r="Y1237" t="s">
        <v>51</v>
      </c>
      <c r="Z1237">
        <v>1058</v>
      </c>
      <c r="AH1237">
        <v>0</v>
      </c>
      <c r="AI1237">
        <v>202505</v>
      </c>
      <c r="AJ1237" t="s">
        <v>52</v>
      </c>
      <c r="AK1237">
        <v>0</v>
      </c>
      <c r="AL1237">
        <v>1</v>
      </c>
      <c r="AO1237">
        <v>0</v>
      </c>
      <c r="AP1237" t="s">
        <v>3015</v>
      </c>
      <c r="AQ1237" t="s">
        <v>3012</v>
      </c>
      <c r="AR1237" t="s">
        <v>3016</v>
      </c>
      <c r="AT1237" t="s">
        <v>3017</v>
      </c>
      <c r="AU1237" t="s">
        <v>3018</v>
      </c>
    </row>
    <row r="1238" spans="1:47" x14ac:dyDescent="0.35">
      <c r="A1238">
        <v>348457</v>
      </c>
      <c r="B1238" t="s">
        <v>178</v>
      </c>
      <c r="C1238" t="s">
        <v>179</v>
      </c>
      <c r="D1238" s="2">
        <v>45807</v>
      </c>
      <c r="E1238">
        <v>53850</v>
      </c>
      <c r="F1238">
        <v>175</v>
      </c>
      <c r="G1238" t="s">
        <v>99</v>
      </c>
      <c r="H1238" t="s">
        <v>167</v>
      </c>
      <c r="I1238" t="s">
        <v>45</v>
      </c>
      <c r="K1238">
        <v>202505298020735</v>
      </c>
      <c r="L1238">
        <v>1753305636160</v>
      </c>
      <c r="M1238">
        <v>20250529</v>
      </c>
      <c r="N1238" t="s">
        <v>236</v>
      </c>
      <c r="P1238" t="s">
        <v>51</v>
      </c>
      <c r="Q1238" t="s">
        <v>170</v>
      </c>
      <c r="R1238">
        <v>900000</v>
      </c>
      <c r="S1238">
        <v>0</v>
      </c>
      <c r="T1238">
        <v>563616</v>
      </c>
      <c r="U1238">
        <v>55560775</v>
      </c>
      <c r="V1238" t="s">
        <v>856</v>
      </c>
      <c r="W1238" t="s">
        <v>49</v>
      </c>
      <c r="X1238" t="s">
        <v>110</v>
      </c>
      <c r="Y1238" t="s">
        <v>51</v>
      </c>
      <c r="Z1238">
        <v>739</v>
      </c>
      <c r="AH1238">
        <v>0</v>
      </c>
      <c r="AI1238">
        <v>202505</v>
      </c>
      <c r="AJ1238" t="s">
        <v>56</v>
      </c>
      <c r="AK1238">
        <v>0</v>
      </c>
      <c r="AL1238">
        <v>1</v>
      </c>
      <c r="AO1238">
        <v>0</v>
      </c>
      <c r="AP1238" t="s">
        <v>3026</v>
      </c>
      <c r="AQ1238" t="s">
        <v>3012</v>
      </c>
      <c r="AR1238" t="s">
        <v>3027</v>
      </c>
      <c r="AS1238" t="s">
        <v>3028</v>
      </c>
      <c r="AU1238" t="s">
        <v>3028</v>
      </c>
    </row>
    <row r="1239" spans="1:47" x14ac:dyDescent="0.35">
      <c r="A1239">
        <v>348456</v>
      </c>
      <c r="B1239" t="s">
        <v>178</v>
      </c>
      <c r="C1239" t="s">
        <v>179</v>
      </c>
      <c r="D1239" s="2">
        <v>45807</v>
      </c>
      <c r="E1239">
        <v>53850</v>
      </c>
      <c r="F1239">
        <v>273</v>
      </c>
      <c r="G1239" t="s">
        <v>133</v>
      </c>
      <c r="H1239" t="s">
        <v>167</v>
      </c>
      <c r="I1239" t="s">
        <v>45</v>
      </c>
      <c r="K1239">
        <v>202505298021394</v>
      </c>
      <c r="L1239">
        <v>2733300004156</v>
      </c>
      <c r="M1239">
        <v>20250529</v>
      </c>
      <c r="N1239" t="s">
        <v>46</v>
      </c>
      <c r="P1239" t="s">
        <v>51</v>
      </c>
      <c r="Q1239" t="s">
        <v>47</v>
      </c>
      <c r="R1239">
        <v>1500000</v>
      </c>
      <c r="S1239">
        <v>0</v>
      </c>
      <c r="T1239">
        <v>1695938</v>
      </c>
      <c r="U1239">
        <v>2232960159</v>
      </c>
      <c r="V1239" t="s">
        <v>311</v>
      </c>
      <c r="W1239" t="s">
        <v>49</v>
      </c>
      <c r="X1239" t="s">
        <v>312</v>
      </c>
      <c r="Y1239" t="s">
        <v>51</v>
      </c>
      <c r="Z1239">
        <v>1856</v>
      </c>
      <c r="AH1239">
        <v>0</v>
      </c>
      <c r="AI1239">
        <v>202505</v>
      </c>
      <c r="AJ1239" t="s">
        <v>52</v>
      </c>
      <c r="AK1239">
        <v>0</v>
      </c>
      <c r="AL1239">
        <v>1</v>
      </c>
      <c r="AO1239">
        <v>0</v>
      </c>
      <c r="AP1239" t="s">
        <v>3015</v>
      </c>
      <c r="AQ1239" t="s">
        <v>3012</v>
      </c>
      <c r="AR1239" t="s">
        <v>3016</v>
      </c>
      <c r="AT1239" t="s">
        <v>3017</v>
      </c>
      <c r="AU1239" t="s">
        <v>3018</v>
      </c>
    </row>
    <row r="1240" spans="1:47" x14ac:dyDescent="0.35">
      <c r="A1240">
        <v>348455</v>
      </c>
      <c r="B1240" t="s">
        <v>333</v>
      </c>
      <c r="C1240" t="s">
        <v>334</v>
      </c>
      <c r="D1240" s="2">
        <v>45807</v>
      </c>
      <c r="E1240">
        <v>53850</v>
      </c>
      <c r="F1240">
        <v>99</v>
      </c>
      <c r="G1240" t="s">
        <v>335</v>
      </c>
      <c r="H1240" t="s">
        <v>167</v>
      </c>
      <c r="I1240" t="s">
        <v>45</v>
      </c>
      <c r="K1240">
        <v>202505298023303</v>
      </c>
      <c r="M1240">
        <v>20250529</v>
      </c>
      <c r="N1240" t="s">
        <v>3136</v>
      </c>
      <c r="Q1240" t="s">
        <v>170</v>
      </c>
      <c r="R1240">
        <v>104917.75</v>
      </c>
      <c r="S1240">
        <v>0</v>
      </c>
      <c r="T1240">
        <v>4995696</v>
      </c>
      <c r="U1240" t="s">
        <v>1382</v>
      </c>
      <c r="V1240" t="s">
        <v>1383</v>
      </c>
      <c r="W1240" t="s">
        <v>187</v>
      </c>
      <c r="Y1240" t="s">
        <v>51</v>
      </c>
      <c r="Z1240">
        <v>672</v>
      </c>
      <c r="AH1240">
        <v>0</v>
      </c>
      <c r="AI1240">
        <v>202505</v>
      </c>
      <c r="AJ1240" t="s">
        <v>86</v>
      </c>
      <c r="AK1240">
        <v>1</v>
      </c>
      <c r="AL1240">
        <v>0</v>
      </c>
      <c r="AO1240">
        <v>1</v>
      </c>
      <c r="AP1240" t="s">
        <v>3015</v>
      </c>
      <c r="AQ1240" t="s">
        <v>3044</v>
      </c>
      <c r="AR1240" t="s">
        <v>3045</v>
      </c>
      <c r="AS1240" t="s">
        <v>3046</v>
      </c>
      <c r="AU1240" t="s">
        <v>3046</v>
      </c>
    </row>
    <row r="1241" spans="1:47" x14ac:dyDescent="0.35">
      <c r="A1241">
        <v>348454</v>
      </c>
      <c r="B1241" t="s">
        <v>193</v>
      </c>
      <c r="C1241" t="s">
        <v>194</v>
      </c>
      <c r="D1241" s="2">
        <v>45807</v>
      </c>
      <c r="E1241">
        <v>53850</v>
      </c>
      <c r="F1241">
        <v>269</v>
      </c>
      <c r="G1241" t="s">
        <v>265</v>
      </c>
      <c r="H1241" t="s">
        <v>167</v>
      </c>
      <c r="I1241" t="s">
        <v>45</v>
      </c>
      <c r="K1241" t="s">
        <v>1402</v>
      </c>
      <c r="L1241">
        <v>2693300001614</v>
      </c>
      <c r="M1241">
        <v>20250529</v>
      </c>
      <c r="N1241" t="s">
        <v>266</v>
      </c>
      <c r="Q1241" t="s">
        <v>47</v>
      </c>
      <c r="R1241">
        <v>38310</v>
      </c>
      <c r="S1241">
        <v>38310</v>
      </c>
      <c r="T1241">
        <v>1695085</v>
      </c>
      <c r="U1241" t="s">
        <v>267</v>
      </c>
      <c r="V1241" t="s">
        <v>268</v>
      </c>
      <c r="W1241" t="s">
        <v>69</v>
      </c>
      <c r="X1241" t="s">
        <v>55</v>
      </c>
      <c r="Y1241" t="s">
        <v>51</v>
      </c>
      <c r="Z1241">
        <v>1805</v>
      </c>
      <c r="AH1241">
        <v>0</v>
      </c>
      <c r="AI1241">
        <v>202505</v>
      </c>
      <c r="AJ1241" t="s">
        <v>56</v>
      </c>
      <c r="AK1241">
        <v>0</v>
      </c>
      <c r="AL1241">
        <v>1</v>
      </c>
      <c r="AM1241">
        <v>1695085</v>
      </c>
      <c r="AN1241">
        <v>1</v>
      </c>
      <c r="AO1241">
        <v>0</v>
      </c>
      <c r="AP1241" t="s">
        <v>3015</v>
      </c>
      <c r="AQ1241" t="s">
        <v>3021</v>
      </c>
      <c r="AR1241" t="s">
        <v>3022</v>
      </c>
      <c r="AT1241" t="s">
        <v>3017</v>
      </c>
      <c r="AU1241" t="s">
        <v>3014</v>
      </c>
    </row>
    <row r="1242" spans="1:47" x14ac:dyDescent="0.35">
      <c r="A1242">
        <v>348453</v>
      </c>
      <c r="B1242" t="s">
        <v>178</v>
      </c>
      <c r="C1242" t="s">
        <v>179</v>
      </c>
      <c r="D1242" s="2">
        <v>45806</v>
      </c>
      <c r="E1242">
        <v>53850</v>
      </c>
      <c r="F1242">
        <v>188</v>
      </c>
      <c r="G1242" t="s">
        <v>419</v>
      </c>
      <c r="H1242" t="s">
        <v>167</v>
      </c>
      <c r="I1242" t="s">
        <v>45</v>
      </c>
      <c r="K1242">
        <v>202505298019364</v>
      </c>
      <c r="L1242">
        <v>1883300130370</v>
      </c>
      <c r="M1242">
        <v>20250529</v>
      </c>
      <c r="N1242" t="s">
        <v>921</v>
      </c>
      <c r="Q1242" t="s">
        <v>170</v>
      </c>
      <c r="R1242">
        <v>250000</v>
      </c>
      <c r="S1242">
        <v>0</v>
      </c>
      <c r="T1242">
        <v>3007793</v>
      </c>
      <c r="U1242" t="s">
        <v>1374</v>
      </c>
      <c r="V1242" t="s">
        <v>1375</v>
      </c>
      <c r="W1242" t="s">
        <v>69</v>
      </c>
      <c r="X1242" t="s">
        <v>131</v>
      </c>
      <c r="Y1242" t="s">
        <v>51</v>
      </c>
      <c r="Z1242">
        <v>637</v>
      </c>
      <c r="AH1242">
        <v>0</v>
      </c>
      <c r="AI1242">
        <v>202505</v>
      </c>
      <c r="AJ1242" t="s">
        <v>56</v>
      </c>
      <c r="AK1242">
        <v>0</v>
      </c>
      <c r="AL1242">
        <v>1</v>
      </c>
      <c r="AO1242">
        <v>0</v>
      </c>
      <c r="AP1242" t="s">
        <v>3033</v>
      </c>
      <c r="AQ1242" t="s">
        <v>3021</v>
      </c>
      <c r="AR1242" t="s">
        <v>3054</v>
      </c>
      <c r="AS1242" t="s">
        <v>3055</v>
      </c>
      <c r="AU1242" t="s">
        <v>3055</v>
      </c>
    </row>
    <row r="1243" spans="1:47" x14ac:dyDescent="0.35">
      <c r="A1243">
        <v>348452</v>
      </c>
      <c r="B1243" t="s">
        <v>178</v>
      </c>
      <c r="C1243" t="s">
        <v>179</v>
      </c>
      <c r="D1243" s="2">
        <v>45806</v>
      </c>
      <c r="E1243">
        <v>53850</v>
      </c>
      <c r="F1243">
        <v>110</v>
      </c>
      <c r="G1243" t="s">
        <v>230</v>
      </c>
      <c r="H1243" t="s">
        <v>167</v>
      </c>
      <c r="I1243" t="s">
        <v>45</v>
      </c>
      <c r="K1243" t="s">
        <v>1416</v>
      </c>
      <c r="L1243">
        <v>1103306288198</v>
      </c>
      <c r="M1243">
        <v>20250528</v>
      </c>
      <c r="N1243" t="s">
        <v>3136</v>
      </c>
      <c r="Q1243" t="s">
        <v>170</v>
      </c>
      <c r="R1243">
        <v>1694.49</v>
      </c>
      <c r="S1243">
        <v>0</v>
      </c>
      <c r="T1243">
        <v>474103</v>
      </c>
      <c r="U1243" t="s">
        <v>1417</v>
      </c>
      <c r="V1243" t="s">
        <v>1418</v>
      </c>
      <c r="W1243" t="s">
        <v>187</v>
      </c>
      <c r="Y1243" t="s">
        <v>51</v>
      </c>
      <c r="Z1243">
        <v>1359</v>
      </c>
      <c r="AH1243">
        <v>0</v>
      </c>
      <c r="AI1243">
        <v>202505</v>
      </c>
      <c r="AJ1243" t="s">
        <v>86</v>
      </c>
      <c r="AK1243">
        <v>1</v>
      </c>
      <c r="AL1243">
        <v>1</v>
      </c>
      <c r="AO1243">
        <v>1</v>
      </c>
      <c r="AP1243" t="s">
        <v>3015</v>
      </c>
      <c r="AQ1243" t="s">
        <v>3044</v>
      </c>
      <c r="AR1243" t="s">
        <v>3045</v>
      </c>
      <c r="AS1243" t="s">
        <v>3046</v>
      </c>
      <c r="AU1243" t="s">
        <v>3046</v>
      </c>
    </row>
    <row r="1244" spans="1:47" x14ac:dyDescent="0.35">
      <c r="A1244">
        <v>348451</v>
      </c>
      <c r="B1244" t="s">
        <v>178</v>
      </c>
      <c r="C1244" t="s">
        <v>179</v>
      </c>
      <c r="D1244" s="2">
        <v>45806</v>
      </c>
      <c r="E1244">
        <v>53850</v>
      </c>
      <c r="F1244">
        <v>153</v>
      </c>
      <c r="G1244" t="s">
        <v>63</v>
      </c>
      <c r="H1244" t="s">
        <v>167</v>
      </c>
      <c r="I1244" t="s">
        <v>45</v>
      </c>
      <c r="K1244" t="s">
        <v>1419</v>
      </c>
      <c r="L1244">
        <v>1533300663592</v>
      </c>
      <c r="M1244">
        <v>20250528</v>
      </c>
      <c r="N1244" t="s">
        <v>3136</v>
      </c>
      <c r="Q1244" t="s">
        <v>170</v>
      </c>
      <c r="R1244">
        <v>1402.45</v>
      </c>
      <c r="S1244">
        <v>0</v>
      </c>
      <c r="T1244">
        <v>4982454</v>
      </c>
      <c r="U1244" t="s">
        <v>1420</v>
      </c>
      <c r="V1244" t="s">
        <v>1421</v>
      </c>
      <c r="W1244" t="s">
        <v>187</v>
      </c>
      <c r="Y1244" t="s">
        <v>51</v>
      </c>
      <c r="Z1244">
        <v>1187</v>
      </c>
      <c r="AH1244">
        <v>0</v>
      </c>
      <c r="AI1244">
        <v>202505</v>
      </c>
      <c r="AJ1244" t="s">
        <v>52</v>
      </c>
      <c r="AK1244">
        <v>0</v>
      </c>
      <c r="AL1244">
        <v>1</v>
      </c>
      <c r="AO1244">
        <v>1</v>
      </c>
      <c r="AP1244" t="s">
        <v>3015</v>
      </c>
      <c r="AQ1244" t="s">
        <v>3044</v>
      </c>
      <c r="AR1244" t="s">
        <v>3045</v>
      </c>
      <c r="AS1244" t="s">
        <v>3046</v>
      </c>
      <c r="AU1244" t="s">
        <v>3046</v>
      </c>
    </row>
    <row r="1245" spans="1:47" x14ac:dyDescent="0.35">
      <c r="A1245">
        <v>348450</v>
      </c>
      <c r="B1245" t="s">
        <v>164</v>
      </c>
      <c r="C1245" t="s">
        <v>165</v>
      </c>
      <c r="D1245" s="2">
        <v>45806</v>
      </c>
      <c r="E1245">
        <v>53850</v>
      </c>
      <c r="F1245">
        <v>149</v>
      </c>
      <c r="G1245" t="s">
        <v>449</v>
      </c>
      <c r="H1245" t="s">
        <v>167</v>
      </c>
      <c r="I1245" t="s">
        <v>45</v>
      </c>
      <c r="K1245">
        <v>202505288019224</v>
      </c>
      <c r="L1245">
        <v>1493300663564</v>
      </c>
      <c r="M1245">
        <v>20250528</v>
      </c>
      <c r="N1245" t="s">
        <v>168</v>
      </c>
      <c r="P1245" t="s">
        <v>255</v>
      </c>
      <c r="Q1245" t="s">
        <v>47</v>
      </c>
      <c r="R1245">
        <v>29966.5</v>
      </c>
      <c r="S1245">
        <v>0</v>
      </c>
      <c r="T1245">
        <v>4851736</v>
      </c>
      <c r="U1245">
        <v>8243781211</v>
      </c>
      <c r="V1245" t="s">
        <v>1240</v>
      </c>
      <c r="W1245" t="s">
        <v>49</v>
      </c>
      <c r="X1245" t="s">
        <v>451</v>
      </c>
      <c r="Y1245" t="s">
        <v>51</v>
      </c>
      <c r="Z1245">
        <v>1256</v>
      </c>
      <c r="AH1245">
        <v>0</v>
      </c>
      <c r="AI1245">
        <v>202505</v>
      </c>
      <c r="AJ1245" t="s">
        <v>56</v>
      </c>
      <c r="AK1245">
        <v>0</v>
      </c>
      <c r="AL1245">
        <v>1</v>
      </c>
      <c r="AO1245">
        <v>0</v>
      </c>
      <c r="AP1245" t="s">
        <v>3015</v>
      </c>
      <c r="AQ1245" t="s">
        <v>3012</v>
      </c>
      <c r="AR1245" t="s">
        <v>3016</v>
      </c>
      <c r="AT1245" t="s">
        <v>3017</v>
      </c>
      <c r="AU1245" t="s">
        <v>3018</v>
      </c>
    </row>
    <row r="1246" spans="1:47" x14ac:dyDescent="0.35">
      <c r="A1246">
        <v>348449</v>
      </c>
      <c r="B1246" t="s">
        <v>193</v>
      </c>
      <c r="C1246" t="s">
        <v>194</v>
      </c>
      <c r="D1246" s="2">
        <v>45806</v>
      </c>
      <c r="E1246">
        <v>53850</v>
      </c>
      <c r="F1246">
        <v>204</v>
      </c>
      <c r="G1246" t="s">
        <v>329</v>
      </c>
      <c r="H1246" t="s">
        <v>167</v>
      </c>
      <c r="I1246" t="s">
        <v>45</v>
      </c>
      <c r="K1246" t="s">
        <v>1422</v>
      </c>
      <c r="L1246">
        <v>2043300011647</v>
      </c>
      <c r="M1246">
        <v>20250528</v>
      </c>
      <c r="N1246" t="s">
        <v>266</v>
      </c>
      <c r="Q1246" t="s">
        <v>47</v>
      </c>
      <c r="R1246">
        <v>32050</v>
      </c>
      <c r="S1246">
        <v>32050</v>
      </c>
      <c r="T1246">
        <v>4635489</v>
      </c>
      <c r="U1246">
        <v>2317850697</v>
      </c>
      <c r="V1246" t="s">
        <v>330</v>
      </c>
      <c r="W1246" t="s">
        <v>190</v>
      </c>
      <c r="X1246" t="s">
        <v>131</v>
      </c>
      <c r="Y1246" t="s">
        <v>51</v>
      </c>
      <c r="Z1246">
        <v>1810</v>
      </c>
      <c r="AH1246">
        <v>0</v>
      </c>
      <c r="AI1246">
        <v>202505</v>
      </c>
      <c r="AJ1246" t="s">
        <v>52</v>
      </c>
      <c r="AK1246">
        <v>0</v>
      </c>
      <c r="AL1246">
        <v>1</v>
      </c>
      <c r="AO1246">
        <v>0</v>
      </c>
      <c r="AP1246" t="s">
        <v>3033</v>
      </c>
      <c r="AQ1246" t="s">
        <v>3047</v>
      </c>
      <c r="AR1246" t="s">
        <v>3048</v>
      </c>
      <c r="AS1246" t="s">
        <v>3049</v>
      </c>
      <c r="AU1246" t="s">
        <v>3049</v>
      </c>
    </row>
    <row r="1247" spans="1:47" x14ac:dyDescent="0.35">
      <c r="A1247">
        <v>348448</v>
      </c>
      <c r="B1247" t="s">
        <v>178</v>
      </c>
      <c r="C1247" t="s">
        <v>179</v>
      </c>
      <c r="D1247" s="2">
        <v>45806</v>
      </c>
      <c r="E1247">
        <v>53850</v>
      </c>
      <c r="F1247">
        <v>134</v>
      </c>
      <c r="G1247" t="s">
        <v>804</v>
      </c>
      <c r="H1247" t="s">
        <v>167</v>
      </c>
      <c r="I1247" t="s">
        <v>45</v>
      </c>
      <c r="K1247">
        <v>202505288020006</v>
      </c>
      <c r="L1247">
        <v>1346004011555</v>
      </c>
      <c r="M1247">
        <v>20250528</v>
      </c>
      <c r="N1247" t="s">
        <v>633</v>
      </c>
      <c r="P1247" t="s">
        <v>51</v>
      </c>
      <c r="Q1247" t="s">
        <v>170</v>
      </c>
      <c r="R1247">
        <v>840000</v>
      </c>
      <c r="S1247">
        <v>0</v>
      </c>
      <c r="T1247">
        <v>4959963</v>
      </c>
      <c r="U1247" t="s">
        <v>1423</v>
      </c>
      <c r="V1247" t="s">
        <v>1424</v>
      </c>
      <c r="W1247" t="s">
        <v>187</v>
      </c>
      <c r="Y1247" t="s">
        <v>51</v>
      </c>
      <c r="Z1247">
        <v>1562</v>
      </c>
      <c r="AH1247">
        <v>0</v>
      </c>
      <c r="AI1247">
        <v>202505</v>
      </c>
      <c r="AJ1247" t="s">
        <v>52</v>
      </c>
      <c r="AK1247">
        <v>0</v>
      </c>
      <c r="AL1247">
        <v>1</v>
      </c>
      <c r="AO1247">
        <v>0</v>
      </c>
      <c r="AP1247" t="s">
        <v>3015</v>
      </c>
      <c r="AQ1247" t="s">
        <v>3044</v>
      </c>
      <c r="AR1247" t="s">
        <v>3045</v>
      </c>
      <c r="AS1247" t="s">
        <v>3046</v>
      </c>
      <c r="AU1247" t="s">
        <v>3046</v>
      </c>
    </row>
    <row r="1248" spans="1:47" x14ac:dyDescent="0.35">
      <c r="A1248">
        <v>348447</v>
      </c>
      <c r="B1248" t="s">
        <v>178</v>
      </c>
      <c r="C1248" t="s">
        <v>179</v>
      </c>
      <c r="D1248" s="2">
        <v>45806</v>
      </c>
      <c r="E1248">
        <v>53850</v>
      </c>
      <c r="F1248">
        <v>169</v>
      </c>
      <c r="G1248" t="s">
        <v>57</v>
      </c>
      <c r="H1248" t="s">
        <v>167</v>
      </c>
      <c r="I1248" t="s">
        <v>45</v>
      </c>
      <c r="K1248">
        <v>202505288018396</v>
      </c>
      <c r="L1248">
        <v>1693302224337</v>
      </c>
      <c r="M1248">
        <v>20250528</v>
      </c>
      <c r="N1248" t="s">
        <v>46</v>
      </c>
      <c r="P1248" t="s">
        <v>51</v>
      </c>
      <c r="Q1248" t="s">
        <v>47</v>
      </c>
      <c r="R1248">
        <v>209054.58</v>
      </c>
      <c r="S1248">
        <v>0</v>
      </c>
      <c r="T1248">
        <v>4566922</v>
      </c>
      <c r="U1248" t="s">
        <v>1425</v>
      </c>
      <c r="V1248" t="s">
        <v>1426</v>
      </c>
      <c r="W1248" t="s">
        <v>187</v>
      </c>
      <c r="Y1248" t="s">
        <v>51</v>
      </c>
      <c r="Z1248">
        <v>1261</v>
      </c>
      <c r="AH1248">
        <v>0</v>
      </c>
      <c r="AI1248">
        <v>202505</v>
      </c>
      <c r="AJ1248" t="s">
        <v>86</v>
      </c>
      <c r="AK1248">
        <v>1</v>
      </c>
      <c r="AL1248">
        <v>1</v>
      </c>
      <c r="AO1248">
        <v>0</v>
      </c>
      <c r="AP1248" t="s">
        <v>3015</v>
      </c>
      <c r="AQ1248" t="s">
        <v>3044</v>
      </c>
      <c r="AR1248" t="s">
        <v>3045</v>
      </c>
      <c r="AS1248" t="s">
        <v>3046</v>
      </c>
      <c r="AU1248" t="s">
        <v>3046</v>
      </c>
    </row>
    <row r="1249" spans="1:47" x14ac:dyDescent="0.35">
      <c r="A1249">
        <v>348446</v>
      </c>
      <c r="B1249" t="s">
        <v>178</v>
      </c>
      <c r="C1249" t="s">
        <v>179</v>
      </c>
      <c r="D1249" s="2">
        <v>45806</v>
      </c>
      <c r="E1249">
        <v>53850</v>
      </c>
      <c r="F1249">
        <v>169</v>
      </c>
      <c r="G1249" t="s">
        <v>57</v>
      </c>
      <c r="H1249" t="s">
        <v>167</v>
      </c>
      <c r="I1249" t="s">
        <v>45</v>
      </c>
      <c r="K1249">
        <v>202505288020312</v>
      </c>
      <c r="L1249">
        <v>1693305416200</v>
      </c>
      <c r="M1249">
        <v>20250528</v>
      </c>
      <c r="N1249" t="s">
        <v>303</v>
      </c>
      <c r="Q1249" t="s">
        <v>170</v>
      </c>
      <c r="R1249">
        <v>310000</v>
      </c>
      <c r="S1249">
        <v>0</v>
      </c>
      <c r="T1249">
        <v>541619</v>
      </c>
      <c r="U1249" t="s">
        <v>1427</v>
      </c>
      <c r="V1249" t="s">
        <v>1428</v>
      </c>
      <c r="W1249" t="s">
        <v>187</v>
      </c>
      <c r="Y1249" t="s">
        <v>51</v>
      </c>
      <c r="Z1249">
        <v>1352</v>
      </c>
      <c r="AH1249">
        <v>0</v>
      </c>
      <c r="AI1249">
        <v>202505</v>
      </c>
      <c r="AJ1249" t="s">
        <v>86</v>
      </c>
      <c r="AK1249">
        <v>1</v>
      </c>
      <c r="AL1249">
        <v>1</v>
      </c>
      <c r="AO1249">
        <v>0</v>
      </c>
      <c r="AP1249" t="s">
        <v>3015</v>
      </c>
      <c r="AQ1249" t="s">
        <v>3044</v>
      </c>
      <c r="AR1249" t="s">
        <v>3045</v>
      </c>
      <c r="AS1249" t="s">
        <v>3046</v>
      </c>
      <c r="AU1249" t="s">
        <v>3046</v>
      </c>
    </row>
    <row r="1250" spans="1:47" x14ac:dyDescent="0.35">
      <c r="A1250">
        <v>348445</v>
      </c>
      <c r="B1250" t="s">
        <v>193</v>
      </c>
      <c r="C1250" t="s">
        <v>194</v>
      </c>
      <c r="D1250" s="2">
        <v>45806</v>
      </c>
      <c r="E1250">
        <v>53850</v>
      </c>
      <c r="F1250">
        <v>137</v>
      </c>
      <c r="G1250" t="s">
        <v>166</v>
      </c>
      <c r="H1250" t="s">
        <v>167</v>
      </c>
      <c r="I1250" t="s">
        <v>45</v>
      </c>
      <c r="K1250">
        <v>202505288020237</v>
      </c>
      <c r="L1250">
        <v>1373300005678</v>
      </c>
      <c r="M1250">
        <v>20250528</v>
      </c>
      <c r="N1250" t="s">
        <v>266</v>
      </c>
      <c r="Q1250" t="s">
        <v>47</v>
      </c>
      <c r="R1250">
        <v>20000</v>
      </c>
      <c r="S1250">
        <v>20000</v>
      </c>
      <c r="T1250">
        <v>4965991</v>
      </c>
      <c r="U1250" t="s">
        <v>1429</v>
      </c>
      <c r="V1250" t="s">
        <v>1430</v>
      </c>
      <c r="W1250" t="s">
        <v>187</v>
      </c>
      <c r="Y1250" t="s">
        <v>51</v>
      </c>
      <c r="Z1250">
        <v>1867</v>
      </c>
      <c r="AH1250">
        <v>0</v>
      </c>
      <c r="AI1250">
        <v>202505</v>
      </c>
      <c r="AJ1250" t="s">
        <v>52</v>
      </c>
      <c r="AK1250">
        <v>0</v>
      </c>
      <c r="AL1250">
        <v>1</v>
      </c>
      <c r="AO1250">
        <v>0</v>
      </c>
      <c r="AP1250" t="s">
        <v>3015</v>
      </c>
      <c r="AQ1250" t="s">
        <v>3044</v>
      </c>
      <c r="AR1250" t="s">
        <v>3045</v>
      </c>
      <c r="AS1250" t="s">
        <v>3046</v>
      </c>
      <c r="AU1250" t="s">
        <v>3046</v>
      </c>
    </row>
    <row r="1251" spans="1:47" x14ac:dyDescent="0.35">
      <c r="A1251">
        <v>348444</v>
      </c>
      <c r="B1251" t="s">
        <v>193</v>
      </c>
      <c r="C1251" t="s">
        <v>194</v>
      </c>
      <c r="D1251" s="2">
        <v>45806</v>
      </c>
      <c r="E1251">
        <v>53850</v>
      </c>
      <c r="F1251">
        <v>286</v>
      </c>
      <c r="G1251" t="s">
        <v>408</v>
      </c>
      <c r="H1251" t="s">
        <v>167</v>
      </c>
      <c r="I1251" t="s">
        <v>45</v>
      </c>
      <c r="K1251">
        <v>202505288019995</v>
      </c>
      <c r="L1251">
        <v>2863300002878</v>
      </c>
      <c r="M1251">
        <v>20250528</v>
      </c>
      <c r="N1251" t="s">
        <v>195</v>
      </c>
      <c r="Q1251" t="s">
        <v>47</v>
      </c>
      <c r="R1251">
        <v>15020</v>
      </c>
      <c r="S1251">
        <v>15020</v>
      </c>
      <c r="T1251">
        <v>1686425</v>
      </c>
      <c r="U1251">
        <v>2629680691</v>
      </c>
      <c r="V1251" t="s">
        <v>644</v>
      </c>
      <c r="W1251" t="s">
        <v>190</v>
      </c>
      <c r="X1251" t="s">
        <v>131</v>
      </c>
      <c r="Y1251" t="s">
        <v>51</v>
      </c>
      <c r="Z1251">
        <v>1767</v>
      </c>
      <c r="AH1251">
        <v>0</v>
      </c>
      <c r="AI1251">
        <v>202505</v>
      </c>
      <c r="AJ1251" t="s">
        <v>52</v>
      </c>
      <c r="AK1251">
        <v>0</v>
      </c>
      <c r="AL1251">
        <v>1</v>
      </c>
      <c r="AO1251">
        <v>0</v>
      </c>
      <c r="AP1251" t="s">
        <v>3033</v>
      </c>
      <c r="AQ1251" t="s">
        <v>3047</v>
      </c>
      <c r="AR1251" t="s">
        <v>3048</v>
      </c>
      <c r="AS1251" t="s">
        <v>3049</v>
      </c>
      <c r="AU1251" t="s">
        <v>3049</v>
      </c>
    </row>
    <row r="1252" spans="1:47" x14ac:dyDescent="0.35">
      <c r="A1252">
        <v>348443</v>
      </c>
      <c r="B1252" t="s">
        <v>164</v>
      </c>
      <c r="C1252" t="s">
        <v>165</v>
      </c>
      <c r="D1252" s="2">
        <v>45806</v>
      </c>
      <c r="E1252">
        <v>53850</v>
      </c>
      <c r="F1252">
        <v>103</v>
      </c>
      <c r="G1252" t="s">
        <v>80</v>
      </c>
      <c r="H1252" t="s">
        <v>167</v>
      </c>
      <c r="I1252" t="s">
        <v>45</v>
      </c>
      <c r="K1252" t="s">
        <v>1431</v>
      </c>
      <c r="L1252">
        <v>1033301641631</v>
      </c>
      <c r="M1252">
        <v>20250528</v>
      </c>
      <c r="N1252" t="s">
        <v>168</v>
      </c>
      <c r="P1252" t="s">
        <v>255</v>
      </c>
      <c r="Q1252" t="s">
        <v>47</v>
      </c>
      <c r="R1252">
        <v>1823.17</v>
      </c>
      <c r="S1252">
        <v>0</v>
      </c>
      <c r="T1252">
        <v>164163</v>
      </c>
      <c r="U1252">
        <v>3485840726</v>
      </c>
      <c r="V1252" t="s">
        <v>983</v>
      </c>
      <c r="W1252" t="s">
        <v>49</v>
      </c>
      <c r="X1252" t="s">
        <v>984</v>
      </c>
      <c r="Y1252" t="s">
        <v>51</v>
      </c>
      <c r="Z1252">
        <v>1274</v>
      </c>
      <c r="AH1252">
        <v>0</v>
      </c>
      <c r="AI1252">
        <v>202505</v>
      </c>
      <c r="AJ1252" t="s">
        <v>86</v>
      </c>
      <c r="AK1252">
        <v>1</v>
      </c>
      <c r="AL1252">
        <v>1</v>
      </c>
      <c r="AO1252">
        <v>0</v>
      </c>
      <c r="AP1252" t="s">
        <v>3096</v>
      </c>
      <c r="AQ1252" t="s">
        <v>3012</v>
      </c>
      <c r="AR1252" t="s">
        <v>3097</v>
      </c>
      <c r="AS1252" t="s">
        <v>3014</v>
      </c>
      <c r="AU1252" t="s">
        <v>3014</v>
      </c>
    </row>
    <row r="1253" spans="1:47" x14ac:dyDescent="0.35">
      <c r="A1253">
        <v>348442</v>
      </c>
      <c r="B1253" t="s">
        <v>214</v>
      </c>
      <c r="C1253" t="s">
        <v>215</v>
      </c>
      <c r="D1253" s="2">
        <v>45806</v>
      </c>
      <c r="E1253">
        <v>53850</v>
      </c>
      <c r="F1253">
        <v>170</v>
      </c>
      <c r="G1253" t="s">
        <v>211</v>
      </c>
      <c r="H1253" t="s">
        <v>167</v>
      </c>
      <c r="I1253" t="s">
        <v>45</v>
      </c>
      <c r="K1253">
        <v>202505288019287</v>
      </c>
      <c r="L1253">
        <v>1703306288195</v>
      </c>
      <c r="M1253">
        <v>20250528</v>
      </c>
      <c r="N1253" t="s">
        <v>168</v>
      </c>
      <c r="P1253" t="s">
        <v>339</v>
      </c>
      <c r="Q1253" t="s">
        <v>170</v>
      </c>
      <c r="R1253">
        <v>1236943.99</v>
      </c>
      <c r="S1253">
        <v>0</v>
      </c>
      <c r="T1253">
        <v>4401631</v>
      </c>
      <c r="U1253">
        <v>4724350725</v>
      </c>
      <c r="V1253" t="s">
        <v>949</v>
      </c>
      <c r="W1253" t="s">
        <v>49</v>
      </c>
      <c r="X1253" t="s">
        <v>241</v>
      </c>
      <c r="Y1253" t="s">
        <v>51</v>
      </c>
      <c r="Z1253">
        <v>1919</v>
      </c>
      <c r="AH1253">
        <v>0</v>
      </c>
      <c r="AI1253">
        <v>202505</v>
      </c>
      <c r="AJ1253" t="s">
        <v>86</v>
      </c>
      <c r="AK1253">
        <v>1</v>
      </c>
      <c r="AL1253">
        <v>1</v>
      </c>
      <c r="AO1253">
        <v>0</v>
      </c>
      <c r="AP1253" t="s">
        <v>3015</v>
      </c>
      <c r="AQ1253" t="s">
        <v>3012</v>
      </c>
      <c r="AR1253" t="s">
        <v>3016</v>
      </c>
      <c r="AT1253" t="s">
        <v>3017</v>
      </c>
      <c r="AU1253" t="s">
        <v>3018</v>
      </c>
    </row>
    <row r="1254" spans="1:47" x14ac:dyDescent="0.35">
      <c r="A1254">
        <v>348441</v>
      </c>
      <c r="B1254" t="s">
        <v>178</v>
      </c>
      <c r="C1254" t="s">
        <v>179</v>
      </c>
      <c r="D1254" s="2">
        <v>45806</v>
      </c>
      <c r="E1254">
        <v>53850</v>
      </c>
      <c r="F1254">
        <v>105</v>
      </c>
      <c r="G1254" t="s">
        <v>60</v>
      </c>
      <c r="H1254" t="s">
        <v>167</v>
      </c>
      <c r="I1254" t="s">
        <v>45</v>
      </c>
      <c r="K1254">
        <v>202505288020149</v>
      </c>
      <c r="L1254">
        <v>1053306288710</v>
      </c>
      <c r="M1254">
        <v>20250528</v>
      </c>
      <c r="N1254" t="s">
        <v>1002</v>
      </c>
      <c r="Q1254" t="s">
        <v>47</v>
      </c>
      <c r="R1254">
        <v>200000</v>
      </c>
      <c r="S1254">
        <v>0</v>
      </c>
      <c r="T1254">
        <v>522982</v>
      </c>
      <c r="U1254" t="s">
        <v>1258</v>
      </c>
      <c r="V1254" t="s">
        <v>1259</v>
      </c>
      <c r="W1254" t="s">
        <v>187</v>
      </c>
      <c r="Y1254" t="s">
        <v>51</v>
      </c>
      <c r="Z1254">
        <v>833</v>
      </c>
      <c r="AH1254">
        <v>0</v>
      </c>
      <c r="AI1254">
        <v>202505</v>
      </c>
      <c r="AJ1254" t="s">
        <v>86</v>
      </c>
      <c r="AK1254">
        <v>1</v>
      </c>
      <c r="AL1254">
        <v>1</v>
      </c>
      <c r="AO1254">
        <v>0</v>
      </c>
      <c r="AP1254" t="s">
        <v>3015</v>
      </c>
      <c r="AQ1254" t="s">
        <v>3044</v>
      </c>
      <c r="AR1254" t="s">
        <v>3045</v>
      </c>
      <c r="AS1254" t="s">
        <v>3046</v>
      </c>
      <c r="AU1254" t="s">
        <v>3046</v>
      </c>
    </row>
    <row r="1255" spans="1:47" x14ac:dyDescent="0.35">
      <c r="A1255">
        <v>348440</v>
      </c>
      <c r="B1255" t="s">
        <v>172</v>
      </c>
      <c r="C1255" t="s">
        <v>173</v>
      </c>
      <c r="D1255" s="2">
        <v>45806</v>
      </c>
      <c r="E1255">
        <v>53850</v>
      </c>
      <c r="F1255">
        <v>171</v>
      </c>
      <c r="G1255" t="s">
        <v>198</v>
      </c>
      <c r="H1255" t="s">
        <v>167</v>
      </c>
      <c r="I1255" t="s">
        <v>45</v>
      </c>
      <c r="K1255" t="s">
        <v>1422</v>
      </c>
      <c r="L1255">
        <v>1713302214147</v>
      </c>
      <c r="M1255">
        <v>20250528</v>
      </c>
      <c r="N1255" t="s">
        <v>195</v>
      </c>
      <c r="Q1255" t="s">
        <v>47</v>
      </c>
      <c r="R1255">
        <v>152155.66</v>
      </c>
      <c r="S1255">
        <v>152155.66</v>
      </c>
      <c r="T1255">
        <v>4199319</v>
      </c>
      <c r="U1255">
        <v>6037810725</v>
      </c>
      <c r="V1255" t="s">
        <v>1144</v>
      </c>
      <c r="W1255" t="s">
        <v>49</v>
      </c>
      <c r="X1255" t="s">
        <v>200</v>
      </c>
      <c r="Y1255" t="s">
        <v>51</v>
      </c>
      <c r="Z1255">
        <v>1903</v>
      </c>
      <c r="AH1255">
        <v>0</v>
      </c>
      <c r="AI1255">
        <v>202505</v>
      </c>
      <c r="AJ1255" t="s">
        <v>86</v>
      </c>
      <c r="AK1255">
        <v>1</v>
      </c>
      <c r="AL1255">
        <v>1</v>
      </c>
      <c r="AM1255">
        <v>4199319</v>
      </c>
      <c r="AN1255">
        <v>1</v>
      </c>
      <c r="AO1255">
        <v>0</v>
      </c>
      <c r="AP1255" t="s">
        <v>3015</v>
      </c>
      <c r="AQ1255" t="s">
        <v>3012</v>
      </c>
      <c r="AR1255" t="s">
        <v>3016</v>
      </c>
      <c r="AT1255" t="s">
        <v>3017</v>
      </c>
      <c r="AU1255" t="s">
        <v>3018</v>
      </c>
    </row>
    <row r="1256" spans="1:47" x14ac:dyDescent="0.35">
      <c r="A1256">
        <v>348439</v>
      </c>
      <c r="B1256" t="s">
        <v>178</v>
      </c>
      <c r="C1256" t="s">
        <v>179</v>
      </c>
      <c r="D1256" s="2">
        <v>45806</v>
      </c>
      <c r="E1256">
        <v>53850</v>
      </c>
      <c r="F1256">
        <v>114</v>
      </c>
      <c r="G1256" t="s">
        <v>188</v>
      </c>
      <c r="H1256" t="s">
        <v>167</v>
      </c>
      <c r="I1256" t="s">
        <v>45</v>
      </c>
      <c r="K1256" t="s">
        <v>1432</v>
      </c>
      <c r="L1256">
        <v>1143306279849</v>
      </c>
      <c r="M1256">
        <v>20250528</v>
      </c>
      <c r="N1256" t="s">
        <v>3136</v>
      </c>
      <c r="Q1256" t="s">
        <v>170</v>
      </c>
      <c r="R1256">
        <v>2087.63</v>
      </c>
      <c r="S1256">
        <v>0</v>
      </c>
      <c r="T1256">
        <v>4070800</v>
      </c>
      <c r="U1256" t="s">
        <v>1433</v>
      </c>
      <c r="V1256" t="s">
        <v>1434</v>
      </c>
      <c r="W1256" t="s">
        <v>187</v>
      </c>
      <c r="Y1256" t="s">
        <v>51</v>
      </c>
      <c r="Z1256">
        <v>907</v>
      </c>
      <c r="AH1256">
        <v>0</v>
      </c>
      <c r="AI1256">
        <v>202505</v>
      </c>
      <c r="AJ1256" t="s">
        <v>119</v>
      </c>
      <c r="AK1256">
        <v>1</v>
      </c>
      <c r="AL1256">
        <v>1</v>
      </c>
      <c r="AO1256">
        <v>1</v>
      </c>
      <c r="AP1256" t="s">
        <v>3015</v>
      </c>
      <c r="AQ1256" t="s">
        <v>3044</v>
      </c>
      <c r="AR1256" t="s">
        <v>3045</v>
      </c>
      <c r="AS1256" t="s">
        <v>3046</v>
      </c>
      <c r="AU1256" t="s">
        <v>3046</v>
      </c>
    </row>
    <row r="1257" spans="1:47" x14ac:dyDescent="0.35">
      <c r="A1257">
        <v>348438</v>
      </c>
      <c r="B1257" t="s">
        <v>178</v>
      </c>
      <c r="C1257" t="s">
        <v>179</v>
      </c>
      <c r="D1257" s="2">
        <v>45806</v>
      </c>
      <c r="E1257">
        <v>53850</v>
      </c>
      <c r="F1257">
        <v>103</v>
      </c>
      <c r="G1257" t="s">
        <v>80</v>
      </c>
      <c r="H1257" t="s">
        <v>167</v>
      </c>
      <c r="I1257" t="s">
        <v>45</v>
      </c>
      <c r="K1257">
        <v>202505288019253</v>
      </c>
      <c r="L1257">
        <v>1033306974262</v>
      </c>
      <c r="M1257">
        <v>20250528</v>
      </c>
      <c r="N1257" t="s">
        <v>46</v>
      </c>
      <c r="P1257" t="s">
        <v>51</v>
      </c>
      <c r="Q1257" t="s">
        <v>47</v>
      </c>
      <c r="R1257">
        <v>800000</v>
      </c>
      <c r="S1257">
        <v>0</v>
      </c>
      <c r="T1257">
        <v>4679373</v>
      </c>
      <c r="U1257">
        <v>3294040724</v>
      </c>
      <c r="V1257" t="s">
        <v>1317</v>
      </c>
      <c r="W1257" t="s">
        <v>190</v>
      </c>
      <c r="X1257" t="s">
        <v>381</v>
      </c>
      <c r="Y1257" t="s">
        <v>51</v>
      </c>
      <c r="Z1257">
        <v>1926</v>
      </c>
      <c r="AH1257">
        <v>0</v>
      </c>
      <c r="AI1257">
        <v>202505</v>
      </c>
      <c r="AJ1257" t="s">
        <v>86</v>
      </c>
      <c r="AK1257">
        <v>1</v>
      </c>
      <c r="AL1257">
        <v>1</v>
      </c>
      <c r="AO1257">
        <v>0</v>
      </c>
      <c r="AP1257" t="s">
        <v>3015</v>
      </c>
      <c r="AQ1257" t="s">
        <v>3047</v>
      </c>
      <c r="AR1257" t="s">
        <v>3056</v>
      </c>
      <c r="AT1257" t="s">
        <v>3017</v>
      </c>
      <c r="AU1257" t="s">
        <v>3057</v>
      </c>
    </row>
    <row r="1258" spans="1:47" x14ac:dyDescent="0.35">
      <c r="A1258">
        <v>348437</v>
      </c>
      <c r="B1258" t="s">
        <v>193</v>
      </c>
      <c r="C1258" t="s">
        <v>194</v>
      </c>
      <c r="D1258" s="2">
        <v>45806</v>
      </c>
      <c r="E1258">
        <v>53850</v>
      </c>
      <c r="F1258">
        <v>103</v>
      </c>
      <c r="G1258" t="s">
        <v>80</v>
      </c>
      <c r="H1258" t="s">
        <v>167</v>
      </c>
      <c r="I1258" t="s">
        <v>45</v>
      </c>
      <c r="K1258">
        <v>202505288020100</v>
      </c>
      <c r="L1258">
        <v>1033306985374</v>
      </c>
      <c r="M1258">
        <v>20250528</v>
      </c>
      <c r="N1258" t="s">
        <v>266</v>
      </c>
      <c r="Q1258" t="s">
        <v>47</v>
      </c>
      <c r="R1258">
        <v>17000</v>
      </c>
      <c r="S1258">
        <v>17000</v>
      </c>
      <c r="T1258">
        <v>3722977</v>
      </c>
      <c r="U1258">
        <v>8874860722</v>
      </c>
      <c r="V1258" t="s">
        <v>1216</v>
      </c>
      <c r="W1258" t="s">
        <v>620</v>
      </c>
      <c r="X1258" t="s">
        <v>131</v>
      </c>
      <c r="Y1258" t="s">
        <v>51</v>
      </c>
      <c r="Z1258">
        <v>1916</v>
      </c>
      <c r="AH1258">
        <v>0</v>
      </c>
      <c r="AI1258">
        <v>202505</v>
      </c>
      <c r="AJ1258" t="s">
        <v>52</v>
      </c>
      <c r="AK1258">
        <v>0</v>
      </c>
      <c r="AL1258">
        <v>1</v>
      </c>
      <c r="AM1258">
        <v>3722977</v>
      </c>
      <c r="AN1258">
        <v>1</v>
      </c>
      <c r="AO1258">
        <v>0</v>
      </c>
      <c r="AP1258" t="s">
        <v>3033</v>
      </c>
      <c r="AQ1258" t="s">
        <v>3080</v>
      </c>
      <c r="AR1258" t="s">
        <v>3106</v>
      </c>
      <c r="AS1258" t="s">
        <v>3049</v>
      </c>
      <c r="AU1258" t="s">
        <v>3049</v>
      </c>
    </row>
    <row r="1259" spans="1:47" x14ac:dyDescent="0.35">
      <c r="A1259">
        <v>348436</v>
      </c>
      <c r="B1259" t="s">
        <v>178</v>
      </c>
      <c r="C1259" t="s">
        <v>179</v>
      </c>
      <c r="D1259" s="2">
        <v>45806</v>
      </c>
      <c r="E1259">
        <v>53850</v>
      </c>
      <c r="F1259">
        <v>134</v>
      </c>
      <c r="G1259" t="s">
        <v>804</v>
      </c>
      <c r="H1259" t="s">
        <v>167</v>
      </c>
      <c r="I1259" t="s">
        <v>45</v>
      </c>
      <c r="K1259">
        <v>202505288020228</v>
      </c>
      <c r="L1259">
        <v>1343300003027</v>
      </c>
      <c r="M1259">
        <v>20250528</v>
      </c>
      <c r="N1259" t="s">
        <v>236</v>
      </c>
      <c r="P1259" t="s">
        <v>51</v>
      </c>
      <c r="Q1259" t="s">
        <v>170</v>
      </c>
      <c r="R1259">
        <v>840000</v>
      </c>
      <c r="S1259">
        <v>0</v>
      </c>
      <c r="T1259">
        <v>4959963</v>
      </c>
      <c r="U1259" t="s">
        <v>1423</v>
      </c>
      <c r="V1259" t="s">
        <v>1424</v>
      </c>
      <c r="W1259" t="s">
        <v>187</v>
      </c>
      <c r="Y1259" t="s">
        <v>51</v>
      </c>
      <c r="Z1259">
        <v>1562</v>
      </c>
      <c r="AH1259">
        <v>0</v>
      </c>
      <c r="AI1259">
        <v>202505</v>
      </c>
      <c r="AJ1259" t="s">
        <v>52</v>
      </c>
      <c r="AK1259">
        <v>0</v>
      </c>
      <c r="AL1259">
        <v>1</v>
      </c>
      <c r="AO1259">
        <v>0</v>
      </c>
      <c r="AP1259" t="s">
        <v>3015</v>
      </c>
      <c r="AQ1259" t="s">
        <v>3044</v>
      </c>
      <c r="AR1259" t="s">
        <v>3045</v>
      </c>
      <c r="AS1259" t="s">
        <v>3046</v>
      </c>
      <c r="AU1259" t="s">
        <v>3046</v>
      </c>
    </row>
    <row r="1260" spans="1:47" x14ac:dyDescent="0.35">
      <c r="A1260">
        <v>348435</v>
      </c>
      <c r="B1260" t="s">
        <v>178</v>
      </c>
      <c r="C1260" t="s">
        <v>179</v>
      </c>
      <c r="D1260" s="2">
        <v>45806</v>
      </c>
      <c r="E1260">
        <v>53850</v>
      </c>
      <c r="F1260">
        <v>116</v>
      </c>
      <c r="G1260" t="s">
        <v>126</v>
      </c>
      <c r="H1260" t="s">
        <v>167</v>
      </c>
      <c r="I1260" t="s">
        <v>45</v>
      </c>
      <c r="K1260">
        <v>202505288018885</v>
      </c>
      <c r="L1260">
        <v>1163305431040</v>
      </c>
      <c r="M1260">
        <v>20250528</v>
      </c>
      <c r="N1260" t="s">
        <v>46</v>
      </c>
      <c r="P1260" t="s">
        <v>51</v>
      </c>
      <c r="Q1260" t="s">
        <v>47</v>
      </c>
      <c r="R1260">
        <v>1349930</v>
      </c>
      <c r="S1260">
        <v>0</v>
      </c>
      <c r="T1260">
        <v>543104</v>
      </c>
      <c r="U1260">
        <v>4393640729</v>
      </c>
      <c r="V1260" t="s">
        <v>127</v>
      </c>
      <c r="W1260" t="s">
        <v>49</v>
      </c>
      <c r="X1260" t="s">
        <v>128</v>
      </c>
      <c r="Y1260" t="s">
        <v>51</v>
      </c>
      <c r="Z1260">
        <v>1696</v>
      </c>
      <c r="AH1260">
        <v>0</v>
      </c>
      <c r="AI1260">
        <v>202505</v>
      </c>
      <c r="AJ1260" t="s">
        <v>114</v>
      </c>
      <c r="AK1260">
        <v>1</v>
      </c>
      <c r="AL1260">
        <v>1</v>
      </c>
      <c r="AO1260">
        <v>0</v>
      </c>
      <c r="AP1260" t="s">
        <v>3015</v>
      </c>
      <c r="AQ1260" t="s">
        <v>3012</v>
      </c>
      <c r="AR1260" t="s">
        <v>3016</v>
      </c>
      <c r="AT1260" t="s">
        <v>3017</v>
      </c>
      <c r="AU1260" t="s">
        <v>3018</v>
      </c>
    </row>
    <row r="1261" spans="1:47" x14ac:dyDescent="0.35">
      <c r="A1261">
        <v>348434</v>
      </c>
      <c r="B1261" t="s">
        <v>193</v>
      </c>
      <c r="C1261" t="s">
        <v>194</v>
      </c>
      <c r="D1261" s="2">
        <v>45806</v>
      </c>
      <c r="E1261">
        <v>53850</v>
      </c>
      <c r="F1261">
        <v>128</v>
      </c>
      <c r="G1261" t="s">
        <v>94</v>
      </c>
      <c r="H1261" t="s">
        <v>167</v>
      </c>
      <c r="I1261" t="s">
        <v>45</v>
      </c>
      <c r="K1261" t="s">
        <v>1422</v>
      </c>
      <c r="L1261">
        <v>1283300003941</v>
      </c>
      <c r="M1261">
        <v>20250528</v>
      </c>
      <c r="N1261" t="s">
        <v>195</v>
      </c>
      <c r="Q1261" t="s">
        <v>47</v>
      </c>
      <c r="R1261">
        <v>50800</v>
      </c>
      <c r="S1261">
        <v>50800</v>
      </c>
      <c r="T1261">
        <v>4916499</v>
      </c>
      <c r="U1261" t="s">
        <v>382</v>
      </c>
      <c r="V1261" t="s">
        <v>383</v>
      </c>
      <c r="W1261" t="s">
        <v>69</v>
      </c>
      <c r="X1261" t="s">
        <v>55</v>
      </c>
      <c r="Y1261" t="s">
        <v>51</v>
      </c>
      <c r="Z1261">
        <v>1166</v>
      </c>
      <c r="AH1261">
        <v>0</v>
      </c>
      <c r="AI1261">
        <v>202505</v>
      </c>
      <c r="AJ1261" t="s">
        <v>56</v>
      </c>
      <c r="AK1261">
        <v>0</v>
      </c>
      <c r="AL1261">
        <v>1</v>
      </c>
      <c r="AM1261">
        <v>4916499</v>
      </c>
      <c r="AN1261">
        <v>1</v>
      </c>
      <c r="AO1261">
        <v>0</v>
      </c>
      <c r="AP1261" t="s">
        <v>3015</v>
      </c>
      <c r="AQ1261" t="s">
        <v>3021</v>
      </c>
      <c r="AR1261" t="s">
        <v>3022</v>
      </c>
      <c r="AT1261" t="s">
        <v>3017</v>
      </c>
      <c r="AU1261" t="s">
        <v>3014</v>
      </c>
    </row>
    <row r="1262" spans="1:47" x14ac:dyDescent="0.35">
      <c r="A1262">
        <v>348433</v>
      </c>
      <c r="B1262" t="s">
        <v>178</v>
      </c>
      <c r="C1262" t="s">
        <v>179</v>
      </c>
      <c r="D1262" s="2">
        <v>45806</v>
      </c>
      <c r="E1262">
        <v>53850</v>
      </c>
      <c r="F1262">
        <v>102</v>
      </c>
      <c r="G1262" t="s">
        <v>151</v>
      </c>
      <c r="H1262" t="s">
        <v>167</v>
      </c>
      <c r="I1262" t="s">
        <v>45</v>
      </c>
      <c r="K1262">
        <v>202505288020077</v>
      </c>
      <c r="L1262">
        <v>1503300003188</v>
      </c>
      <c r="M1262">
        <v>20250528</v>
      </c>
      <c r="N1262" t="s">
        <v>236</v>
      </c>
      <c r="P1262" t="s">
        <v>51</v>
      </c>
      <c r="Q1262" t="s">
        <v>170</v>
      </c>
      <c r="R1262">
        <v>1100000</v>
      </c>
      <c r="S1262">
        <v>0</v>
      </c>
      <c r="T1262">
        <v>4269640</v>
      </c>
      <c r="U1262">
        <v>4797080969</v>
      </c>
      <c r="V1262" t="s">
        <v>152</v>
      </c>
      <c r="W1262" t="s">
        <v>153</v>
      </c>
      <c r="X1262" t="s">
        <v>210</v>
      </c>
      <c r="Y1262" t="s">
        <v>51</v>
      </c>
      <c r="Z1262">
        <v>1926</v>
      </c>
      <c r="AH1262">
        <v>0</v>
      </c>
      <c r="AI1262">
        <v>202505</v>
      </c>
      <c r="AJ1262" t="s">
        <v>52</v>
      </c>
      <c r="AK1262">
        <v>0</v>
      </c>
      <c r="AL1262">
        <v>1</v>
      </c>
      <c r="AO1262">
        <v>0</v>
      </c>
      <c r="AP1262" t="s">
        <v>3015</v>
      </c>
      <c r="AQ1262" t="s">
        <v>3035</v>
      </c>
      <c r="AR1262" t="s">
        <v>3036</v>
      </c>
      <c r="AT1262" t="s">
        <v>3017</v>
      </c>
      <c r="AU1262" t="s">
        <v>3037</v>
      </c>
    </row>
    <row r="1263" spans="1:47" x14ac:dyDescent="0.35">
      <c r="A1263">
        <v>348432</v>
      </c>
      <c r="B1263" t="s">
        <v>193</v>
      </c>
      <c r="C1263" t="s">
        <v>194</v>
      </c>
      <c r="D1263" s="2">
        <v>45806</v>
      </c>
      <c r="E1263">
        <v>53850</v>
      </c>
      <c r="F1263">
        <v>116</v>
      </c>
      <c r="G1263" t="s">
        <v>126</v>
      </c>
      <c r="H1263" t="s">
        <v>167</v>
      </c>
      <c r="I1263" t="s">
        <v>45</v>
      </c>
      <c r="K1263">
        <v>202505288019941</v>
      </c>
      <c r="L1263">
        <v>2343300010453</v>
      </c>
      <c r="M1263">
        <v>20250528</v>
      </c>
      <c r="N1263" t="s">
        <v>195</v>
      </c>
      <c r="Q1263" t="s">
        <v>47</v>
      </c>
      <c r="R1263">
        <v>150161.29999999999</v>
      </c>
      <c r="S1263">
        <v>150161.29999999999</v>
      </c>
      <c r="T1263">
        <v>4247777</v>
      </c>
      <c r="U1263">
        <v>233470236</v>
      </c>
      <c r="V1263" t="s">
        <v>206</v>
      </c>
      <c r="W1263" t="s">
        <v>49</v>
      </c>
      <c r="X1263" t="s">
        <v>117</v>
      </c>
      <c r="Y1263" t="s">
        <v>51</v>
      </c>
      <c r="Z1263">
        <v>1696</v>
      </c>
      <c r="AH1263">
        <v>0</v>
      </c>
      <c r="AI1263">
        <v>202505</v>
      </c>
      <c r="AJ1263" t="s">
        <v>114</v>
      </c>
      <c r="AK1263">
        <v>1</v>
      </c>
      <c r="AL1263">
        <v>1</v>
      </c>
      <c r="AM1263">
        <v>4247777</v>
      </c>
      <c r="AN1263">
        <v>1</v>
      </c>
      <c r="AO1263">
        <v>0</v>
      </c>
      <c r="AP1263" t="s">
        <v>3029</v>
      </c>
      <c r="AQ1263" t="s">
        <v>3012</v>
      </c>
      <c r="AR1263" t="s">
        <v>3030</v>
      </c>
      <c r="AS1263" t="s">
        <v>3014</v>
      </c>
      <c r="AU1263" t="s">
        <v>3014</v>
      </c>
    </row>
    <row r="1264" spans="1:47" x14ac:dyDescent="0.35">
      <c r="A1264">
        <v>348431</v>
      </c>
      <c r="B1264" t="s">
        <v>178</v>
      </c>
      <c r="C1264" t="s">
        <v>179</v>
      </c>
      <c r="D1264" s="2">
        <v>45806</v>
      </c>
      <c r="E1264">
        <v>53850</v>
      </c>
      <c r="F1264">
        <v>170</v>
      </c>
      <c r="G1264" t="s">
        <v>211</v>
      </c>
      <c r="H1264" t="s">
        <v>167</v>
      </c>
      <c r="I1264" t="s">
        <v>45</v>
      </c>
      <c r="K1264">
        <v>202505288019287</v>
      </c>
      <c r="L1264">
        <v>1703306288195</v>
      </c>
      <c r="M1264">
        <v>20250528</v>
      </c>
      <c r="N1264" t="s">
        <v>168</v>
      </c>
      <c r="P1264" t="s">
        <v>339</v>
      </c>
      <c r="Q1264" t="s">
        <v>170</v>
      </c>
      <c r="R1264">
        <v>1236943.99</v>
      </c>
      <c r="S1264">
        <v>0</v>
      </c>
      <c r="T1264">
        <v>4401631</v>
      </c>
      <c r="U1264">
        <v>4724350725</v>
      </c>
      <c r="V1264" t="s">
        <v>949</v>
      </c>
      <c r="W1264" t="s">
        <v>49</v>
      </c>
      <c r="X1264" t="s">
        <v>241</v>
      </c>
      <c r="Y1264" t="s">
        <v>51</v>
      </c>
      <c r="Z1264">
        <v>1919</v>
      </c>
      <c r="AH1264">
        <v>0</v>
      </c>
      <c r="AI1264">
        <v>202505</v>
      </c>
      <c r="AJ1264" t="s">
        <v>86</v>
      </c>
      <c r="AK1264">
        <v>1</v>
      </c>
      <c r="AL1264">
        <v>1</v>
      </c>
      <c r="AO1264">
        <v>0</v>
      </c>
      <c r="AP1264" t="s">
        <v>3015</v>
      </c>
      <c r="AQ1264" t="s">
        <v>3012</v>
      </c>
      <c r="AR1264" t="s">
        <v>3016</v>
      </c>
      <c r="AT1264" t="s">
        <v>3017</v>
      </c>
      <c r="AU1264" t="s">
        <v>3018</v>
      </c>
    </row>
    <row r="1265" spans="1:47" x14ac:dyDescent="0.35">
      <c r="A1265">
        <v>348430</v>
      </c>
      <c r="B1265" t="s">
        <v>193</v>
      </c>
      <c r="C1265" t="s">
        <v>194</v>
      </c>
      <c r="D1265" s="2">
        <v>45806</v>
      </c>
      <c r="E1265">
        <v>53850</v>
      </c>
      <c r="F1265">
        <v>171</v>
      </c>
      <c r="G1265" t="s">
        <v>198</v>
      </c>
      <c r="H1265" t="s">
        <v>167</v>
      </c>
      <c r="I1265" t="s">
        <v>45</v>
      </c>
      <c r="K1265" t="s">
        <v>1422</v>
      </c>
      <c r="L1265">
        <v>1713305728950</v>
      </c>
      <c r="M1265">
        <v>20250528</v>
      </c>
      <c r="N1265" t="s">
        <v>195</v>
      </c>
      <c r="Q1265" t="s">
        <v>47</v>
      </c>
      <c r="R1265">
        <v>382821.7</v>
      </c>
      <c r="S1265">
        <v>382821.7</v>
      </c>
      <c r="T1265">
        <v>572895</v>
      </c>
      <c r="U1265">
        <v>4161600723</v>
      </c>
      <c r="V1265" t="s">
        <v>199</v>
      </c>
      <c r="W1265" t="s">
        <v>49</v>
      </c>
      <c r="X1265" t="s">
        <v>200</v>
      </c>
      <c r="Y1265" t="s">
        <v>51</v>
      </c>
      <c r="Z1265">
        <v>1903</v>
      </c>
      <c r="AH1265">
        <v>0</v>
      </c>
      <c r="AI1265">
        <v>202505</v>
      </c>
      <c r="AJ1265" t="s">
        <v>86</v>
      </c>
      <c r="AK1265">
        <v>1</v>
      </c>
      <c r="AL1265">
        <v>1</v>
      </c>
      <c r="AM1265">
        <v>572895</v>
      </c>
      <c r="AN1265">
        <v>1</v>
      </c>
      <c r="AO1265">
        <v>0</v>
      </c>
      <c r="AP1265" t="s">
        <v>3015</v>
      </c>
      <c r="AQ1265" t="s">
        <v>3012</v>
      </c>
      <c r="AR1265" t="s">
        <v>3016</v>
      </c>
      <c r="AT1265" t="s">
        <v>3017</v>
      </c>
      <c r="AU1265" t="s">
        <v>3018</v>
      </c>
    </row>
    <row r="1266" spans="1:47" x14ac:dyDescent="0.35">
      <c r="A1266">
        <v>348429</v>
      </c>
      <c r="B1266" t="s">
        <v>178</v>
      </c>
      <c r="C1266" t="s">
        <v>179</v>
      </c>
      <c r="D1266" s="2">
        <v>45806</v>
      </c>
      <c r="E1266">
        <v>53850</v>
      </c>
      <c r="F1266">
        <v>169</v>
      </c>
      <c r="G1266" t="s">
        <v>57</v>
      </c>
      <c r="H1266" t="s">
        <v>167</v>
      </c>
      <c r="I1266" t="s">
        <v>45</v>
      </c>
      <c r="K1266">
        <v>202505288020312</v>
      </c>
      <c r="L1266">
        <v>1693305416200</v>
      </c>
      <c r="M1266">
        <v>20250528</v>
      </c>
      <c r="N1266" t="s">
        <v>303</v>
      </c>
      <c r="Q1266" t="s">
        <v>170</v>
      </c>
      <c r="R1266">
        <v>310000</v>
      </c>
      <c r="S1266">
        <v>0</v>
      </c>
      <c r="T1266">
        <v>541618</v>
      </c>
      <c r="U1266" t="s">
        <v>1435</v>
      </c>
      <c r="V1266" t="s">
        <v>1436</v>
      </c>
      <c r="W1266" t="s">
        <v>187</v>
      </c>
      <c r="Y1266" t="s">
        <v>51</v>
      </c>
      <c r="Z1266">
        <v>1352</v>
      </c>
      <c r="AH1266">
        <v>0</v>
      </c>
      <c r="AI1266">
        <v>202505</v>
      </c>
      <c r="AJ1266" t="s">
        <v>86</v>
      </c>
      <c r="AK1266">
        <v>1</v>
      </c>
      <c r="AL1266">
        <v>1</v>
      </c>
      <c r="AO1266">
        <v>0</v>
      </c>
      <c r="AP1266" t="s">
        <v>3015</v>
      </c>
      <c r="AQ1266" t="s">
        <v>3044</v>
      </c>
      <c r="AR1266" t="s">
        <v>3045</v>
      </c>
      <c r="AS1266" t="s">
        <v>3046</v>
      </c>
      <c r="AU1266" t="s">
        <v>3046</v>
      </c>
    </row>
    <row r="1267" spans="1:47" x14ac:dyDescent="0.35">
      <c r="A1267">
        <v>348428</v>
      </c>
      <c r="B1267" t="s">
        <v>193</v>
      </c>
      <c r="C1267" t="s">
        <v>194</v>
      </c>
      <c r="D1267" s="2">
        <v>45806</v>
      </c>
      <c r="E1267">
        <v>53850</v>
      </c>
      <c r="F1267">
        <v>141</v>
      </c>
      <c r="G1267" t="s">
        <v>105</v>
      </c>
      <c r="H1267" t="s">
        <v>167</v>
      </c>
      <c r="I1267" t="s">
        <v>45</v>
      </c>
      <c r="K1267" t="s">
        <v>1422</v>
      </c>
      <c r="L1267">
        <v>1413300004393</v>
      </c>
      <c r="M1267">
        <v>20250528</v>
      </c>
      <c r="N1267" t="s">
        <v>175</v>
      </c>
      <c r="Q1267" t="s">
        <v>47</v>
      </c>
      <c r="R1267">
        <v>45810.68</v>
      </c>
      <c r="S1267">
        <v>31250</v>
      </c>
      <c r="T1267">
        <v>3743595</v>
      </c>
      <c r="U1267">
        <v>5408440757</v>
      </c>
      <c r="V1267" t="s">
        <v>1334</v>
      </c>
      <c r="W1267" t="s">
        <v>332</v>
      </c>
      <c r="X1267" t="s">
        <v>70</v>
      </c>
      <c r="Y1267" t="s">
        <v>51</v>
      </c>
      <c r="Z1267">
        <v>862</v>
      </c>
      <c r="AH1267">
        <v>0</v>
      </c>
      <c r="AI1267">
        <v>202505</v>
      </c>
      <c r="AJ1267" t="s">
        <v>86</v>
      </c>
      <c r="AK1267">
        <v>1</v>
      </c>
      <c r="AL1267">
        <v>1</v>
      </c>
      <c r="AM1267">
        <v>3743595</v>
      </c>
      <c r="AN1267">
        <v>1</v>
      </c>
      <c r="AO1267">
        <v>1</v>
      </c>
      <c r="AP1267" t="s">
        <v>3015</v>
      </c>
      <c r="AQ1267" t="s">
        <v>3058</v>
      </c>
      <c r="AR1267" t="s">
        <v>3059</v>
      </c>
      <c r="AT1267" t="s">
        <v>3017</v>
      </c>
      <c r="AU1267" t="s">
        <v>3014</v>
      </c>
    </row>
    <row r="1268" spans="1:47" x14ac:dyDescent="0.35">
      <c r="A1268">
        <v>348427</v>
      </c>
      <c r="B1268" t="s">
        <v>193</v>
      </c>
      <c r="C1268" t="s">
        <v>194</v>
      </c>
      <c r="D1268" s="2">
        <v>45806</v>
      </c>
      <c r="E1268">
        <v>53850</v>
      </c>
      <c r="F1268">
        <v>189</v>
      </c>
      <c r="G1268" t="s">
        <v>286</v>
      </c>
      <c r="H1268" t="s">
        <v>167</v>
      </c>
      <c r="I1268" t="s">
        <v>45</v>
      </c>
      <c r="K1268">
        <v>202505288020381</v>
      </c>
      <c r="L1268">
        <v>1893300023546</v>
      </c>
      <c r="M1268">
        <v>20250528</v>
      </c>
      <c r="N1268" t="s">
        <v>266</v>
      </c>
      <c r="Q1268" t="s">
        <v>47</v>
      </c>
      <c r="R1268">
        <v>43535</v>
      </c>
      <c r="S1268">
        <v>43535</v>
      </c>
      <c r="T1268">
        <v>3064562</v>
      </c>
      <c r="U1268" t="s">
        <v>287</v>
      </c>
      <c r="V1268" t="s">
        <v>288</v>
      </c>
      <c r="W1268" t="s">
        <v>69</v>
      </c>
      <c r="X1268" t="s">
        <v>55</v>
      </c>
      <c r="Y1268" t="s">
        <v>51</v>
      </c>
      <c r="Z1268">
        <v>1620</v>
      </c>
      <c r="AH1268">
        <v>0</v>
      </c>
      <c r="AI1268">
        <v>202505</v>
      </c>
      <c r="AJ1268" t="s">
        <v>56</v>
      </c>
      <c r="AK1268">
        <v>0</v>
      </c>
      <c r="AL1268">
        <v>1</v>
      </c>
      <c r="AM1268">
        <v>3064562</v>
      </c>
      <c r="AN1268">
        <v>1</v>
      </c>
      <c r="AO1268">
        <v>0</v>
      </c>
      <c r="AP1268" t="s">
        <v>3015</v>
      </c>
      <c r="AQ1268" t="s">
        <v>3021</v>
      </c>
      <c r="AR1268" t="s">
        <v>3022</v>
      </c>
      <c r="AT1268" t="s">
        <v>3017</v>
      </c>
      <c r="AU1268" t="s">
        <v>3014</v>
      </c>
    </row>
    <row r="1269" spans="1:47" x14ac:dyDescent="0.35">
      <c r="A1269">
        <v>348426</v>
      </c>
      <c r="B1269" t="s">
        <v>172</v>
      </c>
      <c r="C1269" t="s">
        <v>173</v>
      </c>
      <c r="D1269" s="2">
        <v>45806</v>
      </c>
      <c r="E1269">
        <v>53850</v>
      </c>
      <c r="F1269">
        <v>108</v>
      </c>
      <c r="G1269" t="s">
        <v>124</v>
      </c>
      <c r="H1269" t="s">
        <v>167</v>
      </c>
      <c r="I1269" t="s">
        <v>45</v>
      </c>
      <c r="K1269" t="s">
        <v>1422</v>
      </c>
      <c r="L1269">
        <v>1083300011180</v>
      </c>
      <c r="M1269">
        <v>20250528</v>
      </c>
      <c r="N1269" t="s">
        <v>175</v>
      </c>
      <c r="Q1269" t="s">
        <v>47</v>
      </c>
      <c r="R1269">
        <v>128808.06</v>
      </c>
      <c r="S1269">
        <v>1200</v>
      </c>
      <c r="T1269">
        <v>1118</v>
      </c>
      <c r="U1269">
        <v>3246700722</v>
      </c>
      <c r="V1269" t="s">
        <v>125</v>
      </c>
      <c r="W1269" t="s">
        <v>49</v>
      </c>
      <c r="X1269" t="s">
        <v>96</v>
      </c>
      <c r="Y1269" t="s">
        <v>51</v>
      </c>
      <c r="Z1269">
        <v>1058</v>
      </c>
      <c r="AH1269">
        <v>0</v>
      </c>
      <c r="AI1269">
        <v>202505</v>
      </c>
      <c r="AJ1269" t="s">
        <v>52</v>
      </c>
      <c r="AK1269">
        <v>0</v>
      </c>
      <c r="AL1269">
        <v>1</v>
      </c>
      <c r="AO1269">
        <v>1</v>
      </c>
      <c r="AP1269" t="s">
        <v>3015</v>
      </c>
      <c r="AQ1269" t="s">
        <v>3012</v>
      </c>
      <c r="AR1269" t="s">
        <v>3016</v>
      </c>
      <c r="AT1269" t="s">
        <v>3017</v>
      </c>
      <c r="AU1269" t="s">
        <v>3018</v>
      </c>
    </row>
    <row r="1270" spans="1:47" x14ac:dyDescent="0.35">
      <c r="A1270">
        <v>348425</v>
      </c>
      <c r="B1270" t="s">
        <v>178</v>
      </c>
      <c r="C1270" t="s">
        <v>179</v>
      </c>
      <c r="D1270" s="2">
        <v>45806</v>
      </c>
      <c r="E1270">
        <v>53850</v>
      </c>
      <c r="F1270">
        <v>134</v>
      </c>
      <c r="G1270" t="s">
        <v>804</v>
      </c>
      <c r="H1270" t="s">
        <v>167</v>
      </c>
      <c r="I1270" t="s">
        <v>45</v>
      </c>
      <c r="K1270">
        <v>202505288019999</v>
      </c>
      <c r="L1270">
        <v>1343300003027</v>
      </c>
      <c r="M1270">
        <v>20250528</v>
      </c>
      <c r="N1270" t="s">
        <v>633</v>
      </c>
      <c r="P1270" t="s">
        <v>51</v>
      </c>
      <c r="Q1270" t="s">
        <v>47</v>
      </c>
      <c r="R1270">
        <v>840000</v>
      </c>
      <c r="S1270">
        <v>0</v>
      </c>
      <c r="T1270">
        <v>4959963</v>
      </c>
      <c r="U1270" t="s">
        <v>1423</v>
      </c>
      <c r="V1270" t="s">
        <v>1424</v>
      </c>
      <c r="W1270" t="s">
        <v>187</v>
      </c>
      <c r="Y1270" t="s">
        <v>51</v>
      </c>
      <c r="Z1270">
        <v>1562</v>
      </c>
      <c r="AH1270">
        <v>0</v>
      </c>
      <c r="AI1270">
        <v>202505</v>
      </c>
      <c r="AJ1270" t="s">
        <v>52</v>
      </c>
      <c r="AK1270">
        <v>0</v>
      </c>
      <c r="AL1270">
        <v>1</v>
      </c>
      <c r="AO1270">
        <v>0</v>
      </c>
      <c r="AP1270" t="s">
        <v>3015</v>
      </c>
      <c r="AQ1270" t="s">
        <v>3044</v>
      </c>
      <c r="AR1270" t="s">
        <v>3045</v>
      </c>
      <c r="AS1270" t="s">
        <v>3046</v>
      </c>
      <c r="AU1270" t="s">
        <v>3046</v>
      </c>
    </row>
    <row r="1271" spans="1:47" x14ac:dyDescent="0.35">
      <c r="A1271">
        <v>348424</v>
      </c>
      <c r="B1271" t="s">
        <v>172</v>
      </c>
      <c r="C1271" t="s">
        <v>173</v>
      </c>
      <c r="D1271" s="2">
        <v>45806</v>
      </c>
      <c r="E1271">
        <v>53850</v>
      </c>
      <c r="F1271">
        <v>118</v>
      </c>
      <c r="G1271" t="s">
        <v>254</v>
      </c>
      <c r="H1271" t="s">
        <v>167</v>
      </c>
      <c r="I1271" t="s">
        <v>45</v>
      </c>
      <c r="K1271">
        <v>202505288020196</v>
      </c>
      <c r="L1271">
        <v>1183302007820</v>
      </c>
      <c r="M1271">
        <v>20250528</v>
      </c>
      <c r="N1271" t="s">
        <v>231</v>
      </c>
      <c r="Q1271" t="s">
        <v>47</v>
      </c>
      <c r="R1271">
        <v>107500</v>
      </c>
      <c r="S1271">
        <v>0</v>
      </c>
      <c r="T1271">
        <v>200782</v>
      </c>
      <c r="U1271" t="s">
        <v>1437</v>
      </c>
      <c r="V1271" t="s">
        <v>1438</v>
      </c>
      <c r="W1271" t="s">
        <v>187</v>
      </c>
      <c r="Y1271" t="s">
        <v>51</v>
      </c>
      <c r="Z1271">
        <v>724</v>
      </c>
      <c r="AH1271">
        <v>0</v>
      </c>
      <c r="AI1271">
        <v>202505</v>
      </c>
      <c r="AJ1271" t="s">
        <v>52</v>
      </c>
      <c r="AK1271">
        <v>0</v>
      </c>
      <c r="AL1271">
        <v>1</v>
      </c>
      <c r="AO1271">
        <v>0</v>
      </c>
      <c r="AP1271" t="s">
        <v>3015</v>
      </c>
      <c r="AQ1271" t="s">
        <v>3044</v>
      </c>
      <c r="AR1271" t="s">
        <v>3045</v>
      </c>
      <c r="AS1271" t="s">
        <v>3046</v>
      </c>
      <c r="AU1271" t="s">
        <v>3046</v>
      </c>
    </row>
    <row r="1272" spans="1:47" x14ac:dyDescent="0.35">
      <c r="A1272">
        <v>348423</v>
      </c>
      <c r="B1272" t="s">
        <v>178</v>
      </c>
      <c r="C1272" t="s">
        <v>179</v>
      </c>
      <c r="D1272" s="2">
        <v>45806</v>
      </c>
      <c r="E1272">
        <v>53850</v>
      </c>
      <c r="F1272">
        <v>261</v>
      </c>
      <c r="G1272" t="s">
        <v>136</v>
      </c>
      <c r="H1272" t="s">
        <v>167</v>
      </c>
      <c r="I1272" t="s">
        <v>45</v>
      </c>
      <c r="K1272">
        <v>202505288018864</v>
      </c>
      <c r="L1272">
        <v>2613300000312</v>
      </c>
      <c r="M1272">
        <v>20250528</v>
      </c>
      <c r="N1272" t="s">
        <v>46</v>
      </c>
      <c r="P1272" t="s">
        <v>51</v>
      </c>
      <c r="Q1272" t="s">
        <v>47</v>
      </c>
      <c r="R1272">
        <v>201301.01</v>
      </c>
      <c r="S1272">
        <v>0</v>
      </c>
      <c r="T1272">
        <v>1605075</v>
      </c>
      <c r="U1272" t="s">
        <v>1439</v>
      </c>
      <c r="V1272" t="s">
        <v>1440</v>
      </c>
      <c r="W1272" t="s">
        <v>187</v>
      </c>
      <c r="Y1272" t="s">
        <v>51</v>
      </c>
      <c r="Z1272">
        <v>1776</v>
      </c>
      <c r="AH1272">
        <v>0</v>
      </c>
      <c r="AI1272">
        <v>202505</v>
      </c>
      <c r="AJ1272" t="s">
        <v>52</v>
      </c>
      <c r="AK1272">
        <v>0</v>
      </c>
      <c r="AL1272">
        <v>1</v>
      </c>
      <c r="AO1272">
        <v>0</v>
      </c>
      <c r="AP1272" t="s">
        <v>3015</v>
      </c>
      <c r="AQ1272" t="s">
        <v>3044</v>
      </c>
      <c r="AR1272" t="s">
        <v>3045</v>
      </c>
      <c r="AS1272" t="s">
        <v>3046</v>
      </c>
      <c r="AU1272" t="s">
        <v>3046</v>
      </c>
    </row>
    <row r="1273" spans="1:47" x14ac:dyDescent="0.35">
      <c r="A1273">
        <v>348422</v>
      </c>
      <c r="B1273" t="s">
        <v>178</v>
      </c>
      <c r="C1273" t="s">
        <v>179</v>
      </c>
      <c r="D1273" s="2">
        <v>45806</v>
      </c>
      <c r="E1273">
        <v>53850</v>
      </c>
      <c r="F1273">
        <v>122</v>
      </c>
      <c r="G1273" t="s">
        <v>43</v>
      </c>
      <c r="H1273" t="s">
        <v>167</v>
      </c>
      <c r="I1273" t="s">
        <v>45</v>
      </c>
      <c r="K1273">
        <v>202505288018264</v>
      </c>
      <c r="L1273">
        <v>1223300002128</v>
      </c>
      <c r="M1273">
        <v>20250528</v>
      </c>
      <c r="N1273" t="s">
        <v>46</v>
      </c>
      <c r="P1273" t="s">
        <v>51</v>
      </c>
      <c r="Q1273" t="s">
        <v>47</v>
      </c>
      <c r="R1273">
        <v>1856796.59</v>
      </c>
      <c r="S1273">
        <v>0</v>
      </c>
      <c r="T1273">
        <v>3711207</v>
      </c>
      <c r="U1273">
        <v>8825020723</v>
      </c>
      <c r="V1273" t="s">
        <v>48</v>
      </c>
      <c r="W1273" t="s">
        <v>49</v>
      </c>
      <c r="X1273" t="s">
        <v>50</v>
      </c>
      <c r="Y1273" t="s">
        <v>51</v>
      </c>
      <c r="Z1273">
        <v>1696</v>
      </c>
      <c r="AH1273">
        <v>0</v>
      </c>
      <c r="AI1273">
        <v>202505</v>
      </c>
      <c r="AJ1273" t="s">
        <v>86</v>
      </c>
      <c r="AK1273">
        <v>1</v>
      </c>
      <c r="AL1273">
        <v>1</v>
      </c>
      <c r="AO1273">
        <v>0</v>
      </c>
      <c r="AP1273" t="s">
        <v>3011</v>
      </c>
      <c r="AQ1273" t="s">
        <v>3012</v>
      </c>
      <c r="AR1273" t="s">
        <v>3013</v>
      </c>
      <c r="AS1273" t="s">
        <v>3014</v>
      </c>
      <c r="AU1273" t="s">
        <v>3014</v>
      </c>
    </row>
    <row r="1274" spans="1:47" x14ac:dyDescent="0.35">
      <c r="A1274">
        <v>348421</v>
      </c>
      <c r="B1274" t="s">
        <v>193</v>
      </c>
      <c r="C1274" t="s">
        <v>194</v>
      </c>
      <c r="D1274" s="2">
        <v>45806</v>
      </c>
      <c r="E1274">
        <v>53850</v>
      </c>
      <c r="F1274">
        <v>178</v>
      </c>
      <c r="G1274" t="s">
        <v>315</v>
      </c>
      <c r="H1274" t="s">
        <v>167</v>
      </c>
      <c r="I1274" t="s">
        <v>45</v>
      </c>
      <c r="K1274">
        <v>202505288020346</v>
      </c>
      <c r="L1274">
        <v>1783301004511</v>
      </c>
      <c r="M1274">
        <v>20250528</v>
      </c>
      <c r="N1274" t="s">
        <v>266</v>
      </c>
      <c r="Q1274" t="s">
        <v>47</v>
      </c>
      <c r="R1274">
        <v>20000</v>
      </c>
      <c r="S1274">
        <v>20000</v>
      </c>
      <c r="T1274">
        <v>4893024</v>
      </c>
      <c r="U1274" t="s">
        <v>1441</v>
      </c>
      <c r="V1274" t="s">
        <v>1442</v>
      </c>
      <c r="W1274" t="s">
        <v>187</v>
      </c>
      <c r="Y1274" t="s">
        <v>51</v>
      </c>
      <c r="Z1274">
        <v>1100</v>
      </c>
      <c r="AH1274">
        <v>0</v>
      </c>
      <c r="AI1274">
        <v>202505</v>
      </c>
      <c r="AJ1274" t="s">
        <v>86</v>
      </c>
      <c r="AK1274">
        <v>1</v>
      </c>
      <c r="AL1274">
        <v>1</v>
      </c>
      <c r="AO1274">
        <v>0</v>
      </c>
      <c r="AP1274" t="s">
        <v>3015</v>
      </c>
      <c r="AQ1274" t="s">
        <v>3044</v>
      </c>
      <c r="AR1274" t="s">
        <v>3045</v>
      </c>
      <c r="AS1274" t="s">
        <v>3046</v>
      </c>
      <c r="AU1274" t="s">
        <v>3046</v>
      </c>
    </row>
    <row r="1275" spans="1:47" x14ac:dyDescent="0.35">
      <c r="A1275">
        <v>348420</v>
      </c>
      <c r="B1275" t="s">
        <v>178</v>
      </c>
      <c r="C1275" t="s">
        <v>179</v>
      </c>
      <c r="D1275" s="2">
        <v>45806</v>
      </c>
      <c r="E1275">
        <v>53850</v>
      </c>
      <c r="F1275">
        <v>116</v>
      </c>
      <c r="G1275" t="s">
        <v>126</v>
      </c>
      <c r="H1275" t="s">
        <v>167</v>
      </c>
      <c r="I1275" t="s">
        <v>45</v>
      </c>
      <c r="K1275">
        <v>202505288019280</v>
      </c>
      <c r="L1275">
        <v>2173300010307</v>
      </c>
      <c r="M1275">
        <v>20250528</v>
      </c>
      <c r="N1275" t="s">
        <v>223</v>
      </c>
      <c r="Q1275" t="s">
        <v>170</v>
      </c>
      <c r="R1275">
        <v>4000000</v>
      </c>
      <c r="S1275">
        <v>0</v>
      </c>
      <c r="T1275">
        <v>4434879</v>
      </c>
      <c r="U1275">
        <v>1595620061</v>
      </c>
      <c r="V1275" t="s">
        <v>1443</v>
      </c>
      <c r="W1275" t="s">
        <v>49</v>
      </c>
      <c r="X1275" t="s">
        <v>1444</v>
      </c>
      <c r="Y1275" t="s">
        <v>51</v>
      </c>
      <c r="Z1275">
        <v>1696</v>
      </c>
      <c r="AH1275">
        <v>0</v>
      </c>
      <c r="AI1275">
        <v>202505</v>
      </c>
      <c r="AJ1275" t="s">
        <v>86</v>
      </c>
      <c r="AK1275">
        <v>1</v>
      </c>
      <c r="AL1275">
        <v>1</v>
      </c>
      <c r="AO1275">
        <v>0</v>
      </c>
      <c r="AP1275" t="s">
        <v>3015</v>
      </c>
      <c r="AQ1275" t="s">
        <v>3012</v>
      </c>
      <c r="AR1275" t="s">
        <v>3016</v>
      </c>
      <c r="AT1275" t="s">
        <v>3017</v>
      </c>
      <c r="AU1275" t="s">
        <v>3018</v>
      </c>
    </row>
    <row r="1276" spans="1:47" x14ac:dyDescent="0.35">
      <c r="A1276">
        <v>348419</v>
      </c>
      <c r="B1276" t="s">
        <v>164</v>
      </c>
      <c r="C1276" t="s">
        <v>165</v>
      </c>
      <c r="D1276" s="2">
        <v>45806</v>
      </c>
      <c r="E1276">
        <v>53850</v>
      </c>
      <c r="F1276">
        <v>128</v>
      </c>
      <c r="G1276" t="s">
        <v>94</v>
      </c>
      <c r="H1276" t="s">
        <v>167</v>
      </c>
      <c r="I1276" t="s">
        <v>45</v>
      </c>
      <c r="K1276">
        <v>202505288019284</v>
      </c>
      <c r="L1276">
        <v>1283300002423</v>
      </c>
      <c r="M1276">
        <v>20250528</v>
      </c>
      <c r="N1276" t="s">
        <v>168</v>
      </c>
      <c r="P1276" t="s">
        <v>435</v>
      </c>
      <c r="Q1276" t="s">
        <v>47</v>
      </c>
      <c r="R1276">
        <v>13128.9</v>
      </c>
      <c r="S1276">
        <v>0</v>
      </c>
      <c r="T1276">
        <v>4582492</v>
      </c>
      <c r="U1276" t="s">
        <v>541</v>
      </c>
      <c r="V1276" t="s">
        <v>542</v>
      </c>
      <c r="W1276" t="s">
        <v>187</v>
      </c>
      <c r="Y1276" t="s">
        <v>51</v>
      </c>
      <c r="Z1276">
        <v>726</v>
      </c>
      <c r="AH1276">
        <v>0</v>
      </c>
      <c r="AI1276">
        <v>202505</v>
      </c>
      <c r="AJ1276" t="s">
        <v>52</v>
      </c>
      <c r="AK1276">
        <v>0</v>
      </c>
      <c r="AL1276">
        <v>1</v>
      </c>
      <c r="AO1276">
        <v>0</v>
      </c>
      <c r="AP1276" t="s">
        <v>3015</v>
      </c>
      <c r="AQ1276" t="s">
        <v>3044</v>
      </c>
      <c r="AR1276" t="s">
        <v>3045</v>
      </c>
      <c r="AS1276" t="s">
        <v>3046</v>
      </c>
      <c r="AU1276" t="s">
        <v>3046</v>
      </c>
    </row>
    <row r="1277" spans="1:47" x14ac:dyDescent="0.35">
      <c r="A1277">
        <v>348418</v>
      </c>
      <c r="B1277" t="s">
        <v>178</v>
      </c>
      <c r="C1277" t="s">
        <v>179</v>
      </c>
      <c r="D1277" s="2">
        <v>45806</v>
      </c>
      <c r="E1277">
        <v>53850</v>
      </c>
      <c r="F1277">
        <v>286</v>
      </c>
      <c r="G1277" t="s">
        <v>408</v>
      </c>
      <c r="H1277" t="s">
        <v>167</v>
      </c>
      <c r="I1277" t="s">
        <v>45</v>
      </c>
      <c r="K1277">
        <v>202505288020518</v>
      </c>
      <c r="L1277">
        <v>2863300003325</v>
      </c>
      <c r="M1277">
        <v>20250528</v>
      </c>
      <c r="N1277" t="s">
        <v>236</v>
      </c>
      <c r="P1277" t="s">
        <v>51</v>
      </c>
      <c r="Q1277" t="s">
        <v>170</v>
      </c>
      <c r="R1277">
        <v>100000</v>
      </c>
      <c r="S1277">
        <v>0</v>
      </c>
      <c r="T1277">
        <v>1705218</v>
      </c>
      <c r="U1277" t="s">
        <v>1445</v>
      </c>
      <c r="V1277" t="s">
        <v>1446</v>
      </c>
      <c r="W1277" t="s">
        <v>69</v>
      </c>
      <c r="X1277" t="s">
        <v>131</v>
      </c>
      <c r="Y1277" t="s">
        <v>51</v>
      </c>
      <c r="Z1277">
        <v>1841</v>
      </c>
      <c r="AH1277">
        <v>0</v>
      </c>
      <c r="AI1277">
        <v>202505</v>
      </c>
      <c r="AJ1277" t="s">
        <v>56</v>
      </c>
      <c r="AK1277">
        <v>0</v>
      </c>
      <c r="AL1277">
        <v>1</v>
      </c>
      <c r="AM1277">
        <v>1705218</v>
      </c>
      <c r="AN1277">
        <v>1</v>
      </c>
      <c r="AO1277">
        <v>0</v>
      </c>
      <c r="AP1277" t="s">
        <v>3033</v>
      </c>
      <c r="AQ1277" t="s">
        <v>3021</v>
      </c>
      <c r="AR1277" t="s">
        <v>3054</v>
      </c>
      <c r="AS1277" t="s">
        <v>3055</v>
      </c>
      <c r="AU1277" t="s">
        <v>3055</v>
      </c>
    </row>
    <row r="1278" spans="1:47" x14ac:dyDescent="0.35">
      <c r="A1278">
        <v>348417</v>
      </c>
      <c r="B1278" t="s">
        <v>193</v>
      </c>
      <c r="C1278" t="s">
        <v>194</v>
      </c>
      <c r="D1278" s="2">
        <v>45806</v>
      </c>
      <c r="E1278">
        <v>53850</v>
      </c>
      <c r="F1278">
        <v>171</v>
      </c>
      <c r="G1278" t="s">
        <v>198</v>
      </c>
      <c r="H1278" t="s">
        <v>167</v>
      </c>
      <c r="I1278" t="s">
        <v>45</v>
      </c>
      <c r="K1278" t="s">
        <v>1422</v>
      </c>
      <c r="L1278">
        <v>1713302214147</v>
      </c>
      <c r="M1278">
        <v>20250528</v>
      </c>
      <c r="N1278" t="s">
        <v>195</v>
      </c>
      <c r="Q1278" t="s">
        <v>47</v>
      </c>
      <c r="R1278">
        <v>152155.66</v>
      </c>
      <c r="S1278">
        <v>152155.66</v>
      </c>
      <c r="T1278">
        <v>4199319</v>
      </c>
      <c r="U1278">
        <v>6037810725</v>
      </c>
      <c r="V1278" t="s">
        <v>1144</v>
      </c>
      <c r="W1278" t="s">
        <v>49</v>
      </c>
      <c r="X1278" t="s">
        <v>200</v>
      </c>
      <c r="Y1278" t="s">
        <v>51</v>
      </c>
      <c r="Z1278">
        <v>1903</v>
      </c>
      <c r="AH1278">
        <v>0</v>
      </c>
      <c r="AI1278">
        <v>202505</v>
      </c>
      <c r="AJ1278" t="s">
        <v>86</v>
      </c>
      <c r="AK1278">
        <v>1</v>
      </c>
      <c r="AL1278">
        <v>1</v>
      </c>
      <c r="AM1278">
        <v>4199319</v>
      </c>
      <c r="AN1278">
        <v>1</v>
      </c>
      <c r="AO1278">
        <v>0</v>
      </c>
      <c r="AP1278" t="s">
        <v>3015</v>
      </c>
      <c r="AQ1278" t="s">
        <v>3012</v>
      </c>
      <c r="AR1278" t="s">
        <v>3016</v>
      </c>
      <c r="AT1278" t="s">
        <v>3017</v>
      </c>
      <c r="AU1278" t="s">
        <v>3018</v>
      </c>
    </row>
    <row r="1279" spans="1:47" x14ac:dyDescent="0.35">
      <c r="A1279">
        <v>348416</v>
      </c>
      <c r="B1279" t="s">
        <v>214</v>
      </c>
      <c r="C1279" t="s">
        <v>215</v>
      </c>
      <c r="D1279" s="2">
        <v>45806</v>
      </c>
      <c r="E1279">
        <v>53850</v>
      </c>
      <c r="F1279">
        <v>110</v>
      </c>
      <c r="G1279" t="s">
        <v>230</v>
      </c>
      <c r="H1279" t="s">
        <v>167</v>
      </c>
      <c r="I1279" t="s">
        <v>45</v>
      </c>
      <c r="K1279">
        <v>202505288019279</v>
      </c>
      <c r="L1279">
        <v>1103306288240</v>
      </c>
      <c r="M1279">
        <v>20250528</v>
      </c>
      <c r="N1279" t="s">
        <v>168</v>
      </c>
      <c r="P1279" t="s">
        <v>752</v>
      </c>
      <c r="Q1279" t="s">
        <v>47</v>
      </c>
      <c r="R1279">
        <v>35255.730000000003</v>
      </c>
      <c r="S1279">
        <v>0</v>
      </c>
      <c r="T1279">
        <v>4960705</v>
      </c>
      <c r="U1279">
        <v>8520490726</v>
      </c>
      <c r="V1279" t="s">
        <v>753</v>
      </c>
      <c r="W1279" t="s">
        <v>49</v>
      </c>
      <c r="X1279" t="s">
        <v>110</v>
      </c>
      <c r="Y1279" t="s">
        <v>51</v>
      </c>
      <c r="Z1279">
        <v>1696</v>
      </c>
      <c r="AH1279">
        <v>0</v>
      </c>
      <c r="AI1279">
        <v>202505</v>
      </c>
      <c r="AJ1279" t="s">
        <v>52</v>
      </c>
      <c r="AK1279">
        <v>0</v>
      </c>
      <c r="AL1279">
        <v>1</v>
      </c>
      <c r="AO1279">
        <v>0</v>
      </c>
      <c r="AP1279" t="s">
        <v>3026</v>
      </c>
      <c r="AQ1279" t="s">
        <v>3012</v>
      </c>
      <c r="AR1279" t="s">
        <v>3027</v>
      </c>
      <c r="AS1279" t="s">
        <v>3028</v>
      </c>
      <c r="AU1279" t="s">
        <v>3028</v>
      </c>
    </row>
    <row r="1280" spans="1:47" x14ac:dyDescent="0.35">
      <c r="A1280">
        <v>348415</v>
      </c>
      <c r="B1280" t="s">
        <v>193</v>
      </c>
      <c r="C1280" t="s">
        <v>194</v>
      </c>
      <c r="D1280" s="2">
        <v>45806</v>
      </c>
      <c r="E1280">
        <v>53850</v>
      </c>
      <c r="F1280">
        <v>287</v>
      </c>
      <c r="G1280" t="s">
        <v>707</v>
      </c>
      <c r="H1280" t="s">
        <v>167</v>
      </c>
      <c r="I1280" t="s">
        <v>45</v>
      </c>
      <c r="K1280" t="s">
        <v>1422</v>
      </c>
      <c r="L1280">
        <v>2873300001853</v>
      </c>
      <c r="M1280">
        <v>20250528</v>
      </c>
      <c r="N1280" t="s">
        <v>175</v>
      </c>
      <c r="Q1280" t="s">
        <v>47</v>
      </c>
      <c r="R1280">
        <v>60088.93</v>
      </c>
      <c r="S1280">
        <v>42565</v>
      </c>
      <c r="T1280">
        <v>3722213</v>
      </c>
      <c r="U1280">
        <v>2021570698</v>
      </c>
      <c r="V1280" t="s">
        <v>708</v>
      </c>
      <c r="W1280" t="s">
        <v>49</v>
      </c>
      <c r="X1280" t="s">
        <v>117</v>
      </c>
      <c r="Y1280" t="s">
        <v>51</v>
      </c>
      <c r="Z1280">
        <v>1877</v>
      </c>
      <c r="AH1280">
        <v>0</v>
      </c>
      <c r="AI1280">
        <v>202505</v>
      </c>
      <c r="AJ1280" t="s">
        <v>52</v>
      </c>
      <c r="AK1280">
        <v>0</v>
      </c>
      <c r="AL1280">
        <v>1</v>
      </c>
      <c r="AM1280">
        <v>3722213</v>
      </c>
      <c r="AN1280">
        <v>1</v>
      </c>
      <c r="AO1280">
        <v>1</v>
      </c>
      <c r="AP1280" t="s">
        <v>3029</v>
      </c>
      <c r="AQ1280" t="s">
        <v>3012</v>
      </c>
      <c r="AR1280" t="s">
        <v>3030</v>
      </c>
      <c r="AS1280" t="s">
        <v>3014</v>
      </c>
      <c r="AU1280" t="s">
        <v>3014</v>
      </c>
    </row>
    <row r="1281" spans="1:47" x14ac:dyDescent="0.35">
      <c r="A1281">
        <v>348414</v>
      </c>
      <c r="B1281" t="s">
        <v>172</v>
      </c>
      <c r="C1281" t="s">
        <v>173</v>
      </c>
      <c r="D1281" s="2">
        <v>45806</v>
      </c>
      <c r="E1281">
        <v>53850</v>
      </c>
      <c r="F1281">
        <v>171</v>
      </c>
      <c r="G1281" t="s">
        <v>198</v>
      </c>
      <c r="H1281" t="s">
        <v>167</v>
      </c>
      <c r="I1281" t="s">
        <v>45</v>
      </c>
      <c r="K1281" t="s">
        <v>1422</v>
      </c>
      <c r="L1281">
        <v>1713305728950</v>
      </c>
      <c r="M1281">
        <v>20250528</v>
      </c>
      <c r="N1281" t="s">
        <v>195</v>
      </c>
      <c r="Q1281" t="s">
        <v>47</v>
      </c>
      <c r="R1281">
        <v>382821.7</v>
      </c>
      <c r="S1281">
        <v>382821.7</v>
      </c>
      <c r="T1281">
        <v>572895</v>
      </c>
      <c r="U1281">
        <v>4161600723</v>
      </c>
      <c r="V1281" t="s">
        <v>199</v>
      </c>
      <c r="W1281" t="s">
        <v>49</v>
      </c>
      <c r="X1281" t="s">
        <v>200</v>
      </c>
      <c r="Y1281" t="s">
        <v>51</v>
      </c>
      <c r="Z1281">
        <v>1903</v>
      </c>
      <c r="AH1281">
        <v>0</v>
      </c>
      <c r="AI1281">
        <v>202505</v>
      </c>
      <c r="AJ1281" t="s">
        <v>86</v>
      </c>
      <c r="AK1281">
        <v>1</v>
      </c>
      <c r="AL1281">
        <v>1</v>
      </c>
      <c r="AM1281">
        <v>572895</v>
      </c>
      <c r="AN1281">
        <v>1</v>
      </c>
      <c r="AO1281">
        <v>0</v>
      </c>
      <c r="AP1281" t="s">
        <v>3015</v>
      </c>
      <c r="AQ1281" t="s">
        <v>3012</v>
      </c>
      <c r="AR1281" t="s">
        <v>3016</v>
      </c>
      <c r="AT1281" t="s">
        <v>3017</v>
      </c>
      <c r="AU1281" t="s">
        <v>3018</v>
      </c>
    </row>
    <row r="1282" spans="1:47" x14ac:dyDescent="0.35">
      <c r="A1282">
        <v>348413</v>
      </c>
      <c r="B1282" t="s">
        <v>178</v>
      </c>
      <c r="C1282" t="s">
        <v>179</v>
      </c>
      <c r="D1282" s="2">
        <v>45806</v>
      </c>
      <c r="E1282">
        <v>53850</v>
      </c>
      <c r="F1282">
        <v>175</v>
      </c>
      <c r="G1282" t="s">
        <v>99</v>
      </c>
      <c r="H1282" t="s">
        <v>167</v>
      </c>
      <c r="I1282" t="s">
        <v>45</v>
      </c>
      <c r="K1282">
        <v>202505288018359</v>
      </c>
      <c r="L1282">
        <v>1753302205383</v>
      </c>
      <c r="M1282">
        <v>20250528</v>
      </c>
      <c r="N1282" t="s">
        <v>46</v>
      </c>
      <c r="P1282" t="s">
        <v>51</v>
      </c>
      <c r="Q1282" t="s">
        <v>47</v>
      </c>
      <c r="R1282">
        <v>309500</v>
      </c>
      <c r="S1282">
        <v>0</v>
      </c>
      <c r="T1282">
        <v>4268589</v>
      </c>
      <c r="U1282" t="s">
        <v>1347</v>
      </c>
      <c r="V1282" t="s">
        <v>1348</v>
      </c>
      <c r="W1282" t="s">
        <v>187</v>
      </c>
      <c r="Y1282" t="s">
        <v>51</v>
      </c>
      <c r="Z1282">
        <v>1093</v>
      </c>
      <c r="AH1282">
        <v>0</v>
      </c>
      <c r="AI1282">
        <v>202505</v>
      </c>
      <c r="AJ1282" t="s">
        <v>86</v>
      </c>
      <c r="AK1282">
        <v>1</v>
      </c>
      <c r="AL1282">
        <v>1</v>
      </c>
      <c r="AO1282">
        <v>0</v>
      </c>
      <c r="AP1282" t="s">
        <v>3015</v>
      </c>
      <c r="AQ1282" t="s">
        <v>3044</v>
      </c>
      <c r="AR1282" t="s">
        <v>3045</v>
      </c>
      <c r="AS1282" t="s">
        <v>3046</v>
      </c>
      <c r="AU1282" t="s">
        <v>3046</v>
      </c>
    </row>
    <row r="1283" spans="1:47" x14ac:dyDescent="0.35">
      <c r="A1283">
        <v>348412</v>
      </c>
      <c r="B1283" t="s">
        <v>172</v>
      </c>
      <c r="C1283" t="s">
        <v>173</v>
      </c>
      <c r="D1283" s="2">
        <v>45806</v>
      </c>
      <c r="E1283">
        <v>53850</v>
      </c>
      <c r="F1283">
        <v>116</v>
      </c>
      <c r="G1283" t="s">
        <v>126</v>
      </c>
      <c r="H1283" t="s">
        <v>167</v>
      </c>
      <c r="I1283" t="s">
        <v>45</v>
      </c>
      <c r="K1283">
        <v>202505288019941</v>
      </c>
      <c r="L1283">
        <v>2343300010453</v>
      </c>
      <c r="M1283">
        <v>20250528</v>
      </c>
      <c r="N1283" t="s">
        <v>195</v>
      </c>
      <c r="Q1283" t="s">
        <v>47</v>
      </c>
      <c r="R1283">
        <v>150161.29999999999</v>
      </c>
      <c r="S1283">
        <v>150161.29999999999</v>
      </c>
      <c r="T1283">
        <v>4247777</v>
      </c>
      <c r="U1283">
        <v>233470236</v>
      </c>
      <c r="V1283" t="s">
        <v>206</v>
      </c>
      <c r="W1283" t="s">
        <v>49</v>
      </c>
      <c r="X1283" t="s">
        <v>117</v>
      </c>
      <c r="Y1283" t="s">
        <v>51</v>
      </c>
      <c r="Z1283">
        <v>1696</v>
      </c>
      <c r="AH1283">
        <v>0</v>
      </c>
      <c r="AI1283">
        <v>202505</v>
      </c>
      <c r="AJ1283" t="s">
        <v>114</v>
      </c>
      <c r="AK1283">
        <v>1</v>
      </c>
      <c r="AL1283">
        <v>1</v>
      </c>
      <c r="AM1283">
        <v>4247777</v>
      </c>
      <c r="AN1283">
        <v>1</v>
      </c>
      <c r="AO1283">
        <v>0</v>
      </c>
      <c r="AP1283" t="s">
        <v>3029</v>
      </c>
      <c r="AQ1283" t="s">
        <v>3012</v>
      </c>
      <c r="AR1283" t="s">
        <v>3030</v>
      </c>
      <c r="AS1283" t="s">
        <v>3014</v>
      </c>
      <c r="AU1283" t="s">
        <v>3014</v>
      </c>
    </row>
    <row r="1284" spans="1:47" x14ac:dyDescent="0.35">
      <c r="A1284">
        <v>348411</v>
      </c>
      <c r="B1284" t="s">
        <v>164</v>
      </c>
      <c r="C1284" t="s">
        <v>165</v>
      </c>
      <c r="D1284" s="2">
        <v>45806</v>
      </c>
      <c r="E1284">
        <v>53850</v>
      </c>
      <c r="F1284">
        <v>128</v>
      </c>
      <c r="G1284" t="s">
        <v>94</v>
      </c>
      <c r="H1284" t="s">
        <v>167</v>
      </c>
      <c r="I1284" t="s">
        <v>45</v>
      </c>
      <c r="K1284">
        <v>202505288019284</v>
      </c>
      <c r="L1284">
        <v>1283300002423</v>
      </c>
      <c r="M1284">
        <v>20250528</v>
      </c>
      <c r="N1284" t="s">
        <v>168</v>
      </c>
      <c r="P1284" t="s">
        <v>435</v>
      </c>
      <c r="Q1284" t="s">
        <v>47</v>
      </c>
      <c r="R1284">
        <v>13128.9</v>
      </c>
      <c r="S1284">
        <v>0</v>
      </c>
      <c r="T1284">
        <v>4582488</v>
      </c>
      <c r="U1284" t="s">
        <v>571</v>
      </c>
      <c r="V1284" t="s">
        <v>572</v>
      </c>
      <c r="W1284" t="s">
        <v>187</v>
      </c>
      <c r="Y1284" t="s">
        <v>51</v>
      </c>
      <c r="Z1284">
        <v>726</v>
      </c>
      <c r="AH1284">
        <v>0</v>
      </c>
      <c r="AI1284">
        <v>202505</v>
      </c>
      <c r="AJ1284" t="s">
        <v>114</v>
      </c>
      <c r="AK1284">
        <v>1</v>
      </c>
      <c r="AL1284">
        <v>1</v>
      </c>
      <c r="AO1284">
        <v>0</v>
      </c>
      <c r="AP1284" t="s">
        <v>3015</v>
      </c>
      <c r="AQ1284" t="s">
        <v>3044</v>
      </c>
      <c r="AR1284" t="s">
        <v>3045</v>
      </c>
      <c r="AS1284" t="s">
        <v>3046</v>
      </c>
      <c r="AU1284" t="s">
        <v>3046</v>
      </c>
    </row>
    <row r="1285" spans="1:47" x14ac:dyDescent="0.35">
      <c r="A1285">
        <v>348410</v>
      </c>
      <c r="B1285" t="s">
        <v>193</v>
      </c>
      <c r="C1285" t="s">
        <v>194</v>
      </c>
      <c r="D1285" s="2">
        <v>45806</v>
      </c>
      <c r="E1285">
        <v>53850</v>
      </c>
      <c r="F1285">
        <v>102</v>
      </c>
      <c r="G1285" t="s">
        <v>151</v>
      </c>
      <c r="H1285" t="s">
        <v>167</v>
      </c>
      <c r="I1285" t="s">
        <v>45</v>
      </c>
      <c r="K1285">
        <v>202505288019617</v>
      </c>
      <c r="L1285">
        <v>1023308722503</v>
      </c>
      <c r="M1285">
        <v>20250528</v>
      </c>
      <c r="N1285" t="s">
        <v>195</v>
      </c>
      <c r="Q1285" t="s">
        <v>47</v>
      </c>
      <c r="R1285">
        <v>37020</v>
      </c>
      <c r="S1285">
        <v>37020</v>
      </c>
      <c r="T1285">
        <v>413650</v>
      </c>
      <c r="U1285">
        <v>3657230722</v>
      </c>
      <c r="V1285" t="s">
        <v>196</v>
      </c>
      <c r="W1285" t="s">
        <v>190</v>
      </c>
      <c r="X1285" t="s">
        <v>197</v>
      </c>
      <c r="Y1285" t="s">
        <v>51</v>
      </c>
      <c r="Z1285">
        <v>1306</v>
      </c>
      <c r="AH1285">
        <v>0</v>
      </c>
      <c r="AI1285">
        <v>202505</v>
      </c>
      <c r="AJ1285" t="s">
        <v>56</v>
      </c>
      <c r="AK1285">
        <v>0</v>
      </c>
      <c r="AL1285">
        <v>1</v>
      </c>
      <c r="AM1285">
        <v>413650</v>
      </c>
      <c r="AN1285">
        <v>1</v>
      </c>
      <c r="AO1285">
        <v>0</v>
      </c>
      <c r="AP1285" t="s">
        <v>3050</v>
      </c>
      <c r="AQ1285" t="s">
        <v>3047</v>
      </c>
      <c r="AR1285" t="s">
        <v>3051</v>
      </c>
      <c r="AS1285" t="s">
        <v>3049</v>
      </c>
      <c r="AU1285" t="s">
        <v>3049</v>
      </c>
    </row>
    <row r="1286" spans="1:47" x14ac:dyDescent="0.35">
      <c r="A1286">
        <v>348409</v>
      </c>
      <c r="B1286" t="s">
        <v>178</v>
      </c>
      <c r="C1286" t="s">
        <v>179</v>
      </c>
      <c r="D1286" s="2">
        <v>45805</v>
      </c>
      <c r="E1286">
        <v>53850</v>
      </c>
      <c r="F1286">
        <v>171</v>
      </c>
      <c r="G1286" t="s">
        <v>198</v>
      </c>
      <c r="H1286" t="s">
        <v>167</v>
      </c>
      <c r="I1286" t="s">
        <v>45</v>
      </c>
      <c r="K1286">
        <v>202505288016300</v>
      </c>
      <c r="L1286">
        <v>1713302214622</v>
      </c>
      <c r="M1286">
        <v>20250528</v>
      </c>
      <c r="N1286" t="s">
        <v>921</v>
      </c>
      <c r="Q1286" t="s">
        <v>170</v>
      </c>
      <c r="R1286">
        <v>350000</v>
      </c>
      <c r="S1286">
        <v>0</v>
      </c>
      <c r="T1286">
        <v>4253879</v>
      </c>
      <c r="U1286" t="s">
        <v>1447</v>
      </c>
      <c r="V1286" t="s">
        <v>1448</v>
      </c>
      <c r="W1286" t="s">
        <v>187</v>
      </c>
      <c r="Y1286" t="s">
        <v>51</v>
      </c>
      <c r="Z1286">
        <v>815</v>
      </c>
      <c r="AH1286">
        <v>0</v>
      </c>
      <c r="AI1286">
        <v>202505</v>
      </c>
      <c r="AJ1286" t="s">
        <v>52</v>
      </c>
      <c r="AK1286">
        <v>0</v>
      </c>
      <c r="AL1286">
        <v>1</v>
      </c>
      <c r="AO1286">
        <v>0</v>
      </c>
      <c r="AP1286" t="s">
        <v>3015</v>
      </c>
      <c r="AQ1286" t="s">
        <v>3044</v>
      </c>
      <c r="AR1286" t="s">
        <v>3045</v>
      </c>
      <c r="AS1286" t="s">
        <v>3046</v>
      </c>
      <c r="AU1286" t="s">
        <v>3046</v>
      </c>
    </row>
    <row r="1287" spans="1:47" x14ac:dyDescent="0.35">
      <c r="A1287">
        <v>348408</v>
      </c>
      <c r="B1287" t="s">
        <v>178</v>
      </c>
      <c r="C1287" t="s">
        <v>179</v>
      </c>
      <c r="D1287" s="2">
        <v>45805</v>
      </c>
      <c r="E1287">
        <v>53850</v>
      </c>
      <c r="F1287">
        <v>103</v>
      </c>
      <c r="G1287" t="s">
        <v>80</v>
      </c>
      <c r="H1287" t="s">
        <v>167</v>
      </c>
      <c r="I1287" t="s">
        <v>45</v>
      </c>
      <c r="K1287">
        <v>202505288016347</v>
      </c>
      <c r="L1287">
        <v>1033306970929</v>
      </c>
      <c r="M1287">
        <v>20250528</v>
      </c>
      <c r="N1287" t="s">
        <v>303</v>
      </c>
      <c r="Q1287" t="s">
        <v>170</v>
      </c>
      <c r="R1287">
        <v>1706698.81</v>
      </c>
      <c r="S1287">
        <v>0</v>
      </c>
      <c r="T1287">
        <v>507387</v>
      </c>
      <c r="U1287" t="s">
        <v>1449</v>
      </c>
      <c r="V1287" t="s">
        <v>1450</v>
      </c>
      <c r="W1287" t="s">
        <v>187</v>
      </c>
      <c r="Y1287" t="s">
        <v>51</v>
      </c>
      <c r="Z1287">
        <v>1316</v>
      </c>
      <c r="AH1287">
        <v>0</v>
      </c>
      <c r="AI1287">
        <v>202505</v>
      </c>
      <c r="AJ1287" t="s">
        <v>86</v>
      </c>
      <c r="AK1287">
        <v>1</v>
      </c>
      <c r="AL1287">
        <v>1</v>
      </c>
      <c r="AO1287">
        <v>0</v>
      </c>
      <c r="AP1287" t="s">
        <v>3015</v>
      </c>
      <c r="AQ1287" t="s">
        <v>3044</v>
      </c>
      <c r="AR1287" t="s">
        <v>3045</v>
      </c>
      <c r="AS1287" t="s">
        <v>3046</v>
      </c>
      <c r="AU1287" t="s">
        <v>3046</v>
      </c>
    </row>
    <row r="1288" spans="1:47" x14ac:dyDescent="0.35">
      <c r="A1288">
        <v>348407</v>
      </c>
      <c r="B1288" t="s">
        <v>178</v>
      </c>
      <c r="C1288" t="s">
        <v>179</v>
      </c>
      <c r="D1288" s="2">
        <v>45805</v>
      </c>
      <c r="E1288">
        <v>53850</v>
      </c>
      <c r="F1288">
        <v>190</v>
      </c>
      <c r="G1288" t="s">
        <v>145</v>
      </c>
      <c r="H1288" t="s">
        <v>167</v>
      </c>
      <c r="I1288" t="s">
        <v>45</v>
      </c>
      <c r="K1288">
        <v>202505288016311</v>
      </c>
      <c r="L1288">
        <v>1903300015028</v>
      </c>
      <c r="M1288">
        <v>20250528</v>
      </c>
      <c r="N1288" t="s">
        <v>921</v>
      </c>
      <c r="Q1288" t="s">
        <v>170</v>
      </c>
      <c r="R1288">
        <v>500000</v>
      </c>
      <c r="S1288">
        <v>0</v>
      </c>
      <c r="T1288">
        <v>3018135</v>
      </c>
      <c r="U1288" t="s">
        <v>1327</v>
      </c>
      <c r="V1288" t="s">
        <v>1328</v>
      </c>
      <c r="W1288" t="s">
        <v>69</v>
      </c>
      <c r="X1288" t="s">
        <v>234</v>
      </c>
      <c r="Y1288" t="s">
        <v>51</v>
      </c>
      <c r="Z1288">
        <v>828</v>
      </c>
      <c r="AH1288">
        <v>0</v>
      </c>
      <c r="AI1288">
        <v>202505</v>
      </c>
      <c r="AJ1288" t="s">
        <v>86</v>
      </c>
      <c r="AK1288">
        <v>1</v>
      </c>
      <c r="AL1288">
        <v>1</v>
      </c>
      <c r="AO1288">
        <v>0</v>
      </c>
      <c r="AP1288" t="s">
        <v>3015</v>
      </c>
      <c r="AQ1288" t="s">
        <v>3021</v>
      </c>
      <c r="AR1288" t="s">
        <v>3022</v>
      </c>
      <c r="AT1288" t="s">
        <v>3017</v>
      </c>
      <c r="AU1288" t="s">
        <v>3014</v>
      </c>
    </row>
    <row r="1289" spans="1:47" x14ac:dyDescent="0.35">
      <c r="A1289">
        <v>348406</v>
      </c>
      <c r="B1289" t="s">
        <v>178</v>
      </c>
      <c r="C1289" t="s">
        <v>179</v>
      </c>
      <c r="D1289" s="2">
        <v>45805</v>
      </c>
      <c r="E1289">
        <v>53850</v>
      </c>
      <c r="F1289">
        <v>103</v>
      </c>
      <c r="G1289" t="s">
        <v>80</v>
      </c>
      <c r="H1289" t="s">
        <v>167</v>
      </c>
      <c r="I1289" t="s">
        <v>45</v>
      </c>
      <c r="K1289">
        <v>202505288016347</v>
      </c>
      <c r="L1289">
        <v>1033306970929</v>
      </c>
      <c r="M1289">
        <v>20250528</v>
      </c>
      <c r="N1289" t="s">
        <v>303</v>
      </c>
      <c r="Q1289" t="s">
        <v>170</v>
      </c>
      <c r="R1289">
        <v>1706698.81</v>
      </c>
      <c r="S1289">
        <v>0</v>
      </c>
      <c r="T1289">
        <v>44313</v>
      </c>
      <c r="U1289" t="s">
        <v>1451</v>
      </c>
      <c r="V1289" t="s">
        <v>1452</v>
      </c>
      <c r="W1289" t="s">
        <v>187</v>
      </c>
      <c r="Y1289" t="s">
        <v>51</v>
      </c>
      <c r="AH1289">
        <v>0</v>
      </c>
      <c r="AI1289">
        <v>202505</v>
      </c>
      <c r="AJ1289" t="s">
        <v>86</v>
      </c>
      <c r="AK1289">
        <v>1</v>
      </c>
      <c r="AL1289">
        <v>1</v>
      </c>
      <c r="AO1289">
        <v>0</v>
      </c>
      <c r="AP1289" t="s">
        <v>3015</v>
      </c>
      <c r="AQ1289" t="s">
        <v>3044</v>
      </c>
      <c r="AR1289" t="s">
        <v>3045</v>
      </c>
      <c r="AS1289" t="s">
        <v>3046</v>
      </c>
      <c r="AU1289" t="s">
        <v>3046</v>
      </c>
    </row>
    <row r="1290" spans="1:47" x14ac:dyDescent="0.35">
      <c r="A1290">
        <v>348405</v>
      </c>
      <c r="B1290" t="s">
        <v>178</v>
      </c>
      <c r="C1290" t="s">
        <v>179</v>
      </c>
      <c r="D1290" s="2">
        <v>45805</v>
      </c>
      <c r="E1290">
        <v>53850</v>
      </c>
      <c r="F1290">
        <v>190</v>
      </c>
      <c r="G1290" t="s">
        <v>145</v>
      </c>
      <c r="H1290" t="s">
        <v>167</v>
      </c>
      <c r="I1290" t="s">
        <v>45</v>
      </c>
      <c r="K1290">
        <v>202505288016311</v>
      </c>
      <c r="L1290">
        <v>1903300015028</v>
      </c>
      <c r="M1290">
        <v>20250528</v>
      </c>
      <c r="N1290" t="s">
        <v>921</v>
      </c>
      <c r="Q1290" t="s">
        <v>170</v>
      </c>
      <c r="R1290">
        <v>500000</v>
      </c>
      <c r="S1290">
        <v>0</v>
      </c>
      <c r="T1290">
        <v>3018136</v>
      </c>
      <c r="U1290" t="s">
        <v>1453</v>
      </c>
      <c r="V1290" t="s">
        <v>1454</v>
      </c>
      <c r="W1290" t="s">
        <v>187</v>
      </c>
      <c r="Y1290" t="s">
        <v>51</v>
      </c>
      <c r="Z1290">
        <v>828</v>
      </c>
      <c r="AH1290">
        <v>0</v>
      </c>
      <c r="AI1290">
        <v>202505</v>
      </c>
      <c r="AJ1290" t="s">
        <v>86</v>
      </c>
      <c r="AK1290">
        <v>1</v>
      </c>
      <c r="AL1290">
        <v>1</v>
      </c>
      <c r="AO1290">
        <v>0</v>
      </c>
      <c r="AP1290" t="s">
        <v>3015</v>
      </c>
      <c r="AQ1290" t="s">
        <v>3044</v>
      </c>
      <c r="AR1290" t="s">
        <v>3045</v>
      </c>
      <c r="AS1290" t="s">
        <v>3046</v>
      </c>
      <c r="AU1290" t="s">
        <v>3046</v>
      </c>
    </row>
    <row r="1291" spans="1:47" x14ac:dyDescent="0.35">
      <c r="A1291">
        <v>348404</v>
      </c>
      <c r="B1291" t="s">
        <v>178</v>
      </c>
      <c r="C1291" t="s">
        <v>179</v>
      </c>
      <c r="D1291" s="2">
        <v>45805</v>
      </c>
      <c r="E1291">
        <v>53850</v>
      </c>
      <c r="F1291">
        <v>103</v>
      </c>
      <c r="G1291" t="s">
        <v>80</v>
      </c>
      <c r="H1291" t="s">
        <v>167</v>
      </c>
      <c r="I1291" t="s">
        <v>45</v>
      </c>
      <c r="K1291">
        <v>202505288016347</v>
      </c>
      <c r="L1291">
        <v>1033306970929</v>
      </c>
      <c r="M1291">
        <v>20250528</v>
      </c>
      <c r="N1291" t="s">
        <v>303</v>
      </c>
      <c r="Q1291" t="s">
        <v>170</v>
      </c>
      <c r="R1291">
        <v>1706698.81</v>
      </c>
      <c r="S1291">
        <v>0</v>
      </c>
      <c r="T1291">
        <v>8893</v>
      </c>
      <c r="U1291" t="s">
        <v>1455</v>
      </c>
      <c r="V1291" t="s">
        <v>1456</v>
      </c>
      <c r="W1291" t="s">
        <v>187</v>
      </c>
      <c r="Y1291" t="s">
        <v>51</v>
      </c>
      <c r="AH1291">
        <v>0</v>
      </c>
      <c r="AI1291">
        <v>202505</v>
      </c>
      <c r="AJ1291" t="s">
        <v>86</v>
      </c>
      <c r="AK1291">
        <v>1</v>
      </c>
      <c r="AL1291">
        <v>1</v>
      </c>
      <c r="AO1291">
        <v>0</v>
      </c>
      <c r="AP1291" t="s">
        <v>3015</v>
      </c>
      <c r="AQ1291" t="s">
        <v>3044</v>
      </c>
      <c r="AR1291" t="s">
        <v>3045</v>
      </c>
      <c r="AS1291" t="s">
        <v>3046</v>
      </c>
      <c r="AU1291" t="s">
        <v>3046</v>
      </c>
    </row>
    <row r="1292" spans="1:47" x14ac:dyDescent="0.35">
      <c r="A1292">
        <v>348403</v>
      </c>
      <c r="B1292" t="s">
        <v>178</v>
      </c>
      <c r="C1292" t="s">
        <v>179</v>
      </c>
      <c r="D1292" s="2">
        <v>45805</v>
      </c>
      <c r="E1292">
        <v>53850</v>
      </c>
      <c r="F1292">
        <v>105</v>
      </c>
      <c r="G1292" t="s">
        <v>60</v>
      </c>
      <c r="H1292" t="s">
        <v>167</v>
      </c>
      <c r="I1292" t="s">
        <v>45</v>
      </c>
      <c r="K1292">
        <v>202505278017088</v>
      </c>
      <c r="L1292">
        <v>1053300516650</v>
      </c>
      <c r="M1292">
        <v>20250527</v>
      </c>
      <c r="N1292" t="s">
        <v>1002</v>
      </c>
      <c r="Q1292" t="s">
        <v>47</v>
      </c>
      <c r="R1292">
        <v>225000</v>
      </c>
      <c r="S1292">
        <v>0</v>
      </c>
      <c r="T1292">
        <v>51665</v>
      </c>
      <c r="U1292" t="s">
        <v>1457</v>
      </c>
      <c r="V1292" t="s">
        <v>1458</v>
      </c>
      <c r="W1292" t="s">
        <v>187</v>
      </c>
      <c r="Y1292" t="s">
        <v>51</v>
      </c>
      <c r="Z1292">
        <v>1471</v>
      </c>
      <c r="AH1292">
        <v>0</v>
      </c>
      <c r="AI1292">
        <v>202505</v>
      </c>
      <c r="AJ1292" t="s">
        <v>56</v>
      </c>
      <c r="AK1292">
        <v>0</v>
      </c>
      <c r="AL1292">
        <v>1</v>
      </c>
      <c r="AO1292">
        <v>0</v>
      </c>
      <c r="AP1292" t="s">
        <v>3015</v>
      </c>
      <c r="AQ1292" t="s">
        <v>3044</v>
      </c>
      <c r="AR1292" t="s">
        <v>3045</v>
      </c>
      <c r="AS1292" t="s">
        <v>3046</v>
      </c>
      <c r="AU1292" t="s">
        <v>3046</v>
      </c>
    </row>
    <row r="1293" spans="1:47" x14ac:dyDescent="0.35">
      <c r="A1293">
        <v>348402</v>
      </c>
      <c r="B1293" t="s">
        <v>178</v>
      </c>
      <c r="C1293" t="s">
        <v>179</v>
      </c>
      <c r="D1293" s="2">
        <v>45805</v>
      </c>
      <c r="E1293">
        <v>53850</v>
      </c>
      <c r="F1293">
        <v>110</v>
      </c>
      <c r="G1293" t="s">
        <v>230</v>
      </c>
      <c r="H1293" t="s">
        <v>167</v>
      </c>
      <c r="I1293" t="s">
        <v>45</v>
      </c>
      <c r="K1293">
        <v>202505278015854</v>
      </c>
      <c r="L1293">
        <v>1103306286918</v>
      </c>
      <c r="M1293">
        <v>20250527</v>
      </c>
      <c r="N1293" t="s">
        <v>46</v>
      </c>
      <c r="P1293" t="s">
        <v>51</v>
      </c>
      <c r="Q1293" t="s">
        <v>47</v>
      </c>
      <c r="R1293">
        <v>377927.89</v>
      </c>
      <c r="S1293">
        <v>0</v>
      </c>
      <c r="T1293">
        <v>469616</v>
      </c>
      <c r="U1293" t="s">
        <v>1459</v>
      </c>
      <c r="V1293" t="s">
        <v>1460</v>
      </c>
      <c r="W1293" t="s">
        <v>187</v>
      </c>
      <c r="Y1293" t="s">
        <v>51</v>
      </c>
      <c r="Z1293">
        <v>458</v>
      </c>
      <c r="AH1293">
        <v>0</v>
      </c>
      <c r="AI1293">
        <v>202505</v>
      </c>
      <c r="AJ1293" t="s">
        <v>52</v>
      </c>
      <c r="AK1293">
        <v>0</v>
      </c>
      <c r="AL1293">
        <v>1</v>
      </c>
      <c r="AO1293">
        <v>0</v>
      </c>
      <c r="AP1293" t="s">
        <v>3015</v>
      </c>
      <c r="AQ1293" t="s">
        <v>3044</v>
      </c>
      <c r="AR1293" t="s">
        <v>3045</v>
      </c>
      <c r="AS1293" t="s">
        <v>3046</v>
      </c>
      <c r="AU1293" t="s">
        <v>3046</v>
      </c>
    </row>
    <row r="1294" spans="1:47" x14ac:dyDescent="0.35">
      <c r="A1294">
        <v>348401</v>
      </c>
      <c r="B1294" t="s">
        <v>172</v>
      </c>
      <c r="C1294" t="s">
        <v>173</v>
      </c>
      <c r="D1294" s="2">
        <v>45805</v>
      </c>
      <c r="E1294">
        <v>53850</v>
      </c>
      <c r="F1294">
        <v>108</v>
      </c>
      <c r="G1294" t="s">
        <v>124</v>
      </c>
      <c r="H1294" t="s">
        <v>167</v>
      </c>
      <c r="I1294" t="s">
        <v>45</v>
      </c>
      <c r="K1294" t="s">
        <v>1461</v>
      </c>
      <c r="L1294">
        <v>1083306291105</v>
      </c>
      <c r="M1294">
        <v>20250527</v>
      </c>
      <c r="N1294" t="s">
        <v>175</v>
      </c>
      <c r="Q1294" t="s">
        <v>47</v>
      </c>
      <c r="R1294">
        <v>146073.12</v>
      </c>
      <c r="S1294">
        <v>117952.05</v>
      </c>
      <c r="T1294">
        <v>4227057</v>
      </c>
      <c r="U1294">
        <v>4874620729</v>
      </c>
      <c r="V1294" t="s">
        <v>250</v>
      </c>
      <c r="W1294" t="s">
        <v>49</v>
      </c>
      <c r="X1294" t="s">
        <v>62</v>
      </c>
      <c r="Y1294" t="s">
        <v>51</v>
      </c>
      <c r="Z1294">
        <v>1058</v>
      </c>
      <c r="AH1294">
        <v>0</v>
      </c>
      <c r="AI1294">
        <v>202505</v>
      </c>
      <c r="AJ1294" t="s">
        <v>56</v>
      </c>
      <c r="AK1294">
        <v>0</v>
      </c>
      <c r="AL1294">
        <v>1</v>
      </c>
      <c r="AM1294">
        <v>4227057</v>
      </c>
      <c r="AN1294">
        <v>1</v>
      </c>
      <c r="AO1294">
        <v>1</v>
      </c>
      <c r="AP1294" t="s">
        <v>3015</v>
      </c>
      <c r="AQ1294" t="s">
        <v>3012</v>
      </c>
      <c r="AR1294" t="s">
        <v>3016</v>
      </c>
      <c r="AT1294" t="s">
        <v>3017</v>
      </c>
      <c r="AU1294" t="s">
        <v>3018</v>
      </c>
    </row>
    <row r="1295" spans="1:47" x14ac:dyDescent="0.35">
      <c r="A1295">
        <v>348400</v>
      </c>
      <c r="B1295" t="s">
        <v>164</v>
      </c>
      <c r="C1295" t="s">
        <v>165</v>
      </c>
      <c r="D1295" s="2">
        <v>45805</v>
      </c>
      <c r="E1295">
        <v>53850</v>
      </c>
      <c r="F1295">
        <v>200</v>
      </c>
      <c r="G1295" t="s">
        <v>858</v>
      </c>
      <c r="H1295" t="s">
        <v>167</v>
      </c>
      <c r="I1295" t="s">
        <v>45</v>
      </c>
      <c r="K1295">
        <v>202505278016245</v>
      </c>
      <c r="L1295">
        <v>2003300003730</v>
      </c>
      <c r="M1295">
        <v>20250527</v>
      </c>
      <c r="N1295" t="s">
        <v>168</v>
      </c>
      <c r="P1295" t="s">
        <v>435</v>
      </c>
      <c r="Q1295" t="s">
        <v>170</v>
      </c>
      <c r="R1295">
        <v>35000</v>
      </c>
      <c r="S1295">
        <v>0</v>
      </c>
      <c r="T1295">
        <v>3731305</v>
      </c>
      <c r="U1295" t="s">
        <v>859</v>
      </c>
      <c r="V1295" t="s">
        <v>860</v>
      </c>
      <c r="W1295" t="s">
        <v>187</v>
      </c>
      <c r="Y1295" t="s">
        <v>51</v>
      </c>
      <c r="Z1295">
        <v>1837</v>
      </c>
      <c r="AH1295">
        <v>0</v>
      </c>
      <c r="AI1295">
        <v>202505</v>
      </c>
      <c r="AJ1295" t="s">
        <v>56</v>
      </c>
      <c r="AK1295">
        <v>0</v>
      </c>
      <c r="AL1295">
        <v>1</v>
      </c>
      <c r="AO1295">
        <v>0</v>
      </c>
      <c r="AP1295" t="s">
        <v>3015</v>
      </c>
      <c r="AQ1295" t="s">
        <v>3044</v>
      </c>
      <c r="AR1295" t="s">
        <v>3045</v>
      </c>
      <c r="AS1295" t="s">
        <v>3046</v>
      </c>
      <c r="AU1295" t="s">
        <v>3046</v>
      </c>
    </row>
    <row r="1296" spans="1:47" x14ac:dyDescent="0.35">
      <c r="A1296">
        <v>348399</v>
      </c>
      <c r="B1296" t="s">
        <v>193</v>
      </c>
      <c r="C1296" t="s">
        <v>194</v>
      </c>
      <c r="D1296" s="2">
        <v>45805</v>
      </c>
      <c r="E1296">
        <v>53850</v>
      </c>
      <c r="F1296">
        <v>161</v>
      </c>
      <c r="G1296" t="s">
        <v>111</v>
      </c>
      <c r="H1296" t="s">
        <v>167</v>
      </c>
      <c r="I1296" t="s">
        <v>45</v>
      </c>
      <c r="K1296" t="s">
        <v>1461</v>
      </c>
      <c r="L1296">
        <v>1613300031333</v>
      </c>
      <c r="M1296">
        <v>20250527</v>
      </c>
      <c r="N1296" t="s">
        <v>175</v>
      </c>
      <c r="Q1296" t="s">
        <v>47</v>
      </c>
      <c r="R1296">
        <v>41503.85</v>
      </c>
      <c r="S1296">
        <v>36730</v>
      </c>
      <c r="T1296">
        <v>511904</v>
      </c>
      <c r="U1296" t="s">
        <v>388</v>
      </c>
      <c r="V1296" t="s">
        <v>389</v>
      </c>
      <c r="W1296" t="s">
        <v>69</v>
      </c>
      <c r="X1296" t="s">
        <v>55</v>
      </c>
      <c r="Y1296" t="s">
        <v>51</v>
      </c>
      <c r="Z1296">
        <v>857</v>
      </c>
      <c r="AH1296">
        <v>0</v>
      </c>
      <c r="AI1296">
        <v>202505</v>
      </c>
      <c r="AJ1296" t="s">
        <v>56</v>
      </c>
      <c r="AK1296">
        <v>0</v>
      </c>
      <c r="AL1296">
        <v>1</v>
      </c>
      <c r="AM1296">
        <v>511904</v>
      </c>
      <c r="AN1296">
        <v>1</v>
      </c>
      <c r="AO1296">
        <v>1</v>
      </c>
      <c r="AP1296" t="s">
        <v>3015</v>
      </c>
      <c r="AQ1296" t="s">
        <v>3021</v>
      </c>
      <c r="AR1296" t="s">
        <v>3022</v>
      </c>
      <c r="AT1296" t="s">
        <v>3017</v>
      </c>
      <c r="AU1296" t="s">
        <v>3014</v>
      </c>
    </row>
    <row r="1297" spans="1:47" x14ac:dyDescent="0.35">
      <c r="A1297">
        <v>348398</v>
      </c>
      <c r="B1297" t="s">
        <v>178</v>
      </c>
      <c r="C1297" t="s">
        <v>179</v>
      </c>
      <c r="D1297" s="2">
        <v>45805</v>
      </c>
      <c r="E1297">
        <v>53850</v>
      </c>
      <c r="F1297">
        <v>118</v>
      </c>
      <c r="G1297" t="s">
        <v>254</v>
      </c>
      <c r="H1297" t="s">
        <v>167</v>
      </c>
      <c r="I1297" t="s">
        <v>45</v>
      </c>
      <c r="K1297">
        <v>202505278017157</v>
      </c>
      <c r="L1297">
        <v>1183306280319</v>
      </c>
      <c r="M1297">
        <v>20250527</v>
      </c>
      <c r="N1297" t="s">
        <v>3136</v>
      </c>
      <c r="Q1297" t="s">
        <v>170</v>
      </c>
      <c r="R1297">
        <v>21441.7</v>
      </c>
      <c r="S1297">
        <v>0</v>
      </c>
      <c r="T1297">
        <v>518647</v>
      </c>
      <c r="U1297" t="s">
        <v>1462</v>
      </c>
      <c r="V1297" t="s">
        <v>1463</v>
      </c>
      <c r="W1297" t="s">
        <v>187</v>
      </c>
      <c r="Y1297" t="s">
        <v>51</v>
      </c>
      <c r="Z1297">
        <v>724</v>
      </c>
      <c r="AH1297">
        <v>0</v>
      </c>
      <c r="AI1297">
        <v>202505</v>
      </c>
      <c r="AJ1297" t="s">
        <v>86</v>
      </c>
      <c r="AK1297">
        <v>1</v>
      </c>
      <c r="AL1297">
        <v>1</v>
      </c>
      <c r="AO1297">
        <v>1</v>
      </c>
      <c r="AP1297" t="s">
        <v>3015</v>
      </c>
      <c r="AQ1297" t="s">
        <v>3044</v>
      </c>
      <c r="AR1297" t="s">
        <v>3045</v>
      </c>
      <c r="AS1297" t="s">
        <v>3046</v>
      </c>
      <c r="AU1297" t="s">
        <v>3046</v>
      </c>
    </row>
    <row r="1298" spans="1:47" x14ac:dyDescent="0.35">
      <c r="A1298">
        <v>348397</v>
      </c>
      <c r="B1298" t="s">
        <v>178</v>
      </c>
      <c r="C1298" t="s">
        <v>179</v>
      </c>
      <c r="D1298" s="2">
        <v>45805</v>
      </c>
      <c r="E1298">
        <v>53850</v>
      </c>
      <c r="F1298">
        <v>273</v>
      </c>
      <c r="G1298" t="s">
        <v>133</v>
      </c>
      <c r="H1298" t="s">
        <v>167</v>
      </c>
      <c r="I1298" t="s">
        <v>45</v>
      </c>
      <c r="K1298">
        <v>202505278017459</v>
      </c>
      <c r="L1298">
        <v>2733300010399</v>
      </c>
      <c r="M1298">
        <v>20250527</v>
      </c>
      <c r="N1298" t="s">
        <v>236</v>
      </c>
      <c r="P1298" t="s">
        <v>51</v>
      </c>
      <c r="Q1298" t="s">
        <v>170</v>
      </c>
      <c r="R1298">
        <v>675717.72</v>
      </c>
      <c r="S1298">
        <v>0</v>
      </c>
      <c r="T1298">
        <v>4994923</v>
      </c>
      <c r="U1298">
        <v>2753720693</v>
      </c>
      <c r="V1298" t="s">
        <v>1464</v>
      </c>
      <c r="W1298" t="s">
        <v>49</v>
      </c>
      <c r="X1298" t="s">
        <v>364</v>
      </c>
      <c r="Y1298" t="s">
        <v>51</v>
      </c>
      <c r="Z1298">
        <v>1805</v>
      </c>
      <c r="AH1298">
        <v>0</v>
      </c>
      <c r="AI1298">
        <v>202505</v>
      </c>
      <c r="AJ1298" t="s">
        <v>119</v>
      </c>
      <c r="AK1298">
        <v>1</v>
      </c>
      <c r="AL1298">
        <v>1</v>
      </c>
      <c r="AO1298">
        <v>0</v>
      </c>
      <c r="AP1298" t="s">
        <v>3062</v>
      </c>
      <c r="AQ1298" t="s">
        <v>3012</v>
      </c>
      <c r="AR1298" t="s">
        <v>3063</v>
      </c>
      <c r="AS1298" t="s">
        <v>3014</v>
      </c>
      <c r="AU1298" t="s">
        <v>3014</v>
      </c>
    </row>
    <row r="1299" spans="1:47" x14ac:dyDescent="0.35">
      <c r="A1299">
        <v>348396</v>
      </c>
      <c r="B1299" t="s">
        <v>193</v>
      </c>
      <c r="C1299" t="s">
        <v>194</v>
      </c>
      <c r="D1299" s="2">
        <v>45805</v>
      </c>
      <c r="E1299">
        <v>53850</v>
      </c>
      <c r="F1299">
        <v>114</v>
      </c>
      <c r="G1299" t="s">
        <v>188</v>
      </c>
      <c r="H1299" t="s">
        <v>167</v>
      </c>
      <c r="I1299" t="s">
        <v>45</v>
      </c>
      <c r="K1299">
        <v>202505278017135</v>
      </c>
      <c r="L1299">
        <v>1143306280621</v>
      </c>
      <c r="M1299">
        <v>20250527</v>
      </c>
      <c r="N1299" t="s">
        <v>266</v>
      </c>
      <c r="Q1299" t="s">
        <v>47</v>
      </c>
      <c r="R1299">
        <v>31000</v>
      </c>
      <c r="S1299">
        <v>31000</v>
      </c>
      <c r="T1299">
        <v>4658875</v>
      </c>
      <c r="U1299">
        <v>3230890711</v>
      </c>
      <c r="V1299" t="s">
        <v>1363</v>
      </c>
      <c r="W1299" t="s">
        <v>49</v>
      </c>
      <c r="X1299" t="s">
        <v>131</v>
      </c>
      <c r="Y1299" t="s">
        <v>51</v>
      </c>
      <c r="Z1299">
        <v>870</v>
      </c>
      <c r="AH1299">
        <v>0</v>
      </c>
      <c r="AI1299">
        <v>202505</v>
      </c>
      <c r="AJ1299" t="s">
        <v>56</v>
      </c>
      <c r="AK1299">
        <v>0</v>
      </c>
      <c r="AL1299">
        <v>1</v>
      </c>
      <c r="AM1299">
        <v>4658875</v>
      </c>
      <c r="AN1299">
        <v>1</v>
      </c>
      <c r="AO1299">
        <v>0</v>
      </c>
      <c r="AP1299" t="s">
        <v>3033</v>
      </c>
      <c r="AQ1299" t="s">
        <v>3012</v>
      </c>
      <c r="AR1299" t="s">
        <v>3034</v>
      </c>
      <c r="AS1299" t="s">
        <v>3014</v>
      </c>
      <c r="AU1299" t="s">
        <v>3014</v>
      </c>
    </row>
    <row r="1300" spans="1:47" x14ac:dyDescent="0.35">
      <c r="A1300">
        <v>348395</v>
      </c>
      <c r="B1300" t="s">
        <v>172</v>
      </c>
      <c r="C1300" t="s">
        <v>173</v>
      </c>
      <c r="D1300" s="2">
        <v>45805</v>
      </c>
      <c r="E1300">
        <v>53850</v>
      </c>
      <c r="F1300">
        <v>109</v>
      </c>
      <c r="G1300" t="s">
        <v>89</v>
      </c>
      <c r="H1300" t="s">
        <v>167</v>
      </c>
      <c r="I1300" t="s">
        <v>45</v>
      </c>
      <c r="K1300">
        <v>202505278017110</v>
      </c>
      <c r="L1300">
        <v>2263300011992</v>
      </c>
      <c r="M1300">
        <v>20250527</v>
      </c>
      <c r="N1300" t="s">
        <v>231</v>
      </c>
      <c r="Q1300" t="s">
        <v>47</v>
      </c>
      <c r="R1300">
        <v>68166.679999999993</v>
      </c>
      <c r="S1300">
        <v>0</v>
      </c>
      <c r="T1300">
        <v>4847196</v>
      </c>
      <c r="U1300" t="s">
        <v>1465</v>
      </c>
      <c r="V1300" t="s">
        <v>1466</v>
      </c>
      <c r="W1300" t="s">
        <v>69</v>
      </c>
      <c r="X1300" t="s">
        <v>131</v>
      </c>
      <c r="Y1300" t="s">
        <v>51</v>
      </c>
      <c r="Z1300">
        <v>746</v>
      </c>
      <c r="AH1300">
        <v>0</v>
      </c>
      <c r="AI1300">
        <v>202505</v>
      </c>
      <c r="AJ1300" t="s">
        <v>56</v>
      </c>
      <c r="AK1300">
        <v>0</v>
      </c>
      <c r="AL1300">
        <v>1</v>
      </c>
      <c r="AO1300">
        <v>0</v>
      </c>
      <c r="AP1300" t="s">
        <v>3033</v>
      </c>
      <c r="AQ1300" t="s">
        <v>3021</v>
      </c>
      <c r="AR1300" t="s">
        <v>3054</v>
      </c>
      <c r="AS1300" t="s">
        <v>3055</v>
      </c>
      <c r="AU1300" t="s">
        <v>3055</v>
      </c>
    </row>
    <row r="1301" spans="1:47" x14ac:dyDescent="0.35">
      <c r="A1301">
        <v>348394</v>
      </c>
      <c r="B1301" t="s">
        <v>178</v>
      </c>
      <c r="C1301" t="s">
        <v>179</v>
      </c>
      <c r="D1301" s="2">
        <v>45805</v>
      </c>
      <c r="E1301">
        <v>53850</v>
      </c>
      <c r="F1301">
        <v>187</v>
      </c>
      <c r="G1301" t="s">
        <v>251</v>
      </c>
      <c r="H1301" t="s">
        <v>167</v>
      </c>
      <c r="I1301" t="s">
        <v>45</v>
      </c>
      <c r="K1301" t="s">
        <v>1467</v>
      </c>
      <c r="L1301">
        <v>1873300111323</v>
      </c>
      <c r="M1301">
        <v>20250527</v>
      </c>
      <c r="N1301" t="s">
        <v>3136</v>
      </c>
      <c r="Q1301" t="s">
        <v>170</v>
      </c>
      <c r="R1301">
        <v>4885.4399999999996</v>
      </c>
      <c r="S1301">
        <v>0</v>
      </c>
      <c r="T1301">
        <v>3743565</v>
      </c>
      <c r="U1301" t="s">
        <v>1468</v>
      </c>
      <c r="V1301" t="s">
        <v>1469</v>
      </c>
      <c r="W1301" t="s">
        <v>187</v>
      </c>
      <c r="Y1301" t="s">
        <v>51</v>
      </c>
      <c r="AH1301">
        <v>0</v>
      </c>
      <c r="AI1301">
        <v>202505</v>
      </c>
      <c r="AJ1301" t="s">
        <v>86</v>
      </c>
      <c r="AK1301">
        <v>1</v>
      </c>
      <c r="AL1301">
        <v>1</v>
      </c>
      <c r="AO1301">
        <v>1</v>
      </c>
      <c r="AP1301" t="s">
        <v>3015</v>
      </c>
      <c r="AQ1301" t="s">
        <v>3044</v>
      </c>
      <c r="AR1301" t="s">
        <v>3045</v>
      </c>
      <c r="AS1301" t="s">
        <v>3046</v>
      </c>
      <c r="AU1301" t="s">
        <v>3046</v>
      </c>
    </row>
    <row r="1302" spans="1:47" x14ac:dyDescent="0.35">
      <c r="A1302">
        <v>348393</v>
      </c>
      <c r="B1302" t="s">
        <v>172</v>
      </c>
      <c r="C1302" t="s">
        <v>173</v>
      </c>
      <c r="D1302" s="2">
        <v>45805</v>
      </c>
      <c r="E1302">
        <v>53850</v>
      </c>
      <c r="F1302">
        <v>141</v>
      </c>
      <c r="G1302" t="s">
        <v>105</v>
      </c>
      <c r="H1302" t="s">
        <v>167</v>
      </c>
      <c r="I1302" t="s">
        <v>45</v>
      </c>
      <c r="K1302" t="s">
        <v>1461</v>
      </c>
      <c r="L1302">
        <v>1413300004393</v>
      </c>
      <c r="M1302">
        <v>20250527</v>
      </c>
      <c r="N1302" t="s">
        <v>175</v>
      </c>
      <c r="Q1302" t="s">
        <v>47</v>
      </c>
      <c r="R1302">
        <v>101703.51</v>
      </c>
      <c r="S1302">
        <v>15615</v>
      </c>
      <c r="T1302">
        <v>3743595</v>
      </c>
      <c r="U1302">
        <v>5408440757</v>
      </c>
      <c r="V1302" t="s">
        <v>1334</v>
      </c>
      <c r="W1302" t="s">
        <v>332</v>
      </c>
      <c r="X1302" t="s">
        <v>70</v>
      </c>
      <c r="Y1302" t="s">
        <v>51</v>
      </c>
      <c r="Z1302">
        <v>862</v>
      </c>
      <c r="AH1302">
        <v>0</v>
      </c>
      <c r="AI1302">
        <v>202505</v>
      </c>
      <c r="AJ1302" t="s">
        <v>86</v>
      </c>
      <c r="AK1302">
        <v>1</v>
      </c>
      <c r="AL1302">
        <v>1</v>
      </c>
      <c r="AM1302">
        <v>3743595</v>
      </c>
      <c r="AN1302">
        <v>1</v>
      </c>
      <c r="AO1302">
        <v>1</v>
      </c>
      <c r="AP1302" t="s">
        <v>3015</v>
      </c>
      <c r="AQ1302" t="s">
        <v>3058</v>
      </c>
      <c r="AR1302" t="s">
        <v>3059</v>
      </c>
      <c r="AT1302" t="s">
        <v>3017</v>
      </c>
      <c r="AU1302" t="s">
        <v>3014</v>
      </c>
    </row>
    <row r="1303" spans="1:47" x14ac:dyDescent="0.35">
      <c r="A1303">
        <v>348392</v>
      </c>
      <c r="B1303" t="s">
        <v>172</v>
      </c>
      <c r="C1303" t="s">
        <v>173</v>
      </c>
      <c r="D1303" s="2">
        <v>45805</v>
      </c>
      <c r="E1303">
        <v>53850</v>
      </c>
      <c r="F1303">
        <v>171</v>
      </c>
      <c r="G1303" t="s">
        <v>198</v>
      </c>
      <c r="H1303" t="s">
        <v>167</v>
      </c>
      <c r="I1303" t="s">
        <v>45</v>
      </c>
      <c r="K1303" t="s">
        <v>1461</v>
      </c>
      <c r="L1303">
        <v>1713305728950</v>
      </c>
      <c r="M1303">
        <v>20250527</v>
      </c>
      <c r="N1303" t="s">
        <v>195</v>
      </c>
      <c r="Q1303" t="s">
        <v>47</v>
      </c>
      <c r="R1303">
        <v>189945</v>
      </c>
      <c r="S1303">
        <v>189945</v>
      </c>
      <c r="T1303">
        <v>572895</v>
      </c>
      <c r="U1303">
        <v>4161600723</v>
      </c>
      <c r="V1303" t="s">
        <v>199</v>
      </c>
      <c r="W1303" t="s">
        <v>49</v>
      </c>
      <c r="X1303" t="s">
        <v>200</v>
      </c>
      <c r="Y1303" t="s">
        <v>51</v>
      </c>
      <c r="Z1303">
        <v>1903</v>
      </c>
      <c r="AH1303">
        <v>0</v>
      </c>
      <c r="AI1303">
        <v>202505</v>
      </c>
      <c r="AJ1303" t="s">
        <v>86</v>
      </c>
      <c r="AK1303">
        <v>1</v>
      </c>
      <c r="AL1303">
        <v>1</v>
      </c>
      <c r="AM1303">
        <v>572895</v>
      </c>
      <c r="AN1303">
        <v>1</v>
      </c>
      <c r="AO1303">
        <v>0</v>
      </c>
      <c r="AP1303" t="s">
        <v>3015</v>
      </c>
      <c r="AQ1303" t="s">
        <v>3012</v>
      </c>
      <c r="AR1303" t="s">
        <v>3016</v>
      </c>
      <c r="AT1303" t="s">
        <v>3017</v>
      </c>
      <c r="AU1303" t="s">
        <v>3018</v>
      </c>
    </row>
    <row r="1304" spans="1:47" x14ac:dyDescent="0.35">
      <c r="A1304">
        <v>348391</v>
      </c>
      <c r="B1304" t="s">
        <v>178</v>
      </c>
      <c r="C1304" t="s">
        <v>179</v>
      </c>
      <c r="D1304" s="2">
        <v>45805</v>
      </c>
      <c r="E1304">
        <v>53850</v>
      </c>
      <c r="F1304">
        <v>168</v>
      </c>
      <c r="G1304" t="s">
        <v>616</v>
      </c>
      <c r="H1304" t="s">
        <v>167</v>
      </c>
      <c r="I1304" t="s">
        <v>45</v>
      </c>
      <c r="K1304">
        <v>202505278015403</v>
      </c>
      <c r="L1304">
        <v>1683306274827</v>
      </c>
      <c r="M1304">
        <v>20250527</v>
      </c>
      <c r="N1304" t="s">
        <v>377</v>
      </c>
      <c r="Q1304" t="s">
        <v>47</v>
      </c>
      <c r="R1304">
        <v>189076.79</v>
      </c>
      <c r="S1304">
        <v>0</v>
      </c>
      <c r="T1304">
        <v>4143678</v>
      </c>
      <c r="U1304" t="s">
        <v>1470</v>
      </c>
      <c r="V1304" t="s">
        <v>1471</v>
      </c>
      <c r="W1304" t="s">
        <v>187</v>
      </c>
      <c r="Y1304" t="s">
        <v>51</v>
      </c>
      <c r="Z1304">
        <v>1316</v>
      </c>
      <c r="AH1304">
        <v>0</v>
      </c>
      <c r="AI1304">
        <v>202505</v>
      </c>
      <c r="AJ1304" t="s">
        <v>86</v>
      </c>
      <c r="AK1304">
        <v>1</v>
      </c>
      <c r="AL1304">
        <v>1</v>
      </c>
      <c r="AO1304">
        <v>0</v>
      </c>
      <c r="AP1304" t="s">
        <v>3015</v>
      </c>
      <c r="AQ1304" t="s">
        <v>3044</v>
      </c>
      <c r="AR1304" t="s">
        <v>3045</v>
      </c>
      <c r="AS1304" t="s">
        <v>3046</v>
      </c>
      <c r="AU1304" t="s">
        <v>3046</v>
      </c>
    </row>
    <row r="1305" spans="1:47" x14ac:dyDescent="0.35">
      <c r="A1305">
        <v>348390</v>
      </c>
      <c r="B1305" t="s">
        <v>193</v>
      </c>
      <c r="C1305" t="s">
        <v>194</v>
      </c>
      <c r="D1305" s="2">
        <v>45805</v>
      </c>
      <c r="E1305">
        <v>53850</v>
      </c>
      <c r="F1305">
        <v>114</v>
      </c>
      <c r="G1305" t="s">
        <v>188</v>
      </c>
      <c r="H1305" t="s">
        <v>167</v>
      </c>
      <c r="I1305" t="s">
        <v>45</v>
      </c>
      <c r="K1305" t="s">
        <v>1461</v>
      </c>
      <c r="L1305">
        <v>1143306285135</v>
      </c>
      <c r="M1305">
        <v>20250527</v>
      </c>
      <c r="N1305" t="s">
        <v>175</v>
      </c>
      <c r="Q1305" t="s">
        <v>47</v>
      </c>
      <c r="R1305">
        <v>29950</v>
      </c>
      <c r="S1305">
        <v>15750</v>
      </c>
      <c r="T1305">
        <v>3730898</v>
      </c>
      <c r="U1305" t="s">
        <v>835</v>
      </c>
      <c r="V1305" t="s">
        <v>836</v>
      </c>
      <c r="W1305" t="s">
        <v>69</v>
      </c>
      <c r="X1305" t="s">
        <v>131</v>
      </c>
      <c r="Y1305" t="s">
        <v>51</v>
      </c>
      <c r="Z1305">
        <v>869</v>
      </c>
      <c r="AH1305">
        <v>0</v>
      </c>
      <c r="AI1305">
        <v>202505</v>
      </c>
      <c r="AJ1305" t="s">
        <v>56</v>
      </c>
      <c r="AK1305">
        <v>0</v>
      </c>
      <c r="AL1305">
        <v>1</v>
      </c>
      <c r="AM1305">
        <v>3730898</v>
      </c>
      <c r="AN1305">
        <v>1</v>
      </c>
      <c r="AO1305">
        <v>1</v>
      </c>
      <c r="AP1305" t="s">
        <v>3033</v>
      </c>
      <c r="AQ1305" t="s">
        <v>3021</v>
      </c>
      <c r="AR1305" t="s">
        <v>3054</v>
      </c>
      <c r="AS1305" t="s">
        <v>3055</v>
      </c>
      <c r="AU1305" t="s">
        <v>3055</v>
      </c>
    </row>
    <row r="1306" spans="1:47" x14ac:dyDescent="0.35">
      <c r="A1306">
        <v>348389</v>
      </c>
      <c r="B1306" t="s">
        <v>193</v>
      </c>
      <c r="C1306" t="s">
        <v>194</v>
      </c>
      <c r="D1306" s="2">
        <v>45805</v>
      </c>
      <c r="E1306">
        <v>53850</v>
      </c>
      <c r="F1306">
        <v>268</v>
      </c>
      <c r="G1306" t="s">
        <v>83</v>
      </c>
      <c r="H1306" t="s">
        <v>167</v>
      </c>
      <c r="I1306" t="s">
        <v>45</v>
      </c>
      <c r="K1306" t="s">
        <v>1461</v>
      </c>
      <c r="L1306">
        <v>2683300006671</v>
      </c>
      <c r="M1306">
        <v>20250527</v>
      </c>
      <c r="N1306" t="s">
        <v>195</v>
      </c>
      <c r="Q1306" t="s">
        <v>47</v>
      </c>
      <c r="R1306">
        <v>15600</v>
      </c>
      <c r="S1306">
        <v>15600</v>
      </c>
      <c r="T1306">
        <v>1704716</v>
      </c>
      <c r="U1306">
        <v>3109600795</v>
      </c>
      <c r="V1306" t="s">
        <v>1256</v>
      </c>
      <c r="W1306" t="s">
        <v>580</v>
      </c>
      <c r="X1306" t="s">
        <v>131</v>
      </c>
      <c r="Y1306" t="s">
        <v>51</v>
      </c>
      <c r="Z1306">
        <v>1891</v>
      </c>
      <c r="AH1306">
        <v>0</v>
      </c>
      <c r="AI1306">
        <v>202505</v>
      </c>
      <c r="AJ1306" t="s">
        <v>52</v>
      </c>
      <c r="AK1306">
        <v>0</v>
      </c>
      <c r="AL1306">
        <v>1</v>
      </c>
      <c r="AM1306">
        <v>1704716</v>
      </c>
      <c r="AN1306">
        <v>1</v>
      </c>
      <c r="AO1306">
        <v>0</v>
      </c>
      <c r="AP1306" t="s">
        <v>3033</v>
      </c>
      <c r="AQ1306" t="s">
        <v>3078</v>
      </c>
      <c r="AR1306" t="s">
        <v>3079</v>
      </c>
      <c r="AS1306" t="s">
        <v>3049</v>
      </c>
      <c r="AU1306" t="s">
        <v>3049</v>
      </c>
    </row>
    <row r="1307" spans="1:47" x14ac:dyDescent="0.35">
      <c r="A1307">
        <v>348388</v>
      </c>
      <c r="B1307" t="s">
        <v>193</v>
      </c>
      <c r="C1307" t="s">
        <v>194</v>
      </c>
      <c r="D1307" s="2">
        <v>45805</v>
      </c>
      <c r="E1307">
        <v>53850</v>
      </c>
      <c r="F1307">
        <v>108</v>
      </c>
      <c r="G1307" t="s">
        <v>124</v>
      </c>
      <c r="H1307" t="s">
        <v>167</v>
      </c>
      <c r="I1307" t="s">
        <v>45</v>
      </c>
      <c r="K1307" t="s">
        <v>1461</v>
      </c>
      <c r="L1307">
        <v>1083306291105</v>
      </c>
      <c r="M1307">
        <v>20250527</v>
      </c>
      <c r="N1307" t="s">
        <v>175</v>
      </c>
      <c r="Q1307" t="s">
        <v>47</v>
      </c>
      <c r="R1307">
        <v>146073.12</v>
      </c>
      <c r="S1307">
        <v>117952.05</v>
      </c>
      <c r="T1307">
        <v>4227057</v>
      </c>
      <c r="U1307">
        <v>4874620729</v>
      </c>
      <c r="V1307" t="s">
        <v>250</v>
      </c>
      <c r="W1307" t="s">
        <v>49</v>
      </c>
      <c r="X1307" t="s">
        <v>62</v>
      </c>
      <c r="Y1307" t="s">
        <v>51</v>
      </c>
      <c r="Z1307">
        <v>1058</v>
      </c>
      <c r="AH1307">
        <v>0</v>
      </c>
      <c r="AI1307">
        <v>202505</v>
      </c>
      <c r="AJ1307" t="s">
        <v>56</v>
      </c>
      <c r="AK1307">
        <v>0</v>
      </c>
      <c r="AL1307">
        <v>1</v>
      </c>
      <c r="AM1307">
        <v>4227057</v>
      </c>
      <c r="AN1307">
        <v>1</v>
      </c>
      <c r="AO1307">
        <v>1</v>
      </c>
      <c r="AP1307" t="s">
        <v>3015</v>
      </c>
      <c r="AQ1307" t="s">
        <v>3012</v>
      </c>
      <c r="AR1307" t="s">
        <v>3016</v>
      </c>
      <c r="AT1307" t="s">
        <v>3017</v>
      </c>
      <c r="AU1307" t="s">
        <v>3018</v>
      </c>
    </row>
    <row r="1308" spans="1:47" x14ac:dyDescent="0.35">
      <c r="A1308">
        <v>348387</v>
      </c>
      <c r="B1308" t="s">
        <v>333</v>
      </c>
      <c r="C1308" t="s">
        <v>334</v>
      </c>
      <c r="D1308" s="2">
        <v>45805</v>
      </c>
      <c r="E1308">
        <v>53850</v>
      </c>
      <c r="F1308">
        <v>102</v>
      </c>
      <c r="G1308" t="s">
        <v>151</v>
      </c>
      <c r="H1308" t="s">
        <v>167</v>
      </c>
      <c r="I1308" t="s">
        <v>45</v>
      </c>
      <c r="K1308">
        <v>202505278017019</v>
      </c>
      <c r="M1308">
        <v>20250527</v>
      </c>
      <c r="N1308" t="s">
        <v>515</v>
      </c>
      <c r="Q1308" t="s">
        <v>170</v>
      </c>
      <c r="R1308">
        <v>55350</v>
      </c>
      <c r="S1308">
        <v>0</v>
      </c>
      <c r="T1308">
        <v>4070953</v>
      </c>
      <c r="U1308" t="s">
        <v>1472</v>
      </c>
      <c r="V1308" t="s">
        <v>1473</v>
      </c>
      <c r="W1308" t="s">
        <v>187</v>
      </c>
      <c r="Y1308" t="s">
        <v>51</v>
      </c>
      <c r="Z1308">
        <v>1431</v>
      </c>
      <c r="AH1308">
        <v>0</v>
      </c>
      <c r="AI1308">
        <v>202505</v>
      </c>
      <c r="AL1308">
        <v>0</v>
      </c>
      <c r="AO1308">
        <v>0</v>
      </c>
      <c r="AP1308" t="s">
        <v>3015</v>
      </c>
      <c r="AQ1308" t="s">
        <v>3044</v>
      </c>
      <c r="AR1308" t="s">
        <v>3045</v>
      </c>
      <c r="AS1308" t="s">
        <v>3046</v>
      </c>
      <c r="AU1308" t="s">
        <v>3046</v>
      </c>
    </row>
    <row r="1309" spans="1:47" x14ac:dyDescent="0.35">
      <c r="A1309">
        <v>348386</v>
      </c>
      <c r="B1309" t="s">
        <v>178</v>
      </c>
      <c r="C1309" t="s">
        <v>179</v>
      </c>
      <c r="D1309" s="2">
        <v>45805</v>
      </c>
      <c r="E1309">
        <v>53850</v>
      </c>
      <c r="F1309">
        <v>200</v>
      </c>
      <c r="G1309" t="s">
        <v>858</v>
      </c>
      <c r="H1309" t="s">
        <v>167</v>
      </c>
      <c r="I1309" t="s">
        <v>45</v>
      </c>
      <c r="K1309">
        <v>202505278015142</v>
      </c>
      <c r="L1309">
        <v>2003300002517</v>
      </c>
      <c r="M1309">
        <v>20250527</v>
      </c>
      <c r="N1309" t="s">
        <v>46</v>
      </c>
      <c r="P1309" t="s">
        <v>51</v>
      </c>
      <c r="Q1309" t="s">
        <v>47</v>
      </c>
      <c r="R1309">
        <v>914775.13</v>
      </c>
      <c r="S1309">
        <v>0</v>
      </c>
      <c r="T1309">
        <v>4808884</v>
      </c>
      <c r="U1309">
        <v>2094150683</v>
      </c>
      <c r="V1309" t="s">
        <v>1474</v>
      </c>
      <c r="W1309" t="s">
        <v>49</v>
      </c>
      <c r="X1309" t="s">
        <v>123</v>
      </c>
      <c r="Y1309" t="s">
        <v>51</v>
      </c>
      <c r="Z1309">
        <v>1767</v>
      </c>
      <c r="AH1309">
        <v>0</v>
      </c>
      <c r="AI1309">
        <v>202505</v>
      </c>
      <c r="AJ1309" t="s">
        <v>56</v>
      </c>
      <c r="AK1309">
        <v>0</v>
      </c>
      <c r="AL1309">
        <v>1</v>
      </c>
      <c r="AO1309">
        <v>0</v>
      </c>
      <c r="AP1309" t="s">
        <v>3031</v>
      </c>
      <c r="AQ1309" t="s">
        <v>3012</v>
      </c>
      <c r="AR1309" t="s">
        <v>3032</v>
      </c>
      <c r="AS1309" t="s">
        <v>3014</v>
      </c>
      <c r="AU1309" t="s">
        <v>3014</v>
      </c>
    </row>
    <row r="1310" spans="1:47" x14ac:dyDescent="0.35">
      <c r="A1310">
        <v>348385</v>
      </c>
      <c r="B1310" t="s">
        <v>172</v>
      </c>
      <c r="C1310" t="s">
        <v>173</v>
      </c>
      <c r="D1310" s="2">
        <v>45805</v>
      </c>
      <c r="E1310">
        <v>53850</v>
      </c>
      <c r="F1310">
        <v>175</v>
      </c>
      <c r="G1310" t="s">
        <v>99</v>
      </c>
      <c r="H1310" t="s">
        <v>167</v>
      </c>
      <c r="I1310" t="s">
        <v>45</v>
      </c>
      <c r="K1310" t="s">
        <v>1461</v>
      </c>
      <c r="L1310">
        <v>1753302203350</v>
      </c>
      <c r="M1310">
        <v>20250527</v>
      </c>
      <c r="N1310" t="s">
        <v>175</v>
      </c>
      <c r="Q1310" t="s">
        <v>47</v>
      </c>
      <c r="R1310">
        <v>221700</v>
      </c>
      <c r="S1310">
        <v>0</v>
      </c>
      <c r="T1310">
        <v>4844007</v>
      </c>
      <c r="U1310">
        <v>1296320771</v>
      </c>
      <c r="V1310" t="s">
        <v>363</v>
      </c>
      <c r="W1310" t="s">
        <v>49</v>
      </c>
      <c r="X1310" t="s">
        <v>364</v>
      </c>
      <c r="Y1310" t="s">
        <v>51</v>
      </c>
      <c r="Z1310">
        <v>936</v>
      </c>
      <c r="AH1310">
        <v>0</v>
      </c>
      <c r="AI1310">
        <v>202505</v>
      </c>
      <c r="AJ1310" t="s">
        <v>86</v>
      </c>
      <c r="AK1310">
        <v>1</v>
      </c>
      <c r="AL1310">
        <v>1</v>
      </c>
      <c r="AO1310">
        <v>1</v>
      </c>
      <c r="AP1310" t="s">
        <v>3062</v>
      </c>
      <c r="AQ1310" t="s">
        <v>3012</v>
      </c>
      <c r="AR1310" t="s">
        <v>3063</v>
      </c>
      <c r="AS1310" t="s">
        <v>3014</v>
      </c>
      <c r="AU1310" t="s">
        <v>3014</v>
      </c>
    </row>
    <row r="1311" spans="1:47" x14ac:dyDescent="0.35">
      <c r="A1311">
        <v>348384</v>
      </c>
      <c r="B1311" t="s">
        <v>193</v>
      </c>
      <c r="C1311" t="s">
        <v>194</v>
      </c>
      <c r="D1311" s="2">
        <v>45805</v>
      </c>
      <c r="E1311">
        <v>53850</v>
      </c>
      <c r="F1311">
        <v>148</v>
      </c>
      <c r="G1311" t="s">
        <v>78</v>
      </c>
      <c r="H1311" t="s">
        <v>167</v>
      </c>
      <c r="I1311" t="s">
        <v>45</v>
      </c>
      <c r="K1311">
        <v>202505278017221</v>
      </c>
      <c r="L1311">
        <v>1483300010620</v>
      </c>
      <c r="M1311">
        <v>20250527</v>
      </c>
      <c r="N1311" t="s">
        <v>266</v>
      </c>
      <c r="Q1311" t="s">
        <v>47</v>
      </c>
      <c r="R1311">
        <v>27530</v>
      </c>
      <c r="S1311">
        <v>27530</v>
      </c>
      <c r="T1311">
        <v>4247284</v>
      </c>
      <c r="U1311" t="s">
        <v>537</v>
      </c>
      <c r="V1311" t="s">
        <v>538</v>
      </c>
      <c r="W1311" t="s">
        <v>69</v>
      </c>
      <c r="X1311" t="s">
        <v>131</v>
      </c>
      <c r="Y1311" t="s">
        <v>51</v>
      </c>
      <c r="Z1311">
        <v>1063</v>
      </c>
      <c r="AH1311">
        <v>0</v>
      </c>
      <c r="AI1311">
        <v>202505</v>
      </c>
      <c r="AJ1311" t="s">
        <v>56</v>
      </c>
      <c r="AK1311">
        <v>0</v>
      </c>
      <c r="AL1311">
        <v>1</v>
      </c>
      <c r="AM1311">
        <v>4247284</v>
      </c>
      <c r="AN1311">
        <v>1</v>
      </c>
      <c r="AO1311">
        <v>0</v>
      </c>
      <c r="AP1311" t="s">
        <v>3033</v>
      </c>
      <c r="AQ1311" t="s">
        <v>3021</v>
      </c>
      <c r="AR1311" t="s">
        <v>3054</v>
      </c>
      <c r="AS1311" t="s">
        <v>3055</v>
      </c>
      <c r="AU1311" t="s">
        <v>3055</v>
      </c>
    </row>
    <row r="1312" spans="1:47" x14ac:dyDescent="0.35">
      <c r="A1312">
        <v>348383</v>
      </c>
      <c r="B1312" t="s">
        <v>178</v>
      </c>
      <c r="C1312" t="s">
        <v>179</v>
      </c>
      <c r="D1312" s="2">
        <v>45805</v>
      </c>
      <c r="E1312">
        <v>53850</v>
      </c>
      <c r="F1312">
        <v>270</v>
      </c>
      <c r="G1312" t="s">
        <v>524</v>
      </c>
      <c r="H1312" t="s">
        <v>167</v>
      </c>
      <c r="I1312" t="s">
        <v>45</v>
      </c>
      <c r="K1312">
        <v>202505278017439</v>
      </c>
      <c r="L1312">
        <v>2703300002366</v>
      </c>
      <c r="M1312">
        <v>20250527</v>
      </c>
      <c r="N1312" t="s">
        <v>1002</v>
      </c>
      <c r="Q1312" t="s">
        <v>47</v>
      </c>
      <c r="R1312">
        <v>200000</v>
      </c>
      <c r="S1312">
        <v>0</v>
      </c>
      <c r="T1312">
        <v>1679865</v>
      </c>
      <c r="U1312" t="s">
        <v>1475</v>
      </c>
      <c r="V1312" t="s">
        <v>1476</v>
      </c>
      <c r="W1312" t="s">
        <v>187</v>
      </c>
      <c r="Y1312" t="s">
        <v>51</v>
      </c>
      <c r="Z1312">
        <v>1803</v>
      </c>
      <c r="AH1312">
        <v>0</v>
      </c>
      <c r="AI1312">
        <v>202505</v>
      </c>
      <c r="AJ1312" t="s">
        <v>52</v>
      </c>
      <c r="AK1312">
        <v>0</v>
      </c>
      <c r="AL1312">
        <v>1</v>
      </c>
      <c r="AO1312">
        <v>0</v>
      </c>
      <c r="AP1312" t="s">
        <v>3015</v>
      </c>
      <c r="AQ1312" t="s">
        <v>3044</v>
      </c>
      <c r="AR1312" t="s">
        <v>3045</v>
      </c>
      <c r="AS1312" t="s">
        <v>3046</v>
      </c>
      <c r="AU1312" t="s">
        <v>3046</v>
      </c>
    </row>
    <row r="1313" spans="1:47" x14ac:dyDescent="0.35">
      <c r="A1313">
        <v>348382</v>
      </c>
      <c r="B1313" t="s">
        <v>178</v>
      </c>
      <c r="C1313" t="s">
        <v>179</v>
      </c>
      <c r="D1313" s="2">
        <v>45805</v>
      </c>
      <c r="E1313">
        <v>53850</v>
      </c>
      <c r="F1313">
        <v>187</v>
      </c>
      <c r="G1313" t="s">
        <v>251</v>
      </c>
      <c r="H1313" t="s">
        <v>167</v>
      </c>
      <c r="I1313" t="s">
        <v>45</v>
      </c>
      <c r="K1313" t="s">
        <v>1467</v>
      </c>
      <c r="L1313">
        <v>1873300111323</v>
      </c>
      <c r="M1313">
        <v>20250527</v>
      </c>
      <c r="N1313" t="s">
        <v>3136</v>
      </c>
      <c r="Q1313" t="s">
        <v>170</v>
      </c>
      <c r="R1313">
        <v>4885.4399999999996</v>
      </c>
      <c r="S1313">
        <v>0</v>
      </c>
      <c r="T1313">
        <v>3185415</v>
      </c>
      <c r="U1313" t="s">
        <v>1477</v>
      </c>
      <c r="V1313" t="s">
        <v>1478</v>
      </c>
      <c r="W1313" t="s">
        <v>187</v>
      </c>
      <c r="Y1313" t="s">
        <v>51</v>
      </c>
      <c r="AH1313">
        <v>0</v>
      </c>
      <c r="AI1313">
        <v>202505</v>
      </c>
      <c r="AJ1313" t="s">
        <v>86</v>
      </c>
      <c r="AK1313">
        <v>1</v>
      </c>
      <c r="AL1313">
        <v>1</v>
      </c>
      <c r="AO1313">
        <v>1</v>
      </c>
      <c r="AP1313" t="s">
        <v>3015</v>
      </c>
      <c r="AQ1313" t="s">
        <v>3044</v>
      </c>
      <c r="AR1313" t="s">
        <v>3045</v>
      </c>
      <c r="AS1313" t="s">
        <v>3046</v>
      </c>
      <c r="AU1313" t="s">
        <v>3046</v>
      </c>
    </row>
    <row r="1314" spans="1:47" x14ac:dyDescent="0.35">
      <c r="A1314">
        <v>348381</v>
      </c>
      <c r="B1314" t="s">
        <v>178</v>
      </c>
      <c r="C1314" t="s">
        <v>179</v>
      </c>
      <c r="D1314" s="2">
        <v>45805</v>
      </c>
      <c r="E1314">
        <v>53850</v>
      </c>
      <c r="F1314">
        <v>268</v>
      </c>
      <c r="G1314" t="s">
        <v>83</v>
      </c>
      <c r="H1314" t="s">
        <v>167</v>
      </c>
      <c r="I1314" t="s">
        <v>45</v>
      </c>
      <c r="K1314">
        <v>202505278017416</v>
      </c>
      <c r="L1314">
        <v>2683300003796</v>
      </c>
      <c r="M1314">
        <v>20250527</v>
      </c>
      <c r="N1314" t="s">
        <v>1002</v>
      </c>
      <c r="Q1314" t="s">
        <v>47</v>
      </c>
      <c r="R1314">
        <v>160000</v>
      </c>
      <c r="S1314">
        <v>0</v>
      </c>
      <c r="T1314">
        <v>1644839</v>
      </c>
      <c r="U1314" t="s">
        <v>1479</v>
      </c>
      <c r="V1314" t="s">
        <v>1480</v>
      </c>
      <c r="W1314" t="s">
        <v>187</v>
      </c>
      <c r="Y1314" t="s">
        <v>51</v>
      </c>
      <c r="Z1314">
        <v>1834</v>
      </c>
      <c r="AH1314">
        <v>0</v>
      </c>
      <c r="AI1314">
        <v>202505</v>
      </c>
      <c r="AJ1314" t="s">
        <v>86</v>
      </c>
      <c r="AK1314">
        <v>1</v>
      </c>
      <c r="AL1314">
        <v>1</v>
      </c>
      <c r="AO1314">
        <v>0</v>
      </c>
      <c r="AP1314" t="s">
        <v>3015</v>
      </c>
      <c r="AQ1314" t="s">
        <v>3044</v>
      </c>
      <c r="AR1314" t="s">
        <v>3045</v>
      </c>
      <c r="AS1314" t="s">
        <v>3046</v>
      </c>
      <c r="AU1314" t="s">
        <v>3046</v>
      </c>
    </row>
    <row r="1315" spans="1:47" x14ac:dyDescent="0.35">
      <c r="A1315">
        <v>348380</v>
      </c>
      <c r="B1315" t="s">
        <v>164</v>
      </c>
      <c r="C1315" t="s">
        <v>165</v>
      </c>
      <c r="D1315" s="2">
        <v>45805</v>
      </c>
      <c r="E1315">
        <v>53850</v>
      </c>
      <c r="F1315">
        <v>137</v>
      </c>
      <c r="G1315" t="s">
        <v>166</v>
      </c>
      <c r="H1315" t="s">
        <v>167</v>
      </c>
      <c r="I1315" t="s">
        <v>45</v>
      </c>
      <c r="K1315">
        <v>202505278017205</v>
      </c>
      <c r="L1315">
        <v>1373300005994</v>
      </c>
      <c r="M1315">
        <v>20250527</v>
      </c>
      <c r="N1315" t="s">
        <v>168</v>
      </c>
      <c r="P1315" t="s">
        <v>169</v>
      </c>
      <c r="Q1315" t="s">
        <v>170</v>
      </c>
      <c r="R1315">
        <v>46876.5</v>
      </c>
      <c r="S1315">
        <v>0</v>
      </c>
      <c r="T1315">
        <v>3734872</v>
      </c>
      <c r="U1315">
        <v>1896670708</v>
      </c>
      <c r="V1315" t="s">
        <v>171</v>
      </c>
      <c r="W1315" t="s">
        <v>49</v>
      </c>
      <c r="X1315" t="s">
        <v>113</v>
      </c>
      <c r="Y1315" t="s">
        <v>51</v>
      </c>
      <c r="Z1315">
        <v>1867</v>
      </c>
      <c r="AH1315">
        <v>0</v>
      </c>
      <c r="AI1315">
        <v>202505</v>
      </c>
      <c r="AJ1315" t="s">
        <v>56</v>
      </c>
      <c r="AK1315">
        <v>0</v>
      </c>
      <c r="AL1315">
        <v>1</v>
      </c>
      <c r="AO1315">
        <v>0</v>
      </c>
      <c r="AP1315" t="s">
        <v>3015</v>
      </c>
      <c r="AQ1315" t="s">
        <v>3012</v>
      </c>
      <c r="AR1315" t="s">
        <v>3016</v>
      </c>
      <c r="AT1315" t="s">
        <v>3017</v>
      </c>
      <c r="AU1315" t="s">
        <v>3018</v>
      </c>
    </row>
    <row r="1316" spans="1:47" x14ac:dyDescent="0.35">
      <c r="A1316">
        <v>348379</v>
      </c>
      <c r="B1316" t="s">
        <v>178</v>
      </c>
      <c r="C1316" t="s">
        <v>179</v>
      </c>
      <c r="D1316" s="2">
        <v>45805</v>
      </c>
      <c r="E1316">
        <v>53850</v>
      </c>
      <c r="F1316">
        <v>116</v>
      </c>
      <c r="G1316" t="s">
        <v>126</v>
      </c>
      <c r="H1316" t="s">
        <v>167</v>
      </c>
      <c r="I1316" t="s">
        <v>45</v>
      </c>
      <c r="K1316">
        <v>202505278015455</v>
      </c>
      <c r="L1316">
        <v>2173300010307</v>
      </c>
      <c r="M1316">
        <v>20250527</v>
      </c>
      <c r="N1316" t="s">
        <v>46</v>
      </c>
      <c r="P1316" t="s">
        <v>51</v>
      </c>
      <c r="Q1316" t="s">
        <v>47</v>
      </c>
      <c r="R1316">
        <v>1100000</v>
      </c>
      <c r="S1316">
        <v>0</v>
      </c>
      <c r="T1316">
        <v>4434879</v>
      </c>
      <c r="U1316">
        <v>1595620061</v>
      </c>
      <c r="V1316" t="s">
        <v>1443</v>
      </c>
      <c r="W1316" t="s">
        <v>49</v>
      </c>
      <c r="X1316" t="s">
        <v>1444</v>
      </c>
      <c r="Y1316" t="s">
        <v>51</v>
      </c>
      <c r="Z1316">
        <v>1696</v>
      </c>
      <c r="AH1316">
        <v>0</v>
      </c>
      <c r="AI1316">
        <v>202505</v>
      </c>
      <c r="AJ1316" t="s">
        <v>86</v>
      </c>
      <c r="AK1316">
        <v>1</v>
      </c>
      <c r="AL1316">
        <v>1</v>
      </c>
      <c r="AO1316">
        <v>0</v>
      </c>
      <c r="AP1316" t="s">
        <v>3015</v>
      </c>
      <c r="AQ1316" t="s">
        <v>3012</v>
      </c>
      <c r="AR1316" t="s">
        <v>3016</v>
      </c>
      <c r="AT1316" t="s">
        <v>3017</v>
      </c>
      <c r="AU1316" t="s">
        <v>3018</v>
      </c>
    </row>
    <row r="1317" spans="1:47" x14ac:dyDescent="0.35">
      <c r="A1317">
        <v>348378</v>
      </c>
      <c r="B1317" t="s">
        <v>172</v>
      </c>
      <c r="C1317" t="s">
        <v>173</v>
      </c>
      <c r="D1317" s="2">
        <v>45805</v>
      </c>
      <c r="E1317">
        <v>53850</v>
      </c>
      <c r="F1317">
        <v>270</v>
      </c>
      <c r="G1317" t="s">
        <v>524</v>
      </c>
      <c r="H1317" t="s">
        <v>167</v>
      </c>
      <c r="I1317" t="s">
        <v>45</v>
      </c>
      <c r="K1317">
        <v>202505278017437</v>
      </c>
      <c r="L1317">
        <v>2703300000994</v>
      </c>
      <c r="M1317">
        <v>20250527</v>
      </c>
      <c r="N1317" t="s">
        <v>231</v>
      </c>
      <c r="Q1317" t="s">
        <v>47</v>
      </c>
      <c r="R1317">
        <v>164600</v>
      </c>
      <c r="S1317">
        <v>0</v>
      </c>
      <c r="T1317">
        <v>1625788</v>
      </c>
      <c r="U1317" t="s">
        <v>1481</v>
      </c>
      <c r="V1317" t="s">
        <v>1482</v>
      </c>
      <c r="W1317" t="s">
        <v>187</v>
      </c>
      <c r="Y1317" t="s">
        <v>51</v>
      </c>
      <c r="Z1317">
        <v>1822</v>
      </c>
      <c r="AH1317">
        <v>0</v>
      </c>
      <c r="AI1317">
        <v>202505</v>
      </c>
      <c r="AJ1317" t="s">
        <v>119</v>
      </c>
      <c r="AK1317">
        <v>1</v>
      </c>
      <c r="AL1317">
        <v>1</v>
      </c>
      <c r="AO1317">
        <v>0</v>
      </c>
      <c r="AP1317" t="s">
        <v>3015</v>
      </c>
      <c r="AQ1317" t="s">
        <v>3044</v>
      </c>
      <c r="AR1317" t="s">
        <v>3045</v>
      </c>
      <c r="AS1317" t="s">
        <v>3046</v>
      </c>
      <c r="AU1317" t="s">
        <v>3046</v>
      </c>
    </row>
    <row r="1318" spans="1:47" x14ac:dyDescent="0.35">
      <c r="A1318">
        <v>348377</v>
      </c>
      <c r="B1318" t="s">
        <v>172</v>
      </c>
      <c r="C1318" t="s">
        <v>173</v>
      </c>
      <c r="D1318" s="2">
        <v>45805</v>
      </c>
      <c r="E1318">
        <v>53850</v>
      </c>
      <c r="F1318">
        <v>103</v>
      </c>
      <c r="G1318" t="s">
        <v>80</v>
      </c>
      <c r="H1318" t="s">
        <v>167</v>
      </c>
      <c r="I1318" t="s">
        <v>45</v>
      </c>
      <c r="K1318" t="s">
        <v>1461</v>
      </c>
      <c r="L1318">
        <v>1033306979706</v>
      </c>
      <c r="M1318">
        <v>20250527</v>
      </c>
      <c r="N1318" t="s">
        <v>175</v>
      </c>
      <c r="Q1318" t="s">
        <v>47</v>
      </c>
      <c r="R1318">
        <v>157000</v>
      </c>
      <c r="S1318">
        <v>0</v>
      </c>
      <c r="T1318">
        <v>4963589</v>
      </c>
      <c r="U1318">
        <v>8530200727</v>
      </c>
      <c r="V1318" t="s">
        <v>1483</v>
      </c>
      <c r="W1318" t="s">
        <v>49</v>
      </c>
      <c r="X1318" t="s">
        <v>364</v>
      </c>
      <c r="Y1318" t="s">
        <v>51</v>
      </c>
      <c r="Z1318">
        <v>1175</v>
      </c>
      <c r="AH1318">
        <v>0</v>
      </c>
      <c r="AI1318">
        <v>202505</v>
      </c>
      <c r="AJ1318" t="s">
        <v>86</v>
      </c>
      <c r="AK1318">
        <v>1</v>
      </c>
      <c r="AL1318">
        <v>1</v>
      </c>
      <c r="AO1318">
        <v>1</v>
      </c>
      <c r="AP1318" t="s">
        <v>3062</v>
      </c>
      <c r="AQ1318" t="s">
        <v>3012</v>
      </c>
      <c r="AR1318" t="s">
        <v>3063</v>
      </c>
      <c r="AS1318" t="s">
        <v>3014</v>
      </c>
      <c r="AU1318" t="s">
        <v>3014</v>
      </c>
    </row>
    <row r="1319" spans="1:47" x14ac:dyDescent="0.35">
      <c r="A1319">
        <v>348376</v>
      </c>
      <c r="B1319" t="s">
        <v>178</v>
      </c>
      <c r="C1319" t="s">
        <v>179</v>
      </c>
      <c r="D1319" s="2">
        <v>45805</v>
      </c>
      <c r="E1319">
        <v>53850</v>
      </c>
      <c r="F1319">
        <v>187</v>
      </c>
      <c r="G1319" t="s">
        <v>251</v>
      </c>
      <c r="H1319" t="s">
        <v>167</v>
      </c>
      <c r="I1319" t="s">
        <v>45</v>
      </c>
      <c r="K1319" t="s">
        <v>1467</v>
      </c>
      <c r="L1319">
        <v>1873300111323</v>
      </c>
      <c r="M1319">
        <v>20250527</v>
      </c>
      <c r="N1319" t="s">
        <v>3136</v>
      </c>
      <c r="Q1319" t="s">
        <v>170</v>
      </c>
      <c r="R1319">
        <v>4885.4399999999996</v>
      </c>
      <c r="S1319">
        <v>0</v>
      </c>
      <c r="T1319">
        <v>3743562</v>
      </c>
      <c r="U1319" t="s">
        <v>1484</v>
      </c>
      <c r="V1319" t="s">
        <v>1485</v>
      </c>
      <c r="W1319" t="s">
        <v>187</v>
      </c>
      <c r="Y1319" t="s">
        <v>51</v>
      </c>
      <c r="AH1319">
        <v>0</v>
      </c>
      <c r="AI1319">
        <v>202505</v>
      </c>
      <c r="AJ1319" t="s">
        <v>86</v>
      </c>
      <c r="AK1319">
        <v>1</v>
      </c>
      <c r="AL1319">
        <v>1</v>
      </c>
      <c r="AO1319">
        <v>1</v>
      </c>
      <c r="AP1319" t="s">
        <v>3015</v>
      </c>
      <c r="AQ1319" t="s">
        <v>3044</v>
      </c>
      <c r="AR1319" t="s">
        <v>3045</v>
      </c>
      <c r="AS1319" t="s">
        <v>3046</v>
      </c>
      <c r="AU1319" t="s">
        <v>3046</v>
      </c>
    </row>
    <row r="1320" spans="1:47" x14ac:dyDescent="0.35">
      <c r="A1320">
        <v>348375</v>
      </c>
      <c r="B1320" t="s">
        <v>193</v>
      </c>
      <c r="C1320" t="s">
        <v>194</v>
      </c>
      <c r="D1320" s="2">
        <v>45805</v>
      </c>
      <c r="E1320">
        <v>53850</v>
      </c>
      <c r="F1320">
        <v>102</v>
      </c>
      <c r="G1320" t="s">
        <v>151</v>
      </c>
      <c r="H1320" t="s">
        <v>167</v>
      </c>
      <c r="I1320" t="s">
        <v>45</v>
      </c>
      <c r="K1320">
        <v>202505278016504</v>
      </c>
      <c r="L1320">
        <v>1023308722503</v>
      </c>
      <c r="M1320">
        <v>20250527</v>
      </c>
      <c r="N1320" t="s">
        <v>195</v>
      </c>
      <c r="Q1320" t="s">
        <v>47</v>
      </c>
      <c r="R1320">
        <v>19630</v>
      </c>
      <c r="S1320">
        <v>19630</v>
      </c>
      <c r="T1320">
        <v>413650</v>
      </c>
      <c r="U1320">
        <v>3657230722</v>
      </c>
      <c r="V1320" t="s">
        <v>196</v>
      </c>
      <c r="W1320" t="s">
        <v>190</v>
      </c>
      <c r="X1320" t="s">
        <v>197</v>
      </c>
      <c r="Y1320" t="s">
        <v>51</v>
      </c>
      <c r="Z1320">
        <v>1306</v>
      </c>
      <c r="AH1320">
        <v>0</v>
      </c>
      <c r="AI1320">
        <v>202505</v>
      </c>
      <c r="AJ1320" t="s">
        <v>56</v>
      </c>
      <c r="AK1320">
        <v>0</v>
      </c>
      <c r="AL1320">
        <v>1</v>
      </c>
      <c r="AM1320">
        <v>413650</v>
      </c>
      <c r="AN1320">
        <v>1</v>
      </c>
      <c r="AO1320">
        <v>0</v>
      </c>
      <c r="AP1320" t="s">
        <v>3050</v>
      </c>
      <c r="AQ1320" t="s">
        <v>3047</v>
      </c>
      <c r="AR1320" t="s">
        <v>3051</v>
      </c>
      <c r="AS1320" t="s">
        <v>3049</v>
      </c>
      <c r="AU1320" t="s">
        <v>3049</v>
      </c>
    </row>
    <row r="1321" spans="1:47" x14ac:dyDescent="0.35">
      <c r="A1321">
        <v>348374</v>
      </c>
      <c r="B1321" t="s">
        <v>178</v>
      </c>
      <c r="C1321" t="s">
        <v>179</v>
      </c>
      <c r="D1321" s="2">
        <v>45805</v>
      </c>
      <c r="E1321">
        <v>53850</v>
      </c>
      <c r="F1321">
        <v>116</v>
      </c>
      <c r="G1321" t="s">
        <v>126</v>
      </c>
      <c r="H1321" t="s">
        <v>167</v>
      </c>
      <c r="I1321" t="s">
        <v>45</v>
      </c>
      <c r="K1321">
        <v>202505278014986</v>
      </c>
      <c r="L1321">
        <v>2173300010307</v>
      </c>
      <c r="M1321">
        <v>20250527</v>
      </c>
      <c r="N1321" t="s">
        <v>46</v>
      </c>
      <c r="P1321" t="s">
        <v>51</v>
      </c>
      <c r="Q1321" t="s">
        <v>47</v>
      </c>
      <c r="R1321">
        <v>2900000</v>
      </c>
      <c r="S1321">
        <v>0</v>
      </c>
      <c r="T1321">
        <v>4434879</v>
      </c>
      <c r="U1321">
        <v>1595620061</v>
      </c>
      <c r="V1321" t="s">
        <v>1443</v>
      </c>
      <c r="W1321" t="s">
        <v>49</v>
      </c>
      <c r="X1321" t="s">
        <v>1444</v>
      </c>
      <c r="Y1321" t="s">
        <v>51</v>
      </c>
      <c r="Z1321">
        <v>1696</v>
      </c>
      <c r="AH1321">
        <v>0</v>
      </c>
      <c r="AI1321">
        <v>202505</v>
      </c>
      <c r="AJ1321" t="s">
        <v>86</v>
      </c>
      <c r="AK1321">
        <v>1</v>
      </c>
      <c r="AL1321">
        <v>1</v>
      </c>
      <c r="AO1321">
        <v>0</v>
      </c>
      <c r="AP1321" t="s">
        <v>3015</v>
      </c>
      <c r="AQ1321" t="s">
        <v>3012</v>
      </c>
      <c r="AR1321" t="s">
        <v>3016</v>
      </c>
      <c r="AT1321" t="s">
        <v>3017</v>
      </c>
      <c r="AU1321" t="s">
        <v>3018</v>
      </c>
    </row>
    <row r="1322" spans="1:47" x14ac:dyDescent="0.35">
      <c r="A1322">
        <v>348373</v>
      </c>
      <c r="B1322" t="s">
        <v>193</v>
      </c>
      <c r="C1322" t="s">
        <v>194</v>
      </c>
      <c r="D1322" s="2">
        <v>45805</v>
      </c>
      <c r="E1322">
        <v>53850</v>
      </c>
      <c r="F1322">
        <v>171</v>
      </c>
      <c r="G1322" t="s">
        <v>198</v>
      </c>
      <c r="H1322" t="s">
        <v>167</v>
      </c>
      <c r="I1322" t="s">
        <v>45</v>
      </c>
      <c r="K1322" t="s">
        <v>1461</v>
      </c>
      <c r="L1322">
        <v>1713305728950</v>
      </c>
      <c r="M1322">
        <v>20250527</v>
      </c>
      <c r="N1322" t="s">
        <v>195</v>
      </c>
      <c r="Q1322" t="s">
        <v>47</v>
      </c>
      <c r="R1322">
        <v>189945</v>
      </c>
      <c r="S1322">
        <v>189945</v>
      </c>
      <c r="T1322">
        <v>572895</v>
      </c>
      <c r="U1322">
        <v>4161600723</v>
      </c>
      <c r="V1322" t="s">
        <v>199</v>
      </c>
      <c r="W1322" t="s">
        <v>49</v>
      </c>
      <c r="X1322" t="s">
        <v>200</v>
      </c>
      <c r="Y1322" t="s">
        <v>51</v>
      </c>
      <c r="Z1322">
        <v>1903</v>
      </c>
      <c r="AH1322">
        <v>0</v>
      </c>
      <c r="AI1322">
        <v>202505</v>
      </c>
      <c r="AJ1322" t="s">
        <v>86</v>
      </c>
      <c r="AK1322">
        <v>1</v>
      </c>
      <c r="AL1322">
        <v>1</v>
      </c>
      <c r="AM1322">
        <v>572895</v>
      </c>
      <c r="AN1322">
        <v>1</v>
      </c>
      <c r="AO1322">
        <v>0</v>
      </c>
      <c r="AP1322" t="s">
        <v>3015</v>
      </c>
      <c r="AQ1322" t="s">
        <v>3012</v>
      </c>
      <c r="AR1322" t="s">
        <v>3016</v>
      </c>
      <c r="AT1322" t="s">
        <v>3017</v>
      </c>
      <c r="AU1322" t="s">
        <v>3018</v>
      </c>
    </row>
    <row r="1323" spans="1:47" x14ac:dyDescent="0.35">
      <c r="A1323">
        <v>348372</v>
      </c>
      <c r="B1323" t="s">
        <v>193</v>
      </c>
      <c r="C1323" t="s">
        <v>194</v>
      </c>
      <c r="D1323" s="2">
        <v>45805</v>
      </c>
      <c r="E1323">
        <v>53850</v>
      </c>
      <c r="F1323">
        <v>104</v>
      </c>
      <c r="G1323" t="s">
        <v>108</v>
      </c>
      <c r="H1323" t="s">
        <v>167</v>
      </c>
      <c r="I1323" t="s">
        <v>45</v>
      </c>
      <c r="K1323" t="s">
        <v>1461</v>
      </c>
      <c r="L1323">
        <v>1043309509217</v>
      </c>
      <c r="M1323">
        <v>20250527</v>
      </c>
      <c r="N1323" t="s">
        <v>195</v>
      </c>
      <c r="Q1323" t="s">
        <v>47</v>
      </c>
      <c r="R1323">
        <v>70100</v>
      </c>
      <c r="S1323">
        <v>70100</v>
      </c>
      <c r="T1323">
        <v>4323562</v>
      </c>
      <c r="U1323" t="s">
        <v>665</v>
      </c>
      <c r="V1323" t="s">
        <v>666</v>
      </c>
      <c r="W1323" t="s">
        <v>69</v>
      </c>
      <c r="X1323" t="s">
        <v>55</v>
      </c>
      <c r="Y1323" t="s">
        <v>51</v>
      </c>
      <c r="Z1323">
        <v>1401</v>
      </c>
      <c r="AH1323">
        <v>0</v>
      </c>
      <c r="AI1323">
        <v>202505</v>
      </c>
      <c r="AJ1323" t="s">
        <v>56</v>
      </c>
      <c r="AK1323">
        <v>0</v>
      </c>
      <c r="AL1323">
        <v>1</v>
      </c>
      <c r="AM1323">
        <v>4323562</v>
      </c>
      <c r="AN1323">
        <v>1</v>
      </c>
      <c r="AO1323">
        <v>0</v>
      </c>
      <c r="AP1323" t="s">
        <v>3015</v>
      </c>
      <c r="AQ1323" t="s">
        <v>3021</v>
      </c>
      <c r="AR1323" t="s">
        <v>3022</v>
      </c>
      <c r="AT1323" t="s">
        <v>3017</v>
      </c>
      <c r="AU1323" t="s">
        <v>3014</v>
      </c>
    </row>
    <row r="1324" spans="1:47" x14ac:dyDescent="0.35">
      <c r="A1324">
        <v>348371</v>
      </c>
      <c r="B1324" t="s">
        <v>193</v>
      </c>
      <c r="C1324" t="s">
        <v>194</v>
      </c>
      <c r="D1324" s="2">
        <v>45805</v>
      </c>
      <c r="E1324">
        <v>53850</v>
      </c>
      <c r="F1324">
        <v>171</v>
      </c>
      <c r="G1324" t="s">
        <v>198</v>
      </c>
      <c r="H1324" t="s">
        <v>167</v>
      </c>
      <c r="I1324" t="s">
        <v>45</v>
      </c>
      <c r="K1324" t="s">
        <v>1461</v>
      </c>
      <c r="L1324">
        <v>1713302214147</v>
      </c>
      <c r="M1324">
        <v>20250527</v>
      </c>
      <c r="N1324" t="s">
        <v>195</v>
      </c>
      <c r="Q1324" t="s">
        <v>47</v>
      </c>
      <c r="R1324">
        <v>44835</v>
      </c>
      <c r="S1324">
        <v>44835</v>
      </c>
      <c r="T1324">
        <v>4199319</v>
      </c>
      <c r="U1324">
        <v>6037810725</v>
      </c>
      <c r="V1324" t="s">
        <v>1144</v>
      </c>
      <c r="W1324" t="s">
        <v>49</v>
      </c>
      <c r="X1324" t="s">
        <v>200</v>
      </c>
      <c r="Y1324" t="s">
        <v>51</v>
      </c>
      <c r="Z1324">
        <v>1903</v>
      </c>
      <c r="AH1324">
        <v>0</v>
      </c>
      <c r="AI1324">
        <v>202505</v>
      </c>
      <c r="AJ1324" t="s">
        <v>86</v>
      </c>
      <c r="AK1324">
        <v>1</v>
      </c>
      <c r="AL1324">
        <v>1</v>
      </c>
      <c r="AM1324">
        <v>4199319</v>
      </c>
      <c r="AN1324">
        <v>1</v>
      </c>
      <c r="AO1324">
        <v>0</v>
      </c>
      <c r="AP1324" t="s">
        <v>3015</v>
      </c>
      <c r="AQ1324" t="s">
        <v>3012</v>
      </c>
      <c r="AR1324" t="s">
        <v>3016</v>
      </c>
      <c r="AT1324" t="s">
        <v>3017</v>
      </c>
      <c r="AU1324" t="s">
        <v>3018</v>
      </c>
    </row>
    <row r="1325" spans="1:47" x14ac:dyDescent="0.35">
      <c r="A1325">
        <v>348370</v>
      </c>
      <c r="B1325" t="s">
        <v>178</v>
      </c>
      <c r="C1325" t="s">
        <v>179</v>
      </c>
      <c r="D1325" s="2">
        <v>45805</v>
      </c>
      <c r="E1325">
        <v>53850</v>
      </c>
      <c r="F1325">
        <v>120</v>
      </c>
      <c r="G1325" t="s">
        <v>411</v>
      </c>
      <c r="H1325" t="s">
        <v>167</v>
      </c>
      <c r="I1325" t="s">
        <v>45</v>
      </c>
      <c r="K1325">
        <v>202505278016206</v>
      </c>
      <c r="L1325">
        <v>1203300002401</v>
      </c>
      <c r="M1325">
        <v>20250527</v>
      </c>
      <c r="N1325" t="s">
        <v>46</v>
      </c>
      <c r="P1325" t="s">
        <v>51</v>
      </c>
      <c r="Q1325" t="s">
        <v>47</v>
      </c>
      <c r="R1325">
        <v>2500000</v>
      </c>
      <c r="S1325">
        <v>0</v>
      </c>
      <c r="T1325">
        <v>613876</v>
      </c>
      <c r="U1325">
        <v>574290722</v>
      </c>
      <c r="V1325" t="s">
        <v>545</v>
      </c>
      <c r="W1325" t="s">
        <v>546</v>
      </c>
      <c r="X1325" t="s">
        <v>421</v>
      </c>
      <c r="Y1325" t="s">
        <v>51</v>
      </c>
      <c r="Z1325">
        <v>1058</v>
      </c>
      <c r="AH1325">
        <v>0</v>
      </c>
      <c r="AI1325">
        <v>202505</v>
      </c>
      <c r="AJ1325" t="s">
        <v>56</v>
      </c>
      <c r="AK1325">
        <v>0</v>
      </c>
      <c r="AL1325">
        <v>1</v>
      </c>
      <c r="AM1325">
        <v>613876</v>
      </c>
      <c r="AN1325">
        <v>1</v>
      </c>
      <c r="AO1325">
        <v>0</v>
      </c>
      <c r="AP1325" t="s">
        <v>3015</v>
      </c>
      <c r="AQ1325" t="s">
        <v>3076</v>
      </c>
      <c r="AR1325" t="s">
        <v>3077</v>
      </c>
      <c r="AT1325" t="s">
        <v>3017</v>
      </c>
      <c r="AU1325" t="s">
        <v>3014</v>
      </c>
    </row>
    <row r="1326" spans="1:47" x14ac:dyDescent="0.35">
      <c r="A1326">
        <v>348369</v>
      </c>
      <c r="B1326" t="s">
        <v>193</v>
      </c>
      <c r="C1326" t="s">
        <v>194</v>
      </c>
      <c r="D1326" s="2">
        <v>45804</v>
      </c>
      <c r="E1326">
        <v>53850</v>
      </c>
      <c r="F1326">
        <v>118</v>
      </c>
      <c r="G1326" t="s">
        <v>254</v>
      </c>
      <c r="H1326" t="s">
        <v>167</v>
      </c>
      <c r="I1326" t="s">
        <v>45</v>
      </c>
      <c r="K1326">
        <v>202505268013894</v>
      </c>
      <c r="L1326">
        <v>1183306281318</v>
      </c>
      <c r="M1326">
        <v>20250526</v>
      </c>
      <c r="N1326" t="s">
        <v>266</v>
      </c>
      <c r="Q1326" t="s">
        <v>47</v>
      </c>
      <c r="R1326">
        <v>26300</v>
      </c>
      <c r="S1326">
        <v>26300</v>
      </c>
      <c r="T1326">
        <v>4615625</v>
      </c>
      <c r="U1326" t="s">
        <v>1486</v>
      </c>
      <c r="V1326" t="s">
        <v>1487</v>
      </c>
      <c r="W1326" t="s">
        <v>187</v>
      </c>
      <c r="Y1326" t="s">
        <v>51</v>
      </c>
      <c r="AH1326">
        <v>0</v>
      </c>
      <c r="AI1326">
        <v>202505</v>
      </c>
      <c r="AJ1326" t="s">
        <v>86</v>
      </c>
      <c r="AK1326">
        <v>1</v>
      </c>
      <c r="AL1326">
        <v>1</v>
      </c>
      <c r="AO1326">
        <v>0</v>
      </c>
      <c r="AP1326" t="s">
        <v>3015</v>
      </c>
      <c r="AQ1326" t="s">
        <v>3044</v>
      </c>
      <c r="AR1326" t="s">
        <v>3045</v>
      </c>
      <c r="AS1326" t="s">
        <v>3046</v>
      </c>
      <c r="AU1326" t="s">
        <v>3046</v>
      </c>
    </row>
    <row r="1327" spans="1:47" x14ac:dyDescent="0.35">
      <c r="A1327">
        <v>348368</v>
      </c>
      <c r="B1327" t="s">
        <v>178</v>
      </c>
      <c r="C1327" t="s">
        <v>179</v>
      </c>
      <c r="D1327" s="2">
        <v>45804</v>
      </c>
      <c r="E1327">
        <v>53850</v>
      </c>
      <c r="F1327">
        <v>102</v>
      </c>
      <c r="G1327" t="s">
        <v>151</v>
      </c>
      <c r="H1327" t="s">
        <v>167</v>
      </c>
      <c r="I1327" t="s">
        <v>45</v>
      </c>
      <c r="K1327" t="s">
        <v>1488</v>
      </c>
      <c r="L1327">
        <v>1023308724410</v>
      </c>
      <c r="M1327">
        <v>20250526</v>
      </c>
      <c r="N1327" t="s">
        <v>3136</v>
      </c>
      <c r="Q1327" t="s">
        <v>170</v>
      </c>
      <c r="R1327">
        <v>2739.9</v>
      </c>
      <c r="S1327">
        <v>0</v>
      </c>
      <c r="T1327">
        <v>528970</v>
      </c>
      <c r="U1327" t="s">
        <v>1489</v>
      </c>
      <c r="V1327" t="s">
        <v>1490</v>
      </c>
      <c r="W1327" t="s">
        <v>187</v>
      </c>
      <c r="Y1327" t="s">
        <v>51</v>
      </c>
      <c r="Z1327">
        <v>638</v>
      </c>
      <c r="AH1327">
        <v>0</v>
      </c>
      <c r="AI1327">
        <v>202505</v>
      </c>
      <c r="AJ1327" t="s">
        <v>86</v>
      </c>
      <c r="AK1327">
        <v>1</v>
      </c>
      <c r="AL1327">
        <v>1</v>
      </c>
      <c r="AO1327">
        <v>1</v>
      </c>
      <c r="AP1327" t="s">
        <v>3015</v>
      </c>
      <c r="AQ1327" t="s">
        <v>3044</v>
      </c>
      <c r="AR1327" t="s">
        <v>3045</v>
      </c>
      <c r="AS1327" t="s">
        <v>3046</v>
      </c>
      <c r="AU1327" t="s">
        <v>3046</v>
      </c>
    </row>
    <row r="1328" spans="1:47" x14ac:dyDescent="0.35">
      <c r="A1328">
        <v>348367</v>
      </c>
      <c r="B1328" t="s">
        <v>193</v>
      </c>
      <c r="C1328" t="s">
        <v>194</v>
      </c>
      <c r="D1328" s="2">
        <v>45804</v>
      </c>
      <c r="E1328">
        <v>53850</v>
      </c>
      <c r="F1328">
        <v>268</v>
      </c>
      <c r="G1328" t="s">
        <v>83</v>
      </c>
      <c r="H1328" t="s">
        <v>167</v>
      </c>
      <c r="I1328" t="s">
        <v>45</v>
      </c>
      <c r="K1328" t="s">
        <v>1491</v>
      </c>
      <c r="L1328">
        <v>2683300010030</v>
      </c>
      <c r="M1328">
        <v>20250526</v>
      </c>
      <c r="N1328" t="s">
        <v>195</v>
      </c>
      <c r="Q1328" t="s">
        <v>47</v>
      </c>
      <c r="R1328">
        <v>41055</v>
      </c>
      <c r="S1328">
        <v>41055</v>
      </c>
      <c r="T1328">
        <v>4966939</v>
      </c>
      <c r="U1328" t="s">
        <v>221</v>
      </c>
      <c r="V1328" t="s">
        <v>222</v>
      </c>
      <c r="W1328" t="s">
        <v>69</v>
      </c>
      <c r="X1328" t="s">
        <v>55</v>
      </c>
      <c r="Y1328" t="s">
        <v>51</v>
      </c>
      <c r="Z1328">
        <v>1870</v>
      </c>
      <c r="AH1328">
        <v>0</v>
      </c>
      <c r="AI1328">
        <v>202505</v>
      </c>
      <c r="AJ1328" t="s">
        <v>56</v>
      </c>
      <c r="AK1328">
        <v>0</v>
      </c>
      <c r="AL1328">
        <v>1</v>
      </c>
      <c r="AM1328">
        <v>4966939</v>
      </c>
      <c r="AN1328">
        <v>1</v>
      </c>
      <c r="AO1328">
        <v>0</v>
      </c>
      <c r="AP1328" t="s">
        <v>3015</v>
      </c>
      <c r="AQ1328" t="s">
        <v>3021</v>
      </c>
      <c r="AR1328" t="s">
        <v>3022</v>
      </c>
      <c r="AT1328" t="s">
        <v>3017</v>
      </c>
      <c r="AU1328" t="s">
        <v>3014</v>
      </c>
    </row>
    <row r="1329" spans="1:47" x14ac:dyDescent="0.35">
      <c r="A1329">
        <v>348366</v>
      </c>
      <c r="B1329" t="s">
        <v>178</v>
      </c>
      <c r="C1329" t="s">
        <v>179</v>
      </c>
      <c r="D1329" s="2">
        <v>45804</v>
      </c>
      <c r="E1329">
        <v>53850</v>
      </c>
      <c r="F1329">
        <v>111</v>
      </c>
      <c r="G1329" t="s">
        <v>458</v>
      </c>
      <c r="H1329" t="s">
        <v>167</v>
      </c>
      <c r="I1329" t="s">
        <v>45</v>
      </c>
      <c r="K1329">
        <v>202505268013858</v>
      </c>
      <c r="L1329">
        <v>1113302814198</v>
      </c>
      <c r="M1329">
        <v>20250526</v>
      </c>
      <c r="N1329" t="s">
        <v>3136</v>
      </c>
      <c r="Q1329" t="s">
        <v>170</v>
      </c>
      <c r="R1329">
        <v>11112.61</v>
      </c>
      <c r="S1329">
        <v>0</v>
      </c>
      <c r="T1329">
        <v>520760</v>
      </c>
      <c r="U1329" t="s">
        <v>1492</v>
      </c>
      <c r="V1329" t="s">
        <v>1493</v>
      </c>
      <c r="W1329" t="s">
        <v>187</v>
      </c>
      <c r="Y1329" t="s">
        <v>51</v>
      </c>
      <c r="Z1329">
        <v>445</v>
      </c>
      <c r="AH1329">
        <v>0</v>
      </c>
      <c r="AI1329">
        <v>202505</v>
      </c>
      <c r="AJ1329" t="s">
        <v>86</v>
      </c>
      <c r="AK1329">
        <v>1</v>
      </c>
      <c r="AL1329">
        <v>1</v>
      </c>
      <c r="AO1329">
        <v>1</v>
      </c>
      <c r="AP1329" t="s">
        <v>3015</v>
      </c>
      <c r="AQ1329" t="s">
        <v>3044</v>
      </c>
      <c r="AR1329" t="s">
        <v>3045</v>
      </c>
      <c r="AS1329" t="s">
        <v>3046</v>
      </c>
      <c r="AU1329" t="s">
        <v>3046</v>
      </c>
    </row>
    <row r="1330" spans="1:47" x14ac:dyDescent="0.35">
      <c r="A1330">
        <v>348365</v>
      </c>
      <c r="B1330" t="s">
        <v>178</v>
      </c>
      <c r="C1330" t="s">
        <v>179</v>
      </c>
      <c r="D1330" s="2">
        <v>45804</v>
      </c>
      <c r="E1330">
        <v>53850</v>
      </c>
      <c r="F1330">
        <v>277</v>
      </c>
      <c r="G1330" t="s">
        <v>505</v>
      </c>
      <c r="H1330" t="s">
        <v>167</v>
      </c>
      <c r="I1330" t="s">
        <v>45</v>
      </c>
      <c r="K1330">
        <v>202505268014273</v>
      </c>
      <c r="L1330">
        <v>2773300000981</v>
      </c>
      <c r="M1330">
        <v>20250526</v>
      </c>
      <c r="N1330" t="s">
        <v>3136</v>
      </c>
      <c r="Q1330" t="s">
        <v>170</v>
      </c>
      <c r="R1330">
        <v>8094.28</v>
      </c>
      <c r="S1330">
        <v>0</v>
      </c>
      <c r="T1330">
        <v>1676767</v>
      </c>
      <c r="U1330" t="s">
        <v>1494</v>
      </c>
      <c r="V1330" t="s">
        <v>1495</v>
      </c>
      <c r="W1330" t="s">
        <v>187</v>
      </c>
      <c r="Y1330" t="s">
        <v>51</v>
      </c>
      <c r="Z1330">
        <v>1790</v>
      </c>
      <c r="AH1330">
        <v>0</v>
      </c>
      <c r="AI1330">
        <v>202505</v>
      </c>
      <c r="AJ1330" t="s">
        <v>52</v>
      </c>
      <c r="AK1330">
        <v>0</v>
      </c>
      <c r="AL1330">
        <v>1</v>
      </c>
      <c r="AO1330">
        <v>1</v>
      </c>
      <c r="AP1330" t="s">
        <v>3015</v>
      </c>
      <c r="AQ1330" t="s">
        <v>3044</v>
      </c>
      <c r="AR1330" t="s">
        <v>3045</v>
      </c>
      <c r="AS1330" t="s">
        <v>3046</v>
      </c>
      <c r="AU1330" t="s">
        <v>3046</v>
      </c>
    </row>
    <row r="1331" spans="1:47" x14ac:dyDescent="0.35">
      <c r="A1331">
        <v>348364</v>
      </c>
      <c r="B1331" t="s">
        <v>214</v>
      </c>
      <c r="C1331" t="s">
        <v>215</v>
      </c>
      <c r="D1331" s="2">
        <v>45804</v>
      </c>
      <c r="E1331">
        <v>53850</v>
      </c>
      <c r="F1331">
        <v>141</v>
      </c>
      <c r="G1331" t="s">
        <v>105</v>
      </c>
      <c r="H1331" t="s">
        <v>167</v>
      </c>
      <c r="I1331" t="s">
        <v>45</v>
      </c>
      <c r="K1331">
        <v>202505268011348</v>
      </c>
      <c r="L1331">
        <v>1413300003985</v>
      </c>
      <c r="M1331">
        <v>20250526</v>
      </c>
      <c r="N1331" t="s">
        <v>168</v>
      </c>
      <c r="P1331" t="s">
        <v>217</v>
      </c>
      <c r="Q1331" t="s">
        <v>170</v>
      </c>
      <c r="R1331">
        <v>28000</v>
      </c>
      <c r="S1331">
        <v>0</v>
      </c>
      <c r="T1331">
        <v>4996689</v>
      </c>
      <c r="U1331">
        <v>80010360750</v>
      </c>
      <c r="V1331" t="s">
        <v>106</v>
      </c>
      <c r="W1331" t="s">
        <v>49</v>
      </c>
      <c r="X1331" t="s">
        <v>107</v>
      </c>
      <c r="Y1331" t="s">
        <v>51</v>
      </c>
      <c r="Z1331">
        <v>1940</v>
      </c>
      <c r="AH1331">
        <v>0</v>
      </c>
      <c r="AI1331">
        <v>202505</v>
      </c>
      <c r="AJ1331" t="s">
        <v>56</v>
      </c>
      <c r="AK1331">
        <v>0</v>
      </c>
      <c r="AL1331">
        <v>1</v>
      </c>
      <c r="AO1331">
        <v>0</v>
      </c>
      <c r="AP1331" t="s">
        <v>3024</v>
      </c>
      <c r="AQ1331" t="s">
        <v>3012</v>
      </c>
      <c r="AR1331" t="s">
        <v>3025</v>
      </c>
      <c r="AS1331" t="s">
        <v>3014</v>
      </c>
      <c r="AU1331" t="s">
        <v>3014</v>
      </c>
    </row>
    <row r="1332" spans="1:47" x14ac:dyDescent="0.35">
      <c r="A1332">
        <v>348363</v>
      </c>
      <c r="B1332" t="s">
        <v>178</v>
      </c>
      <c r="C1332" t="s">
        <v>179</v>
      </c>
      <c r="D1332" s="2">
        <v>45804</v>
      </c>
      <c r="E1332">
        <v>53850</v>
      </c>
      <c r="F1332">
        <v>103</v>
      </c>
      <c r="G1332" t="s">
        <v>80</v>
      </c>
      <c r="H1332" t="s">
        <v>167</v>
      </c>
      <c r="I1332" t="s">
        <v>45</v>
      </c>
      <c r="K1332">
        <v>202505268013774</v>
      </c>
      <c r="L1332">
        <v>1035500408029</v>
      </c>
      <c r="M1332">
        <v>20250526</v>
      </c>
      <c r="N1332" t="s">
        <v>794</v>
      </c>
      <c r="Q1332" t="s">
        <v>170</v>
      </c>
      <c r="R1332">
        <v>251379.54</v>
      </c>
      <c r="S1332">
        <v>0</v>
      </c>
      <c r="T1332">
        <v>4100632</v>
      </c>
      <c r="U1332" t="s">
        <v>1496</v>
      </c>
      <c r="V1332" t="s">
        <v>1497</v>
      </c>
      <c r="W1332" t="s">
        <v>69</v>
      </c>
      <c r="X1332" t="s">
        <v>131</v>
      </c>
      <c r="Y1332" t="s">
        <v>51</v>
      </c>
      <c r="Z1332">
        <v>995</v>
      </c>
      <c r="AH1332">
        <v>0</v>
      </c>
      <c r="AI1332">
        <v>202505</v>
      </c>
      <c r="AJ1332" t="s">
        <v>119</v>
      </c>
      <c r="AK1332">
        <v>1</v>
      </c>
      <c r="AL1332">
        <v>1</v>
      </c>
      <c r="AO1332">
        <v>0</v>
      </c>
      <c r="AP1332" t="s">
        <v>3033</v>
      </c>
      <c r="AQ1332" t="s">
        <v>3021</v>
      </c>
      <c r="AR1332" t="s">
        <v>3054</v>
      </c>
      <c r="AS1332" t="s">
        <v>3055</v>
      </c>
      <c r="AU1332" t="s">
        <v>3055</v>
      </c>
    </row>
    <row r="1333" spans="1:47" x14ac:dyDescent="0.35">
      <c r="A1333">
        <v>348362</v>
      </c>
      <c r="B1333" t="s">
        <v>178</v>
      </c>
      <c r="C1333" t="s">
        <v>179</v>
      </c>
      <c r="D1333" s="2">
        <v>45804</v>
      </c>
      <c r="E1333">
        <v>53850</v>
      </c>
      <c r="F1333">
        <v>187</v>
      </c>
      <c r="G1333" t="s">
        <v>251</v>
      </c>
      <c r="H1333" t="s">
        <v>167</v>
      </c>
      <c r="I1333" t="s">
        <v>45</v>
      </c>
      <c r="K1333">
        <v>202505268011589</v>
      </c>
      <c r="L1333">
        <v>999361870311</v>
      </c>
      <c r="M1333">
        <v>20250526</v>
      </c>
      <c r="N1333" t="s">
        <v>236</v>
      </c>
      <c r="P1333" t="s">
        <v>51</v>
      </c>
      <c r="Q1333" t="s">
        <v>170</v>
      </c>
      <c r="R1333">
        <v>1362805.46</v>
      </c>
      <c r="S1333">
        <v>0</v>
      </c>
      <c r="T1333">
        <v>3004644</v>
      </c>
      <c r="U1333">
        <v>80008750731</v>
      </c>
      <c r="V1333" t="s">
        <v>252</v>
      </c>
      <c r="W1333" t="s">
        <v>253</v>
      </c>
      <c r="Y1333" t="s">
        <v>51</v>
      </c>
      <c r="Z1333">
        <v>1627</v>
      </c>
      <c r="AH1333">
        <v>0</v>
      </c>
      <c r="AI1333">
        <v>202505</v>
      </c>
      <c r="AJ1333" t="s">
        <v>56</v>
      </c>
      <c r="AK1333">
        <v>0</v>
      </c>
      <c r="AL1333">
        <v>1</v>
      </c>
      <c r="AO1333">
        <v>0</v>
      </c>
      <c r="AP1333" t="s">
        <v>3015</v>
      </c>
      <c r="AQ1333" t="s">
        <v>3052</v>
      </c>
      <c r="AR1333" t="s">
        <v>3053</v>
      </c>
      <c r="AS1333" t="s">
        <v>3037</v>
      </c>
      <c r="AU1333" t="s">
        <v>3037</v>
      </c>
    </row>
    <row r="1334" spans="1:47" x14ac:dyDescent="0.35">
      <c r="A1334">
        <v>348361</v>
      </c>
      <c r="B1334" t="s">
        <v>178</v>
      </c>
      <c r="C1334" t="s">
        <v>179</v>
      </c>
      <c r="D1334" s="2">
        <v>45804</v>
      </c>
      <c r="E1334">
        <v>53850</v>
      </c>
      <c r="F1334">
        <v>111</v>
      </c>
      <c r="G1334" t="s">
        <v>458</v>
      </c>
      <c r="H1334" t="s">
        <v>167</v>
      </c>
      <c r="I1334" t="s">
        <v>45</v>
      </c>
      <c r="K1334">
        <v>202505268013858</v>
      </c>
      <c r="L1334">
        <v>1113302814198</v>
      </c>
      <c r="M1334">
        <v>20250526</v>
      </c>
      <c r="N1334" t="s">
        <v>3136</v>
      </c>
      <c r="Q1334" t="s">
        <v>170</v>
      </c>
      <c r="R1334">
        <v>11112.61</v>
      </c>
      <c r="S1334">
        <v>0</v>
      </c>
      <c r="T1334">
        <v>520852</v>
      </c>
      <c r="U1334" t="s">
        <v>1498</v>
      </c>
      <c r="V1334" t="s">
        <v>1499</v>
      </c>
      <c r="W1334" t="s">
        <v>187</v>
      </c>
      <c r="Y1334" t="s">
        <v>51</v>
      </c>
      <c r="Z1334">
        <v>445</v>
      </c>
      <c r="AH1334">
        <v>0</v>
      </c>
      <c r="AI1334">
        <v>202505</v>
      </c>
      <c r="AJ1334" t="s">
        <v>86</v>
      </c>
      <c r="AK1334">
        <v>1</v>
      </c>
      <c r="AL1334">
        <v>1</v>
      </c>
      <c r="AO1334">
        <v>1</v>
      </c>
      <c r="AP1334" t="s">
        <v>3015</v>
      </c>
      <c r="AQ1334" t="s">
        <v>3044</v>
      </c>
      <c r="AR1334" t="s">
        <v>3045</v>
      </c>
      <c r="AS1334" t="s">
        <v>3046</v>
      </c>
      <c r="AU1334" t="s">
        <v>3046</v>
      </c>
    </row>
    <row r="1335" spans="1:47" x14ac:dyDescent="0.35">
      <c r="A1335">
        <v>348360</v>
      </c>
      <c r="B1335" t="s">
        <v>193</v>
      </c>
      <c r="C1335" t="s">
        <v>194</v>
      </c>
      <c r="D1335" s="2">
        <v>45804</v>
      </c>
      <c r="E1335">
        <v>53850</v>
      </c>
      <c r="F1335">
        <v>118</v>
      </c>
      <c r="G1335" t="s">
        <v>254</v>
      </c>
      <c r="H1335" t="s">
        <v>167</v>
      </c>
      <c r="I1335" t="s">
        <v>45</v>
      </c>
      <c r="K1335">
        <v>202505268013894</v>
      </c>
      <c r="L1335">
        <v>1183306281318</v>
      </c>
      <c r="M1335">
        <v>20250526</v>
      </c>
      <c r="N1335" t="s">
        <v>266</v>
      </c>
      <c r="Q1335" t="s">
        <v>47</v>
      </c>
      <c r="R1335">
        <v>26300</v>
      </c>
      <c r="S1335">
        <v>26300</v>
      </c>
      <c r="T1335">
        <v>516605</v>
      </c>
      <c r="U1335" t="s">
        <v>1500</v>
      </c>
      <c r="V1335" t="s">
        <v>1501</v>
      </c>
      <c r="W1335" t="s">
        <v>187</v>
      </c>
      <c r="Y1335" t="s">
        <v>51</v>
      </c>
      <c r="Z1335">
        <v>724</v>
      </c>
      <c r="AH1335">
        <v>0</v>
      </c>
      <c r="AI1335">
        <v>202505</v>
      </c>
      <c r="AJ1335" t="s">
        <v>56</v>
      </c>
      <c r="AK1335">
        <v>0</v>
      </c>
      <c r="AL1335">
        <v>1</v>
      </c>
      <c r="AM1335">
        <v>516605</v>
      </c>
      <c r="AN1335">
        <v>1</v>
      </c>
      <c r="AO1335">
        <v>0</v>
      </c>
      <c r="AP1335" t="s">
        <v>3015</v>
      </c>
      <c r="AQ1335" t="s">
        <v>3044</v>
      </c>
      <c r="AR1335" t="s">
        <v>3045</v>
      </c>
      <c r="AS1335" t="s">
        <v>3046</v>
      </c>
      <c r="AU1335" t="s">
        <v>3046</v>
      </c>
    </row>
    <row r="1336" spans="1:47" x14ac:dyDescent="0.35">
      <c r="A1336">
        <v>348359</v>
      </c>
      <c r="B1336" t="s">
        <v>178</v>
      </c>
      <c r="C1336" t="s">
        <v>179</v>
      </c>
      <c r="D1336" s="2">
        <v>45804</v>
      </c>
      <c r="E1336">
        <v>53850</v>
      </c>
      <c r="F1336">
        <v>104</v>
      </c>
      <c r="G1336" t="s">
        <v>108</v>
      </c>
      <c r="H1336" t="s">
        <v>167</v>
      </c>
      <c r="I1336" t="s">
        <v>45</v>
      </c>
      <c r="K1336">
        <v>202505268012099</v>
      </c>
      <c r="L1336">
        <v>1043301450145</v>
      </c>
      <c r="M1336">
        <v>20250526</v>
      </c>
      <c r="N1336" t="s">
        <v>46</v>
      </c>
      <c r="P1336" t="s">
        <v>51</v>
      </c>
      <c r="Q1336" t="s">
        <v>47</v>
      </c>
      <c r="R1336">
        <v>827713.75</v>
      </c>
      <c r="S1336">
        <v>0</v>
      </c>
      <c r="T1336">
        <v>4903762</v>
      </c>
      <c r="U1336">
        <v>8138460723</v>
      </c>
      <c r="V1336" t="s">
        <v>1502</v>
      </c>
      <c r="W1336" t="s">
        <v>49</v>
      </c>
      <c r="X1336" t="s">
        <v>364</v>
      </c>
      <c r="Y1336" t="s">
        <v>51</v>
      </c>
      <c r="Z1336">
        <v>1696</v>
      </c>
      <c r="AH1336">
        <v>0</v>
      </c>
      <c r="AI1336">
        <v>202505</v>
      </c>
      <c r="AJ1336" t="s">
        <v>56</v>
      </c>
      <c r="AK1336">
        <v>0</v>
      </c>
      <c r="AL1336">
        <v>1</v>
      </c>
      <c r="AO1336">
        <v>0</v>
      </c>
      <c r="AP1336" t="s">
        <v>3062</v>
      </c>
      <c r="AQ1336" t="s">
        <v>3012</v>
      </c>
      <c r="AR1336" t="s">
        <v>3063</v>
      </c>
      <c r="AS1336" t="s">
        <v>3014</v>
      </c>
      <c r="AU1336" t="s">
        <v>3014</v>
      </c>
    </row>
    <row r="1337" spans="1:47" x14ac:dyDescent="0.35">
      <c r="A1337">
        <v>348358</v>
      </c>
      <c r="B1337" t="s">
        <v>172</v>
      </c>
      <c r="C1337" t="s">
        <v>173</v>
      </c>
      <c r="D1337" s="2">
        <v>45804</v>
      </c>
      <c r="E1337">
        <v>53850</v>
      </c>
      <c r="F1337">
        <v>116</v>
      </c>
      <c r="G1337" t="s">
        <v>126</v>
      </c>
      <c r="H1337" t="s">
        <v>167</v>
      </c>
      <c r="I1337" t="s">
        <v>45</v>
      </c>
      <c r="K1337" t="s">
        <v>1491</v>
      </c>
      <c r="L1337">
        <v>1163307623465</v>
      </c>
      <c r="M1337">
        <v>20250526</v>
      </c>
      <c r="N1337" t="s">
        <v>81</v>
      </c>
      <c r="Q1337" t="s">
        <v>47</v>
      </c>
      <c r="R1337">
        <v>100000</v>
      </c>
      <c r="S1337">
        <v>0</v>
      </c>
      <c r="T1337">
        <v>3738297</v>
      </c>
      <c r="U1337">
        <v>8684570727</v>
      </c>
      <c r="V1337" t="s">
        <v>469</v>
      </c>
      <c r="W1337" t="s">
        <v>49</v>
      </c>
      <c r="X1337" t="s">
        <v>364</v>
      </c>
      <c r="Y1337" t="s">
        <v>51</v>
      </c>
      <c r="Z1337">
        <v>739</v>
      </c>
      <c r="AH1337">
        <v>0</v>
      </c>
      <c r="AI1337">
        <v>202505</v>
      </c>
      <c r="AJ1337" t="s">
        <v>86</v>
      </c>
      <c r="AK1337">
        <v>1</v>
      </c>
      <c r="AL1337">
        <v>1</v>
      </c>
      <c r="AO1337">
        <v>0</v>
      </c>
      <c r="AP1337" t="s">
        <v>3062</v>
      </c>
      <c r="AQ1337" t="s">
        <v>3012</v>
      </c>
      <c r="AR1337" t="s">
        <v>3063</v>
      </c>
      <c r="AS1337" t="s">
        <v>3014</v>
      </c>
      <c r="AU1337" t="s">
        <v>3014</v>
      </c>
    </row>
    <row r="1338" spans="1:47" x14ac:dyDescent="0.35">
      <c r="A1338">
        <v>348357</v>
      </c>
      <c r="B1338" t="s">
        <v>193</v>
      </c>
      <c r="C1338" t="s">
        <v>194</v>
      </c>
      <c r="D1338" s="2">
        <v>45804</v>
      </c>
      <c r="E1338">
        <v>53850</v>
      </c>
      <c r="F1338">
        <v>279</v>
      </c>
      <c r="G1338" t="s">
        <v>587</v>
      </c>
      <c r="H1338" t="s">
        <v>167</v>
      </c>
      <c r="I1338" t="s">
        <v>45</v>
      </c>
      <c r="K1338">
        <v>202505268014281</v>
      </c>
      <c r="L1338">
        <v>2793300011670</v>
      </c>
      <c r="M1338">
        <v>20250526</v>
      </c>
      <c r="N1338" t="s">
        <v>266</v>
      </c>
      <c r="Q1338" t="s">
        <v>47</v>
      </c>
      <c r="R1338">
        <v>20000</v>
      </c>
      <c r="S1338">
        <v>20000</v>
      </c>
      <c r="T1338">
        <v>1681366</v>
      </c>
      <c r="U1338" t="s">
        <v>1503</v>
      </c>
      <c r="V1338" t="s">
        <v>1504</v>
      </c>
      <c r="W1338" t="s">
        <v>187</v>
      </c>
      <c r="Y1338" t="s">
        <v>51</v>
      </c>
      <c r="Z1338">
        <v>1854</v>
      </c>
      <c r="AH1338">
        <v>0</v>
      </c>
      <c r="AI1338">
        <v>202505</v>
      </c>
      <c r="AJ1338" t="s">
        <v>52</v>
      </c>
      <c r="AK1338">
        <v>0</v>
      </c>
      <c r="AL1338">
        <v>1</v>
      </c>
      <c r="AO1338">
        <v>0</v>
      </c>
      <c r="AP1338" t="s">
        <v>3015</v>
      </c>
      <c r="AQ1338" t="s">
        <v>3044</v>
      </c>
      <c r="AR1338" t="s">
        <v>3045</v>
      </c>
      <c r="AS1338" t="s">
        <v>3046</v>
      </c>
      <c r="AU1338" t="s">
        <v>3046</v>
      </c>
    </row>
    <row r="1339" spans="1:47" x14ac:dyDescent="0.35">
      <c r="A1339">
        <v>348356</v>
      </c>
      <c r="B1339" t="s">
        <v>193</v>
      </c>
      <c r="C1339" t="s">
        <v>194</v>
      </c>
      <c r="D1339" s="2">
        <v>45804</v>
      </c>
      <c r="E1339">
        <v>53850</v>
      </c>
      <c r="F1339">
        <v>104</v>
      </c>
      <c r="G1339" t="s">
        <v>108</v>
      </c>
      <c r="H1339" t="s">
        <v>167</v>
      </c>
      <c r="I1339" t="s">
        <v>45</v>
      </c>
      <c r="K1339" t="s">
        <v>1491</v>
      </c>
      <c r="L1339">
        <v>1043309509217</v>
      </c>
      <c r="M1339">
        <v>20250526</v>
      </c>
      <c r="N1339" t="s">
        <v>195</v>
      </c>
      <c r="Q1339" t="s">
        <v>47</v>
      </c>
      <c r="R1339">
        <v>50000</v>
      </c>
      <c r="S1339">
        <v>50000</v>
      </c>
      <c r="T1339">
        <v>4323562</v>
      </c>
      <c r="U1339" t="s">
        <v>665</v>
      </c>
      <c r="V1339" t="s">
        <v>666</v>
      </c>
      <c r="W1339" t="s">
        <v>69</v>
      </c>
      <c r="X1339" t="s">
        <v>55</v>
      </c>
      <c r="Y1339" t="s">
        <v>51</v>
      </c>
      <c r="Z1339">
        <v>1401</v>
      </c>
      <c r="AH1339">
        <v>0</v>
      </c>
      <c r="AI1339">
        <v>202505</v>
      </c>
      <c r="AJ1339" t="s">
        <v>56</v>
      </c>
      <c r="AK1339">
        <v>0</v>
      </c>
      <c r="AL1339">
        <v>1</v>
      </c>
      <c r="AM1339">
        <v>4323562</v>
      </c>
      <c r="AN1339">
        <v>1</v>
      </c>
      <c r="AO1339">
        <v>0</v>
      </c>
      <c r="AP1339" t="s">
        <v>3015</v>
      </c>
      <c r="AQ1339" t="s">
        <v>3021</v>
      </c>
      <c r="AR1339" t="s">
        <v>3022</v>
      </c>
      <c r="AT1339" t="s">
        <v>3017</v>
      </c>
      <c r="AU1339" t="s">
        <v>3014</v>
      </c>
    </row>
    <row r="1340" spans="1:47" x14ac:dyDescent="0.35">
      <c r="A1340">
        <v>348355</v>
      </c>
      <c r="B1340" t="s">
        <v>193</v>
      </c>
      <c r="C1340" t="s">
        <v>194</v>
      </c>
      <c r="D1340" s="2">
        <v>45804</v>
      </c>
      <c r="E1340">
        <v>53850</v>
      </c>
      <c r="F1340">
        <v>102</v>
      </c>
      <c r="G1340" t="s">
        <v>151</v>
      </c>
      <c r="H1340" t="s">
        <v>167</v>
      </c>
      <c r="I1340" t="s">
        <v>45</v>
      </c>
      <c r="K1340" t="s">
        <v>1491</v>
      </c>
      <c r="L1340">
        <v>1023300660520</v>
      </c>
      <c r="M1340">
        <v>20250526</v>
      </c>
      <c r="N1340" t="s">
        <v>175</v>
      </c>
      <c r="Q1340" t="s">
        <v>47</v>
      </c>
      <c r="R1340">
        <v>87515</v>
      </c>
      <c r="S1340">
        <v>39665</v>
      </c>
      <c r="T1340">
        <v>66052</v>
      </c>
      <c r="U1340">
        <v>398110726</v>
      </c>
      <c r="V1340" t="s">
        <v>426</v>
      </c>
      <c r="W1340" t="s">
        <v>49</v>
      </c>
      <c r="X1340" t="s">
        <v>59</v>
      </c>
      <c r="Y1340" t="s">
        <v>51</v>
      </c>
      <c r="Z1340">
        <v>1203</v>
      </c>
      <c r="AH1340">
        <v>0</v>
      </c>
      <c r="AI1340">
        <v>202505</v>
      </c>
      <c r="AJ1340" t="s">
        <v>119</v>
      </c>
      <c r="AK1340">
        <v>1</v>
      </c>
      <c r="AL1340">
        <v>1</v>
      </c>
      <c r="AM1340">
        <v>66052</v>
      </c>
      <c r="AN1340">
        <v>1</v>
      </c>
      <c r="AO1340">
        <v>1</v>
      </c>
      <c r="AP1340" t="s">
        <v>3015</v>
      </c>
      <c r="AQ1340" t="s">
        <v>3012</v>
      </c>
      <c r="AR1340" t="s">
        <v>3016</v>
      </c>
      <c r="AT1340" t="s">
        <v>3017</v>
      </c>
      <c r="AU1340" t="s">
        <v>3018</v>
      </c>
    </row>
    <row r="1341" spans="1:47" x14ac:dyDescent="0.35">
      <c r="A1341">
        <v>348354</v>
      </c>
      <c r="B1341" t="s">
        <v>178</v>
      </c>
      <c r="C1341" t="s">
        <v>179</v>
      </c>
      <c r="D1341" s="2">
        <v>45804</v>
      </c>
      <c r="E1341">
        <v>53850</v>
      </c>
      <c r="F1341">
        <v>200</v>
      </c>
      <c r="G1341" t="s">
        <v>858</v>
      </c>
      <c r="H1341" t="s">
        <v>167</v>
      </c>
      <c r="I1341" t="s">
        <v>45</v>
      </c>
      <c r="K1341">
        <v>202505268012515</v>
      </c>
      <c r="L1341">
        <v>2003300003846</v>
      </c>
      <c r="M1341">
        <v>20250526</v>
      </c>
      <c r="N1341" t="s">
        <v>46</v>
      </c>
      <c r="P1341" t="s">
        <v>51</v>
      </c>
      <c r="Q1341" t="s">
        <v>47</v>
      </c>
      <c r="R1341">
        <v>295000</v>
      </c>
      <c r="S1341">
        <v>0</v>
      </c>
      <c r="T1341">
        <v>3742834</v>
      </c>
      <c r="U1341" t="s">
        <v>1505</v>
      </c>
      <c r="V1341" t="s">
        <v>1506</v>
      </c>
      <c r="W1341" t="s">
        <v>187</v>
      </c>
      <c r="Y1341" t="s">
        <v>51</v>
      </c>
      <c r="Z1341">
        <v>1837</v>
      </c>
      <c r="AH1341">
        <v>0</v>
      </c>
      <c r="AI1341">
        <v>202505</v>
      </c>
      <c r="AJ1341" t="s">
        <v>52</v>
      </c>
      <c r="AK1341">
        <v>0</v>
      </c>
      <c r="AL1341">
        <v>1</v>
      </c>
      <c r="AO1341">
        <v>0</v>
      </c>
      <c r="AP1341" t="s">
        <v>3015</v>
      </c>
      <c r="AQ1341" t="s">
        <v>3044</v>
      </c>
      <c r="AR1341" t="s">
        <v>3045</v>
      </c>
      <c r="AS1341" t="s">
        <v>3046</v>
      </c>
      <c r="AU1341" t="s">
        <v>3046</v>
      </c>
    </row>
    <row r="1342" spans="1:47" x14ac:dyDescent="0.35">
      <c r="A1342">
        <v>348353</v>
      </c>
      <c r="B1342" t="s">
        <v>178</v>
      </c>
      <c r="C1342" t="s">
        <v>179</v>
      </c>
      <c r="D1342" s="2">
        <v>45804</v>
      </c>
      <c r="E1342">
        <v>53850</v>
      </c>
      <c r="F1342">
        <v>200</v>
      </c>
      <c r="G1342" t="s">
        <v>858</v>
      </c>
      <c r="H1342" t="s">
        <v>167</v>
      </c>
      <c r="I1342" t="s">
        <v>45</v>
      </c>
      <c r="K1342">
        <v>202505268012515</v>
      </c>
      <c r="L1342">
        <v>2003300003846</v>
      </c>
      <c r="M1342">
        <v>20250526</v>
      </c>
      <c r="N1342" t="s">
        <v>46</v>
      </c>
      <c r="P1342" t="s">
        <v>51</v>
      </c>
      <c r="Q1342" t="s">
        <v>47</v>
      </c>
      <c r="R1342">
        <v>295000</v>
      </c>
      <c r="S1342">
        <v>0</v>
      </c>
      <c r="T1342">
        <v>3742853</v>
      </c>
      <c r="U1342" t="s">
        <v>1507</v>
      </c>
      <c r="V1342" t="s">
        <v>1508</v>
      </c>
      <c r="W1342" t="s">
        <v>187</v>
      </c>
      <c r="Y1342" t="s">
        <v>51</v>
      </c>
      <c r="Z1342">
        <v>1837</v>
      </c>
      <c r="AH1342">
        <v>0</v>
      </c>
      <c r="AI1342">
        <v>202505</v>
      </c>
      <c r="AJ1342" t="s">
        <v>52</v>
      </c>
      <c r="AK1342">
        <v>0</v>
      </c>
      <c r="AL1342">
        <v>1</v>
      </c>
      <c r="AO1342">
        <v>0</v>
      </c>
      <c r="AP1342" t="s">
        <v>3015</v>
      </c>
      <c r="AQ1342" t="s">
        <v>3044</v>
      </c>
      <c r="AR1342" t="s">
        <v>3045</v>
      </c>
      <c r="AS1342" t="s">
        <v>3046</v>
      </c>
      <c r="AU1342" t="s">
        <v>3046</v>
      </c>
    </row>
    <row r="1343" spans="1:47" x14ac:dyDescent="0.35">
      <c r="A1343">
        <v>348352</v>
      </c>
      <c r="B1343" t="s">
        <v>178</v>
      </c>
      <c r="C1343" t="s">
        <v>179</v>
      </c>
      <c r="D1343" s="2">
        <v>45804</v>
      </c>
      <c r="E1343">
        <v>53850</v>
      </c>
      <c r="F1343">
        <v>200</v>
      </c>
      <c r="G1343" t="s">
        <v>858</v>
      </c>
      <c r="H1343" t="s">
        <v>167</v>
      </c>
      <c r="I1343" t="s">
        <v>45</v>
      </c>
      <c r="K1343">
        <v>202505268014187</v>
      </c>
      <c r="L1343">
        <v>2003300003805</v>
      </c>
      <c r="M1343">
        <v>20250526</v>
      </c>
      <c r="N1343" t="s">
        <v>236</v>
      </c>
      <c r="P1343" t="s">
        <v>51</v>
      </c>
      <c r="Q1343" t="s">
        <v>170</v>
      </c>
      <c r="R1343">
        <v>250000</v>
      </c>
      <c r="S1343">
        <v>0</v>
      </c>
      <c r="T1343">
        <v>3738733</v>
      </c>
      <c r="U1343" t="s">
        <v>1509</v>
      </c>
      <c r="V1343" t="s">
        <v>1510</v>
      </c>
      <c r="W1343" t="s">
        <v>187</v>
      </c>
      <c r="Y1343" t="s">
        <v>51</v>
      </c>
      <c r="Z1343">
        <v>1837</v>
      </c>
      <c r="AH1343">
        <v>0</v>
      </c>
      <c r="AI1343">
        <v>202505</v>
      </c>
      <c r="AJ1343" t="s">
        <v>52</v>
      </c>
      <c r="AK1343">
        <v>0</v>
      </c>
      <c r="AL1343">
        <v>1</v>
      </c>
      <c r="AO1343">
        <v>0</v>
      </c>
      <c r="AP1343" t="s">
        <v>3015</v>
      </c>
      <c r="AQ1343" t="s">
        <v>3044</v>
      </c>
      <c r="AR1343" t="s">
        <v>3045</v>
      </c>
      <c r="AS1343" t="s">
        <v>3046</v>
      </c>
      <c r="AU1343" t="s">
        <v>3046</v>
      </c>
    </row>
    <row r="1344" spans="1:47" x14ac:dyDescent="0.35">
      <c r="A1344">
        <v>348351</v>
      </c>
      <c r="B1344" t="s">
        <v>172</v>
      </c>
      <c r="C1344" t="s">
        <v>173</v>
      </c>
      <c r="D1344" s="2">
        <v>45804</v>
      </c>
      <c r="E1344">
        <v>53850</v>
      </c>
      <c r="F1344">
        <v>103</v>
      </c>
      <c r="G1344" t="s">
        <v>80</v>
      </c>
      <c r="H1344" t="s">
        <v>167</v>
      </c>
      <c r="I1344" t="s">
        <v>45</v>
      </c>
      <c r="K1344">
        <v>202505268013775</v>
      </c>
      <c r="L1344">
        <v>1033306986134</v>
      </c>
      <c r="M1344">
        <v>20250526</v>
      </c>
      <c r="N1344" t="s">
        <v>266</v>
      </c>
      <c r="Q1344" t="s">
        <v>47</v>
      </c>
      <c r="R1344">
        <v>251379.54</v>
      </c>
      <c r="S1344">
        <v>0</v>
      </c>
      <c r="T1344">
        <v>4100632</v>
      </c>
      <c r="U1344" t="s">
        <v>1496</v>
      </c>
      <c r="V1344" t="s">
        <v>1497</v>
      </c>
      <c r="W1344" t="s">
        <v>69</v>
      </c>
      <c r="X1344" t="s">
        <v>131</v>
      </c>
      <c r="Y1344" t="s">
        <v>51</v>
      </c>
      <c r="Z1344">
        <v>995</v>
      </c>
      <c r="AH1344">
        <v>0</v>
      </c>
      <c r="AI1344">
        <v>202505</v>
      </c>
      <c r="AJ1344" t="s">
        <v>119</v>
      </c>
      <c r="AK1344">
        <v>1</v>
      </c>
      <c r="AL1344">
        <v>1</v>
      </c>
      <c r="AO1344">
        <v>0</v>
      </c>
      <c r="AP1344" t="s">
        <v>3033</v>
      </c>
      <c r="AQ1344" t="s">
        <v>3021</v>
      </c>
      <c r="AR1344" t="s">
        <v>3054</v>
      </c>
      <c r="AS1344" t="s">
        <v>3055</v>
      </c>
      <c r="AU1344" t="s">
        <v>3055</v>
      </c>
    </row>
    <row r="1345" spans="1:47" x14ac:dyDescent="0.35">
      <c r="A1345">
        <v>348350</v>
      </c>
      <c r="B1345" t="s">
        <v>178</v>
      </c>
      <c r="C1345" t="s">
        <v>179</v>
      </c>
      <c r="D1345" s="2">
        <v>45804</v>
      </c>
      <c r="E1345">
        <v>53850</v>
      </c>
      <c r="F1345">
        <v>109</v>
      </c>
      <c r="G1345" t="s">
        <v>89</v>
      </c>
      <c r="H1345" t="s">
        <v>167</v>
      </c>
      <c r="I1345" t="s">
        <v>45</v>
      </c>
      <c r="K1345">
        <v>202505268011368</v>
      </c>
      <c r="L1345">
        <v>1093306672844</v>
      </c>
      <c r="M1345">
        <v>20250526</v>
      </c>
      <c r="N1345" t="s">
        <v>236</v>
      </c>
      <c r="P1345" t="s">
        <v>51</v>
      </c>
      <c r="Q1345" t="s">
        <v>170</v>
      </c>
      <c r="R1345">
        <v>700000</v>
      </c>
      <c r="S1345">
        <v>0</v>
      </c>
      <c r="T1345">
        <v>440311</v>
      </c>
      <c r="U1345">
        <v>3550290724</v>
      </c>
      <c r="V1345" t="s">
        <v>90</v>
      </c>
      <c r="W1345" t="s">
        <v>49</v>
      </c>
      <c r="X1345" t="s">
        <v>91</v>
      </c>
      <c r="Y1345" t="s">
        <v>51</v>
      </c>
      <c r="Z1345">
        <v>1903</v>
      </c>
      <c r="AH1345">
        <v>0</v>
      </c>
      <c r="AI1345">
        <v>202505</v>
      </c>
      <c r="AJ1345" t="s">
        <v>56</v>
      </c>
      <c r="AK1345">
        <v>0</v>
      </c>
      <c r="AL1345">
        <v>1</v>
      </c>
      <c r="AM1345">
        <v>440311</v>
      </c>
      <c r="AN1345">
        <v>1</v>
      </c>
      <c r="AO1345">
        <v>0</v>
      </c>
      <c r="AP1345" t="s">
        <v>1100</v>
      </c>
      <c r="AQ1345" t="s">
        <v>3012</v>
      </c>
      <c r="AR1345" t="s">
        <v>3023</v>
      </c>
      <c r="AS1345" t="s">
        <v>3014</v>
      </c>
      <c r="AU1345" t="s">
        <v>3014</v>
      </c>
    </row>
    <row r="1346" spans="1:47" x14ac:dyDescent="0.35">
      <c r="A1346">
        <v>348349</v>
      </c>
      <c r="B1346" t="s">
        <v>164</v>
      </c>
      <c r="C1346" t="s">
        <v>165</v>
      </c>
      <c r="D1346" s="2">
        <v>45804</v>
      </c>
      <c r="E1346">
        <v>53850</v>
      </c>
      <c r="F1346">
        <v>282</v>
      </c>
      <c r="G1346" t="s">
        <v>433</v>
      </c>
      <c r="H1346" t="s">
        <v>167</v>
      </c>
      <c r="I1346" t="s">
        <v>45</v>
      </c>
      <c r="K1346" t="s">
        <v>1511</v>
      </c>
      <c r="L1346">
        <v>2823300001773</v>
      </c>
      <c r="M1346">
        <v>20250526</v>
      </c>
      <c r="N1346" t="s">
        <v>168</v>
      </c>
      <c r="P1346" t="s">
        <v>435</v>
      </c>
      <c r="Q1346" t="s">
        <v>47</v>
      </c>
      <c r="R1346">
        <v>3000</v>
      </c>
      <c r="S1346">
        <v>0</v>
      </c>
      <c r="T1346">
        <v>1669726</v>
      </c>
      <c r="U1346" t="s">
        <v>436</v>
      </c>
      <c r="V1346" t="s">
        <v>437</v>
      </c>
      <c r="W1346" t="s">
        <v>187</v>
      </c>
      <c r="Y1346" t="s">
        <v>51</v>
      </c>
      <c r="Z1346">
        <v>1802</v>
      </c>
      <c r="AH1346">
        <v>0</v>
      </c>
      <c r="AI1346">
        <v>202505</v>
      </c>
      <c r="AJ1346" t="s">
        <v>52</v>
      </c>
      <c r="AK1346">
        <v>0</v>
      </c>
      <c r="AL1346">
        <v>1</v>
      </c>
      <c r="AO1346">
        <v>0</v>
      </c>
      <c r="AP1346" t="s">
        <v>3015</v>
      </c>
      <c r="AQ1346" t="s">
        <v>3044</v>
      </c>
      <c r="AR1346" t="s">
        <v>3045</v>
      </c>
      <c r="AS1346" t="s">
        <v>3046</v>
      </c>
      <c r="AU1346" t="s">
        <v>3046</v>
      </c>
    </row>
    <row r="1347" spans="1:47" x14ac:dyDescent="0.35">
      <c r="A1347">
        <v>348348</v>
      </c>
      <c r="B1347" t="s">
        <v>193</v>
      </c>
      <c r="C1347" t="s">
        <v>194</v>
      </c>
      <c r="D1347" s="2">
        <v>45804</v>
      </c>
      <c r="E1347">
        <v>53850</v>
      </c>
      <c r="F1347">
        <v>196</v>
      </c>
      <c r="G1347" t="s">
        <v>567</v>
      </c>
      <c r="H1347" t="s">
        <v>167</v>
      </c>
      <c r="I1347" t="s">
        <v>45</v>
      </c>
      <c r="K1347" t="s">
        <v>1491</v>
      </c>
      <c r="L1347">
        <v>1963302353452</v>
      </c>
      <c r="M1347">
        <v>20250526</v>
      </c>
      <c r="N1347" t="s">
        <v>195</v>
      </c>
      <c r="Q1347" t="s">
        <v>47</v>
      </c>
      <c r="R1347">
        <v>33950</v>
      </c>
      <c r="S1347">
        <v>33950</v>
      </c>
      <c r="T1347">
        <v>4084962</v>
      </c>
      <c r="U1347" t="s">
        <v>1512</v>
      </c>
      <c r="V1347" t="s">
        <v>1513</v>
      </c>
      <c r="W1347" t="s">
        <v>342</v>
      </c>
      <c r="X1347" t="s">
        <v>590</v>
      </c>
      <c r="Y1347" t="s">
        <v>51</v>
      </c>
      <c r="Z1347">
        <v>1945</v>
      </c>
      <c r="AH1347">
        <v>0</v>
      </c>
      <c r="AI1347">
        <v>202505</v>
      </c>
      <c r="AJ1347" t="s">
        <v>56</v>
      </c>
      <c r="AK1347">
        <v>0</v>
      </c>
      <c r="AL1347">
        <v>1</v>
      </c>
      <c r="AM1347">
        <v>4084962</v>
      </c>
      <c r="AN1347">
        <v>1</v>
      </c>
      <c r="AO1347">
        <v>0</v>
      </c>
      <c r="AP1347" t="s">
        <v>3015</v>
      </c>
      <c r="AQ1347" t="s">
        <v>3060</v>
      </c>
      <c r="AR1347" t="s">
        <v>3061</v>
      </c>
      <c r="AT1347" t="s">
        <v>3017</v>
      </c>
      <c r="AU1347" t="s">
        <v>3014</v>
      </c>
    </row>
    <row r="1348" spans="1:47" x14ac:dyDescent="0.35">
      <c r="A1348">
        <v>348347</v>
      </c>
      <c r="B1348" t="s">
        <v>193</v>
      </c>
      <c r="C1348" t="s">
        <v>194</v>
      </c>
      <c r="D1348" s="2">
        <v>45804</v>
      </c>
      <c r="E1348">
        <v>53850</v>
      </c>
      <c r="F1348">
        <v>267</v>
      </c>
      <c r="G1348" t="s">
        <v>349</v>
      </c>
      <c r="H1348" t="s">
        <v>167</v>
      </c>
      <c r="I1348" t="s">
        <v>45</v>
      </c>
      <c r="K1348" t="s">
        <v>1491</v>
      </c>
      <c r="L1348">
        <v>2673300003600</v>
      </c>
      <c r="M1348">
        <v>20250526</v>
      </c>
      <c r="N1348" t="s">
        <v>175</v>
      </c>
      <c r="Q1348" t="s">
        <v>47</v>
      </c>
      <c r="R1348">
        <v>98000</v>
      </c>
      <c r="S1348">
        <v>97000</v>
      </c>
      <c r="T1348">
        <v>1705101</v>
      </c>
      <c r="U1348">
        <v>2896870793</v>
      </c>
      <c r="V1348" t="s">
        <v>439</v>
      </c>
      <c r="W1348" t="s">
        <v>190</v>
      </c>
      <c r="X1348" t="s">
        <v>200</v>
      </c>
      <c r="Y1348" t="s">
        <v>51</v>
      </c>
      <c r="Z1348">
        <v>1878</v>
      </c>
      <c r="AH1348">
        <v>0</v>
      </c>
      <c r="AI1348">
        <v>202505</v>
      </c>
      <c r="AJ1348" t="s">
        <v>56</v>
      </c>
      <c r="AK1348">
        <v>0</v>
      </c>
      <c r="AL1348">
        <v>1</v>
      </c>
      <c r="AM1348">
        <v>1705101</v>
      </c>
      <c r="AN1348">
        <v>1</v>
      </c>
      <c r="AO1348">
        <v>1</v>
      </c>
      <c r="AP1348" t="s">
        <v>3015</v>
      </c>
      <c r="AQ1348" t="s">
        <v>3047</v>
      </c>
      <c r="AR1348" t="s">
        <v>3056</v>
      </c>
      <c r="AT1348" t="s">
        <v>3017</v>
      </c>
      <c r="AU1348" t="s">
        <v>3057</v>
      </c>
    </row>
    <row r="1349" spans="1:47" x14ac:dyDescent="0.35">
      <c r="A1349">
        <v>348346</v>
      </c>
      <c r="B1349" t="s">
        <v>193</v>
      </c>
      <c r="C1349" t="s">
        <v>194</v>
      </c>
      <c r="D1349" s="2">
        <v>45804</v>
      </c>
      <c r="E1349">
        <v>53850</v>
      </c>
      <c r="F1349">
        <v>104</v>
      </c>
      <c r="G1349" t="s">
        <v>108</v>
      </c>
      <c r="H1349" t="s">
        <v>167</v>
      </c>
      <c r="I1349" t="s">
        <v>45</v>
      </c>
      <c r="K1349" t="s">
        <v>1491</v>
      </c>
      <c r="L1349">
        <v>1043309505529</v>
      </c>
      <c r="M1349">
        <v>20250526</v>
      </c>
      <c r="N1349" t="s">
        <v>175</v>
      </c>
      <c r="Q1349" t="s">
        <v>47</v>
      </c>
      <c r="R1349">
        <v>115125</v>
      </c>
      <c r="S1349">
        <v>65125</v>
      </c>
      <c r="T1349">
        <v>4222821</v>
      </c>
      <c r="U1349">
        <v>6131230721</v>
      </c>
      <c r="V1349" t="s">
        <v>697</v>
      </c>
      <c r="W1349" t="s">
        <v>49</v>
      </c>
      <c r="X1349" t="s">
        <v>698</v>
      </c>
      <c r="Y1349" t="s">
        <v>51</v>
      </c>
      <c r="Z1349">
        <v>727</v>
      </c>
      <c r="AH1349">
        <v>0</v>
      </c>
      <c r="AI1349">
        <v>202505</v>
      </c>
      <c r="AJ1349" t="s">
        <v>52</v>
      </c>
      <c r="AK1349">
        <v>0</v>
      </c>
      <c r="AL1349">
        <v>1</v>
      </c>
      <c r="AM1349">
        <v>4222821</v>
      </c>
      <c r="AN1349">
        <v>1</v>
      </c>
      <c r="AO1349">
        <v>1</v>
      </c>
      <c r="AP1349" t="s">
        <v>3015</v>
      </c>
      <c r="AQ1349" t="s">
        <v>3012</v>
      </c>
      <c r="AR1349" t="s">
        <v>3016</v>
      </c>
      <c r="AT1349" t="s">
        <v>3017</v>
      </c>
      <c r="AU1349" t="s">
        <v>3018</v>
      </c>
    </row>
    <row r="1350" spans="1:47" x14ac:dyDescent="0.35">
      <c r="A1350">
        <v>348345</v>
      </c>
      <c r="B1350" t="s">
        <v>193</v>
      </c>
      <c r="C1350" t="s">
        <v>194</v>
      </c>
      <c r="D1350" s="2">
        <v>45804</v>
      </c>
      <c r="E1350">
        <v>53850</v>
      </c>
      <c r="F1350">
        <v>102</v>
      </c>
      <c r="G1350" t="s">
        <v>151</v>
      </c>
      <c r="H1350" t="s">
        <v>167</v>
      </c>
      <c r="I1350" t="s">
        <v>45</v>
      </c>
      <c r="K1350">
        <v>202505268013084</v>
      </c>
      <c r="L1350">
        <v>1023308722503</v>
      </c>
      <c r="M1350">
        <v>20250526</v>
      </c>
      <c r="N1350" t="s">
        <v>195</v>
      </c>
      <c r="Q1350" t="s">
        <v>47</v>
      </c>
      <c r="R1350">
        <v>23660</v>
      </c>
      <c r="S1350">
        <v>23660</v>
      </c>
      <c r="T1350">
        <v>413650</v>
      </c>
      <c r="U1350">
        <v>3657230722</v>
      </c>
      <c r="V1350" t="s">
        <v>196</v>
      </c>
      <c r="W1350" t="s">
        <v>190</v>
      </c>
      <c r="X1350" t="s">
        <v>197</v>
      </c>
      <c r="Y1350" t="s">
        <v>51</v>
      </c>
      <c r="Z1350">
        <v>1306</v>
      </c>
      <c r="AH1350">
        <v>0</v>
      </c>
      <c r="AI1350">
        <v>202505</v>
      </c>
      <c r="AJ1350" t="s">
        <v>56</v>
      </c>
      <c r="AK1350">
        <v>0</v>
      </c>
      <c r="AL1350">
        <v>1</v>
      </c>
      <c r="AM1350">
        <v>413650</v>
      </c>
      <c r="AN1350">
        <v>1</v>
      </c>
      <c r="AO1350">
        <v>0</v>
      </c>
      <c r="AP1350" t="s">
        <v>3050</v>
      </c>
      <c r="AQ1350" t="s">
        <v>3047</v>
      </c>
      <c r="AR1350" t="s">
        <v>3051</v>
      </c>
      <c r="AS1350" t="s">
        <v>3049</v>
      </c>
      <c r="AU1350" t="s">
        <v>3049</v>
      </c>
    </row>
    <row r="1351" spans="1:47" x14ac:dyDescent="0.35">
      <c r="A1351">
        <v>348344</v>
      </c>
      <c r="B1351" t="s">
        <v>193</v>
      </c>
      <c r="C1351" t="s">
        <v>194</v>
      </c>
      <c r="D1351" s="2">
        <v>45804</v>
      </c>
      <c r="E1351">
        <v>53850</v>
      </c>
      <c r="F1351">
        <v>114</v>
      </c>
      <c r="G1351" t="s">
        <v>188</v>
      </c>
      <c r="H1351" t="s">
        <v>167</v>
      </c>
      <c r="I1351" t="s">
        <v>45</v>
      </c>
      <c r="K1351" t="s">
        <v>1491</v>
      </c>
      <c r="L1351">
        <v>1143306280621</v>
      </c>
      <c r="M1351">
        <v>20250526</v>
      </c>
      <c r="N1351" t="s">
        <v>266</v>
      </c>
      <c r="Q1351" t="s">
        <v>47</v>
      </c>
      <c r="R1351">
        <v>72800</v>
      </c>
      <c r="S1351">
        <v>72800</v>
      </c>
      <c r="T1351">
        <v>4658875</v>
      </c>
      <c r="U1351">
        <v>3230890711</v>
      </c>
      <c r="V1351" t="s">
        <v>1363</v>
      </c>
      <c r="W1351" t="s">
        <v>49</v>
      </c>
      <c r="X1351" t="s">
        <v>131</v>
      </c>
      <c r="Y1351" t="s">
        <v>51</v>
      </c>
      <c r="Z1351">
        <v>870</v>
      </c>
      <c r="AH1351">
        <v>0</v>
      </c>
      <c r="AI1351">
        <v>202505</v>
      </c>
      <c r="AJ1351" t="s">
        <v>56</v>
      </c>
      <c r="AK1351">
        <v>0</v>
      </c>
      <c r="AL1351">
        <v>1</v>
      </c>
      <c r="AM1351">
        <v>4658875</v>
      </c>
      <c r="AN1351">
        <v>1</v>
      </c>
      <c r="AO1351">
        <v>0</v>
      </c>
      <c r="AP1351" t="s">
        <v>3033</v>
      </c>
      <c r="AQ1351" t="s">
        <v>3012</v>
      </c>
      <c r="AR1351" t="s">
        <v>3034</v>
      </c>
      <c r="AS1351" t="s">
        <v>3014</v>
      </c>
      <c r="AU1351" t="s">
        <v>3014</v>
      </c>
    </row>
    <row r="1352" spans="1:47" x14ac:dyDescent="0.35">
      <c r="A1352">
        <v>348343</v>
      </c>
      <c r="B1352" t="s">
        <v>193</v>
      </c>
      <c r="C1352" t="s">
        <v>194</v>
      </c>
      <c r="D1352" s="2">
        <v>45804</v>
      </c>
      <c r="E1352">
        <v>53850</v>
      </c>
      <c r="F1352">
        <v>182</v>
      </c>
      <c r="G1352" t="s">
        <v>318</v>
      </c>
      <c r="H1352" t="s">
        <v>167</v>
      </c>
      <c r="I1352" t="s">
        <v>45</v>
      </c>
      <c r="K1352" t="s">
        <v>1491</v>
      </c>
      <c r="L1352">
        <v>1823300169301</v>
      </c>
      <c r="M1352">
        <v>20250526</v>
      </c>
      <c r="N1352" t="s">
        <v>195</v>
      </c>
      <c r="Q1352" t="s">
        <v>47</v>
      </c>
      <c r="R1352">
        <v>31745</v>
      </c>
      <c r="S1352">
        <v>31745</v>
      </c>
      <c r="T1352">
        <v>4284957</v>
      </c>
      <c r="U1352" t="s">
        <v>455</v>
      </c>
      <c r="V1352" t="s">
        <v>456</v>
      </c>
      <c r="W1352" t="s">
        <v>69</v>
      </c>
      <c r="X1352" t="s">
        <v>197</v>
      </c>
      <c r="Y1352" t="s">
        <v>51</v>
      </c>
      <c r="Z1352">
        <v>1656</v>
      </c>
      <c r="AH1352">
        <v>0</v>
      </c>
      <c r="AI1352">
        <v>202505</v>
      </c>
      <c r="AJ1352" t="s">
        <v>56</v>
      </c>
      <c r="AK1352">
        <v>0</v>
      </c>
      <c r="AL1352">
        <v>1</v>
      </c>
      <c r="AM1352">
        <v>4284957</v>
      </c>
      <c r="AN1352">
        <v>1</v>
      </c>
      <c r="AO1352">
        <v>0</v>
      </c>
      <c r="AP1352" t="s">
        <v>3050</v>
      </c>
      <c r="AQ1352" t="s">
        <v>3021</v>
      </c>
      <c r="AR1352" t="s">
        <v>3070</v>
      </c>
      <c r="AS1352" t="s">
        <v>3055</v>
      </c>
      <c r="AU1352" t="s">
        <v>3055</v>
      </c>
    </row>
    <row r="1353" spans="1:47" x14ac:dyDescent="0.35">
      <c r="A1353">
        <v>348342</v>
      </c>
      <c r="B1353" t="s">
        <v>172</v>
      </c>
      <c r="C1353" t="s">
        <v>173</v>
      </c>
      <c r="D1353" s="2">
        <v>45804</v>
      </c>
      <c r="E1353">
        <v>53850</v>
      </c>
      <c r="F1353">
        <v>128</v>
      </c>
      <c r="G1353" t="s">
        <v>94</v>
      </c>
      <c r="H1353" t="s">
        <v>167</v>
      </c>
      <c r="I1353" t="s">
        <v>45</v>
      </c>
      <c r="K1353" t="s">
        <v>1491</v>
      </c>
      <c r="L1353">
        <v>1093306674353</v>
      </c>
      <c r="M1353">
        <v>20250526</v>
      </c>
      <c r="N1353" t="s">
        <v>175</v>
      </c>
      <c r="Q1353" t="s">
        <v>47</v>
      </c>
      <c r="R1353">
        <v>139000</v>
      </c>
      <c r="S1353">
        <v>12500</v>
      </c>
      <c r="T1353">
        <v>4916449</v>
      </c>
      <c r="U1353">
        <v>8176830720</v>
      </c>
      <c r="V1353" t="s">
        <v>98</v>
      </c>
      <c r="W1353" t="s">
        <v>49</v>
      </c>
      <c r="X1353" t="s">
        <v>91</v>
      </c>
      <c r="Y1353" t="s">
        <v>51</v>
      </c>
      <c r="Z1353">
        <v>1903</v>
      </c>
      <c r="AH1353">
        <v>0</v>
      </c>
      <c r="AI1353">
        <v>202505</v>
      </c>
      <c r="AJ1353" t="s">
        <v>56</v>
      </c>
      <c r="AK1353">
        <v>0</v>
      </c>
      <c r="AL1353">
        <v>1</v>
      </c>
      <c r="AM1353">
        <v>4916449</v>
      </c>
      <c r="AN1353">
        <v>1</v>
      </c>
      <c r="AO1353">
        <v>1</v>
      </c>
      <c r="AP1353" t="s">
        <v>1100</v>
      </c>
      <c r="AQ1353" t="s">
        <v>3012</v>
      </c>
      <c r="AR1353" t="s">
        <v>3023</v>
      </c>
      <c r="AS1353" t="s">
        <v>3014</v>
      </c>
      <c r="AU1353" t="s">
        <v>3014</v>
      </c>
    </row>
    <row r="1354" spans="1:47" x14ac:dyDescent="0.35">
      <c r="A1354">
        <v>348341</v>
      </c>
      <c r="B1354" t="s">
        <v>178</v>
      </c>
      <c r="C1354" t="s">
        <v>179</v>
      </c>
      <c r="D1354" s="2">
        <v>45804</v>
      </c>
      <c r="E1354">
        <v>53850</v>
      </c>
      <c r="F1354">
        <v>200</v>
      </c>
      <c r="G1354" t="s">
        <v>858</v>
      </c>
      <c r="H1354" t="s">
        <v>167</v>
      </c>
      <c r="I1354" t="s">
        <v>45</v>
      </c>
      <c r="K1354">
        <v>202505268014187</v>
      </c>
      <c r="L1354">
        <v>2003300003805</v>
      </c>
      <c r="M1354">
        <v>20250526</v>
      </c>
      <c r="N1354" t="s">
        <v>236</v>
      </c>
      <c r="P1354" t="s">
        <v>51</v>
      </c>
      <c r="Q1354" t="s">
        <v>170</v>
      </c>
      <c r="R1354">
        <v>250000</v>
      </c>
      <c r="S1354">
        <v>0</v>
      </c>
      <c r="T1354">
        <v>3738734</v>
      </c>
      <c r="U1354" t="s">
        <v>1514</v>
      </c>
      <c r="V1354" t="s">
        <v>1515</v>
      </c>
      <c r="W1354" t="s">
        <v>187</v>
      </c>
      <c r="Y1354" t="s">
        <v>51</v>
      </c>
      <c r="Z1354">
        <v>1837</v>
      </c>
      <c r="AH1354">
        <v>0</v>
      </c>
      <c r="AI1354">
        <v>202505</v>
      </c>
      <c r="AJ1354" t="s">
        <v>52</v>
      </c>
      <c r="AK1354">
        <v>0</v>
      </c>
      <c r="AL1354">
        <v>1</v>
      </c>
      <c r="AO1354">
        <v>0</v>
      </c>
      <c r="AP1354" t="s">
        <v>3015</v>
      </c>
      <c r="AQ1354" t="s">
        <v>3044</v>
      </c>
      <c r="AR1354" t="s">
        <v>3045</v>
      </c>
      <c r="AS1354" t="s">
        <v>3046</v>
      </c>
      <c r="AU1354" t="s">
        <v>3046</v>
      </c>
    </row>
    <row r="1355" spans="1:47" x14ac:dyDescent="0.35">
      <c r="A1355">
        <v>348340</v>
      </c>
      <c r="B1355" t="s">
        <v>178</v>
      </c>
      <c r="C1355" t="s">
        <v>179</v>
      </c>
      <c r="D1355" s="2">
        <v>45804</v>
      </c>
      <c r="E1355">
        <v>53850</v>
      </c>
      <c r="F1355">
        <v>120</v>
      </c>
      <c r="G1355" t="s">
        <v>411</v>
      </c>
      <c r="H1355" t="s">
        <v>167</v>
      </c>
      <c r="I1355" t="s">
        <v>45</v>
      </c>
      <c r="K1355">
        <v>202505268011662</v>
      </c>
      <c r="L1355">
        <v>1203300002401</v>
      </c>
      <c r="M1355">
        <v>20250526</v>
      </c>
      <c r="N1355" t="s">
        <v>310</v>
      </c>
      <c r="Q1355" t="s">
        <v>170</v>
      </c>
      <c r="R1355">
        <v>3208144.83</v>
      </c>
      <c r="S1355">
        <v>0</v>
      </c>
      <c r="T1355">
        <v>613876</v>
      </c>
      <c r="U1355">
        <v>574290722</v>
      </c>
      <c r="V1355" t="s">
        <v>545</v>
      </c>
      <c r="W1355" t="s">
        <v>546</v>
      </c>
      <c r="X1355" t="s">
        <v>421</v>
      </c>
      <c r="Y1355" t="s">
        <v>51</v>
      </c>
      <c r="Z1355">
        <v>1058</v>
      </c>
      <c r="AH1355">
        <v>0</v>
      </c>
      <c r="AI1355">
        <v>202505</v>
      </c>
      <c r="AJ1355" t="s">
        <v>56</v>
      </c>
      <c r="AK1355">
        <v>0</v>
      </c>
      <c r="AL1355">
        <v>1</v>
      </c>
      <c r="AM1355">
        <v>613876</v>
      </c>
      <c r="AN1355">
        <v>1</v>
      </c>
      <c r="AO1355">
        <v>0</v>
      </c>
      <c r="AP1355" t="s">
        <v>3015</v>
      </c>
      <c r="AQ1355" t="s">
        <v>3076</v>
      </c>
      <c r="AR1355" t="s">
        <v>3077</v>
      </c>
      <c r="AT1355" t="s">
        <v>3017</v>
      </c>
      <c r="AU1355" t="s">
        <v>3014</v>
      </c>
    </row>
    <row r="1356" spans="1:47" x14ac:dyDescent="0.35">
      <c r="A1356">
        <v>348339</v>
      </c>
      <c r="B1356" t="s">
        <v>172</v>
      </c>
      <c r="C1356" t="s">
        <v>173</v>
      </c>
      <c r="D1356" s="2">
        <v>45804</v>
      </c>
      <c r="E1356">
        <v>53850</v>
      </c>
      <c r="F1356">
        <v>104</v>
      </c>
      <c r="G1356" t="s">
        <v>108</v>
      </c>
      <c r="H1356" t="s">
        <v>167</v>
      </c>
      <c r="I1356" t="s">
        <v>45</v>
      </c>
      <c r="K1356" t="s">
        <v>1491</v>
      </c>
      <c r="L1356">
        <v>1043309505529</v>
      </c>
      <c r="M1356">
        <v>20250526</v>
      </c>
      <c r="N1356" t="s">
        <v>175</v>
      </c>
      <c r="Q1356" t="s">
        <v>47</v>
      </c>
      <c r="R1356">
        <v>115125</v>
      </c>
      <c r="S1356">
        <v>65125</v>
      </c>
      <c r="T1356">
        <v>4222821</v>
      </c>
      <c r="U1356">
        <v>6131230721</v>
      </c>
      <c r="V1356" t="s">
        <v>697</v>
      </c>
      <c r="W1356" t="s">
        <v>49</v>
      </c>
      <c r="X1356" t="s">
        <v>698</v>
      </c>
      <c r="Y1356" t="s">
        <v>51</v>
      </c>
      <c r="Z1356">
        <v>727</v>
      </c>
      <c r="AH1356">
        <v>0</v>
      </c>
      <c r="AI1356">
        <v>202505</v>
      </c>
      <c r="AJ1356" t="s">
        <v>52</v>
      </c>
      <c r="AK1356">
        <v>0</v>
      </c>
      <c r="AL1356">
        <v>1</v>
      </c>
      <c r="AM1356">
        <v>4222821</v>
      </c>
      <c r="AN1356">
        <v>1</v>
      </c>
      <c r="AO1356">
        <v>1</v>
      </c>
      <c r="AP1356" t="s">
        <v>3015</v>
      </c>
      <c r="AQ1356" t="s">
        <v>3012</v>
      </c>
      <c r="AR1356" t="s">
        <v>3016</v>
      </c>
      <c r="AT1356" t="s">
        <v>3017</v>
      </c>
      <c r="AU1356" t="s">
        <v>3018</v>
      </c>
    </row>
    <row r="1357" spans="1:47" x14ac:dyDescent="0.35">
      <c r="A1357">
        <v>348338</v>
      </c>
      <c r="B1357" t="s">
        <v>164</v>
      </c>
      <c r="C1357" t="s">
        <v>165</v>
      </c>
      <c r="D1357" s="2">
        <v>45804</v>
      </c>
      <c r="E1357">
        <v>53850</v>
      </c>
      <c r="F1357">
        <v>282</v>
      </c>
      <c r="G1357" t="s">
        <v>433</v>
      </c>
      <c r="H1357" t="s">
        <v>167</v>
      </c>
      <c r="I1357" t="s">
        <v>45</v>
      </c>
      <c r="K1357" t="s">
        <v>1516</v>
      </c>
      <c r="L1357">
        <v>2823300001773</v>
      </c>
      <c r="M1357">
        <v>20250526</v>
      </c>
      <c r="N1357" t="s">
        <v>168</v>
      </c>
      <c r="P1357" t="s">
        <v>435</v>
      </c>
      <c r="Q1357" t="s">
        <v>47</v>
      </c>
      <c r="R1357">
        <v>3000</v>
      </c>
      <c r="S1357">
        <v>0</v>
      </c>
      <c r="T1357">
        <v>1669726</v>
      </c>
      <c r="U1357" t="s">
        <v>436</v>
      </c>
      <c r="V1357" t="s">
        <v>437</v>
      </c>
      <c r="W1357" t="s">
        <v>187</v>
      </c>
      <c r="Y1357" t="s">
        <v>51</v>
      </c>
      <c r="Z1357">
        <v>1802</v>
      </c>
      <c r="AH1357">
        <v>0</v>
      </c>
      <c r="AI1357">
        <v>202505</v>
      </c>
      <c r="AJ1357" t="s">
        <v>52</v>
      </c>
      <c r="AK1357">
        <v>0</v>
      </c>
      <c r="AL1357">
        <v>1</v>
      </c>
      <c r="AO1357">
        <v>0</v>
      </c>
      <c r="AP1357" t="s">
        <v>3015</v>
      </c>
      <c r="AQ1357" t="s">
        <v>3044</v>
      </c>
      <c r="AR1357" t="s">
        <v>3045</v>
      </c>
      <c r="AS1357" t="s">
        <v>3046</v>
      </c>
      <c r="AU1357" t="s">
        <v>3046</v>
      </c>
    </row>
    <row r="1358" spans="1:47" x14ac:dyDescent="0.35">
      <c r="A1358">
        <v>348337</v>
      </c>
      <c r="B1358" t="s">
        <v>178</v>
      </c>
      <c r="C1358" t="s">
        <v>179</v>
      </c>
      <c r="D1358" s="2">
        <v>45804</v>
      </c>
      <c r="E1358">
        <v>53850</v>
      </c>
      <c r="F1358">
        <v>286</v>
      </c>
      <c r="G1358" t="s">
        <v>408</v>
      </c>
      <c r="H1358" t="s">
        <v>167</v>
      </c>
      <c r="I1358" t="s">
        <v>45</v>
      </c>
      <c r="K1358">
        <v>202505268012474</v>
      </c>
      <c r="L1358">
        <v>2863300000284</v>
      </c>
      <c r="M1358">
        <v>20250526</v>
      </c>
      <c r="N1358" t="s">
        <v>46</v>
      </c>
      <c r="P1358" t="s">
        <v>51</v>
      </c>
      <c r="Q1358" t="s">
        <v>47</v>
      </c>
      <c r="R1358">
        <v>1967111.99</v>
      </c>
      <c r="S1358">
        <v>0</v>
      </c>
      <c r="T1358">
        <v>1604848</v>
      </c>
      <c r="U1358">
        <v>80000480691</v>
      </c>
      <c r="V1358" t="s">
        <v>1517</v>
      </c>
      <c r="W1358" t="s">
        <v>183</v>
      </c>
      <c r="X1358" t="s">
        <v>1518</v>
      </c>
      <c r="Y1358" t="s">
        <v>51</v>
      </c>
      <c r="Z1358">
        <v>1935</v>
      </c>
      <c r="AH1358">
        <v>0</v>
      </c>
      <c r="AI1358">
        <v>202505</v>
      </c>
      <c r="AJ1358" t="s">
        <v>56</v>
      </c>
      <c r="AK1358">
        <v>0</v>
      </c>
      <c r="AL1358">
        <v>1</v>
      </c>
      <c r="AO1358">
        <v>0</v>
      </c>
      <c r="AP1358" t="s">
        <v>3015</v>
      </c>
      <c r="AQ1358" t="s">
        <v>3042</v>
      </c>
      <c r="AR1358" t="s">
        <v>3043</v>
      </c>
      <c r="AT1358" t="s">
        <v>3017</v>
      </c>
      <c r="AU1358" t="s">
        <v>3037</v>
      </c>
    </row>
    <row r="1359" spans="1:47" x14ac:dyDescent="0.35">
      <c r="A1359">
        <v>348336</v>
      </c>
      <c r="B1359" t="s">
        <v>172</v>
      </c>
      <c r="C1359" t="s">
        <v>173</v>
      </c>
      <c r="D1359" s="2">
        <v>45804</v>
      </c>
      <c r="E1359">
        <v>53850</v>
      </c>
      <c r="F1359">
        <v>161</v>
      </c>
      <c r="G1359" t="s">
        <v>111</v>
      </c>
      <c r="H1359" t="s">
        <v>167</v>
      </c>
      <c r="I1359" t="s">
        <v>45</v>
      </c>
      <c r="K1359" t="s">
        <v>1491</v>
      </c>
      <c r="L1359">
        <v>1613300029653</v>
      </c>
      <c r="M1359">
        <v>20250526</v>
      </c>
      <c r="N1359" t="s">
        <v>175</v>
      </c>
      <c r="Q1359" t="s">
        <v>47</v>
      </c>
      <c r="R1359">
        <v>110891.36</v>
      </c>
      <c r="S1359">
        <v>5200</v>
      </c>
      <c r="T1359">
        <v>4088769</v>
      </c>
      <c r="U1359">
        <v>5150120722</v>
      </c>
      <c r="V1359" t="s">
        <v>270</v>
      </c>
      <c r="W1359" t="s">
        <v>49</v>
      </c>
      <c r="X1359" t="s">
        <v>110</v>
      </c>
      <c r="Y1359" t="s">
        <v>51</v>
      </c>
      <c r="Z1359">
        <v>1903</v>
      </c>
      <c r="AH1359">
        <v>0</v>
      </c>
      <c r="AI1359">
        <v>202505</v>
      </c>
      <c r="AJ1359" t="s">
        <v>56</v>
      </c>
      <c r="AK1359">
        <v>0</v>
      </c>
      <c r="AL1359">
        <v>1</v>
      </c>
      <c r="AM1359">
        <v>4088769</v>
      </c>
      <c r="AN1359">
        <v>1</v>
      </c>
      <c r="AO1359">
        <v>1</v>
      </c>
      <c r="AP1359" t="s">
        <v>3026</v>
      </c>
      <c r="AQ1359" t="s">
        <v>3012</v>
      </c>
      <c r="AR1359" t="s">
        <v>3027</v>
      </c>
      <c r="AS1359" t="s">
        <v>3028</v>
      </c>
      <c r="AU1359" t="s">
        <v>3028</v>
      </c>
    </row>
    <row r="1360" spans="1:47" x14ac:dyDescent="0.35">
      <c r="A1360">
        <v>348335</v>
      </c>
      <c r="B1360" t="s">
        <v>193</v>
      </c>
      <c r="C1360" t="s">
        <v>194</v>
      </c>
      <c r="D1360" s="2">
        <v>45804</v>
      </c>
      <c r="E1360">
        <v>53850</v>
      </c>
      <c r="F1360">
        <v>116</v>
      </c>
      <c r="G1360" t="s">
        <v>126</v>
      </c>
      <c r="H1360" t="s">
        <v>167</v>
      </c>
      <c r="I1360" t="s">
        <v>45</v>
      </c>
      <c r="K1360">
        <v>202505268013600</v>
      </c>
      <c r="L1360">
        <v>2343300010453</v>
      </c>
      <c r="M1360">
        <v>20250526</v>
      </c>
      <c r="N1360" t="s">
        <v>195</v>
      </c>
      <c r="Q1360" t="s">
        <v>47</v>
      </c>
      <c r="R1360">
        <v>166465.5</v>
      </c>
      <c r="S1360">
        <v>166465.5</v>
      </c>
      <c r="T1360">
        <v>4247777</v>
      </c>
      <c r="U1360">
        <v>233470236</v>
      </c>
      <c r="V1360" t="s">
        <v>206</v>
      </c>
      <c r="W1360" t="s">
        <v>49</v>
      </c>
      <c r="X1360" t="s">
        <v>117</v>
      </c>
      <c r="Y1360" t="s">
        <v>51</v>
      </c>
      <c r="Z1360">
        <v>1696</v>
      </c>
      <c r="AH1360">
        <v>0</v>
      </c>
      <c r="AI1360">
        <v>202505</v>
      </c>
      <c r="AJ1360" t="s">
        <v>114</v>
      </c>
      <c r="AK1360">
        <v>1</v>
      </c>
      <c r="AL1360">
        <v>1</v>
      </c>
      <c r="AM1360">
        <v>4247777</v>
      </c>
      <c r="AN1360">
        <v>1</v>
      </c>
      <c r="AO1360">
        <v>0</v>
      </c>
      <c r="AP1360" t="s">
        <v>3029</v>
      </c>
      <c r="AQ1360" t="s">
        <v>3012</v>
      </c>
      <c r="AR1360" t="s">
        <v>3030</v>
      </c>
      <c r="AS1360" t="s">
        <v>3014</v>
      </c>
      <c r="AU1360" t="s">
        <v>3014</v>
      </c>
    </row>
    <row r="1361" spans="1:47" x14ac:dyDescent="0.35">
      <c r="A1361">
        <v>348334</v>
      </c>
      <c r="B1361" t="s">
        <v>172</v>
      </c>
      <c r="C1361" t="s">
        <v>173</v>
      </c>
      <c r="D1361" s="2">
        <v>45804</v>
      </c>
      <c r="E1361">
        <v>53850</v>
      </c>
      <c r="F1361">
        <v>116</v>
      </c>
      <c r="G1361" t="s">
        <v>126</v>
      </c>
      <c r="H1361" t="s">
        <v>167</v>
      </c>
      <c r="I1361" t="s">
        <v>45</v>
      </c>
      <c r="K1361">
        <v>202505268013600</v>
      </c>
      <c r="L1361">
        <v>2343300010453</v>
      </c>
      <c r="M1361">
        <v>20250526</v>
      </c>
      <c r="N1361" t="s">
        <v>195</v>
      </c>
      <c r="Q1361" t="s">
        <v>47</v>
      </c>
      <c r="R1361">
        <v>166465.5</v>
      </c>
      <c r="S1361">
        <v>166465.5</v>
      </c>
      <c r="T1361">
        <v>4247777</v>
      </c>
      <c r="U1361">
        <v>233470236</v>
      </c>
      <c r="V1361" t="s">
        <v>206</v>
      </c>
      <c r="W1361" t="s">
        <v>49</v>
      </c>
      <c r="X1361" t="s">
        <v>117</v>
      </c>
      <c r="Y1361" t="s">
        <v>51</v>
      </c>
      <c r="Z1361">
        <v>1696</v>
      </c>
      <c r="AH1361">
        <v>0</v>
      </c>
      <c r="AI1361">
        <v>202505</v>
      </c>
      <c r="AJ1361" t="s">
        <v>114</v>
      </c>
      <c r="AK1361">
        <v>1</v>
      </c>
      <c r="AL1361">
        <v>1</v>
      </c>
      <c r="AM1361">
        <v>4247777</v>
      </c>
      <c r="AN1361">
        <v>1</v>
      </c>
      <c r="AO1361">
        <v>0</v>
      </c>
      <c r="AP1361" t="s">
        <v>3029</v>
      </c>
      <c r="AQ1361" t="s">
        <v>3012</v>
      </c>
      <c r="AR1361" t="s">
        <v>3030</v>
      </c>
      <c r="AS1361" t="s">
        <v>3014</v>
      </c>
      <c r="AU1361" t="s">
        <v>3014</v>
      </c>
    </row>
    <row r="1362" spans="1:47" x14ac:dyDescent="0.35">
      <c r="A1362">
        <v>348333</v>
      </c>
      <c r="B1362" t="s">
        <v>172</v>
      </c>
      <c r="C1362" t="s">
        <v>173</v>
      </c>
      <c r="D1362" s="2">
        <v>45804</v>
      </c>
      <c r="E1362">
        <v>53850</v>
      </c>
      <c r="F1362">
        <v>267</v>
      </c>
      <c r="G1362" t="s">
        <v>349</v>
      </c>
      <c r="H1362" t="s">
        <v>167</v>
      </c>
      <c r="I1362" t="s">
        <v>45</v>
      </c>
      <c r="K1362" t="s">
        <v>1491</v>
      </c>
      <c r="L1362">
        <v>2673300003600</v>
      </c>
      <c r="M1362">
        <v>20250526</v>
      </c>
      <c r="N1362" t="s">
        <v>175</v>
      </c>
      <c r="Q1362" t="s">
        <v>47</v>
      </c>
      <c r="R1362">
        <v>98000</v>
      </c>
      <c r="S1362">
        <v>97000</v>
      </c>
      <c r="T1362">
        <v>1705101</v>
      </c>
      <c r="U1362">
        <v>2896870793</v>
      </c>
      <c r="V1362" t="s">
        <v>439</v>
      </c>
      <c r="W1362" t="s">
        <v>190</v>
      </c>
      <c r="X1362" t="s">
        <v>200</v>
      </c>
      <c r="Y1362" t="s">
        <v>51</v>
      </c>
      <c r="Z1362">
        <v>1878</v>
      </c>
      <c r="AH1362">
        <v>0</v>
      </c>
      <c r="AI1362">
        <v>202505</v>
      </c>
      <c r="AJ1362" t="s">
        <v>56</v>
      </c>
      <c r="AK1362">
        <v>0</v>
      </c>
      <c r="AL1362">
        <v>1</v>
      </c>
      <c r="AM1362">
        <v>1705101</v>
      </c>
      <c r="AN1362">
        <v>1</v>
      </c>
      <c r="AO1362">
        <v>1</v>
      </c>
      <c r="AP1362" t="s">
        <v>3015</v>
      </c>
      <c r="AQ1362" t="s">
        <v>3047</v>
      </c>
      <c r="AR1362" t="s">
        <v>3056</v>
      </c>
      <c r="AT1362" t="s">
        <v>3017</v>
      </c>
      <c r="AU1362" t="s">
        <v>3057</v>
      </c>
    </row>
    <row r="1363" spans="1:47" x14ac:dyDescent="0.35">
      <c r="A1363">
        <v>348332</v>
      </c>
      <c r="B1363" t="s">
        <v>178</v>
      </c>
      <c r="C1363" t="s">
        <v>179</v>
      </c>
      <c r="D1363" s="2">
        <v>45804</v>
      </c>
      <c r="E1363">
        <v>53850</v>
      </c>
      <c r="F1363">
        <v>187</v>
      </c>
      <c r="G1363" t="s">
        <v>251</v>
      </c>
      <c r="H1363" t="s">
        <v>167</v>
      </c>
      <c r="I1363" t="s">
        <v>45</v>
      </c>
      <c r="K1363">
        <v>202505268011218</v>
      </c>
      <c r="L1363">
        <v>999361870311</v>
      </c>
      <c r="M1363">
        <v>20250526</v>
      </c>
      <c r="N1363" t="s">
        <v>310</v>
      </c>
      <c r="Q1363" t="s">
        <v>170</v>
      </c>
      <c r="R1363">
        <v>1240852.8799999999</v>
      </c>
      <c r="S1363">
        <v>0</v>
      </c>
      <c r="T1363">
        <v>3004644</v>
      </c>
      <c r="U1363">
        <v>80008750731</v>
      </c>
      <c r="V1363" t="s">
        <v>252</v>
      </c>
      <c r="W1363" t="s">
        <v>253</v>
      </c>
      <c r="Y1363" t="s">
        <v>51</v>
      </c>
      <c r="Z1363">
        <v>1627</v>
      </c>
      <c r="AH1363">
        <v>0</v>
      </c>
      <c r="AI1363">
        <v>202505</v>
      </c>
      <c r="AJ1363" t="s">
        <v>56</v>
      </c>
      <c r="AK1363">
        <v>0</v>
      </c>
      <c r="AL1363">
        <v>1</v>
      </c>
      <c r="AO1363">
        <v>0</v>
      </c>
      <c r="AP1363" t="s">
        <v>3015</v>
      </c>
      <c r="AQ1363" t="s">
        <v>3052</v>
      </c>
      <c r="AR1363" t="s">
        <v>3053</v>
      </c>
      <c r="AS1363" t="s">
        <v>3037</v>
      </c>
      <c r="AU1363" t="s">
        <v>3037</v>
      </c>
    </row>
    <row r="1364" spans="1:47" x14ac:dyDescent="0.35">
      <c r="A1364">
        <v>348331</v>
      </c>
      <c r="B1364" t="s">
        <v>193</v>
      </c>
      <c r="C1364" t="s">
        <v>194</v>
      </c>
      <c r="D1364" s="2">
        <v>45804</v>
      </c>
      <c r="E1364">
        <v>53850</v>
      </c>
      <c r="F1364">
        <v>103</v>
      </c>
      <c r="G1364" t="s">
        <v>80</v>
      </c>
      <c r="H1364" t="s">
        <v>167</v>
      </c>
      <c r="I1364" t="s">
        <v>45</v>
      </c>
      <c r="K1364" t="s">
        <v>1491</v>
      </c>
      <c r="L1364">
        <v>1033306985251</v>
      </c>
      <c r="M1364">
        <v>20250526</v>
      </c>
      <c r="N1364" t="s">
        <v>175</v>
      </c>
      <c r="Q1364" t="s">
        <v>47</v>
      </c>
      <c r="R1364">
        <v>30200</v>
      </c>
      <c r="S1364">
        <v>24600</v>
      </c>
      <c r="T1364">
        <v>3715965</v>
      </c>
      <c r="U1364" t="s">
        <v>1519</v>
      </c>
      <c r="V1364" t="s">
        <v>1520</v>
      </c>
      <c r="W1364" t="s">
        <v>187</v>
      </c>
      <c r="Y1364" t="s">
        <v>51</v>
      </c>
      <c r="Z1364">
        <v>1224</v>
      </c>
      <c r="AH1364">
        <v>0</v>
      </c>
      <c r="AI1364">
        <v>202505</v>
      </c>
      <c r="AJ1364" t="s">
        <v>86</v>
      </c>
      <c r="AK1364">
        <v>1</v>
      </c>
      <c r="AL1364">
        <v>1</v>
      </c>
      <c r="AO1364">
        <v>1</v>
      </c>
      <c r="AP1364" t="s">
        <v>3015</v>
      </c>
      <c r="AQ1364" t="s">
        <v>3044</v>
      </c>
      <c r="AR1364" t="s">
        <v>3045</v>
      </c>
      <c r="AS1364" t="s">
        <v>3046</v>
      </c>
      <c r="AU1364" t="s">
        <v>3046</v>
      </c>
    </row>
    <row r="1365" spans="1:47" x14ac:dyDescent="0.35">
      <c r="A1365">
        <v>348330</v>
      </c>
      <c r="B1365" t="s">
        <v>172</v>
      </c>
      <c r="C1365" t="s">
        <v>173</v>
      </c>
      <c r="D1365" s="2">
        <v>45804</v>
      </c>
      <c r="E1365">
        <v>53850</v>
      </c>
      <c r="F1365">
        <v>204</v>
      </c>
      <c r="G1365" t="s">
        <v>329</v>
      </c>
      <c r="H1365" t="s">
        <v>167</v>
      </c>
      <c r="I1365" t="s">
        <v>45</v>
      </c>
      <c r="K1365">
        <v>202505268014195</v>
      </c>
      <c r="L1365">
        <v>2043300012892</v>
      </c>
      <c r="M1365">
        <v>20250526</v>
      </c>
      <c r="N1365" t="s">
        <v>231</v>
      </c>
      <c r="Q1365" t="s">
        <v>47</v>
      </c>
      <c r="R1365">
        <v>115000</v>
      </c>
      <c r="S1365">
        <v>0</v>
      </c>
      <c r="T1365">
        <v>4224840</v>
      </c>
      <c r="U1365" t="s">
        <v>1521</v>
      </c>
      <c r="V1365" t="s">
        <v>1522</v>
      </c>
      <c r="W1365" t="s">
        <v>187</v>
      </c>
      <c r="Y1365" t="s">
        <v>51</v>
      </c>
      <c r="Z1365">
        <v>1843</v>
      </c>
      <c r="AH1365">
        <v>0</v>
      </c>
      <c r="AI1365">
        <v>202505</v>
      </c>
      <c r="AJ1365" t="s">
        <v>56</v>
      </c>
      <c r="AK1365">
        <v>0</v>
      </c>
      <c r="AL1365">
        <v>1</v>
      </c>
      <c r="AO1365">
        <v>0</v>
      </c>
      <c r="AP1365" t="s">
        <v>3015</v>
      </c>
      <c r="AQ1365" t="s">
        <v>3044</v>
      </c>
      <c r="AR1365" t="s">
        <v>3045</v>
      </c>
      <c r="AS1365" t="s">
        <v>3046</v>
      </c>
      <c r="AU1365" t="s">
        <v>3046</v>
      </c>
    </row>
    <row r="1366" spans="1:47" x14ac:dyDescent="0.35">
      <c r="A1366">
        <v>348329</v>
      </c>
      <c r="B1366" t="s">
        <v>172</v>
      </c>
      <c r="C1366" t="s">
        <v>173</v>
      </c>
      <c r="D1366" s="2">
        <v>45804</v>
      </c>
      <c r="E1366">
        <v>53850</v>
      </c>
      <c r="F1366">
        <v>175</v>
      </c>
      <c r="G1366" t="s">
        <v>99</v>
      </c>
      <c r="H1366" t="s">
        <v>167</v>
      </c>
      <c r="I1366" t="s">
        <v>45</v>
      </c>
      <c r="K1366" t="s">
        <v>1491</v>
      </c>
      <c r="L1366">
        <v>1753302203127</v>
      </c>
      <c r="M1366">
        <v>20250526</v>
      </c>
      <c r="N1366" t="s">
        <v>175</v>
      </c>
      <c r="Q1366" t="s">
        <v>47</v>
      </c>
      <c r="R1366">
        <v>107794.45</v>
      </c>
      <c r="S1366">
        <v>23340</v>
      </c>
      <c r="T1366">
        <v>4160138</v>
      </c>
      <c r="U1366">
        <v>484200779</v>
      </c>
      <c r="V1366" t="s">
        <v>100</v>
      </c>
      <c r="W1366" t="s">
        <v>49</v>
      </c>
      <c r="X1366" t="s">
        <v>101</v>
      </c>
      <c r="Y1366" t="s">
        <v>51</v>
      </c>
      <c r="Z1366">
        <v>739</v>
      </c>
      <c r="AH1366">
        <v>0</v>
      </c>
      <c r="AI1366">
        <v>202505</v>
      </c>
      <c r="AJ1366" t="s">
        <v>86</v>
      </c>
      <c r="AK1366">
        <v>1</v>
      </c>
      <c r="AL1366">
        <v>1</v>
      </c>
      <c r="AM1366">
        <v>4160138</v>
      </c>
      <c r="AN1366">
        <v>1</v>
      </c>
      <c r="AO1366">
        <v>1</v>
      </c>
      <c r="AP1366" t="s">
        <v>3015</v>
      </c>
      <c r="AQ1366" t="s">
        <v>3012</v>
      </c>
      <c r="AR1366" t="s">
        <v>3016</v>
      </c>
      <c r="AT1366" t="s">
        <v>3017</v>
      </c>
      <c r="AU1366" t="s">
        <v>3018</v>
      </c>
    </row>
    <row r="1367" spans="1:47" x14ac:dyDescent="0.35">
      <c r="A1367">
        <v>348328</v>
      </c>
      <c r="B1367" t="s">
        <v>193</v>
      </c>
      <c r="C1367" t="s">
        <v>194</v>
      </c>
      <c r="D1367" s="2">
        <v>45804</v>
      </c>
      <c r="E1367">
        <v>53850</v>
      </c>
      <c r="F1367">
        <v>103</v>
      </c>
      <c r="G1367" t="s">
        <v>80</v>
      </c>
      <c r="H1367" t="s">
        <v>167</v>
      </c>
      <c r="I1367" t="s">
        <v>45</v>
      </c>
      <c r="K1367" t="s">
        <v>1491</v>
      </c>
      <c r="L1367">
        <v>1033306985251</v>
      </c>
      <c r="M1367">
        <v>20250526</v>
      </c>
      <c r="N1367" t="s">
        <v>175</v>
      </c>
      <c r="Q1367" t="s">
        <v>47</v>
      </c>
      <c r="R1367">
        <v>30200</v>
      </c>
      <c r="S1367">
        <v>24600</v>
      </c>
      <c r="T1367">
        <v>4643512</v>
      </c>
      <c r="U1367" t="s">
        <v>1523</v>
      </c>
      <c r="V1367" t="s">
        <v>1524</v>
      </c>
      <c r="W1367" t="s">
        <v>187</v>
      </c>
      <c r="Y1367" t="s">
        <v>51</v>
      </c>
      <c r="Z1367">
        <v>1224</v>
      </c>
      <c r="AH1367">
        <v>0</v>
      </c>
      <c r="AI1367">
        <v>202505</v>
      </c>
      <c r="AJ1367" t="s">
        <v>86</v>
      </c>
      <c r="AK1367">
        <v>1</v>
      </c>
      <c r="AL1367">
        <v>1</v>
      </c>
      <c r="AO1367">
        <v>1</v>
      </c>
      <c r="AP1367" t="s">
        <v>3015</v>
      </c>
      <c r="AQ1367" t="s">
        <v>3044</v>
      </c>
      <c r="AR1367" t="s">
        <v>3045</v>
      </c>
      <c r="AS1367" t="s">
        <v>3046</v>
      </c>
      <c r="AU1367" t="s">
        <v>3046</v>
      </c>
    </row>
    <row r="1368" spans="1:47" x14ac:dyDescent="0.35">
      <c r="A1368">
        <v>348327</v>
      </c>
      <c r="B1368" t="s">
        <v>178</v>
      </c>
      <c r="C1368" t="s">
        <v>179</v>
      </c>
      <c r="D1368" s="2">
        <v>45804</v>
      </c>
      <c r="E1368">
        <v>53850</v>
      </c>
      <c r="F1368">
        <v>277</v>
      </c>
      <c r="G1368" t="s">
        <v>505</v>
      </c>
      <c r="H1368" t="s">
        <v>167</v>
      </c>
      <c r="I1368" t="s">
        <v>45</v>
      </c>
      <c r="K1368">
        <v>202505268014273</v>
      </c>
      <c r="L1368">
        <v>2773300000981</v>
      </c>
      <c r="M1368">
        <v>20250526</v>
      </c>
      <c r="N1368" t="s">
        <v>3136</v>
      </c>
      <c r="Q1368" t="s">
        <v>170</v>
      </c>
      <c r="R1368">
        <v>8094.28</v>
      </c>
      <c r="S1368">
        <v>0</v>
      </c>
      <c r="T1368">
        <v>1676766</v>
      </c>
      <c r="U1368" t="s">
        <v>1525</v>
      </c>
      <c r="V1368" t="s">
        <v>1526</v>
      </c>
      <c r="W1368" t="s">
        <v>187</v>
      </c>
      <c r="Y1368" t="s">
        <v>51</v>
      </c>
      <c r="Z1368">
        <v>1790</v>
      </c>
      <c r="AH1368">
        <v>0</v>
      </c>
      <c r="AI1368">
        <v>202505</v>
      </c>
      <c r="AJ1368" t="s">
        <v>52</v>
      </c>
      <c r="AK1368">
        <v>0</v>
      </c>
      <c r="AL1368">
        <v>1</v>
      </c>
      <c r="AO1368">
        <v>1</v>
      </c>
      <c r="AP1368" t="s">
        <v>3015</v>
      </c>
      <c r="AQ1368" t="s">
        <v>3044</v>
      </c>
      <c r="AR1368" t="s">
        <v>3045</v>
      </c>
      <c r="AS1368" t="s">
        <v>3046</v>
      </c>
      <c r="AU1368" t="s">
        <v>3046</v>
      </c>
    </row>
    <row r="1369" spans="1:47" x14ac:dyDescent="0.35">
      <c r="A1369">
        <v>348326</v>
      </c>
      <c r="B1369" t="s">
        <v>193</v>
      </c>
      <c r="C1369" t="s">
        <v>194</v>
      </c>
      <c r="D1369" s="2">
        <v>45804</v>
      </c>
      <c r="E1369">
        <v>53850</v>
      </c>
      <c r="F1369">
        <v>279</v>
      </c>
      <c r="G1369" t="s">
        <v>587</v>
      </c>
      <c r="H1369" t="s">
        <v>167</v>
      </c>
      <c r="I1369" t="s">
        <v>45</v>
      </c>
      <c r="K1369">
        <v>202505268014281</v>
      </c>
      <c r="L1369">
        <v>2793300011670</v>
      </c>
      <c r="M1369">
        <v>20250526</v>
      </c>
      <c r="N1369" t="s">
        <v>266</v>
      </c>
      <c r="Q1369" t="s">
        <v>47</v>
      </c>
      <c r="R1369">
        <v>20000</v>
      </c>
      <c r="S1369">
        <v>20000</v>
      </c>
      <c r="T1369">
        <v>3744863</v>
      </c>
      <c r="U1369" t="s">
        <v>1527</v>
      </c>
      <c r="V1369" t="s">
        <v>1528</v>
      </c>
      <c r="W1369" t="s">
        <v>187</v>
      </c>
      <c r="Y1369" t="s">
        <v>51</v>
      </c>
      <c r="Z1369">
        <v>1854</v>
      </c>
      <c r="AH1369">
        <v>0</v>
      </c>
      <c r="AI1369">
        <v>202505</v>
      </c>
      <c r="AJ1369" t="s">
        <v>52</v>
      </c>
      <c r="AK1369">
        <v>0</v>
      </c>
      <c r="AL1369">
        <v>1</v>
      </c>
      <c r="AO1369">
        <v>0</v>
      </c>
      <c r="AP1369" t="s">
        <v>3015</v>
      </c>
      <c r="AQ1369" t="s">
        <v>3044</v>
      </c>
      <c r="AR1369" t="s">
        <v>3045</v>
      </c>
      <c r="AS1369" t="s">
        <v>3046</v>
      </c>
      <c r="AU1369" t="s">
        <v>3046</v>
      </c>
    </row>
    <row r="1370" spans="1:47" x14ac:dyDescent="0.35">
      <c r="A1370">
        <v>348325</v>
      </c>
      <c r="B1370" t="s">
        <v>178</v>
      </c>
      <c r="C1370" t="s">
        <v>179</v>
      </c>
      <c r="D1370" s="2">
        <v>45801</v>
      </c>
      <c r="E1370">
        <v>53850</v>
      </c>
      <c r="F1370">
        <v>226</v>
      </c>
      <c r="G1370" t="s">
        <v>129</v>
      </c>
      <c r="H1370" t="s">
        <v>167</v>
      </c>
      <c r="I1370" t="s">
        <v>45</v>
      </c>
      <c r="K1370">
        <v>202505268005859</v>
      </c>
      <c r="L1370">
        <v>2265500010051</v>
      </c>
      <c r="M1370">
        <v>20250526</v>
      </c>
      <c r="N1370" t="s">
        <v>808</v>
      </c>
      <c r="Q1370" t="s">
        <v>47</v>
      </c>
      <c r="R1370">
        <v>151048</v>
      </c>
      <c r="S1370">
        <v>0</v>
      </c>
      <c r="T1370">
        <v>616022</v>
      </c>
      <c r="U1370" t="s">
        <v>1529</v>
      </c>
      <c r="V1370" t="s">
        <v>1530</v>
      </c>
      <c r="W1370" t="s">
        <v>187</v>
      </c>
      <c r="Y1370" t="s">
        <v>51</v>
      </c>
      <c r="Z1370">
        <v>1395</v>
      </c>
      <c r="AH1370">
        <v>0</v>
      </c>
      <c r="AI1370">
        <v>202505</v>
      </c>
      <c r="AJ1370" t="s">
        <v>86</v>
      </c>
      <c r="AK1370">
        <v>1</v>
      </c>
      <c r="AL1370">
        <v>1</v>
      </c>
      <c r="AO1370">
        <v>0</v>
      </c>
      <c r="AP1370" t="s">
        <v>3015</v>
      </c>
      <c r="AQ1370" t="s">
        <v>3044</v>
      </c>
      <c r="AR1370" t="s">
        <v>3045</v>
      </c>
      <c r="AS1370" t="s">
        <v>3046</v>
      </c>
      <c r="AU1370" t="s">
        <v>3046</v>
      </c>
    </row>
    <row r="1371" spans="1:47" x14ac:dyDescent="0.35">
      <c r="A1371">
        <v>348324</v>
      </c>
      <c r="B1371" t="s">
        <v>178</v>
      </c>
      <c r="C1371" t="s">
        <v>179</v>
      </c>
      <c r="D1371" s="2">
        <v>45801</v>
      </c>
      <c r="E1371">
        <v>53850</v>
      </c>
      <c r="F1371">
        <v>114</v>
      </c>
      <c r="G1371" t="s">
        <v>188</v>
      </c>
      <c r="H1371" t="s">
        <v>167</v>
      </c>
      <c r="I1371" t="s">
        <v>45</v>
      </c>
      <c r="K1371">
        <v>202505268005702</v>
      </c>
      <c r="L1371">
        <v>1143306278589</v>
      </c>
      <c r="M1371">
        <v>20250526</v>
      </c>
      <c r="N1371" t="s">
        <v>924</v>
      </c>
      <c r="Q1371" t="s">
        <v>47</v>
      </c>
      <c r="R1371">
        <v>4027998</v>
      </c>
      <c r="S1371">
        <v>0</v>
      </c>
      <c r="T1371">
        <v>4175755</v>
      </c>
      <c r="U1371" t="s">
        <v>1531</v>
      </c>
      <c r="V1371" t="s">
        <v>1532</v>
      </c>
      <c r="W1371" t="s">
        <v>187</v>
      </c>
      <c r="Y1371" t="s">
        <v>51</v>
      </c>
      <c r="Z1371">
        <v>804</v>
      </c>
      <c r="AH1371">
        <v>0</v>
      </c>
      <c r="AI1371">
        <v>202505</v>
      </c>
      <c r="AJ1371" t="s">
        <v>56</v>
      </c>
      <c r="AK1371">
        <v>0</v>
      </c>
      <c r="AL1371">
        <v>1</v>
      </c>
      <c r="AO1371">
        <v>0</v>
      </c>
      <c r="AP1371" t="s">
        <v>3015</v>
      </c>
      <c r="AQ1371" t="s">
        <v>3044</v>
      </c>
      <c r="AR1371" t="s">
        <v>3045</v>
      </c>
      <c r="AS1371" t="s">
        <v>3046</v>
      </c>
      <c r="AU1371" t="s">
        <v>3046</v>
      </c>
    </row>
    <row r="1372" spans="1:47" x14ac:dyDescent="0.35">
      <c r="A1372">
        <v>348323</v>
      </c>
      <c r="B1372" t="s">
        <v>178</v>
      </c>
      <c r="C1372" t="s">
        <v>179</v>
      </c>
      <c r="D1372" s="2">
        <v>45801</v>
      </c>
      <c r="E1372">
        <v>53850</v>
      </c>
      <c r="F1372">
        <v>103</v>
      </c>
      <c r="G1372" t="s">
        <v>80</v>
      </c>
      <c r="H1372" t="s">
        <v>167</v>
      </c>
      <c r="I1372" t="s">
        <v>45</v>
      </c>
      <c r="K1372">
        <v>202505268005630</v>
      </c>
      <c r="L1372">
        <v>1035500408053</v>
      </c>
      <c r="M1372">
        <v>20250526</v>
      </c>
      <c r="N1372" t="s">
        <v>924</v>
      </c>
      <c r="Q1372" t="s">
        <v>47</v>
      </c>
      <c r="R1372">
        <v>302098</v>
      </c>
      <c r="S1372">
        <v>0</v>
      </c>
      <c r="T1372">
        <v>147133</v>
      </c>
      <c r="U1372" t="s">
        <v>1533</v>
      </c>
      <c r="V1372" t="s">
        <v>1534</v>
      </c>
      <c r="W1372" t="s">
        <v>187</v>
      </c>
      <c r="Y1372" t="s">
        <v>51</v>
      </c>
      <c r="Z1372">
        <v>806</v>
      </c>
      <c r="AH1372">
        <v>0</v>
      </c>
      <c r="AI1372">
        <v>202505</v>
      </c>
      <c r="AJ1372" t="s">
        <v>86</v>
      </c>
      <c r="AK1372">
        <v>1</v>
      </c>
      <c r="AL1372">
        <v>1</v>
      </c>
      <c r="AO1372">
        <v>0</v>
      </c>
      <c r="AP1372" t="s">
        <v>3015</v>
      </c>
      <c r="AQ1372" t="s">
        <v>3044</v>
      </c>
      <c r="AR1372" t="s">
        <v>3045</v>
      </c>
      <c r="AS1372" t="s">
        <v>3046</v>
      </c>
      <c r="AU1372" t="s">
        <v>3046</v>
      </c>
    </row>
    <row r="1373" spans="1:47" x14ac:dyDescent="0.35">
      <c r="A1373">
        <v>348322</v>
      </c>
      <c r="B1373" t="s">
        <v>178</v>
      </c>
      <c r="C1373" t="s">
        <v>179</v>
      </c>
      <c r="D1373" s="2">
        <v>45801</v>
      </c>
      <c r="E1373">
        <v>53850</v>
      </c>
      <c r="F1373">
        <v>103</v>
      </c>
      <c r="G1373" t="s">
        <v>80</v>
      </c>
      <c r="H1373" t="s">
        <v>167</v>
      </c>
      <c r="I1373" t="s">
        <v>45</v>
      </c>
      <c r="K1373">
        <v>202505268005629</v>
      </c>
      <c r="L1373">
        <v>1035500408053</v>
      </c>
      <c r="M1373">
        <v>20250526</v>
      </c>
      <c r="N1373" t="s">
        <v>808</v>
      </c>
      <c r="Q1373" t="s">
        <v>47</v>
      </c>
      <c r="R1373">
        <v>302098</v>
      </c>
      <c r="S1373">
        <v>0</v>
      </c>
      <c r="T1373">
        <v>147133</v>
      </c>
      <c r="U1373" t="s">
        <v>1533</v>
      </c>
      <c r="V1373" t="s">
        <v>1534</v>
      </c>
      <c r="W1373" t="s">
        <v>187</v>
      </c>
      <c r="Y1373" t="s">
        <v>51</v>
      </c>
      <c r="Z1373">
        <v>806</v>
      </c>
      <c r="AH1373">
        <v>0</v>
      </c>
      <c r="AI1373">
        <v>202505</v>
      </c>
      <c r="AJ1373" t="s">
        <v>86</v>
      </c>
      <c r="AK1373">
        <v>1</v>
      </c>
      <c r="AL1373">
        <v>1</v>
      </c>
      <c r="AO1373">
        <v>0</v>
      </c>
      <c r="AP1373" t="s">
        <v>3015</v>
      </c>
      <c r="AQ1373" t="s">
        <v>3044</v>
      </c>
      <c r="AR1373" t="s">
        <v>3045</v>
      </c>
      <c r="AS1373" t="s">
        <v>3046</v>
      </c>
      <c r="AU1373" t="s">
        <v>3046</v>
      </c>
    </row>
    <row r="1374" spans="1:47" x14ac:dyDescent="0.35">
      <c r="A1374">
        <v>348321</v>
      </c>
      <c r="B1374" t="s">
        <v>178</v>
      </c>
      <c r="C1374" t="s">
        <v>179</v>
      </c>
      <c r="D1374" s="2">
        <v>45801</v>
      </c>
      <c r="E1374">
        <v>53850</v>
      </c>
      <c r="F1374">
        <v>182</v>
      </c>
      <c r="G1374" t="s">
        <v>318</v>
      </c>
      <c r="H1374" t="s">
        <v>167</v>
      </c>
      <c r="I1374" t="s">
        <v>45</v>
      </c>
      <c r="K1374">
        <v>202505268005801</v>
      </c>
      <c r="L1374">
        <v>1823300167713</v>
      </c>
      <c r="M1374">
        <v>20250526</v>
      </c>
      <c r="N1374" t="s">
        <v>924</v>
      </c>
      <c r="Q1374" t="s">
        <v>47</v>
      </c>
      <c r="R1374">
        <v>302098</v>
      </c>
      <c r="S1374">
        <v>0</v>
      </c>
      <c r="T1374">
        <v>599131</v>
      </c>
      <c r="U1374" t="s">
        <v>1535</v>
      </c>
      <c r="V1374" t="s">
        <v>1536</v>
      </c>
      <c r="W1374" t="s">
        <v>187</v>
      </c>
      <c r="Y1374" t="s">
        <v>51</v>
      </c>
      <c r="Z1374">
        <v>616</v>
      </c>
      <c r="AH1374">
        <v>0</v>
      </c>
      <c r="AI1374">
        <v>202505</v>
      </c>
      <c r="AJ1374" t="s">
        <v>86</v>
      </c>
      <c r="AK1374">
        <v>1</v>
      </c>
      <c r="AL1374">
        <v>1</v>
      </c>
      <c r="AO1374">
        <v>0</v>
      </c>
      <c r="AP1374" t="s">
        <v>3015</v>
      </c>
      <c r="AQ1374" t="s">
        <v>3044</v>
      </c>
      <c r="AR1374" t="s">
        <v>3045</v>
      </c>
      <c r="AS1374" t="s">
        <v>3046</v>
      </c>
      <c r="AU1374" t="s">
        <v>3046</v>
      </c>
    </row>
    <row r="1375" spans="1:47" x14ac:dyDescent="0.35">
      <c r="A1375">
        <v>348320</v>
      </c>
      <c r="B1375" t="s">
        <v>178</v>
      </c>
      <c r="C1375" t="s">
        <v>179</v>
      </c>
      <c r="D1375" s="2">
        <v>45801</v>
      </c>
      <c r="E1375">
        <v>53850</v>
      </c>
      <c r="F1375">
        <v>273</v>
      </c>
      <c r="G1375" t="s">
        <v>133</v>
      </c>
      <c r="H1375" t="s">
        <v>167</v>
      </c>
      <c r="I1375" t="s">
        <v>45</v>
      </c>
      <c r="K1375">
        <v>202505268005902</v>
      </c>
      <c r="L1375">
        <v>2733300002410</v>
      </c>
      <c r="M1375">
        <v>20250526</v>
      </c>
      <c r="N1375" t="s">
        <v>924</v>
      </c>
      <c r="Q1375" t="s">
        <v>47</v>
      </c>
      <c r="R1375">
        <v>528675</v>
      </c>
      <c r="S1375">
        <v>0</v>
      </c>
      <c r="T1375">
        <v>1664632</v>
      </c>
      <c r="U1375" t="s">
        <v>1537</v>
      </c>
      <c r="V1375" t="s">
        <v>1538</v>
      </c>
      <c r="W1375" t="s">
        <v>187</v>
      </c>
      <c r="Y1375" t="s">
        <v>51</v>
      </c>
      <c r="Z1375">
        <v>1844</v>
      </c>
      <c r="AH1375">
        <v>0</v>
      </c>
      <c r="AI1375">
        <v>202505</v>
      </c>
      <c r="AJ1375" t="s">
        <v>52</v>
      </c>
      <c r="AK1375">
        <v>0</v>
      </c>
      <c r="AL1375">
        <v>1</v>
      </c>
      <c r="AO1375">
        <v>0</v>
      </c>
      <c r="AP1375" t="s">
        <v>3015</v>
      </c>
      <c r="AQ1375" t="s">
        <v>3044</v>
      </c>
      <c r="AR1375" t="s">
        <v>3045</v>
      </c>
      <c r="AS1375" t="s">
        <v>3046</v>
      </c>
      <c r="AU1375" t="s">
        <v>3046</v>
      </c>
    </row>
    <row r="1376" spans="1:47" x14ac:dyDescent="0.35">
      <c r="A1376">
        <v>348319</v>
      </c>
      <c r="B1376" t="s">
        <v>178</v>
      </c>
      <c r="C1376" t="s">
        <v>179</v>
      </c>
      <c r="D1376" s="2">
        <v>45801</v>
      </c>
      <c r="E1376">
        <v>53850</v>
      </c>
      <c r="F1376">
        <v>273</v>
      </c>
      <c r="G1376" t="s">
        <v>133</v>
      </c>
      <c r="H1376" t="s">
        <v>167</v>
      </c>
      <c r="I1376" t="s">
        <v>45</v>
      </c>
      <c r="K1376">
        <v>202505268005902</v>
      </c>
      <c r="L1376">
        <v>2733300002410</v>
      </c>
      <c r="M1376">
        <v>20250526</v>
      </c>
      <c r="N1376" t="s">
        <v>924</v>
      </c>
      <c r="Q1376" t="s">
        <v>47</v>
      </c>
      <c r="R1376">
        <v>528675</v>
      </c>
      <c r="S1376">
        <v>0</v>
      </c>
      <c r="T1376">
        <v>1673302</v>
      </c>
      <c r="U1376" t="s">
        <v>1539</v>
      </c>
      <c r="V1376" t="s">
        <v>1540</v>
      </c>
      <c r="W1376" t="s">
        <v>187</v>
      </c>
      <c r="Y1376" t="s">
        <v>51</v>
      </c>
      <c r="Z1376">
        <v>1844</v>
      </c>
      <c r="AH1376">
        <v>0</v>
      </c>
      <c r="AI1376">
        <v>202505</v>
      </c>
      <c r="AJ1376" t="s">
        <v>52</v>
      </c>
      <c r="AK1376">
        <v>0</v>
      </c>
      <c r="AL1376">
        <v>1</v>
      </c>
      <c r="AO1376">
        <v>0</v>
      </c>
      <c r="AP1376" t="s">
        <v>3015</v>
      </c>
      <c r="AQ1376" t="s">
        <v>3044</v>
      </c>
      <c r="AR1376" t="s">
        <v>3045</v>
      </c>
      <c r="AS1376" t="s">
        <v>3046</v>
      </c>
      <c r="AU1376" t="s">
        <v>3046</v>
      </c>
    </row>
    <row r="1377" spans="1:47" x14ac:dyDescent="0.35">
      <c r="A1377">
        <v>348318</v>
      </c>
      <c r="B1377" t="s">
        <v>178</v>
      </c>
      <c r="C1377" t="s">
        <v>179</v>
      </c>
      <c r="D1377" s="2">
        <v>45801</v>
      </c>
      <c r="E1377">
        <v>53850</v>
      </c>
      <c r="F1377">
        <v>114</v>
      </c>
      <c r="G1377" t="s">
        <v>188</v>
      </c>
      <c r="H1377" t="s">
        <v>167</v>
      </c>
      <c r="I1377" t="s">
        <v>45</v>
      </c>
      <c r="K1377">
        <v>202505268005702</v>
      </c>
      <c r="L1377">
        <v>1143306278589</v>
      </c>
      <c r="M1377">
        <v>20250526</v>
      </c>
      <c r="N1377" t="s">
        <v>924</v>
      </c>
      <c r="Q1377" t="s">
        <v>47</v>
      </c>
      <c r="R1377">
        <v>4027998</v>
      </c>
      <c r="S1377">
        <v>0</v>
      </c>
      <c r="T1377">
        <v>4096156</v>
      </c>
      <c r="U1377" t="s">
        <v>1541</v>
      </c>
      <c r="V1377" t="s">
        <v>1542</v>
      </c>
      <c r="W1377" t="s">
        <v>187</v>
      </c>
      <c r="Y1377" t="s">
        <v>51</v>
      </c>
      <c r="Z1377">
        <v>804</v>
      </c>
      <c r="AH1377">
        <v>0</v>
      </c>
      <c r="AI1377">
        <v>202505</v>
      </c>
      <c r="AJ1377" t="s">
        <v>56</v>
      </c>
      <c r="AK1377">
        <v>0</v>
      </c>
      <c r="AL1377">
        <v>1</v>
      </c>
      <c r="AO1377">
        <v>0</v>
      </c>
      <c r="AP1377" t="s">
        <v>3015</v>
      </c>
      <c r="AQ1377" t="s">
        <v>3044</v>
      </c>
      <c r="AR1377" t="s">
        <v>3045</v>
      </c>
      <c r="AS1377" t="s">
        <v>3046</v>
      </c>
      <c r="AU1377" t="s">
        <v>3046</v>
      </c>
    </row>
    <row r="1378" spans="1:47" x14ac:dyDescent="0.35">
      <c r="A1378">
        <v>348317</v>
      </c>
      <c r="B1378" t="s">
        <v>178</v>
      </c>
      <c r="C1378" t="s">
        <v>179</v>
      </c>
      <c r="D1378" s="2">
        <v>45801</v>
      </c>
      <c r="E1378">
        <v>53850</v>
      </c>
      <c r="F1378">
        <v>188</v>
      </c>
      <c r="G1378" t="s">
        <v>419</v>
      </c>
      <c r="H1378" t="s">
        <v>167</v>
      </c>
      <c r="I1378" t="s">
        <v>45</v>
      </c>
      <c r="K1378">
        <v>202505268005825</v>
      </c>
      <c r="L1378">
        <v>1883300130370</v>
      </c>
      <c r="M1378">
        <v>20250526</v>
      </c>
      <c r="N1378" t="s">
        <v>924</v>
      </c>
      <c r="Q1378" t="s">
        <v>47</v>
      </c>
      <c r="R1378">
        <v>503498</v>
      </c>
      <c r="S1378">
        <v>0</v>
      </c>
      <c r="T1378">
        <v>3007793</v>
      </c>
      <c r="U1378" t="s">
        <v>1374</v>
      </c>
      <c r="V1378" t="s">
        <v>1375</v>
      </c>
      <c r="W1378" t="s">
        <v>69</v>
      </c>
      <c r="X1378" t="s">
        <v>131</v>
      </c>
      <c r="Y1378" t="s">
        <v>51</v>
      </c>
      <c r="Z1378">
        <v>637</v>
      </c>
      <c r="AH1378">
        <v>0</v>
      </c>
      <c r="AI1378">
        <v>202505</v>
      </c>
      <c r="AJ1378" t="s">
        <v>56</v>
      </c>
      <c r="AK1378">
        <v>0</v>
      </c>
      <c r="AL1378">
        <v>1</v>
      </c>
      <c r="AO1378">
        <v>0</v>
      </c>
      <c r="AP1378" t="s">
        <v>3033</v>
      </c>
      <c r="AQ1378" t="s">
        <v>3021</v>
      </c>
      <c r="AR1378" t="s">
        <v>3054</v>
      </c>
      <c r="AS1378" t="s">
        <v>3055</v>
      </c>
      <c r="AU1378" t="s">
        <v>3055</v>
      </c>
    </row>
    <row r="1379" spans="1:47" x14ac:dyDescent="0.35">
      <c r="A1379">
        <v>348316</v>
      </c>
      <c r="B1379" t="s">
        <v>178</v>
      </c>
      <c r="C1379" t="s">
        <v>179</v>
      </c>
      <c r="D1379" s="2">
        <v>45801</v>
      </c>
      <c r="E1379">
        <v>53850</v>
      </c>
      <c r="F1379">
        <v>182</v>
      </c>
      <c r="G1379" t="s">
        <v>318</v>
      </c>
      <c r="H1379" t="s">
        <v>167</v>
      </c>
      <c r="I1379" t="s">
        <v>45</v>
      </c>
      <c r="K1379">
        <v>202505268005813</v>
      </c>
      <c r="L1379">
        <v>1825502404908</v>
      </c>
      <c r="M1379">
        <v>20250526</v>
      </c>
      <c r="N1379" t="s">
        <v>808</v>
      </c>
      <c r="Q1379" t="s">
        <v>47</v>
      </c>
      <c r="R1379">
        <v>201398</v>
      </c>
      <c r="S1379">
        <v>0</v>
      </c>
      <c r="T1379">
        <v>3000573</v>
      </c>
      <c r="U1379" t="s">
        <v>1543</v>
      </c>
      <c r="V1379" t="s">
        <v>1544</v>
      </c>
      <c r="W1379" t="s">
        <v>187</v>
      </c>
      <c r="Y1379" t="s">
        <v>51</v>
      </c>
      <c r="Z1379">
        <v>676</v>
      </c>
      <c r="AH1379">
        <v>0</v>
      </c>
      <c r="AI1379">
        <v>202505</v>
      </c>
      <c r="AJ1379" t="s">
        <v>86</v>
      </c>
      <c r="AK1379">
        <v>1</v>
      </c>
      <c r="AL1379">
        <v>1</v>
      </c>
      <c r="AO1379">
        <v>0</v>
      </c>
      <c r="AP1379" t="s">
        <v>3015</v>
      </c>
      <c r="AQ1379" t="s">
        <v>3044</v>
      </c>
      <c r="AR1379" t="s">
        <v>3045</v>
      </c>
      <c r="AS1379" t="s">
        <v>3046</v>
      </c>
      <c r="AU1379" t="s">
        <v>3046</v>
      </c>
    </row>
    <row r="1380" spans="1:47" x14ac:dyDescent="0.35">
      <c r="A1380">
        <v>348315</v>
      </c>
      <c r="B1380" t="s">
        <v>178</v>
      </c>
      <c r="C1380" t="s">
        <v>179</v>
      </c>
      <c r="D1380" s="2">
        <v>45801</v>
      </c>
      <c r="E1380">
        <v>53850</v>
      </c>
      <c r="F1380">
        <v>103</v>
      </c>
      <c r="G1380" t="s">
        <v>80</v>
      </c>
      <c r="H1380" t="s">
        <v>167</v>
      </c>
      <c r="I1380" t="s">
        <v>45</v>
      </c>
      <c r="K1380">
        <v>202505268005603</v>
      </c>
      <c r="L1380">
        <v>1033301057030</v>
      </c>
      <c r="M1380">
        <v>20250526</v>
      </c>
      <c r="N1380" t="s">
        <v>924</v>
      </c>
      <c r="Q1380" t="s">
        <v>47</v>
      </c>
      <c r="R1380">
        <v>402798</v>
      </c>
      <c r="S1380">
        <v>0</v>
      </c>
      <c r="T1380">
        <v>105703</v>
      </c>
      <c r="U1380" t="s">
        <v>934</v>
      </c>
      <c r="V1380" t="s">
        <v>935</v>
      </c>
      <c r="W1380" t="s">
        <v>187</v>
      </c>
      <c r="Y1380" t="s">
        <v>51</v>
      </c>
      <c r="Z1380">
        <v>1657</v>
      </c>
      <c r="AH1380">
        <v>0</v>
      </c>
      <c r="AI1380">
        <v>202505</v>
      </c>
      <c r="AJ1380" t="s">
        <v>86</v>
      </c>
      <c r="AK1380">
        <v>1</v>
      </c>
      <c r="AL1380">
        <v>1</v>
      </c>
      <c r="AO1380">
        <v>0</v>
      </c>
      <c r="AP1380" t="s">
        <v>3015</v>
      </c>
      <c r="AQ1380" t="s">
        <v>3044</v>
      </c>
      <c r="AR1380" t="s">
        <v>3045</v>
      </c>
      <c r="AS1380" t="s">
        <v>3046</v>
      </c>
      <c r="AU1380" t="s">
        <v>3046</v>
      </c>
    </row>
    <row r="1381" spans="1:47" x14ac:dyDescent="0.35">
      <c r="A1381">
        <v>348314</v>
      </c>
      <c r="B1381" t="s">
        <v>178</v>
      </c>
      <c r="C1381" t="s">
        <v>179</v>
      </c>
      <c r="D1381" s="2">
        <v>45801</v>
      </c>
      <c r="E1381">
        <v>53850</v>
      </c>
      <c r="F1381">
        <v>182</v>
      </c>
      <c r="G1381" t="s">
        <v>318</v>
      </c>
      <c r="H1381" t="s">
        <v>167</v>
      </c>
      <c r="I1381" t="s">
        <v>45</v>
      </c>
      <c r="K1381">
        <v>202505268005809</v>
      </c>
      <c r="L1381">
        <v>1825502403124</v>
      </c>
      <c r="M1381">
        <v>20250526</v>
      </c>
      <c r="N1381" t="s">
        <v>808</v>
      </c>
      <c r="Q1381" t="s">
        <v>47</v>
      </c>
      <c r="R1381">
        <v>151048</v>
      </c>
      <c r="S1381">
        <v>0</v>
      </c>
      <c r="T1381">
        <v>3000579</v>
      </c>
      <c r="U1381" t="s">
        <v>1545</v>
      </c>
      <c r="V1381" t="s">
        <v>1546</v>
      </c>
      <c r="W1381" t="s">
        <v>187</v>
      </c>
      <c r="Y1381" t="s">
        <v>51</v>
      </c>
      <c r="Z1381">
        <v>616</v>
      </c>
      <c r="AH1381">
        <v>0</v>
      </c>
      <c r="AI1381">
        <v>202505</v>
      </c>
      <c r="AJ1381" t="s">
        <v>86</v>
      </c>
      <c r="AK1381">
        <v>1</v>
      </c>
      <c r="AL1381">
        <v>1</v>
      </c>
      <c r="AO1381">
        <v>0</v>
      </c>
      <c r="AP1381" t="s">
        <v>3015</v>
      </c>
      <c r="AQ1381" t="s">
        <v>3044</v>
      </c>
      <c r="AR1381" t="s">
        <v>3045</v>
      </c>
      <c r="AS1381" t="s">
        <v>3046</v>
      </c>
      <c r="AU1381" t="s">
        <v>3046</v>
      </c>
    </row>
    <row r="1382" spans="1:47" x14ac:dyDescent="0.35">
      <c r="A1382">
        <v>348313</v>
      </c>
      <c r="B1382" t="s">
        <v>178</v>
      </c>
      <c r="C1382" t="s">
        <v>179</v>
      </c>
      <c r="D1382" s="2">
        <v>45801</v>
      </c>
      <c r="E1382">
        <v>53850</v>
      </c>
      <c r="F1382">
        <v>226</v>
      </c>
      <c r="G1382" t="s">
        <v>129</v>
      </c>
      <c r="H1382" t="s">
        <v>167</v>
      </c>
      <c r="I1382" t="s">
        <v>45</v>
      </c>
      <c r="K1382">
        <v>202505268005859</v>
      </c>
      <c r="L1382">
        <v>2265500010051</v>
      </c>
      <c r="M1382">
        <v>20250526</v>
      </c>
      <c r="N1382" t="s">
        <v>808</v>
      </c>
      <c r="Q1382" t="s">
        <v>47</v>
      </c>
      <c r="R1382">
        <v>151048</v>
      </c>
      <c r="S1382">
        <v>0</v>
      </c>
      <c r="T1382">
        <v>4503929</v>
      </c>
      <c r="U1382" t="s">
        <v>1547</v>
      </c>
      <c r="V1382" t="s">
        <v>1548</v>
      </c>
      <c r="W1382" t="s">
        <v>187</v>
      </c>
      <c r="Y1382" t="s">
        <v>51</v>
      </c>
      <c r="Z1382">
        <v>1395</v>
      </c>
      <c r="AH1382">
        <v>0</v>
      </c>
      <c r="AI1382">
        <v>202505</v>
      </c>
      <c r="AJ1382" t="s">
        <v>86</v>
      </c>
      <c r="AK1382">
        <v>1</v>
      </c>
      <c r="AL1382">
        <v>1</v>
      </c>
      <c r="AO1382">
        <v>0</v>
      </c>
      <c r="AP1382" t="s">
        <v>3015</v>
      </c>
      <c r="AQ1382" t="s">
        <v>3044</v>
      </c>
      <c r="AR1382" t="s">
        <v>3045</v>
      </c>
      <c r="AS1382" t="s">
        <v>3046</v>
      </c>
      <c r="AU1382" t="s">
        <v>3046</v>
      </c>
    </row>
    <row r="1383" spans="1:47" x14ac:dyDescent="0.35">
      <c r="A1383">
        <v>348312</v>
      </c>
      <c r="B1383" t="s">
        <v>178</v>
      </c>
      <c r="C1383" t="s">
        <v>179</v>
      </c>
      <c r="D1383" s="2">
        <v>45801</v>
      </c>
      <c r="E1383">
        <v>53850</v>
      </c>
      <c r="F1383">
        <v>103</v>
      </c>
      <c r="G1383" t="s">
        <v>80</v>
      </c>
      <c r="H1383" t="s">
        <v>167</v>
      </c>
      <c r="I1383" t="s">
        <v>45</v>
      </c>
      <c r="K1383">
        <v>202505268005627</v>
      </c>
      <c r="L1383">
        <v>1035500408053</v>
      </c>
      <c r="M1383">
        <v>20250526</v>
      </c>
      <c r="N1383" t="s">
        <v>808</v>
      </c>
      <c r="Q1383" t="s">
        <v>47</v>
      </c>
      <c r="R1383">
        <v>249998</v>
      </c>
      <c r="S1383">
        <v>0</v>
      </c>
      <c r="T1383">
        <v>147133</v>
      </c>
      <c r="U1383" t="s">
        <v>1533</v>
      </c>
      <c r="V1383" t="s">
        <v>1534</v>
      </c>
      <c r="W1383" t="s">
        <v>187</v>
      </c>
      <c r="Y1383" t="s">
        <v>51</v>
      </c>
      <c r="Z1383">
        <v>806</v>
      </c>
      <c r="AH1383">
        <v>0</v>
      </c>
      <c r="AI1383">
        <v>202505</v>
      </c>
      <c r="AJ1383" t="s">
        <v>86</v>
      </c>
      <c r="AK1383">
        <v>1</v>
      </c>
      <c r="AL1383">
        <v>1</v>
      </c>
      <c r="AO1383">
        <v>0</v>
      </c>
      <c r="AP1383" t="s">
        <v>3015</v>
      </c>
      <c r="AQ1383" t="s">
        <v>3044</v>
      </c>
      <c r="AR1383" t="s">
        <v>3045</v>
      </c>
      <c r="AS1383" t="s">
        <v>3046</v>
      </c>
      <c r="AU1383" t="s">
        <v>3046</v>
      </c>
    </row>
    <row r="1384" spans="1:47" x14ac:dyDescent="0.35">
      <c r="A1384">
        <v>348311</v>
      </c>
      <c r="B1384" t="s">
        <v>178</v>
      </c>
      <c r="C1384" t="s">
        <v>179</v>
      </c>
      <c r="D1384" s="2">
        <v>45801</v>
      </c>
      <c r="E1384">
        <v>53850</v>
      </c>
      <c r="F1384">
        <v>182</v>
      </c>
      <c r="G1384" t="s">
        <v>318</v>
      </c>
      <c r="H1384" t="s">
        <v>167</v>
      </c>
      <c r="I1384" t="s">
        <v>45</v>
      </c>
      <c r="K1384">
        <v>202505268005813</v>
      </c>
      <c r="L1384">
        <v>1825502404908</v>
      </c>
      <c r="M1384">
        <v>20250526</v>
      </c>
      <c r="N1384" t="s">
        <v>808</v>
      </c>
      <c r="Q1384" t="s">
        <v>47</v>
      </c>
      <c r="R1384">
        <v>201398</v>
      </c>
      <c r="S1384">
        <v>0</v>
      </c>
      <c r="T1384">
        <v>3000579</v>
      </c>
      <c r="U1384" t="s">
        <v>1545</v>
      </c>
      <c r="V1384" t="s">
        <v>1546</v>
      </c>
      <c r="W1384" t="s">
        <v>187</v>
      </c>
      <c r="Y1384" t="s">
        <v>51</v>
      </c>
      <c r="Z1384">
        <v>616</v>
      </c>
      <c r="AH1384">
        <v>0</v>
      </c>
      <c r="AI1384">
        <v>202505</v>
      </c>
      <c r="AJ1384" t="s">
        <v>86</v>
      </c>
      <c r="AK1384">
        <v>1</v>
      </c>
      <c r="AL1384">
        <v>1</v>
      </c>
      <c r="AO1384">
        <v>0</v>
      </c>
      <c r="AP1384" t="s">
        <v>3015</v>
      </c>
      <c r="AQ1384" t="s">
        <v>3044</v>
      </c>
      <c r="AR1384" t="s">
        <v>3045</v>
      </c>
      <c r="AS1384" t="s">
        <v>3046</v>
      </c>
      <c r="AU1384" t="s">
        <v>3046</v>
      </c>
    </row>
    <row r="1385" spans="1:47" x14ac:dyDescent="0.35">
      <c r="A1385">
        <v>348310</v>
      </c>
      <c r="B1385" t="s">
        <v>178</v>
      </c>
      <c r="C1385" t="s">
        <v>179</v>
      </c>
      <c r="D1385" s="2">
        <v>45801</v>
      </c>
      <c r="E1385">
        <v>53850</v>
      </c>
      <c r="F1385">
        <v>182</v>
      </c>
      <c r="G1385" t="s">
        <v>318</v>
      </c>
      <c r="H1385" t="s">
        <v>167</v>
      </c>
      <c r="I1385" t="s">
        <v>45</v>
      </c>
      <c r="K1385">
        <v>202505268005794</v>
      </c>
      <c r="L1385">
        <v>1823300017474</v>
      </c>
      <c r="M1385">
        <v>20250526</v>
      </c>
      <c r="N1385" t="s">
        <v>924</v>
      </c>
      <c r="Q1385" t="s">
        <v>47</v>
      </c>
      <c r="R1385">
        <v>906298</v>
      </c>
      <c r="S1385">
        <v>0</v>
      </c>
      <c r="T1385">
        <v>3041446</v>
      </c>
      <c r="U1385" t="s">
        <v>1091</v>
      </c>
      <c r="V1385" t="s">
        <v>1092</v>
      </c>
      <c r="W1385" t="s">
        <v>187</v>
      </c>
      <c r="Y1385" t="s">
        <v>51</v>
      </c>
      <c r="Z1385">
        <v>616</v>
      </c>
      <c r="AH1385">
        <v>0</v>
      </c>
      <c r="AI1385">
        <v>202505</v>
      </c>
      <c r="AJ1385" t="s">
        <v>86</v>
      </c>
      <c r="AK1385">
        <v>1</v>
      </c>
      <c r="AL1385">
        <v>1</v>
      </c>
      <c r="AO1385">
        <v>0</v>
      </c>
      <c r="AP1385" t="s">
        <v>3015</v>
      </c>
      <c r="AQ1385" t="s">
        <v>3044</v>
      </c>
      <c r="AR1385" t="s">
        <v>3045</v>
      </c>
      <c r="AS1385" t="s">
        <v>3046</v>
      </c>
      <c r="AU1385" t="s">
        <v>3046</v>
      </c>
    </row>
    <row r="1386" spans="1:47" x14ac:dyDescent="0.35">
      <c r="A1386">
        <v>348309</v>
      </c>
      <c r="B1386" t="s">
        <v>178</v>
      </c>
      <c r="C1386" t="s">
        <v>179</v>
      </c>
      <c r="D1386" s="2">
        <v>45801</v>
      </c>
      <c r="E1386">
        <v>53850</v>
      </c>
      <c r="F1386">
        <v>182</v>
      </c>
      <c r="G1386" t="s">
        <v>318</v>
      </c>
      <c r="H1386" t="s">
        <v>167</v>
      </c>
      <c r="I1386" t="s">
        <v>45</v>
      </c>
      <c r="K1386">
        <v>202505238005231</v>
      </c>
      <c r="L1386">
        <v>1823300172332</v>
      </c>
      <c r="M1386">
        <v>20250523</v>
      </c>
      <c r="N1386" t="s">
        <v>46</v>
      </c>
      <c r="P1386" t="s">
        <v>51</v>
      </c>
      <c r="Q1386" t="s">
        <v>47</v>
      </c>
      <c r="R1386">
        <v>223136.7</v>
      </c>
      <c r="S1386">
        <v>0</v>
      </c>
      <c r="T1386">
        <v>4778753</v>
      </c>
      <c r="U1386" t="s">
        <v>1549</v>
      </c>
      <c r="V1386" t="s">
        <v>1550</v>
      </c>
      <c r="W1386" t="s">
        <v>187</v>
      </c>
      <c r="Y1386" t="s">
        <v>51</v>
      </c>
      <c r="Z1386">
        <v>616</v>
      </c>
      <c r="AH1386">
        <v>0</v>
      </c>
      <c r="AI1386">
        <v>202505</v>
      </c>
      <c r="AJ1386" t="s">
        <v>86</v>
      </c>
      <c r="AK1386">
        <v>1</v>
      </c>
      <c r="AL1386">
        <v>1</v>
      </c>
      <c r="AO1386">
        <v>0</v>
      </c>
      <c r="AP1386" t="s">
        <v>3015</v>
      </c>
      <c r="AQ1386" t="s">
        <v>3044</v>
      </c>
      <c r="AR1386" t="s">
        <v>3045</v>
      </c>
      <c r="AS1386" t="s">
        <v>3046</v>
      </c>
      <c r="AU1386" t="s">
        <v>3046</v>
      </c>
    </row>
    <row r="1387" spans="1:47" x14ac:dyDescent="0.35">
      <c r="A1387">
        <v>348308</v>
      </c>
      <c r="B1387" t="s">
        <v>178</v>
      </c>
      <c r="C1387" t="s">
        <v>179</v>
      </c>
      <c r="D1387" s="2">
        <v>45801</v>
      </c>
      <c r="E1387">
        <v>53850</v>
      </c>
      <c r="F1387">
        <v>102</v>
      </c>
      <c r="G1387" t="s">
        <v>151</v>
      </c>
      <c r="H1387" t="s">
        <v>167</v>
      </c>
      <c r="I1387" t="s">
        <v>45</v>
      </c>
      <c r="K1387">
        <v>202505238004809</v>
      </c>
      <c r="L1387">
        <v>1023308726073</v>
      </c>
      <c r="M1387">
        <v>20250523</v>
      </c>
      <c r="N1387" t="s">
        <v>46</v>
      </c>
      <c r="P1387" t="s">
        <v>51</v>
      </c>
      <c r="Q1387" t="s">
        <v>47</v>
      </c>
      <c r="R1387">
        <v>830379.91</v>
      </c>
      <c r="S1387">
        <v>0</v>
      </c>
      <c r="T1387">
        <v>4972446</v>
      </c>
      <c r="U1387">
        <v>8406920721</v>
      </c>
      <c r="V1387" t="s">
        <v>824</v>
      </c>
      <c r="W1387" t="s">
        <v>49</v>
      </c>
      <c r="X1387" t="s">
        <v>364</v>
      </c>
      <c r="Y1387" t="s">
        <v>51</v>
      </c>
      <c r="Z1387">
        <v>739</v>
      </c>
      <c r="AH1387">
        <v>0</v>
      </c>
      <c r="AI1387">
        <v>202505</v>
      </c>
      <c r="AJ1387" t="s">
        <v>86</v>
      </c>
      <c r="AK1387">
        <v>1</v>
      </c>
      <c r="AL1387">
        <v>1</v>
      </c>
      <c r="AO1387">
        <v>0</v>
      </c>
      <c r="AP1387" t="s">
        <v>3062</v>
      </c>
      <c r="AQ1387" t="s">
        <v>3012</v>
      </c>
      <c r="AR1387" t="s">
        <v>3063</v>
      </c>
      <c r="AS1387" t="s">
        <v>3014</v>
      </c>
      <c r="AU1387" t="s">
        <v>3014</v>
      </c>
    </row>
    <row r="1388" spans="1:47" x14ac:dyDescent="0.35">
      <c r="A1388">
        <v>348307</v>
      </c>
      <c r="B1388" t="s">
        <v>193</v>
      </c>
      <c r="C1388" t="s">
        <v>194</v>
      </c>
      <c r="D1388" s="2">
        <v>45801</v>
      </c>
      <c r="E1388">
        <v>53850</v>
      </c>
      <c r="F1388">
        <v>189</v>
      </c>
      <c r="G1388" t="s">
        <v>286</v>
      </c>
      <c r="H1388" t="s">
        <v>167</v>
      </c>
      <c r="I1388" t="s">
        <v>45</v>
      </c>
      <c r="K1388">
        <v>202505238006783</v>
      </c>
      <c r="L1388">
        <v>1893300023546</v>
      </c>
      <c r="M1388">
        <v>20250523</v>
      </c>
      <c r="N1388" t="s">
        <v>266</v>
      </c>
      <c r="Q1388" t="s">
        <v>47</v>
      </c>
      <c r="R1388">
        <v>54950</v>
      </c>
      <c r="S1388">
        <v>54950</v>
      </c>
      <c r="T1388">
        <v>3064562</v>
      </c>
      <c r="U1388" t="s">
        <v>287</v>
      </c>
      <c r="V1388" t="s">
        <v>288</v>
      </c>
      <c r="W1388" t="s">
        <v>69</v>
      </c>
      <c r="X1388" t="s">
        <v>55</v>
      </c>
      <c r="Y1388" t="s">
        <v>51</v>
      </c>
      <c r="Z1388">
        <v>1620</v>
      </c>
      <c r="AH1388">
        <v>0</v>
      </c>
      <c r="AI1388">
        <v>202505</v>
      </c>
      <c r="AJ1388" t="s">
        <v>56</v>
      </c>
      <c r="AK1388">
        <v>0</v>
      </c>
      <c r="AL1388">
        <v>1</v>
      </c>
      <c r="AM1388">
        <v>3064562</v>
      </c>
      <c r="AN1388">
        <v>1</v>
      </c>
      <c r="AO1388">
        <v>0</v>
      </c>
      <c r="AP1388" t="s">
        <v>3015</v>
      </c>
      <c r="AQ1388" t="s">
        <v>3021</v>
      </c>
      <c r="AR1388" t="s">
        <v>3022</v>
      </c>
      <c r="AT1388" t="s">
        <v>3017</v>
      </c>
      <c r="AU1388" t="s">
        <v>3014</v>
      </c>
    </row>
    <row r="1389" spans="1:47" x14ac:dyDescent="0.35">
      <c r="A1389">
        <v>348306</v>
      </c>
      <c r="B1389" t="s">
        <v>172</v>
      </c>
      <c r="C1389" t="s">
        <v>173</v>
      </c>
      <c r="D1389" s="2">
        <v>45801</v>
      </c>
      <c r="E1389">
        <v>53850</v>
      </c>
      <c r="F1389">
        <v>171</v>
      </c>
      <c r="G1389" t="s">
        <v>198</v>
      </c>
      <c r="H1389" t="s">
        <v>167</v>
      </c>
      <c r="I1389" t="s">
        <v>45</v>
      </c>
      <c r="K1389" t="s">
        <v>1551</v>
      </c>
      <c r="L1389">
        <v>1713305728950</v>
      </c>
      <c r="M1389">
        <v>20250523</v>
      </c>
      <c r="N1389" t="s">
        <v>195</v>
      </c>
      <c r="Q1389" t="s">
        <v>47</v>
      </c>
      <c r="R1389">
        <v>407100.71</v>
      </c>
      <c r="S1389">
        <v>407100.71</v>
      </c>
      <c r="T1389">
        <v>572895</v>
      </c>
      <c r="U1389">
        <v>4161600723</v>
      </c>
      <c r="V1389" t="s">
        <v>199</v>
      </c>
      <c r="W1389" t="s">
        <v>49</v>
      </c>
      <c r="X1389" t="s">
        <v>200</v>
      </c>
      <c r="Y1389" t="s">
        <v>51</v>
      </c>
      <c r="Z1389">
        <v>1903</v>
      </c>
      <c r="AH1389">
        <v>0</v>
      </c>
      <c r="AI1389">
        <v>202505</v>
      </c>
      <c r="AJ1389" t="s">
        <v>86</v>
      </c>
      <c r="AK1389">
        <v>1</v>
      </c>
      <c r="AL1389">
        <v>1</v>
      </c>
      <c r="AM1389">
        <v>572895</v>
      </c>
      <c r="AN1389">
        <v>1</v>
      </c>
      <c r="AO1389">
        <v>0</v>
      </c>
      <c r="AP1389" t="s">
        <v>3015</v>
      </c>
      <c r="AQ1389" t="s">
        <v>3012</v>
      </c>
      <c r="AR1389" t="s">
        <v>3016</v>
      </c>
      <c r="AT1389" t="s">
        <v>3017</v>
      </c>
      <c r="AU1389" t="s">
        <v>3018</v>
      </c>
    </row>
    <row r="1390" spans="1:47" x14ac:dyDescent="0.35">
      <c r="A1390">
        <v>348305</v>
      </c>
      <c r="B1390" t="s">
        <v>178</v>
      </c>
      <c r="C1390" t="s">
        <v>179</v>
      </c>
      <c r="D1390" s="2">
        <v>45801</v>
      </c>
      <c r="E1390">
        <v>53850</v>
      </c>
      <c r="F1390">
        <v>182</v>
      </c>
      <c r="G1390" t="s">
        <v>318</v>
      </c>
      <c r="H1390" t="s">
        <v>167</v>
      </c>
      <c r="I1390" t="s">
        <v>45</v>
      </c>
      <c r="K1390">
        <v>202505238005231</v>
      </c>
      <c r="L1390">
        <v>1823300172332</v>
      </c>
      <c r="M1390">
        <v>20250523</v>
      </c>
      <c r="N1390" t="s">
        <v>46</v>
      </c>
      <c r="P1390" t="s">
        <v>51</v>
      </c>
      <c r="Q1390" t="s">
        <v>47</v>
      </c>
      <c r="R1390">
        <v>223136.7</v>
      </c>
      <c r="S1390">
        <v>0</v>
      </c>
      <c r="T1390">
        <v>3032172</v>
      </c>
      <c r="U1390" t="s">
        <v>1552</v>
      </c>
      <c r="V1390" t="s">
        <v>1553</v>
      </c>
      <c r="W1390" t="s">
        <v>187</v>
      </c>
      <c r="Y1390" t="s">
        <v>51</v>
      </c>
      <c r="Z1390">
        <v>616</v>
      </c>
      <c r="AH1390">
        <v>0</v>
      </c>
      <c r="AI1390">
        <v>202505</v>
      </c>
      <c r="AJ1390" t="s">
        <v>86</v>
      </c>
      <c r="AK1390">
        <v>1</v>
      </c>
      <c r="AL1390">
        <v>1</v>
      </c>
      <c r="AO1390">
        <v>0</v>
      </c>
      <c r="AP1390" t="s">
        <v>3015</v>
      </c>
      <c r="AQ1390" t="s">
        <v>3044</v>
      </c>
      <c r="AR1390" t="s">
        <v>3045</v>
      </c>
      <c r="AS1390" t="s">
        <v>3046</v>
      </c>
      <c r="AU1390" t="s">
        <v>3046</v>
      </c>
    </row>
    <row r="1391" spans="1:47" x14ac:dyDescent="0.35">
      <c r="A1391">
        <v>348304</v>
      </c>
      <c r="B1391" t="s">
        <v>193</v>
      </c>
      <c r="C1391" t="s">
        <v>194</v>
      </c>
      <c r="D1391" s="2">
        <v>45801</v>
      </c>
      <c r="E1391">
        <v>53850</v>
      </c>
      <c r="F1391">
        <v>171</v>
      </c>
      <c r="G1391" t="s">
        <v>198</v>
      </c>
      <c r="H1391" t="s">
        <v>167</v>
      </c>
      <c r="I1391" t="s">
        <v>45</v>
      </c>
      <c r="K1391" t="s">
        <v>1551</v>
      </c>
      <c r="L1391">
        <v>1713305728950</v>
      </c>
      <c r="M1391">
        <v>20250523</v>
      </c>
      <c r="N1391" t="s">
        <v>195</v>
      </c>
      <c r="Q1391" t="s">
        <v>47</v>
      </c>
      <c r="R1391">
        <v>407100.71</v>
      </c>
      <c r="S1391">
        <v>407100.71</v>
      </c>
      <c r="T1391">
        <v>572895</v>
      </c>
      <c r="U1391">
        <v>4161600723</v>
      </c>
      <c r="V1391" t="s">
        <v>199</v>
      </c>
      <c r="W1391" t="s">
        <v>49</v>
      </c>
      <c r="X1391" t="s">
        <v>200</v>
      </c>
      <c r="Y1391" t="s">
        <v>51</v>
      </c>
      <c r="Z1391">
        <v>1903</v>
      </c>
      <c r="AH1391">
        <v>0</v>
      </c>
      <c r="AI1391">
        <v>202505</v>
      </c>
      <c r="AJ1391" t="s">
        <v>86</v>
      </c>
      <c r="AK1391">
        <v>1</v>
      </c>
      <c r="AL1391">
        <v>1</v>
      </c>
      <c r="AM1391">
        <v>572895</v>
      </c>
      <c r="AN1391">
        <v>1</v>
      </c>
      <c r="AO1391">
        <v>0</v>
      </c>
      <c r="AP1391" t="s">
        <v>3015</v>
      </c>
      <c r="AQ1391" t="s">
        <v>3012</v>
      </c>
      <c r="AR1391" t="s">
        <v>3016</v>
      </c>
      <c r="AT1391" t="s">
        <v>3017</v>
      </c>
      <c r="AU1391" t="s">
        <v>3018</v>
      </c>
    </row>
    <row r="1392" spans="1:47" x14ac:dyDescent="0.35">
      <c r="A1392">
        <v>348303</v>
      </c>
      <c r="B1392" t="s">
        <v>193</v>
      </c>
      <c r="C1392" t="s">
        <v>194</v>
      </c>
      <c r="D1392" s="2">
        <v>45801</v>
      </c>
      <c r="E1392">
        <v>53850</v>
      </c>
      <c r="F1392">
        <v>120</v>
      </c>
      <c r="G1392" t="s">
        <v>411</v>
      </c>
      <c r="H1392" t="s">
        <v>167</v>
      </c>
      <c r="I1392" t="s">
        <v>45</v>
      </c>
      <c r="K1392" t="s">
        <v>1551</v>
      </c>
      <c r="L1392">
        <v>1203300001670</v>
      </c>
      <c r="M1392">
        <v>20250523</v>
      </c>
      <c r="N1392" t="s">
        <v>175</v>
      </c>
      <c r="Q1392" t="s">
        <v>47</v>
      </c>
      <c r="R1392">
        <v>59435</v>
      </c>
      <c r="S1392">
        <v>57035</v>
      </c>
      <c r="T1392">
        <v>4510434</v>
      </c>
      <c r="U1392">
        <v>6789440721</v>
      </c>
      <c r="V1392" t="s">
        <v>412</v>
      </c>
      <c r="W1392" t="s">
        <v>190</v>
      </c>
      <c r="X1392" t="s">
        <v>413</v>
      </c>
      <c r="Y1392" t="s">
        <v>51</v>
      </c>
      <c r="Z1392">
        <v>1640</v>
      </c>
      <c r="AH1392">
        <v>0</v>
      </c>
      <c r="AI1392">
        <v>202505</v>
      </c>
      <c r="AJ1392" t="s">
        <v>119</v>
      </c>
      <c r="AK1392">
        <v>1</v>
      </c>
      <c r="AL1392">
        <v>1</v>
      </c>
      <c r="AM1392">
        <v>4510434</v>
      </c>
      <c r="AN1392">
        <v>1</v>
      </c>
      <c r="AO1392">
        <v>1</v>
      </c>
      <c r="AP1392" t="s">
        <v>3015</v>
      </c>
      <c r="AQ1392" t="s">
        <v>3047</v>
      </c>
      <c r="AR1392" t="s">
        <v>3056</v>
      </c>
      <c r="AT1392" t="s">
        <v>3017</v>
      </c>
      <c r="AU1392" t="s">
        <v>3057</v>
      </c>
    </row>
    <row r="1393" spans="1:47" x14ac:dyDescent="0.35">
      <c r="A1393">
        <v>348302</v>
      </c>
      <c r="B1393" t="s">
        <v>193</v>
      </c>
      <c r="C1393" t="s">
        <v>194</v>
      </c>
      <c r="D1393" s="2">
        <v>45801</v>
      </c>
      <c r="E1393">
        <v>53850</v>
      </c>
      <c r="F1393">
        <v>171</v>
      </c>
      <c r="G1393" t="s">
        <v>198</v>
      </c>
      <c r="H1393" t="s">
        <v>167</v>
      </c>
      <c r="I1393" t="s">
        <v>45</v>
      </c>
      <c r="K1393" t="s">
        <v>1551</v>
      </c>
      <c r="L1393">
        <v>1713302214147</v>
      </c>
      <c r="M1393">
        <v>20250523</v>
      </c>
      <c r="N1393" t="s">
        <v>195</v>
      </c>
      <c r="Q1393" t="s">
        <v>47</v>
      </c>
      <c r="R1393">
        <v>136923.22</v>
      </c>
      <c r="S1393">
        <v>136923.22</v>
      </c>
      <c r="T1393">
        <v>4199319</v>
      </c>
      <c r="U1393">
        <v>6037810725</v>
      </c>
      <c r="V1393" t="s">
        <v>1144</v>
      </c>
      <c r="W1393" t="s">
        <v>49</v>
      </c>
      <c r="X1393" t="s">
        <v>200</v>
      </c>
      <c r="Y1393" t="s">
        <v>51</v>
      </c>
      <c r="Z1393">
        <v>1903</v>
      </c>
      <c r="AH1393">
        <v>0</v>
      </c>
      <c r="AI1393">
        <v>202505</v>
      </c>
      <c r="AJ1393" t="s">
        <v>86</v>
      </c>
      <c r="AK1393">
        <v>1</v>
      </c>
      <c r="AL1393">
        <v>1</v>
      </c>
      <c r="AM1393">
        <v>4199319</v>
      </c>
      <c r="AN1393">
        <v>1</v>
      </c>
      <c r="AO1393">
        <v>0</v>
      </c>
      <c r="AP1393" t="s">
        <v>3015</v>
      </c>
      <c r="AQ1393" t="s">
        <v>3012</v>
      </c>
      <c r="AR1393" t="s">
        <v>3016</v>
      </c>
      <c r="AT1393" t="s">
        <v>3017</v>
      </c>
      <c r="AU1393" t="s">
        <v>3018</v>
      </c>
    </row>
    <row r="1394" spans="1:47" x14ac:dyDescent="0.35">
      <c r="A1394">
        <v>348301</v>
      </c>
      <c r="B1394" t="s">
        <v>172</v>
      </c>
      <c r="C1394" t="s">
        <v>173</v>
      </c>
      <c r="D1394" s="2">
        <v>45801</v>
      </c>
      <c r="E1394">
        <v>53850</v>
      </c>
      <c r="F1394">
        <v>171</v>
      </c>
      <c r="G1394" t="s">
        <v>198</v>
      </c>
      <c r="H1394" t="s">
        <v>167</v>
      </c>
      <c r="I1394" t="s">
        <v>45</v>
      </c>
      <c r="K1394" t="s">
        <v>1551</v>
      </c>
      <c r="L1394">
        <v>1713302214147</v>
      </c>
      <c r="M1394">
        <v>20250523</v>
      </c>
      <c r="N1394" t="s">
        <v>195</v>
      </c>
      <c r="Q1394" t="s">
        <v>47</v>
      </c>
      <c r="R1394">
        <v>136923.22</v>
      </c>
      <c r="S1394">
        <v>136923.22</v>
      </c>
      <c r="T1394">
        <v>4199319</v>
      </c>
      <c r="U1394">
        <v>6037810725</v>
      </c>
      <c r="V1394" t="s">
        <v>1144</v>
      </c>
      <c r="W1394" t="s">
        <v>49</v>
      </c>
      <c r="X1394" t="s">
        <v>200</v>
      </c>
      <c r="Y1394" t="s">
        <v>51</v>
      </c>
      <c r="Z1394">
        <v>1903</v>
      </c>
      <c r="AH1394">
        <v>0</v>
      </c>
      <c r="AI1394">
        <v>202505</v>
      </c>
      <c r="AJ1394" t="s">
        <v>86</v>
      </c>
      <c r="AK1394">
        <v>1</v>
      </c>
      <c r="AL1394">
        <v>1</v>
      </c>
      <c r="AM1394">
        <v>4199319</v>
      </c>
      <c r="AN1394">
        <v>1</v>
      </c>
      <c r="AO1394">
        <v>0</v>
      </c>
      <c r="AP1394" t="s">
        <v>3015</v>
      </c>
      <c r="AQ1394" t="s">
        <v>3012</v>
      </c>
      <c r="AR1394" t="s">
        <v>3016</v>
      </c>
      <c r="AT1394" t="s">
        <v>3017</v>
      </c>
      <c r="AU1394" t="s">
        <v>3018</v>
      </c>
    </row>
    <row r="1395" spans="1:47" x14ac:dyDescent="0.35">
      <c r="A1395">
        <v>348300</v>
      </c>
      <c r="B1395" t="s">
        <v>193</v>
      </c>
      <c r="C1395" t="s">
        <v>194</v>
      </c>
      <c r="D1395" s="2">
        <v>45801</v>
      </c>
      <c r="E1395">
        <v>53850</v>
      </c>
      <c r="F1395">
        <v>129</v>
      </c>
      <c r="G1395" t="s">
        <v>227</v>
      </c>
      <c r="H1395" t="s">
        <v>167</v>
      </c>
      <c r="I1395" t="s">
        <v>45</v>
      </c>
      <c r="K1395">
        <v>202505238006623</v>
      </c>
      <c r="L1395">
        <v>1293300000754</v>
      </c>
      <c r="M1395">
        <v>20250523</v>
      </c>
      <c r="N1395" t="s">
        <v>266</v>
      </c>
      <c r="Q1395" t="s">
        <v>47</v>
      </c>
      <c r="R1395">
        <v>16550</v>
      </c>
      <c r="S1395">
        <v>16550</v>
      </c>
      <c r="T1395">
        <v>4370923</v>
      </c>
      <c r="U1395">
        <v>2778200721</v>
      </c>
      <c r="V1395" t="s">
        <v>1554</v>
      </c>
      <c r="W1395" t="s">
        <v>190</v>
      </c>
      <c r="X1395" t="s">
        <v>131</v>
      </c>
      <c r="Y1395" t="s">
        <v>51</v>
      </c>
      <c r="Z1395">
        <v>1355</v>
      </c>
      <c r="AH1395">
        <v>0</v>
      </c>
      <c r="AI1395">
        <v>202505</v>
      </c>
      <c r="AJ1395" t="s">
        <v>119</v>
      </c>
      <c r="AK1395">
        <v>1</v>
      </c>
      <c r="AL1395">
        <v>1</v>
      </c>
      <c r="AM1395">
        <v>4370923</v>
      </c>
      <c r="AN1395">
        <v>1</v>
      </c>
      <c r="AO1395">
        <v>0</v>
      </c>
      <c r="AP1395" t="s">
        <v>3033</v>
      </c>
      <c r="AQ1395" t="s">
        <v>3047</v>
      </c>
      <c r="AR1395" t="s">
        <v>3048</v>
      </c>
      <c r="AS1395" t="s">
        <v>3049</v>
      </c>
      <c r="AU1395" t="s">
        <v>3049</v>
      </c>
    </row>
    <row r="1396" spans="1:47" x14ac:dyDescent="0.35">
      <c r="A1396">
        <v>348299</v>
      </c>
      <c r="B1396" t="s">
        <v>178</v>
      </c>
      <c r="C1396" t="s">
        <v>179</v>
      </c>
      <c r="D1396" s="2">
        <v>45801</v>
      </c>
      <c r="E1396">
        <v>53850</v>
      </c>
      <c r="F1396">
        <v>277</v>
      </c>
      <c r="G1396" t="s">
        <v>505</v>
      </c>
      <c r="H1396" t="s">
        <v>167</v>
      </c>
      <c r="I1396" t="s">
        <v>45</v>
      </c>
      <c r="K1396" t="s">
        <v>1555</v>
      </c>
      <c r="L1396">
        <v>2773300001134</v>
      </c>
      <c r="M1396">
        <v>20250523</v>
      </c>
      <c r="N1396" t="s">
        <v>3136</v>
      </c>
      <c r="Q1396" t="s">
        <v>170</v>
      </c>
      <c r="R1396">
        <v>1646.54</v>
      </c>
      <c r="S1396">
        <v>0</v>
      </c>
      <c r="T1396">
        <v>1676787</v>
      </c>
      <c r="U1396" t="s">
        <v>1556</v>
      </c>
      <c r="V1396" t="s">
        <v>1557</v>
      </c>
      <c r="W1396" t="s">
        <v>187</v>
      </c>
      <c r="Y1396" t="s">
        <v>51</v>
      </c>
      <c r="Z1396">
        <v>1791</v>
      </c>
      <c r="AH1396">
        <v>0</v>
      </c>
      <c r="AI1396">
        <v>202505</v>
      </c>
      <c r="AJ1396" t="s">
        <v>52</v>
      </c>
      <c r="AK1396">
        <v>0</v>
      </c>
      <c r="AL1396">
        <v>1</v>
      </c>
      <c r="AO1396">
        <v>1</v>
      </c>
      <c r="AP1396" t="s">
        <v>3015</v>
      </c>
      <c r="AQ1396" t="s">
        <v>3044</v>
      </c>
      <c r="AR1396" t="s">
        <v>3045</v>
      </c>
      <c r="AS1396" t="s">
        <v>3046</v>
      </c>
      <c r="AU1396" t="s">
        <v>3046</v>
      </c>
    </row>
    <row r="1397" spans="1:47" x14ac:dyDescent="0.35">
      <c r="A1397">
        <v>348298</v>
      </c>
      <c r="B1397" t="s">
        <v>178</v>
      </c>
      <c r="C1397" t="s">
        <v>179</v>
      </c>
      <c r="D1397" s="2">
        <v>45801</v>
      </c>
      <c r="E1397">
        <v>53850</v>
      </c>
      <c r="F1397">
        <v>105</v>
      </c>
      <c r="G1397" t="s">
        <v>60</v>
      </c>
      <c r="H1397" t="s">
        <v>167</v>
      </c>
      <c r="I1397" t="s">
        <v>45</v>
      </c>
      <c r="K1397">
        <v>202505238004934</v>
      </c>
      <c r="L1397">
        <v>1053306287087</v>
      </c>
      <c r="M1397">
        <v>20250523</v>
      </c>
      <c r="N1397" t="s">
        <v>46</v>
      </c>
      <c r="P1397" t="s">
        <v>51</v>
      </c>
      <c r="Q1397" t="s">
        <v>47</v>
      </c>
      <c r="R1397">
        <v>231556.77</v>
      </c>
      <c r="S1397">
        <v>0</v>
      </c>
      <c r="T1397">
        <v>454750</v>
      </c>
      <c r="U1397" t="s">
        <v>1558</v>
      </c>
      <c r="V1397" t="s">
        <v>1559</v>
      </c>
      <c r="W1397" t="s">
        <v>187</v>
      </c>
      <c r="Y1397" t="s">
        <v>51</v>
      </c>
      <c r="AH1397">
        <v>0</v>
      </c>
      <c r="AI1397">
        <v>202505</v>
      </c>
      <c r="AJ1397" t="s">
        <v>86</v>
      </c>
      <c r="AK1397">
        <v>1</v>
      </c>
      <c r="AL1397">
        <v>1</v>
      </c>
      <c r="AO1397">
        <v>0</v>
      </c>
      <c r="AP1397" t="s">
        <v>3015</v>
      </c>
      <c r="AQ1397" t="s">
        <v>3044</v>
      </c>
      <c r="AR1397" t="s">
        <v>3045</v>
      </c>
      <c r="AS1397" t="s">
        <v>3046</v>
      </c>
      <c r="AU1397" t="s">
        <v>3046</v>
      </c>
    </row>
    <row r="1398" spans="1:47" x14ac:dyDescent="0.35">
      <c r="A1398">
        <v>348297</v>
      </c>
      <c r="B1398" t="s">
        <v>178</v>
      </c>
      <c r="C1398" t="s">
        <v>179</v>
      </c>
      <c r="D1398" s="2">
        <v>45801</v>
      </c>
      <c r="E1398">
        <v>53850</v>
      </c>
      <c r="F1398">
        <v>149</v>
      </c>
      <c r="G1398" t="s">
        <v>449</v>
      </c>
      <c r="H1398" t="s">
        <v>167</v>
      </c>
      <c r="I1398" t="s">
        <v>45</v>
      </c>
      <c r="K1398">
        <v>202505238006665</v>
      </c>
      <c r="L1398">
        <v>1493303650760</v>
      </c>
      <c r="M1398">
        <v>20250523</v>
      </c>
      <c r="N1398" t="s">
        <v>3136</v>
      </c>
      <c r="Q1398" t="s">
        <v>170</v>
      </c>
      <c r="R1398">
        <v>134330.78</v>
      </c>
      <c r="S1398">
        <v>0</v>
      </c>
      <c r="T1398">
        <v>2003192</v>
      </c>
      <c r="U1398" t="s">
        <v>1560</v>
      </c>
      <c r="V1398" t="s">
        <v>1561</v>
      </c>
      <c r="W1398" t="s">
        <v>187</v>
      </c>
      <c r="Y1398" t="s">
        <v>51</v>
      </c>
      <c r="Z1398">
        <v>1231</v>
      </c>
      <c r="AH1398">
        <v>0</v>
      </c>
      <c r="AI1398">
        <v>202505</v>
      </c>
      <c r="AJ1398" t="s">
        <v>52</v>
      </c>
      <c r="AK1398">
        <v>0</v>
      </c>
      <c r="AL1398">
        <v>1</v>
      </c>
      <c r="AO1398">
        <v>1</v>
      </c>
      <c r="AP1398" t="s">
        <v>3015</v>
      </c>
      <c r="AQ1398" t="s">
        <v>3044</v>
      </c>
      <c r="AR1398" t="s">
        <v>3045</v>
      </c>
      <c r="AS1398" t="s">
        <v>3046</v>
      </c>
      <c r="AU1398" t="s">
        <v>3046</v>
      </c>
    </row>
    <row r="1399" spans="1:47" x14ac:dyDescent="0.35">
      <c r="A1399">
        <v>348296</v>
      </c>
      <c r="B1399" t="s">
        <v>178</v>
      </c>
      <c r="C1399" t="s">
        <v>179</v>
      </c>
      <c r="D1399" s="2">
        <v>45801</v>
      </c>
      <c r="E1399">
        <v>53850</v>
      </c>
      <c r="F1399">
        <v>196</v>
      </c>
      <c r="G1399" t="s">
        <v>567</v>
      </c>
      <c r="H1399" t="s">
        <v>167</v>
      </c>
      <c r="I1399" t="s">
        <v>45</v>
      </c>
      <c r="K1399">
        <v>202505238006368</v>
      </c>
      <c r="L1399">
        <v>1963302354092</v>
      </c>
      <c r="M1399">
        <v>20250523</v>
      </c>
      <c r="N1399" t="s">
        <v>258</v>
      </c>
      <c r="Q1399" t="s">
        <v>170</v>
      </c>
      <c r="R1399">
        <v>250000</v>
      </c>
      <c r="S1399">
        <v>0</v>
      </c>
      <c r="T1399">
        <v>4922081</v>
      </c>
      <c r="U1399" t="s">
        <v>1562</v>
      </c>
      <c r="V1399" t="s">
        <v>1563</v>
      </c>
      <c r="W1399" t="s">
        <v>187</v>
      </c>
      <c r="Y1399" t="s">
        <v>51</v>
      </c>
      <c r="Z1399">
        <v>878</v>
      </c>
      <c r="AH1399">
        <v>0</v>
      </c>
      <c r="AI1399">
        <v>202505</v>
      </c>
      <c r="AJ1399" t="s">
        <v>52</v>
      </c>
      <c r="AK1399">
        <v>0</v>
      </c>
      <c r="AL1399">
        <v>1</v>
      </c>
      <c r="AO1399">
        <v>0</v>
      </c>
      <c r="AP1399" t="s">
        <v>3015</v>
      </c>
      <c r="AQ1399" t="s">
        <v>3044</v>
      </c>
      <c r="AR1399" t="s">
        <v>3045</v>
      </c>
      <c r="AS1399" t="s">
        <v>3046</v>
      </c>
      <c r="AU1399" t="s">
        <v>3046</v>
      </c>
    </row>
    <row r="1400" spans="1:47" x14ac:dyDescent="0.35">
      <c r="A1400">
        <v>348295</v>
      </c>
      <c r="B1400" t="s">
        <v>178</v>
      </c>
      <c r="C1400" t="s">
        <v>179</v>
      </c>
      <c r="D1400" s="2">
        <v>45801</v>
      </c>
      <c r="E1400">
        <v>53850</v>
      </c>
      <c r="F1400">
        <v>187</v>
      </c>
      <c r="G1400" t="s">
        <v>251</v>
      </c>
      <c r="H1400" t="s">
        <v>167</v>
      </c>
      <c r="I1400" t="s">
        <v>45</v>
      </c>
      <c r="K1400">
        <v>202505238004297</v>
      </c>
      <c r="L1400">
        <v>999361870311</v>
      </c>
      <c r="M1400">
        <v>20250523</v>
      </c>
      <c r="N1400" t="s">
        <v>236</v>
      </c>
      <c r="P1400" t="s">
        <v>51</v>
      </c>
      <c r="Q1400" t="s">
        <v>170</v>
      </c>
      <c r="R1400">
        <v>1140733.72</v>
      </c>
      <c r="S1400">
        <v>0</v>
      </c>
      <c r="T1400">
        <v>3004644</v>
      </c>
      <c r="U1400">
        <v>80008750731</v>
      </c>
      <c r="V1400" t="s">
        <v>252</v>
      </c>
      <c r="W1400" t="s">
        <v>253</v>
      </c>
      <c r="Y1400" t="s">
        <v>51</v>
      </c>
      <c r="Z1400">
        <v>1627</v>
      </c>
      <c r="AH1400">
        <v>0</v>
      </c>
      <c r="AI1400">
        <v>202505</v>
      </c>
      <c r="AJ1400" t="s">
        <v>56</v>
      </c>
      <c r="AK1400">
        <v>0</v>
      </c>
      <c r="AL1400">
        <v>1</v>
      </c>
      <c r="AO1400">
        <v>0</v>
      </c>
      <c r="AP1400" t="s">
        <v>3015</v>
      </c>
      <c r="AQ1400" t="s">
        <v>3052</v>
      </c>
      <c r="AR1400" t="s">
        <v>3053</v>
      </c>
      <c r="AS1400" t="s">
        <v>3037</v>
      </c>
      <c r="AU1400" t="s">
        <v>3037</v>
      </c>
    </row>
    <row r="1401" spans="1:47" x14ac:dyDescent="0.35">
      <c r="A1401">
        <v>348294</v>
      </c>
      <c r="B1401" t="s">
        <v>193</v>
      </c>
      <c r="C1401" t="s">
        <v>194</v>
      </c>
      <c r="D1401" s="2">
        <v>45801</v>
      </c>
      <c r="E1401">
        <v>53850</v>
      </c>
      <c r="F1401">
        <v>161</v>
      </c>
      <c r="G1401" t="s">
        <v>111</v>
      </c>
      <c r="H1401" t="s">
        <v>167</v>
      </c>
      <c r="I1401" t="s">
        <v>45</v>
      </c>
      <c r="K1401" t="s">
        <v>1551</v>
      </c>
      <c r="L1401">
        <v>1613300031333</v>
      </c>
      <c r="M1401">
        <v>20250523</v>
      </c>
      <c r="N1401" t="s">
        <v>175</v>
      </c>
      <c r="Q1401" t="s">
        <v>47</v>
      </c>
      <c r="R1401">
        <v>45500.4</v>
      </c>
      <c r="S1401">
        <v>41925</v>
      </c>
      <c r="T1401">
        <v>511904</v>
      </c>
      <c r="U1401" t="s">
        <v>388</v>
      </c>
      <c r="V1401" t="s">
        <v>389</v>
      </c>
      <c r="W1401" t="s">
        <v>69</v>
      </c>
      <c r="X1401" t="s">
        <v>55</v>
      </c>
      <c r="Y1401" t="s">
        <v>51</v>
      </c>
      <c r="Z1401">
        <v>857</v>
      </c>
      <c r="AH1401">
        <v>0</v>
      </c>
      <c r="AI1401">
        <v>202505</v>
      </c>
      <c r="AJ1401" t="s">
        <v>56</v>
      </c>
      <c r="AK1401">
        <v>0</v>
      </c>
      <c r="AL1401">
        <v>1</v>
      </c>
      <c r="AM1401">
        <v>511904</v>
      </c>
      <c r="AN1401">
        <v>1</v>
      </c>
      <c r="AO1401">
        <v>1</v>
      </c>
      <c r="AP1401" t="s">
        <v>3015</v>
      </c>
      <c r="AQ1401" t="s">
        <v>3021</v>
      </c>
      <c r="AR1401" t="s">
        <v>3022</v>
      </c>
      <c r="AT1401" t="s">
        <v>3017</v>
      </c>
      <c r="AU1401" t="s">
        <v>3014</v>
      </c>
    </row>
    <row r="1402" spans="1:47" x14ac:dyDescent="0.35">
      <c r="A1402">
        <v>348293</v>
      </c>
      <c r="B1402" t="s">
        <v>178</v>
      </c>
      <c r="C1402" t="s">
        <v>179</v>
      </c>
      <c r="D1402" s="2">
        <v>45801</v>
      </c>
      <c r="E1402">
        <v>53850</v>
      </c>
      <c r="F1402">
        <v>105</v>
      </c>
      <c r="G1402" t="s">
        <v>60</v>
      </c>
      <c r="H1402" t="s">
        <v>167</v>
      </c>
      <c r="I1402" t="s">
        <v>45</v>
      </c>
      <c r="K1402">
        <v>202505238006528</v>
      </c>
      <c r="L1402">
        <v>1053306288710</v>
      </c>
      <c r="M1402">
        <v>20250523</v>
      </c>
      <c r="N1402" t="s">
        <v>1002</v>
      </c>
      <c r="Q1402" t="s">
        <v>47</v>
      </c>
      <c r="R1402">
        <v>300000</v>
      </c>
      <c r="S1402">
        <v>0</v>
      </c>
      <c r="T1402">
        <v>522982</v>
      </c>
      <c r="U1402" t="s">
        <v>1258</v>
      </c>
      <c r="V1402" t="s">
        <v>1259</v>
      </c>
      <c r="W1402" t="s">
        <v>187</v>
      </c>
      <c r="Y1402" t="s">
        <v>51</v>
      </c>
      <c r="Z1402">
        <v>833</v>
      </c>
      <c r="AH1402">
        <v>0</v>
      </c>
      <c r="AI1402">
        <v>202505</v>
      </c>
      <c r="AJ1402" t="s">
        <v>86</v>
      </c>
      <c r="AK1402">
        <v>1</v>
      </c>
      <c r="AL1402">
        <v>1</v>
      </c>
      <c r="AO1402">
        <v>0</v>
      </c>
      <c r="AP1402" t="s">
        <v>3015</v>
      </c>
      <c r="AQ1402" t="s">
        <v>3044</v>
      </c>
      <c r="AR1402" t="s">
        <v>3045</v>
      </c>
      <c r="AS1402" t="s">
        <v>3046</v>
      </c>
      <c r="AU1402" t="s">
        <v>3046</v>
      </c>
    </row>
    <row r="1403" spans="1:47" x14ac:dyDescent="0.35">
      <c r="A1403">
        <v>348292</v>
      </c>
      <c r="B1403" t="s">
        <v>178</v>
      </c>
      <c r="C1403" t="s">
        <v>179</v>
      </c>
      <c r="D1403" s="2">
        <v>45801</v>
      </c>
      <c r="E1403">
        <v>53850</v>
      </c>
      <c r="F1403">
        <v>171</v>
      </c>
      <c r="G1403" t="s">
        <v>198</v>
      </c>
      <c r="H1403" t="s">
        <v>167</v>
      </c>
      <c r="I1403" t="s">
        <v>45</v>
      </c>
      <c r="K1403">
        <v>202505238005359</v>
      </c>
      <c r="L1403">
        <v>1713302214622</v>
      </c>
      <c r="M1403">
        <v>20250523</v>
      </c>
      <c r="N1403" t="s">
        <v>46</v>
      </c>
      <c r="P1403" t="s">
        <v>51</v>
      </c>
      <c r="Q1403" t="s">
        <v>47</v>
      </c>
      <c r="R1403">
        <v>356502.93</v>
      </c>
      <c r="S1403">
        <v>0</v>
      </c>
      <c r="T1403">
        <v>4253879</v>
      </c>
      <c r="U1403" t="s">
        <v>1447</v>
      </c>
      <c r="V1403" t="s">
        <v>1448</v>
      </c>
      <c r="W1403" t="s">
        <v>187</v>
      </c>
      <c r="Y1403" t="s">
        <v>51</v>
      </c>
      <c r="Z1403">
        <v>815</v>
      </c>
      <c r="AH1403">
        <v>0</v>
      </c>
      <c r="AI1403">
        <v>202505</v>
      </c>
      <c r="AJ1403" t="s">
        <v>52</v>
      </c>
      <c r="AK1403">
        <v>0</v>
      </c>
      <c r="AL1403">
        <v>1</v>
      </c>
      <c r="AO1403">
        <v>0</v>
      </c>
      <c r="AP1403" t="s">
        <v>3015</v>
      </c>
      <c r="AQ1403" t="s">
        <v>3044</v>
      </c>
      <c r="AR1403" t="s">
        <v>3045</v>
      </c>
      <c r="AS1403" t="s">
        <v>3046</v>
      </c>
      <c r="AU1403" t="s">
        <v>3046</v>
      </c>
    </row>
    <row r="1404" spans="1:47" x14ac:dyDescent="0.35">
      <c r="A1404">
        <v>348291</v>
      </c>
      <c r="B1404" t="s">
        <v>172</v>
      </c>
      <c r="C1404" t="s">
        <v>173</v>
      </c>
      <c r="D1404" s="2">
        <v>45801</v>
      </c>
      <c r="E1404">
        <v>53850</v>
      </c>
      <c r="F1404">
        <v>121</v>
      </c>
      <c r="G1404" t="s">
        <v>140</v>
      </c>
      <c r="H1404" t="s">
        <v>167</v>
      </c>
      <c r="I1404" t="s">
        <v>45</v>
      </c>
      <c r="K1404">
        <v>202505238006602</v>
      </c>
      <c r="L1404">
        <v>1213300002971</v>
      </c>
      <c r="M1404">
        <v>20250523</v>
      </c>
      <c r="N1404" t="s">
        <v>81</v>
      </c>
      <c r="Q1404" t="s">
        <v>47</v>
      </c>
      <c r="R1404">
        <v>219000</v>
      </c>
      <c r="S1404">
        <v>0</v>
      </c>
      <c r="T1404">
        <v>4859756</v>
      </c>
      <c r="U1404">
        <v>7229510727</v>
      </c>
      <c r="V1404" t="s">
        <v>1564</v>
      </c>
      <c r="W1404" t="s">
        <v>49</v>
      </c>
      <c r="X1404" t="s">
        <v>381</v>
      </c>
      <c r="Y1404" t="s">
        <v>51</v>
      </c>
      <c r="Z1404">
        <v>1058</v>
      </c>
      <c r="AH1404">
        <v>0</v>
      </c>
      <c r="AI1404">
        <v>202505</v>
      </c>
      <c r="AJ1404" t="s">
        <v>52</v>
      </c>
      <c r="AK1404">
        <v>0</v>
      </c>
      <c r="AL1404">
        <v>1</v>
      </c>
      <c r="AO1404">
        <v>0</v>
      </c>
      <c r="AP1404" t="s">
        <v>3015</v>
      </c>
      <c r="AQ1404" t="s">
        <v>3012</v>
      </c>
      <c r="AR1404" t="s">
        <v>3016</v>
      </c>
      <c r="AT1404" t="s">
        <v>3017</v>
      </c>
      <c r="AU1404" t="s">
        <v>3018</v>
      </c>
    </row>
    <row r="1405" spans="1:47" x14ac:dyDescent="0.35">
      <c r="A1405">
        <v>348290</v>
      </c>
      <c r="B1405" t="s">
        <v>178</v>
      </c>
      <c r="C1405" t="s">
        <v>179</v>
      </c>
      <c r="D1405" s="2">
        <v>45801</v>
      </c>
      <c r="E1405">
        <v>53850</v>
      </c>
      <c r="F1405">
        <v>196</v>
      </c>
      <c r="G1405" t="s">
        <v>567</v>
      </c>
      <c r="H1405" t="s">
        <v>167</v>
      </c>
      <c r="I1405" t="s">
        <v>45</v>
      </c>
      <c r="K1405">
        <v>202505238006368</v>
      </c>
      <c r="L1405">
        <v>1963302354092</v>
      </c>
      <c r="M1405">
        <v>20250523</v>
      </c>
      <c r="N1405" t="s">
        <v>258</v>
      </c>
      <c r="Q1405" t="s">
        <v>170</v>
      </c>
      <c r="R1405">
        <v>250000</v>
      </c>
      <c r="S1405">
        <v>0</v>
      </c>
      <c r="T1405">
        <v>4922085</v>
      </c>
      <c r="U1405" t="s">
        <v>1565</v>
      </c>
      <c r="V1405" t="s">
        <v>1566</v>
      </c>
      <c r="W1405" t="s">
        <v>187</v>
      </c>
      <c r="Y1405" t="s">
        <v>51</v>
      </c>
      <c r="Z1405">
        <v>878</v>
      </c>
      <c r="AH1405">
        <v>0</v>
      </c>
      <c r="AI1405">
        <v>202505</v>
      </c>
      <c r="AJ1405" t="s">
        <v>52</v>
      </c>
      <c r="AK1405">
        <v>0</v>
      </c>
      <c r="AL1405">
        <v>1</v>
      </c>
      <c r="AO1405">
        <v>0</v>
      </c>
      <c r="AP1405" t="s">
        <v>3015</v>
      </c>
      <c r="AQ1405" t="s">
        <v>3044</v>
      </c>
      <c r="AR1405" t="s">
        <v>3045</v>
      </c>
      <c r="AS1405" t="s">
        <v>3046</v>
      </c>
      <c r="AU1405" t="s">
        <v>3046</v>
      </c>
    </row>
    <row r="1406" spans="1:47" x14ac:dyDescent="0.35">
      <c r="A1406">
        <v>348289</v>
      </c>
      <c r="B1406" t="s">
        <v>172</v>
      </c>
      <c r="C1406" t="s">
        <v>173</v>
      </c>
      <c r="D1406" s="2">
        <v>45801</v>
      </c>
      <c r="E1406">
        <v>53850</v>
      </c>
      <c r="F1406">
        <v>109</v>
      </c>
      <c r="G1406" t="s">
        <v>89</v>
      </c>
      <c r="H1406" t="s">
        <v>167</v>
      </c>
      <c r="I1406" t="s">
        <v>45</v>
      </c>
      <c r="K1406">
        <v>202505238006556</v>
      </c>
      <c r="L1406">
        <v>1093306669450</v>
      </c>
      <c r="M1406">
        <v>20250523</v>
      </c>
      <c r="N1406" t="s">
        <v>231</v>
      </c>
      <c r="Q1406" t="s">
        <v>47</v>
      </c>
      <c r="R1406">
        <v>130000</v>
      </c>
      <c r="S1406">
        <v>0</v>
      </c>
      <c r="T1406">
        <v>4139883</v>
      </c>
      <c r="U1406">
        <v>5699390729</v>
      </c>
      <c r="V1406" t="s">
        <v>1567</v>
      </c>
      <c r="W1406" t="s">
        <v>190</v>
      </c>
      <c r="X1406" t="s">
        <v>432</v>
      </c>
      <c r="Y1406" t="s">
        <v>51</v>
      </c>
      <c r="Z1406">
        <v>502</v>
      </c>
      <c r="AH1406">
        <v>0</v>
      </c>
      <c r="AI1406">
        <v>202505</v>
      </c>
      <c r="AJ1406" t="s">
        <v>56</v>
      </c>
      <c r="AK1406">
        <v>0</v>
      </c>
      <c r="AL1406">
        <v>1</v>
      </c>
      <c r="AM1406">
        <v>4139883</v>
      </c>
      <c r="AN1406">
        <v>1</v>
      </c>
      <c r="AO1406">
        <v>0</v>
      </c>
      <c r="AP1406" t="s">
        <v>3068</v>
      </c>
      <c r="AQ1406" t="s">
        <v>3047</v>
      </c>
      <c r="AR1406" t="s">
        <v>3069</v>
      </c>
      <c r="AS1406" t="s">
        <v>3018</v>
      </c>
      <c r="AU1406" t="s">
        <v>3018</v>
      </c>
    </row>
    <row r="1407" spans="1:47" x14ac:dyDescent="0.35">
      <c r="A1407">
        <v>348288</v>
      </c>
      <c r="B1407" t="s">
        <v>193</v>
      </c>
      <c r="C1407" t="s">
        <v>194</v>
      </c>
      <c r="D1407" s="2">
        <v>45801</v>
      </c>
      <c r="E1407">
        <v>53850</v>
      </c>
      <c r="F1407">
        <v>134</v>
      </c>
      <c r="G1407" t="s">
        <v>804</v>
      </c>
      <c r="H1407" t="s">
        <v>167</v>
      </c>
      <c r="I1407" t="s">
        <v>45</v>
      </c>
      <c r="K1407">
        <v>202505238006630</v>
      </c>
      <c r="L1407">
        <v>1343300002724</v>
      </c>
      <c r="M1407">
        <v>20250523</v>
      </c>
      <c r="N1407" t="s">
        <v>266</v>
      </c>
      <c r="Q1407" t="s">
        <v>47</v>
      </c>
      <c r="R1407">
        <v>35140</v>
      </c>
      <c r="S1407">
        <v>35140</v>
      </c>
      <c r="T1407">
        <v>4876967</v>
      </c>
      <c r="U1407" t="s">
        <v>1353</v>
      </c>
      <c r="V1407" t="s">
        <v>1354</v>
      </c>
      <c r="W1407" t="s">
        <v>69</v>
      </c>
      <c r="X1407" t="s">
        <v>1355</v>
      </c>
      <c r="Y1407" t="s">
        <v>51</v>
      </c>
      <c r="Z1407">
        <v>1562</v>
      </c>
      <c r="AH1407">
        <v>0</v>
      </c>
      <c r="AI1407">
        <v>202505</v>
      </c>
      <c r="AJ1407" t="s">
        <v>119</v>
      </c>
      <c r="AK1407">
        <v>1</v>
      </c>
      <c r="AL1407">
        <v>1</v>
      </c>
      <c r="AM1407">
        <v>4876967</v>
      </c>
      <c r="AN1407">
        <v>1</v>
      </c>
      <c r="AO1407">
        <v>0</v>
      </c>
      <c r="AP1407" t="s">
        <v>3015</v>
      </c>
      <c r="AQ1407" t="s">
        <v>3021</v>
      </c>
      <c r="AR1407" t="s">
        <v>3022</v>
      </c>
      <c r="AT1407" t="s">
        <v>3017</v>
      </c>
      <c r="AU1407" t="s">
        <v>3014</v>
      </c>
    </row>
    <row r="1408" spans="1:47" x14ac:dyDescent="0.35">
      <c r="A1408">
        <v>348287</v>
      </c>
      <c r="B1408" t="s">
        <v>193</v>
      </c>
      <c r="C1408" t="s">
        <v>194</v>
      </c>
      <c r="D1408" s="2">
        <v>45801</v>
      </c>
      <c r="E1408">
        <v>53850</v>
      </c>
      <c r="F1408">
        <v>118</v>
      </c>
      <c r="G1408" t="s">
        <v>254</v>
      </c>
      <c r="H1408" t="s">
        <v>167</v>
      </c>
      <c r="I1408" t="s">
        <v>45</v>
      </c>
      <c r="K1408">
        <v>202505238006593</v>
      </c>
      <c r="L1408">
        <v>1183306278320</v>
      </c>
      <c r="M1408">
        <v>20250523</v>
      </c>
      <c r="N1408" t="s">
        <v>266</v>
      </c>
      <c r="Q1408" t="s">
        <v>47</v>
      </c>
      <c r="R1408">
        <v>17500</v>
      </c>
      <c r="S1408">
        <v>17500</v>
      </c>
      <c r="T1408">
        <v>4375950</v>
      </c>
      <c r="U1408" t="s">
        <v>1568</v>
      </c>
      <c r="V1408" t="s">
        <v>1569</v>
      </c>
      <c r="W1408" t="s">
        <v>187</v>
      </c>
      <c r="Y1408" t="s">
        <v>51</v>
      </c>
      <c r="Z1408">
        <v>724</v>
      </c>
      <c r="AH1408">
        <v>0</v>
      </c>
      <c r="AI1408">
        <v>202505</v>
      </c>
      <c r="AJ1408" t="s">
        <v>86</v>
      </c>
      <c r="AK1408">
        <v>1</v>
      </c>
      <c r="AL1408">
        <v>1</v>
      </c>
      <c r="AM1408">
        <v>4375950</v>
      </c>
      <c r="AN1408">
        <v>1</v>
      </c>
      <c r="AO1408">
        <v>0</v>
      </c>
      <c r="AP1408" t="s">
        <v>3015</v>
      </c>
      <c r="AQ1408" t="s">
        <v>3044</v>
      </c>
      <c r="AR1408" t="s">
        <v>3045</v>
      </c>
      <c r="AS1408" t="s">
        <v>3046</v>
      </c>
      <c r="AU1408" t="s">
        <v>3046</v>
      </c>
    </row>
    <row r="1409" spans="1:47" x14ac:dyDescent="0.35">
      <c r="A1409">
        <v>348286</v>
      </c>
      <c r="B1409" t="s">
        <v>164</v>
      </c>
      <c r="C1409" t="s">
        <v>165</v>
      </c>
      <c r="D1409" s="2">
        <v>45801</v>
      </c>
      <c r="E1409">
        <v>53850</v>
      </c>
      <c r="F1409">
        <v>109</v>
      </c>
      <c r="G1409" t="s">
        <v>89</v>
      </c>
      <c r="H1409" t="s">
        <v>167</v>
      </c>
      <c r="I1409" t="s">
        <v>45</v>
      </c>
      <c r="K1409" t="s">
        <v>1570</v>
      </c>
      <c r="L1409">
        <v>1093306672844</v>
      </c>
      <c r="M1409">
        <v>20250523</v>
      </c>
      <c r="N1409" t="s">
        <v>168</v>
      </c>
      <c r="P1409" t="s">
        <v>255</v>
      </c>
      <c r="Q1409" t="s">
        <v>170</v>
      </c>
      <c r="R1409">
        <v>4800</v>
      </c>
      <c r="S1409">
        <v>0</v>
      </c>
      <c r="T1409">
        <v>440311</v>
      </c>
      <c r="U1409">
        <v>3550290724</v>
      </c>
      <c r="V1409" t="s">
        <v>90</v>
      </c>
      <c r="W1409" t="s">
        <v>49</v>
      </c>
      <c r="X1409" t="s">
        <v>91</v>
      </c>
      <c r="Y1409" t="s">
        <v>51</v>
      </c>
      <c r="Z1409">
        <v>1903</v>
      </c>
      <c r="AH1409">
        <v>0</v>
      </c>
      <c r="AI1409">
        <v>202505</v>
      </c>
      <c r="AJ1409" t="s">
        <v>56</v>
      </c>
      <c r="AK1409">
        <v>0</v>
      </c>
      <c r="AL1409">
        <v>1</v>
      </c>
      <c r="AM1409">
        <v>440311</v>
      </c>
      <c r="AN1409">
        <v>1</v>
      </c>
      <c r="AO1409">
        <v>0</v>
      </c>
      <c r="AP1409" t="s">
        <v>1100</v>
      </c>
      <c r="AQ1409" t="s">
        <v>3012</v>
      </c>
      <c r="AR1409" t="s">
        <v>3023</v>
      </c>
      <c r="AS1409" t="s">
        <v>3014</v>
      </c>
      <c r="AU1409" t="s">
        <v>3014</v>
      </c>
    </row>
    <row r="1410" spans="1:47" x14ac:dyDescent="0.35">
      <c r="A1410">
        <v>348285</v>
      </c>
      <c r="B1410" t="s">
        <v>214</v>
      </c>
      <c r="C1410" t="s">
        <v>215</v>
      </c>
      <c r="D1410" s="2">
        <v>45801</v>
      </c>
      <c r="E1410">
        <v>53850</v>
      </c>
      <c r="F1410">
        <v>131</v>
      </c>
      <c r="G1410" t="s">
        <v>216</v>
      </c>
      <c r="H1410" t="s">
        <v>167</v>
      </c>
      <c r="I1410" t="s">
        <v>45</v>
      </c>
      <c r="K1410">
        <v>202505238005502</v>
      </c>
      <c r="L1410">
        <v>1313300004533</v>
      </c>
      <c r="M1410">
        <v>20250523</v>
      </c>
      <c r="N1410" t="s">
        <v>168</v>
      </c>
      <c r="P1410" t="s">
        <v>217</v>
      </c>
      <c r="Q1410" t="s">
        <v>47</v>
      </c>
      <c r="R1410">
        <v>42006.79</v>
      </c>
      <c r="S1410">
        <v>0</v>
      </c>
      <c r="T1410">
        <v>3739148</v>
      </c>
      <c r="U1410" t="s">
        <v>218</v>
      </c>
      <c r="V1410" t="s">
        <v>219</v>
      </c>
      <c r="W1410" t="s">
        <v>187</v>
      </c>
      <c r="Y1410" t="s">
        <v>51</v>
      </c>
      <c r="AH1410">
        <v>0</v>
      </c>
      <c r="AI1410">
        <v>202505</v>
      </c>
      <c r="AJ1410" t="s">
        <v>56</v>
      </c>
      <c r="AK1410">
        <v>0</v>
      </c>
      <c r="AL1410">
        <v>1</v>
      </c>
      <c r="AO1410">
        <v>0</v>
      </c>
      <c r="AP1410" t="s">
        <v>3015</v>
      </c>
      <c r="AQ1410" t="s">
        <v>3044</v>
      </c>
      <c r="AR1410" t="s">
        <v>3045</v>
      </c>
      <c r="AS1410" t="s">
        <v>3046</v>
      </c>
      <c r="AU1410" t="s">
        <v>3046</v>
      </c>
    </row>
    <row r="1411" spans="1:47" x14ac:dyDescent="0.35">
      <c r="A1411">
        <v>348284</v>
      </c>
      <c r="B1411" t="s">
        <v>172</v>
      </c>
      <c r="C1411" t="s">
        <v>173</v>
      </c>
      <c r="D1411" s="2">
        <v>45801</v>
      </c>
      <c r="E1411">
        <v>53850</v>
      </c>
      <c r="F1411">
        <v>171</v>
      </c>
      <c r="G1411" t="s">
        <v>198</v>
      </c>
      <c r="H1411" t="s">
        <v>167</v>
      </c>
      <c r="I1411" t="s">
        <v>45</v>
      </c>
      <c r="K1411">
        <v>202505238006731</v>
      </c>
      <c r="L1411">
        <v>1713302217289</v>
      </c>
      <c r="M1411">
        <v>20250523</v>
      </c>
      <c r="N1411" t="s">
        <v>231</v>
      </c>
      <c r="Q1411" t="s">
        <v>47</v>
      </c>
      <c r="R1411">
        <v>416591</v>
      </c>
      <c r="S1411">
        <v>0</v>
      </c>
      <c r="T1411">
        <v>435630</v>
      </c>
      <c r="U1411" t="s">
        <v>1571</v>
      </c>
      <c r="V1411" t="s">
        <v>1572</v>
      </c>
      <c r="W1411" t="s">
        <v>187</v>
      </c>
      <c r="Y1411" t="s">
        <v>51</v>
      </c>
      <c r="Z1411">
        <v>815</v>
      </c>
      <c r="AH1411">
        <v>0</v>
      </c>
      <c r="AI1411">
        <v>202505</v>
      </c>
      <c r="AJ1411" t="s">
        <v>86</v>
      </c>
      <c r="AK1411">
        <v>1</v>
      </c>
      <c r="AL1411">
        <v>1</v>
      </c>
      <c r="AO1411">
        <v>0</v>
      </c>
      <c r="AP1411" t="s">
        <v>3015</v>
      </c>
      <c r="AQ1411" t="s">
        <v>3044</v>
      </c>
      <c r="AR1411" t="s">
        <v>3045</v>
      </c>
      <c r="AS1411" t="s">
        <v>3046</v>
      </c>
      <c r="AU1411" t="s">
        <v>3046</v>
      </c>
    </row>
    <row r="1412" spans="1:47" x14ac:dyDescent="0.35">
      <c r="A1412">
        <v>348283</v>
      </c>
      <c r="B1412" t="s">
        <v>193</v>
      </c>
      <c r="C1412" t="s">
        <v>194</v>
      </c>
      <c r="D1412" s="2">
        <v>45801</v>
      </c>
      <c r="E1412">
        <v>53850</v>
      </c>
      <c r="F1412">
        <v>287</v>
      </c>
      <c r="G1412" t="s">
        <v>707</v>
      </c>
      <c r="H1412" t="s">
        <v>167</v>
      </c>
      <c r="I1412" t="s">
        <v>45</v>
      </c>
      <c r="K1412" t="s">
        <v>1551</v>
      </c>
      <c r="L1412">
        <v>2873300001853</v>
      </c>
      <c r="M1412">
        <v>20250523</v>
      </c>
      <c r="N1412" t="s">
        <v>175</v>
      </c>
      <c r="Q1412" t="s">
        <v>47</v>
      </c>
      <c r="R1412">
        <v>52869.98</v>
      </c>
      <c r="S1412">
        <v>34865</v>
      </c>
      <c r="T1412">
        <v>3722213</v>
      </c>
      <c r="U1412">
        <v>2021570698</v>
      </c>
      <c r="V1412" t="s">
        <v>708</v>
      </c>
      <c r="W1412" t="s">
        <v>49</v>
      </c>
      <c r="X1412" t="s">
        <v>117</v>
      </c>
      <c r="Y1412" t="s">
        <v>51</v>
      </c>
      <c r="Z1412">
        <v>1877</v>
      </c>
      <c r="AH1412">
        <v>0</v>
      </c>
      <c r="AI1412">
        <v>202505</v>
      </c>
      <c r="AJ1412" t="s">
        <v>52</v>
      </c>
      <c r="AK1412">
        <v>0</v>
      </c>
      <c r="AL1412">
        <v>1</v>
      </c>
      <c r="AM1412">
        <v>3722213</v>
      </c>
      <c r="AN1412">
        <v>1</v>
      </c>
      <c r="AO1412">
        <v>1</v>
      </c>
      <c r="AP1412" t="s">
        <v>3029</v>
      </c>
      <c r="AQ1412" t="s">
        <v>3012</v>
      </c>
      <c r="AR1412" t="s">
        <v>3030</v>
      </c>
      <c r="AS1412" t="s">
        <v>3014</v>
      </c>
      <c r="AU1412" t="s">
        <v>3014</v>
      </c>
    </row>
    <row r="1413" spans="1:47" x14ac:dyDescent="0.35">
      <c r="A1413">
        <v>348282</v>
      </c>
      <c r="B1413" t="s">
        <v>178</v>
      </c>
      <c r="C1413" t="s">
        <v>179</v>
      </c>
      <c r="D1413" s="2">
        <v>45801</v>
      </c>
      <c r="E1413">
        <v>53850</v>
      </c>
      <c r="F1413">
        <v>105</v>
      </c>
      <c r="G1413" t="s">
        <v>60</v>
      </c>
      <c r="H1413" t="s">
        <v>167</v>
      </c>
      <c r="I1413" t="s">
        <v>45</v>
      </c>
      <c r="K1413">
        <v>202505238004934</v>
      </c>
      <c r="L1413">
        <v>1053306287087</v>
      </c>
      <c r="M1413">
        <v>20250523</v>
      </c>
      <c r="N1413" t="s">
        <v>46</v>
      </c>
      <c r="P1413" t="s">
        <v>51</v>
      </c>
      <c r="Q1413" t="s">
        <v>47</v>
      </c>
      <c r="R1413">
        <v>231556.77</v>
      </c>
      <c r="S1413">
        <v>0</v>
      </c>
      <c r="T1413">
        <v>4328851</v>
      </c>
      <c r="U1413" t="s">
        <v>1573</v>
      </c>
      <c r="V1413" t="s">
        <v>1574</v>
      </c>
      <c r="W1413" t="s">
        <v>187</v>
      </c>
      <c r="Y1413" t="s">
        <v>51</v>
      </c>
      <c r="AH1413">
        <v>0</v>
      </c>
      <c r="AI1413">
        <v>202505</v>
      </c>
      <c r="AJ1413" t="s">
        <v>86</v>
      </c>
      <c r="AK1413">
        <v>1</v>
      </c>
      <c r="AL1413">
        <v>1</v>
      </c>
      <c r="AO1413">
        <v>0</v>
      </c>
      <c r="AP1413" t="s">
        <v>3015</v>
      </c>
      <c r="AQ1413" t="s">
        <v>3044</v>
      </c>
      <c r="AR1413" t="s">
        <v>3045</v>
      </c>
      <c r="AS1413" t="s">
        <v>3046</v>
      </c>
      <c r="AU1413" t="s">
        <v>3046</v>
      </c>
    </row>
    <row r="1414" spans="1:47" x14ac:dyDescent="0.35">
      <c r="A1414">
        <v>348281</v>
      </c>
      <c r="B1414" t="s">
        <v>193</v>
      </c>
      <c r="C1414" t="s">
        <v>194</v>
      </c>
      <c r="D1414" s="2">
        <v>45801</v>
      </c>
      <c r="E1414">
        <v>53850</v>
      </c>
      <c r="F1414">
        <v>128</v>
      </c>
      <c r="G1414" t="s">
        <v>94</v>
      </c>
      <c r="H1414" t="s">
        <v>167</v>
      </c>
      <c r="I1414" t="s">
        <v>45</v>
      </c>
      <c r="K1414">
        <v>202505238006622</v>
      </c>
      <c r="L1414">
        <v>1283300003941</v>
      </c>
      <c r="M1414">
        <v>20250523</v>
      </c>
      <c r="N1414" t="s">
        <v>266</v>
      </c>
      <c r="Q1414" t="s">
        <v>47</v>
      </c>
      <c r="R1414">
        <v>31050</v>
      </c>
      <c r="S1414">
        <v>31050</v>
      </c>
      <c r="T1414">
        <v>4916499</v>
      </c>
      <c r="U1414" t="s">
        <v>382</v>
      </c>
      <c r="V1414" t="s">
        <v>383</v>
      </c>
      <c r="W1414" t="s">
        <v>69</v>
      </c>
      <c r="X1414" t="s">
        <v>55</v>
      </c>
      <c r="Y1414" t="s">
        <v>51</v>
      </c>
      <c r="Z1414">
        <v>1166</v>
      </c>
      <c r="AH1414">
        <v>0</v>
      </c>
      <c r="AI1414">
        <v>202505</v>
      </c>
      <c r="AJ1414" t="s">
        <v>56</v>
      </c>
      <c r="AK1414">
        <v>0</v>
      </c>
      <c r="AL1414">
        <v>1</v>
      </c>
      <c r="AM1414">
        <v>4916499</v>
      </c>
      <c r="AN1414">
        <v>1</v>
      </c>
      <c r="AO1414">
        <v>0</v>
      </c>
      <c r="AP1414" t="s">
        <v>3015</v>
      </c>
      <c r="AQ1414" t="s">
        <v>3021</v>
      </c>
      <c r="AR1414" t="s">
        <v>3022</v>
      </c>
      <c r="AT1414" t="s">
        <v>3017</v>
      </c>
      <c r="AU1414" t="s">
        <v>3014</v>
      </c>
    </row>
    <row r="1415" spans="1:47" x14ac:dyDescent="0.35">
      <c r="A1415">
        <v>348280</v>
      </c>
      <c r="B1415" t="s">
        <v>214</v>
      </c>
      <c r="C1415" t="s">
        <v>215</v>
      </c>
      <c r="D1415" s="2">
        <v>45801</v>
      </c>
      <c r="E1415">
        <v>53850</v>
      </c>
      <c r="F1415">
        <v>131</v>
      </c>
      <c r="G1415" t="s">
        <v>216</v>
      </c>
      <c r="H1415" t="s">
        <v>167</v>
      </c>
      <c r="I1415" t="s">
        <v>45</v>
      </c>
      <c r="K1415">
        <v>202505238005502</v>
      </c>
      <c r="L1415">
        <v>1313300004533</v>
      </c>
      <c r="M1415">
        <v>20250523</v>
      </c>
      <c r="N1415" t="s">
        <v>168</v>
      </c>
      <c r="P1415" t="s">
        <v>217</v>
      </c>
      <c r="Q1415" t="s">
        <v>47</v>
      </c>
      <c r="R1415">
        <v>42006.79</v>
      </c>
      <c r="S1415">
        <v>0</v>
      </c>
      <c r="T1415">
        <v>3739153</v>
      </c>
      <c r="U1415" t="s">
        <v>228</v>
      </c>
      <c r="V1415" t="s">
        <v>229</v>
      </c>
      <c r="W1415" t="s">
        <v>187</v>
      </c>
      <c r="Y1415" t="s">
        <v>51</v>
      </c>
      <c r="AH1415">
        <v>0</v>
      </c>
      <c r="AI1415">
        <v>202505</v>
      </c>
      <c r="AJ1415" t="s">
        <v>56</v>
      </c>
      <c r="AK1415">
        <v>0</v>
      </c>
      <c r="AL1415">
        <v>1</v>
      </c>
      <c r="AO1415">
        <v>0</v>
      </c>
      <c r="AP1415" t="s">
        <v>3015</v>
      </c>
      <c r="AQ1415" t="s">
        <v>3044</v>
      </c>
      <c r="AR1415" t="s">
        <v>3045</v>
      </c>
      <c r="AS1415" t="s">
        <v>3046</v>
      </c>
      <c r="AU1415" t="s">
        <v>3046</v>
      </c>
    </row>
    <row r="1416" spans="1:47" x14ac:dyDescent="0.35">
      <c r="A1416">
        <v>348279</v>
      </c>
      <c r="B1416" t="s">
        <v>178</v>
      </c>
      <c r="C1416" t="s">
        <v>179</v>
      </c>
      <c r="D1416" s="2">
        <v>45801</v>
      </c>
      <c r="E1416">
        <v>53850</v>
      </c>
      <c r="F1416">
        <v>175</v>
      </c>
      <c r="G1416" t="s">
        <v>99</v>
      </c>
      <c r="H1416" t="s">
        <v>167</v>
      </c>
      <c r="I1416" t="s">
        <v>45</v>
      </c>
      <c r="K1416">
        <v>202505238006747</v>
      </c>
      <c r="L1416">
        <v>1753302205383</v>
      </c>
      <c r="M1416">
        <v>20250523</v>
      </c>
      <c r="N1416" t="s">
        <v>236</v>
      </c>
      <c r="P1416" t="s">
        <v>51</v>
      </c>
      <c r="Q1416" t="s">
        <v>170</v>
      </c>
      <c r="R1416">
        <v>309500</v>
      </c>
      <c r="S1416">
        <v>0</v>
      </c>
      <c r="T1416">
        <v>4268589</v>
      </c>
      <c r="U1416" t="s">
        <v>1347</v>
      </c>
      <c r="V1416" t="s">
        <v>1348</v>
      </c>
      <c r="W1416" t="s">
        <v>187</v>
      </c>
      <c r="Y1416" t="s">
        <v>51</v>
      </c>
      <c r="Z1416">
        <v>1093</v>
      </c>
      <c r="AH1416">
        <v>0</v>
      </c>
      <c r="AI1416">
        <v>202505</v>
      </c>
      <c r="AJ1416" t="s">
        <v>86</v>
      </c>
      <c r="AK1416">
        <v>1</v>
      </c>
      <c r="AL1416">
        <v>1</v>
      </c>
      <c r="AO1416">
        <v>0</v>
      </c>
      <c r="AP1416" t="s">
        <v>3015</v>
      </c>
      <c r="AQ1416" t="s">
        <v>3044</v>
      </c>
      <c r="AR1416" t="s">
        <v>3045</v>
      </c>
      <c r="AS1416" t="s">
        <v>3046</v>
      </c>
      <c r="AU1416" t="s">
        <v>3046</v>
      </c>
    </row>
    <row r="1417" spans="1:47" x14ac:dyDescent="0.35">
      <c r="A1417">
        <v>348278</v>
      </c>
      <c r="B1417" t="s">
        <v>172</v>
      </c>
      <c r="C1417" t="s">
        <v>173</v>
      </c>
      <c r="D1417" s="2">
        <v>45801</v>
      </c>
      <c r="E1417">
        <v>53850</v>
      </c>
      <c r="F1417">
        <v>128</v>
      </c>
      <c r="G1417" t="s">
        <v>94</v>
      </c>
      <c r="H1417" t="s">
        <v>167</v>
      </c>
      <c r="I1417" t="s">
        <v>45</v>
      </c>
      <c r="K1417" t="s">
        <v>1551</v>
      </c>
      <c r="L1417">
        <v>1093306674353</v>
      </c>
      <c r="M1417">
        <v>20250523</v>
      </c>
      <c r="N1417" t="s">
        <v>175</v>
      </c>
      <c r="Q1417" t="s">
        <v>47</v>
      </c>
      <c r="R1417">
        <v>102870</v>
      </c>
      <c r="S1417">
        <v>20000</v>
      </c>
      <c r="T1417">
        <v>4916449</v>
      </c>
      <c r="U1417">
        <v>8176830720</v>
      </c>
      <c r="V1417" t="s">
        <v>98</v>
      </c>
      <c r="W1417" t="s">
        <v>49</v>
      </c>
      <c r="X1417" t="s">
        <v>91</v>
      </c>
      <c r="Y1417" t="s">
        <v>51</v>
      </c>
      <c r="Z1417">
        <v>1903</v>
      </c>
      <c r="AH1417">
        <v>0</v>
      </c>
      <c r="AI1417">
        <v>202505</v>
      </c>
      <c r="AJ1417" t="s">
        <v>56</v>
      </c>
      <c r="AK1417">
        <v>0</v>
      </c>
      <c r="AL1417">
        <v>1</v>
      </c>
      <c r="AM1417">
        <v>4916449</v>
      </c>
      <c r="AN1417">
        <v>1</v>
      </c>
      <c r="AO1417">
        <v>1</v>
      </c>
      <c r="AP1417" t="s">
        <v>1100</v>
      </c>
      <c r="AQ1417" t="s">
        <v>3012</v>
      </c>
      <c r="AR1417" t="s">
        <v>3023</v>
      </c>
      <c r="AS1417" t="s">
        <v>3014</v>
      </c>
      <c r="AU1417" t="s">
        <v>3014</v>
      </c>
    </row>
    <row r="1418" spans="1:47" x14ac:dyDescent="0.35">
      <c r="A1418">
        <v>348277</v>
      </c>
      <c r="B1418" t="s">
        <v>193</v>
      </c>
      <c r="C1418" t="s">
        <v>194</v>
      </c>
      <c r="D1418" s="2">
        <v>45801</v>
      </c>
      <c r="E1418">
        <v>53850</v>
      </c>
      <c r="F1418">
        <v>118</v>
      </c>
      <c r="G1418" t="s">
        <v>254</v>
      </c>
      <c r="H1418" t="s">
        <v>167</v>
      </c>
      <c r="I1418" t="s">
        <v>45</v>
      </c>
      <c r="K1418">
        <v>202505238006593</v>
      </c>
      <c r="L1418">
        <v>1183306278320</v>
      </c>
      <c r="M1418">
        <v>20250523</v>
      </c>
      <c r="N1418" t="s">
        <v>266</v>
      </c>
      <c r="Q1418" t="s">
        <v>47</v>
      </c>
      <c r="R1418">
        <v>17500</v>
      </c>
      <c r="S1418">
        <v>17500</v>
      </c>
      <c r="T1418">
        <v>4225014</v>
      </c>
      <c r="U1418" t="s">
        <v>1575</v>
      </c>
      <c r="V1418" t="s">
        <v>1576</v>
      </c>
      <c r="W1418" t="s">
        <v>187</v>
      </c>
      <c r="Y1418" t="s">
        <v>51</v>
      </c>
      <c r="Z1418">
        <v>724</v>
      </c>
      <c r="AH1418">
        <v>0</v>
      </c>
      <c r="AI1418">
        <v>202505</v>
      </c>
      <c r="AJ1418" t="s">
        <v>86</v>
      </c>
      <c r="AK1418">
        <v>1</v>
      </c>
      <c r="AL1418">
        <v>1</v>
      </c>
      <c r="AO1418">
        <v>0</v>
      </c>
      <c r="AP1418" t="s">
        <v>3015</v>
      </c>
      <c r="AQ1418" t="s">
        <v>3044</v>
      </c>
      <c r="AR1418" t="s">
        <v>3045</v>
      </c>
      <c r="AS1418" t="s">
        <v>3046</v>
      </c>
      <c r="AU1418" t="s">
        <v>3046</v>
      </c>
    </row>
    <row r="1419" spans="1:47" x14ac:dyDescent="0.35">
      <c r="A1419">
        <v>348276</v>
      </c>
      <c r="B1419" t="s">
        <v>193</v>
      </c>
      <c r="C1419" t="s">
        <v>194</v>
      </c>
      <c r="D1419" s="2">
        <v>45801</v>
      </c>
      <c r="E1419">
        <v>53850</v>
      </c>
      <c r="F1419">
        <v>108</v>
      </c>
      <c r="G1419" t="s">
        <v>124</v>
      </c>
      <c r="H1419" t="s">
        <v>167</v>
      </c>
      <c r="I1419" t="s">
        <v>45</v>
      </c>
      <c r="K1419" t="s">
        <v>1551</v>
      </c>
      <c r="L1419">
        <v>1083305200700</v>
      </c>
      <c r="M1419">
        <v>20250523</v>
      </c>
      <c r="N1419" t="s">
        <v>175</v>
      </c>
      <c r="Q1419" t="s">
        <v>47</v>
      </c>
      <c r="R1419">
        <v>38304.730000000003</v>
      </c>
      <c r="S1419">
        <v>28710</v>
      </c>
      <c r="T1419">
        <v>520070</v>
      </c>
      <c r="U1419">
        <v>4357120726</v>
      </c>
      <c r="V1419" t="s">
        <v>457</v>
      </c>
      <c r="W1419" t="s">
        <v>49</v>
      </c>
      <c r="X1419" t="s">
        <v>110</v>
      </c>
      <c r="Y1419" t="s">
        <v>51</v>
      </c>
      <c r="Z1419">
        <v>1058</v>
      </c>
      <c r="AH1419">
        <v>0</v>
      </c>
      <c r="AI1419">
        <v>202505</v>
      </c>
      <c r="AJ1419" t="s">
        <v>52</v>
      </c>
      <c r="AK1419">
        <v>0</v>
      </c>
      <c r="AL1419">
        <v>1</v>
      </c>
      <c r="AM1419">
        <v>520070</v>
      </c>
      <c r="AN1419">
        <v>1</v>
      </c>
      <c r="AO1419">
        <v>1</v>
      </c>
      <c r="AP1419" t="s">
        <v>3026</v>
      </c>
      <c r="AQ1419" t="s">
        <v>3012</v>
      </c>
      <c r="AR1419" t="s">
        <v>3027</v>
      </c>
      <c r="AS1419" t="s">
        <v>3028</v>
      </c>
      <c r="AU1419" t="s">
        <v>3028</v>
      </c>
    </row>
    <row r="1420" spans="1:47" x14ac:dyDescent="0.35">
      <c r="A1420">
        <v>348275</v>
      </c>
      <c r="B1420" t="s">
        <v>178</v>
      </c>
      <c r="C1420" t="s">
        <v>179</v>
      </c>
      <c r="D1420" s="2">
        <v>45801</v>
      </c>
      <c r="E1420">
        <v>53850</v>
      </c>
      <c r="F1420">
        <v>277</v>
      </c>
      <c r="G1420" t="s">
        <v>505</v>
      </c>
      <c r="H1420" t="s">
        <v>167</v>
      </c>
      <c r="I1420" t="s">
        <v>45</v>
      </c>
      <c r="K1420" t="s">
        <v>1555</v>
      </c>
      <c r="L1420">
        <v>2773300001134</v>
      </c>
      <c r="M1420">
        <v>20250523</v>
      </c>
      <c r="N1420" t="s">
        <v>3136</v>
      </c>
      <c r="Q1420" t="s">
        <v>170</v>
      </c>
      <c r="R1420">
        <v>1646.54</v>
      </c>
      <c r="S1420">
        <v>0</v>
      </c>
      <c r="T1420">
        <v>1677157</v>
      </c>
      <c r="U1420" t="s">
        <v>1577</v>
      </c>
      <c r="V1420" t="s">
        <v>1578</v>
      </c>
      <c r="W1420" t="s">
        <v>187</v>
      </c>
      <c r="Y1420" t="s">
        <v>51</v>
      </c>
      <c r="AH1420">
        <v>0</v>
      </c>
      <c r="AI1420">
        <v>202505</v>
      </c>
      <c r="AJ1420" t="s">
        <v>52</v>
      </c>
      <c r="AK1420">
        <v>0</v>
      </c>
      <c r="AL1420">
        <v>1</v>
      </c>
      <c r="AO1420">
        <v>1</v>
      </c>
      <c r="AP1420" t="s">
        <v>3015</v>
      </c>
      <c r="AQ1420" t="s">
        <v>3044</v>
      </c>
      <c r="AR1420" t="s">
        <v>3045</v>
      </c>
      <c r="AS1420" t="s">
        <v>3046</v>
      </c>
      <c r="AU1420" t="s">
        <v>3046</v>
      </c>
    </row>
    <row r="1421" spans="1:47" x14ac:dyDescent="0.35">
      <c r="A1421">
        <v>348274</v>
      </c>
      <c r="B1421" t="s">
        <v>193</v>
      </c>
      <c r="C1421" t="s">
        <v>194</v>
      </c>
      <c r="D1421" s="2">
        <v>45801</v>
      </c>
      <c r="E1421">
        <v>53850</v>
      </c>
      <c r="F1421">
        <v>174</v>
      </c>
      <c r="G1421" t="s">
        <v>224</v>
      </c>
      <c r="H1421" t="s">
        <v>167</v>
      </c>
      <c r="I1421" t="s">
        <v>45</v>
      </c>
      <c r="K1421" t="s">
        <v>1551</v>
      </c>
      <c r="L1421">
        <v>1743302879903</v>
      </c>
      <c r="M1421">
        <v>20250523</v>
      </c>
      <c r="N1421" t="s">
        <v>175</v>
      </c>
      <c r="Q1421" t="s">
        <v>47</v>
      </c>
      <c r="R1421">
        <v>56153.19</v>
      </c>
      <c r="S1421">
        <v>53000</v>
      </c>
      <c r="T1421">
        <v>4928259</v>
      </c>
      <c r="U1421">
        <v>8287320728</v>
      </c>
      <c r="V1421" t="s">
        <v>1171</v>
      </c>
      <c r="W1421" t="s">
        <v>49</v>
      </c>
      <c r="X1421" t="s">
        <v>117</v>
      </c>
      <c r="Y1421" t="s">
        <v>51</v>
      </c>
      <c r="Z1421">
        <v>448</v>
      </c>
      <c r="AH1421">
        <v>0</v>
      </c>
      <c r="AI1421">
        <v>202505</v>
      </c>
      <c r="AJ1421" t="s">
        <v>52</v>
      </c>
      <c r="AK1421">
        <v>0</v>
      </c>
      <c r="AL1421">
        <v>1</v>
      </c>
      <c r="AM1421">
        <v>4928259</v>
      </c>
      <c r="AN1421">
        <v>1</v>
      </c>
      <c r="AO1421">
        <v>1</v>
      </c>
      <c r="AP1421" t="s">
        <v>3029</v>
      </c>
      <c r="AQ1421" t="s">
        <v>3012</v>
      </c>
      <c r="AR1421" t="s">
        <v>3030</v>
      </c>
      <c r="AS1421" t="s">
        <v>3014</v>
      </c>
      <c r="AU1421" t="s">
        <v>3014</v>
      </c>
    </row>
    <row r="1422" spans="1:47" x14ac:dyDescent="0.35">
      <c r="A1422">
        <v>348273</v>
      </c>
      <c r="B1422" t="s">
        <v>178</v>
      </c>
      <c r="C1422" t="s">
        <v>179</v>
      </c>
      <c r="D1422" s="2">
        <v>45800</v>
      </c>
      <c r="E1422">
        <v>53850</v>
      </c>
      <c r="F1422">
        <v>108</v>
      </c>
      <c r="G1422" t="s">
        <v>124</v>
      </c>
      <c r="H1422" t="s">
        <v>167</v>
      </c>
      <c r="I1422" t="s">
        <v>45</v>
      </c>
      <c r="K1422">
        <v>202505238002919</v>
      </c>
      <c r="L1422">
        <v>1085500039514</v>
      </c>
      <c r="M1422">
        <v>20250523</v>
      </c>
      <c r="N1422" t="s">
        <v>794</v>
      </c>
      <c r="Q1422" t="s">
        <v>170</v>
      </c>
      <c r="R1422">
        <v>196048.72</v>
      </c>
      <c r="S1422">
        <v>0</v>
      </c>
      <c r="T1422">
        <v>412179</v>
      </c>
      <c r="U1422" t="s">
        <v>1579</v>
      </c>
      <c r="V1422" t="s">
        <v>1580</v>
      </c>
      <c r="W1422" t="s">
        <v>187</v>
      </c>
      <c r="Y1422" t="s">
        <v>51</v>
      </c>
      <c r="Z1422">
        <v>667</v>
      </c>
      <c r="AH1422">
        <v>0</v>
      </c>
      <c r="AI1422">
        <v>202505</v>
      </c>
      <c r="AJ1422" t="s">
        <v>86</v>
      </c>
      <c r="AK1422">
        <v>1</v>
      </c>
      <c r="AL1422">
        <v>1</v>
      </c>
      <c r="AO1422">
        <v>0</v>
      </c>
      <c r="AP1422" t="s">
        <v>3015</v>
      </c>
      <c r="AQ1422" t="s">
        <v>3044</v>
      </c>
      <c r="AR1422" t="s">
        <v>3045</v>
      </c>
      <c r="AS1422" t="s">
        <v>3046</v>
      </c>
      <c r="AU1422" t="s">
        <v>3046</v>
      </c>
    </row>
    <row r="1423" spans="1:47" x14ac:dyDescent="0.35">
      <c r="A1423">
        <v>348272</v>
      </c>
      <c r="B1423" t="s">
        <v>178</v>
      </c>
      <c r="C1423" t="s">
        <v>179</v>
      </c>
      <c r="D1423" s="2">
        <v>45800</v>
      </c>
      <c r="E1423">
        <v>53850</v>
      </c>
      <c r="F1423">
        <v>108</v>
      </c>
      <c r="G1423" t="s">
        <v>124</v>
      </c>
      <c r="H1423" t="s">
        <v>167</v>
      </c>
      <c r="I1423" t="s">
        <v>45</v>
      </c>
      <c r="K1423">
        <v>202505238002919</v>
      </c>
      <c r="L1423">
        <v>1085500039514</v>
      </c>
      <c r="M1423">
        <v>20250523</v>
      </c>
      <c r="N1423" t="s">
        <v>794</v>
      </c>
      <c r="Q1423" t="s">
        <v>170</v>
      </c>
      <c r="R1423">
        <v>196048.72</v>
      </c>
      <c r="S1423">
        <v>0</v>
      </c>
      <c r="T1423">
        <v>426147</v>
      </c>
      <c r="U1423" t="s">
        <v>1581</v>
      </c>
      <c r="V1423" t="s">
        <v>1582</v>
      </c>
      <c r="W1423" t="s">
        <v>187</v>
      </c>
      <c r="Y1423" t="s">
        <v>51</v>
      </c>
      <c r="AH1423">
        <v>0</v>
      </c>
      <c r="AI1423">
        <v>202505</v>
      </c>
      <c r="AJ1423" t="s">
        <v>86</v>
      </c>
      <c r="AK1423">
        <v>1</v>
      </c>
      <c r="AL1423">
        <v>1</v>
      </c>
      <c r="AO1423">
        <v>0</v>
      </c>
      <c r="AP1423" t="s">
        <v>3015</v>
      </c>
      <c r="AQ1423" t="s">
        <v>3044</v>
      </c>
      <c r="AR1423" t="s">
        <v>3045</v>
      </c>
      <c r="AS1423" t="s">
        <v>3046</v>
      </c>
      <c r="AU1423" t="s">
        <v>3046</v>
      </c>
    </row>
    <row r="1424" spans="1:47" x14ac:dyDescent="0.35">
      <c r="A1424">
        <v>348271</v>
      </c>
      <c r="B1424" t="s">
        <v>193</v>
      </c>
      <c r="C1424" t="s">
        <v>194</v>
      </c>
      <c r="D1424" s="2">
        <v>45800</v>
      </c>
      <c r="E1424">
        <v>53850</v>
      </c>
      <c r="F1424">
        <v>108</v>
      </c>
      <c r="G1424" t="s">
        <v>124</v>
      </c>
      <c r="H1424" t="s">
        <v>167</v>
      </c>
      <c r="I1424" t="s">
        <v>45</v>
      </c>
      <c r="K1424" t="s">
        <v>1583</v>
      </c>
      <c r="L1424">
        <v>1083306291105</v>
      </c>
      <c r="M1424">
        <v>20250522</v>
      </c>
      <c r="N1424" t="s">
        <v>175</v>
      </c>
      <c r="Q1424" t="s">
        <v>47</v>
      </c>
      <c r="R1424">
        <v>51942.51</v>
      </c>
      <c r="S1424">
        <v>37450.400000000001</v>
      </c>
      <c r="T1424">
        <v>4227057</v>
      </c>
      <c r="U1424">
        <v>4874620729</v>
      </c>
      <c r="V1424" t="s">
        <v>250</v>
      </c>
      <c r="W1424" t="s">
        <v>49</v>
      </c>
      <c r="X1424" t="s">
        <v>62</v>
      </c>
      <c r="Y1424" t="s">
        <v>51</v>
      </c>
      <c r="Z1424">
        <v>1058</v>
      </c>
      <c r="AH1424">
        <v>0</v>
      </c>
      <c r="AI1424">
        <v>202505</v>
      </c>
      <c r="AJ1424" t="s">
        <v>56</v>
      </c>
      <c r="AK1424">
        <v>0</v>
      </c>
      <c r="AL1424">
        <v>1</v>
      </c>
      <c r="AM1424">
        <v>4227057</v>
      </c>
      <c r="AN1424">
        <v>1</v>
      </c>
      <c r="AO1424">
        <v>1</v>
      </c>
      <c r="AP1424" t="s">
        <v>3015</v>
      </c>
      <c r="AQ1424" t="s">
        <v>3012</v>
      </c>
      <c r="AR1424" t="s">
        <v>3016</v>
      </c>
      <c r="AT1424" t="s">
        <v>3017</v>
      </c>
      <c r="AU1424" t="s">
        <v>3018</v>
      </c>
    </row>
    <row r="1425" spans="1:47" x14ac:dyDescent="0.35">
      <c r="A1425">
        <v>348270</v>
      </c>
      <c r="B1425" t="s">
        <v>193</v>
      </c>
      <c r="C1425" t="s">
        <v>194</v>
      </c>
      <c r="D1425" s="2">
        <v>45800</v>
      </c>
      <c r="E1425">
        <v>53850</v>
      </c>
      <c r="F1425">
        <v>156</v>
      </c>
      <c r="G1425" t="s">
        <v>1584</v>
      </c>
      <c r="H1425" t="s">
        <v>167</v>
      </c>
      <c r="I1425" t="s">
        <v>45</v>
      </c>
      <c r="K1425">
        <v>202505228003648</v>
      </c>
      <c r="L1425">
        <v>1923300181861</v>
      </c>
      <c r="M1425">
        <v>20250522</v>
      </c>
      <c r="N1425" t="s">
        <v>266</v>
      </c>
      <c r="Q1425" t="s">
        <v>47</v>
      </c>
      <c r="R1425">
        <v>27500</v>
      </c>
      <c r="S1425">
        <v>27500</v>
      </c>
      <c r="T1425">
        <v>3001368</v>
      </c>
      <c r="U1425" t="s">
        <v>1585</v>
      </c>
      <c r="V1425" t="s">
        <v>1586</v>
      </c>
      <c r="W1425" t="s">
        <v>187</v>
      </c>
      <c r="Y1425" t="s">
        <v>51</v>
      </c>
      <c r="Z1425">
        <v>880</v>
      </c>
      <c r="AH1425">
        <v>0</v>
      </c>
      <c r="AI1425">
        <v>202505</v>
      </c>
      <c r="AJ1425" t="s">
        <v>119</v>
      </c>
      <c r="AK1425">
        <v>1</v>
      </c>
      <c r="AL1425">
        <v>1</v>
      </c>
      <c r="AM1425">
        <v>3001368</v>
      </c>
      <c r="AN1425">
        <v>1</v>
      </c>
      <c r="AO1425">
        <v>0</v>
      </c>
      <c r="AP1425" t="s">
        <v>3015</v>
      </c>
      <c r="AQ1425" t="s">
        <v>3044</v>
      </c>
      <c r="AR1425" t="s">
        <v>3045</v>
      </c>
      <c r="AS1425" t="s">
        <v>3046</v>
      </c>
      <c r="AU1425" t="s">
        <v>3046</v>
      </c>
    </row>
    <row r="1426" spans="1:47" x14ac:dyDescent="0.35">
      <c r="A1426">
        <v>348269</v>
      </c>
      <c r="B1426" t="s">
        <v>178</v>
      </c>
      <c r="C1426" t="s">
        <v>179</v>
      </c>
      <c r="D1426" s="2">
        <v>45800</v>
      </c>
      <c r="E1426">
        <v>53850</v>
      </c>
      <c r="F1426">
        <v>169</v>
      </c>
      <c r="G1426" t="s">
        <v>57</v>
      </c>
      <c r="H1426" t="s">
        <v>167</v>
      </c>
      <c r="I1426" t="s">
        <v>45</v>
      </c>
      <c r="K1426">
        <v>202505228003684</v>
      </c>
      <c r="L1426">
        <v>1693305416200</v>
      </c>
      <c r="M1426">
        <v>20250522</v>
      </c>
      <c r="N1426" t="s">
        <v>1587</v>
      </c>
      <c r="Q1426" t="s">
        <v>47</v>
      </c>
      <c r="R1426">
        <v>310000</v>
      </c>
      <c r="S1426">
        <v>0</v>
      </c>
      <c r="T1426">
        <v>541618</v>
      </c>
      <c r="U1426" t="s">
        <v>1435</v>
      </c>
      <c r="V1426" t="s">
        <v>1436</v>
      </c>
      <c r="W1426" t="s">
        <v>187</v>
      </c>
      <c r="Y1426" t="s">
        <v>51</v>
      </c>
      <c r="Z1426">
        <v>1352</v>
      </c>
      <c r="AH1426">
        <v>0</v>
      </c>
      <c r="AI1426">
        <v>202505</v>
      </c>
      <c r="AJ1426" t="s">
        <v>86</v>
      </c>
      <c r="AK1426">
        <v>1</v>
      </c>
      <c r="AL1426">
        <v>1</v>
      </c>
      <c r="AO1426">
        <v>0</v>
      </c>
      <c r="AP1426" t="s">
        <v>3015</v>
      </c>
      <c r="AQ1426" t="s">
        <v>3044</v>
      </c>
      <c r="AR1426" t="s">
        <v>3045</v>
      </c>
      <c r="AS1426" t="s">
        <v>3046</v>
      </c>
      <c r="AU1426" t="s">
        <v>3046</v>
      </c>
    </row>
    <row r="1427" spans="1:47" x14ac:dyDescent="0.35">
      <c r="A1427">
        <v>348268</v>
      </c>
      <c r="B1427" t="s">
        <v>193</v>
      </c>
      <c r="C1427" t="s">
        <v>194</v>
      </c>
      <c r="D1427" s="2">
        <v>45800</v>
      </c>
      <c r="E1427">
        <v>53850</v>
      </c>
      <c r="F1427">
        <v>137</v>
      </c>
      <c r="G1427" t="s">
        <v>166</v>
      </c>
      <c r="H1427" t="s">
        <v>167</v>
      </c>
      <c r="I1427" t="s">
        <v>45</v>
      </c>
      <c r="K1427">
        <v>202505228003605</v>
      </c>
      <c r="L1427">
        <v>1373304102703</v>
      </c>
      <c r="M1427">
        <v>20250522</v>
      </c>
      <c r="N1427" t="s">
        <v>266</v>
      </c>
      <c r="Q1427" t="s">
        <v>47</v>
      </c>
      <c r="R1427">
        <v>27000</v>
      </c>
      <c r="S1427">
        <v>27000</v>
      </c>
      <c r="T1427">
        <v>1001333</v>
      </c>
      <c r="U1427" t="s">
        <v>692</v>
      </c>
      <c r="V1427" t="s">
        <v>693</v>
      </c>
      <c r="W1427" t="s">
        <v>69</v>
      </c>
      <c r="X1427" t="s">
        <v>131</v>
      </c>
      <c r="Y1427" t="s">
        <v>51</v>
      </c>
      <c r="Z1427">
        <v>1867</v>
      </c>
      <c r="AH1427">
        <v>0</v>
      </c>
      <c r="AI1427">
        <v>202505</v>
      </c>
      <c r="AJ1427" t="s">
        <v>56</v>
      </c>
      <c r="AK1427">
        <v>0</v>
      </c>
      <c r="AL1427">
        <v>1</v>
      </c>
      <c r="AM1427">
        <v>1001333</v>
      </c>
      <c r="AN1427">
        <v>1</v>
      </c>
      <c r="AO1427">
        <v>0</v>
      </c>
      <c r="AP1427" t="s">
        <v>3033</v>
      </c>
      <c r="AQ1427" t="s">
        <v>3021</v>
      </c>
      <c r="AR1427" t="s">
        <v>3054</v>
      </c>
      <c r="AS1427" t="s">
        <v>3055</v>
      </c>
      <c r="AU1427" t="s">
        <v>3055</v>
      </c>
    </row>
    <row r="1428" spans="1:47" x14ac:dyDescent="0.35">
      <c r="A1428">
        <v>348267</v>
      </c>
      <c r="B1428" t="s">
        <v>164</v>
      </c>
      <c r="C1428" t="s">
        <v>165</v>
      </c>
      <c r="D1428" s="2">
        <v>45800</v>
      </c>
      <c r="E1428">
        <v>53850</v>
      </c>
      <c r="F1428">
        <v>173</v>
      </c>
      <c r="G1428" t="s">
        <v>1409</v>
      </c>
      <c r="H1428" t="s">
        <v>167</v>
      </c>
      <c r="I1428" t="s">
        <v>45</v>
      </c>
      <c r="K1428" t="s">
        <v>1588</v>
      </c>
      <c r="L1428">
        <v>1733302704312</v>
      </c>
      <c r="M1428">
        <v>20250522</v>
      </c>
      <c r="N1428" t="s">
        <v>168</v>
      </c>
      <c r="P1428" t="s">
        <v>255</v>
      </c>
      <c r="Q1428" t="s">
        <v>47</v>
      </c>
      <c r="R1428">
        <v>1641.6</v>
      </c>
      <c r="S1428">
        <v>0</v>
      </c>
      <c r="T1428">
        <v>4386378</v>
      </c>
      <c r="U1428" t="s">
        <v>1589</v>
      </c>
      <c r="V1428" t="s">
        <v>1590</v>
      </c>
      <c r="W1428" t="s">
        <v>342</v>
      </c>
      <c r="X1428" t="s">
        <v>710</v>
      </c>
      <c r="Y1428" t="s">
        <v>51</v>
      </c>
      <c r="Z1428">
        <v>1530</v>
      </c>
      <c r="AH1428">
        <v>0</v>
      </c>
      <c r="AI1428">
        <v>202505</v>
      </c>
      <c r="AJ1428" t="s">
        <v>56</v>
      </c>
      <c r="AK1428">
        <v>0</v>
      </c>
      <c r="AL1428">
        <v>1</v>
      </c>
      <c r="AM1428">
        <v>4386378</v>
      </c>
      <c r="AN1428">
        <v>1</v>
      </c>
      <c r="AO1428">
        <v>0</v>
      </c>
      <c r="AP1428" t="s">
        <v>3015</v>
      </c>
      <c r="AQ1428" t="s">
        <v>3060</v>
      </c>
      <c r="AR1428" t="s">
        <v>3061</v>
      </c>
      <c r="AT1428" t="s">
        <v>3017</v>
      </c>
      <c r="AU1428" t="s">
        <v>3014</v>
      </c>
    </row>
    <row r="1429" spans="1:47" x14ac:dyDescent="0.35">
      <c r="A1429">
        <v>348266</v>
      </c>
      <c r="B1429" t="s">
        <v>214</v>
      </c>
      <c r="C1429" t="s">
        <v>215</v>
      </c>
      <c r="D1429" s="2">
        <v>45800</v>
      </c>
      <c r="E1429">
        <v>53850</v>
      </c>
      <c r="F1429">
        <v>175</v>
      </c>
      <c r="G1429" t="s">
        <v>99</v>
      </c>
      <c r="H1429" t="s">
        <v>167</v>
      </c>
      <c r="I1429" t="s">
        <v>45</v>
      </c>
      <c r="K1429">
        <v>202505228002785</v>
      </c>
      <c r="L1429">
        <v>1753302203813</v>
      </c>
      <c r="M1429">
        <v>20250522</v>
      </c>
      <c r="N1429" t="s">
        <v>168</v>
      </c>
      <c r="P1429" t="s">
        <v>511</v>
      </c>
      <c r="Q1429" t="s">
        <v>170</v>
      </c>
      <c r="R1429">
        <v>139939.23000000001</v>
      </c>
      <c r="S1429">
        <v>0</v>
      </c>
      <c r="T1429">
        <v>4907691</v>
      </c>
      <c r="U1429">
        <v>1146400773</v>
      </c>
      <c r="V1429" t="s">
        <v>1034</v>
      </c>
      <c r="W1429" t="s">
        <v>49</v>
      </c>
      <c r="X1429" t="s">
        <v>257</v>
      </c>
      <c r="Y1429" t="s">
        <v>51</v>
      </c>
      <c r="Z1429">
        <v>1926</v>
      </c>
      <c r="AH1429">
        <v>0</v>
      </c>
      <c r="AI1429">
        <v>202505</v>
      </c>
      <c r="AJ1429" t="s">
        <v>86</v>
      </c>
      <c r="AK1429">
        <v>1</v>
      </c>
      <c r="AL1429">
        <v>1</v>
      </c>
      <c r="AO1429">
        <v>0</v>
      </c>
      <c r="AP1429" t="s">
        <v>3015</v>
      </c>
      <c r="AQ1429" t="s">
        <v>3012</v>
      </c>
      <c r="AR1429" t="s">
        <v>3016</v>
      </c>
      <c r="AT1429" t="s">
        <v>3017</v>
      </c>
      <c r="AU1429" t="s">
        <v>3018</v>
      </c>
    </row>
    <row r="1430" spans="1:47" x14ac:dyDescent="0.35">
      <c r="A1430">
        <v>348265</v>
      </c>
      <c r="B1430" t="s">
        <v>333</v>
      </c>
      <c r="C1430" t="s">
        <v>334</v>
      </c>
      <c r="D1430" s="2">
        <v>45800</v>
      </c>
      <c r="E1430">
        <v>53850</v>
      </c>
      <c r="F1430">
        <v>154</v>
      </c>
      <c r="G1430" t="s">
        <v>53</v>
      </c>
      <c r="H1430" t="s">
        <v>167</v>
      </c>
      <c r="I1430" t="s">
        <v>45</v>
      </c>
      <c r="K1430">
        <v>202505228003645</v>
      </c>
      <c r="M1430">
        <v>20250522</v>
      </c>
      <c r="N1430" t="s">
        <v>515</v>
      </c>
      <c r="Q1430" t="s">
        <v>170</v>
      </c>
      <c r="R1430">
        <v>117404.4</v>
      </c>
      <c r="S1430">
        <v>0</v>
      </c>
      <c r="T1430">
        <v>4837667</v>
      </c>
      <c r="U1430" t="s">
        <v>516</v>
      </c>
      <c r="V1430" t="s">
        <v>517</v>
      </c>
      <c r="W1430" t="s">
        <v>187</v>
      </c>
      <c r="Y1430" t="s">
        <v>51</v>
      </c>
      <c r="AH1430">
        <v>0</v>
      </c>
      <c r="AI1430">
        <v>202505</v>
      </c>
      <c r="AJ1430" t="s">
        <v>56</v>
      </c>
      <c r="AK1430">
        <v>0</v>
      </c>
      <c r="AL1430">
        <v>0</v>
      </c>
      <c r="AO1430">
        <v>0</v>
      </c>
      <c r="AP1430" t="s">
        <v>3015</v>
      </c>
      <c r="AQ1430" t="s">
        <v>3044</v>
      </c>
      <c r="AR1430" t="s">
        <v>3045</v>
      </c>
      <c r="AS1430" t="s">
        <v>3046</v>
      </c>
      <c r="AU1430" t="s">
        <v>3046</v>
      </c>
    </row>
    <row r="1431" spans="1:47" x14ac:dyDescent="0.35">
      <c r="A1431">
        <v>348264</v>
      </c>
      <c r="B1431" t="s">
        <v>214</v>
      </c>
      <c r="C1431" t="s">
        <v>215</v>
      </c>
      <c r="D1431" s="2">
        <v>45800</v>
      </c>
      <c r="E1431">
        <v>53850</v>
      </c>
      <c r="F1431">
        <v>161</v>
      </c>
      <c r="G1431" t="s">
        <v>111</v>
      </c>
      <c r="H1431" t="s">
        <v>167</v>
      </c>
      <c r="I1431" t="s">
        <v>45</v>
      </c>
      <c r="K1431">
        <v>202505228002778</v>
      </c>
      <c r="L1431">
        <v>1613300031507</v>
      </c>
      <c r="M1431">
        <v>20250522</v>
      </c>
      <c r="N1431" t="s">
        <v>168</v>
      </c>
      <c r="P1431" t="s">
        <v>511</v>
      </c>
      <c r="Q1431" t="s">
        <v>170</v>
      </c>
      <c r="R1431">
        <v>34358.129999999997</v>
      </c>
      <c r="S1431">
        <v>0</v>
      </c>
      <c r="T1431">
        <v>4604262</v>
      </c>
      <c r="U1431" t="s">
        <v>1591</v>
      </c>
      <c r="V1431" t="s">
        <v>1592</v>
      </c>
      <c r="W1431" t="s">
        <v>69</v>
      </c>
      <c r="X1431" t="s">
        <v>597</v>
      </c>
      <c r="Y1431" t="s">
        <v>51</v>
      </c>
      <c r="Z1431">
        <v>1118</v>
      </c>
      <c r="AH1431">
        <v>0</v>
      </c>
      <c r="AI1431">
        <v>202505</v>
      </c>
      <c r="AJ1431" t="s">
        <v>56</v>
      </c>
      <c r="AK1431">
        <v>0</v>
      </c>
      <c r="AL1431">
        <v>1</v>
      </c>
      <c r="AO1431">
        <v>0</v>
      </c>
      <c r="AP1431" t="s">
        <v>3015</v>
      </c>
      <c r="AQ1431" t="s">
        <v>3021</v>
      </c>
      <c r="AR1431" t="s">
        <v>3022</v>
      </c>
      <c r="AT1431" t="s">
        <v>3017</v>
      </c>
      <c r="AU1431" t="s">
        <v>3014</v>
      </c>
    </row>
    <row r="1432" spans="1:47" x14ac:dyDescent="0.35">
      <c r="A1432">
        <v>348263</v>
      </c>
      <c r="B1432" t="s">
        <v>178</v>
      </c>
      <c r="C1432" t="s">
        <v>179</v>
      </c>
      <c r="D1432" s="2">
        <v>45800</v>
      </c>
      <c r="E1432">
        <v>53850</v>
      </c>
      <c r="F1432">
        <v>114</v>
      </c>
      <c r="G1432" t="s">
        <v>188</v>
      </c>
      <c r="H1432" t="s">
        <v>167</v>
      </c>
      <c r="I1432" t="s">
        <v>45</v>
      </c>
      <c r="K1432">
        <v>202505228003525</v>
      </c>
      <c r="L1432">
        <v>1143306280045</v>
      </c>
      <c r="M1432">
        <v>20250522</v>
      </c>
      <c r="N1432" t="s">
        <v>3136</v>
      </c>
      <c r="Q1432" t="s">
        <v>170</v>
      </c>
      <c r="R1432">
        <v>88763.05</v>
      </c>
      <c r="S1432">
        <v>0</v>
      </c>
      <c r="T1432">
        <v>4440994</v>
      </c>
      <c r="U1432" t="s">
        <v>1593</v>
      </c>
      <c r="V1432" t="s">
        <v>1594</v>
      </c>
      <c r="W1432" t="s">
        <v>187</v>
      </c>
      <c r="Y1432" t="s">
        <v>51</v>
      </c>
      <c r="Z1432">
        <v>907</v>
      </c>
      <c r="AH1432">
        <v>0</v>
      </c>
      <c r="AI1432">
        <v>202505</v>
      </c>
      <c r="AJ1432" t="s">
        <v>119</v>
      </c>
      <c r="AK1432">
        <v>1</v>
      </c>
      <c r="AL1432">
        <v>1</v>
      </c>
      <c r="AO1432">
        <v>1</v>
      </c>
      <c r="AP1432" t="s">
        <v>3015</v>
      </c>
      <c r="AQ1432" t="s">
        <v>3044</v>
      </c>
      <c r="AR1432" t="s">
        <v>3045</v>
      </c>
      <c r="AS1432" t="s">
        <v>3046</v>
      </c>
      <c r="AU1432" t="s">
        <v>3046</v>
      </c>
    </row>
    <row r="1433" spans="1:47" x14ac:dyDescent="0.35">
      <c r="A1433">
        <v>348262</v>
      </c>
      <c r="B1433" t="s">
        <v>164</v>
      </c>
      <c r="C1433" t="s">
        <v>165</v>
      </c>
      <c r="D1433" s="2">
        <v>45800</v>
      </c>
      <c r="E1433">
        <v>53850</v>
      </c>
      <c r="F1433">
        <v>261</v>
      </c>
      <c r="G1433" t="s">
        <v>136</v>
      </c>
      <c r="H1433" t="s">
        <v>167</v>
      </c>
      <c r="I1433" t="s">
        <v>45</v>
      </c>
      <c r="K1433" t="s">
        <v>1595</v>
      </c>
      <c r="L1433">
        <v>2613300001265</v>
      </c>
      <c r="M1433">
        <v>20250522</v>
      </c>
      <c r="N1433" t="s">
        <v>168</v>
      </c>
      <c r="P1433" t="s">
        <v>203</v>
      </c>
      <c r="Q1433" t="s">
        <v>47</v>
      </c>
      <c r="R1433">
        <v>1200.5</v>
      </c>
      <c r="S1433">
        <v>0</v>
      </c>
      <c r="T1433">
        <v>1625403</v>
      </c>
      <c r="U1433" t="s">
        <v>870</v>
      </c>
      <c r="V1433" t="s">
        <v>871</v>
      </c>
      <c r="W1433" t="s">
        <v>187</v>
      </c>
      <c r="Y1433" t="s">
        <v>51</v>
      </c>
      <c r="Z1433">
        <v>1755</v>
      </c>
      <c r="AH1433">
        <v>0</v>
      </c>
      <c r="AI1433">
        <v>202505</v>
      </c>
      <c r="AJ1433" t="s">
        <v>56</v>
      </c>
      <c r="AK1433">
        <v>0</v>
      </c>
      <c r="AL1433">
        <v>1</v>
      </c>
      <c r="AO1433">
        <v>0</v>
      </c>
      <c r="AP1433" t="s">
        <v>3015</v>
      </c>
      <c r="AQ1433" t="s">
        <v>3044</v>
      </c>
      <c r="AR1433" t="s">
        <v>3045</v>
      </c>
      <c r="AS1433" t="s">
        <v>3046</v>
      </c>
      <c r="AU1433" t="s">
        <v>3046</v>
      </c>
    </row>
    <row r="1434" spans="1:47" x14ac:dyDescent="0.35">
      <c r="A1434">
        <v>348261</v>
      </c>
      <c r="B1434" t="s">
        <v>214</v>
      </c>
      <c r="C1434" t="s">
        <v>215</v>
      </c>
      <c r="D1434" s="2">
        <v>45800</v>
      </c>
      <c r="E1434">
        <v>53850</v>
      </c>
      <c r="F1434">
        <v>141</v>
      </c>
      <c r="G1434" t="s">
        <v>105</v>
      </c>
      <c r="H1434" t="s">
        <v>167</v>
      </c>
      <c r="I1434" t="s">
        <v>45</v>
      </c>
      <c r="K1434">
        <v>202505228001380</v>
      </c>
      <c r="L1434">
        <v>1413300003985</v>
      </c>
      <c r="M1434">
        <v>20250522</v>
      </c>
      <c r="N1434" t="s">
        <v>168</v>
      </c>
      <c r="P1434" t="s">
        <v>217</v>
      </c>
      <c r="Q1434" t="s">
        <v>170</v>
      </c>
      <c r="R1434">
        <v>34989.089999999997</v>
      </c>
      <c r="S1434">
        <v>0</v>
      </c>
      <c r="T1434">
        <v>4996689</v>
      </c>
      <c r="U1434">
        <v>80010360750</v>
      </c>
      <c r="V1434" t="s">
        <v>106</v>
      </c>
      <c r="W1434" t="s">
        <v>49</v>
      </c>
      <c r="X1434" t="s">
        <v>107</v>
      </c>
      <c r="Y1434" t="s">
        <v>51</v>
      </c>
      <c r="Z1434">
        <v>1940</v>
      </c>
      <c r="AH1434">
        <v>0</v>
      </c>
      <c r="AI1434">
        <v>202505</v>
      </c>
      <c r="AJ1434" t="s">
        <v>56</v>
      </c>
      <c r="AK1434">
        <v>0</v>
      </c>
      <c r="AL1434">
        <v>1</v>
      </c>
      <c r="AO1434">
        <v>0</v>
      </c>
      <c r="AP1434" t="s">
        <v>3024</v>
      </c>
      <c r="AQ1434" t="s">
        <v>3012</v>
      </c>
      <c r="AR1434" t="s">
        <v>3025</v>
      </c>
      <c r="AS1434" t="s">
        <v>3014</v>
      </c>
      <c r="AU1434" t="s">
        <v>3014</v>
      </c>
    </row>
    <row r="1435" spans="1:47" x14ac:dyDescent="0.35">
      <c r="A1435">
        <v>348260</v>
      </c>
      <c r="B1435" t="s">
        <v>172</v>
      </c>
      <c r="C1435" t="s">
        <v>173</v>
      </c>
      <c r="D1435" s="2">
        <v>45800</v>
      </c>
      <c r="E1435">
        <v>53850</v>
      </c>
      <c r="F1435">
        <v>106</v>
      </c>
      <c r="G1435" t="s">
        <v>291</v>
      </c>
      <c r="H1435" t="s">
        <v>167</v>
      </c>
      <c r="I1435" t="s">
        <v>45</v>
      </c>
      <c r="K1435">
        <v>202505228003468</v>
      </c>
      <c r="L1435">
        <v>1063302769017</v>
      </c>
      <c r="M1435">
        <v>20250522</v>
      </c>
      <c r="N1435" t="s">
        <v>231</v>
      </c>
      <c r="Q1435" t="s">
        <v>47</v>
      </c>
      <c r="R1435">
        <v>200000</v>
      </c>
      <c r="S1435">
        <v>0</v>
      </c>
      <c r="T1435">
        <v>4178244</v>
      </c>
      <c r="U1435">
        <v>5966130725</v>
      </c>
      <c r="V1435" t="s">
        <v>1596</v>
      </c>
      <c r="W1435" t="s">
        <v>49</v>
      </c>
      <c r="X1435" t="s">
        <v>364</v>
      </c>
      <c r="Y1435" t="s">
        <v>51</v>
      </c>
      <c r="Z1435">
        <v>727</v>
      </c>
      <c r="AH1435">
        <v>0</v>
      </c>
      <c r="AI1435">
        <v>202505</v>
      </c>
      <c r="AJ1435" t="s">
        <v>86</v>
      </c>
      <c r="AK1435">
        <v>1</v>
      </c>
      <c r="AL1435">
        <v>1</v>
      </c>
      <c r="AO1435">
        <v>0</v>
      </c>
      <c r="AP1435" t="s">
        <v>3062</v>
      </c>
      <c r="AQ1435" t="s">
        <v>3012</v>
      </c>
      <c r="AR1435" t="s">
        <v>3063</v>
      </c>
      <c r="AS1435" t="s">
        <v>3014</v>
      </c>
      <c r="AU1435" t="s">
        <v>3014</v>
      </c>
    </row>
    <row r="1436" spans="1:47" x14ac:dyDescent="0.35">
      <c r="A1436">
        <v>348259</v>
      </c>
      <c r="B1436" t="s">
        <v>164</v>
      </c>
      <c r="C1436" t="s">
        <v>165</v>
      </c>
      <c r="D1436" s="2">
        <v>45800</v>
      </c>
      <c r="E1436">
        <v>53850</v>
      </c>
      <c r="F1436">
        <v>189</v>
      </c>
      <c r="G1436" t="s">
        <v>286</v>
      </c>
      <c r="H1436" t="s">
        <v>167</v>
      </c>
      <c r="I1436" t="s">
        <v>45</v>
      </c>
      <c r="K1436">
        <v>202505228001235</v>
      </c>
      <c r="L1436">
        <v>1893300039198</v>
      </c>
      <c r="M1436">
        <v>20250522</v>
      </c>
      <c r="N1436" t="s">
        <v>168</v>
      </c>
      <c r="P1436" t="s">
        <v>255</v>
      </c>
      <c r="Q1436" t="s">
        <v>170</v>
      </c>
      <c r="R1436">
        <v>52800</v>
      </c>
      <c r="S1436">
        <v>0</v>
      </c>
      <c r="T1436">
        <v>4946691</v>
      </c>
      <c r="U1436">
        <v>3168470734</v>
      </c>
      <c r="V1436" t="s">
        <v>1297</v>
      </c>
      <c r="W1436" t="s">
        <v>49</v>
      </c>
      <c r="X1436" t="s">
        <v>1298</v>
      </c>
      <c r="Y1436" t="s">
        <v>51</v>
      </c>
      <c r="Z1436">
        <v>1381</v>
      </c>
      <c r="AH1436">
        <v>0</v>
      </c>
      <c r="AI1436">
        <v>202505</v>
      </c>
      <c r="AJ1436" t="s">
        <v>86</v>
      </c>
      <c r="AK1436">
        <v>1</v>
      </c>
      <c r="AL1436">
        <v>1</v>
      </c>
      <c r="AO1436">
        <v>0</v>
      </c>
      <c r="AP1436" t="s">
        <v>3015</v>
      </c>
      <c r="AQ1436" t="s">
        <v>3012</v>
      </c>
      <c r="AR1436" t="s">
        <v>3016</v>
      </c>
      <c r="AT1436" t="s">
        <v>3017</v>
      </c>
      <c r="AU1436" t="s">
        <v>3018</v>
      </c>
    </row>
    <row r="1437" spans="1:47" x14ac:dyDescent="0.35">
      <c r="A1437">
        <v>348258</v>
      </c>
      <c r="B1437" t="s">
        <v>164</v>
      </c>
      <c r="C1437" t="s">
        <v>165</v>
      </c>
      <c r="D1437" s="2">
        <v>45800</v>
      </c>
      <c r="E1437">
        <v>53850</v>
      </c>
      <c r="F1437">
        <v>116</v>
      </c>
      <c r="G1437" t="s">
        <v>126</v>
      </c>
      <c r="H1437" t="s">
        <v>167</v>
      </c>
      <c r="I1437" t="s">
        <v>45</v>
      </c>
      <c r="K1437" t="s">
        <v>1597</v>
      </c>
      <c r="L1437">
        <v>1423300308490</v>
      </c>
      <c r="M1437">
        <v>20250522</v>
      </c>
      <c r="N1437" t="s">
        <v>168</v>
      </c>
      <c r="P1437" t="s">
        <v>255</v>
      </c>
      <c r="Q1437" t="s">
        <v>47</v>
      </c>
      <c r="R1437">
        <v>1865</v>
      </c>
      <c r="S1437">
        <v>0</v>
      </c>
      <c r="T1437">
        <v>4793312</v>
      </c>
      <c r="U1437">
        <v>2314700747</v>
      </c>
      <c r="V1437" t="s">
        <v>536</v>
      </c>
      <c r="W1437" t="s">
        <v>49</v>
      </c>
      <c r="X1437" t="s">
        <v>451</v>
      </c>
      <c r="Y1437" t="s">
        <v>51</v>
      </c>
      <c r="Z1437">
        <v>417</v>
      </c>
      <c r="AH1437">
        <v>0</v>
      </c>
      <c r="AI1437">
        <v>202505</v>
      </c>
      <c r="AJ1437" t="s">
        <v>86</v>
      </c>
      <c r="AK1437">
        <v>1</v>
      </c>
      <c r="AL1437">
        <v>1</v>
      </c>
      <c r="AO1437">
        <v>0</v>
      </c>
      <c r="AP1437" t="s">
        <v>3015</v>
      </c>
      <c r="AQ1437" t="s">
        <v>3012</v>
      </c>
      <c r="AR1437" t="s">
        <v>3016</v>
      </c>
      <c r="AT1437" t="s">
        <v>3017</v>
      </c>
      <c r="AU1437" t="s">
        <v>3018</v>
      </c>
    </row>
    <row r="1438" spans="1:47" x14ac:dyDescent="0.35">
      <c r="A1438">
        <v>348257</v>
      </c>
      <c r="B1438" t="s">
        <v>193</v>
      </c>
      <c r="C1438" t="s">
        <v>194</v>
      </c>
      <c r="D1438" s="2">
        <v>45800</v>
      </c>
      <c r="E1438">
        <v>53850</v>
      </c>
      <c r="F1438">
        <v>116</v>
      </c>
      <c r="G1438" t="s">
        <v>126</v>
      </c>
      <c r="H1438" t="s">
        <v>167</v>
      </c>
      <c r="I1438" t="s">
        <v>45</v>
      </c>
      <c r="K1438">
        <v>202505228003321</v>
      </c>
      <c r="L1438">
        <v>2343300010453</v>
      </c>
      <c r="M1438">
        <v>20250522</v>
      </c>
      <c r="N1438" t="s">
        <v>195</v>
      </c>
      <c r="Q1438" t="s">
        <v>47</v>
      </c>
      <c r="R1438">
        <v>55211.8</v>
      </c>
      <c r="S1438">
        <v>55211.8</v>
      </c>
      <c r="T1438">
        <v>4247777</v>
      </c>
      <c r="U1438">
        <v>233470236</v>
      </c>
      <c r="V1438" t="s">
        <v>206</v>
      </c>
      <c r="W1438" t="s">
        <v>49</v>
      </c>
      <c r="X1438" t="s">
        <v>117</v>
      </c>
      <c r="Y1438" t="s">
        <v>51</v>
      </c>
      <c r="Z1438">
        <v>1696</v>
      </c>
      <c r="AH1438">
        <v>0</v>
      </c>
      <c r="AI1438">
        <v>202505</v>
      </c>
      <c r="AJ1438" t="s">
        <v>114</v>
      </c>
      <c r="AK1438">
        <v>1</v>
      </c>
      <c r="AL1438">
        <v>1</v>
      </c>
      <c r="AM1438">
        <v>4247777</v>
      </c>
      <c r="AN1438">
        <v>1</v>
      </c>
      <c r="AO1438">
        <v>0</v>
      </c>
      <c r="AP1438" t="s">
        <v>3029</v>
      </c>
      <c r="AQ1438" t="s">
        <v>3012</v>
      </c>
      <c r="AR1438" t="s">
        <v>3030</v>
      </c>
      <c r="AS1438" t="s">
        <v>3014</v>
      </c>
      <c r="AU1438" t="s">
        <v>3014</v>
      </c>
    </row>
    <row r="1439" spans="1:47" x14ac:dyDescent="0.35">
      <c r="A1439">
        <v>348256</v>
      </c>
      <c r="B1439" t="s">
        <v>164</v>
      </c>
      <c r="C1439" t="s">
        <v>165</v>
      </c>
      <c r="D1439" s="2">
        <v>45800</v>
      </c>
      <c r="E1439">
        <v>53850</v>
      </c>
      <c r="F1439">
        <v>187</v>
      </c>
      <c r="G1439" t="s">
        <v>251</v>
      </c>
      <c r="H1439" t="s">
        <v>167</v>
      </c>
      <c r="I1439" t="s">
        <v>45</v>
      </c>
      <c r="K1439">
        <v>202505228002422</v>
      </c>
      <c r="L1439">
        <v>1873300102696</v>
      </c>
      <c r="M1439">
        <v>20250522</v>
      </c>
      <c r="N1439" t="s">
        <v>168</v>
      </c>
      <c r="P1439" t="s">
        <v>255</v>
      </c>
      <c r="Q1439" t="s">
        <v>47</v>
      </c>
      <c r="R1439">
        <v>5028.63</v>
      </c>
      <c r="S1439">
        <v>0</v>
      </c>
      <c r="T1439">
        <v>4000559</v>
      </c>
      <c r="U1439">
        <v>2099160737</v>
      </c>
      <c r="V1439" t="s">
        <v>528</v>
      </c>
      <c r="W1439" t="s">
        <v>49</v>
      </c>
      <c r="X1439" t="s">
        <v>117</v>
      </c>
      <c r="Y1439" t="s">
        <v>51</v>
      </c>
      <c r="Z1439">
        <v>1627</v>
      </c>
      <c r="AH1439">
        <v>0</v>
      </c>
      <c r="AI1439">
        <v>202505</v>
      </c>
      <c r="AJ1439" t="s">
        <v>56</v>
      </c>
      <c r="AK1439">
        <v>0</v>
      </c>
      <c r="AL1439">
        <v>1</v>
      </c>
      <c r="AO1439">
        <v>0</v>
      </c>
      <c r="AP1439" t="s">
        <v>3029</v>
      </c>
      <c r="AQ1439" t="s">
        <v>3012</v>
      </c>
      <c r="AR1439" t="s">
        <v>3030</v>
      </c>
      <c r="AS1439" t="s">
        <v>3014</v>
      </c>
      <c r="AU1439" t="s">
        <v>3014</v>
      </c>
    </row>
    <row r="1440" spans="1:47" x14ac:dyDescent="0.35">
      <c r="A1440">
        <v>348255</v>
      </c>
      <c r="B1440" t="s">
        <v>756</v>
      </c>
      <c r="C1440" t="s">
        <v>757</v>
      </c>
      <c r="D1440" s="2">
        <v>45800</v>
      </c>
      <c r="E1440">
        <v>53850</v>
      </c>
      <c r="F1440">
        <v>156</v>
      </c>
      <c r="G1440" t="s">
        <v>1584</v>
      </c>
      <c r="H1440" t="s">
        <v>167</v>
      </c>
      <c r="I1440" t="s">
        <v>45</v>
      </c>
      <c r="K1440">
        <v>202505228003649</v>
      </c>
      <c r="L1440">
        <v>1825500227410</v>
      </c>
      <c r="M1440">
        <v>20250522</v>
      </c>
      <c r="N1440" t="s">
        <v>794</v>
      </c>
      <c r="Q1440" t="s">
        <v>170</v>
      </c>
      <c r="R1440">
        <v>27500</v>
      </c>
      <c r="S1440">
        <v>27500</v>
      </c>
      <c r="T1440">
        <v>3001368</v>
      </c>
      <c r="U1440" t="s">
        <v>1585</v>
      </c>
      <c r="V1440" t="s">
        <v>1586</v>
      </c>
      <c r="W1440" t="s">
        <v>187</v>
      </c>
      <c r="Y1440" t="s">
        <v>51</v>
      </c>
      <c r="Z1440">
        <v>880</v>
      </c>
      <c r="AH1440">
        <v>0</v>
      </c>
      <c r="AI1440">
        <v>202505</v>
      </c>
      <c r="AJ1440" t="s">
        <v>119</v>
      </c>
      <c r="AK1440">
        <v>1</v>
      </c>
      <c r="AL1440">
        <v>0</v>
      </c>
      <c r="AM1440">
        <v>3001368</v>
      </c>
      <c r="AN1440">
        <v>1</v>
      </c>
      <c r="AO1440">
        <v>0</v>
      </c>
      <c r="AP1440" t="s">
        <v>3015</v>
      </c>
      <c r="AQ1440" t="s">
        <v>3044</v>
      </c>
      <c r="AR1440" t="s">
        <v>3045</v>
      </c>
      <c r="AS1440" t="s">
        <v>3046</v>
      </c>
      <c r="AU1440" t="s">
        <v>3046</v>
      </c>
    </row>
    <row r="1441" spans="1:47" x14ac:dyDescent="0.35">
      <c r="A1441">
        <v>348254</v>
      </c>
      <c r="B1441" t="s">
        <v>178</v>
      </c>
      <c r="C1441" t="s">
        <v>179</v>
      </c>
      <c r="D1441" s="2">
        <v>45800</v>
      </c>
      <c r="E1441">
        <v>53850</v>
      </c>
      <c r="F1441">
        <v>114</v>
      </c>
      <c r="G1441" t="s">
        <v>188</v>
      </c>
      <c r="H1441" t="s">
        <v>167</v>
      </c>
      <c r="I1441" t="s">
        <v>45</v>
      </c>
      <c r="K1441">
        <v>202505228003525</v>
      </c>
      <c r="L1441">
        <v>1143306280045</v>
      </c>
      <c r="M1441">
        <v>20250522</v>
      </c>
      <c r="N1441" t="s">
        <v>3136</v>
      </c>
      <c r="Q1441" t="s">
        <v>170</v>
      </c>
      <c r="R1441">
        <v>88763.05</v>
      </c>
      <c r="S1441">
        <v>0</v>
      </c>
      <c r="T1441">
        <v>4440996</v>
      </c>
      <c r="U1441" t="s">
        <v>1598</v>
      </c>
      <c r="V1441" t="s">
        <v>1599</v>
      </c>
      <c r="W1441" t="s">
        <v>187</v>
      </c>
      <c r="Y1441" t="s">
        <v>51</v>
      </c>
      <c r="Z1441">
        <v>642</v>
      </c>
      <c r="AH1441">
        <v>0</v>
      </c>
      <c r="AI1441">
        <v>202505</v>
      </c>
      <c r="AJ1441" t="s">
        <v>56</v>
      </c>
      <c r="AK1441">
        <v>0</v>
      </c>
      <c r="AL1441">
        <v>1</v>
      </c>
      <c r="AO1441">
        <v>1</v>
      </c>
      <c r="AP1441" t="s">
        <v>3015</v>
      </c>
      <c r="AQ1441" t="s">
        <v>3044</v>
      </c>
      <c r="AR1441" t="s">
        <v>3045</v>
      </c>
      <c r="AS1441" t="s">
        <v>3046</v>
      </c>
      <c r="AU1441" t="s">
        <v>3046</v>
      </c>
    </row>
    <row r="1442" spans="1:47" x14ac:dyDescent="0.35">
      <c r="A1442">
        <v>348253</v>
      </c>
      <c r="B1442" t="s">
        <v>193</v>
      </c>
      <c r="C1442" t="s">
        <v>194</v>
      </c>
      <c r="D1442" s="2">
        <v>45800</v>
      </c>
      <c r="E1442">
        <v>53850</v>
      </c>
      <c r="F1442">
        <v>102</v>
      </c>
      <c r="G1442" t="s">
        <v>151</v>
      </c>
      <c r="H1442" t="s">
        <v>167</v>
      </c>
      <c r="I1442" t="s">
        <v>45</v>
      </c>
      <c r="K1442" t="s">
        <v>1583</v>
      </c>
      <c r="L1442">
        <v>1023308722503</v>
      </c>
      <c r="M1442">
        <v>20250522</v>
      </c>
      <c r="N1442" t="s">
        <v>195</v>
      </c>
      <c r="Q1442" t="s">
        <v>47</v>
      </c>
      <c r="R1442">
        <v>70570</v>
      </c>
      <c r="S1442">
        <v>70570</v>
      </c>
      <c r="T1442">
        <v>413650</v>
      </c>
      <c r="U1442">
        <v>3657230722</v>
      </c>
      <c r="V1442" t="s">
        <v>196</v>
      </c>
      <c r="W1442" t="s">
        <v>190</v>
      </c>
      <c r="X1442" t="s">
        <v>197</v>
      </c>
      <c r="Y1442" t="s">
        <v>51</v>
      </c>
      <c r="Z1442">
        <v>1306</v>
      </c>
      <c r="AH1442">
        <v>0</v>
      </c>
      <c r="AI1442">
        <v>202505</v>
      </c>
      <c r="AJ1442" t="s">
        <v>56</v>
      </c>
      <c r="AK1442">
        <v>0</v>
      </c>
      <c r="AL1442">
        <v>1</v>
      </c>
      <c r="AM1442">
        <v>413650</v>
      </c>
      <c r="AN1442">
        <v>1</v>
      </c>
      <c r="AO1442">
        <v>0</v>
      </c>
      <c r="AP1442" t="s">
        <v>3050</v>
      </c>
      <c r="AQ1442" t="s">
        <v>3047</v>
      </c>
      <c r="AR1442" t="s">
        <v>3051</v>
      </c>
      <c r="AS1442" t="s">
        <v>3049</v>
      </c>
      <c r="AU1442" t="s">
        <v>3049</v>
      </c>
    </row>
    <row r="1443" spans="1:47" x14ac:dyDescent="0.35">
      <c r="A1443">
        <v>348252</v>
      </c>
      <c r="B1443" t="s">
        <v>164</v>
      </c>
      <c r="C1443" t="s">
        <v>165</v>
      </c>
      <c r="D1443" s="2">
        <v>45800</v>
      </c>
      <c r="E1443">
        <v>53850</v>
      </c>
      <c r="F1443">
        <v>129</v>
      </c>
      <c r="G1443" t="s">
        <v>227</v>
      </c>
      <c r="H1443" t="s">
        <v>167</v>
      </c>
      <c r="I1443" t="s">
        <v>45</v>
      </c>
      <c r="K1443" t="s">
        <v>1600</v>
      </c>
      <c r="L1443">
        <v>1293300002811</v>
      </c>
      <c r="M1443">
        <v>20250522</v>
      </c>
      <c r="N1443" t="s">
        <v>168</v>
      </c>
      <c r="P1443" t="s">
        <v>169</v>
      </c>
      <c r="Q1443" t="s">
        <v>47</v>
      </c>
      <c r="R1443">
        <v>3000</v>
      </c>
      <c r="S1443">
        <v>0</v>
      </c>
      <c r="T1443">
        <v>4972184</v>
      </c>
      <c r="U1443">
        <v>7780290727</v>
      </c>
      <c r="V1443" t="s">
        <v>720</v>
      </c>
      <c r="W1443" t="s">
        <v>49</v>
      </c>
      <c r="X1443" t="s">
        <v>721</v>
      </c>
      <c r="Y1443" t="s">
        <v>51</v>
      </c>
      <c r="Z1443">
        <v>1058</v>
      </c>
      <c r="AH1443">
        <v>0</v>
      </c>
      <c r="AI1443">
        <v>202505</v>
      </c>
      <c r="AJ1443" t="s">
        <v>52</v>
      </c>
      <c r="AK1443">
        <v>0</v>
      </c>
      <c r="AL1443">
        <v>1</v>
      </c>
      <c r="AO1443">
        <v>0</v>
      </c>
      <c r="AP1443" t="s">
        <v>3015</v>
      </c>
      <c r="AQ1443" t="s">
        <v>3012</v>
      </c>
      <c r="AR1443" t="s">
        <v>3016</v>
      </c>
      <c r="AT1443" t="s">
        <v>3017</v>
      </c>
      <c r="AU1443" t="s">
        <v>3018</v>
      </c>
    </row>
    <row r="1444" spans="1:47" x14ac:dyDescent="0.35">
      <c r="A1444">
        <v>348251</v>
      </c>
      <c r="B1444" t="s">
        <v>193</v>
      </c>
      <c r="C1444" t="s">
        <v>194</v>
      </c>
      <c r="D1444" s="2">
        <v>45800</v>
      </c>
      <c r="E1444">
        <v>53850</v>
      </c>
      <c r="F1444">
        <v>156</v>
      </c>
      <c r="G1444" t="s">
        <v>1584</v>
      </c>
      <c r="H1444" t="s">
        <v>167</v>
      </c>
      <c r="I1444" t="s">
        <v>45</v>
      </c>
      <c r="K1444">
        <v>202505228003648</v>
      </c>
      <c r="L1444">
        <v>1923300181861</v>
      </c>
      <c r="M1444">
        <v>20250522</v>
      </c>
      <c r="N1444" t="s">
        <v>266</v>
      </c>
      <c r="Q1444" t="s">
        <v>47</v>
      </c>
      <c r="R1444">
        <v>27500</v>
      </c>
      <c r="S1444">
        <v>27500</v>
      </c>
      <c r="T1444">
        <v>3001369</v>
      </c>
      <c r="U1444" t="s">
        <v>1601</v>
      </c>
      <c r="V1444" t="s">
        <v>1602</v>
      </c>
      <c r="W1444" t="s">
        <v>187</v>
      </c>
      <c r="Y1444" t="s">
        <v>51</v>
      </c>
      <c r="Z1444">
        <v>481</v>
      </c>
      <c r="AH1444">
        <v>0</v>
      </c>
      <c r="AI1444">
        <v>202505</v>
      </c>
      <c r="AJ1444" t="s">
        <v>52</v>
      </c>
      <c r="AK1444">
        <v>0</v>
      </c>
      <c r="AL1444">
        <v>1</v>
      </c>
      <c r="AO1444">
        <v>0</v>
      </c>
      <c r="AP1444" t="s">
        <v>3015</v>
      </c>
      <c r="AQ1444" t="s">
        <v>3044</v>
      </c>
      <c r="AR1444" t="s">
        <v>3045</v>
      </c>
      <c r="AS1444" t="s">
        <v>3046</v>
      </c>
      <c r="AU1444" t="s">
        <v>3046</v>
      </c>
    </row>
    <row r="1445" spans="1:47" x14ac:dyDescent="0.35">
      <c r="A1445">
        <v>348250</v>
      </c>
      <c r="B1445" t="s">
        <v>178</v>
      </c>
      <c r="C1445" t="s">
        <v>179</v>
      </c>
      <c r="D1445" s="2">
        <v>45800</v>
      </c>
      <c r="E1445">
        <v>53850</v>
      </c>
      <c r="F1445">
        <v>169</v>
      </c>
      <c r="G1445" t="s">
        <v>57</v>
      </c>
      <c r="H1445" t="s">
        <v>167</v>
      </c>
      <c r="I1445" t="s">
        <v>45</v>
      </c>
      <c r="K1445">
        <v>202505228003684</v>
      </c>
      <c r="L1445">
        <v>1693305416200</v>
      </c>
      <c r="M1445">
        <v>20250522</v>
      </c>
      <c r="N1445" t="s">
        <v>1587</v>
      </c>
      <c r="Q1445" t="s">
        <v>47</v>
      </c>
      <c r="R1445">
        <v>310000</v>
      </c>
      <c r="S1445">
        <v>0</v>
      </c>
      <c r="T1445">
        <v>541619</v>
      </c>
      <c r="U1445" t="s">
        <v>1427</v>
      </c>
      <c r="V1445" t="s">
        <v>1428</v>
      </c>
      <c r="W1445" t="s">
        <v>187</v>
      </c>
      <c r="Y1445" t="s">
        <v>51</v>
      </c>
      <c r="Z1445">
        <v>1352</v>
      </c>
      <c r="AH1445">
        <v>0</v>
      </c>
      <c r="AI1445">
        <v>202505</v>
      </c>
      <c r="AJ1445" t="s">
        <v>86</v>
      </c>
      <c r="AK1445">
        <v>1</v>
      </c>
      <c r="AL1445">
        <v>1</v>
      </c>
      <c r="AO1445">
        <v>0</v>
      </c>
      <c r="AP1445" t="s">
        <v>3015</v>
      </c>
      <c r="AQ1445" t="s">
        <v>3044</v>
      </c>
      <c r="AR1445" t="s">
        <v>3045</v>
      </c>
      <c r="AS1445" t="s">
        <v>3046</v>
      </c>
      <c r="AU1445" t="s">
        <v>3046</v>
      </c>
    </row>
    <row r="1446" spans="1:47" x14ac:dyDescent="0.35">
      <c r="A1446">
        <v>348249</v>
      </c>
      <c r="B1446" t="s">
        <v>214</v>
      </c>
      <c r="C1446" t="s">
        <v>215</v>
      </c>
      <c r="D1446" s="2">
        <v>45800</v>
      </c>
      <c r="E1446">
        <v>53850</v>
      </c>
      <c r="F1446">
        <v>148</v>
      </c>
      <c r="G1446" t="s">
        <v>78</v>
      </c>
      <c r="H1446" t="s">
        <v>167</v>
      </c>
      <c r="I1446" t="s">
        <v>45</v>
      </c>
      <c r="K1446">
        <v>202505228002777</v>
      </c>
      <c r="L1446">
        <v>1483300003872</v>
      </c>
      <c r="M1446">
        <v>20250522</v>
      </c>
      <c r="N1446" t="s">
        <v>168</v>
      </c>
      <c r="P1446" t="s">
        <v>511</v>
      </c>
      <c r="Q1446" t="s">
        <v>47</v>
      </c>
      <c r="R1446">
        <v>19180</v>
      </c>
      <c r="S1446">
        <v>0</v>
      </c>
      <c r="T1446">
        <v>4602337</v>
      </c>
      <c r="U1446">
        <v>1418030621</v>
      </c>
      <c r="V1446" t="s">
        <v>1203</v>
      </c>
      <c r="W1446" t="s">
        <v>49</v>
      </c>
      <c r="X1446" t="s">
        <v>698</v>
      </c>
      <c r="Y1446" t="s">
        <v>51</v>
      </c>
      <c r="Z1446">
        <v>982</v>
      </c>
      <c r="AH1446">
        <v>0</v>
      </c>
      <c r="AI1446">
        <v>202505</v>
      </c>
      <c r="AJ1446" t="s">
        <v>56</v>
      </c>
      <c r="AK1446">
        <v>0</v>
      </c>
      <c r="AL1446">
        <v>1</v>
      </c>
      <c r="AO1446">
        <v>0</v>
      </c>
      <c r="AP1446" t="s">
        <v>3015</v>
      </c>
      <c r="AQ1446" t="s">
        <v>3012</v>
      </c>
      <c r="AR1446" t="s">
        <v>3016</v>
      </c>
      <c r="AT1446" t="s">
        <v>3017</v>
      </c>
      <c r="AU1446" t="s">
        <v>3018</v>
      </c>
    </row>
    <row r="1447" spans="1:47" x14ac:dyDescent="0.35">
      <c r="A1447">
        <v>348248</v>
      </c>
      <c r="B1447" t="s">
        <v>193</v>
      </c>
      <c r="C1447" t="s">
        <v>194</v>
      </c>
      <c r="D1447" s="2">
        <v>45800</v>
      </c>
      <c r="E1447">
        <v>53850</v>
      </c>
      <c r="F1447">
        <v>268</v>
      </c>
      <c r="G1447" t="s">
        <v>83</v>
      </c>
      <c r="H1447" t="s">
        <v>167</v>
      </c>
      <c r="I1447" t="s">
        <v>45</v>
      </c>
      <c r="K1447" t="s">
        <v>1583</v>
      </c>
      <c r="L1447">
        <v>2683300006744</v>
      </c>
      <c r="M1447">
        <v>20250522</v>
      </c>
      <c r="N1447" t="s">
        <v>195</v>
      </c>
      <c r="Q1447" t="s">
        <v>47</v>
      </c>
      <c r="R1447">
        <v>29550</v>
      </c>
      <c r="S1447">
        <v>29550</v>
      </c>
      <c r="T1447">
        <v>1705200</v>
      </c>
      <c r="U1447" t="s">
        <v>565</v>
      </c>
      <c r="V1447" t="s">
        <v>566</v>
      </c>
      <c r="W1447" t="s">
        <v>69</v>
      </c>
      <c r="X1447" t="s">
        <v>131</v>
      </c>
      <c r="Y1447" t="s">
        <v>51</v>
      </c>
      <c r="Z1447">
        <v>1757</v>
      </c>
      <c r="AH1447">
        <v>0</v>
      </c>
      <c r="AI1447">
        <v>202505</v>
      </c>
      <c r="AJ1447" t="s">
        <v>56</v>
      </c>
      <c r="AK1447">
        <v>0</v>
      </c>
      <c r="AL1447">
        <v>1</v>
      </c>
      <c r="AM1447">
        <v>1705200</v>
      </c>
      <c r="AN1447">
        <v>1</v>
      </c>
      <c r="AO1447">
        <v>0</v>
      </c>
      <c r="AP1447" t="s">
        <v>3033</v>
      </c>
      <c r="AQ1447" t="s">
        <v>3021</v>
      </c>
      <c r="AR1447" t="s">
        <v>3054</v>
      </c>
      <c r="AS1447" t="s">
        <v>3055</v>
      </c>
      <c r="AU1447" t="s">
        <v>3055</v>
      </c>
    </row>
    <row r="1448" spans="1:47" x14ac:dyDescent="0.35">
      <c r="A1448">
        <v>348247</v>
      </c>
      <c r="B1448" t="s">
        <v>164</v>
      </c>
      <c r="C1448" t="s">
        <v>165</v>
      </c>
      <c r="D1448" s="2">
        <v>45800</v>
      </c>
      <c r="E1448">
        <v>53850</v>
      </c>
      <c r="F1448">
        <v>266</v>
      </c>
      <c r="G1448" t="s">
        <v>1248</v>
      </c>
      <c r="H1448" t="s">
        <v>167</v>
      </c>
      <c r="I1448" t="s">
        <v>45</v>
      </c>
      <c r="K1448">
        <v>202505228002722</v>
      </c>
      <c r="L1448">
        <v>2663300000387</v>
      </c>
      <c r="M1448">
        <v>20250522</v>
      </c>
      <c r="N1448" t="s">
        <v>168</v>
      </c>
      <c r="P1448" t="s">
        <v>255</v>
      </c>
      <c r="Q1448" t="s">
        <v>47</v>
      </c>
      <c r="R1448">
        <v>8000</v>
      </c>
      <c r="S1448">
        <v>0</v>
      </c>
      <c r="T1448">
        <v>1633798</v>
      </c>
      <c r="U1448" t="s">
        <v>1603</v>
      </c>
      <c r="V1448" t="s">
        <v>1604</v>
      </c>
      <c r="W1448" t="s">
        <v>187</v>
      </c>
      <c r="Y1448" t="s">
        <v>51</v>
      </c>
      <c r="Z1448">
        <v>1799</v>
      </c>
      <c r="AH1448">
        <v>0</v>
      </c>
      <c r="AI1448">
        <v>202505</v>
      </c>
      <c r="AJ1448" t="s">
        <v>86</v>
      </c>
      <c r="AK1448">
        <v>1</v>
      </c>
      <c r="AL1448">
        <v>1</v>
      </c>
      <c r="AO1448">
        <v>0</v>
      </c>
      <c r="AP1448" t="s">
        <v>3015</v>
      </c>
      <c r="AQ1448" t="s">
        <v>3044</v>
      </c>
      <c r="AR1448" t="s">
        <v>3045</v>
      </c>
      <c r="AS1448" t="s">
        <v>3046</v>
      </c>
      <c r="AU1448" t="s">
        <v>3046</v>
      </c>
    </row>
    <row r="1449" spans="1:47" x14ac:dyDescent="0.35">
      <c r="A1449">
        <v>348246</v>
      </c>
      <c r="B1449" t="s">
        <v>178</v>
      </c>
      <c r="C1449" t="s">
        <v>179</v>
      </c>
      <c r="D1449" s="2">
        <v>45800</v>
      </c>
      <c r="E1449">
        <v>53850</v>
      </c>
      <c r="F1449">
        <v>114</v>
      </c>
      <c r="G1449" t="s">
        <v>188</v>
      </c>
      <c r="H1449" t="s">
        <v>167</v>
      </c>
      <c r="I1449" t="s">
        <v>45</v>
      </c>
      <c r="K1449">
        <v>202505228003518</v>
      </c>
      <c r="L1449">
        <v>1143306282512</v>
      </c>
      <c r="M1449">
        <v>20250522</v>
      </c>
      <c r="N1449" t="s">
        <v>3136</v>
      </c>
      <c r="Q1449" t="s">
        <v>170</v>
      </c>
      <c r="R1449">
        <v>664672.81999999995</v>
      </c>
      <c r="S1449">
        <v>0</v>
      </c>
      <c r="T1449">
        <v>4969914</v>
      </c>
      <c r="U1449">
        <v>3855320713</v>
      </c>
      <c r="V1449" t="s">
        <v>1605</v>
      </c>
      <c r="W1449" t="s">
        <v>49</v>
      </c>
      <c r="X1449" t="s">
        <v>595</v>
      </c>
      <c r="Y1449" t="s">
        <v>51</v>
      </c>
      <c r="Z1449">
        <v>519</v>
      </c>
      <c r="AH1449">
        <v>0</v>
      </c>
      <c r="AI1449">
        <v>202505</v>
      </c>
      <c r="AJ1449" t="s">
        <v>56</v>
      </c>
      <c r="AK1449">
        <v>0</v>
      </c>
      <c r="AL1449">
        <v>1</v>
      </c>
      <c r="AO1449">
        <v>1</v>
      </c>
      <c r="AP1449" t="s">
        <v>3015</v>
      </c>
      <c r="AQ1449" t="s">
        <v>3012</v>
      </c>
      <c r="AR1449" t="s">
        <v>3016</v>
      </c>
      <c r="AT1449" t="s">
        <v>3017</v>
      </c>
      <c r="AU1449" t="s">
        <v>3018</v>
      </c>
    </row>
    <row r="1450" spans="1:47" x14ac:dyDescent="0.35">
      <c r="A1450">
        <v>348245</v>
      </c>
      <c r="B1450" t="s">
        <v>178</v>
      </c>
      <c r="C1450" t="s">
        <v>179</v>
      </c>
      <c r="D1450" s="2">
        <v>45800</v>
      </c>
      <c r="E1450">
        <v>53850</v>
      </c>
      <c r="F1450">
        <v>104</v>
      </c>
      <c r="G1450" t="s">
        <v>108</v>
      </c>
      <c r="H1450" t="s">
        <v>167</v>
      </c>
      <c r="I1450" t="s">
        <v>45</v>
      </c>
      <c r="K1450">
        <v>202505228001924</v>
      </c>
      <c r="L1450">
        <v>1043301449156</v>
      </c>
      <c r="M1450">
        <v>20250522</v>
      </c>
      <c r="N1450" t="s">
        <v>46</v>
      </c>
      <c r="P1450" t="s">
        <v>51</v>
      </c>
      <c r="Q1450" t="s">
        <v>47</v>
      </c>
      <c r="R1450">
        <v>3500000</v>
      </c>
      <c r="S1450">
        <v>0</v>
      </c>
      <c r="T1450">
        <v>15014</v>
      </c>
      <c r="U1450">
        <v>252860721</v>
      </c>
      <c r="V1450" t="s">
        <v>269</v>
      </c>
      <c r="W1450" t="s">
        <v>49</v>
      </c>
      <c r="X1450" t="s">
        <v>177</v>
      </c>
      <c r="Y1450" t="s">
        <v>51</v>
      </c>
      <c r="Z1450">
        <v>1696</v>
      </c>
      <c r="AH1450">
        <v>0</v>
      </c>
      <c r="AI1450">
        <v>202505</v>
      </c>
      <c r="AJ1450" t="s">
        <v>56</v>
      </c>
      <c r="AK1450">
        <v>0</v>
      </c>
      <c r="AL1450">
        <v>1</v>
      </c>
      <c r="AO1450">
        <v>0</v>
      </c>
      <c r="AP1450" t="s">
        <v>3015</v>
      </c>
      <c r="AQ1450" t="s">
        <v>3012</v>
      </c>
      <c r="AR1450" t="s">
        <v>3016</v>
      </c>
      <c r="AT1450" t="s">
        <v>3017</v>
      </c>
      <c r="AU1450" t="s">
        <v>3018</v>
      </c>
    </row>
    <row r="1451" spans="1:47" x14ac:dyDescent="0.35">
      <c r="A1451">
        <v>348244</v>
      </c>
      <c r="B1451" t="s">
        <v>178</v>
      </c>
      <c r="C1451" t="s">
        <v>179</v>
      </c>
      <c r="D1451" s="2">
        <v>45800</v>
      </c>
      <c r="E1451">
        <v>53850</v>
      </c>
      <c r="F1451">
        <v>104</v>
      </c>
      <c r="G1451" t="s">
        <v>108</v>
      </c>
      <c r="H1451" t="s">
        <v>167</v>
      </c>
      <c r="I1451" t="s">
        <v>45</v>
      </c>
      <c r="K1451">
        <v>202505228002767</v>
      </c>
      <c r="L1451">
        <v>1043301449156</v>
      </c>
      <c r="M1451">
        <v>20250522</v>
      </c>
      <c r="N1451" t="s">
        <v>223</v>
      </c>
      <c r="Q1451" t="s">
        <v>170</v>
      </c>
      <c r="R1451">
        <v>3500000</v>
      </c>
      <c r="S1451">
        <v>0</v>
      </c>
      <c r="T1451">
        <v>15014</v>
      </c>
      <c r="U1451">
        <v>252860721</v>
      </c>
      <c r="V1451" t="s">
        <v>269</v>
      </c>
      <c r="W1451" t="s">
        <v>49</v>
      </c>
      <c r="X1451" t="s">
        <v>177</v>
      </c>
      <c r="Y1451" t="s">
        <v>51</v>
      </c>
      <c r="Z1451">
        <v>1696</v>
      </c>
      <c r="AH1451">
        <v>0</v>
      </c>
      <c r="AI1451">
        <v>202505</v>
      </c>
      <c r="AJ1451" t="s">
        <v>56</v>
      </c>
      <c r="AK1451">
        <v>0</v>
      </c>
      <c r="AL1451">
        <v>1</v>
      </c>
      <c r="AO1451">
        <v>0</v>
      </c>
      <c r="AP1451" t="s">
        <v>3015</v>
      </c>
      <c r="AQ1451" t="s">
        <v>3012</v>
      </c>
      <c r="AR1451" t="s">
        <v>3016</v>
      </c>
      <c r="AT1451" t="s">
        <v>3017</v>
      </c>
      <c r="AU1451" t="s">
        <v>3018</v>
      </c>
    </row>
    <row r="1452" spans="1:47" x14ac:dyDescent="0.35">
      <c r="A1452">
        <v>348243</v>
      </c>
      <c r="B1452" t="s">
        <v>172</v>
      </c>
      <c r="C1452" t="s">
        <v>173</v>
      </c>
      <c r="D1452" s="2">
        <v>45800</v>
      </c>
      <c r="E1452">
        <v>53850</v>
      </c>
      <c r="F1452">
        <v>102</v>
      </c>
      <c r="G1452" t="s">
        <v>151</v>
      </c>
      <c r="H1452" t="s">
        <v>167</v>
      </c>
      <c r="I1452" t="s">
        <v>45</v>
      </c>
      <c r="K1452" t="s">
        <v>1583</v>
      </c>
      <c r="L1452">
        <v>1023308722503</v>
      </c>
      <c r="M1452">
        <v>20250522</v>
      </c>
      <c r="N1452" t="s">
        <v>195</v>
      </c>
      <c r="Q1452" t="s">
        <v>47</v>
      </c>
      <c r="R1452">
        <v>70570</v>
      </c>
      <c r="S1452">
        <v>70570</v>
      </c>
      <c r="T1452">
        <v>413650</v>
      </c>
      <c r="U1452">
        <v>3657230722</v>
      </c>
      <c r="V1452" t="s">
        <v>196</v>
      </c>
      <c r="W1452" t="s">
        <v>190</v>
      </c>
      <c r="X1452" t="s">
        <v>197</v>
      </c>
      <c r="Y1452" t="s">
        <v>51</v>
      </c>
      <c r="Z1452">
        <v>1306</v>
      </c>
      <c r="AH1452">
        <v>0</v>
      </c>
      <c r="AI1452">
        <v>202505</v>
      </c>
      <c r="AJ1452" t="s">
        <v>56</v>
      </c>
      <c r="AK1452">
        <v>0</v>
      </c>
      <c r="AL1452">
        <v>1</v>
      </c>
      <c r="AM1452">
        <v>413650</v>
      </c>
      <c r="AN1452">
        <v>1</v>
      </c>
      <c r="AO1452">
        <v>0</v>
      </c>
      <c r="AP1452" t="s">
        <v>3050</v>
      </c>
      <c r="AQ1452" t="s">
        <v>3047</v>
      </c>
      <c r="AR1452" t="s">
        <v>3051</v>
      </c>
      <c r="AS1452" t="s">
        <v>3049</v>
      </c>
      <c r="AU1452" t="s">
        <v>3049</v>
      </c>
    </row>
    <row r="1453" spans="1:47" x14ac:dyDescent="0.35">
      <c r="A1453">
        <v>348242</v>
      </c>
      <c r="B1453" t="s">
        <v>164</v>
      </c>
      <c r="C1453" t="s">
        <v>165</v>
      </c>
      <c r="D1453" s="2">
        <v>45800</v>
      </c>
      <c r="E1453">
        <v>53850</v>
      </c>
      <c r="F1453">
        <v>105</v>
      </c>
      <c r="G1453" t="s">
        <v>60</v>
      </c>
      <c r="H1453" t="s">
        <v>167</v>
      </c>
      <c r="I1453" t="s">
        <v>45</v>
      </c>
      <c r="K1453" t="s">
        <v>1606</v>
      </c>
      <c r="L1453">
        <v>1053306295089</v>
      </c>
      <c r="M1453">
        <v>20250522</v>
      </c>
      <c r="N1453" t="s">
        <v>168</v>
      </c>
      <c r="P1453" t="s">
        <v>255</v>
      </c>
      <c r="Q1453" t="s">
        <v>47</v>
      </c>
      <c r="R1453">
        <v>1845.33</v>
      </c>
      <c r="S1453">
        <v>0</v>
      </c>
      <c r="T1453">
        <v>3716148</v>
      </c>
      <c r="U1453">
        <v>6264740728</v>
      </c>
      <c r="V1453" t="s">
        <v>1607</v>
      </c>
      <c r="W1453" t="s">
        <v>49</v>
      </c>
      <c r="X1453" t="s">
        <v>59</v>
      </c>
      <c r="Y1453" t="s">
        <v>51</v>
      </c>
      <c r="Z1453">
        <v>462</v>
      </c>
      <c r="AH1453">
        <v>0</v>
      </c>
      <c r="AI1453">
        <v>202505</v>
      </c>
      <c r="AJ1453" t="s">
        <v>119</v>
      </c>
      <c r="AK1453">
        <v>1</v>
      </c>
      <c r="AL1453">
        <v>1</v>
      </c>
      <c r="AO1453">
        <v>0</v>
      </c>
      <c r="AP1453" t="s">
        <v>3015</v>
      </c>
      <c r="AQ1453" t="s">
        <v>3012</v>
      </c>
      <c r="AR1453" t="s">
        <v>3016</v>
      </c>
      <c r="AT1453" t="s">
        <v>3017</v>
      </c>
      <c r="AU1453" t="s">
        <v>3018</v>
      </c>
    </row>
    <row r="1454" spans="1:47" x14ac:dyDescent="0.35">
      <c r="A1454">
        <v>348241</v>
      </c>
      <c r="B1454" t="s">
        <v>178</v>
      </c>
      <c r="C1454" t="s">
        <v>179</v>
      </c>
      <c r="D1454" s="2">
        <v>45800</v>
      </c>
      <c r="E1454">
        <v>53850</v>
      </c>
      <c r="F1454">
        <v>200</v>
      </c>
      <c r="G1454" t="s">
        <v>858</v>
      </c>
      <c r="H1454" t="s">
        <v>167</v>
      </c>
      <c r="I1454" t="s">
        <v>45</v>
      </c>
      <c r="K1454">
        <v>202505228003776</v>
      </c>
      <c r="L1454">
        <v>2003300003833</v>
      </c>
      <c r="M1454">
        <v>20250522</v>
      </c>
      <c r="N1454" t="s">
        <v>236</v>
      </c>
      <c r="P1454" t="s">
        <v>51</v>
      </c>
      <c r="Q1454" t="s">
        <v>170</v>
      </c>
      <c r="R1454">
        <v>203277.8</v>
      </c>
      <c r="S1454">
        <v>0</v>
      </c>
      <c r="T1454">
        <v>3742670</v>
      </c>
      <c r="U1454" t="s">
        <v>1608</v>
      </c>
      <c r="V1454" t="s">
        <v>1609</v>
      </c>
      <c r="W1454" t="s">
        <v>187</v>
      </c>
      <c r="Y1454" t="s">
        <v>51</v>
      </c>
      <c r="Z1454">
        <v>1837</v>
      </c>
      <c r="AH1454">
        <v>0</v>
      </c>
      <c r="AI1454">
        <v>202505</v>
      </c>
      <c r="AJ1454" t="s">
        <v>52</v>
      </c>
      <c r="AK1454">
        <v>0</v>
      </c>
      <c r="AL1454">
        <v>1</v>
      </c>
      <c r="AO1454">
        <v>0</v>
      </c>
      <c r="AP1454" t="s">
        <v>3015</v>
      </c>
      <c r="AQ1454" t="s">
        <v>3044</v>
      </c>
      <c r="AR1454" t="s">
        <v>3045</v>
      </c>
      <c r="AS1454" t="s">
        <v>3046</v>
      </c>
      <c r="AU1454" t="s">
        <v>3046</v>
      </c>
    </row>
    <row r="1455" spans="1:47" x14ac:dyDescent="0.35">
      <c r="A1455">
        <v>348240</v>
      </c>
      <c r="B1455" t="s">
        <v>193</v>
      </c>
      <c r="C1455" t="s">
        <v>194</v>
      </c>
      <c r="D1455" s="2">
        <v>45800</v>
      </c>
      <c r="E1455">
        <v>53850</v>
      </c>
      <c r="F1455">
        <v>156</v>
      </c>
      <c r="G1455" t="s">
        <v>1584</v>
      </c>
      <c r="H1455" t="s">
        <v>167</v>
      </c>
      <c r="I1455" t="s">
        <v>45</v>
      </c>
      <c r="K1455">
        <v>202505228003648</v>
      </c>
      <c r="L1455">
        <v>1923300181861</v>
      </c>
      <c r="M1455">
        <v>20250522</v>
      </c>
      <c r="N1455" t="s">
        <v>266</v>
      </c>
      <c r="Q1455" t="s">
        <v>47</v>
      </c>
      <c r="R1455">
        <v>27500</v>
      </c>
      <c r="S1455">
        <v>27500</v>
      </c>
      <c r="T1455">
        <v>4114433</v>
      </c>
      <c r="U1455" t="s">
        <v>1610</v>
      </c>
      <c r="V1455" t="s">
        <v>1611</v>
      </c>
      <c r="W1455" t="s">
        <v>187</v>
      </c>
      <c r="Y1455" t="s">
        <v>51</v>
      </c>
      <c r="Z1455">
        <v>1962</v>
      </c>
      <c r="AH1455">
        <v>0</v>
      </c>
      <c r="AI1455">
        <v>202505</v>
      </c>
      <c r="AJ1455" t="s">
        <v>56</v>
      </c>
      <c r="AK1455">
        <v>0</v>
      </c>
      <c r="AL1455">
        <v>1</v>
      </c>
      <c r="AM1455">
        <v>4114433</v>
      </c>
      <c r="AN1455">
        <v>1</v>
      </c>
      <c r="AO1455">
        <v>0</v>
      </c>
      <c r="AP1455" t="s">
        <v>3015</v>
      </c>
      <c r="AQ1455" t="s">
        <v>3044</v>
      </c>
      <c r="AR1455" t="s">
        <v>3045</v>
      </c>
      <c r="AS1455" t="s">
        <v>3046</v>
      </c>
      <c r="AU1455" t="s">
        <v>3046</v>
      </c>
    </row>
    <row r="1456" spans="1:47" x14ac:dyDescent="0.35">
      <c r="A1456">
        <v>348239</v>
      </c>
      <c r="B1456" t="s">
        <v>193</v>
      </c>
      <c r="C1456" t="s">
        <v>194</v>
      </c>
      <c r="D1456" s="2">
        <v>45800</v>
      </c>
      <c r="E1456">
        <v>53850</v>
      </c>
      <c r="F1456">
        <v>269</v>
      </c>
      <c r="G1456" t="s">
        <v>265</v>
      </c>
      <c r="H1456" t="s">
        <v>167</v>
      </c>
      <c r="I1456" t="s">
        <v>45</v>
      </c>
      <c r="K1456" t="s">
        <v>1583</v>
      </c>
      <c r="L1456">
        <v>2693300001614</v>
      </c>
      <c r="M1456">
        <v>20250522</v>
      </c>
      <c r="N1456" t="s">
        <v>266</v>
      </c>
      <c r="Q1456" t="s">
        <v>47</v>
      </c>
      <c r="R1456">
        <v>36430</v>
      </c>
      <c r="S1456">
        <v>36430</v>
      </c>
      <c r="T1456">
        <v>1695085</v>
      </c>
      <c r="U1456" t="s">
        <v>267</v>
      </c>
      <c r="V1456" t="s">
        <v>268</v>
      </c>
      <c r="W1456" t="s">
        <v>69</v>
      </c>
      <c r="X1456" t="s">
        <v>55</v>
      </c>
      <c r="Y1456" t="s">
        <v>51</v>
      </c>
      <c r="Z1456">
        <v>1805</v>
      </c>
      <c r="AH1456">
        <v>0</v>
      </c>
      <c r="AI1456">
        <v>202505</v>
      </c>
      <c r="AJ1456" t="s">
        <v>56</v>
      </c>
      <c r="AK1456">
        <v>0</v>
      </c>
      <c r="AL1456">
        <v>1</v>
      </c>
      <c r="AM1456">
        <v>1695085</v>
      </c>
      <c r="AN1456">
        <v>1</v>
      </c>
      <c r="AO1456">
        <v>0</v>
      </c>
      <c r="AP1456" t="s">
        <v>3015</v>
      </c>
      <c r="AQ1456" t="s">
        <v>3021</v>
      </c>
      <c r="AR1456" t="s">
        <v>3022</v>
      </c>
      <c r="AT1456" t="s">
        <v>3017</v>
      </c>
      <c r="AU1456" t="s">
        <v>3014</v>
      </c>
    </row>
    <row r="1457" spans="1:47" x14ac:dyDescent="0.35">
      <c r="A1457">
        <v>348238</v>
      </c>
      <c r="B1457" t="s">
        <v>164</v>
      </c>
      <c r="C1457" t="s">
        <v>165</v>
      </c>
      <c r="D1457" s="2">
        <v>45800</v>
      </c>
      <c r="E1457">
        <v>53850</v>
      </c>
      <c r="F1457">
        <v>261</v>
      </c>
      <c r="G1457" t="s">
        <v>136</v>
      </c>
      <c r="H1457" t="s">
        <v>167</v>
      </c>
      <c r="I1457" t="s">
        <v>45</v>
      </c>
      <c r="K1457" t="s">
        <v>1612</v>
      </c>
      <c r="L1457">
        <v>2613300010205</v>
      </c>
      <c r="M1457">
        <v>20250522</v>
      </c>
      <c r="N1457" t="s">
        <v>168</v>
      </c>
      <c r="P1457" t="s">
        <v>255</v>
      </c>
      <c r="Q1457" t="s">
        <v>170</v>
      </c>
      <c r="R1457">
        <v>1000</v>
      </c>
      <c r="S1457">
        <v>0</v>
      </c>
      <c r="T1457">
        <v>4991786</v>
      </c>
      <c r="U1457">
        <v>993400944</v>
      </c>
      <c r="V1457" t="s">
        <v>137</v>
      </c>
      <c r="W1457" t="s">
        <v>49</v>
      </c>
      <c r="X1457" t="s">
        <v>77</v>
      </c>
      <c r="Y1457" t="s">
        <v>51</v>
      </c>
      <c r="Z1457">
        <v>1782</v>
      </c>
      <c r="AH1457">
        <v>0</v>
      </c>
      <c r="AI1457">
        <v>202505</v>
      </c>
      <c r="AJ1457" t="s">
        <v>56</v>
      </c>
      <c r="AK1457">
        <v>0</v>
      </c>
      <c r="AL1457">
        <v>1</v>
      </c>
      <c r="AM1457">
        <v>4991786</v>
      </c>
      <c r="AN1457">
        <v>1</v>
      </c>
      <c r="AO1457">
        <v>0</v>
      </c>
      <c r="AP1457" t="s">
        <v>3015</v>
      </c>
      <c r="AQ1457" t="s">
        <v>3012</v>
      </c>
      <c r="AR1457" t="s">
        <v>3016</v>
      </c>
      <c r="AT1457" t="s">
        <v>3017</v>
      </c>
      <c r="AU1457" t="s">
        <v>3018</v>
      </c>
    </row>
    <row r="1458" spans="1:47" x14ac:dyDescent="0.35">
      <c r="A1458">
        <v>348237</v>
      </c>
      <c r="B1458" t="s">
        <v>178</v>
      </c>
      <c r="C1458" t="s">
        <v>179</v>
      </c>
      <c r="D1458" s="2">
        <v>45800</v>
      </c>
      <c r="E1458">
        <v>53850</v>
      </c>
      <c r="F1458">
        <v>261</v>
      </c>
      <c r="G1458" t="s">
        <v>136</v>
      </c>
      <c r="H1458" t="s">
        <v>167</v>
      </c>
      <c r="I1458" t="s">
        <v>45</v>
      </c>
      <c r="K1458">
        <v>202505228003788</v>
      </c>
      <c r="L1458">
        <v>2613300000312</v>
      </c>
      <c r="M1458">
        <v>20250522</v>
      </c>
      <c r="N1458" t="s">
        <v>1002</v>
      </c>
      <c r="Q1458" t="s">
        <v>47</v>
      </c>
      <c r="R1458">
        <v>200000</v>
      </c>
      <c r="S1458">
        <v>0</v>
      </c>
      <c r="T1458">
        <v>1605075</v>
      </c>
      <c r="U1458" t="s">
        <v>1439</v>
      </c>
      <c r="V1458" t="s">
        <v>1440</v>
      </c>
      <c r="W1458" t="s">
        <v>187</v>
      </c>
      <c r="Y1458" t="s">
        <v>51</v>
      </c>
      <c r="Z1458">
        <v>1776</v>
      </c>
      <c r="AH1458">
        <v>0</v>
      </c>
      <c r="AI1458">
        <v>202505</v>
      </c>
      <c r="AJ1458" t="s">
        <v>52</v>
      </c>
      <c r="AK1458">
        <v>0</v>
      </c>
      <c r="AL1458">
        <v>1</v>
      </c>
      <c r="AO1458">
        <v>0</v>
      </c>
      <c r="AP1458" t="s">
        <v>3015</v>
      </c>
      <c r="AQ1458" t="s">
        <v>3044</v>
      </c>
      <c r="AR1458" t="s">
        <v>3045</v>
      </c>
      <c r="AS1458" t="s">
        <v>3046</v>
      </c>
      <c r="AU1458" t="s">
        <v>3046</v>
      </c>
    </row>
    <row r="1459" spans="1:47" x14ac:dyDescent="0.35">
      <c r="A1459">
        <v>348236</v>
      </c>
      <c r="B1459" t="s">
        <v>756</v>
      </c>
      <c r="C1459" t="s">
        <v>757</v>
      </c>
      <c r="D1459" s="2">
        <v>45800</v>
      </c>
      <c r="E1459">
        <v>53850</v>
      </c>
      <c r="F1459">
        <v>156</v>
      </c>
      <c r="G1459" t="s">
        <v>1584</v>
      </c>
      <c r="H1459" t="s">
        <v>167</v>
      </c>
      <c r="I1459" t="s">
        <v>45</v>
      </c>
      <c r="K1459">
        <v>202505228003649</v>
      </c>
      <c r="L1459">
        <v>1825500227410</v>
      </c>
      <c r="M1459">
        <v>20250522</v>
      </c>
      <c r="N1459" t="s">
        <v>794</v>
      </c>
      <c r="Q1459" t="s">
        <v>170</v>
      </c>
      <c r="R1459">
        <v>27500</v>
      </c>
      <c r="S1459">
        <v>27500</v>
      </c>
      <c r="T1459">
        <v>3001369</v>
      </c>
      <c r="U1459" t="s">
        <v>1601</v>
      </c>
      <c r="V1459" t="s">
        <v>1602</v>
      </c>
      <c r="W1459" t="s">
        <v>187</v>
      </c>
      <c r="Y1459" t="s">
        <v>51</v>
      </c>
      <c r="Z1459">
        <v>481</v>
      </c>
      <c r="AH1459">
        <v>0</v>
      </c>
      <c r="AI1459">
        <v>202505</v>
      </c>
      <c r="AJ1459" t="s">
        <v>52</v>
      </c>
      <c r="AK1459">
        <v>0</v>
      </c>
      <c r="AL1459">
        <v>0</v>
      </c>
      <c r="AO1459">
        <v>0</v>
      </c>
      <c r="AP1459" t="s">
        <v>3015</v>
      </c>
      <c r="AQ1459" t="s">
        <v>3044</v>
      </c>
      <c r="AR1459" t="s">
        <v>3045</v>
      </c>
      <c r="AS1459" t="s">
        <v>3046</v>
      </c>
      <c r="AU1459" t="s">
        <v>3046</v>
      </c>
    </row>
    <row r="1460" spans="1:47" x14ac:dyDescent="0.35">
      <c r="A1460">
        <v>348235</v>
      </c>
      <c r="B1460" t="s">
        <v>214</v>
      </c>
      <c r="C1460" t="s">
        <v>215</v>
      </c>
      <c r="D1460" s="2">
        <v>45800</v>
      </c>
      <c r="E1460">
        <v>53850</v>
      </c>
      <c r="F1460">
        <v>170</v>
      </c>
      <c r="G1460" t="s">
        <v>211</v>
      </c>
      <c r="H1460" t="s">
        <v>167</v>
      </c>
      <c r="I1460" t="s">
        <v>45</v>
      </c>
      <c r="K1460">
        <v>202505228002783</v>
      </c>
      <c r="L1460">
        <v>1703306286085</v>
      </c>
      <c r="M1460">
        <v>20250522</v>
      </c>
      <c r="N1460" t="s">
        <v>168</v>
      </c>
      <c r="P1460" t="s">
        <v>1613</v>
      </c>
      <c r="Q1460" t="s">
        <v>170</v>
      </c>
      <c r="R1460">
        <v>20000</v>
      </c>
      <c r="S1460">
        <v>0</v>
      </c>
      <c r="T1460">
        <v>4264592</v>
      </c>
      <c r="U1460">
        <v>90059390725</v>
      </c>
      <c r="V1460" t="s">
        <v>1614</v>
      </c>
      <c r="W1460" t="s">
        <v>332</v>
      </c>
      <c r="Y1460" t="s">
        <v>51</v>
      </c>
      <c r="Z1460">
        <v>694</v>
      </c>
      <c r="AH1460">
        <v>0</v>
      </c>
      <c r="AI1460">
        <v>202505</v>
      </c>
      <c r="AJ1460" t="s">
        <v>86</v>
      </c>
      <c r="AK1460">
        <v>1</v>
      </c>
      <c r="AL1460">
        <v>1</v>
      </c>
      <c r="AO1460">
        <v>0</v>
      </c>
      <c r="AP1460" t="s">
        <v>3015</v>
      </c>
      <c r="AQ1460" t="s">
        <v>3058</v>
      </c>
      <c r="AR1460" t="s">
        <v>3059</v>
      </c>
      <c r="AS1460" t="s">
        <v>3014</v>
      </c>
      <c r="AU1460" t="s">
        <v>3014</v>
      </c>
    </row>
    <row r="1461" spans="1:47" x14ac:dyDescent="0.35">
      <c r="A1461">
        <v>348234</v>
      </c>
      <c r="B1461" t="s">
        <v>178</v>
      </c>
      <c r="C1461" t="s">
        <v>179</v>
      </c>
      <c r="D1461" s="2">
        <v>45800</v>
      </c>
      <c r="E1461">
        <v>53850</v>
      </c>
      <c r="F1461">
        <v>268</v>
      </c>
      <c r="G1461" t="s">
        <v>83</v>
      </c>
      <c r="H1461" t="s">
        <v>167</v>
      </c>
      <c r="I1461" t="s">
        <v>45</v>
      </c>
      <c r="K1461">
        <v>202505228003810</v>
      </c>
      <c r="L1461">
        <v>2683300010355</v>
      </c>
      <c r="M1461">
        <v>20250522</v>
      </c>
      <c r="N1461" t="s">
        <v>1002</v>
      </c>
      <c r="Q1461" t="s">
        <v>47</v>
      </c>
      <c r="R1461">
        <v>220000</v>
      </c>
      <c r="S1461">
        <v>0</v>
      </c>
      <c r="T1461">
        <v>1633404</v>
      </c>
      <c r="U1461" t="s">
        <v>1615</v>
      </c>
      <c r="V1461" t="s">
        <v>1616</v>
      </c>
      <c r="W1461" t="s">
        <v>187</v>
      </c>
      <c r="Y1461" t="s">
        <v>51</v>
      </c>
      <c r="Z1461">
        <v>1834</v>
      </c>
      <c r="AH1461">
        <v>0</v>
      </c>
      <c r="AI1461">
        <v>202505</v>
      </c>
      <c r="AJ1461" t="s">
        <v>86</v>
      </c>
      <c r="AK1461">
        <v>1</v>
      </c>
      <c r="AL1461">
        <v>1</v>
      </c>
      <c r="AO1461">
        <v>0</v>
      </c>
      <c r="AP1461" t="s">
        <v>3015</v>
      </c>
      <c r="AQ1461" t="s">
        <v>3044</v>
      </c>
      <c r="AR1461" t="s">
        <v>3045</v>
      </c>
      <c r="AS1461" t="s">
        <v>3046</v>
      </c>
      <c r="AU1461" t="s">
        <v>3046</v>
      </c>
    </row>
    <row r="1462" spans="1:47" x14ac:dyDescent="0.35">
      <c r="A1462">
        <v>348233</v>
      </c>
      <c r="B1462" t="s">
        <v>178</v>
      </c>
      <c r="C1462" t="s">
        <v>179</v>
      </c>
      <c r="D1462" s="2">
        <v>45800</v>
      </c>
      <c r="E1462">
        <v>53850</v>
      </c>
      <c r="F1462">
        <v>264</v>
      </c>
      <c r="G1462" t="s">
        <v>71</v>
      </c>
      <c r="H1462" t="s">
        <v>167</v>
      </c>
      <c r="I1462" t="s">
        <v>45</v>
      </c>
      <c r="K1462">
        <v>202505228002659</v>
      </c>
      <c r="L1462">
        <v>2643300002152</v>
      </c>
      <c r="M1462">
        <v>20250522</v>
      </c>
      <c r="N1462" t="s">
        <v>46</v>
      </c>
      <c r="P1462" t="s">
        <v>51</v>
      </c>
      <c r="Q1462" t="s">
        <v>47</v>
      </c>
      <c r="R1462">
        <v>73930.63</v>
      </c>
      <c r="S1462">
        <v>0</v>
      </c>
      <c r="T1462">
        <v>1700966</v>
      </c>
      <c r="U1462" t="s">
        <v>503</v>
      </c>
      <c r="V1462" t="s">
        <v>504</v>
      </c>
      <c r="W1462" t="s">
        <v>69</v>
      </c>
      <c r="X1462" t="s">
        <v>131</v>
      </c>
      <c r="Y1462" t="s">
        <v>51</v>
      </c>
      <c r="Z1462">
        <v>1851</v>
      </c>
      <c r="AH1462">
        <v>0</v>
      </c>
      <c r="AI1462">
        <v>202505</v>
      </c>
      <c r="AJ1462" t="s">
        <v>56</v>
      </c>
      <c r="AK1462">
        <v>0</v>
      </c>
      <c r="AL1462">
        <v>1</v>
      </c>
      <c r="AM1462">
        <v>1700966</v>
      </c>
      <c r="AN1462">
        <v>1</v>
      </c>
      <c r="AO1462">
        <v>0</v>
      </c>
      <c r="AP1462" t="s">
        <v>3033</v>
      </c>
      <c r="AQ1462" t="s">
        <v>3021</v>
      </c>
      <c r="AR1462" t="s">
        <v>3054</v>
      </c>
      <c r="AS1462" t="s">
        <v>3055</v>
      </c>
      <c r="AU1462" t="s">
        <v>3055</v>
      </c>
    </row>
    <row r="1463" spans="1:47" x14ac:dyDescent="0.35">
      <c r="A1463">
        <v>348232</v>
      </c>
      <c r="B1463" t="s">
        <v>164</v>
      </c>
      <c r="C1463" t="s">
        <v>165</v>
      </c>
      <c r="D1463" s="2">
        <v>45800</v>
      </c>
      <c r="E1463">
        <v>53850</v>
      </c>
      <c r="F1463">
        <v>261</v>
      </c>
      <c r="G1463" t="s">
        <v>136</v>
      </c>
      <c r="H1463" t="s">
        <v>167</v>
      </c>
      <c r="I1463" t="s">
        <v>45</v>
      </c>
      <c r="K1463" t="s">
        <v>1617</v>
      </c>
      <c r="L1463">
        <v>2613300010205</v>
      </c>
      <c r="M1463">
        <v>20250521</v>
      </c>
      <c r="N1463" t="s">
        <v>168</v>
      </c>
      <c r="P1463" t="s">
        <v>255</v>
      </c>
      <c r="Q1463" t="s">
        <v>170</v>
      </c>
      <c r="R1463">
        <v>1000</v>
      </c>
      <c r="S1463">
        <v>0</v>
      </c>
      <c r="T1463">
        <v>4991786</v>
      </c>
      <c r="U1463">
        <v>993400944</v>
      </c>
      <c r="V1463" t="s">
        <v>137</v>
      </c>
      <c r="W1463" t="s">
        <v>49</v>
      </c>
      <c r="X1463" t="s">
        <v>77</v>
      </c>
      <c r="Y1463" t="s">
        <v>51</v>
      </c>
      <c r="Z1463">
        <v>1782</v>
      </c>
      <c r="AH1463">
        <v>0</v>
      </c>
      <c r="AI1463">
        <v>202505</v>
      </c>
      <c r="AJ1463" t="s">
        <v>56</v>
      </c>
      <c r="AK1463">
        <v>0</v>
      </c>
      <c r="AL1463">
        <v>1</v>
      </c>
      <c r="AM1463">
        <v>4991786</v>
      </c>
      <c r="AN1463">
        <v>1</v>
      </c>
      <c r="AO1463">
        <v>0</v>
      </c>
      <c r="AP1463" t="s">
        <v>3015</v>
      </c>
      <c r="AQ1463" t="s">
        <v>3012</v>
      </c>
      <c r="AR1463" t="s">
        <v>3016</v>
      </c>
      <c r="AT1463" t="s">
        <v>3017</v>
      </c>
      <c r="AU1463" t="s">
        <v>3018</v>
      </c>
    </row>
    <row r="1464" spans="1:47" x14ac:dyDescent="0.35">
      <c r="A1464">
        <v>348231</v>
      </c>
      <c r="B1464" t="s">
        <v>172</v>
      </c>
      <c r="C1464" t="s">
        <v>173</v>
      </c>
      <c r="D1464" s="2">
        <v>45799</v>
      </c>
      <c r="E1464">
        <v>53850</v>
      </c>
      <c r="F1464">
        <v>161</v>
      </c>
      <c r="G1464" t="s">
        <v>111</v>
      </c>
      <c r="H1464" t="s">
        <v>167</v>
      </c>
      <c r="I1464" t="s">
        <v>45</v>
      </c>
      <c r="K1464" t="s">
        <v>1618</v>
      </c>
      <c r="L1464">
        <v>1613300029653</v>
      </c>
      <c r="M1464">
        <v>20250521</v>
      </c>
      <c r="N1464" t="s">
        <v>175</v>
      </c>
      <c r="Q1464" t="s">
        <v>47</v>
      </c>
      <c r="R1464">
        <v>104738.68</v>
      </c>
      <c r="S1464">
        <v>0</v>
      </c>
      <c r="T1464">
        <v>4088769</v>
      </c>
      <c r="U1464">
        <v>5150120722</v>
      </c>
      <c r="V1464" t="s">
        <v>270</v>
      </c>
      <c r="W1464" t="s">
        <v>49</v>
      </c>
      <c r="X1464" t="s">
        <v>110</v>
      </c>
      <c r="Y1464" t="s">
        <v>51</v>
      </c>
      <c r="Z1464">
        <v>1903</v>
      </c>
      <c r="AH1464">
        <v>0</v>
      </c>
      <c r="AI1464">
        <v>202505</v>
      </c>
      <c r="AJ1464" t="s">
        <v>56</v>
      </c>
      <c r="AK1464">
        <v>0</v>
      </c>
      <c r="AL1464">
        <v>1</v>
      </c>
      <c r="AM1464">
        <v>4088769</v>
      </c>
      <c r="AN1464">
        <v>1</v>
      </c>
      <c r="AO1464">
        <v>1</v>
      </c>
      <c r="AP1464" t="s">
        <v>3026</v>
      </c>
      <c r="AQ1464" t="s">
        <v>3012</v>
      </c>
      <c r="AR1464" t="s">
        <v>3027</v>
      </c>
      <c r="AS1464" t="s">
        <v>3028</v>
      </c>
      <c r="AU1464" t="s">
        <v>3028</v>
      </c>
    </row>
    <row r="1465" spans="1:47" x14ac:dyDescent="0.35">
      <c r="A1465">
        <v>348230</v>
      </c>
      <c r="B1465" t="s">
        <v>193</v>
      </c>
      <c r="C1465" t="s">
        <v>194</v>
      </c>
      <c r="D1465" s="2">
        <v>45799</v>
      </c>
      <c r="E1465">
        <v>53850</v>
      </c>
      <c r="F1465">
        <v>131</v>
      </c>
      <c r="G1465" t="s">
        <v>216</v>
      </c>
      <c r="H1465" t="s">
        <v>167</v>
      </c>
      <c r="I1465" t="s">
        <v>45</v>
      </c>
      <c r="K1465">
        <v>202505218000434</v>
      </c>
      <c r="L1465">
        <v>1313300002205</v>
      </c>
      <c r="M1465">
        <v>20250521</v>
      </c>
      <c r="N1465" t="s">
        <v>195</v>
      </c>
      <c r="Q1465" t="s">
        <v>47</v>
      </c>
      <c r="R1465">
        <v>26000</v>
      </c>
      <c r="S1465">
        <v>26000</v>
      </c>
      <c r="T1465">
        <v>4055163</v>
      </c>
      <c r="U1465" t="s">
        <v>522</v>
      </c>
      <c r="V1465" t="s">
        <v>523</v>
      </c>
      <c r="W1465" t="s">
        <v>69</v>
      </c>
      <c r="X1465" t="s">
        <v>131</v>
      </c>
      <c r="Y1465" t="s">
        <v>51</v>
      </c>
      <c r="Z1465">
        <v>915</v>
      </c>
      <c r="AH1465">
        <v>0</v>
      </c>
      <c r="AI1465">
        <v>202505</v>
      </c>
      <c r="AJ1465" t="s">
        <v>56</v>
      </c>
      <c r="AK1465">
        <v>0</v>
      </c>
      <c r="AL1465">
        <v>1</v>
      </c>
      <c r="AM1465">
        <v>4055163</v>
      </c>
      <c r="AN1465">
        <v>1</v>
      </c>
      <c r="AO1465">
        <v>0</v>
      </c>
      <c r="AP1465" t="s">
        <v>3033</v>
      </c>
      <c r="AQ1465" t="s">
        <v>3021</v>
      </c>
      <c r="AR1465" t="s">
        <v>3054</v>
      </c>
      <c r="AS1465" t="s">
        <v>3055</v>
      </c>
      <c r="AU1465" t="s">
        <v>3055</v>
      </c>
    </row>
    <row r="1466" spans="1:47" x14ac:dyDescent="0.35">
      <c r="A1466">
        <v>348229</v>
      </c>
      <c r="B1466" t="s">
        <v>193</v>
      </c>
      <c r="C1466" t="s">
        <v>194</v>
      </c>
      <c r="D1466" s="2">
        <v>45799</v>
      </c>
      <c r="E1466">
        <v>53850</v>
      </c>
      <c r="F1466">
        <v>199</v>
      </c>
      <c r="G1466" t="s">
        <v>473</v>
      </c>
      <c r="H1466" t="s">
        <v>167</v>
      </c>
      <c r="I1466" t="s">
        <v>45</v>
      </c>
      <c r="K1466">
        <v>202505218001090</v>
      </c>
      <c r="L1466">
        <v>1993300002890</v>
      </c>
      <c r="M1466">
        <v>20250521</v>
      </c>
      <c r="N1466" t="s">
        <v>266</v>
      </c>
      <c r="Q1466" t="s">
        <v>47</v>
      </c>
      <c r="R1466">
        <v>54465</v>
      </c>
      <c r="S1466">
        <v>54465</v>
      </c>
      <c r="T1466">
        <v>4917498</v>
      </c>
      <c r="U1466">
        <v>2566490740</v>
      </c>
      <c r="V1466" t="s">
        <v>1619</v>
      </c>
      <c r="W1466" t="s">
        <v>49</v>
      </c>
      <c r="X1466" t="s">
        <v>131</v>
      </c>
      <c r="Y1466" t="s">
        <v>51</v>
      </c>
      <c r="Z1466">
        <v>881</v>
      </c>
      <c r="AH1466">
        <v>0</v>
      </c>
      <c r="AI1466">
        <v>202505</v>
      </c>
      <c r="AJ1466" t="s">
        <v>86</v>
      </c>
      <c r="AK1466">
        <v>1</v>
      </c>
      <c r="AL1466">
        <v>1</v>
      </c>
      <c r="AO1466">
        <v>0</v>
      </c>
      <c r="AP1466" t="s">
        <v>3033</v>
      </c>
      <c r="AQ1466" t="s">
        <v>3012</v>
      </c>
      <c r="AR1466" t="s">
        <v>3034</v>
      </c>
      <c r="AS1466" t="s">
        <v>3014</v>
      </c>
      <c r="AU1466" t="s">
        <v>3014</v>
      </c>
    </row>
    <row r="1467" spans="1:47" x14ac:dyDescent="0.35">
      <c r="A1467">
        <v>348228</v>
      </c>
      <c r="B1467" t="s">
        <v>193</v>
      </c>
      <c r="C1467" t="s">
        <v>194</v>
      </c>
      <c r="D1467" s="2">
        <v>45799</v>
      </c>
      <c r="E1467">
        <v>53850</v>
      </c>
      <c r="F1467">
        <v>264</v>
      </c>
      <c r="G1467" t="s">
        <v>71</v>
      </c>
      <c r="H1467" t="s">
        <v>167</v>
      </c>
      <c r="I1467" t="s">
        <v>45</v>
      </c>
      <c r="K1467" t="s">
        <v>1618</v>
      </c>
      <c r="L1467">
        <v>2643300002171</v>
      </c>
      <c r="M1467">
        <v>20250521</v>
      </c>
      <c r="N1467" t="s">
        <v>195</v>
      </c>
      <c r="Q1467" t="s">
        <v>47</v>
      </c>
      <c r="R1467">
        <v>32090</v>
      </c>
      <c r="S1467">
        <v>32090</v>
      </c>
      <c r="T1467">
        <v>1705273</v>
      </c>
      <c r="U1467">
        <v>1112900772</v>
      </c>
      <c r="V1467" t="s">
        <v>502</v>
      </c>
      <c r="W1467" t="s">
        <v>190</v>
      </c>
      <c r="X1467" t="s">
        <v>131</v>
      </c>
      <c r="Y1467" t="s">
        <v>51</v>
      </c>
      <c r="Z1467">
        <v>936</v>
      </c>
      <c r="AH1467">
        <v>0</v>
      </c>
      <c r="AI1467">
        <v>202505</v>
      </c>
      <c r="AJ1467" t="s">
        <v>86</v>
      </c>
      <c r="AK1467">
        <v>1</v>
      </c>
      <c r="AL1467">
        <v>1</v>
      </c>
      <c r="AO1467">
        <v>0</v>
      </c>
      <c r="AP1467" t="s">
        <v>3033</v>
      </c>
      <c r="AQ1467" t="s">
        <v>3047</v>
      </c>
      <c r="AR1467" t="s">
        <v>3048</v>
      </c>
      <c r="AS1467" t="s">
        <v>3049</v>
      </c>
      <c r="AU1467" t="s">
        <v>3049</v>
      </c>
    </row>
    <row r="1468" spans="1:47" x14ac:dyDescent="0.35">
      <c r="A1468">
        <v>348227</v>
      </c>
      <c r="B1468" t="s">
        <v>178</v>
      </c>
      <c r="C1468" t="s">
        <v>179</v>
      </c>
      <c r="D1468" s="2">
        <v>45799</v>
      </c>
      <c r="E1468">
        <v>53850</v>
      </c>
      <c r="F1468">
        <v>105</v>
      </c>
      <c r="G1468" t="s">
        <v>60</v>
      </c>
      <c r="H1468" t="s">
        <v>167</v>
      </c>
      <c r="I1468" t="s">
        <v>45</v>
      </c>
      <c r="K1468">
        <v>202505217999576</v>
      </c>
      <c r="L1468">
        <v>1053306288710</v>
      </c>
      <c r="M1468">
        <v>20250521</v>
      </c>
      <c r="N1468" t="s">
        <v>46</v>
      </c>
      <c r="P1468" t="s">
        <v>51</v>
      </c>
      <c r="Q1468" t="s">
        <v>47</v>
      </c>
      <c r="R1468">
        <v>200531.43</v>
      </c>
      <c r="S1468">
        <v>0</v>
      </c>
      <c r="T1468">
        <v>522982</v>
      </c>
      <c r="U1468" t="s">
        <v>1258</v>
      </c>
      <c r="V1468" t="s">
        <v>1259</v>
      </c>
      <c r="W1468" t="s">
        <v>187</v>
      </c>
      <c r="Y1468" t="s">
        <v>51</v>
      </c>
      <c r="Z1468">
        <v>833</v>
      </c>
      <c r="AH1468">
        <v>0</v>
      </c>
      <c r="AI1468">
        <v>202505</v>
      </c>
      <c r="AJ1468" t="s">
        <v>86</v>
      </c>
      <c r="AK1468">
        <v>1</v>
      </c>
      <c r="AL1468">
        <v>1</v>
      </c>
      <c r="AO1468">
        <v>0</v>
      </c>
      <c r="AP1468" t="s">
        <v>3015</v>
      </c>
      <c r="AQ1468" t="s">
        <v>3044</v>
      </c>
      <c r="AR1468" t="s">
        <v>3045</v>
      </c>
      <c r="AS1468" t="s">
        <v>3046</v>
      </c>
      <c r="AU1468" t="s">
        <v>3046</v>
      </c>
    </row>
    <row r="1469" spans="1:47" x14ac:dyDescent="0.35">
      <c r="A1469">
        <v>348226</v>
      </c>
      <c r="B1469" t="s">
        <v>193</v>
      </c>
      <c r="C1469" t="s">
        <v>194</v>
      </c>
      <c r="D1469" s="2">
        <v>45799</v>
      </c>
      <c r="E1469">
        <v>53850</v>
      </c>
      <c r="F1469">
        <v>116</v>
      </c>
      <c r="G1469" t="s">
        <v>126</v>
      </c>
      <c r="H1469" t="s">
        <v>167</v>
      </c>
      <c r="I1469" t="s">
        <v>45</v>
      </c>
      <c r="K1469">
        <v>202505218000628</v>
      </c>
      <c r="L1469">
        <v>2343300010453</v>
      </c>
      <c r="M1469">
        <v>20250521</v>
      </c>
      <c r="N1469" t="s">
        <v>195</v>
      </c>
      <c r="Q1469" t="s">
        <v>47</v>
      </c>
      <c r="R1469">
        <v>153410.79999999999</v>
      </c>
      <c r="S1469">
        <v>153410.79999999999</v>
      </c>
      <c r="T1469">
        <v>4247777</v>
      </c>
      <c r="U1469">
        <v>233470236</v>
      </c>
      <c r="V1469" t="s">
        <v>206</v>
      </c>
      <c r="W1469" t="s">
        <v>49</v>
      </c>
      <c r="X1469" t="s">
        <v>117</v>
      </c>
      <c r="Y1469" t="s">
        <v>51</v>
      </c>
      <c r="Z1469">
        <v>1696</v>
      </c>
      <c r="AH1469">
        <v>0</v>
      </c>
      <c r="AI1469">
        <v>202505</v>
      </c>
      <c r="AJ1469" t="s">
        <v>114</v>
      </c>
      <c r="AK1469">
        <v>1</v>
      </c>
      <c r="AL1469">
        <v>1</v>
      </c>
      <c r="AM1469">
        <v>4247777</v>
      </c>
      <c r="AN1469">
        <v>1</v>
      </c>
      <c r="AO1469">
        <v>0</v>
      </c>
      <c r="AP1469" t="s">
        <v>3029</v>
      </c>
      <c r="AQ1469" t="s">
        <v>3012</v>
      </c>
      <c r="AR1469" t="s">
        <v>3030</v>
      </c>
      <c r="AS1469" t="s">
        <v>3014</v>
      </c>
      <c r="AU1469" t="s">
        <v>3014</v>
      </c>
    </row>
    <row r="1470" spans="1:47" x14ac:dyDescent="0.35">
      <c r="A1470">
        <v>348225</v>
      </c>
      <c r="B1470" t="s">
        <v>178</v>
      </c>
      <c r="C1470" t="s">
        <v>179</v>
      </c>
      <c r="D1470" s="2">
        <v>45799</v>
      </c>
      <c r="E1470">
        <v>53850</v>
      </c>
      <c r="F1470">
        <v>175</v>
      </c>
      <c r="G1470" t="s">
        <v>99</v>
      </c>
      <c r="H1470" t="s">
        <v>167</v>
      </c>
      <c r="I1470" t="s">
        <v>45</v>
      </c>
      <c r="K1470">
        <v>202505217998785</v>
      </c>
      <c r="L1470">
        <v>1753305636160</v>
      </c>
      <c r="M1470">
        <v>20250521</v>
      </c>
      <c r="N1470" t="s">
        <v>236</v>
      </c>
      <c r="P1470" t="s">
        <v>51</v>
      </c>
      <c r="Q1470" t="s">
        <v>170</v>
      </c>
      <c r="R1470">
        <v>366991.76</v>
      </c>
      <c r="S1470">
        <v>0</v>
      </c>
      <c r="T1470">
        <v>563616</v>
      </c>
      <c r="U1470">
        <v>55560775</v>
      </c>
      <c r="V1470" t="s">
        <v>856</v>
      </c>
      <c r="W1470" t="s">
        <v>49</v>
      </c>
      <c r="X1470" t="s">
        <v>110</v>
      </c>
      <c r="Y1470" t="s">
        <v>51</v>
      </c>
      <c r="Z1470">
        <v>739</v>
      </c>
      <c r="AH1470">
        <v>0</v>
      </c>
      <c r="AI1470">
        <v>202505</v>
      </c>
      <c r="AJ1470" t="s">
        <v>56</v>
      </c>
      <c r="AK1470">
        <v>0</v>
      </c>
      <c r="AL1470">
        <v>1</v>
      </c>
      <c r="AO1470">
        <v>0</v>
      </c>
      <c r="AP1470" t="s">
        <v>3026</v>
      </c>
      <c r="AQ1470" t="s">
        <v>3012</v>
      </c>
      <c r="AR1470" t="s">
        <v>3027</v>
      </c>
      <c r="AS1470" t="s">
        <v>3028</v>
      </c>
      <c r="AU1470" t="s">
        <v>3028</v>
      </c>
    </row>
    <row r="1471" spans="1:47" x14ac:dyDescent="0.35">
      <c r="A1471">
        <v>348224</v>
      </c>
      <c r="B1471" t="s">
        <v>178</v>
      </c>
      <c r="C1471" t="s">
        <v>179</v>
      </c>
      <c r="D1471" s="2">
        <v>45799</v>
      </c>
      <c r="E1471">
        <v>53850</v>
      </c>
      <c r="F1471">
        <v>122</v>
      </c>
      <c r="G1471" t="s">
        <v>43</v>
      </c>
      <c r="H1471" t="s">
        <v>167</v>
      </c>
      <c r="I1471" t="s">
        <v>45</v>
      </c>
      <c r="K1471" t="s">
        <v>1620</v>
      </c>
      <c r="L1471">
        <v>1223300001984</v>
      </c>
      <c r="M1471">
        <v>20250521</v>
      </c>
      <c r="N1471" t="s">
        <v>3136</v>
      </c>
      <c r="Q1471" t="s">
        <v>170</v>
      </c>
      <c r="R1471">
        <v>1177.48</v>
      </c>
      <c r="S1471">
        <v>0</v>
      </c>
      <c r="T1471">
        <v>4682230</v>
      </c>
      <c r="U1471" t="s">
        <v>1621</v>
      </c>
      <c r="V1471" t="s">
        <v>1622</v>
      </c>
      <c r="W1471" t="s">
        <v>187</v>
      </c>
      <c r="Y1471" t="s">
        <v>51</v>
      </c>
      <c r="Z1471">
        <v>1566</v>
      </c>
      <c r="AH1471">
        <v>0</v>
      </c>
      <c r="AI1471">
        <v>202505</v>
      </c>
      <c r="AJ1471" t="s">
        <v>86</v>
      </c>
      <c r="AK1471">
        <v>1</v>
      </c>
      <c r="AL1471">
        <v>1</v>
      </c>
      <c r="AO1471">
        <v>1</v>
      </c>
      <c r="AP1471" t="s">
        <v>3015</v>
      </c>
      <c r="AQ1471" t="s">
        <v>3044</v>
      </c>
      <c r="AR1471" t="s">
        <v>3045</v>
      </c>
      <c r="AS1471" t="s">
        <v>3046</v>
      </c>
      <c r="AU1471" t="s">
        <v>3046</v>
      </c>
    </row>
    <row r="1472" spans="1:47" x14ac:dyDescent="0.35">
      <c r="A1472">
        <v>348223</v>
      </c>
      <c r="B1472" t="s">
        <v>178</v>
      </c>
      <c r="C1472" t="s">
        <v>179</v>
      </c>
      <c r="D1472" s="2">
        <v>45799</v>
      </c>
      <c r="E1472">
        <v>53850</v>
      </c>
      <c r="F1472">
        <v>191</v>
      </c>
      <c r="G1472" t="s">
        <v>102</v>
      </c>
      <c r="H1472" t="s">
        <v>167</v>
      </c>
      <c r="I1472" t="s">
        <v>45</v>
      </c>
      <c r="K1472">
        <v>202505218001044</v>
      </c>
      <c r="L1472">
        <v>1913300068760</v>
      </c>
      <c r="M1472">
        <v>20250521</v>
      </c>
      <c r="N1472" t="s">
        <v>3136</v>
      </c>
      <c r="Q1472" t="s">
        <v>170</v>
      </c>
      <c r="R1472">
        <v>120110.85</v>
      </c>
      <c r="S1472">
        <v>0</v>
      </c>
      <c r="T1472">
        <v>3099802</v>
      </c>
      <c r="U1472" t="s">
        <v>1623</v>
      </c>
      <c r="V1472" t="s">
        <v>1624</v>
      </c>
      <c r="W1472" t="s">
        <v>187</v>
      </c>
      <c r="Y1472" t="s">
        <v>51</v>
      </c>
      <c r="Z1472">
        <v>952</v>
      </c>
      <c r="AH1472">
        <v>0</v>
      </c>
      <c r="AI1472">
        <v>202505</v>
      </c>
      <c r="AJ1472" t="s">
        <v>86</v>
      </c>
      <c r="AK1472">
        <v>1</v>
      </c>
      <c r="AL1472">
        <v>1</v>
      </c>
      <c r="AO1472">
        <v>1</v>
      </c>
      <c r="AP1472" t="s">
        <v>3015</v>
      </c>
      <c r="AQ1472" t="s">
        <v>3044</v>
      </c>
      <c r="AR1472" t="s">
        <v>3045</v>
      </c>
      <c r="AS1472" t="s">
        <v>3046</v>
      </c>
      <c r="AU1472" t="s">
        <v>3046</v>
      </c>
    </row>
    <row r="1473" spans="1:47" x14ac:dyDescent="0.35">
      <c r="A1473">
        <v>348222</v>
      </c>
      <c r="B1473" t="s">
        <v>193</v>
      </c>
      <c r="C1473" t="s">
        <v>194</v>
      </c>
      <c r="D1473" s="2">
        <v>45799</v>
      </c>
      <c r="E1473">
        <v>53850</v>
      </c>
      <c r="F1473">
        <v>171</v>
      </c>
      <c r="G1473" t="s">
        <v>198</v>
      </c>
      <c r="H1473" t="s">
        <v>167</v>
      </c>
      <c r="I1473" t="s">
        <v>45</v>
      </c>
      <c r="K1473" t="s">
        <v>1618</v>
      </c>
      <c r="L1473">
        <v>1713305728950</v>
      </c>
      <c r="M1473">
        <v>20250521</v>
      </c>
      <c r="N1473" t="s">
        <v>195</v>
      </c>
      <c r="Q1473" t="s">
        <v>47</v>
      </c>
      <c r="R1473">
        <v>411980.15</v>
      </c>
      <c r="S1473">
        <v>411980.15</v>
      </c>
      <c r="T1473">
        <v>572895</v>
      </c>
      <c r="U1473">
        <v>4161600723</v>
      </c>
      <c r="V1473" t="s">
        <v>199</v>
      </c>
      <c r="W1473" t="s">
        <v>49</v>
      </c>
      <c r="X1473" t="s">
        <v>200</v>
      </c>
      <c r="Y1473" t="s">
        <v>51</v>
      </c>
      <c r="Z1473">
        <v>1903</v>
      </c>
      <c r="AH1473">
        <v>0</v>
      </c>
      <c r="AI1473">
        <v>202505</v>
      </c>
      <c r="AJ1473" t="s">
        <v>86</v>
      </c>
      <c r="AK1473">
        <v>1</v>
      </c>
      <c r="AL1473">
        <v>1</v>
      </c>
      <c r="AM1473">
        <v>572895</v>
      </c>
      <c r="AN1473">
        <v>1</v>
      </c>
      <c r="AO1473">
        <v>0</v>
      </c>
      <c r="AP1473" t="s">
        <v>3015</v>
      </c>
      <c r="AQ1473" t="s">
        <v>3012</v>
      </c>
      <c r="AR1473" t="s">
        <v>3016</v>
      </c>
      <c r="AT1473" t="s">
        <v>3017</v>
      </c>
      <c r="AU1473" t="s">
        <v>3018</v>
      </c>
    </row>
    <row r="1474" spans="1:47" x14ac:dyDescent="0.35">
      <c r="A1474">
        <v>348221</v>
      </c>
      <c r="B1474" t="s">
        <v>172</v>
      </c>
      <c r="C1474" t="s">
        <v>173</v>
      </c>
      <c r="D1474" s="2">
        <v>45799</v>
      </c>
      <c r="E1474">
        <v>53850</v>
      </c>
      <c r="F1474">
        <v>108</v>
      </c>
      <c r="G1474" t="s">
        <v>124</v>
      </c>
      <c r="H1474" t="s">
        <v>167</v>
      </c>
      <c r="I1474" t="s">
        <v>45</v>
      </c>
      <c r="K1474">
        <v>202505218000783</v>
      </c>
      <c r="L1474">
        <v>1083305068340</v>
      </c>
      <c r="M1474">
        <v>20250521</v>
      </c>
      <c r="N1474" t="s">
        <v>231</v>
      </c>
      <c r="Q1474" t="s">
        <v>47</v>
      </c>
      <c r="R1474">
        <v>100000</v>
      </c>
      <c r="S1474">
        <v>0</v>
      </c>
      <c r="T1474">
        <v>506834</v>
      </c>
      <c r="U1474" t="s">
        <v>1625</v>
      </c>
      <c r="V1474" t="s">
        <v>1626</v>
      </c>
      <c r="W1474" t="s">
        <v>342</v>
      </c>
      <c r="X1474" t="s">
        <v>364</v>
      </c>
      <c r="Y1474" t="s">
        <v>51</v>
      </c>
      <c r="Z1474">
        <v>1118</v>
      </c>
      <c r="AH1474">
        <v>0</v>
      </c>
      <c r="AI1474">
        <v>202505</v>
      </c>
      <c r="AJ1474" t="s">
        <v>86</v>
      </c>
      <c r="AK1474">
        <v>1</v>
      </c>
      <c r="AL1474">
        <v>1</v>
      </c>
      <c r="AO1474">
        <v>0</v>
      </c>
      <c r="AP1474" t="s">
        <v>3015</v>
      </c>
      <c r="AQ1474" t="s">
        <v>3060</v>
      </c>
      <c r="AR1474" t="s">
        <v>3061</v>
      </c>
      <c r="AT1474" t="s">
        <v>3017</v>
      </c>
      <c r="AU1474" t="s">
        <v>3014</v>
      </c>
    </row>
    <row r="1475" spans="1:47" x14ac:dyDescent="0.35">
      <c r="A1475">
        <v>348220</v>
      </c>
      <c r="B1475" t="s">
        <v>172</v>
      </c>
      <c r="C1475" t="s">
        <v>173</v>
      </c>
      <c r="D1475" s="2">
        <v>45799</v>
      </c>
      <c r="E1475">
        <v>53850</v>
      </c>
      <c r="F1475">
        <v>171</v>
      </c>
      <c r="G1475" t="s">
        <v>198</v>
      </c>
      <c r="H1475" t="s">
        <v>167</v>
      </c>
      <c r="I1475" t="s">
        <v>45</v>
      </c>
      <c r="K1475" t="s">
        <v>1618</v>
      </c>
      <c r="L1475">
        <v>1713305728950</v>
      </c>
      <c r="M1475">
        <v>20250521</v>
      </c>
      <c r="N1475" t="s">
        <v>195</v>
      </c>
      <c r="Q1475" t="s">
        <v>47</v>
      </c>
      <c r="R1475">
        <v>411980.15</v>
      </c>
      <c r="S1475">
        <v>411980.15</v>
      </c>
      <c r="T1475">
        <v>572895</v>
      </c>
      <c r="U1475">
        <v>4161600723</v>
      </c>
      <c r="V1475" t="s">
        <v>199</v>
      </c>
      <c r="W1475" t="s">
        <v>49</v>
      </c>
      <c r="X1475" t="s">
        <v>200</v>
      </c>
      <c r="Y1475" t="s">
        <v>51</v>
      </c>
      <c r="Z1475">
        <v>1903</v>
      </c>
      <c r="AH1475">
        <v>0</v>
      </c>
      <c r="AI1475">
        <v>202505</v>
      </c>
      <c r="AJ1475" t="s">
        <v>86</v>
      </c>
      <c r="AK1475">
        <v>1</v>
      </c>
      <c r="AL1475">
        <v>1</v>
      </c>
      <c r="AM1475">
        <v>572895</v>
      </c>
      <c r="AN1475">
        <v>1</v>
      </c>
      <c r="AO1475">
        <v>0</v>
      </c>
      <c r="AP1475" t="s">
        <v>3015</v>
      </c>
      <c r="AQ1475" t="s">
        <v>3012</v>
      </c>
      <c r="AR1475" t="s">
        <v>3016</v>
      </c>
      <c r="AT1475" t="s">
        <v>3017</v>
      </c>
      <c r="AU1475" t="s">
        <v>3018</v>
      </c>
    </row>
    <row r="1476" spans="1:47" x14ac:dyDescent="0.35">
      <c r="A1476">
        <v>348219</v>
      </c>
      <c r="B1476" t="s">
        <v>178</v>
      </c>
      <c r="C1476" t="s">
        <v>179</v>
      </c>
      <c r="D1476" s="2">
        <v>45799</v>
      </c>
      <c r="E1476">
        <v>53850</v>
      </c>
      <c r="F1476">
        <v>110</v>
      </c>
      <c r="G1476" t="s">
        <v>230</v>
      </c>
      <c r="H1476" t="s">
        <v>167</v>
      </c>
      <c r="I1476" t="s">
        <v>45</v>
      </c>
      <c r="K1476">
        <v>202505218000710</v>
      </c>
      <c r="L1476">
        <v>1103306285611</v>
      </c>
      <c r="M1476">
        <v>20250521</v>
      </c>
      <c r="N1476" t="s">
        <v>3136</v>
      </c>
      <c r="Q1476" t="s">
        <v>170</v>
      </c>
      <c r="R1476">
        <v>40771.61</v>
      </c>
      <c r="S1476">
        <v>0</v>
      </c>
      <c r="T1476">
        <v>537815</v>
      </c>
      <c r="U1476" t="s">
        <v>1627</v>
      </c>
      <c r="V1476" t="s">
        <v>1628</v>
      </c>
      <c r="W1476" t="s">
        <v>187</v>
      </c>
      <c r="Y1476" t="s">
        <v>51</v>
      </c>
      <c r="Z1476">
        <v>458</v>
      </c>
      <c r="AH1476">
        <v>0</v>
      </c>
      <c r="AI1476">
        <v>202505</v>
      </c>
      <c r="AJ1476" t="s">
        <v>52</v>
      </c>
      <c r="AK1476">
        <v>0</v>
      </c>
      <c r="AL1476">
        <v>1</v>
      </c>
      <c r="AO1476">
        <v>1</v>
      </c>
      <c r="AP1476" t="s">
        <v>3015</v>
      </c>
      <c r="AQ1476" t="s">
        <v>3044</v>
      </c>
      <c r="AR1476" t="s">
        <v>3045</v>
      </c>
      <c r="AS1476" t="s">
        <v>3046</v>
      </c>
      <c r="AU1476" t="s">
        <v>3046</v>
      </c>
    </row>
    <row r="1477" spans="1:47" x14ac:dyDescent="0.35">
      <c r="A1477">
        <v>348218</v>
      </c>
      <c r="B1477" t="s">
        <v>172</v>
      </c>
      <c r="C1477" t="s">
        <v>173</v>
      </c>
      <c r="D1477" s="2">
        <v>45799</v>
      </c>
      <c r="E1477">
        <v>53850</v>
      </c>
      <c r="F1477">
        <v>116</v>
      </c>
      <c r="G1477" t="s">
        <v>126</v>
      </c>
      <c r="H1477" t="s">
        <v>167</v>
      </c>
      <c r="I1477" t="s">
        <v>45</v>
      </c>
      <c r="K1477">
        <v>202505218000628</v>
      </c>
      <c r="L1477">
        <v>2343300010453</v>
      </c>
      <c r="M1477">
        <v>20250521</v>
      </c>
      <c r="N1477" t="s">
        <v>195</v>
      </c>
      <c r="Q1477" t="s">
        <v>47</v>
      </c>
      <c r="R1477">
        <v>153410.79999999999</v>
      </c>
      <c r="S1477">
        <v>153410.79999999999</v>
      </c>
      <c r="T1477">
        <v>4247777</v>
      </c>
      <c r="U1477">
        <v>233470236</v>
      </c>
      <c r="V1477" t="s">
        <v>206</v>
      </c>
      <c r="W1477" t="s">
        <v>49</v>
      </c>
      <c r="X1477" t="s">
        <v>117</v>
      </c>
      <c r="Y1477" t="s">
        <v>51</v>
      </c>
      <c r="Z1477">
        <v>1696</v>
      </c>
      <c r="AH1477">
        <v>0</v>
      </c>
      <c r="AI1477">
        <v>202505</v>
      </c>
      <c r="AJ1477" t="s">
        <v>114</v>
      </c>
      <c r="AK1477">
        <v>1</v>
      </c>
      <c r="AL1477">
        <v>1</v>
      </c>
      <c r="AM1477">
        <v>4247777</v>
      </c>
      <c r="AN1477">
        <v>1</v>
      </c>
      <c r="AO1477">
        <v>0</v>
      </c>
      <c r="AP1477" t="s">
        <v>3029</v>
      </c>
      <c r="AQ1477" t="s">
        <v>3012</v>
      </c>
      <c r="AR1477" t="s">
        <v>3030</v>
      </c>
      <c r="AS1477" t="s">
        <v>3014</v>
      </c>
      <c r="AU1477" t="s">
        <v>3014</v>
      </c>
    </row>
    <row r="1478" spans="1:47" x14ac:dyDescent="0.35">
      <c r="A1478">
        <v>348217</v>
      </c>
      <c r="B1478" t="s">
        <v>178</v>
      </c>
      <c r="C1478" t="s">
        <v>179</v>
      </c>
      <c r="D1478" s="2">
        <v>45799</v>
      </c>
      <c r="E1478">
        <v>53850</v>
      </c>
      <c r="F1478">
        <v>105</v>
      </c>
      <c r="G1478" t="s">
        <v>60</v>
      </c>
      <c r="H1478" t="s">
        <v>167</v>
      </c>
      <c r="I1478" t="s">
        <v>45</v>
      </c>
      <c r="K1478">
        <v>202505217999489</v>
      </c>
      <c r="L1478">
        <v>1053306288710</v>
      </c>
      <c r="M1478">
        <v>20250521</v>
      </c>
      <c r="N1478" t="s">
        <v>46</v>
      </c>
      <c r="P1478" t="s">
        <v>51</v>
      </c>
      <c r="Q1478" t="s">
        <v>47</v>
      </c>
      <c r="R1478">
        <v>306973.39</v>
      </c>
      <c r="S1478">
        <v>0</v>
      </c>
      <c r="T1478">
        <v>522982</v>
      </c>
      <c r="U1478" t="s">
        <v>1258</v>
      </c>
      <c r="V1478" t="s">
        <v>1259</v>
      </c>
      <c r="W1478" t="s">
        <v>187</v>
      </c>
      <c r="Y1478" t="s">
        <v>51</v>
      </c>
      <c r="Z1478">
        <v>833</v>
      </c>
      <c r="AH1478">
        <v>0</v>
      </c>
      <c r="AI1478">
        <v>202505</v>
      </c>
      <c r="AJ1478" t="s">
        <v>86</v>
      </c>
      <c r="AK1478">
        <v>1</v>
      </c>
      <c r="AL1478">
        <v>1</v>
      </c>
      <c r="AO1478">
        <v>0</v>
      </c>
      <c r="AP1478" t="s">
        <v>3015</v>
      </c>
      <c r="AQ1478" t="s">
        <v>3044</v>
      </c>
      <c r="AR1478" t="s">
        <v>3045</v>
      </c>
      <c r="AS1478" t="s">
        <v>3046</v>
      </c>
      <c r="AU1478" t="s">
        <v>3046</v>
      </c>
    </row>
    <row r="1479" spans="1:47" x14ac:dyDescent="0.35">
      <c r="A1479">
        <v>348216</v>
      </c>
      <c r="B1479" t="s">
        <v>172</v>
      </c>
      <c r="C1479" t="s">
        <v>173</v>
      </c>
      <c r="D1479" s="2">
        <v>45799</v>
      </c>
      <c r="E1479">
        <v>53850</v>
      </c>
      <c r="F1479">
        <v>171</v>
      </c>
      <c r="G1479" t="s">
        <v>198</v>
      </c>
      <c r="H1479" t="s">
        <v>167</v>
      </c>
      <c r="I1479" t="s">
        <v>45</v>
      </c>
      <c r="K1479" t="s">
        <v>1618</v>
      </c>
      <c r="L1479">
        <v>1713302214147</v>
      </c>
      <c r="M1479">
        <v>20250521</v>
      </c>
      <c r="N1479" t="s">
        <v>195</v>
      </c>
      <c r="Q1479" t="s">
        <v>47</v>
      </c>
      <c r="R1479">
        <v>178460</v>
      </c>
      <c r="S1479">
        <v>178460</v>
      </c>
      <c r="T1479">
        <v>4199319</v>
      </c>
      <c r="U1479">
        <v>6037810725</v>
      </c>
      <c r="V1479" t="s">
        <v>1144</v>
      </c>
      <c r="W1479" t="s">
        <v>49</v>
      </c>
      <c r="X1479" t="s">
        <v>200</v>
      </c>
      <c r="Y1479" t="s">
        <v>51</v>
      </c>
      <c r="Z1479">
        <v>1903</v>
      </c>
      <c r="AH1479">
        <v>0</v>
      </c>
      <c r="AI1479">
        <v>202505</v>
      </c>
      <c r="AJ1479" t="s">
        <v>86</v>
      </c>
      <c r="AK1479">
        <v>1</v>
      </c>
      <c r="AL1479">
        <v>1</v>
      </c>
      <c r="AM1479">
        <v>4199319</v>
      </c>
      <c r="AN1479">
        <v>1</v>
      </c>
      <c r="AO1479">
        <v>0</v>
      </c>
      <c r="AP1479" t="s">
        <v>3015</v>
      </c>
      <c r="AQ1479" t="s">
        <v>3012</v>
      </c>
      <c r="AR1479" t="s">
        <v>3016</v>
      </c>
      <c r="AT1479" t="s">
        <v>3017</v>
      </c>
      <c r="AU1479" t="s">
        <v>3018</v>
      </c>
    </row>
    <row r="1480" spans="1:47" x14ac:dyDescent="0.35">
      <c r="A1480">
        <v>348215</v>
      </c>
      <c r="B1480" t="s">
        <v>193</v>
      </c>
      <c r="C1480" t="s">
        <v>194</v>
      </c>
      <c r="D1480" s="2">
        <v>45799</v>
      </c>
      <c r="E1480">
        <v>53850</v>
      </c>
      <c r="F1480">
        <v>171</v>
      </c>
      <c r="G1480" t="s">
        <v>198</v>
      </c>
      <c r="H1480" t="s">
        <v>167</v>
      </c>
      <c r="I1480" t="s">
        <v>45</v>
      </c>
      <c r="K1480" t="s">
        <v>1618</v>
      </c>
      <c r="L1480">
        <v>1713302214147</v>
      </c>
      <c r="M1480">
        <v>20250521</v>
      </c>
      <c r="N1480" t="s">
        <v>195</v>
      </c>
      <c r="Q1480" t="s">
        <v>47</v>
      </c>
      <c r="R1480">
        <v>178460</v>
      </c>
      <c r="S1480">
        <v>178460</v>
      </c>
      <c r="T1480">
        <v>4199319</v>
      </c>
      <c r="U1480">
        <v>6037810725</v>
      </c>
      <c r="V1480" t="s">
        <v>1144</v>
      </c>
      <c r="W1480" t="s">
        <v>49</v>
      </c>
      <c r="X1480" t="s">
        <v>200</v>
      </c>
      <c r="Y1480" t="s">
        <v>51</v>
      </c>
      <c r="Z1480">
        <v>1903</v>
      </c>
      <c r="AH1480">
        <v>0</v>
      </c>
      <c r="AI1480">
        <v>202505</v>
      </c>
      <c r="AJ1480" t="s">
        <v>86</v>
      </c>
      <c r="AK1480">
        <v>1</v>
      </c>
      <c r="AL1480">
        <v>1</v>
      </c>
      <c r="AM1480">
        <v>4199319</v>
      </c>
      <c r="AN1480">
        <v>1</v>
      </c>
      <c r="AO1480">
        <v>0</v>
      </c>
      <c r="AP1480" t="s">
        <v>3015</v>
      </c>
      <c r="AQ1480" t="s">
        <v>3012</v>
      </c>
      <c r="AR1480" t="s">
        <v>3016</v>
      </c>
      <c r="AT1480" t="s">
        <v>3017</v>
      </c>
      <c r="AU1480" t="s">
        <v>3018</v>
      </c>
    </row>
    <row r="1481" spans="1:47" x14ac:dyDescent="0.35">
      <c r="A1481">
        <v>348214</v>
      </c>
      <c r="B1481" t="s">
        <v>333</v>
      </c>
      <c r="C1481" t="s">
        <v>334</v>
      </c>
      <c r="D1481" s="2">
        <v>45799</v>
      </c>
      <c r="E1481">
        <v>53850</v>
      </c>
      <c r="F1481">
        <v>99</v>
      </c>
      <c r="G1481" t="s">
        <v>335</v>
      </c>
      <c r="H1481" t="s">
        <v>167</v>
      </c>
      <c r="I1481" t="s">
        <v>45</v>
      </c>
      <c r="K1481">
        <v>202505218000711</v>
      </c>
      <c r="M1481">
        <v>20250521</v>
      </c>
      <c r="N1481" t="s">
        <v>3136</v>
      </c>
      <c r="Q1481" t="s">
        <v>170</v>
      </c>
      <c r="R1481">
        <v>40771.61</v>
      </c>
      <c r="S1481">
        <v>0</v>
      </c>
      <c r="T1481">
        <v>537815</v>
      </c>
      <c r="U1481" t="s">
        <v>1627</v>
      </c>
      <c r="V1481" t="s">
        <v>1628</v>
      </c>
      <c r="W1481" t="s">
        <v>187</v>
      </c>
      <c r="Y1481" t="s">
        <v>51</v>
      </c>
      <c r="Z1481">
        <v>458</v>
      </c>
      <c r="AH1481">
        <v>0</v>
      </c>
      <c r="AI1481">
        <v>202505</v>
      </c>
      <c r="AJ1481" t="s">
        <v>52</v>
      </c>
      <c r="AK1481">
        <v>0</v>
      </c>
      <c r="AL1481">
        <v>0</v>
      </c>
      <c r="AO1481">
        <v>1</v>
      </c>
      <c r="AP1481" t="s">
        <v>3015</v>
      </c>
      <c r="AQ1481" t="s">
        <v>3044</v>
      </c>
      <c r="AR1481" t="s">
        <v>3045</v>
      </c>
      <c r="AS1481" t="s">
        <v>3046</v>
      </c>
      <c r="AU1481" t="s">
        <v>3046</v>
      </c>
    </row>
    <row r="1482" spans="1:47" x14ac:dyDescent="0.35">
      <c r="A1482">
        <v>348213</v>
      </c>
      <c r="B1482" t="s">
        <v>178</v>
      </c>
      <c r="C1482" t="s">
        <v>179</v>
      </c>
      <c r="D1482" s="2">
        <v>45799</v>
      </c>
      <c r="E1482">
        <v>53850</v>
      </c>
      <c r="F1482">
        <v>110</v>
      </c>
      <c r="G1482" t="s">
        <v>230</v>
      </c>
      <c r="H1482" t="s">
        <v>167</v>
      </c>
      <c r="I1482" t="s">
        <v>45</v>
      </c>
      <c r="K1482">
        <v>202505218000807</v>
      </c>
      <c r="L1482">
        <v>1103306286918</v>
      </c>
      <c r="M1482">
        <v>20250521</v>
      </c>
      <c r="N1482" t="s">
        <v>1002</v>
      </c>
      <c r="Q1482" t="s">
        <v>47</v>
      </c>
      <c r="R1482">
        <v>162000</v>
      </c>
      <c r="S1482">
        <v>0</v>
      </c>
      <c r="T1482">
        <v>469616</v>
      </c>
      <c r="U1482" t="s">
        <v>1459</v>
      </c>
      <c r="V1482" t="s">
        <v>1460</v>
      </c>
      <c r="W1482" t="s">
        <v>187</v>
      </c>
      <c r="Y1482" t="s">
        <v>51</v>
      </c>
      <c r="Z1482">
        <v>458</v>
      </c>
      <c r="AH1482">
        <v>0</v>
      </c>
      <c r="AI1482">
        <v>202505</v>
      </c>
      <c r="AJ1482" t="s">
        <v>52</v>
      </c>
      <c r="AK1482">
        <v>0</v>
      </c>
      <c r="AL1482">
        <v>1</v>
      </c>
      <c r="AO1482">
        <v>0</v>
      </c>
      <c r="AP1482" t="s">
        <v>3015</v>
      </c>
      <c r="AQ1482" t="s">
        <v>3044</v>
      </c>
      <c r="AR1482" t="s">
        <v>3045</v>
      </c>
      <c r="AS1482" t="s">
        <v>3046</v>
      </c>
      <c r="AU1482" t="s">
        <v>3046</v>
      </c>
    </row>
    <row r="1483" spans="1:47" x14ac:dyDescent="0.35">
      <c r="A1483">
        <v>348212</v>
      </c>
      <c r="B1483" t="s">
        <v>164</v>
      </c>
      <c r="C1483" t="s">
        <v>165</v>
      </c>
      <c r="D1483" s="2">
        <v>45799</v>
      </c>
      <c r="E1483">
        <v>53850</v>
      </c>
      <c r="F1483">
        <v>103</v>
      </c>
      <c r="G1483" t="s">
        <v>80</v>
      </c>
      <c r="H1483" t="s">
        <v>167</v>
      </c>
      <c r="I1483" t="s">
        <v>45</v>
      </c>
      <c r="K1483" t="s">
        <v>1629</v>
      </c>
      <c r="L1483">
        <v>1033301641631</v>
      </c>
      <c r="M1483">
        <v>20250521</v>
      </c>
      <c r="N1483" t="s">
        <v>168</v>
      </c>
      <c r="P1483" t="s">
        <v>255</v>
      </c>
      <c r="Q1483" t="s">
        <v>47</v>
      </c>
      <c r="R1483">
        <v>1312.85</v>
      </c>
      <c r="S1483">
        <v>0</v>
      </c>
      <c r="T1483">
        <v>164163</v>
      </c>
      <c r="U1483">
        <v>3485840726</v>
      </c>
      <c r="V1483" t="s">
        <v>983</v>
      </c>
      <c r="W1483" t="s">
        <v>49</v>
      </c>
      <c r="X1483" t="s">
        <v>984</v>
      </c>
      <c r="Y1483" t="s">
        <v>51</v>
      </c>
      <c r="Z1483">
        <v>1274</v>
      </c>
      <c r="AH1483">
        <v>0</v>
      </c>
      <c r="AI1483">
        <v>202505</v>
      </c>
      <c r="AJ1483" t="s">
        <v>86</v>
      </c>
      <c r="AK1483">
        <v>1</v>
      </c>
      <c r="AL1483">
        <v>1</v>
      </c>
      <c r="AO1483">
        <v>0</v>
      </c>
      <c r="AP1483" t="s">
        <v>3096</v>
      </c>
      <c r="AQ1483" t="s">
        <v>3012</v>
      </c>
      <c r="AR1483" t="s">
        <v>3097</v>
      </c>
      <c r="AS1483" t="s">
        <v>3014</v>
      </c>
      <c r="AU1483" t="s">
        <v>3014</v>
      </c>
    </row>
    <row r="1484" spans="1:47" x14ac:dyDescent="0.35">
      <c r="A1484">
        <v>348211</v>
      </c>
      <c r="B1484" t="s">
        <v>193</v>
      </c>
      <c r="C1484" t="s">
        <v>194</v>
      </c>
      <c r="D1484" s="2">
        <v>45799</v>
      </c>
      <c r="E1484">
        <v>53850</v>
      </c>
      <c r="F1484">
        <v>102</v>
      </c>
      <c r="G1484" t="s">
        <v>151</v>
      </c>
      <c r="H1484" t="s">
        <v>167</v>
      </c>
      <c r="I1484" t="s">
        <v>45</v>
      </c>
      <c r="K1484">
        <v>202505218000339</v>
      </c>
      <c r="L1484">
        <v>1023308722503</v>
      </c>
      <c r="M1484">
        <v>20250521</v>
      </c>
      <c r="N1484" t="s">
        <v>195</v>
      </c>
      <c r="Q1484" t="s">
        <v>47</v>
      </c>
      <c r="R1484">
        <v>27000</v>
      </c>
      <c r="S1484">
        <v>27000</v>
      </c>
      <c r="T1484">
        <v>413650</v>
      </c>
      <c r="U1484">
        <v>3657230722</v>
      </c>
      <c r="V1484" t="s">
        <v>196</v>
      </c>
      <c r="W1484" t="s">
        <v>190</v>
      </c>
      <c r="X1484" t="s">
        <v>197</v>
      </c>
      <c r="Y1484" t="s">
        <v>51</v>
      </c>
      <c r="Z1484">
        <v>1306</v>
      </c>
      <c r="AH1484">
        <v>0</v>
      </c>
      <c r="AI1484">
        <v>202505</v>
      </c>
      <c r="AJ1484" t="s">
        <v>56</v>
      </c>
      <c r="AK1484">
        <v>0</v>
      </c>
      <c r="AL1484">
        <v>1</v>
      </c>
      <c r="AM1484">
        <v>413650</v>
      </c>
      <c r="AN1484">
        <v>1</v>
      </c>
      <c r="AO1484">
        <v>0</v>
      </c>
      <c r="AP1484" t="s">
        <v>3050</v>
      </c>
      <c r="AQ1484" t="s">
        <v>3047</v>
      </c>
      <c r="AR1484" t="s">
        <v>3051</v>
      </c>
      <c r="AS1484" t="s">
        <v>3049</v>
      </c>
      <c r="AU1484" t="s">
        <v>3049</v>
      </c>
    </row>
    <row r="1485" spans="1:47" x14ac:dyDescent="0.35">
      <c r="A1485">
        <v>348210</v>
      </c>
      <c r="B1485" t="s">
        <v>333</v>
      </c>
      <c r="C1485" t="s">
        <v>334</v>
      </c>
      <c r="D1485" s="2">
        <v>45799</v>
      </c>
      <c r="E1485">
        <v>53850</v>
      </c>
      <c r="F1485">
        <v>122</v>
      </c>
      <c r="G1485" t="s">
        <v>43</v>
      </c>
      <c r="H1485" t="s">
        <v>167</v>
      </c>
      <c r="I1485" t="s">
        <v>45</v>
      </c>
      <c r="K1485" t="s">
        <v>1630</v>
      </c>
      <c r="M1485">
        <v>20250521</v>
      </c>
      <c r="N1485" t="s">
        <v>3136</v>
      </c>
      <c r="Q1485" t="s">
        <v>170</v>
      </c>
      <c r="R1485">
        <v>1177.48</v>
      </c>
      <c r="S1485">
        <v>0</v>
      </c>
      <c r="T1485">
        <v>4682230</v>
      </c>
      <c r="U1485" t="s">
        <v>1621</v>
      </c>
      <c r="V1485" t="s">
        <v>1622</v>
      </c>
      <c r="W1485" t="s">
        <v>187</v>
      </c>
      <c r="Y1485" t="s">
        <v>51</v>
      </c>
      <c r="Z1485">
        <v>1566</v>
      </c>
      <c r="AH1485">
        <v>0</v>
      </c>
      <c r="AI1485">
        <v>202505</v>
      </c>
      <c r="AJ1485" t="s">
        <v>86</v>
      </c>
      <c r="AK1485">
        <v>1</v>
      </c>
      <c r="AL1485">
        <v>0</v>
      </c>
      <c r="AO1485">
        <v>1</v>
      </c>
      <c r="AP1485" t="s">
        <v>3015</v>
      </c>
      <c r="AQ1485" t="s">
        <v>3044</v>
      </c>
      <c r="AR1485" t="s">
        <v>3045</v>
      </c>
      <c r="AS1485" t="s">
        <v>3046</v>
      </c>
      <c r="AU1485" t="s">
        <v>3046</v>
      </c>
    </row>
    <row r="1486" spans="1:47" x14ac:dyDescent="0.35">
      <c r="A1486">
        <v>348209</v>
      </c>
      <c r="B1486" t="s">
        <v>193</v>
      </c>
      <c r="C1486" t="s">
        <v>194</v>
      </c>
      <c r="D1486" s="2">
        <v>45799</v>
      </c>
      <c r="E1486">
        <v>53850</v>
      </c>
      <c r="F1486">
        <v>287</v>
      </c>
      <c r="G1486" t="s">
        <v>707</v>
      </c>
      <c r="H1486" t="s">
        <v>167</v>
      </c>
      <c r="I1486" t="s">
        <v>45</v>
      </c>
      <c r="K1486" t="s">
        <v>1618</v>
      </c>
      <c r="L1486">
        <v>2873300001853</v>
      </c>
      <c r="M1486">
        <v>20250521</v>
      </c>
      <c r="N1486" t="s">
        <v>175</v>
      </c>
      <c r="Q1486" t="s">
        <v>47</v>
      </c>
      <c r="R1486">
        <v>62749.43</v>
      </c>
      <c r="S1486">
        <v>34440</v>
      </c>
      <c r="T1486">
        <v>3722213</v>
      </c>
      <c r="U1486">
        <v>2021570698</v>
      </c>
      <c r="V1486" t="s">
        <v>708</v>
      </c>
      <c r="W1486" t="s">
        <v>49</v>
      </c>
      <c r="X1486" t="s">
        <v>117</v>
      </c>
      <c r="Y1486" t="s">
        <v>51</v>
      </c>
      <c r="Z1486">
        <v>1877</v>
      </c>
      <c r="AH1486">
        <v>0</v>
      </c>
      <c r="AI1486">
        <v>202505</v>
      </c>
      <c r="AJ1486" t="s">
        <v>52</v>
      </c>
      <c r="AK1486">
        <v>0</v>
      </c>
      <c r="AL1486">
        <v>1</v>
      </c>
      <c r="AM1486">
        <v>3722213</v>
      </c>
      <c r="AN1486">
        <v>1</v>
      </c>
      <c r="AO1486">
        <v>1</v>
      </c>
      <c r="AP1486" t="s">
        <v>3029</v>
      </c>
      <c r="AQ1486" t="s">
        <v>3012</v>
      </c>
      <c r="AR1486" t="s">
        <v>3030</v>
      </c>
      <c r="AS1486" t="s">
        <v>3014</v>
      </c>
      <c r="AU1486" t="s">
        <v>3014</v>
      </c>
    </row>
    <row r="1487" spans="1:47" x14ac:dyDescent="0.35">
      <c r="A1487">
        <v>348208</v>
      </c>
      <c r="B1487" t="s">
        <v>178</v>
      </c>
      <c r="C1487" t="s">
        <v>179</v>
      </c>
      <c r="D1487" s="2">
        <v>45799</v>
      </c>
      <c r="E1487">
        <v>53850</v>
      </c>
      <c r="F1487">
        <v>175</v>
      </c>
      <c r="G1487" t="s">
        <v>99</v>
      </c>
      <c r="H1487" t="s">
        <v>167</v>
      </c>
      <c r="I1487" t="s">
        <v>45</v>
      </c>
      <c r="K1487">
        <v>202505217999321</v>
      </c>
      <c r="L1487">
        <v>1753302205349</v>
      </c>
      <c r="M1487">
        <v>20250521</v>
      </c>
      <c r="N1487" t="s">
        <v>46</v>
      </c>
      <c r="P1487" t="s">
        <v>51</v>
      </c>
      <c r="Q1487" t="s">
        <v>47</v>
      </c>
      <c r="R1487">
        <v>842689.95</v>
      </c>
      <c r="S1487">
        <v>0</v>
      </c>
      <c r="T1487">
        <v>3741362</v>
      </c>
      <c r="U1487" t="s">
        <v>1631</v>
      </c>
      <c r="V1487" t="s">
        <v>1632</v>
      </c>
      <c r="W1487" t="s">
        <v>187</v>
      </c>
      <c r="Y1487" t="s">
        <v>51</v>
      </c>
      <c r="Z1487">
        <v>1267</v>
      </c>
      <c r="AH1487">
        <v>0</v>
      </c>
      <c r="AI1487">
        <v>202505</v>
      </c>
      <c r="AJ1487" t="s">
        <v>86</v>
      </c>
      <c r="AK1487">
        <v>1</v>
      </c>
      <c r="AL1487">
        <v>1</v>
      </c>
      <c r="AO1487">
        <v>0</v>
      </c>
      <c r="AP1487" t="s">
        <v>3015</v>
      </c>
      <c r="AQ1487" t="s">
        <v>3044</v>
      </c>
      <c r="AR1487" t="s">
        <v>3045</v>
      </c>
      <c r="AS1487" t="s">
        <v>3046</v>
      </c>
      <c r="AU1487" t="s">
        <v>3046</v>
      </c>
    </row>
    <row r="1488" spans="1:47" x14ac:dyDescent="0.35">
      <c r="A1488">
        <v>348207</v>
      </c>
      <c r="B1488" t="s">
        <v>178</v>
      </c>
      <c r="C1488" t="s">
        <v>179</v>
      </c>
      <c r="D1488" s="2">
        <v>45798</v>
      </c>
      <c r="E1488">
        <v>53850</v>
      </c>
      <c r="F1488">
        <v>108</v>
      </c>
      <c r="G1488" t="s">
        <v>124</v>
      </c>
      <c r="H1488" t="s">
        <v>167</v>
      </c>
      <c r="I1488" t="s">
        <v>45</v>
      </c>
      <c r="K1488">
        <v>202505217997107</v>
      </c>
      <c r="L1488">
        <v>1085500039514</v>
      </c>
      <c r="M1488">
        <v>20250521</v>
      </c>
      <c r="N1488" t="s">
        <v>808</v>
      </c>
      <c r="Q1488" t="s">
        <v>47</v>
      </c>
      <c r="R1488">
        <v>171477.3</v>
      </c>
      <c r="S1488">
        <v>0</v>
      </c>
      <c r="T1488">
        <v>426147</v>
      </c>
      <c r="U1488" t="s">
        <v>1581</v>
      </c>
      <c r="V1488" t="s">
        <v>1582</v>
      </c>
      <c r="W1488" t="s">
        <v>187</v>
      </c>
      <c r="Y1488" t="s">
        <v>51</v>
      </c>
      <c r="AH1488">
        <v>0</v>
      </c>
      <c r="AI1488">
        <v>202505</v>
      </c>
      <c r="AJ1488" t="s">
        <v>86</v>
      </c>
      <c r="AK1488">
        <v>1</v>
      </c>
      <c r="AL1488">
        <v>1</v>
      </c>
      <c r="AO1488">
        <v>0</v>
      </c>
      <c r="AP1488" t="s">
        <v>3015</v>
      </c>
      <c r="AQ1488" t="s">
        <v>3044</v>
      </c>
      <c r="AR1488" t="s">
        <v>3045</v>
      </c>
      <c r="AS1488" t="s">
        <v>3046</v>
      </c>
      <c r="AU1488" t="s">
        <v>3046</v>
      </c>
    </row>
    <row r="1489" spans="1:47" x14ac:dyDescent="0.35">
      <c r="A1489">
        <v>348206</v>
      </c>
      <c r="B1489" t="s">
        <v>178</v>
      </c>
      <c r="C1489" t="s">
        <v>179</v>
      </c>
      <c r="D1489" s="2">
        <v>45798</v>
      </c>
      <c r="E1489">
        <v>53850</v>
      </c>
      <c r="F1489">
        <v>108</v>
      </c>
      <c r="G1489" t="s">
        <v>124</v>
      </c>
      <c r="H1489" t="s">
        <v>167</v>
      </c>
      <c r="I1489" t="s">
        <v>45</v>
      </c>
      <c r="K1489">
        <v>202505217997107</v>
      </c>
      <c r="L1489">
        <v>1085500039514</v>
      </c>
      <c r="M1489">
        <v>20250521</v>
      </c>
      <c r="N1489" t="s">
        <v>808</v>
      </c>
      <c r="Q1489" t="s">
        <v>47</v>
      </c>
      <c r="R1489">
        <v>171477.3</v>
      </c>
      <c r="S1489">
        <v>0</v>
      </c>
      <c r="T1489">
        <v>412179</v>
      </c>
      <c r="U1489" t="s">
        <v>1579</v>
      </c>
      <c r="V1489" t="s">
        <v>1580</v>
      </c>
      <c r="W1489" t="s">
        <v>187</v>
      </c>
      <c r="Y1489" t="s">
        <v>51</v>
      </c>
      <c r="Z1489">
        <v>667</v>
      </c>
      <c r="AH1489">
        <v>0</v>
      </c>
      <c r="AI1489">
        <v>202505</v>
      </c>
      <c r="AJ1489" t="s">
        <v>86</v>
      </c>
      <c r="AK1489">
        <v>1</v>
      </c>
      <c r="AL1489">
        <v>1</v>
      </c>
      <c r="AO1489">
        <v>0</v>
      </c>
      <c r="AP1489" t="s">
        <v>3015</v>
      </c>
      <c r="AQ1489" t="s">
        <v>3044</v>
      </c>
      <c r="AR1489" t="s">
        <v>3045</v>
      </c>
      <c r="AS1489" t="s">
        <v>3046</v>
      </c>
      <c r="AU1489" t="s">
        <v>3046</v>
      </c>
    </row>
    <row r="1490" spans="1:47" x14ac:dyDescent="0.35">
      <c r="A1490">
        <v>348205</v>
      </c>
      <c r="B1490" t="s">
        <v>178</v>
      </c>
      <c r="C1490" t="s">
        <v>179</v>
      </c>
      <c r="D1490" s="2">
        <v>45798</v>
      </c>
      <c r="E1490">
        <v>53850</v>
      </c>
      <c r="F1490">
        <v>102</v>
      </c>
      <c r="G1490" t="s">
        <v>151</v>
      </c>
      <c r="H1490" t="s">
        <v>167</v>
      </c>
      <c r="I1490" t="s">
        <v>45</v>
      </c>
      <c r="K1490" t="s">
        <v>1633</v>
      </c>
      <c r="L1490">
        <v>1023308727899</v>
      </c>
      <c r="M1490">
        <v>20250520</v>
      </c>
      <c r="N1490" t="s">
        <v>3136</v>
      </c>
      <c r="Q1490" t="s">
        <v>170</v>
      </c>
      <c r="R1490">
        <v>1649.45</v>
      </c>
      <c r="S1490">
        <v>0</v>
      </c>
      <c r="T1490">
        <v>3734883</v>
      </c>
      <c r="U1490" t="s">
        <v>1634</v>
      </c>
      <c r="V1490" t="s">
        <v>1635</v>
      </c>
      <c r="W1490" t="s">
        <v>187</v>
      </c>
      <c r="Y1490" t="s">
        <v>51</v>
      </c>
      <c r="Z1490">
        <v>515</v>
      </c>
      <c r="AH1490">
        <v>0</v>
      </c>
      <c r="AI1490">
        <v>202505</v>
      </c>
      <c r="AJ1490" t="s">
        <v>86</v>
      </c>
      <c r="AK1490">
        <v>1</v>
      </c>
      <c r="AL1490">
        <v>1</v>
      </c>
      <c r="AO1490">
        <v>1</v>
      </c>
      <c r="AP1490" t="s">
        <v>3015</v>
      </c>
      <c r="AQ1490" t="s">
        <v>3044</v>
      </c>
      <c r="AR1490" t="s">
        <v>3045</v>
      </c>
      <c r="AS1490" t="s">
        <v>3046</v>
      </c>
      <c r="AU1490" t="s">
        <v>3046</v>
      </c>
    </row>
    <row r="1491" spans="1:47" x14ac:dyDescent="0.35">
      <c r="A1491">
        <v>348204</v>
      </c>
      <c r="B1491" t="s">
        <v>333</v>
      </c>
      <c r="C1491" t="s">
        <v>334</v>
      </c>
      <c r="D1491" s="2">
        <v>45798</v>
      </c>
      <c r="E1491">
        <v>53850</v>
      </c>
      <c r="F1491">
        <v>167</v>
      </c>
      <c r="G1491" t="s">
        <v>278</v>
      </c>
      <c r="H1491" t="s">
        <v>167</v>
      </c>
      <c r="I1491" t="s">
        <v>45</v>
      </c>
      <c r="K1491">
        <v>202505207998079</v>
      </c>
      <c r="M1491">
        <v>20250520</v>
      </c>
      <c r="N1491" t="s">
        <v>515</v>
      </c>
      <c r="Q1491" t="s">
        <v>170</v>
      </c>
      <c r="R1491">
        <v>90000</v>
      </c>
      <c r="S1491">
        <v>0</v>
      </c>
      <c r="T1491">
        <v>614676</v>
      </c>
      <c r="U1491" t="s">
        <v>1636</v>
      </c>
      <c r="V1491" t="s">
        <v>1637</v>
      </c>
      <c r="W1491" t="s">
        <v>187</v>
      </c>
      <c r="Y1491" t="s">
        <v>51</v>
      </c>
      <c r="Z1491">
        <v>1427</v>
      </c>
      <c r="AH1491">
        <v>0</v>
      </c>
      <c r="AI1491">
        <v>202505</v>
      </c>
      <c r="AL1491">
        <v>0</v>
      </c>
      <c r="AO1491">
        <v>0</v>
      </c>
      <c r="AP1491" t="s">
        <v>3015</v>
      </c>
      <c r="AQ1491" t="s">
        <v>3044</v>
      </c>
      <c r="AR1491" t="s">
        <v>3045</v>
      </c>
      <c r="AS1491" t="s">
        <v>3046</v>
      </c>
      <c r="AU1491" t="s">
        <v>3046</v>
      </c>
    </row>
    <row r="1492" spans="1:47" x14ac:dyDescent="0.35">
      <c r="A1492">
        <v>348203</v>
      </c>
      <c r="B1492" t="s">
        <v>193</v>
      </c>
      <c r="C1492" t="s">
        <v>194</v>
      </c>
      <c r="D1492" s="2">
        <v>45798</v>
      </c>
      <c r="E1492">
        <v>53850</v>
      </c>
      <c r="F1492">
        <v>102</v>
      </c>
      <c r="G1492" t="s">
        <v>151</v>
      </c>
      <c r="H1492" t="s">
        <v>167</v>
      </c>
      <c r="I1492" t="s">
        <v>45</v>
      </c>
      <c r="K1492">
        <v>202505207997284</v>
      </c>
      <c r="L1492">
        <v>1023308722503</v>
      </c>
      <c r="M1492">
        <v>20250520</v>
      </c>
      <c r="N1492" t="s">
        <v>195</v>
      </c>
      <c r="Q1492" t="s">
        <v>47</v>
      </c>
      <c r="R1492">
        <v>26900</v>
      </c>
      <c r="S1492">
        <v>26900</v>
      </c>
      <c r="T1492">
        <v>413650</v>
      </c>
      <c r="U1492">
        <v>3657230722</v>
      </c>
      <c r="V1492" t="s">
        <v>196</v>
      </c>
      <c r="W1492" t="s">
        <v>190</v>
      </c>
      <c r="X1492" t="s">
        <v>197</v>
      </c>
      <c r="Y1492" t="s">
        <v>51</v>
      </c>
      <c r="Z1492">
        <v>1306</v>
      </c>
      <c r="AH1492">
        <v>0</v>
      </c>
      <c r="AI1492">
        <v>202505</v>
      </c>
      <c r="AJ1492" t="s">
        <v>56</v>
      </c>
      <c r="AK1492">
        <v>0</v>
      </c>
      <c r="AL1492">
        <v>1</v>
      </c>
      <c r="AM1492">
        <v>413650</v>
      </c>
      <c r="AN1492">
        <v>1</v>
      </c>
      <c r="AO1492">
        <v>0</v>
      </c>
      <c r="AP1492" t="s">
        <v>3050</v>
      </c>
      <c r="AQ1492" t="s">
        <v>3047</v>
      </c>
      <c r="AR1492" t="s">
        <v>3051</v>
      </c>
      <c r="AS1492" t="s">
        <v>3049</v>
      </c>
      <c r="AU1492" t="s">
        <v>3049</v>
      </c>
    </row>
    <row r="1493" spans="1:47" x14ac:dyDescent="0.35">
      <c r="A1493">
        <v>348202</v>
      </c>
      <c r="B1493" t="s">
        <v>164</v>
      </c>
      <c r="C1493" t="s">
        <v>165</v>
      </c>
      <c r="D1493" s="2">
        <v>45798</v>
      </c>
      <c r="E1493">
        <v>53850</v>
      </c>
      <c r="F1493">
        <v>102</v>
      </c>
      <c r="G1493" t="s">
        <v>151</v>
      </c>
      <c r="H1493" t="s">
        <v>167</v>
      </c>
      <c r="I1493" t="s">
        <v>45</v>
      </c>
      <c r="K1493">
        <v>202505207997832</v>
      </c>
      <c r="L1493">
        <v>1023308716491</v>
      </c>
      <c r="M1493">
        <v>20250520</v>
      </c>
      <c r="N1493" t="s">
        <v>168</v>
      </c>
      <c r="P1493" t="s">
        <v>203</v>
      </c>
      <c r="Q1493" t="s">
        <v>170</v>
      </c>
      <c r="R1493">
        <v>45000</v>
      </c>
      <c r="S1493">
        <v>0</v>
      </c>
      <c r="T1493">
        <v>3970</v>
      </c>
      <c r="U1493" t="s">
        <v>718</v>
      </c>
      <c r="V1493" t="s">
        <v>719</v>
      </c>
      <c r="W1493" t="s">
        <v>187</v>
      </c>
      <c r="Y1493" t="s">
        <v>51</v>
      </c>
      <c r="Z1493">
        <v>1431</v>
      </c>
      <c r="AH1493">
        <v>0</v>
      </c>
      <c r="AI1493">
        <v>202505</v>
      </c>
      <c r="AJ1493" t="s">
        <v>56</v>
      </c>
      <c r="AK1493">
        <v>0</v>
      </c>
      <c r="AL1493">
        <v>1</v>
      </c>
      <c r="AO1493">
        <v>0</v>
      </c>
      <c r="AP1493" t="s">
        <v>3015</v>
      </c>
      <c r="AQ1493" t="s">
        <v>3044</v>
      </c>
      <c r="AR1493" t="s">
        <v>3045</v>
      </c>
      <c r="AS1493" t="s">
        <v>3046</v>
      </c>
      <c r="AU1493" t="s">
        <v>3046</v>
      </c>
    </row>
    <row r="1494" spans="1:47" x14ac:dyDescent="0.35">
      <c r="A1494">
        <v>348201</v>
      </c>
      <c r="B1494" t="s">
        <v>164</v>
      </c>
      <c r="C1494" t="s">
        <v>165</v>
      </c>
      <c r="D1494" s="2">
        <v>45798</v>
      </c>
      <c r="E1494">
        <v>53850</v>
      </c>
      <c r="F1494">
        <v>268</v>
      </c>
      <c r="G1494" t="s">
        <v>83</v>
      </c>
      <c r="H1494" t="s">
        <v>167</v>
      </c>
      <c r="I1494" t="s">
        <v>45</v>
      </c>
      <c r="K1494" t="s">
        <v>1638</v>
      </c>
      <c r="L1494">
        <v>2683300006808</v>
      </c>
      <c r="M1494">
        <v>20250520</v>
      </c>
      <c r="N1494" t="s">
        <v>168</v>
      </c>
      <c r="P1494" t="s">
        <v>706</v>
      </c>
      <c r="Q1494" t="s">
        <v>47</v>
      </c>
      <c r="R1494">
        <v>1351.76</v>
      </c>
      <c r="S1494">
        <v>0</v>
      </c>
      <c r="T1494">
        <v>1705772</v>
      </c>
      <c r="U1494">
        <v>3489800791</v>
      </c>
      <c r="V1494" t="s">
        <v>1639</v>
      </c>
      <c r="W1494" t="s">
        <v>49</v>
      </c>
      <c r="X1494" t="s">
        <v>299</v>
      </c>
      <c r="Y1494" t="s">
        <v>51</v>
      </c>
      <c r="Z1494">
        <v>1891</v>
      </c>
      <c r="AH1494">
        <v>0</v>
      </c>
      <c r="AI1494">
        <v>202505</v>
      </c>
      <c r="AJ1494" t="s">
        <v>86</v>
      </c>
      <c r="AK1494">
        <v>1</v>
      </c>
      <c r="AL1494">
        <v>1</v>
      </c>
      <c r="AO1494">
        <v>0</v>
      </c>
      <c r="AP1494" t="s">
        <v>3015</v>
      </c>
      <c r="AQ1494" t="s">
        <v>3012</v>
      </c>
      <c r="AR1494" t="s">
        <v>3016</v>
      </c>
      <c r="AT1494" t="s">
        <v>3017</v>
      </c>
      <c r="AU1494" t="s">
        <v>3018</v>
      </c>
    </row>
    <row r="1495" spans="1:47" x14ac:dyDescent="0.35">
      <c r="A1495">
        <v>348200</v>
      </c>
      <c r="B1495" t="s">
        <v>178</v>
      </c>
      <c r="C1495" t="s">
        <v>179</v>
      </c>
      <c r="D1495" s="2">
        <v>45798</v>
      </c>
      <c r="E1495">
        <v>53850</v>
      </c>
      <c r="F1495">
        <v>192</v>
      </c>
      <c r="G1495" t="s">
        <v>66</v>
      </c>
      <c r="H1495" t="s">
        <v>167</v>
      </c>
      <c r="I1495" t="s">
        <v>45</v>
      </c>
      <c r="K1495">
        <v>202505207998171</v>
      </c>
      <c r="L1495">
        <v>1923300183163</v>
      </c>
      <c r="M1495">
        <v>20250520</v>
      </c>
      <c r="N1495" t="s">
        <v>236</v>
      </c>
      <c r="P1495" t="s">
        <v>51</v>
      </c>
      <c r="Q1495" t="s">
        <v>170</v>
      </c>
      <c r="R1495">
        <v>984000</v>
      </c>
      <c r="S1495">
        <v>0</v>
      </c>
      <c r="T1495">
        <v>4695944</v>
      </c>
      <c r="U1495" t="s">
        <v>67</v>
      </c>
      <c r="V1495" t="s">
        <v>68</v>
      </c>
      <c r="W1495" t="s">
        <v>69</v>
      </c>
      <c r="X1495" t="s">
        <v>70</v>
      </c>
      <c r="Y1495" t="s">
        <v>51</v>
      </c>
      <c r="Z1495">
        <v>481</v>
      </c>
      <c r="AH1495">
        <v>0</v>
      </c>
      <c r="AI1495">
        <v>202505</v>
      </c>
      <c r="AJ1495" t="s">
        <v>56</v>
      </c>
      <c r="AK1495">
        <v>0</v>
      </c>
      <c r="AL1495">
        <v>1</v>
      </c>
      <c r="AM1495">
        <v>4695944</v>
      </c>
      <c r="AN1495">
        <v>1</v>
      </c>
      <c r="AO1495">
        <v>0</v>
      </c>
      <c r="AP1495" t="s">
        <v>3015</v>
      </c>
      <c r="AQ1495" t="s">
        <v>3021</v>
      </c>
      <c r="AR1495" t="s">
        <v>3022</v>
      </c>
      <c r="AT1495" t="s">
        <v>3017</v>
      </c>
      <c r="AU1495" t="s">
        <v>3014</v>
      </c>
    </row>
    <row r="1496" spans="1:47" x14ac:dyDescent="0.35">
      <c r="A1496">
        <v>348199</v>
      </c>
      <c r="B1496" t="s">
        <v>172</v>
      </c>
      <c r="C1496" t="s">
        <v>173</v>
      </c>
      <c r="D1496" s="2">
        <v>45798</v>
      </c>
      <c r="E1496">
        <v>53850</v>
      </c>
      <c r="F1496">
        <v>131</v>
      </c>
      <c r="G1496" t="s">
        <v>216</v>
      </c>
      <c r="H1496" t="s">
        <v>167</v>
      </c>
      <c r="I1496" t="s">
        <v>45</v>
      </c>
      <c r="K1496">
        <v>202505207997996</v>
      </c>
      <c r="L1496">
        <v>1313300001281</v>
      </c>
      <c r="M1496">
        <v>20250520</v>
      </c>
      <c r="N1496" t="s">
        <v>231</v>
      </c>
      <c r="Q1496" t="s">
        <v>47</v>
      </c>
      <c r="R1496">
        <v>130000</v>
      </c>
      <c r="S1496">
        <v>0</v>
      </c>
      <c r="T1496">
        <v>4053158</v>
      </c>
      <c r="U1496" t="s">
        <v>1640</v>
      </c>
      <c r="V1496" t="s">
        <v>1641</v>
      </c>
      <c r="W1496" t="s">
        <v>187</v>
      </c>
      <c r="Y1496" t="s">
        <v>51</v>
      </c>
      <c r="Z1496">
        <v>826</v>
      </c>
      <c r="AH1496">
        <v>0</v>
      </c>
      <c r="AI1496">
        <v>202505</v>
      </c>
      <c r="AJ1496" t="s">
        <v>86</v>
      </c>
      <c r="AK1496">
        <v>1</v>
      </c>
      <c r="AL1496">
        <v>1</v>
      </c>
      <c r="AO1496">
        <v>0</v>
      </c>
      <c r="AP1496" t="s">
        <v>3015</v>
      </c>
      <c r="AQ1496" t="s">
        <v>3044</v>
      </c>
      <c r="AR1496" t="s">
        <v>3045</v>
      </c>
      <c r="AS1496" t="s">
        <v>3046</v>
      </c>
      <c r="AU1496" t="s">
        <v>3046</v>
      </c>
    </row>
    <row r="1497" spans="1:47" x14ac:dyDescent="0.35">
      <c r="A1497">
        <v>348198</v>
      </c>
      <c r="B1497" t="s">
        <v>178</v>
      </c>
      <c r="C1497" t="s">
        <v>179</v>
      </c>
      <c r="D1497" s="2">
        <v>45798</v>
      </c>
      <c r="E1497">
        <v>53850</v>
      </c>
      <c r="F1497">
        <v>121</v>
      </c>
      <c r="G1497" t="s">
        <v>140</v>
      </c>
      <c r="H1497" t="s">
        <v>167</v>
      </c>
      <c r="I1497" t="s">
        <v>45</v>
      </c>
      <c r="K1497">
        <v>202505207995690</v>
      </c>
      <c r="L1497">
        <v>1213300002600</v>
      </c>
      <c r="M1497">
        <v>20250520</v>
      </c>
      <c r="N1497" t="s">
        <v>236</v>
      </c>
      <c r="P1497" t="s">
        <v>51</v>
      </c>
      <c r="Q1497" t="s">
        <v>170</v>
      </c>
      <c r="R1497">
        <v>673080.41</v>
      </c>
      <c r="S1497">
        <v>0</v>
      </c>
      <c r="T1497">
        <v>4939345</v>
      </c>
      <c r="U1497">
        <v>5754810728</v>
      </c>
      <c r="V1497" t="s">
        <v>570</v>
      </c>
      <c r="W1497" t="s">
        <v>49</v>
      </c>
      <c r="X1497" t="s">
        <v>117</v>
      </c>
      <c r="Y1497" t="s">
        <v>51</v>
      </c>
      <c r="Z1497">
        <v>1058</v>
      </c>
      <c r="AH1497">
        <v>0</v>
      </c>
      <c r="AI1497">
        <v>202505</v>
      </c>
      <c r="AJ1497" t="s">
        <v>114</v>
      </c>
      <c r="AK1497">
        <v>1</v>
      </c>
      <c r="AL1497">
        <v>1</v>
      </c>
      <c r="AO1497">
        <v>0</v>
      </c>
      <c r="AP1497" t="s">
        <v>3029</v>
      </c>
      <c r="AQ1497" t="s">
        <v>3012</v>
      </c>
      <c r="AR1497" t="s">
        <v>3030</v>
      </c>
      <c r="AS1497" t="s">
        <v>3014</v>
      </c>
      <c r="AU1497" t="s">
        <v>3014</v>
      </c>
    </row>
    <row r="1498" spans="1:47" x14ac:dyDescent="0.35">
      <c r="A1498">
        <v>348197</v>
      </c>
      <c r="B1498" t="s">
        <v>193</v>
      </c>
      <c r="C1498" t="s">
        <v>194</v>
      </c>
      <c r="D1498" s="2">
        <v>45798</v>
      </c>
      <c r="E1498">
        <v>53850</v>
      </c>
      <c r="F1498">
        <v>114</v>
      </c>
      <c r="G1498" t="s">
        <v>188</v>
      </c>
      <c r="H1498" t="s">
        <v>167</v>
      </c>
      <c r="I1498" t="s">
        <v>45</v>
      </c>
      <c r="K1498" t="s">
        <v>1642</v>
      </c>
      <c r="L1498">
        <v>1143306280621</v>
      </c>
      <c r="M1498">
        <v>20250520</v>
      </c>
      <c r="N1498" t="s">
        <v>266</v>
      </c>
      <c r="Q1498" t="s">
        <v>47</v>
      </c>
      <c r="R1498">
        <v>49460</v>
      </c>
      <c r="S1498">
        <v>49460</v>
      </c>
      <c r="T1498">
        <v>4658875</v>
      </c>
      <c r="U1498">
        <v>3230890711</v>
      </c>
      <c r="V1498" t="s">
        <v>1363</v>
      </c>
      <c r="W1498" t="s">
        <v>49</v>
      </c>
      <c r="X1498" t="s">
        <v>131</v>
      </c>
      <c r="Y1498" t="s">
        <v>51</v>
      </c>
      <c r="Z1498">
        <v>870</v>
      </c>
      <c r="AH1498">
        <v>0</v>
      </c>
      <c r="AI1498">
        <v>202505</v>
      </c>
      <c r="AJ1498" t="s">
        <v>56</v>
      </c>
      <c r="AK1498">
        <v>0</v>
      </c>
      <c r="AL1498">
        <v>1</v>
      </c>
      <c r="AM1498">
        <v>4658875</v>
      </c>
      <c r="AN1498">
        <v>1</v>
      </c>
      <c r="AO1498">
        <v>0</v>
      </c>
      <c r="AP1498" t="s">
        <v>3033</v>
      </c>
      <c r="AQ1498" t="s">
        <v>3012</v>
      </c>
      <c r="AR1498" t="s">
        <v>3034</v>
      </c>
      <c r="AS1498" t="s">
        <v>3014</v>
      </c>
      <c r="AU1498" t="s">
        <v>3014</v>
      </c>
    </row>
    <row r="1499" spans="1:47" x14ac:dyDescent="0.35">
      <c r="A1499">
        <v>348196</v>
      </c>
      <c r="B1499" t="s">
        <v>193</v>
      </c>
      <c r="C1499" t="s">
        <v>194</v>
      </c>
      <c r="D1499" s="2">
        <v>45798</v>
      </c>
      <c r="E1499">
        <v>53850</v>
      </c>
      <c r="F1499">
        <v>171</v>
      </c>
      <c r="G1499" t="s">
        <v>198</v>
      </c>
      <c r="H1499" t="s">
        <v>167</v>
      </c>
      <c r="I1499" t="s">
        <v>45</v>
      </c>
      <c r="K1499" t="s">
        <v>1642</v>
      </c>
      <c r="L1499">
        <v>1713305728950</v>
      </c>
      <c r="M1499">
        <v>20250520</v>
      </c>
      <c r="N1499" t="s">
        <v>195</v>
      </c>
      <c r="Q1499" t="s">
        <v>47</v>
      </c>
      <c r="R1499">
        <v>188863.68</v>
      </c>
      <c r="S1499">
        <v>188863.68</v>
      </c>
      <c r="T1499">
        <v>572895</v>
      </c>
      <c r="U1499">
        <v>4161600723</v>
      </c>
      <c r="V1499" t="s">
        <v>199</v>
      </c>
      <c r="W1499" t="s">
        <v>49</v>
      </c>
      <c r="X1499" t="s">
        <v>200</v>
      </c>
      <c r="Y1499" t="s">
        <v>51</v>
      </c>
      <c r="Z1499">
        <v>1903</v>
      </c>
      <c r="AH1499">
        <v>0</v>
      </c>
      <c r="AI1499">
        <v>202505</v>
      </c>
      <c r="AJ1499" t="s">
        <v>86</v>
      </c>
      <c r="AK1499">
        <v>1</v>
      </c>
      <c r="AL1499">
        <v>1</v>
      </c>
      <c r="AM1499">
        <v>572895</v>
      </c>
      <c r="AN1499">
        <v>1</v>
      </c>
      <c r="AO1499">
        <v>0</v>
      </c>
      <c r="AP1499" t="s">
        <v>3015</v>
      </c>
      <c r="AQ1499" t="s">
        <v>3012</v>
      </c>
      <c r="AR1499" t="s">
        <v>3016</v>
      </c>
      <c r="AT1499" t="s">
        <v>3017</v>
      </c>
      <c r="AU1499" t="s">
        <v>3018</v>
      </c>
    </row>
    <row r="1500" spans="1:47" x14ac:dyDescent="0.35">
      <c r="A1500">
        <v>348195</v>
      </c>
      <c r="B1500" t="s">
        <v>172</v>
      </c>
      <c r="C1500" t="s">
        <v>173</v>
      </c>
      <c r="D1500" s="2">
        <v>45798</v>
      </c>
      <c r="E1500">
        <v>53850</v>
      </c>
      <c r="F1500">
        <v>108</v>
      </c>
      <c r="G1500" t="s">
        <v>124</v>
      </c>
      <c r="H1500" t="s">
        <v>167</v>
      </c>
      <c r="I1500" t="s">
        <v>45</v>
      </c>
      <c r="K1500" t="s">
        <v>1642</v>
      </c>
      <c r="L1500">
        <v>1083306291105</v>
      </c>
      <c r="M1500">
        <v>20250520</v>
      </c>
      <c r="N1500" t="s">
        <v>175</v>
      </c>
      <c r="Q1500" t="s">
        <v>47</v>
      </c>
      <c r="R1500">
        <v>147771.42000000001</v>
      </c>
      <c r="S1500">
        <v>139798.04999999999</v>
      </c>
      <c r="T1500">
        <v>4227057</v>
      </c>
      <c r="U1500">
        <v>4874620729</v>
      </c>
      <c r="V1500" t="s">
        <v>250</v>
      </c>
      <c r="W1500" t="s">
        <v>49</v>
      </c>
      <c r="X1500" t="s">
        <v>62</v>
      </c>
      <c r="Y1500" t="s">
        <v>51</v>
      </c>
      <c r="Z1500">
        <v>1058</v>
      </c>
      <c r="AH1500">
        <v>0</v>
      </c>
      <c r="AI1500">
        <v>202505</v>
      </c>
      <c r="AJ1500" t="s">
        <v>56</v>
      </c>
      <c r="AK1500">
        <v>0</v>
      </c>
      <c r="AL1500">
        <v>1</v>
      </c>
      <c r="AM1500">
        <v>4227057</v>
      </c>
      <c r="AN1500">
        <v>1</v>
      </c>
      <c r="AO1500">
        <v>1</v>
      </c>
      <c r="AP1500" t="s">
        <v>3015</v>
      </c>
      <c r="AQ1500" t="s">
        <v>3012</v>
      </c>
      <c r="AR1500" t="s">
        <v>3016</v>
      </c>
      <c r="AT1500" t="s">
        <v>3017</v>
      </c>
      <c r="AU1500" t="s">
        <v>3018</v>
      </c>
    </row>
    <row r="1501" spans="1:47" x14ac:dyDescent="0.35">
      <c r="A1501">
        <v>348194</v>
      </c>
      <c r="B1501" t="s">
        <v>193</v>
      </c>
      <c r="C1501" t="s">
        <v>194</v>
      </c>
      <c r="D1501" s="2">
        <v>45798</v>
      </c>
      <c r="E1501">
        <v>53850</v>
      </c>
      <c r="F1501">
        <v>171</v>
      </c>
      <c r="G1501" t="s">
        <v>198</v>
      </c>
      <c r="H1501" t="s">
        <v>167</v>
      </c>
      <c r="I1501" t="s">
        <v>45</v>
      </c>
      <c r="K1501" t="s">
        <v>1642</v>
      </c>
      <c r="L1501">
        <v>1713302214147</v>
      </c>
      <c r="M1501">
        <v>20250520</v>
      </c>
      <c r="N1501" t="s">
        <v>195</v>
      </c>
      <c r="Q1501" t="s">
        <v>47</v>
      </c>
      <c r="R1501">
        <v>36255</v>
      </c>
      <c r="S1501">
        <v>36255</v>
      </c>
      <c r="T1501">
        <v>4199319</v>
      </c>
      <c r="U1501">
        <v>6037810725</v>
      </c>
      <c r="V1501" t="s">
        <v>1144</v>
      </c>
      <c r="W1501" t="s">
        <v>49</v>
      </c>
      <c r="X1501" t="s">
        <v>200</v>
      </c>
      <c r="Y1501" t="s">
        <v>51</v>
      </c>
      <c r="Z1501">
        <v>1903</v>
      </c>
      <c r="AH1501">
        <v>0</v>
      </c>
      <c r="AI1501">
        <v>202505</v>
      </c>
      <c r="AJ1501" t="s">
        <v>86</v>
      </c>
      <c r="AK1501">
        <v>1</v>
      </c>
      <c r="AL1501">
        <v>1</v>
      </c>
      <c r="AM1501">
        <v>4199319</v>
      </c>
      <c r="AN1501">
        <v>1</v>
      </c>
      <c r="AO1501">
        <v>0</v>
      </c>
      <c r="AP1501" t="s">
        <v>3015</v>
      </c>
      <c r="AQ1501" t="s">
        <v>3012</v>
      </c>
      <c r="AR1501" t="s">
        <v>3016</v>
      </c>
      <c r="AT1501" t="s">
        <v>3017</v>
      </c>
      <c r="AU1501" t="s">
        <v>3018</v>
      </c>
    </row>
    <row r="1502" spans="1:47" x14ac:dyDescent="0.35">
      <c r="A1502">
        <v>348193</v>
      </c>
      <c r="B1502" t="s">
        <v>164</v>
      </c>
      <c r="C1502" t="s">
        <v>165</v>
      </c>
      <c r="D1502" s="2">
        <v>45798</v>
      </c>
      <c r="E1502">
        <v>53850</v>
      </c>
      <c r="F1502">
        <v>226</v>
      </c>
      <c r="G1502" t="s">
        <v>129</v>
      </c>
      <c r="H1502" t="s">
        <v>167</v>
      </c>
      <c r="I1502" t="s">
        <v>45</v>
      </c>
      <c r="K1502">
        <v>202505207996357</v>
      </c>
      <c r="L1502">
        <v>1163307619285</v>
      </c>
      <c r="M1502">
        <v>20250520</v>
      </c>
      <c r="N1502" t="s">
        <v>168</v>
      </c>
      <c r="P1502" t="s">
        <v>255</v>
      </c>
      <c r="Q1502" t="s">
        <v>47</v>
      </c>
      <c r="R1502">
        <v>6500</v>
      </c>
      <c r="S1502">
        <v>0</v>
      </c>
      <c r="T1502">
        <v>4709685</v>
      </c>
      <c r="U1502">
        <v>6911480728</v>
      </c>
      <c r="V1502" t="s">
        <v>1643</v>
      </c>
      <c r="W1502" t="s">
        <v>620</v>
      </c>
      <c r="X1502" t="s">
        <v>621</v>
      </c>
      <c r="Y1502" t="s">
        <v>51</v>
      </c>
      <c r="Z1502">
        <v>1932</v>
      </c>
      <c r="AH1502">
        <v>0</v>
      </c>
      <c r="AI1502">
        <v>202505</v>
      </c>
      <c r="AJ1502" t="s">
        <v>114</v>
      </c>
      <c r="AK1502">
        <v>1</v>
      </c>
      <c r="AL1502">
        <v>1</v>
      </c>
      <c r="AO1502">
        <v>0</v>
      </c>
      <c r="AP1502" t="s">
        <v>3015</v>
      </c>
      <c r="AQ1502" t="s">
        <v>3080</v>
      </c>
      <c r="AR1502" t="s">
        <v>3081</v>
      </c>
      <c r="AT1502" t="s">
        <v>3017</v>
      </c>
      <c r="AU1502" t="s">
        <v>3057</v>
      </c>
    </row>
    <row r="1503" spans="1:47" x14ac:dyDescent="0.35">
      <c r="A1503">
        <v>348192</v>
      </c>
      <c r="B1503" t="s">
        <v>164</v>
      </c>
      <c r="C1503" t="s">
        <v>165</v>
      </c>
      <c r="D1503" s="2">
        <v>45798</v>
      </c>
      <c r="E1503">
        <v>53850</v>
      </c>
      <c r="F1503">
        <v>149</v>
      </c>
      <c r="G1503" t="s">
        <v>449</v>
      </c>
      <c r="H1503" t="s">
        <v>167</v>
      </c>
      <c r="I1503" t="s">
        <v>45</v>
      </c>
      <c r="K1503">
        <v>202505207996979</v>
      </c>
      <c r="L1503">
        <v>1493300664731</v>
      </c>
      <c r="M1503">
        <v>20250520</v>
      </c>
      <c r="N1503" t="s">
        <v>168</v>
      </c>
      <c r="P1503" t="s">
        <v>203</v>
      </c>
      <c r="Q1503" t="s">
        <v>170</v>
      </c>
      <c r="R1503">
        <v>28000</v>
      </c>
      <c r="S1503">
        <v>0</v>
      </c>
      <c r="T1503">
        <v>4993188</v>
      </c>
      <c r="U1503">
        <v>10155501215</v>
      </c>
      <c r="V1503" t="s">
        <v>1644</v>
      </c>
      <c r="W1503" t="s">
        <v>49</v>
      </c>
      <c r="X1503" t="s">
        <v>1645</v>
      </c>
      <c r="Y1503" t="s">
        <v>51</v>
      </c>
      <c r="Z1503">
        <v>1910</v>
      </c>
      <c r="AH1503">
        <v>0</v>
      </c>
      <c r="AI1503">
        <v>202505</v>
      </c>
      <c r="AJ1503" t="s">
        <v>56</v>
      </c>
      <c r="AK1503">
        <v>0</v>
      </c>
      <c r="AL1503">
        <v>1</v>
      </c>
      <c r="AO1503">
        <v>0</v>
      </c>
      <c r="AP1503" t="s">
        <v>3015</v>
      </c>
      <c r="AQ1503" t="s">
        <v>3012</v>
      </c>
      <c r="AR1503" t="s">
        <v>3016</v>
      </c>
      <c r="AT1503" t="s">
        <v>3017</v>
      </c>
      <c r="AU1503" t="s">
        <v>3018</v>
      </c>
    </row>
    <row r="1504" spans="1:47" x14ac:dyDescent="0.35">
      <c r="A1504">
        <v>348191</v>
      </c>
      <c r="B1504" t="s">
        <v>193</v>
      </c>
      <c r="C1504" t="s">
        <v>194</v>
      </c>
      <c r="D1504" s="2">
        <v>45798</v>
      </c>
      <c r="E1504">
        <v>53850</v>
      </c>
      <c r="F1504">
        <v>108</v>
      </c>
      <c r="G1504" t="s">
        <v>124</v>
      </c>
      <c r="H1504" t="s">
        <v>167</v>
      </c>
      <c r="I1504" t="s">
        <v>45</v>
      </c>
      <c r="K1504" t="s">
        <v>1642</v>
      </c>
      <c r="L1504">
        <v>1083306291105</v>
      </c>
      <c r="M1504">
        <v>20250520</v>
      </c>
      <c r="N1504" t="s">
        <v>175</v>
      </c>
      <c r="Q1504" t="s">
        <v>47</v>
      </c>
      <c r="R1504">
        <v>147771.42000000001</v>
      </c>
      <c r="S1504">
        <v>139798.04999999999</v>
      </c>
      <c r="T1504">
        <v>4227057</v>
      </c>
      <c r="U1504">
        <v>4874620729</v>
      </c>
      <c r="V1504" t="s">
        <v>250</v>
      </c>
      <c r="W1504" t="s">
        <v>49</v>
      </c>
      <c r="X1504" t="s">
        <v>62</v>
      </c>
      <c r="Y1504" t="s">
        <v>51</v>
      </c>
      <c r="Z1504">
        <v>1058</v>
      </c>
      <c r="AH1504">
        <v>0</v>
      </c>
      <c r="AI1504">
        <v>202505</v>
      </c>
      <c r="AJ1504" t="s">
        <v>56</v>
      </c>
      <c r="AK1504">
        <v>0</v>
      </c>
      <c r="AL1504">
        <v>1</v>
      </c>
      <c r="AM1504">
        <v>4227057</v>
      </c>
      <c r="AN1504">
        <v>1</v>
      </c>
      <c r="AO1504">
        <v>1</v>
      </c>
      <c r="AP1504" t="s">
        <v>3015</v>
      </c>
      <c r="AQ1504" t="s">
        <v>3012</v>
      </c>
      <c r="AR1504" t="s">
        <v>3016</v>
      </c>
      <c r="AT1504" t="s">
        <v>3017</v>
      </c>
      <c r="AU1504" t="s">
        <v>3018</v>
      </c>
    </row>
    <row r="1505" spans="1:47" x14ac:dyDescent="0.35">
      <c r="A1505">
        <v>348190</v>
      </c>
      <c r="B1505" t="s">
        <v>193</v>
      </c>
      <c r="C1505" t="s">
        <v>194</v>
      </c>
      <c r="D1505" s="2">
        <v>45798</v>
      </c>
      <c r="E1505">
        <v>53850</v>
      </c>
      <c r="F1505">
        <v>103</v>
      </c>
      <c r="G1505" t="s">
        <v>80</v>
      </c>
      <c r="H1505" t="s">
        <v>167</v>
      </c>
      <c r="I1505" t="s">
        <v>45</v>
      </c>
      <c r="K1505">
        <v>202505207997851</v>
      </c>
      <c r="L1505">
        <v>1033306986091</v>
      </c>
      <c r="M1505">
        <v>20250520</v>
      </c>
      <c r="N1505" t="s">
        <v>266</v>
      </c>
      <c r="Q1505" t="s">
        <v>47</v>
      </c>
      <c r="R1505">
        <v>60000</v>
      </c>
      <c r="S1505">
        <v>60000</v>
      </c>
      <c r="T1505">
        <v>4124141</v>
      </c>
      <c r="U1505" t="s">
        <v>1646</v>
      </c>
      <c r="V1505" t="s">
        <v>1647</v>
      </c>
      <c r="W1505" t="s">
        <v>187</v>
      </c>
      <c r="Y1505" t="s">
        <v>51</v>
      </c>
      <c r="AH1505">
        <v>0</v>
      </c>
      <c r="AI1505">
        <v>202505</v>
      </c>
      <c r="AJ1505" t="s">
        <v>86</v>
      </c>
      <c r="AK1505">
        <v>1</v>
      </c>
      <c r="AL1505">
        <v>1</v>
      </c>
      <c r="AO1505">
        <v>0</v>
      </c>
      <c r="AP1505" t="s">
        <v>3015</v>
      </c>
      <c r="AQ1505" t="s">
        <v>3044</v>
      </c>
      <c r="AR1505" t="s">
        <v>3045</v>
      </c>
      <c r="AS1505" t="s">
        <v>3046</v>
      </c>
      <c r="AU1505" t="s">
        <v>3046</v>
      </c>
    </row>
    <row r="1506" spans="1:47" x14ac:dyDescent="0.35">
      <c r="A1506">
        <v>348189</v>
      </c>
      <c r="B1506" t="s">
        <v>172</v>
      </c>
      <c r="C1506" t="s">
        <v>173</v>
      </c>
      <c r="D1506" s="2">
        <v>45798</v>
      </c>
      <c r="E1506">
        <v>53850</v>
      </c>
      <c r="F1506">
        <v>120</v>
      </c>
      <c r="G1506" t="s">
        <v>411</v>
      </c>
      <c r="H1506" t="s">
        <v>167</v>
      </c>
      <c r="I1506" t="s">
        <v>45</v>
      </c>
      <c r="K1506">
        <v>202505207997972</v>
      </c>
      <c r="L1506">
        <v>1203300004095</v>
      </c>
      <c r="M1506">
        <v>20250520</v>
      </c>
      <c r="N1506" t="s">
        <v>231</v>
      </c>
      <c r="Q1506" t="s">
        <v>47</v>
      </c>
      <c r="R1506">
        <v>150000</v>
      </c>
      <c r="S1506">
        <v>0</v>
      </c>
      <c r="T1506">
        <v>3734272</v>
      </c>
      <c r="U1506" t="s">
        <v>1648</v>
      </c>
      <c r="V1506" t="s">
        <v>1649</v>
      </c>
      <c r="W1506" t="s">
        <v>187</v>
      </c>
      <c r="Y1506" t="s">
        <v>51</v>
      </c>
      <c r="AH1506">
        <v>0</v>
      </c>
      <c r="AI1506">
        <v>202505</v>
      </c>
      <c r="AJ1506" t="s">
        <v>86</v>
      </c>
      <c r="AK1506">
        <v>1</v>
      </c>
      <c r="AL1506">
        <v>1</v>
      </c>
      <c r="AO1506">
        <v>0</v>
      </c>
      <c r="AP1506" t="s">
        <v>3015</v>
      </c>
      <c r="AQ1506" t="s">
        <v>3044</v>
      </c>
      <c r="AR1506" t="s">
        <v>3045</v>
      </c>
      <c r="AS1506" t="s">
        <v>3046</v>
      </c>
      <c r="AU1506" t="s">
        <v>3046</v>
      </c>
    </row>
    <row r="1507" spans="1:47" x14ac:dyDescent="0.35">
      <c r="A1507">
        <v>348188</v>
      </c>
      <c r="B1507" t="s">
        <v>164</v>
      </c>
      <c r="C1507" t="s">
        <v>165</v>
      </c>
      <c r="D1507" s="2">
        <v>45798</v>
      </c>
      <c r="E1507">
        <v>53850</v>
      </c>
      <c r="F1507">
        <v>129</v>
      </c>
      <c r="G1507" t="s">
        <v>227</v>
      </c>
      <c r="H1507" t="s">
        <v>167</v>
      </c>
      <c r="I1507" t="s">
        <v>45</v>
      </c>
      <c r="K1507">
        <v>202505207996930</v>
      </c>
      <c r="L1507">
        <v>1293300002811</v>
      </c>
      <c r="M1507">
        <v>20250520</v>
      </c>
      <c r="N1507" t="s">
        <v>168</v>
      </c>
      <c r="P1507" t="s">
        <v>169</v>
      </c>
      <c r="Q1507" t="s">
        <v>47</v>
      </c>
      <c r="R1507">
        <v>26002.57</v>
      </c>
      <c r="S1507">
        <v>0</v>
      </c>
      <c r="T1507">
        <v>4972184</v>
      </c>
      <c r="U1507">
        <v>7780290727</v>
      </c>
      <c r="V1507" t="s">
        <v>720</v>
      </c>
      <c r="W1507" t="s">
        <v>49</v>
      </c>
      <c r="X1507" t="s">
        <v>721</v>
      </c>
      <c r="Y1507" t="s">
        <v>51</v>
      </c>
      <c r="Z1507">
        <v>1058</v>
      </c>
      <c r="AH1507">
        <v>0</v>
      </c>
      <c r="AI1507">
        <v>202505</v>
      </c>
      <c r="AJ1507" t="s">
        <v>52</v>
      </c>
      <c r="AK1507">
        <v>0</v>
      </c>
      <c r="AL1507">
        <v>1</v>
      </c>
      <c r="AO1507">
        <v>0</v>
      </c>
      <c r="AP1507" t="s">
        <v>3015</v>
      </c>
      <c r="AQ1507" t="s">
        <v>3012</v>
      </c>
      <c r="AR1507" t="s">
        <v>3016</v>
      </c>
      <c r="AT1507" t="s">
        <v>3017</v>
      </c>
      <c r="AU1507" t="s">
        <v>3018</v>
      </c>
    </row>
    <row r="1508" spans="1:47" x14ac:dyDescent="0.35">
      <c r="A1508">
        <v>348187</v>
      </c>
      <c r="B1508" t="s">
        <v>178</v>
      </c>
      <c r="C1508" t="s">
        <v>179</v>
      </c>
      <c r="D1508" s="2">
        <v>45798</v>
      </c>
      <c r="E1508">
        <v>53850</v>
      </c>
      <c r="F1508">
        <v>187</v>
      </c>
      <c r="G1508" t="s">
        <v>251</v>
      </c>
      <c r="H1508" t="s">
        <v>167</v>
      </c>
      <c r="I1508" t="s">
        <v>45</v>
      </c>
      <c r="K1508">
        <v>202505207995725</v>
      </c>
      <c r="L1508">
        <v>999361870311</v>
      </c>
      <c r="M1508">
        <v>20250520</v>
      </c>
      <c r="N1508" t="s">
        <v>236</v>
      </c>
      <c r="P1508" t="s">
        <v>51</v>
      </c>
      <c r="Q1508" t="s">
        <v>170</v>
      </c>
      <c r="R1508">
        <v>1405323.68</v>
      </c>
      <c r="S1508">
        <v>0</v>
      </c>
      <c r="T1508">
        <v>3004644</v>
      </c>
      <c r="U1508">
        <v>80008750731</v>
      </c>
      <c r="V1508" t="s">
        <v>252</v>
      </c>
      <c r="W1508" t="s">
        <v>253</v>
      </c>
      <c r="Y1508" t="s">
        <v>51</v>
      </c>
      <c r="Z1508">
        <v>1627</v>
      </c>
      <c r="AH1508">
        <v>0</v>
      </c>
      <c r="AI1508">
        <v>202505</v>
      </c>
      <c r="AJ1508" t="s">
        <v>56</v>
      </c>
      <c r="AK1508">
        <v>0</v>
      </c>
      <c r="AL1508">
        <v>1</v>
      </c>
      <c r="AO1508">
        <v>0</v>
      </c>
      <c r="AP1508" t="s">
        <v>3015</v>
      </c>
      <c r="AQ1508" t="s">
        <v>3052</v>
      </c>
      <c r="AR1508" t="s">
        <v>3053</v>
      </c>
      <c r="AS1508" t="s">
        <v>3037</v>
      </c>
      <c r="AU1508" t="s">
        <v>3037</v>
      </c>
    </row>
    <row r="1509" spans="1:47" x14ac:dyDescent="0.35">
      <c r="A1509">
        <v>348186</v>
      </c>
      <c r="B1509" t="s">
        <v>172</v>
      </c>
      <c r="C1509" t="s">
        <v>173</v>
      </c>
      <c r="D1509" s="2">
        <v>45798</v>
      </c>
      <c r="E1509">
        <v>53850</v>
      </c>
      <c r="F1509">
        <v>120</v>
      </c>
      <c r="G1509" t="s">
        <v>411</v>
      </c>
      <c r="H1509" t="s">
        <v>167</v>
      </c>
      <c r="I1509" t="s">
        <v>45</v>
      </c>
      <c r="K1509">
        <v>202505207997972</v>
      </c>
      <c r="L1509">
        <v>1203300004095</v>
      </c>
      <c r="M1509">
        <v>20250520</v>
      </c>
      <c r="N1509" t="s">
        <v>231</v>
      </c>
      <c r="Q1509" t="s">
        <v>47</v>
      </c>
      <c r="R1509">
        <v>150000</v>
      </c>
      <c r="S1509">
        <v>0</v>
      </c>
      <c r="T1509">
        <v>4890472</v>
      </c>
      <c r="U1509" t="s">
        <v>1650</v>
      </c>
      <c r="V1509" t="s">
        <v>1651</v>
      </c>
      <c r="W1509" t="s">
        <v>187</v>
      </c>
      <c r="Y1509" t="s">
        <v>51</v>
      </c>
      <c r="Z1509">
        <v>1640</v>
      </c>
      <c r="AH1509">
        <v>0</v>
      </c>
      <c r="AI1509">
        <v>202505</v>
      </c>
      <c r="AJ1509" t="s">
        <v>86</v>
      </c>
      <c r="AK1509">
        <v>1</v>
      </c>
      <c r="AL1509">
        <v>1</v>
      </c>
      <c r="AO1509">
        <v>0</v>
      </c>
      <c r="AP1509" t="s">
        <v>3015</v>
      </c>
      <c r="AQ1509" t="s">
        <v>3044</v>
      </c>
      <c r="AR1509" t="s">
        <v>3045</v>
      </c>
      <c r="AS1509" t="s">
        <v>3046</v>
      </c>
      <c r="AU1509" t="s">
        <v>3046</v>
      </c>
    </row>
    <row r="1510" spans="1:47" x14ac:dyDescent="0.35">
      <c r="A1510">
        <v>348185</v>
      </c>
      <c r="B1510" t="s">
        <v>164</v>
      </c>
      <c r="C1510" t="s">
        <v>165</v>
      </c>
      <c r="D1510" s="2">
        <v>45798</v>
      </c>
      <c r="E1510">
        <v>53850</v>
      </c>
      <c r="F1510">
        <v>168</v>
      </c>
      <c r="G1510" t="s">
        <v>616</v>
      </c>
      <c r="H1510" t="s">
        <v>167</v>
      </c>
      <c r="I1510" t="s">
        <v>45</v>
      </c>
      <c r="K1510" t="s">
        <v>1652</v>
      </c>
      <c r="L1510">
        <v>1683306274557</v>
      </c>
      <c r="M1510">
        <v>20250520</v>
      </c>
      <c r="N1510" t="s">
        <v>168</v>
      </c>
      <c r="P1510" t="s">
        <v>255</v>
      </c>
      <c r="Q1510" t="s">
        <v>170</v>
      </c>
      <c r="R1510">
        <v>3000</v>
      </c>
      <c r="S1510">
        <v>0</v>
      </c>
      <c r="T1510">
        <v>4091384</v>
      </c>
      <c r="U1510">
        <v>5530850725</v>
      </c>
      <c r="V1510" t="s">
        <v>1653</v>
      </c>
      <c r="W1510" t="s">
        <v>49</v>
      </c>
      <c r="X1510" t="s">
        <v>686</v>
      </c>
      <c r="Y1510" t="s">
        <v>51</v>
      </c>
      <c r="Z1510">
        <v>1926</v>
      </c>
      <c r="AH1510">
        <v>0</v>
      </c>
      <c r="AI1510">
        <v>202505</v>
      </c>
      <c r="AJ1510" t="s">
        <v>86</v>
      </c>
      <c r="AK1510">
        <v>1</v>
      </c>
      <c r="AL1510">
        <v>1</v>
      </c>
      <c r="AO1510">
        <v>0</v>
      </c>
      <c r="AP1510" t="s">
        <v>3015</v>
      </c>
      <c r="AQ1510" t="s">
        <v>3012</v>
      </c>
      <c r="AR1510" t="s">
        <v>3016</v>
      </c>
      <c r="AT1510" t="s">
        <v>3017</v>
      </c>
      <c r="AU1510" t="s">
        <v>3018</v>
      </c>
    </row>
    <row r="1511" spans="1:47" x14ac:dyDescent="0.35">
      <c r="A1511">
        <v>348184</v>
      </c>
      <c r="B1511" t="s">
        <v>178</v>
      </c>
      <c r="C1511" t="s">
        <v>179</v>
      </c>
      <c r="D1511" s="2">
        <v>45798</v>
      </c>
      <c r="E1511">
        <v>53850</v>
      </c>
      <c r="F1511">
        <v>273</v>
      </c>
      <c r="G1511" t="s">
        <v>133</v>
      </c>
      <c r="H1511" t="s">
        <v>167</v>
      </c>
      <c r="I1511" t="s">
        <v>45</v>
      </c>
      <c r="K1511">
        <v>202505207996485</v>
      </c>
      <c r="L1511">
        <v>2733300010399</v>
      </c>
      <c r="M1511">
        <v>20250520</v>
      </c>
      <c r="N1511" t="s">
        <v>46</v>
      </c>
      <c r="P1511" t="s">
        <v>51</v>
      </c>
      <c r="Q1511" t="s">
        <v>47</v>
      </c>
      <c r="R1511">
        <v>2252392.36</v>
      </c>
      <c r="S1511">
        <v>0</v>
      </c>
      <c r="T1511">
        <v>4994923</v>
      </c>
      <c r="U1511">
        <v>2753720693</v>
      </c>
      <c r="V1511" t="s">
        <v>1464</v>
      </c>
      <c r="W1511" t="s">
        <v>49</v>
      </c>
      <c r="X1511" t="s">
        <v>364</v>
      </c>
      <c r="Y1511" t="s">
        <v>51</v>
      </c>
      <c r="Z1511">
        <v>1805</v>
      </c>
      <c r="AH1511">
        <v>0</v>
      </c>
      <c r="AI1511">
        <v>202505</v>
      </c>
      <c r="AJ1511" t="s">
        <v>119</v>
      </c>
      <c r="AK1511">
        <v>1</v>
      </c>
      <c r="AL1511">
        <v>1</v>
      </c>
      <c r="AO1511">
        <v>0</v>
      </c>
      <c r="AP1511" t="s">
        <v>3062</v>
      </c>
      <c r="AQ1511" t="s">
        <v>3012</v>
      </c>
      <c r="AR1511" t="s">
        <v>3063</v>
      </c>
      <c r="AS1511" t="s">
        <v>3014</v>
      </c>
      <c r="AU1511" t="s">
        <v>3014</v>
      </c>
    </row>
    <row r="1512" spans="1:47" x14ac:dyDescent="0.35">
      <c r="A1512">
        <v>348183</v>
      </c>
      <c r="B1512" t="s">
        <v>193</v>
      </c>
      <c r="C1512" t="s">
        <v>194</v>
      </c>
      <c r="D1512" s="2">
        <v>45798</v>
      </c>
      <c r="E1512">
        <v>53850</v>
      </c>
      <c r="F1512">
        <v>103</v>
      </c>
      <c r="G1512" t="s">
        <v>80</v>
      </c>
      <c r="H1512" t="s">
        <v>167</v>
      </c>
      <c r="I1512" t="s">
        <v>45</v>
      </c>
      <c r="K1512">
        <v>202505207997851</v>
      </c>
      <c r="L1512">
        <v>1033306986091</v>
      </c>
      <c r="M1512">
        <v>20250520</v>
      </c>
      <c r="N1512" t="s">
        <v>266</v>
      </c>
      <c r="Q1512" t="s">
        <v>47</v>
      </c>
      <c r="R1512">
        <v>60000</v>
      </c>
      <c r="S1512">
        <v>60000</v>
      </c>
      <c r="T1512">
        <v>56091</v>
      </c>
      <c r="U1512" t="s">
        <v>1654</v>
      </c>
      <c r="V1512" t="s">
        <v>1655</v>
      </c>
      <c r="W1512" t="s">
        <v>187</v>
      </c>
      <c r="Y1512" t="s">
        <v>51</v>
      </c>
      <c r="Z1512">
        <v>806</v>
      </c>
      <c r="AH1512">
        <v>0</v>
      </c>
      <c r="AI1512">
        <v>202505</v>
      </c>
      <c r="AJ1512" t="s">
        <v>86</v>
      </c>
      <c r="AK1512">
        <v>1</v>
      </c>
      <c r="AL1512">
        <v>1</v>
      </c>
      <c r="AO1512">
        <v>0</v>
      </c>
      <c r="AP1512" t="s">
        <v>3015</v>
      </c>
      <c r="AQ1512" t="s">
        <v>3044</v>
      </c>
      <c r="AR1512" t="s">
        <v>3045</v>
      </c>
      <c r="AS1512" t="s">
        <v>3046</v>
      </c>
      <c r="AU1512" t="s">
        <v>3046</v>
      </c>
    </row>
    <row r="1513" spans="1:47" x14ac:dyDescent="0.35">
      <c r="A1513">
        <v>348182</v>
      </c>
      <c r="B1513" t="s">
        <v>172</v>
      </c>
      <c r="C1513" t="s">
        <v>173</v>
      </c>
      <c r="D1513" s="2">
        <v>45798</v>
      </c>
      <c r="E1513">
        <v>53850</v>
      </c>
      <c r="F1513">
        <v>108</v>
      </c>
      <c r="G1513" t="s">
        <v>124</v>
      </c>
      <c r="H1513" t="s">
        <v>167</v>
      </c>
      <c r="I1513" t="s">
        <v>45</v>
      </c>
      <c r="K1513">
        <v>202505207997906</v>
      </c>
      <c r="L1513">
        <v>1083300011180</v>
      </c>
      <c r="M1513">
        <v>20250520</v>
      </c>
      <c r="N1513" t="s">
        <v>81</v>
      </c>
      <c r="Q1513" t="s">
        <v>47</v>
      </c>
      <c r="R1513">
        <v>122693.54</v>
      </c>
      <c r="S1513">
        <v>0</v>
      </c>
      <c r="T1513">
        <v>1118</v>
      </c>
      <c r="U1513">
        <v>3246700722</v>
      </c>
      <c r="V1513" t="s">
        <v>125</v>
      </c>
      <c r="W1513" t="s">
        <v>49</v>
      </c>
      <c r="X1513" t="s">
        <v>96</v>
      </c>
      <c r="Y1513" t="s">
        <v>51</v>
      </c>
      <c r="Z1513">
        <v>1058</v>
      </c>
      <c r="AH1513">
        <v>0</v>
      </c>
      <c r="AI1513">
        <v>202505</v>
      </c>
      <c r="AJ1513" t="s">
        <v>52</v>
      </c>
      <c r="AK1513">
        <v>0</v>
      </c>
      <c r="AL1513">
        <v>1</v>
      </c>
      <c r="AO1513">
        <v>0</v>
      </c>
      <c r="AP1513" t="s">
        <v>3015</v>
      </c>
      <c r="AQ1513" t="s">
        <v>3012</v>
      </c>
      <c r="AR1513" t="s">
        <v>3016</v>
      </c>
      <c r="AT1513" t="s">
        <v>3017</v>
      </c>
      <c r="AU1513" t="s">
        <v>3018</v>
      </c>
    </row>
    <row r="1514" spans="1:47" x14ac:dyDescent="0.35">
      <c r="A1514">
        <v>348181</v>
      </c>
      <c r="B1514" t="s">
        <v>172</v>
      </c>
      <c r="C1514" t="s">
        <v>173</v>
      </c>
      <c r="D1514" s="2">
        <v>45798</v>
      </c>
      <c r="E1514">
        <v>53850</v>
      </c>
      <c r="F1514">
        <v>171</v>
      </c>
      <c r="G1514" t="s">
        <v>198</v>
      </c>
      <c r="H1514" t="s">
        <v>167</v>
      </c>
      <c r="I1514" t="s">
        <v>45</v>
      </c>
      <c r="K1514" t="s">
        <v>1642</v>
      </c>
      <c r="L1514">
        <v>1713305728950</v>
      </c>
      <c r="M1514">
        <v>20250520</v>
      </c>
      <c r="N1514" t="s">
        <v>195</v>
      </c>
      <c r="Q1514" t="s">
        <v>47</v>
      </c>
      <c r="R1514">
        <v>188863.68</v>
      </c>
      <c r="S1514">
        <v>188863.68</v>
      </c>
      <c r="T1514">
        <v>572895</v>
      </c>
      <c r="U1514">
        <v>4161600723</v>
      </c>
      <c r="V1514" t="s">
        <v>199</v>
      </c>
      <c r="W1514" t="s">
        <v>49</v>
      </c>
      <c r="X1514" t="s">
        <v>200</v>
      </c>
      <c r="Y1514" t="s">
        <v>51</v>
      </c>
      <c r="Z1514">
        <v>1903</v>
      </c>
      <c r="AH1514">
        <v>0</v>
      </c>
      <c r="AI1514">
        <v>202505</v>
      </c>
      <c r="AJ1514" t="s">
        <v>86</v>
      </c>
      <c r="AK1514">
        <v>1</v>
      </c>
      <c r="AL1514">
        <v>1</v>
      </c>
      <c r="AM1514">
        <v>572895</v>
      </c>
      <c r="AN1514">
        <v>1</v>
      </c>
      <c r="AO1514">
        <v>0</v>
      </c>
      <c r="AP1514" t="s">
        <v>3015</v>
      </c>
      <c r="AQ1514" t="s">
        <v>3012</v>
      </c>
      <c r="AR1514" t="s">
        <v>3016</v>
      </c>
      <c r="AT1514" t="s">
        <v>3017</v>
      </c>
      <c r="AU1514" t="s">
        <v>3018</v>
      </c>
    </row>
    <row r="1515" spans="1:47" x14ac:dyDescent="0.35">
      <c r="A1515">
        <v>348180</v>
      </c>
      <c r="B1515" t="s">
        <v>193</v>
      </c>
      <c r="C1515" t="s">
        <v>194</v>
      </c>
      <c r="D1515" s="2">
        <v>45798</v>
      </c>
      <c r="E1515">
        <v>53850</v>
      </c>
      <c r="F1515">
        <v>128</v>
      </c>
      <c r="G1515" t="s">
        <v>94</v>
      </c>
      <c r="H1515" t="s">
        <v>167</v>
      </c>
      <c r="I1515" t="s">
        <v>45</v>
      </c>
      <c r="K1515" t="s">
        <v>1642</v>
      </c>
      <c r="L1515">
        <v>1283300003941</v>
      </c>
      <c r="M1515">
        <v>20250520</v>
      </c>
      <c r="N1515" t="s">
        <v>175</v>
      </c>
      <c r="Q1515" t="s">
        <v>47</v>
      </c>
      <c r="R1515">
        <v>52600</v>
      </c>
      <c r="S1515">
        <v>52600</v>
      </c>
      <c r="T1515">
        <v>4916499</v>
      </c>
      <c r="U1515" t="s">
        <v>382</v>
      </c>
      <c r="V1515" t="s">
        <v>383</v>
      </c>
      <c r="W1515" t="s">
        <v>69</v>
      </c>
      <c r="X1515" t="s">
        <v>55</v>
      </c>
      <c r="Y1515" t="s">
        <v>51</v>
      </c>
      <c r="Z1515">
        <v>1166</v>
      </c>
      <c r="AH1515">
        <v>0</v>
      </c>
      <c r="AI1515">
        <v>202505</v>
      </c>
      <c r="AJ1515" t="s">
        <v>56</v>
      </c>
      <c r="AK1515">
        <v>0</v>
      </c>
      <c r="AL1515">
        <v>1</v>
      </c>
      <c r="AM1515">
        <v>4916499</v>
      </c>
      <c r="AN1515">
        <v>1</v>
      </c>
      <c r="AO1515">
        <v>1</v>
      </c>
      <c r="AP1515" t="s">
        <v>3015</v>
      </c>
      <c r="AQ1515" t="s">
        <v>3021</v>
      </c>
      <c r="AR1515" t="s">
        <v>3022</v>
      </c>
      <c r="AT1515" t="s">
        <v>3017</v>
      </c>
      <c r="AU1515" t="s">
        <v>3014</v>
      </c>
    </row>
    <row r="1516" spans="1:47" x14ac:dyDescent="0.35">
      <c r="A1516">
        <v>348179</v>
      </c>
      <c r="B1516" t="s">
        <v>193</v>
      </c>
      <c r="C1516" t="s">
        <v>194</v>
      </c>
      <c r="D1516" s="2">
        <v>45798</v>
      </c>
      <c r="E1516">
        <v>53850</v>
      </c>
      <c r="F1516">
        <v>264</v>
      </c>
      <c r="G1516" t="s">
        <v>71</v>
      </c>
      <c r="H1516" t="s">
        <v>167</v>
      </c>
      <c r="I1516" t="s">
        <v>45</v>
      </c>
      <c r="K1516" t="s">
        <v>1642</v>
      </c>
      <c r="L1516">
        <v>2643300010604</v>
      </c>
      <c r="M1516">
        <v>20250520</v>
      </c>
      <c r="N1516" t="s">
        <v>195</v>
      </c>
      <c r="Q1516" t="s">
        <v>47</v>
      </c>
      <c r="R1516">
        <v>25270</v>
      </c>
      <c r="S1516">
        <v>25270</v>
      </c>
      <c r="T1516">
        <v>3730784</v>
      </c>
      <c r="U1516">
        <v>1347980771</v>
      </c>
      <c r="V1516" t="s">
        <v>526</v>
      </c>
      <c r="W1516" t="s">
        <v>190</v>
      </c>
      <c r="X1516" t="s">
        <v>131</v>
      </c>
      <c r="Y1516" t="s">
        <v>51</v>
      </c>
      <c r="Z1516">
        <v>1851</v>
      </c>
      <c r="AH1516">
        <v>0</v>
      </c>
      <c r="AI1516">
        <v>202505</v>
      </c>
      <c r="AJ1516" t="s">
        <v>86</v>
      </c>
      <c r="AK1516">
        <v>1</v>
      </c>
      <c r="AL1516">
        <v>1</v>
      </c>
      <c r="AO1516">
        <v>0</v>
      </c>
      <c r="AP1516" t="s">
        <v>3033</v>
      </c>
      <c r="AQ1516" t="s">
        <v>3047</v>
      </c>
      <c r="AR1516" t="s">
        <v>3048</v>
      </c>
      <c r="AS1516" t="s">
        <v>3049</v>
      </c>
      <c r="AU1516" t="s">
        <v>3049</v>
      </c>
    </row>
    <row r="1517" spans="1:47" x14ac:dyDescent="0.35">
      <c r="A1517">
        <v>348178</v>
      </c>
      <c r="B1517" t="s">
        <v>178</v>
      </c>
      <c r="C1517" t="s">
        <v>179</v>
      </c>
      <c r="D1517" s="2">
        <v>45798</v>
      </c>
      <c r="E1517">
        <v>53850</v>
      </c>
      <c r="F1517">
        <v>198</v>
      </c>
      <c r="G1517" t="s">
        <v>300</v>
      </c>
      <c r="H1517" t="s">
        <v>167</v>
      </c>
      <c r="I1517" t="s">
        <v>45</v>
      </c>
      <c r="K1517">
        <v>202505207997806</v>
      </c>
      <c r="L1517">
        <v>1983300002101</v>
      </c>
      <c r="M1517">
        <v>20250520</v>
      </c>
      <c r="N1517" t="s">
        <v>3136</v>
      </c>
      <c r="Q1517" t="s">
        <v>170</v>
      </c>
      <c r="R1517">
        <v>12234.6</v>
      </c>
      <c r="S1517">
        <v>0</v>
      </c>
      <c r="T1517">
        <v>622877</v>
      </c>
      <c r="U1517" t="s">
        <v>1656</v>
      </c>
      <c r="V1517" t="s">
        <v>1657</v>
      </c>
      <c r="W1517" t="s">
        <v>187</v>
      </c>
      <c r="Y1517" t="s">
        <v>51</v>
      </c>
      <c r="Z1517">
        <v>1718</v>
      </c>
      <c r="AH1517">
        <v>0</v>
      </c>
      <c r="AI1517">
        <v>202505</v>
      </c>
      <c r="AJ1517" t="s">
        <v>119</v>
      </c>
      <c r="AK1517">
        <v>1</v>
      </c>
      <c r="AL1517">
        <v>1</v>
      </c>
      <c r="AO1517">
        <v>1</v>
      </c>
      <c r="AP1517" t="s">
        <v>3015</v>
      </c>
      <c r="AQ1517" t="s">
        <v>3044</v>
      </c>
      <c r="AR1517" t="s">
        <v>3045</v>
      </c>
      <c r="AS1517" t="s">
        <v>3046</v>
      </c>
      <c r="AU1517" t="s">
        <v>3046</v>
      </c>
    </row>
    <row r="1518" spans="1:47" x14ac:dyDescent="0.35">
      <c r="A1518">
        <v>348177</v>
      </c>
      <c r="B1518" t="s">
        <v>172</v>
      </c>
      <c r="C1518" t="s">
        <v>173</v>
      </c>
      <c r="D1518" s="2">
        <v>45798</v>
      </c>
      <c r="E1518">
        <v>53850</v>
      </c>
      <c r="F1518">
        <v>131</v>
      </c>
      <c r="G1518" t="s">
        <v>216</v>
      </c>
      <c r="H1518" t="s">
        <v>167</v>
      </c>
      <c r="I1518" t="s">
        <v>45</v>
      </c>
      <c r="K1518">
        <v>202505207997996</v>
      </c>
      <c r="L1518">
        <v>1313300001281</v>
      </c>
      <c r="M1518">
        <v>20250520</v>
      </c>
      <c r="N1518" t="s">
        <v>231</v>
      </c>
      <c r="Q1518" t="s">
        <v>47</v>
      </c>
      <c r="R1518">
        <v>130000</v>
      </c>
      <c r="S1518">
        <v>0</v>
      </c>
      <c r="T1518">
        <v>4053792</v>
      </c>
      <c r="U1518" t="s">
        <v>1658</v>
      </c>
      <c r="V1518" t="s">
        <v>1659</v>
      </c>
      <c r="W1518" t="s">
        <v>187</v>
      </c>
      <c r="Y1518" t="s">
        <v>51</v>
      </c>
      <c r="Z1518">
        <v>826</v>
      </c>
      <c r="AH1518">
        <v>0</v>
      </c>
      <c r="AI1518">
        <v>202505</v>
      </c>
      <c r="AJ1518" t="s">
        <v>86</v>
      </c>
      <c r="AK1518">
        <v>1</v>
      </c>
      <c r="AL1518">
        <v>1</v>
      </c>
      <c r="AO1518">
        <v>0</v>
      </c>
      <c r="AP1518" t="s">
        <v>3015</v>
      </c>
      <c r="AQ1518" t="s">
        <v>3044</v>
      </c>
      <c r="AR1518" t="s">
        <v>3045</v>
      </c>
      <c r="AS1518" t="s">
        <v>3046</v>
      </c>
      <c r="AU1518" t="s">
        <v>3046</v>
      </c>
    </row>
    <row r="1519" spans="1:47" x14ac:dyDescent="0.35">
      <c r="A1519">
        <v>348176</v>
      </c>
      <c r="B1519" t="s">
        <v>178</v>
      </c>
      <c r="C1519" t="s">
        <v>179</v>
      </c>
      <c r="D1519" s="2">
        <v>45798</v>
      </c>
      <c r="E1519">
        <v>53850</v>
      </c>
      <c r="F1519">
        <v>175</v>
      </c>
      <c r="G1519" t="s">
        <v>99</v>
      </c>
      <c r="H1519" t="s">
        <v>167</v>
      </c>
      <c r="I1519" t="s">
        <v>45</v>
      </c>
      <c r="K1519">
        <v>202505207996819</v>
      </c>
      <c r="L1519">
        <v>1753302205383</v>
      </c>
      <c r="M1519">
        <v>20250520</v>
      </c>
      <c r="N1519" t="s">
        <v>46</v>
      </c>
      <c r="P1519" t="s">
        <v>51</v>
      </c>
      <c r="Q1519" t="s">
        <v>47</v>
      </c>
      <c r="R1519">
        <v>310022.93</v>
      </c>
      <c r="S1519">
        <v>0</v>
      </c>
      <c r="T1519">
        <v>4268589</v>
      </c>
      <c r="U1519" t="s">
        <v>1347</v>
      </c>
      <c r="V1519" t="s">
        <v>1348</v>
      </c>
      <c r="W1519" t="s">
        <v>187</v>
      </c>
      <c r="Y1519" t="s">
        <v>51</v>
      </c>
      <c r="Z1519">
        <v>1093</v>
      </c>
      <c r="AH1519">
        <v>0</v>
      </c>
      <c r="AI1519">
        <v>202505</v>
      </c>
      <c r="AJ1519" t="s">
        <v>86</v>
      </c>
      <c r="AK1519">
        <v>1</v>
      </c>
      <c r="AL1519">
        <v>1</v>
      </c>
      <c r="AO1519">
        <v>0</v>
      </c>
      <c r="AP1519" t="s">
        <v>3015</v>
      </c>
      <c r="AQ1519" t="s">
        <v>3044</v>
      </c>
      <c r="AR1519" t="s">
        <v>3045</v>
      </c>
      <c r="AS1519" t="s">
        <v>3046</v>
      </c>
      <c r="AU1519" t="s">
        <v>3046</v>
      </c>
    </row>
    <row r="1520" spans="1:47" x14ac:dyDescent="0.35">
      <c r="A1520">
        <v>348175</v>
      </c>
      <c r="B1520" t="s">
        <v>353</v>
      </c>
      <c r="C1520" t="s">
        <v>354</v>
      </c>
      <c r="D1520" s="2">
        <v>45798</v>
      </c>
      <c r="E1520">
        <v>53850</v>
      </c>
      <c r="F1520">
        <v>149</v>
      </c>
      <c r="G1520" t="s">
        <v>449</v>
      </c>
      <c r="H1520" t="s">
        <v>167</v>
      </c>
      <c r="I1520" t="s">
        <v>45</v>
      </c>
      <c r="K1520">
        <v>202505207996979</v>
      </c>
      <c r="L1520">
        <v>1493300664731</v>
      </c>
      <c r="M1520">
        <v>20250520</v>
      </c>
      <c r="N1520" t="s">
        <v>168</v>
      </c>
      <c r="P1520" t="s">
        <v>203</v>
      </c>
      <c r="Q1520" t="s">
        <v>170</v>
      </c>
      <c r="R1520">
        <v>28000</v>
      </c>
      <c r="S1520">
        <v>0</v>
      </c>
      <c r="T1520">
        <v>4993188</v>
      </c>
      <c r="U1520">
        <v>10155501215</v>
      </c>
      <c r="V1520" t="s">
        <v>1644</v>
      </c>
      <c r="W1520" t="s">
        <v>49</v>
      </c>
      <c r="X1520" t="s">
        <v>1645</v>
      </c>
      <c r="Y1520" t="s">
        <v>51</v>
      </c>
      <c r="Z1520">
        <v>1910</v>
      </c>
      <c r="AH1520">
        <v>0</v>
      </c>
      <c r="AI1520">
        <v>202505</v>
      </c>
      <c r="AJ1520" t="s">
        <v>56</v>
      </c>
      <c r="AK1520">
        <v>0</v>
      </c>
      <c r="AL1520">
        <v>1</v>
      </c>
      <c r="AO1520">
        <v>0</v>
      </c>
      <c r="AP1520" t="s">
        <v>3015</v>
      </c>
      <c r="AQ1520" t="s">
        <v>3012</v>
      </c>
      <c r="AR1520" t="s">
        <v>3016</v>
      </c>
      <c r="AT1520" t="s">
        <v>3017</v>
      </c>
      <c r="AU1520" t="s">
        <v>3018</v>
      </c>
    </row>
    <row r="1521" spans="1:47" x14ac:dyDescent="0.35">
      <c r="A1521">
        <v>348174</v>
      </c>
      <c r="B1521" t="s">
        <v>164</v>
      </c>
      <c r="C1521" t="s">
        <v>165</v>
      </c>
      <c r="D1521" s="2">
        <v>45798</v>
      </c>
      <c r="E1521">
        <v>53850</v>
      </c>
      <c r="F1521">
        <v>114</v>
      </c>
      <c r="G1521" t="s">
        <v>188</v>
      </c>
      <c r="H1521" t="s">
        <v>167</v>
      </c>
      <c r="I1521" t="s">
        <v>45</v>
      </c>
      <c r="K1521" t="s">
        <v>1660</v>
      </c>
      <c r="L1521">
        <v>1143300001238</v>
      </c>
      <c r="M1521">
        <v>20250520</v>
      </c>
      <c r="N1521" t="s">
        <v>168</v>
      </c>
      <c r="P1521" t="s">
        <v>255</v>
      </c>
      <c r="Q1521" t="s">
        <v>47</v>
      </c>
      <c r="R1521">
        <v>4000</v>
      </c>
      <c r="S1521">
        <v>0</v>
      </c>
      <c r="T1521">
        <v>4747564</v>
      </c>
      <c r="U1521" t="s">
        <v>577</v>
      </c>
      <c r="V1521" t="s">
        <v>578</v>
      </c>
      <c r="W1521" t="s">
        <v>187</v>
      </c>
      <c r="Y1521" t="s">
        <v>51</v>
      </c>
      <c r="Z1521">
        <v>804</v>
      </c>
      <c r="AH1521">
        <v>0</v>
      </c>
      <c r="AI1521">
        <v>202505</v>
      </c>
      <c r="AJ1521" t="s">
        <v>52</v>
      </c>
      <c r="AK1521">
        <v>0</v>
      </c>
      <c r="AL1521">
        <v>1</v>
      </c>
      <c r="AO1521">
        <v>0</v>
      </c>
      <c r="AP1521" t="s">
        <v>3015</v>
      </c>
      <c r="AQ1521" t="s">
        <v>3044</v>
      </c>
      <c r="AR1521" t="s">
        <v>3045</v>
      </c>
      <c r="AS1521" t="s">
        <v>3046</v>
      </c>
      <c r="AU1521" t="s">
        <v>3046</v>
      </c>
    </row>
    <row r="1522" spans="1:47" x14ac:dyDescent="0.35">
      <c r="A1522">
        <v>348173</v>
      </c>
      <c r="B1522" t="s">
        <v>164</v>
      </c>
      <c r="C1522" t="s">
        <v>165</v>
      </c>
      <c r="D1522" s="2">
        <v>45798</v>
      </c>
      <c r="E1522">
        <v>53850</v>
      </c>
      <c r="F1522">
        <v>171</v>
      </c>
      <c r="G1522" t="s">
        <v>198</v>
      </c>
      <c r="H1522" t="s">
        <v>167</v>
      </c>
      <c r="I1522" t="s">
        <v>45</v>
      </c>
      <c r="K1522" t="s">
        <v>1661</v>
      </c>
      <c r="L1522">
        <v>1713302215492</v>
      </c>
      <c r="M1522">
        <v>20250520</v>
      </c>
      <c r="N1522" t="s">
        <v>168</v>
      </c>
      <c r="P1522" t="s">
        <v>435</v>
      </c>
      <c r="Q1522" t="s">
        <v>47</v>
      </c>
      <c r="R1522">
        <v>1370.82</v>
      </c>
      <c r="S1522">
        <v>0</v>
      </c>
      <c r="T1522">
        <v>4650898</v>
      </c>
      <c r="U1522">
        <v>7175960728</v>
      </c>
      <c r="V1522" t="s">
        <v>1662</v>
      </c>
      <c r="W1522" t="s">
        <v>49</v>
      </c>
      <c r="X1522" t="s">
        <v>874</v>
      </c>
      <c r="Y1522" t="s">
        <v>51</v>
      </c>
      <c r="Z1522">
        <v>1118</v>
      </c>
      <c r="AH1522">
        <v>0</v>
      </c>
      <c r="AI1522">
        <v>202505</v>
      </c>
      <c r="AJ1522" t="s">
        <v>86</v>
      </c>
      <c r="AK1522">
        <v>1</v>
      </c>
      <c r="AL1522">
        <v>1</v>
      </c>
      <c r="AO1522">
        <v>0</v>
      </c>
      <c r="AP1522" t="s">
        <v>3015</v>
      </c>
      <c r="AQ1522" t="s">
        <v>3012</v>
      </c>
      <c r="AR1522" t="s">
        <v>3016</v>
      </c>
      <c r="AT1522" t="s">
        <v>3017</v>
      </c>
      <c r="AU1522" t="s">
        <v>3018</v>
      </c>
    </row>
    <row r="1523" spans="1:47" x14ac:dyDescent="0.35">
      <c r="A1523">
        <v>348172</v>
      </c>
      <c r="B1523" t="s">
        <v>333</v>
      </c>
      <c r="C1523" t="s">
        <v>334</v>
      </c>
      <c r="D1523" s="2">
        <v>45798</v>
      </c>
      <c r="E1523">
        <v>53850</v>
      </c>
      <c r="F1523">
        <v>99</v>
      </c>
      <c r="G1523" t="s">
        <v>335</v>
      </c>
      <c r="H1523" t="s">
        <v>167</v>
      </c>
      <c r="I1523" t="s">
        <v>45</v>
      </c>
      <c r="K1523">
        <v>202505207997807</v>
      </c>
      <c r="M1523">
        <v>20250520</v>
      </c>
      <c r="N1523" t="s">
        <v>3136</v>
      </c>
      <c r="Q1523" t="s">
        <v>170</v>
      </c>
      <c r="R1523">
        <v>12234.6</v>
      </c>
      <c r="S1523">
        <v>0</v>
      </c>
      <c r="T1523">
        <v>622877</v>
      </c>
      <c r="U1523" t="s">
        <v>1656</v>
      </c>
      <c r="V1523" t="s">
        <v>1657</v>
      </c>
      <c r="W1523" t="s">
        <v>187</v>
      </c>
      <c r="Y1523" t="s">
        <v>51</v>
      </c>
      <c r="Z1523">
        <v>1718</v>
      </c>
      <c r="AH1523">
        <v>0</v>
      </c>
      <c r="AI1523">
        <v>202505</v>
      </c>
      <c r="AJ1523" t="s">
        <v>119</v>
      </c>
      <c r="AK1523">
        <v>1</v>
      </c>
      <c r="AL1523">
        <v>0</v>
      </c>
      <c r="AO1523">
        <v>1</v>
      </c>
      <c r="AP1523" t="s">
        <v>3015</v>
      </c>
      <c r="AQ1523" t="s">
        <v>3044</v>
      </c>
      <c r="AR1523" t="s">
        <v>3045</v>
      </c>
      <c r="AS1523" t="s">
        <v>3046</v>
      </c>
      <c r="AU1523" t="s">
        <v>3046</v>
      </c>
    </row>
    <row r="1524" spans="1:47" x14ac:dyDescent="0.35">
      <c r="A1524">
        <v>348171</v>
      </c>
      <c r="B1524" t="s">
        <v>178</v>
      </c>
      <c r="C1524" t="s">
        <v>179</v>
      </c>
      <c r="D1524" s="2">
        <v>45798</v>
      </c>
      <c r="E1524">
        <v>53850</v>
      </c>
      <c r="F1524">
        <v>103</v>
      </c>
      <c r="G1524" t="s">
        <v>80</v>
      </c>
      <c r="H1524" t="s">
        <v>167</v>
      </c>
      <c r="I1524" t="s">
        <v>45</v>
      </c>
      <c r="K1524">
        <v>202505197997156</v>
      </c>
      <c r="L1524">
        <v>1030050004920</v>
      </c>
      <c r="M1524">
        <v>20250519</v>
      </c>
      <c r="N1524" t="s">
        <v>1663</v>
      </c>
      <c r="Q1524" t="s">
        <v>170</v>
      </c>
      <c r="R1524">
        <v>210004.99</v>
      </c>
      <c r="S1524">
        <v>0</v>
      </c>
      <c r="T1524">
        <v>7973</v>
      </c>
      <c r="U1524" t="s">
        <v>1664</v>
      </c>
      <c r="V1524" t="s">
        <v>1665</v>
      </c>
      <c r="W1524" t="s">
        <v>187</v>
      </c>
      <c r="Y1524" t="s">
        <v>51</v>
      </c>
      <c r="AH1524">
        <v>0</v>
      </c>
      <c r="AI1524">
        <v>202505</v>
      </c>
      <c r="AJ1524" t="s">
        <v>86</v>
      </c>
      <c r="AK1524">
        <v>1</v>
      </c>
      <c r="AL1524">
        <v>1</v>
      </c>
      <c r="AO1524">
        <v>0</v>
      </c>
      <c r="AP1524" t="s">
        <v>3015</v>
      </c>
      <c r="AQ1524" t="s">
        <v>3044</v>
      </c>
      <c r="AR1524" t="s">
        <v>3045</v>
      </c>
      <c r="AS1524" t="s">
        <v>3046</v>
      </c>
      <c r="AU1524" t="s">
        <v>3046</v>
      </c>
    </row>
    <row r="1525" spans="1:47" x14ac:dyDescent="0.35">
      <c r="A1525">
        <v>348170</v>
      </c>
      <c r="B1525" t="s">
        <v>164</v>
      </c>
      <c r="C1525" t="s">
        <v>165</v>
      </c>
      <c r="D1525" s="2">
        <v>45798</v>
      </c>
      <c r="E1525">
        <v>53850</v>
      </c>
      <c r="F1525">
        <v>147</v>
      </c>
      <c r="G1525" t="s">
        <v>771</v>
      </c>
      <c r="H1525" t="s">
        <v>167</v>
      </c>
      <c r="I1525" t="s">
        <v>45</v>
      </c>
      <c r="K1525">
        <v>202505197995739</v>
      </c>
      <c r="L1525">
        <v>1473300005300</v>
      </c>
      <c r="M1525">
        <v>20250519</v>
      </c>
      <c r="N1525" t="s">
        <v>168</v>
      </c>
      <c r="P1525" t="s">
        <v>169</v>
      </c>
      <c r="Q1525" t="s">
        <v>170</v>
      </c>
      <c r="R1525">
        <v>9828</v>
      </c>
      <c r="S1525">
        <v>0</v>
      </c>
      <c r="T1525">
        <v>3735726</v>
      </c>
      <c r="U1525">
        <v>4803200619</v>
      </c>
      <c r="V1525" t="s">
        <v>1666</v>
      </c>
      <c r="W1525" t="s">
        <v>49</v>
      </c>
      <c r="X1525" t="s">
        <v>59</v>
      </c>
      <c r="Y1525" t="s">
        <v>51</v>
      </c>
      <c r="Z1525">
        <v>1356</v>
      </c>
      <c r="AH1525">
        <v>0</v>
      </c>
      <c r="AI1525">
        <v>202505</v>
      </c>
      <c r="AJ1525" t="s">
        <v>56</v>
      </c>
      <c r="AK1525">
        <v>0</v>
      </c>
      <c r="AL1525">
        <v>1</v>
      </c>
      <c r="AO1525">
        <v>0</v>
      </c>
      <c r="AP1525" t="s">
        <v>3015</v>
      </c>
      <c r="AQ1525" t="s">
        <v>3012</v>
      </c>
      <c r="AR1525" t="s">
        <v>3016</v>
      </c>
      <c r="AT1525" t="s">
        <v>3017</v>
      </c>
      <c r="AU1525" t="s">
        <v>3018</v>
      </c>
    </row>
    <row r="1526" spans="1:47" x14ac:dyDescent="0.35">
      <c r="A1526">
        <v>348169</v>
      </c>
      <c r="B1526" t="s">
        <v>193</v>
      </c>
      <c r="C1526" t="s">
        <v>194</v>
      </c>
      <c r="D1526" s="2">
        <v>45797</v>
      </c>
      <c r="E1526">
        <v>53850</v>
      </c>
      <c r="F1526">
        <v>114</v>
      </c>
      <c r="G1526" t="s">
        <v>188</v>
      </c>
      <c r="H1526" t="s">
        <v>167</v>
      </c>
      <c r="I1526" t="s">
        <v>45</v>
      </c>
      <c r="K1526" t="s">
        <v>1667</v>
      </c>
      <c r="L1526">
        <v>1143306280621</v>
      </c>
      <c r="M1526">
        <v>20250519</v>
      </c>
      <c r="N1526" t="s">
        <v>266</v>
      </c>
      <c r="Q1526" t="s">
        <v>47</v>
      </c>
      <c r="R1526">
        <v>76200</v>
      </c>
      <c r="S1526">
        <v>76200</v>
      </c>
      <c r="T1526">
        <v>4658875</v>
      </c>
      <c r="U1526">
        <v>3230890711</v>
      </c>
      <c r="V1526" t="s">
        <v>1363</v>
      </c>
      <c r="W1526" t="s">
        <v>49</v>
      </c>
      <c r="X1526" t="s">
        <v>131</v>
      </c>
      <c r="Y1526" t="s">
        <v>51</v>
      </c>
      <c r="Z1526">
        <v>870</v>
      </c>
      <c r="AH1526">
        <v>0</v>
      </c>
      <c r="AI1526">
        <v>202505</v>
      </c>
      <c r="AJ1526" t="s">
        <v>56</v>
      </c>
      <c r="AK1526">
        <v>0</v>
      </c>
      <c r="AL1526">
        <v>1</v>
      </c>
      <c r="AM1526">
        <v>4658875</v>
      </c>
      <c r="AN1526">
        <v>1</v>
      </c>
      <c r="AO1526">
        <v>0</v>
      </c>
      <c r="AP1526" t="s">
        <v>3033</v>
      </c>
      <c r="AQ1526" t="s">
        <v>3012</v>
      </c>
      <c r="AR1526" t="s">
        <v>3034</v>
      </c>
      <c r="AS1526" t="s">
        <v>3014</v>
      </c>
      <c r="AU1526" t="s">
        <v>3014</v>
      </c>
    </row>
    <row r="1527" spans="1:47" x14ac:dyDescent="0.35">
      <c r="A1527">
        <v>348168</v>
      </c>
      <c r="B1527" t="s">
        <v>193</v>
      </c>
      <c r="C1527" t="s">
        <v>194</v>
      </c>
      <c r="D1527" s="2">
        <v>45797</v>
      </c>
      <c r="E1527">
        <v>53850</v>
      </c>
      <c r="F1527">
        <v>116</v>
      </c>
      <c r="G1527" t="s">
        <v>126</v>
      </c>
      <c r="H1527" t="s">
        <v>167</v>
      </c>
      <c r="I1527" t="s">
        <v>45</v>
      </c>
      <c r="K1527">
        <v>202505197994592</v>
      </c>
      <c r="L1527">
        <v>2343300010453</v>
      </c>
      <c r="M1527">
        <v>20250519</v>
      </c>
      <c r="N1527" t="s">
        <v>195</v>
      </c>
      <c r="Q1527" t="s">
        <v>47</v>
      </c>
      <c r="R1527">
        <v>154339.85</v>
      </c>
      <c r="S1527">
        <v>154339.85</v>
      </c>
      <c r="T1527">
        <v>4247777</v>
      </c>
      <c r="U1527">
        <v>233470236</v>
      </c>
      <c r="V1527" t="s">
        <v>206</v>
      </c>
      <c r="W1527" t="s">
        <v>49</v>
      </c>
      <c r="X1527" t="s">
        <v>117</v>
      </c>
      <c r="Y1527" t="s">
        <v>51</v>
      </c>
      <c r="Z1527">
        <v>1696</v>
      </c>
      <c r="AH1527">
        <v>0</v>
      </c>
      <c r="AI1527">
        <v>202505</v>
      </c>
      <c r="AJ1527" t="s">
        <v>114</v>
      </c>
      <c r="AK1527">
        <v>1</v>
      </c>
      <c r="AL1527">
        <v>1</v>
      </c>
      <c r="AM1527">
        <v>4247777</v>
      </c>
      <c r="AN1527">
        <v>1</v>
      </c>
      <c r="AO1527">
        <v>0</v>
      </c>
      <c r="AP1527" t="s">
        <v>3029</v>
      </c>
      <c r="AQ1527" t="s">
        <v>3012</v>
      </c>
      <c r="AR1527" t="s">
        <v>3030</v>
      </c>
      <c r="AS1527" t="s">
        <v>3014</v>
      </c>
      <c r="AU1527" t="s">
        <v>3014</v>
      </c>
    </row>
    <row r="1528" spans="1:47" x14ac:dyDescent="0.35">
      <c r="A1528">
        <v>348167</v>
      </c>
      <c r="B1528" t="s">
        <v>172</v>
      </c>
      <c r="C1528" t="s">
        <v>173</v>
      </c>
      <c r="D1528" s="2">
        <v>45797</v>
      </c>
      <c r="E1528">
        <v>53850</v>
      </c>
      <c r="F1528">
        <v>102</v>
      </c>
      <c r="G1528" t="s">
        <v>151</v>
      </c>
      <c r="H1528" t="s">
        <v>167</v>
      </c>
      <c r="I1528" t="s">
        <v>45</v>
      </c>
      <c r="K1528">
        <v>202505197994721</v>
      </c>
      <c r="L1528">
        <v>1033306969732</v>
      </c>
      <c r="M1528">
        <v>20250519</v>
      </c>
      <c r="N1528" t="s">
        <v>97</v>
      </c>
      <c r="Q1528" t="s">
        <v>47</v>
      </c>
      <c r="R1528">
        <v>125000</v>
      </c>
      <c r="S1528">
        <v>0</v>
      </c>
      <c r="T1528">
        <v>461958</v>
      </c>
      <c r="U1528" t="s">
        <v>1668</v>
      </c>
      <c r="V1528" t="s">
        <v>1669</v>
      </c>
      <c r="W1528" t="s">
        <v>187</v>
      </c>
      <c r="Y1528" t="s">
        <v>51</v>
      </c>
      <c r="Z1528">
        <v>1912</v>
      </c>
      <c r="AH1528">
        <v>0</v>
      </c>
      <c r="AI1528">
        <v>202505</v>
      </c>
      <c r="AJ1528" t="s">
        <v>86</v>
      </c>
      <c r="AK1528">
        <v>1</v>
      </c>
      <c r="AL1528">
        <v>1</v>
      </c>
      <c r="AO1528">
        <v>0</v>
      </c>
      <c r="AP1528" t="s">
        <v>3015</v>
      </c>
      <c r="AQ1528" t="s">
        <v>3044</v>
      </c>
      <c r="AR1528" t="s">
        <v>3045</v>
      </c>
      <c r="AS1528" t="s">
        <v>3046</v>
      </c>
      <c r="AU1528" t="s">
        <v>3046</v>
      </c>
    </row>
    <row r="1529" spans="1:47" x14ac:dyDescent="0.35">
      <c r="A1529">
        <v>348166</v>
      </c>
      <c r="B1529" t="s">
        <v>178</v>
      </c>
      <c r="C1529" t="s">
        <v>179</v>
      </c>
      <c r="D1529" s="2">
        <v>45797</v>
      </c>
      <c r="E1529">
        <v>53850</v>
      </c>
      <c r="F1529">
        <v>173</v>
      </c>
      <c r="G1529" t="s">
        <v>1409</v>
      </c>
      <c r="H1529" t="s">
        <v>167</v>
      </c>
      <c r="I1529" t="s">
        <v>45</v>
      </c>
      <c r="K1529">
        <v>202505197994686</v>
      </c>
      <c r="L1529">
        <v>1733302704527</v>
      </c>
      <c r="M1529">
        <v>20250519</v>
      </c>
      <c r="N1529" t="s">
        <v>3136</v>
      </c>
      <c r="Q1529" t="s">
        <v>170</v>
      </c>
      <c r="R1529">
        <v>5894.36</v>
      </c>
      <c r="S1529">
        <v>0</v>
      </c>
      <c r="T1529">
        <v>591632</v>
      </c>
      <c r="U1529" t="s">
        <v>1670</v>
      </c>
      <c r="V1529" t="s">
        <v>1671</v>
      </c>
      <c r="W1529" t="s">
        <v>187</v>
      </c>
      <c r="Y1529" t="s">
        <v>51</v>
      </c>
      <c r="Z1529">
        <v>1470</v>
      </c>
      <c r="AH1529">
        <v>0</v>
      </c>
      <c r="AI1529">
        <v>202505</v>
      </c>
      <c r="AJ1529" t="s">
        <v>86</v>
      </c>
      <c r="AK1529">
        <v>1</v>
      </c>
      <c r="AL1529">
        <v>1</v>
      </c>
      <c r="AO1529">
        <v>1</v>
      </c>
      <c r="AP1529" t="s">
        <v>3015</v>
      </c>
      <c r="AQ1529" t="s">
        <v>3044</v>
      </c>
      <c r="AR1529" t="s">
        <v>3045</v>
      </c>
      <c r="AS1529" t="s">
        <v>3046</v>
      </c>
      <c r="AU1529" t="s">
        <v>3046</v>
      </c>
    </row>
    <row r="1530" spans="1:47" x14ac:dyDescent="0.35">
      <c r="A1530">
        <v>348165</v>
      </c>
      <c r="B1530" t="s">
        <v>193</v>
      </c>
      <c r="C1530" t="s">
        <v>194</v>
      </c>
      <c r="D1530" s="2">
        <v>45797</v>
      </c>
      <c r="E1530">
        <v>53850</v>
      </c>
      <c r="F1530">
        <v>102</v>
      </c>
      <c r="G1530" t="s">
        <v>151</v>
      </c>
      <c r="H1530" t="s">
        <v>167</v>
      </c>
      <c r="I1530" t="s">
        <v>45</v>
      </c>
      <c r="K1530" t="s">
        <v>1667</v>
      </c>
      <c r="L1530">
        <v>1023308720537</v>
      </c>
      <c r="M1530">
        <v>20250519</v>
      </c>
      <c r="N1530" t="s">
        <v>175</v>
      </c>
      <c r="Q1530" t="s">
        <v>47</v>
      </c>
      <c r="R1530">
        <v>46620</v>
      </c>
      <c r="S1530">
        <v>46620</v>
      </c>
      <c r="T1530">
        <v>4653840</v>
      </c>
      <c r="U1530">
        <v>7052850729</v>
      </c>
      <c r="V1530" t="s">
        <v>1672</v>
      </c>
      <c r="W1530" t="s">
        <v>49</v>
      </c>
      <c r="X1530" t="s">
        <v>200</v>
      </c>
      <c r="Y1530" t="s">
        <v>51</v>
      </c>
      <c r="Z1530">
        <v>979</v>
      </c>
      <c r="AH1530">
        <v>0</v>
      </c>
      <c r="AI1530">
        <v>202505</v>
      </c>
      <c r="AJ1530" t="s">
        <v>56</v>
      </c>
      <c r="AK1530">
        <v>0</v>
      </c>
      <c r="AL1530">
        <v>1</v>
      </c>
      <c r="AM1530">
        <v>4653840</v>
      </c>
      <c r="AN1530">
        <v>1</v>
      </c>
      <c r="AO1530">
        <v>1</v>
      </c>
      <c r="AP1530" t="s">
        <v>3015</v>
      </c>
      <c r="AQ1530" t="s">
        <v>3012</v>
      </c>
      <c r="AR1530" t="s">
        <v>3016</v>
      </c>
      <c r="AT1530" t="s">
        <v>3017</v>
      </c>
      <c r="AU1530" t="s">
        <v>3018</v>
      </c>
    </row>
    <row r="1531" spans="1:47" x14ac:dyDescent="0.35">
      <c r="A1531">
        <v>348164</v>
      </c>
      <c r="B1531" t="s">
        <v>172</v>
      </c>
      <c r="C1531" t="s">
        <v>173</v>
      </c>
      <c r="D1531" s="2">
        <v>45797</v>
      </c>
      <c r="E1531">
        <v>53850</v>
      </c>
      <c r="F1531">
        <v>116</v>
      </c>
      <c r="G1531" t="s">
        <v>126</v>
      </c>
      <c r="H1531" t="s">
        <v>167</v>
      </c>
      <c r="I1531" t="s">
        <v>45</v>
      </c>
      <c r="K1531">
        <v>202505197994592</v>
      </c>
      <c r="L1531">
        <v>2343300010453</v>
      </c>
      <c r="M1531">
        <v>20250519</v>
      </c>
      <c r="N1531" t="s">
        <v>195</v>
      </c>
      <c r="Q1531" t="s">
        <v>47</v>
      </c>
      <c r="R1531">
        <v>154339.85</v>
      </c>
      <c r="S1531">
        <v>154339.85</v>
      </c>
      <c r="T1531">
        <v>4247777</v>
      </c>
      <c r="U1531">
        <v>233470236</v>
      </c>
      <c r="V1531" t="s">
        <v>206</v>
      </c>
      <c r="W1531" t="s">
        <v>49</v>
      </c>
      <c r="X1531" t="s">
        <v>117</v>
      </c>
      <c r="Y1531" t="s">
        <v>51</v>
      </c>
      <c r="Z1531">
        <v>1696</v>
      </c>
      <c r="AH1531">
        <v>0</v>
      </c>
      <c r="AI1531">
        <v>202505</v>
      </c>
      <c r="AJ1531" t="s">
        <v>114</v>
      </c>
      <c r="AK1531">
        <v>1</v>
      </c>
      <c r="AL1531">
        <v>1</v>
      </c>
      <c r="AM1531">
        <v>4247777</v>
      </c>
      <c r="AN1531">
        <v>1</v>
      </c>
      <c r="AO1531">
        <v>0</v>
      </c>
      <c r="AP1531" t="s">
        <v>3029</v>
      </c>
      <c r="AQ1531" t="s">
        <v>3012</v>
      </c>
      <c r="AR1531" t="s">
        <v>3030</v>
      </c>
      <c r="AS1531" t="s">
        <v>3014</v>
      </c>
      <c r="AU1531" t="s">
        <v>3014</v>
      </c>
    </row>
    <row r="1532" spans="1:47" x14ac:dyDescent="0.35">
      <c r="A1532">
        <v>348163</v>
      </c>
      <c r="B1532" t="s">
        <v>164</v>
      </c>
      <c r="C1532" t="s">
        <v>165</v>
      </c>
      <c r="D1532" s="2">
        <v>45797</v>
      </c>
      <c r="E1532">
        <v>53850</v>
      </c>
      <c r="F1532">
        <v>168</v>
      </c>
      <c r="G1532" t="s">
        <v>616</v>
      </c>
      <c r="H1532" t="s">
        <v>167</v>
      </c>
      <c r="I1532" t="s">
        <v>45</v>
      </c>
      <c r="K1532" t="s">
        <v>1673</v>
      </c>
      <c r="L1532">
        <v>1683306277308</v>
      </c>
      <c r="M1532">
        <v>20250519</v>
      </c>
      <c r="N1532" t="s">
        <v>168</v>
      </c>
      <c r="P1532" t="s">
        <v>255</v>
      </c>
      <c r="Q1532" t="s">
        <v>170</v>
      </c>
      <c r="R1532">
        <v>4300</v>
      </c>
      <c r="S1532">
        <v>0</v>
      </c>
      <c r="T1532">
        <v>4950606</v>
      </c>
      <c r="U1532">
        <v>7856760728</v>
      </c>
      <c r="V1532" t="s">
        <v>1325</v>
      </c>
      <c r="W1532" t="s">
        <v>49</v>
      </c>
      <c r="X1532" t="s">
        <v>686</v>
      </c>
      <c r="Y1532" t="s">
        <v>51</v>
      </c>
      <c r="Z1532">
        <v>1926</v>
      </c>
      <c r="AH1532">
        <v>0</v>
      </c>
      <c r="AI1532">
        <v>202505</v>
      </c>
      <c r="AJ1532" t="s">
        <v>86</v>
      </c>
      <c r="AK1532">
        <v>1</v>
      </c>
      <c r="AL1532">
        <v>1</v>
      </c>
      <c r="AO1532">
        <v>0</v>
      </c>
      <c r="AP1532" t="s">
        <v>3015</v>
      </c>
      <c r="AQ1532" t="s">
        <v>3012</v>
      </c>
      <c r="AR1532" t="s">
        <v>3016</v>
      </c>
      <c r="AT1532" t="s">
        <v>3017</v>
      </c>
      <c r="AU1532" t="s">
        <v>3018</v>
      </c>
    </row>
    <row r="1533" spans="1:47" x14ac:dyDescent="0.35">
      <c r="A1533">
        <v>348162</v>
      </c>
      <c r="B1533" t="s">
        <v>178</v>
      </c>
      <c r="C1533" t="s">
        <v>179</v>
      </c>
      <c r="D1533" s="2">
        <v>45797</v>
      </c>
      <c r="E1533">
        <v>53850</v>
      </c>
      <c r="F1533">
        <v>277</v>
      </c>
      <c r="G1533" t="s">
        <v>505</v>
      </c>
      <c r="H1533" t="s">
        <v>167</v>
      </c>
      <c r="I1533" t="s">
        <v>45</v>
      </c>
      <c r="K1533" t="s">
        <v>1674</v>
      </c>
      <c r="L1533">
        <v>2773300002057</v>
      </c>
      <c r="M1533">
        <v>20250519</v>
      </c>
      <c r="N1533" t="s">
        <v>3136</v>
      </c>
      <c r="Q1533" t="s">
        <v>170</v>
      </c>
      <c r="R1533">
        <v>1048.27</v>
      </c>
      <c r="S1533">
        <v>0</v>
      </c>
      <c r="T1533">
        <v>1676448</v>
      </c>
      <c r="U1533" t="s">
        <v>509</v>
      </c>
      <c r="V1533" t="s">
        <v>510</v>
      </c>
      <c r="W1533" t="s">
        <v>187</v>
      </c>
      <c r="Y1533" t="s">
        <v>51</v>
      </c>
      <c r="Z1533">
        <v>1790</v>
      </c>
      <c r="AH1533">
        <v>0</v>
      </c>
      <c r="AI1533">
        <v>202505</v>
      </c>
      <c r="AJ1533" t="s">
        <v>52</v>
      </c>
      <c r="AK1533">
        <v>0</v>
      </c>
      <c r="AL1533">
        <v>1</v>
      </c>
      <c r="AO1533">
        <v>1</v>
      </c>
      <c r="AP1533" t="s">
        <v>3015</v>
      </c>
      <c r="AQ1533" t="s">
        <v>3044</v>
      </c>
      <c r="AR1533" t="s">
        <v>3045</v>
      </c>
      <c r="AS1533" t="s">
        <v>3046</v>
      </c>
      <c r="AU1533" t="s">
        <v>3046</v>
      </c>
    </row>
    <row r="1534" spans="1:47" x14ac:dyDescent="0.35">
      <c r="A1534">
        <v>348161</v>
      </c>
      <c r="B1534" t="s">
        <v>172</v>
      </c>
      <c r="C1534" t="s">
        <v>173</v>
      </c>
      <c r="D1534" s="2">
        <v>45797</v>
      </c>
      <c r="E1534">
        <v>53850</v>
      </c>
      <c r="F1534">
        <v>102</v>
      </c>
      <c r="G1534" t="s">
        <v>151</v>
      </c>
      <c r="H1534" t="s">
        <v>167</v>
      </c>
      <c r="I1534" t="s">
        <v>45</v>
      </c>
      <c r="K1534">
        <v>202505197994695</v>
      </c>
      <c r="L1534">
        <v>1023308725968</v>
      </c>
      <c r="M1534">
        <v>20250519</v>
      </c>
      <c r="N1534" t="s">
        <v>325</v>
      </c>
      <c r="Q1534" t="s">
        <v>47</v>
      </c>
      <c r="R1534">
        <v>230000</v>
      </c>
      <c r="S1534">
        <v>0</v>
      </c>
      <c r="T1534">
        <v>171922</v>
      </c>
      <c r="U1534" t="s">
        <v>1675</v>
      </c>
      <c r="V1534" t="s">
        <v>1676</v>
      </c>
      <c r="W1534" t="s">
        <v>187</v>
      </c>
      <c r="Y1534" t="s">
        <v>51</v>
      </c>
      <c r="Z1534">
        <v>1648</v>
      </c>
      <c r="AH1534">
        <v>0</v>
      </c>
      <c r="AI1534">
        <v>202505</v>
      </c>
      <c r="AJ1534" t="s">
        <v>86</v>
      </c>
      <c r="AK1534">
        <v>1</v>
      </c>
      <c r="AL1534">
        <v>1</v>
      </c>
      <c r="AO1534">
        <v>0</v>
      </c>
      <c r="AP1534" t="s">
        <v>3015</v>
      </c>
      <c r="AQ1534" t="s">
        <v>3044</v>
      </c>
      <c r="AR1534" t="s">
        <v>3045</v>
      </c>
      <c r="AS1534" t="s">
        <v>3046</v>
      </c>
      <c r="AU1534" t="s">
        <v>3046</v>
      </c>
    </row>
    <row r="1535" spans="1:47" x14ac:dyDescent="0.35">
      <c r="A1535">
        <v>348160</v>
      </c>
      <c r="B1535" t="s">
        <v>333</v>
      </c>
      <c r="C1535" t="s">
        <v>334</v>
      </c>
      <c r="D1535" s="2">
        <v>45797</v>
      </c>
      <c r="E1535">
        <v>53850</v>
      </c>
      <c r="F1535">
        <v>99</v>
      </c>
      <c r="G1535" t="s">
        <v>335</v>
      </c>
      <c r="H1535" t="s">
        <v>167</v>
      </c>
      <c r="I1535" t="s">
        <v>45</v>
      </c>
      <c r="K1535">
        <v>202505197994687</v>
      </c>
      <c r="M1535">
        <v>20250519</v>
      </c>
      <c r="N1535" t="s">
        <v>3136</v>
      </c>
      <c r="Q1535" t="s">
        <v>170</v>
      </c>
      <c r="R1535">
        <v>5894.36</v>
      </c>
      <c r="S1535">
        <v>0</v>
      </c>
      <c r="T1535">
        <v>591632</v>
      </c>
      <c r="U1535" t="s">
        <v>1670</v>
      </c>
      <c r="V1535" t="s">
        <v>1671</v>
      </c>
      <c r="W1535" t="s">
        <v>187</v>
      </c>
      <c r="Y1535" t="s">
        <v>51</v>
      </c>
      <c r="Z1535">
        <v>1470</v>
      </c>
      <c r="AH1535">
        <v>0</v>
      </c>
      <c r="AI1535">
        <v>202505</v>
      </c>
      <c r="AJ1535" t="s">
        <v>86</v>
      </c>
      <c r="AK1535">
        <v>1</v>
      </c>
      <c r="AL1535">
        <v>0</v>
      </c>
      <c r="AO1535">
        <v>1</v>
      </c>
      <c r="AP1535" t="s">
        <v>3015</v>
      </c>
      <c r="AQ1535" t="s">
        <v>3044</v>
      </c>
      <c r="AR1535" t="s">
        <v>3045</v>
      </c>
      <c r="AS1535" t="s">
        <v>3046</v>
      </c>
      <c r="AU1535" t="s">
        <v>3046</v>
      </c>
    </row>
    <row r="1536" spans="1:47" x14ac:dyDescent="0.35">
      <c r="A1536">
        <v>348159</v>
      </c>
      <c r="B1536" t="s">
        <v>178</v>
      </c>
      <c r="C1536" t="s">
        <v>179</v>
      </c>
      <c r="D1536" s="2">
        <v>45797</v>
      </c>
      <c r="E1536">
        <v>53850</v>
      </c>
      <c r="F1536">
        <v>182</v>
      </c>
      <c r="G1536" t="s">
        <v>318</v>
      </c>
      <c r="H1536" t="s">
        <v>167</v>
      </c>
      <c r="I1536" t="s">
        <v>45</v>
      </c>
      <c r="K1536">
        <v>202505197995123</v>
      </c>
      <c r="L1536">
        <v>1823300172332</v>
      </c>
      <c r="M1536">
        <v>20250519</v>
      </c>
      <c r="N1536" t="s">
        <v>1002</v>
      </c>
      <c r="Q1536" t="s">
        <v>47</v>
      </c>
      <c r="R1536">
        <v>260000</v>
      </c>
      <c r="S1536">
        <v>0</v>
      </c>
      <c r="T1536">
        <v>3032172</v>
      </c>
      <c r="U1536" t="s">
        <v>1552</v>
      </c>
      <c r="V1536" t="s">
        <v>1553</v>
      </c>
      <c r="W1536" t="s">
        <v>187</v>
      </c>
      <c r="Y1536" t="s">
        <v>51</v>
      </c>
      <c r="Z1536">
        <v>616</v>
      </c>
      <c r="AH1536">
        <v>0</v>
      </c>
      <c r="AI1536">
        <v>202505</v>
      </c>
      <c r="AJ1536" t="s">
        <v>86</v>
      </c>
      <c r="AK1536">
        <v>1</v>
      </c>
      <c r="AL1536">
        <v>1</v>
      </c>
      <c r="AO1536">
        <v>0</v>
      </c>
      <c r="AP1536" t="s">
        <v>3015</v>
      </c>
      <c r="AQ1536" t="s">
        <v>3044</v>
      </c>
      <c r="AR1536" t="s">
        <v>3045</v>
      </c>
      <c r="AS1536" t="s">
        <v>3046</v>
      </c>
      <c r="AU1536" t="s">
        <v>3046</v>
      </c>
    </row>
    <row r="1537" spans="1:47" x14ac:dyDescent="0.35">
      <c r="A1537">
        <v>348158</v>
      </c>
      <c r="B1537" t="s">
        <v>172</v>
      </c>
      <c r="C1537" t="s">
        <v>173</v>
      </c>
      <c r="D1537" s="2">
        <v>45797</v>
      </c>
      <c r="E1537">
        <v>53850</v>
      </c>
      <c r="F1537">
        <v>196</v>
      </c>
      <c r="G1537" t="s">
        <v>567</v>
      </c>
      <c r="H1537" t="s">
        <v>167</v>
      </c>
      <c r="I1537" t="s">
        <v>45</v>
      </c>
      <c r="K1537">
        <v>202505197995160</v>
      </c>
      <c r="L1537">
        <v>1963302354823</v>
      </c>
      <c r="M1537">
        <v>20250519</v>
      </c>
      <c r="N1537" t="s">
        <v>81</v>
      </c>
      <c r="Q1537" t="s">
        <v>47</v>
      </c>
      <c r="R1537">
        <v>170000</v>
      </c>
      <c r="S1537">
        <v>0</v>
      </c>
      <c r="T1537">
        <v>4988260</v>
      </c>
      <c r="U1537" t="s">
        <v>1677</v>
      </c>
      <c r="V1537" t="s">
        <v>1678</v>
      </c>
      <c r="W1537" t="s">
        <v>69</v>
      </c>
      <c r="X1537" t="s">
        <v>234</v>
      </c>
      <c r="Y1537" t="s">
        <v>51</v>
      </c>
      <c r="Z1537">
        <v>1453</v>
      </c>
      <c r="AH1537">
        <v>0</v>
      </c>
      <c r="AI1537">
        <v>202505</v>
      </c>
      <c r="AJ1537" t="s">
        <v>86</v>
      </c>
      <c r="AK1537">
        <v>1</v>
      </c>
      <c r="AL1537">
        <v>1</v>
      </c>
      <c r="AO1537">
        <v>0</v>
      </c>
      <c r="AP1537" t="s">
        <v>3015</v>
      </c>
      <c r="AQ1537" t="s">
        <v>3021</v>
      </c>
      <c r="AR1537" t="s">
        <v>3022</v>
      </c>
      <c r="AT1537" t="s">
        <v>3017</v>
      </c>
      <c r="AU1537" t="s">
        <v>3014</v>
      </c>
    </row>
    <row r="1538" spans="1:47" x14ac:dyDescent="0.35">
      <c r="A1538">
        <v>348157</v>
      </c>
      <c r="B1538" t="s">
        <v>193</v>
      </c>
      <c r="C1538" t="s">
        <v>194</v>
      </c>
      <c r="D1538" s="2">
        <v>45797</v>
      </c>
      <c r="E1538">
        <v>53850</v>
      </c>
      <c r="F1538">
        <v>268</v>
      </c>
      <c r="G1538" t="s">
        <v>83</v>
      </c>
      <c r="H1538" t="s">
        <v>167</v>
      </c>
      <c r="I1538" t="s">
        <v>45</v>
      </c>
      <c r="K1538">
        <v>202505197994656</v>
      </c>
      <c r="L1538">
        <v>2683300010030</v>
      </c>
      <c r="M1538">
        <v>20250519</v>
      </c>
      <c r="N1538" t="s">
        <v>195</v>
      </c>
      <c r="Q1538" t="s">
        <v>47</v>
      </c>
      <c r="R1538">
        <v>30630</v>
      </c>
      <c r="S1538">
        <v>30630</v>
      </c>
      <c r="T1538">
        <v>4966939</v>
      </c>
      <c r="U1538" t="s">
        <v>221</v>
      </c>
      <c r="V1538" t="s">
        <v>222</v>
      </c>
      <c r="W1538" t="s">
        <v>69</v>
      </c>
      <c r="X1538" t="s">
        <v>55</v>
      </c>
      <c r="Y1538" t="s">
        <v>51</v>
      </c>
      <c r="Z1538">
        <v>1870</v>
      </c>
      <c r="AH1538">
        <v>0</v>
      </c>
      <c r="AI1538">
        <v>202505</v>
      </c>
      <c r="AJ1538" t="s">
        <v>56</v>
      </c>
      <c r="AK1538">
        <v>0</v>
      </c>
      <c r="AL1538">
        <v>1</v>
      </c>
      <c r="AM1538">
        <v>4966939</v>
      </c>
      <c r="AN1538">
        <v>1</v>
      </c>
      <c r="AO1538">
        <v>0</v>
      </c>
      <c r="AP1538" t="s">
        <v>3015</v>
      </c>
      <c r="AQ1538" t="s">
        <v>3021</v>
      </c>
      <c r="AR1538" t="s">
        <v>3022</v>
      </c>
      <c r="AT1538" t="s">
        <v>3017</v>
      </c>
      <c r="AU1538" t="s">
        <v>3014</v>
      </c>
    </row>
    <row r="1539" spans="1:47" x14ac:dyDescent="0.35">
      <c r="A1539">
        <v>348156</v>
      </c>
      <c r="B1539" t="s">
        <v>193</v>
      </c>
      <c r="C1539" t="s">
        <v>194</v>
      </c>
      <c r="D1539" s="2">
        <v>45797</v>
      </c>
      <c r="E1539">
        <v>53850</v>
      </c>
      <c r="F1539">
        <v>170</v>
      </c>
      <c r="G1539" t="s">
        <v>211</v>
      </c>
      <c r="H1539" t="s">
        <v>167</v>
      </c>
      <c r="I1539" t="s">
        <v>45</v>
      </c>
      <c r="K1539" t="s">
        <v>1667</v>
      </c>
      <c r="L1539">
        <v>1703300000428</v>
      </c>
      <c r="M1539">
        <v>20250519</v>
      </c>
      <c r="N1539" t="s">
        <v>195</v>
      </c>
      <c r="Q1539" t="s">
        <v>47</v>
      </c>
      <c r="R1539">
        <v>50000</v>
      </c>
      <c r="S1539">
        <v>50000</v>
      </c>
      <c r="T1539">
        <v>4833134</v>
      </c>
      <c r="U1539">
        <v>7323170725</v>
      </c>
      <c r="V1539" t="s">
        <v>425</v>
      </c>
      <c r="W1539" t="s">
        <v>49</v>
      </c>
      <c r="X1539" t="s">
        <v>413</v>
      </c>
      <c r="Y1539" t="s">
        <v>51</v>
      </c>
      <c r="Z1539">
        <v>694</v>
      </c>
      <c r="AH1539">
        <v>0</v>
      </c>
      <c r="AI1539">
        <v>202505</v>
      </c>
      <c r="AJ1539" t="s">
        <v>56</v>
      </c>
      <c r="AK1539">
        <v>0</v>
      </c>
      <c r="AL1539">
        <v>1</v>
      </c>
      <c r="AM1539">
        <v>4833134</v>
      </c>
      <c r="AN1539">
        <v>1</v>
      </c>
      <c r="AO1539">
        <v>0</v>
      </c>
      <c r="AP1539" t="s">
        <v>3015</v>
      </c>
      <c r="AQ1539" t="s">
        <v>3012</v>
      </c>
      <c r="AR1539" t="s">
        <v>3016</v>
      </c>
      <c r="AT1539" t="s">
        <v>3017</v>
      </c>
      <c r="AU1539" t="s">
        <v>3018</v>
      </c>
    </row>
    <row r="1540" spans="1:47" x14ac:dyDescent="0.35">
      <c r="A1540">
        <v>348155</v>
      </c>
      <c r="B1540" t="s">
        <v>164</v>
      </c>
      <c r="C1540" t="s">
        <v>165</v>
      </c>
      <c r="D1540" s="2">
        <v>45797</v>
      </c>
      <c r="E1540">
        <v>53850</v>
      </c>
      <c r="F1540">
        <v>134</v>
      </c>
      <c r="G1540" t="s">
        <v>804</v>
      </c>
      <c r="H1540" t="s">
        <v>167</v>
      </c>
      <c r="I1540" t="s">
        <v>45</v>
      </c>
      <c r="K1540" t="s">
        <v>1679</v>
      </c>
      <c r="L1540">
        <v>1303300000237</v>
      </c>
      <c r="M1540">
        <v>20250519</v>
      </c>
      <c r="N1540" t="s">
        <v>168</v>
      </c>
      <c r="P1540" t="s">
        <v>255</v>
      </c>
      <c r="Q1540" t="s">
        <v>47</v>
      </c>
      <c r="R1540">
        <v>4000</v>
      </c>
      <c r="S1540">
        <v>0</v>
      </c>
      <c r="T1540">
        <v>4005541</v>
      </c>
      <c r="U1540" t="s">
        <v>806</v>
      </c>
      <c r="V1540" t="s">
        <v>807</v>
      </c>
      <c r="W1540" t="s">
        <v>187</v>
      </c>
      <c r="Y1540" t="s">
        <v>51</v>
      </c>
      <c r="Z1540">
        <v>1659</v>
      </c>
      <c r="AH1540">
        <v>0</v>
      </c>
      <c r="AI1540">
        <v>202505</v>
      </c>
      <c r="AJ1540" t="s">
        <v>114</v>
      </c>
      <c r="AK1540">
        <v>1</v>
      </c>
      <c r="AL1540">
        <v>1</v>
      </c>
      <c r="AO1540">
        <v>0</v>
      </c>
      <c r="AP1540" t="s">
        <v>3015</v>
      </c>
      <c r="AQ1540" t="s">
        <v>3044</v>
      </c>
      <c r="AR1540" t="s">
        <v>3045</v>
      </c>
      <c r="AS1540" t="s">
        <v>3046</v>
      </c>
      <c r="AU1540" t="s">
        <v>3046</v>
      </c>
    </row>
    <row r="1541" spans="1:47" x14ac:dyDescent="0.35">
      <c r="A1541">
        <v>348154</v>
      </c>
      <c r="B1541" t="s">
        <v>193</v>
      </c>
      <c r="C1541" t="s">
        <v>194</v>
      </c>
      <c r="D1541" s="2">
        <v>45797</v>
      </c>
      <c r="E1541">
        <v>53850</v>
      </c>
      <c r="F1541">
        <v>182</v>
      </c>
      <c r="G1541" t="s">
        <v>318</v>
      </c>
      <c r="H1541" t="s">
        <v>167</v>
      </c>
      <c r="I1541" t="s">
        <v>45</v>
      </c>
      <c r="K1541" t="s">
        <v>1667</v>
      </c>
      <c r="L1541">
        <v>1823300169301</v>
      </c>
      <c r="M1541">
        <v>20250519</v>
      </c>
      <c r="N1541" t="s">
        <v>195</v>
      </c>
      <c r="Q1541" t="s">
        <v>47</v>
      </c>
      <c r="R1541">
        <v>39220</v>
      </c>
      <c r="S1541">
        <v>39220</v>
      </c>
      <c r="T1541">
        <v>4284957</v>
      </c>
      <c r="U1541" t="s">
        <v>455</v>
      </c>
      <c r="V1541" t="s">
        <v>456</v>
      </c>
      <c r="W1541" t="s">
        <v>69</v>
      </c>
      <c r="X1541" t="s">
        <v>197</v>
      </c>
      <c r="Y1541" t="s">
        <v>51</v>
      </c>
      <c r="Z1541">
        <v>1656</v>
      </c>
      <c r="AH1541">
        <v>0</v>
      </c>
      <c r="AI1541">
        <v>202505</v>
      </c>
      <c r="AJ1541" t="s">
        <v>56</v>
      </c>
      <c r="AK1541">
        <v>0</v>
      </c>
      <c r="AL1541">
        <v>1</v>
      </c>
      <c r="AM1541">
        <v>4284957</v>
      </c>
      <c r="AN1541">
        <v>1</v>
      </c>
      <c r="AO1541">
        <v>0</v>
      </c>
      <c r="AP1541" t="s">
        <v>3050</v>
      </c>
      <c r="AQ1541" t="s">
        <v>3021</v>
      </c>
      <c r="AR1541" t="s">
        <v>3070</v>
      </c>
      <c r="AS1541" t="s">
        <v>3055</v>
      </c>
      <c r="AU1541" t="s">
        <v>3055</v>
      </c>
    </row>
    <row r="1542" spans="1:47" x14ac:dyDescent="0.35">
      <c r="A1542">
        <v>348153</v>
      </c>
      <c r="B1542" t="s">
        <v>178</v>
      </c>
      <c r="C1542" t="s">
        <v>179</v>
      </c>
      <c r="D1542" s="2">
        <v>45797</v>
      </c>
      <c r="E1542">
        <v>53850</v>
      </c>
      <c r="F1542">
        <v>169</v>
      </c>
      <c r="G1542" t="s">
        <v>57</v>
      </c>
      <c r="H1542" t="s">
        <v>167</v>
      </c>
      <c r="I1542" t="s">
        <v>45</v>
      </c>
      <c r="K1542">
        <v>202505197992531</v>
      </c>
      <c r="L1542">
        <v>1693302225447</v>
      </c>
      <c r="M1542">
        <v>20250519</v>
      </c>
      <c r="N1542" t="s">
        <v>46</v>
      </c>
      <c r="P1542" t="s">
        <v>51</v>
      </c>
      <c r="Q1542" t="s">
        <v>47</v>
      </c>
      <c r="R1542">
        <v>298753.13</v>
      </c>
      <c r="S1542">
        <v>0</v>
      </c>
      <c r="T1542">
        <v>553393</v>
      </c>
      <c r="U1542" t="s">
        <v>1680</v>
      </c>
      <c r="V1542" t="s">
        <v>1681</v>
      </c>
      <c r="W1542" t="s">
        <v>187</v>
      </c>
      <c r="Y1542" t="s">
        <v>51</v>
      </c>
      <c r="Z1542">
        <v>1352</v>
      </c>
      <c r="AH1542">
        <v>0</v>
      </c>
      <c r="AI1542">
        <v>202505</v>
      </c>
      <c r="AJ1542" t="s">
        <v>86</v>
      </c>
      <c r="AK1542">
        <v>1</v>
      </c>
      <c r="AL1542">
        <v>1</v>
      </c>
      <c r="AO1542">
        <v>0</v>
      </c>
      <c r="AP1542" t="s">
        <v>3015</v>
      </c>
      <c r="AQ1542" t="s">
        <v>3044</v>
      </c>
      <c r="AR1542" t="s">
        <v>3045</v>
      </c>
      <c r="AS1542" t="s">
        <v>3046</v>
      </c>
      <c r="AU1542" t="s">
        <v>3046</v>
      </c>
    </row>
    <row r="1543" spans="1:47" x14ac:dyDescent="0.35">
      <c r="A1543">
        <v>348152</v>
      </c>
      <c r="B1543" t="s">
        <v>164</v>
      </c>
      <c r="C1543" t="s">
        <v>165</v>
      </c>
      <c r="D1543" s="2">
        <v>45797</v>
      </c>
      <c r="E1543">
        <v>53850</v>
      </c>
      <c r="F1543">
        <v>119</v>
      </c>
      <c r="G1543" t="s">
        <v>207</v>
      </c>
      <c r="H1543" t="s">
        <v>167</v>
      </c>
      <c r="I1543" t="s">
        <v>45</v>
      </c>
      <c r="K1543" t="s">
        <v>1682</v>
      </c>
      <c r="L1543">
        <v>1193308875001</v>
      </c>
      <c r="M1543">
        <v>20250519</v>
      </c>
      <c r="N1543" t="s">
        <v>168</v>
      </c>
      <c r="P1543" t="s">
        <v>255</v>
      </c>
      <c r="Q1543" t="s">
        <v>47</v>
      </c>
      <c r="R1543">
        <v>2800</v>
      </c>
      <c r="S1543">
        <v>0</v>
      </c>
      <c r="T1543">
        <v>4926288</v>
      </c>
      <c r="U1543" t="s">
        <v>848</v>
      </c>
      <c r="V1543" t="s">
        <v>849</v>
      </c>
      <c r="W1543" t="s">
        <v>69</v>
      </c>
      <c r="X1543" t="s">
        <v>850</v>
      </c>
      <c r="Y1543" t="s">
        <v>51</v>
      </c>
      <c r="Z1543">
        <v>656</v>
      </c>
      <c r="AH1543">
        <v>0</v>
      </c>
      <c r="AI1543">
        <v>202505</v>
      </c>
      <c r="AJ1543" t="s">
        <v>56</v>
      </c>
      <c r="AK1543">
        <v>0</v>
      </c>
      <c r="AL1543">
        <v>1</v>
      </c>
      <c r="AO1543">
        <v>0</v>
      </c>
      <c r="AP1543" t="s">
        <v>3015</v>
      </c>
      <c r="AQ1543" t="s">
        <v>3021</v>
      </c>
      <c r="AR1543" t="s">
        <v>3022</v>
      </c>
      <c r="AT1543" t="s">
        <v>3017</v>
      </c>
      <c r="AU1543" t="s">
        <v>3014</v>
      </c>
    </row>
    <row r="1544" spans="1:47" x14ac:dyDescent="0.35">
      <c r="A1544">
        <v>348151</v>
      </c>
      <c r="B1544" t="s">
        <v>193</v>
      </c>
      <c r="C1544" t="s">
        <v>194</v>
      </c>
      <c r="D1544" s="2">
        <v>45797</v>
      </c>
      <c r="E1544">
        <v>53850</v>
      </c>
      <c r="F1544">
        <v>259</v>
      </c>
      <c r="G1544" t="s">
        <v>361</v>
      </c>
      <c r="H1544" t="s">
        <v>167</v>
      </c>
      <c r="I1544" t="s">
        <v>45</v>
      </c>
      <c r="K1544">
        <v>202505197994602</v>
      </c>
      <c r="L1544">
        <v>2593300000914</v>
      </c>
      <c r="M1544">
        <v>20250519</v>
      </c>
      <c r="N1544" t="s">
        <v>195</v>
      </c>
      <c r="Q1544" t="s">
        <v>47</v>
      </c>
      <c r="R1544">
        <v>32700</v>
      </c>
      <c r="S1544">
        <v>32700</v>
      </c>
      <c r="T1544">
        <v>4960187</v>
      </c>
      <c r="U1544">
        <v>8510340725</v>
      </c>
      <c r="V1544" t="s">
        <v>1683</v>
      </c>
      <c r="W1544" t="s">
        <v>49</v>
      </c>
      <c r="X1544" t="s">
        <v>131</v>
      </c>
      <c r="Y1544" t="s">
        <v>51</v>
      </c>
      <c r="Z1544">
        <v>1578</v>
      </c>
      <c r="AH1544">
        <v>0</v>
      </c>
      <c r="AI1544">
        <v>202505</v>
      </c>
      <c r="AJ1544" t="s">
        <v>56</v>
      </c>
      <c r="AK1544">
        <v>0</v>
      </c>
      <c r="AL1544">
        <v>1</v>
      </c>
      <c r="AM1544">
        <v>4960187</v>
      </c>
      <c r="AN1544">
        <v>1</v>
      </c>
      <c r="AO1544">
        <v>0</v>
      </c>
      <c r="AP1544" t="s">
        <v>3033</v>
      </c>
      <c r="AQ1544" t="s">
        <v>3012</v>
      </c>
      <c r="AR1544" t="s">
        <v>3034</v>
      </c>
      <c r="AS1544" t="s">
        <v>3014</v>
      </c>
      <c r="AU1544" t="s">
        <v>3014</v>
      </c>
    </row>
    <row r="1545" spans="1:47" x14ac:dyDescent="0.35">
      <c r="A1545">
        <v>348150</v>
      </c>
      <c r="B1545" t="s">
        <v>172</v>
      </c>
      <c r="C1545" t="s">
        <v>173</v>
      </c>
      <c r="D1545" s="2">
        <v>45797</v>
      </c>
      <c r="E1545">
        <v>53850</v>
      </c>
      <c r="F1545">
        <v>167</v>
      </c>
      <c r="G1545" t="s">
        <v>278</v>
      </c>
      <c r="H1545" t="s">
        <v>167</v>
      </c>
      <c r="I1545" t="s">
        <v>45</v>
      </c>
      <c r="K1545">
        <v>202505197995026</v>
      </c>
      <c r="L1545">
        <v>1033306971144</v>
      </c>
      <c r="M1545">
        <v>20250519</v>
      </c>
      <c r="N1545" t="s">
        <v>81</v>
      </c>
      <c r="Q1545" t="s">
        <v>47</v>
      </c>
      <c r="R1545">
        <v>103913.4</v>
      </c>
      <c r="S1545">
        <v>0</v>
      </c>
      <c r="T1545">
        <v>4216641</v>
      </c>
      <c r="U1545">
        <v>6103450729</v>
      </c>
      <c r="V1545" t="s">
        <v>1684</v>
      </c>
      <c r="W1545" t="s">
        <v>49</v>
      </c>
      <c r="X1545" t="s">
        <v>96</v>
      </c>
      <c r="Y1545" t="s">
        <v>51</v>
      </c>
      <c r="Z1545">
        <v>1926</v>
      </c>
      <c r="AH1545">
        <v>0</v>
      </c>
      <c r="AI1545">
        <v>202505</v>
      </c>
      <c r="AJ1545" t="s">
        <v>86</v>
      </c>
      <c r="AK1545">
        <v>1</v>
      </c>
      <c r="AL1545">
        <v>1</v>
      </c>
      <c r="AO1545">
        <v>0</v>
      </c>
      <c r="AP1545" t="s">
        <v>3015</v>
      </c>
      <c r="AQ1545" t="s">
        <v>3012</v>
      </c>
      <c r="AR1545" t="s">
        <v>3016</v>
      </c>
      <c r="AT1545" t="s">
        <v>3017</v>
      </c>
      <c r="AU1545" t="s">
        <v>3018</v>
      </c>
    </row>
    <row r="1546" spans="1:47" x14ac:dyDescent="0.35">
      <c r="A1546">
        <v>348149</v>
      </c>
      <c r="B1546" t="s">
        <v>193</v>
      </c>
      <c r="C1546" t="s">
        <v>194</v>
      </c>
      <c r="D1546" s="2">
        <v>45797</v>
      </c>
      <c r="E1546">
        <v>53850</v>
      </c>
      <c r="F1546">
        <v>167</v>
      </c>
      <c r="G1546" t="s">
        <v>278</v>
      </c>
      <c r="H1546" t="s">
        <v>167</v>
      </c>
      <c r="I1546" t="s">
        <v>45</v>
      </c>
      <c r="K1546" t="s">
        <v>1667</v>
      </c>
      <c r="L1546">
        <v>1673300705418</v>
      </c>
      <c r="M1546">
        <v>20250519</v>
      </c>
      <c r="N1546" t="s">
        <v>175</v>
      </c>
      <c r="Q1546" t="s">
        <v>47</v>
      </c>
      <c r="R1546">
        <v>37250</v>
      </c>
      <c r="S1546">
        <v>32650</v>
      </c>
      <c r="T1546">
        <v>3722809</v>
      </c>
      <c r="U1546" t="s">
        <v>1685</v>
      </c>
      <c r="V1546" t="s">
        <v>1686</v>
      </c>
      <c r="W1546" t="s">
        <v>187</v>
      </c>
      <c r="Y1546" t="s">
        <v>51</v>
      </c>
      <c r="Z1546">
        <v>962</v>
      </c>
      <c r="AH1546">
        <v>0</v>
      </c>
      <c r="AI1546">
        <v>202505</v>
      </c>
      <c r="AJ1546" t="s">
        <v>86</v>
      </c>
      <c r="AK1546">
        <v>1</v>
      </c>
      <c r="AL1546">
        <v>1</v>
      </c>
      <c r="AO1546">
        <v>1</v>
      </c>
      <c r="AP1546" t="s">
        <v>3015</v>
      </c>
      <c r="AQ1546" t="s">
        <v>3044</v>
      </c>
      <c r="AR1546" t="s">
        <v>3045</v>
      </c>
      <c r="AS1546" t="s">
        <v>3046</v>
      </c>
      <c r="AU1546" t="s">
        <v>3046</v>
      </c>
    </row>
    <row r="1547" spans="1:47" x14ac:dyDescent="0.35">
      <c r="A1547">
        <v>348148</v>
      </c>
      <c r="B1547" t="s">
        <v>193</v>
      </c>
      <c r="C1547" t="s">
        <v>194</v>
      </c>
      <c r="D1547" s="2">
        <v>45797</v>
      </c>
      <c r="E1547">
        <v>53850</v>
      </c>
      <c r="F1547">
        <v>267</v>
      </c>
      <c r="G1547" t="s">
        <v>349</v>
      </c>
      <c r="H1547" t="s">
        <v>167</v>
      </c>
      <c r="I1547" t="s">
        <v>45</v>
      </c>
      <c r="K1547">
        <v>202505197995219</v>
      </c>
      <c r="L1547">
        <v>2673300003600</v>
      </c>
      <c r="M1547">
        <v>20250519</v>
      </c>
      <c r="N1547" t="s">
        <v>266</v>
      </c>
      <c r="Q1547" t="s">
        <v>47</v>
      </c>
      <c r="R1547">
        <v>86000</v>
      </c>
      <c r="S1547">
        <v>86000</v>
      </c>
      <c r="T1547">
        <v>1705101</v>
      </c>
      <c r="U1547">
        <v>2896870793</v>
      </c>
      <c r="V1547" t="s">
        <v>439</v>
      </c>
      <c r="W1547" t="s">
        <v>190</v>
      </c>
      <c r="X1547" t="s">
        <v>200</v>
      </c>
      <c r="Y1547" t="s">
        <v>51</v>
      </c>
      <c r="Z1547">
        <v>1878</v>
      </c>
      <c r="AH1547">
        <v>0</v>
      </c>
      <c r="AI1547">
        <v>202505</v>
      </c>
      <c r="AJ1547" t="s">
        <v>56</v>
      </c>
      <c r="AK1547">
        <v>0</v>
      </c>
      <c r="AL1547">
        <v>1</v>
      </c>
      <c r="AM1547">
        <v>1705101</v>
      </c>
      <c r="AN1547">
        <v>1</v>
      </c>
      <c r="AO1547">
        <v>0</v>
      </c>
      <c r="AP1547" t="s">
        <v>3015</v>
      </c>
      <c r="AQ1547" t="s">
        <v>3047</v>
      </c>
      <c r="AR1547" t="s">
        <v>3056</v>
      </c>
      <c r="AT1547" t="s">
        <v>3017</v>
      </c>
      <c r="AU1547" t="s">
        <v>3057</v>
      </c>
    </row>
    <row r="1548" spans="1:47" x14ac:dyDescent="0.35">
      <c r="A1548">
        <v>348147</v>
      </c>
      <c r="B1548" t="s">
        <v>172</v>
      </c>
      <c r="C1548" t="s">
        <v>173</v>
      </c>
      <c r="D1548" s="2">
        <v>45797</v>
      </c>
      <c r="E1548">
        <v>53850</v>
      </c>
      <c r="F1548">
        <v>182</v>
      </c>
      <c r="G1548" t="s">
        <v>318</v>
      </c>
      <c r="H1548" t="s">
        <v>167</v>
      </c>
      <c r="I1548" t="s">
        <v>45</v>
      </c>
      <c r="K1548" t="s">
        <v>1667</v>
      </c>
      <c r="L1548">
        <v>1823300169301</v>
      </c>
      <c r="M1548">
        <v>20250519</v>
      </c>
      <c r="N1548" t="s">
        <v>195</v>
      </c>
      <c r="Q1548" t="s">
        <v>47</v>
      </c>
      <c r="R1548">
        <v>39220</v>
      </c>
      <c r="S1548">
        <v>39220</v>
      </c>
      <c r="T1548">
        <v>4284957</v>
      </c>
      <c r="U1548" t="s">
        <v>455</v>
      </c>
      <c r="V1548" t="s">
        <v>456</v>
      </c>
      <c r="W1548" t="s">
        <v>69</v>
      </c>
      <c r="X1548" t="s">
        <v>197</v>
      </c>
      <c r="Y1548" t="s">
        <v>51</v>
      </c>
      <c r="Z1548">
        <v>1656</v>
      </c>
      <c r="AH1548">
        <v>0</v>
      </c>
      <c r="AI1548">
        <v>202505</v>
      </c>
      <c r="AJ1548" t="s">
        <v>56</v>
      </c>
      <c r="AK1548">
        <v>0</v>
      </c>
      <c r="AL1548">
        <v>1</v>
      </c>
      <c r="AM1548">
        <v>4284957</v>
      </c>
      <c r="AN1548">
        <v>1</v>
      </c>
      <c r="AO1548">
        <v>0</v>
      </c>
      <c r="AP1548" t="s">
        <v>3050</v>
      </c>
      <c r="AQ1548" t="s">
        <v>3021</v>
      </c>
      <c r="AR1548" t="s">
        <v>3070</v>
      </c>
      <c r="AS1548" t="s">
        <v>3055</v>
      </c>
      <c r="AU1548" t="s">
        <v>3055</v>
      </c>
    </row>
    <row r="1549" spans="1:47" x14ac:dyDescent="0.35">
      <c r="A1549">
        <v>348146</v>
      </c>
      <c r="B1549" t="s">
        <v>172</v>
      </c>
      <c r="C1549" t="s">
        <v>173</v>
      </c>
      <c r="D1549" s="2">
        <v>45797</v>
      </c>
      <c r="E1549">
        <v>53850</v>
      </c>
      <c r="F1549">
        <v>128</v>
      </c>
      <c r="G1549" t="s">
        <v>94</v>
      </c>
      <c r="H1549" t="s">
        <v>167</v>
      </c>
      <c r="I1549" t="s">
        <v>45</v>
      </c>
      <c r="K1549" t="s">
        <v>1667</v>
      </c>
      <c r="L1549">
        <v>1283300001665</v>
      </c>
      <c r="M1549">
        <v>20250519</v>
      </c>
      <c r="N1549" t="s">
        <v>175</v>
      </c>
      <c r="Q1549" t="s">
        <v>47</v>
      </c>
      <c r="R1549">
        <v>114563.41</v>
      </c>
      <c r="S1549">
        <v>7450</v>
      </c>
      <c r="T1549">
        <v>4254896</v>
      </c>
      <c r="U1549">
        <v>6234730726</v>
      </c>
      <c r="V1549" t="s">
        <v>95</v>
      </c>
      <c r="W1549" t="s">
        <v>49</v>
      </c>
      <c r="X1549" t="s">
        <v>96</v>
      </c>
      <c r="Y1549" t="s">
        <v>51</v>
      </c>
      <c r="Z1549">
        <v>1919</v>
      </c>
      <c r="AH1549">
        <v>0</v>
      </c>
      <c r="AI1549">
        <v>202505</v>
      </c>
      <c r="AJ1549" t="s">
        <v>56</v>
      </c>
      <c r="AK1549">
        <v>0</v>
      </c>
      <c r="AL1549">
        <v>1</v>
      </c>
      <c r="AO1549">
        <v>1</v>
      </c>
      <c r="AP1549" t="s">
        <v>3015</v>
      </c>
      <c r="AQ1549" t="s">
        <v>3012</v>
      </c>
      <c r="AR1549" t="s">
        <v>3016</v>
      </c>
      <c r="AT1549" t="s">
        <v>3017</v>
      </c>
      <c r="AU1549" t="s">
        <v>3018</v>
      </c>
    </row>
    <row r="1550" spans="1:47" x14ac:dyDescent="0.35">
      <c r="A1550">
        <v>348145</v>
      </c>
      <c r="B1550" t="s">
        <v>164</v>
      </c>
      <c r="C1550" t="s">
        <v>165</v>
      </c>
      <c r="D1550" s="2">
        <v>45797</v>
      </c>
      <c r="E1550">
        <v>53850</v>
      </c>
      <c r="F1550">
        <v>261</v>
      </c>
      <c r="G1550" t="s">
        <v>136</v>
      </c>
      <c r="H1550" t="s">
        <v>167</v>
      </c>
      <c r="I1550" t="s">
        <v>45</v>
      </c>
      <c r="K1550" t="s">
        <v>1687</v>
      </c>
      <c r="L1550">
        <v>2613300001265</v>
      </c>
      <c r="M1550">
        <v>20250519</v>
      </c>
      <c r="N1550" t="s">
        <v>168</v>
      </c>
      <c r="P1550" t="s">
        <v>203</v>
      </c>
      <c r="Q1550" t="s">
        <v>47</v>
      </c>
      <c r="R1550">
        <v>3500</v>
      </c>
      <c r="S1550">
        <v>0</v>
      </c>
      <c r="T1550">
        <v>1625403</v>
      </c>
      <c r="U1550" t="s">
        <v>870</v>
      </c>
      <c r="V1550" t="s">
        <v>871</v>
      </c>
      <c r="W1550" t="s">
        <v>187</v>
      </c>
      <c r="Y1550" t="s">
        <v>51</v>
      </c>
      <c r="Z1550">
        <v>1755</v>
      </c>
      <c r="AH1550">
        <v>0</v>
      </c>
      <c r="AI1550">
        <v>202505</v>
      </c>
      <c r="AJ1550" t="s">
        <v>56</v>
      </c>
      <c r="AK1550">
        <v>0</v>
      </c>
      <c r="AL1550">
        <v>1</v>
      </c>
      <c r="AO1550">
        <v>0</v>
      </c>
      <c r="AP1550" t="s">
        <v>3015</v>
      </c>
      <c r="AQ1550" t="s">
        <v>3044</v>
      </c>
      <c r="AR1550" t="s">
        <v>3045</v>
      </c>
      <c r="AS1550" t="s">
        <v>3046</v>
      </c>
      <c r="AU1550" t="s">
        <v>3046</v>
      </c>
    </row>
    <row r="1551" spans="1:47" x14ac:dyDescent="0.35">
      <c r="A1551">
        <v>348144</v>
      </c>
      <c r="B1551" t="s">
        <v>178</v>
      </c>
      <c r="C1551" t="s">
        <v>179</v>
      </c>
      <c r="D1551" s="2">
        <v>45797</v>
      </c>
      <c r="E1551">
        <v>53850</v>
      </c>
      <c r="F1551">
        <v>173</v>
      </c>
      <c r="G1551" t="s">
        <v>1409</v>
      </c>
      <c r="H1551" t="s">
        <v>167</v>
      </c>
      <c r="I1551" t="s">
        <v>45</v>
      </c>
      <c r="K1551">
        <v>202505197994686</v>
      </c>
      <c r="L1551">
        <v>1733302704527</v>
      </c>
      <c r="M1551">
        <v>20250519</v>
      </c>
      <c r="N1551" t="s">
        <v>3136</v>
      </c>
      <c r="Q1551" t="s">
        <v>170</v>
      </c>
      <c r="R1551">
        <v>5894.36</v>
      </c>
      <c r="S1551">
        <v>0</v>
      </c>
      <c r="T1551">
        <v>464730</v>
      </c>
      <c r="U1551" t="s">
        <v>1688</v>
      </c>
      <c r="V1551" t="s">
        <v>1689</v>
      </c>
      <c r="W1551" t="s">
        <v>187</v>
      </c>
      <c r="Y1551" t="s">
        <v>51</v>
      </c>
      <c r="Z1551">
        <v>1470</v>
      </c>
      <c r="AH1551">
        <v>0</v>
      </c>
      <c r="AI1551">
        <v>202505</v>
      </c>
      <c r="AJ1551" t="s">
        <v>86</v>
      </c>
      <c r="AK1551">
        <v>1</v>
      </c>
      <c r="AL1551">
        <v>1</v>
      </c>
      <c r="AO1551">
        <v>1</v>
      </c>
      <c r="AP1551" t="s">
        <v>3015</v>
      </c>
      <c r="AQ1551" t="s">
        <v>3044</v>
      </c>
      <c r="AR1551" t="s">
        <v>3045</v>
      </c>
      <c r="AS1551" t="s">
        <v>3046</v>
      </c>
      <c r="AU1551" t="s">
        <v>3046</v>
      </c>
    </row>
    <row r="1552" spans="1:47" x14ac:dyDescent="0.35">
      <c r="A1552">
        <v>348143</v>
      </c>
      <c r="B1552" t="s">
        <v>214</v>
      </c>
      <c r="C1552" t="s">
        <v>215</v>
      </c>
      <c r="D1552" s="2">
        <v>45797</v>
      </c>
      <c r="E1552">
        <v>53850</v>
      </c>
      <c r="F1552">
        <v>104</v>
      </c>
      <c r="G1552" t="s">
        <v>108</v>
      </c>
      <c r="H1552" t="s">
        <v>167</v>
      </c>
      <c r="I1552" t="s">
        <v>45</v>
      </c>
      <c r="K1552">
        <v>202505197992867</v>
      </c>
      <c r="L1552">
        <v>1041204046489</v>
      </c>
      <c r="M1552">
        <v>20250519</v>
      </c>
      <c r="N1552" t="s">
        <v>168</v>
      </c>
      <c r="P1552" t="s">
        <v>511</v>
      </c>
      <c r="Q1552" t="s">
        <v>170</v>
      </c>
      <c r="R1552">
        <v>55951.3</v>
      </c>
      <c r="S1552">
        <v>0</v>
      </c>
      <c r="T1552">
        <v>4046489</v>
      </c>
      <c r="U1552">
        <v>5063080724</v>
      </c>
      <c r="V1552" t="s">
        <v>1690</v>
      </c>
      <c r="W1552" t="s">
        <v>49</v>
      </c>
      <c r="X1552" t="s">
        <v>241</v>
      </c>
      <c r="Y1552" t="s">
        <v>51</v>
      </c>
      <c r="Z1552">
        <v>1919</v>
      </c>
      <c r="AH1552">
        <v>0</v>
      </c>
      <c r="AI1552">
        <v>202505</v>
      </c>
      <c r="AJ1552" t="s">
        <v>114</v>
      </c>
      <c r="AK1552">
        <v>1</v>
      </c>
      <c r="AL1552">
        <v>1</v>
      </c>
      <c r="AO1552">
        <v>0</v>
      </c>
      <c r="AP1552" t="s">
        <v>3015</v>
      </c>
      <c r="AQ1552" t="s">
        <v>3012</v>
      </c>
      <c r="AR1552" t="s">
        <v>3016</v>
      </c>
      <c r="AT1552" t="s">
        <v>3017</v>
      </c>
      <c r="AU1552" t="s">
        <v>3018</v>
      </c>
    </row>
    <row r="1553" spans="1:47" x14ac:dyDescent="0.35">
      <c r="A1553">
        <v>348142</v>
      </c>
      <c r="B1553" t="s">
        <v>178</v>
      </c>
      <c r="C1553" t="s">
        <v>179</v>
      </c>
      <c r="D1553" s="2">
        <v>45797</v>
      </c>
      <c r="E1553">
        <v>53850</v>
      </c>
      <c r="F1553">
        <v>182</v>
      </c>
      <c r="G1553" t="s">
        <v>318</v>
      </c>
      <c r="H1553" t="s">
        <v>167</v>
      </c>
      <c r="I1553" t="s">
        <v>45</v>
      </c>
      <c r="K1553">
        <v>202505197995123</v>
      </c>
      <c r="L1553">
        <v>1823300172332</v>
      </c>
      <c r="M1553">
        <v>20250519</v>
      </c>
      <c r="N1553" t="s">
        <v>1002</v>
      </c>
      <c r="Q1553" t="s">
        <v>47</v>
      </c>
      <c r="R1553">
        <v>260000</v>
      </c>
      <c r="S1553">
        <v>0</v>
      </c>
      <c r="T1553">
        <v>4778753</v>
      </c>
      <c r="U1553" t="s">
        <v>1549</v>
      </c>
      <c r="V1553" t="s">
        <v>1550</v>
      </c>
      <c r="W1553" t="s">
        <v>187</v>
      </c>
      <c r="Y1553" t="s">
        <v>51</v>
      </c>
      <c r="Z1553">
        <v>616</v>
      </c>
      <c r="AH1553">
        <v>0</v>
      </c>
      <c r="AI1553">
        <v>202505</v>
      </c>
      <c r="AJ1553" t="s">
        <v>86</v>
      </c>
      <c r="AK1553">
        <v>1</v>
      </c>
      <c r="AL1553">
        <v>1</v>
      </c>
      <c r="AO1553">
        <v>0</v>
      </c>
      <c r="AP1553" t="s">
        <v>3015</v>
      </c>
      <c r="AQ1553" t="s">
        <v>3044</v>
      </c>
      <c r="AR1553" t="s">
        <v>3045</v>
      </c>
      <c r="AS1553" t="s">
        <v>3046</v>
      </c>
      <c r="AU1553" t="s">
        <v>3046</v>
      </c>
    </row>
    <row r="1554" spans="1:47" x14ac:dyDescent="0.35">
      <c r="A1554">
        <v>348141</v>
      </c>
      <c r="B1554" t="s">
        <v>172</v>
      </c>
      <c r="C1554" t="s">
        <v>173</v>
      </c>
      <c r="D1554" s="2">
        <v>45797</v>
      </c>
      <c r="E1554">
        <v>53850</v>
      </c>
      <c r="F1554">
        <v>102</v>
      </c>
      <c r="G1554" t="s">
        <v>151</v>
      </c>
      <c r="H1554" t="s">
        <v>167</v>
      </c>
      <c r="I1554" t="s">
        <v>45</v>
      </c>
      <c r="K1554">
        <v>202505197994721</v>
      </c>
      <c r="L1554">
        <v>1033306969732</v>
      </c>
      <c r="M1554">
        <v>20250519</v>
      </c>
      <c r="N1554" t="s">
        <v>97</v>
      </c>
      <c r="Q1554" t="s">
        <v>47</v>
      </c>
      <c r="R1554">
        <v>125000</v>
      </c>
      <c r="S1554">
        <v>0</v>
      </c>
      <c r="T1554">
        <v>480103</v>
      </c>
      <c r="U1554" t="s">
        <v>1691</v>
      </c>
      <c r="V1554" t="s">
        <v>1692</v>
      </c>
      <c r="W1554" t="s">
        <v>342</v>
      </c>
      <c r="X1554" t="s">
        <v>1076</v>
      </c>
      <c r="Y1554" t="s">
        <v>51</v>
      </c>
      <c r="Z1554">
        <v>1912</v>
      </c>
      <c r="AH1554">
        <v>0</v>
      </c>
      <c r="AI1554">
        <v>202505</v>
      </c>
      <c r="AJ1554" t="s">
        <v>86</v>
      </c>
      <c r="AK1554">
        <v>1</v>
      </c>
      <c r="AL1554">
        <v>1</v>
      </c>
      <c r="AO1554">
        <v>0</v>
      </c>
      <c r="AP1554" t="s">
        <v>3015</v>
      </c>
      <c r="AQ1554" t="s">
        <v>3060</v>
      </c>
      <c r="AR1554" t="s">
        <v>3061</v>
      </c>
      <c r="AT1554" t="s">
        <v>3017</v>
      </c>
      <c r="AU1554" t="s">
        <v>3014</v>
      </c>
    </row>
    <row r="1555" spans="1:47" x14ac:dyDescent="0.35">
      <c r="A1555">
        <v>348140</v>
      </c>
      <c r="B1555" t="s">
        <v>193</v>
      </c>
      <c r="C1555" t="s">
        <v>194</v>
      </c>
      <c r="D1555" s="2">
        <v>45797</v>
      </c>
      <c r="E1555">
        <v>53850</v>
      </c>
      <c r="F1555">
        <v>167</v>
      </c>
      <c r="G1555" t="s">
        <v>278</v>
      </c>
      <c r="H1555" t="s">
        <v>167</v>
      </c>
      <c r="I1555" t="s">
        <v>45</v>
      </c>
      <c r="K1555" t="s">
        <v>1667</v>
      </c>
      <c r="L1555">
        <v>1673300705418</v>
      </c>
      <c r="M1555">
        <v>20250519</v>
      </c>
      <c r="N1555" t="s">
        <v>175</v>
      </c>
      <c r="Q1555" t="s">
        <v>47</v>
      </c>
      <c r="R1555">
        <v>37250</v>
      </c>
      <c r="S1555">
        <v>32650</v>
      </c>
      <c r="T1555">
        <v>4047023</v>
      </c>
      <c r="U1555" t="s">
        <v>1693</v>
      </c>
      <c r="V1555" t="s">
        <v>1694</v>
      </c>
      <c r="W1555" t="s">
        <v>187</v>
      </c>
      <c r="Y1555" t="s">
        <v>51</v>
      </c>
      <c r="Z1555">
        <v>962</v>
      </c>
      <c r="AH1555">
        <v>0</v>
      </c>
      <c r="AI1555">
        <v>202505</v>
      </c>
      <c r="AJ1555" t="s">
        <v>86</v>
      </c>
      <c r="AK1555">
        <v>1</v>
      </c>
      <c r="AL1555">
        <v>1</v>
      </c>
      <c r="AO1555">
        <v>1</v>
      </c>
      <c r="AP1555" t="s">
        <v>3015</v>
      </c>
      <c r="AQ1555" t="s">
        <v>3044</v>
      </c>
      <c r="AR1555" t="s">
        <v>3045</v>
      </c>
      <c r="AS1555" t="s">
        <v>3046</v>
      </c>
      <c r="AU1555" t="s">
        <v>3046</v>
      </c>
    </row>
    <row r="1556" spans="1:47" x14ac:dyDescent="0.35">
      <c r="A1556">
        <v>348139</v>
      </c>
      <c r="B1556" t="s">
        <v>172</v>
      </c>
      <c r="C1556" t="s">
        <v>173</v>
      </c>
      <c r="D1556" s="2">
        <v>45797</v>
      </c>
      <c r="E1556">
        <v>53850</v>
      </c>
      <c r="F1556">
        <v>108</v>
      </c>
      <c r="G1556" t="s">
        <v>124</v>
      </c>
      <c r="H1556" t="s">
        <v>167</v>
      </c>
      <c r="I1556" t="s">
        <v>45</v>
      </c>
      <c r="K1556">
        <v>202505197994796</v>
      </c>
      <c r="L1556">
        <v>1083306291316</v>
      </c>
      <c r="M1556">
        <v>20250519</v>
      </c>
      <c r="N1556" t="s">
        <v>231</v>
      </c>
      <c r="Q1556" t="s">
        <v>47</v>
      </c>
      <c r="R1556">
        <v>105298</v>
      </c>
      <c r="S1556">
        <v>0</v>
      </c>
      <c r="T1556">
        <v>4996910</v>
      </c>
      <c r="U1556" t="s">
        <v>1695</v>
      </c>
      <c r="V1556" t="s">
        <v>1696</v>
      </c>
      <c r="W1556" t="s">
        <v>187</v>
      </c>
      <c r="Y1556" t="s">
        <v>51</v>
      </c>
      <c r="Z1556">
        <v>1276</v>
      </c>
      <c r="AH1556">
        <v>0</v>
      </c>
      <c r="AI1556">
        <v>202505</v>
      </c>
      <c r="AJ1556" t="s">
        <v>86</v>
      </c>
      <c r="AK1556">
        <v>1</v>
      </c>
      <c r="AL1556">
        <v>1</v>
      </c>
      <c r="AO1556">
        <v>0</v>
      </c>
      <c r="AP1556" t="s">
        <v>3015</v>
      </c>
      <c r="AQ1556" t="s">
        <v>3044</v>
      </c>
      <c r="AR1556" t="s">
        <v>3045</v>
      </c>
      <c r="AS1556" t="s">
        <v>3046</v>
      </c>
      <c r="AU1556" t="s">
        <v>3046</v>
      </c>
    </row>
    <row r="1557" spans="1:47" x14ac:dyDescent="0.35">
      <c r="A1557">
        <v>348138</v>
      </c>
      <c r="B1557" t="s">
        <v>172</v>
      </c>
      <c r="C1557" t="s">
        <v>173</v>
      </c>
      <c r="D1557" s="2">
        <v>45797</v>
      </c>
      <c r="E1557">
        <v>53850</v>
      </c>
      <c r="F1557">
        <v>102</v>
      </c>
      <c r="G1557" t="s">
        <v>151</v>
      </c>
      <c r="H1557" t="s">
        <v>167</v>
      </c>
      <c r="I1557" t="s">
        <v>45</v>
      </c>
      <c r="K1557">
        <v>202505197994695</v>
      </c>
      <c r="L1557">
        <v>1023308725968</v>
      </c>
      <c r="M1557">
        <v>20250519</v>
      </c>
      <c r="N1557" t="s">
        <v>325</v>
      </c>
      <c r="Q1557" t="s">
        <v>47</v>
      </c>
      <c r="R1557">
        <v>230000</v>
      </c>
      <c r="S1557">
        <v>0</v>
      </c>
      <c r="T1557">
        <v>135562</v>
      </c>
      <c r="U1557" t="s">
        <v>1697</v>
      </c>
      <c r="V1557" t="s">
        <v>1698</v>
      </c>
      <c r="W1557" t="s">
        <v>342</v>
      </c>
      <c r="X1557" t="s">
        <v>736</v>
      </c>
      <c r="Y1557" t="s">
        <v>51</v>
      </c>
      <c r="AH1557">
        <v>0</v>
      </c>
      <c r="AI1557">
        <v>202505</v>
      </c>
      <c r="AJ1557" t="s">
        <v>86</v>
      </c>
      <c r="AK1557">
        <v>1</v>
      </c>
      <c r="AL1557">
        <v>1</v>
      </c>
      <c r="AO1557">
        <v>0</v>
      </c>
      <c r="AP1557" t="s">
        <v>3015</v>
      </c>
      <c r="AQ1557" t="s">
        <v>3060</v>
      </c>
      <c r="AR1557" t="s">
        <v>3061</v>
      </c>
      <c r="AT1557" t="s">
        <v>3017</v>
      </c>
      <c r="AU1557" t="s">
        <v>3014</v>
      </c>
    </row>
    <row r="1558" spans="1:47" x14ac:dyDescent="0.35">
      <c r="A1558">
        <v>348137</v>
      </c>
      <c r="B1558" t="s">
        <v>193</v>
      </c>
      <c r="C1558" t="s">
        <v>194</v>
      </c>
      <c r="D1558" s="2">
        <v>45797</v>
      </c>
      <c r="E1558">
        <v>53850</v>
      </c>
      <c r="F1558">
        <v>102</v>
      </c>
      <c r="G1558" t="s">
        <v>151</v>
      </c>
      <c r="H1558" t="s">
        <v>167</v>
      </c>
      <c r="I1558" t="s">
        <v>45</v>
      </c>
      <c r="K1558" t="s">
        <v>1667</v>
      </c>
      <c r="L1558">
        <v>1023308718942</v>
      </c>
      <c r="M1558">
        <v>20250519</v>
      </c>
      <c r="N1558" t="s">
        <v>266</v>
      </c>
      <c r="Q1558" t="s">
        <v>47</v>
      </c>
      <c r="R1558">
        <v>34040</v>
      </c>
      <c r="S1558">
        <v>34040</v>
      </c>
      <c r="T1558">
        <v>417727</v>
      </c>
      <c r="U1558">
        <v>4700510722</v>
      </c>
      <c r="V1558" t="s">
        <v>1699</v>
      </c>
      <c r="W1558" t="s">
        <v>49</v>
      </c>
      <c r="X1558" t="s">
        <v>1700</v>
      </c>
      <c r="Y1558" t="s">
        <v>51</v>
      </c>
      <c r="Z1558">
        <v>911</v>
      </c>
      <c r="AH1558">
        <v>0</v>
      </c>
      <c r="AI1558">
        <v>202505</v>
      </c>
      <c r="AJ1558" t="s">
        <v>86</v>
      </c>
      <c r="AK1558">
        <v>1</v>
      </c>
      <c r="AL1558">
        <v>1</v>
      </c>
      <c r="AO1558">
        <v>0</v>
      </c>
      <c r="AP1558" t="s">
        <v>3119</v>
      </c>
      <c r="AQ1558" t="s">
        <v>3012</v>
      </c>
      <c r="AR1558" t="s">
        <v>3120</v>
      </c>
      <c r="AS1558" t="s">
        <v>3014</v>
      </c>
      <c r="AU1558" t="s">
        <v>3014</v>
      </c>
    </row>
    <row r="1559" spans="1:47" x14ac:dyDescent="0.35">
      <c r="A1559">
        <v>348136</v>
      </c>
      <c r="B1559" t="s">
        <v>333</v>
      </c>
      <c r="C1559" t="s">
        <v>334</v>
      </c>
      <c r="D1559" s="2">
        <v>45797</v>
      </c>
      <c r="E1559">
        <v>53850</v>
      </c>
      <c r="F1559">
        <v>99</v>
      </c>
      <c r="G1559" t="s">
        <v>335</v>
      </c>
      <c r="H1559" t="s">
        <v>167</v>
      </c>
      <c r="I1559" t="s">
        <v>45</v>
      </c>
      <c r="K1559">
        <v>202505197994687</v>
      </c>
      <c r="M1559">
        <v>20250519</v>
      </c>
      <c r="N1559" t="s">
        <v>3136</v>
      </c>
      <c r="Q1559" t="s">
        <v>170</v>
      </c>
      <c r="R1559">
        <v>5894.36</v>
      </c>
      <c r="S1559">
        <v>0</v>
      </c>
      <c r="T1559">
        <v>464730</v>
      </c>
      <c r="U1559" t="s">
        <v>1688</v>
      </c>
      <c r="V1559" t="s">
        <v>1689</v>
      </c>
      <c r="W1559" t="s">
        <v>187</v>
      </c>
      <c r="Y1559" t="s">
        <v>51</v>
      </c>
      <c r="Z1559">
        <v>1470</v>
      </c>
      <c r="AH1559">
        <v>0</v>
      </c>
      <c r="AI1559">
        <v>202505</v>
      </c>
      <c r="AJ1559" t="s">
        <v>86</v>
      </c>
      <c r="AK1559">
        <v>1</v>
      </c>
      <c r="AL1559">
        <v>0</v>
      </c>
      <c r="AO1559">
        <v>1</v>
      </c>
      <c r="AP1559" t="s">
        <v>3015</v>
      </c>
      <c r="AQ1559" t="s">
        <v>3044</v>
      </c>
      <c r="AR1559" t="s">
        <v>3045</v>
      </c>
      <c r="AS1559" t="s">
        <v>3046</v>
      </c>
      <c r="AU1559" t="s">
        <v>3046</v>
      </c>
    </row>
    <row r="1560" spans="1:47" x14ac:dyDescent="0.35">
      <c r="A1560">
        <v>348135</v>
      </c>
      <c r="B1560" t="s">
        <v>164</v>
      </c>
      <c r="C1560" t="s">
        <v>165</v>
      </c>
      <c r="D1560" s="2">
        <v>45797</v>
      </c>
      <c r="E1560">
        <v>53850</v>
      </c>
      <c r="F1560">
        <v>141</v>
      </c>
      <c r="G1560" t="s">
        <v>105</v>
      </c>
      <c r="H1560" t="s">
        <v>167</v>
      </c>
      <c r="I1560" t="s">
        <v>45</v>
      </c>
      <c r="K1560">
        <v>202505197992873</v>
      </c>
      <c r="L1560">
        <v>1413300004310</v>
      </c>
      <c r="M1560">
        <v>20250519</v>
      </c>
      <c r="N1560" t="s">
        <v>168</v>
      </c>
      <c r="P1560" t="s">
        <v>203</v>
      </c>
      <c r="Q1560" t="s">
        <v>47</v>
      </c>
      <c r="R1560">
        <v>13200</v>
      </c>
      <c r="S1560">
        <v>0</v>
      </c>
      <c r="T1560">
        <v>3737453</v>
      </c>
      <c r="U1560">
        <v>4916910757</v>
      </c>
      <c r="V1560" t="s">
        <v>1701</v>
      </c>
      <c r="W1560" t="s">
        <v>49</v>
      </c>
      <c r="X1560" t="s">
        <v>713</v>
      </c>
      <c r="Y1560" t="s">
        <v>51</v>
      </c>
      <c r="AH1560">
        <v>0</v>
      </c>
      <c r="AI1560">
        <v>202505</v>
      </c>
      <c r="AJ1560" t="s">
        <v>86</v>
      </c>
      <c r="AK1560">
        <v>1</v>
      </c>
      <c r="AL1560">
        <v>1</v>
      </c>
      <c r="AO1560">
        <v>0</v>
      </c>
      <c r="AP1560" t="s">
        <v>3015</v>
      </c>
      <c r="AQ1560" t="s">
        <v>3012</v>
      </c>
      <c r="AR1560" t="s">
        <v>3016</v>
      </c>
      <c r="AT1560" t="s">
        <v>3017</v>
      </c>
      <c r="AU1560" t="s">
        <v>3018</v>
      </c>
    </row>
    <row r="1561" spans="1:47" x14ac:dyDescent="0.35">
      <c r="A1561">
        <v>348134</v>
      </c>
      <c r="B1561" t="s">
        <v>178</v>
      </c>
      <c r="C1561" t="s">
        <v>179</v>
      </c>
      <c r="D1561" s="2">
        <v>45797</v>
      </c>
      <c r="E1561">
        <v>53850</v>
      </c>
      <c r="F1561">
        <v>103</v>
      </c>
      <c r="G1561" t="s">
        <v>80</v>
      </c>
      <c r="H1561" t="s">
        <v>167</v>
      </c>
      <c r="I1561" t="s">
        <v>45</v>
      </c>
      <c r="K1561">
        <v>202505197994728</v>
      </c>
      <c r="L1561">
        <v>1033302886547</v>
      </c>
      <c r="M1561">
        <v>20250519</v>
      </c>
      <c r="N1561" t="s">
        <v>3136</v>
      </c>
      <c r="Q1561" t="s">
        <v>170</v>
      </c>
      <c r="R1561">
        <v>53494.55</v>
      </c>
      <c r="S1561">
        <v>0</v>
      </c>
      <c r="T1561">
        <v>5453</v>
      </c>
      <c r="U1561">
        <v>82000970721</v>
      </c>
      <c r="V1561" t="s">
        <v>1702</v>
      </c>
      <c r="W1561" t="s">
        <v>253</v>
      </c>
      <c r="Y1561" t="s">
        <v>51</v>
      </c>
      <c r="Z1561">
        <v>1926</v>
      </c>
      <c r="AH1561">
        <v>0</v>
      </c>
      <c r="AI1561">
        <v>202505</v>
      </c>
      <c r="AJ1561" t="s">
        <v>56</v>
      </c>
      <c r="AK1561">
        <v>0</v>
      </c>
      <c r="AL1561">
        <v>1</v>
      </c>
      <c r="AO1561">
        <v>1</v>
      </c>
      <c r="AP1561" t="s">
        <v>3015</v>
      </c>
      <c r="AQ1561" t="s">
        <v>3052</v>
      </c>
      <c r="AR1561" t="s">
        <v>3053</v>
      </c>
      <c r="AS1561" t="s">
        <v>3037</v>
      </c>
      <c r="AU1561" t="s">
        <v>3037</v>
      </c>
    </row>
    <row r="1562" spans="1:47" x14ac:dyDescent="0.35">
      <c r="A1562">
        <v>348133</v>
      </c>
      <c r="B1562" t="s">
        <v>193</v>
      </c>
      <c r="C1562" t="s">
        <v>194</v>
      </c>
      <c r="D1562" s="2">
        <v>45797</v>
      </c>
      <c r="E1562">
        <v>53850</v>
      </c>
      <c r="F1562">
        <v>161</v>
      </c>
      <c r="G1562" t="s">
        <v>111</v>
      </c>
      <c r="H1562" t="s">
        <v>167</v>
      </c>
      <c r="I1562" t="s">
        <v>45</v>
      </c>
      <c r="K1562">
        <v>202505197994994</v>
      </c>
      <c r="L1562">
        <v>1613300031333</v>
      </c>
      <c r="M1562">
        <v>20250519</v>
      </c>
      <c r="N1562" t="s">
        <v>266</v>
      </c>
      <c r="Q1562" t="s">
        <v>47</v>
      </c>
      <c r="R1562">
        <v>30500</v>
      </c>
      <c r="S1562">
        <v>30500</v>
      </c>
      <c r="T1562">
        <v>511904</v>
      </c>
      <c r="U1562" t="s">
        <v>388</v>
      </c>
      <c r="V1562" t="s">
        <v>389</v>
      </c>
      <c r="W1562" t="s">
        <v>69</v>
      </c>
      <c r="X1562" t="s">
        <v>55</v>
      </c>
      <c r="Y1562" t="s">
        <v>51</v>
      </c>
      <c r="Z1562">
        <v>857</v>
      </c>
      <c r="AH1562">
        <v>0</v>
      </c>
      <c r="AI1562">
        <v>202505</v>
      </c>
      <c r="AJ1562" t="s">
        <v>56</v>
      </c>
      <c r="AK1562">
        <v>0</v>
      </c>
      <c r="AL1562">
        <v>1</v>
      </c>
      <c r="AM1562">
        <v>511904</v>
      </c>
      <c r="AN1562">
        <v>1</v>
      </c>
      <c r="AO1562">
        <v>0</v>
      </c>
      <c r="AP1562" t="s">
        <v>3015</v>
      </c>
      <c r="AQ1562" t="s">
        <v>3021</v>
      </c>
      <c r="AR1562" t="s">
        <v>3022</v>
      </c>
      <c r="AT1562" t="s">
        <v>3017</v>
      </c>
      <c r="AU1562" t="s">
        <v>3014</v>
      </c>
    </row>
    <row r="1563" spans="1:47" x14ac:dyDescent="0.35">
      <c r="A1563">
        <v>348132</v>
      </c>
      <c r="B1563" t="s">
        <v>178</v>
      </c>
      <c r="C1563" t="s">
        <v>179</v>
      </c>
      <c r="D1563" s="2">
        <v>45797</v>
      </c>
      <c r="E1563">
        <v>53850</v>
      </c>
      <c r="F1563">
        <v>116</v>
      </c>
      <c r="G1563" t="s">
        <v>126</v>
      </c>
      <c r="H1563" t="s">
        <v>167</v>
      </c>
      <c r="I1563" t="s">
        <v>45</v>
      </c>
      <c r="K1563">
        <v>202505197994867</v>
      </c>
      <c r="L1563">
        <v>1163307617735</v>
      </c>
      <c r="M1563">
        <v>20250519</v>
      </c>
      <c r="N1563" t="s">
        <v>236</v>
      </c>
      <c r="P1563" t="s">
        <v>51</v>
      </c>
      <c r="Q1563" t="s">
        <v>170</v>
      </c>
      <c r="R1563">
        <v>340000</v>
      </c>
      <c r="S1563">
        <v>0</v>
      </c>
      <c r="T1563">
        <v>570966</v>
      </c>
      <c r="U1563" t="s">
        <v>1703</v>
      </c>
      <c r="V1563" t="s">
        <v>1704</v>
      </c>
      <c r="W1563" t="s">
        <v>187</v>
      </c>
      <c r="Y1563" t="s">
        <v>51</v>
      </c>
      <c r="Z1563">
        <v>924</v>
      </c>
      <c r="AH1563">
        <v>0</v>
      </c>
      <c r="AI1563">
        <v>202505</v>
      </c>
      <c r="AJ1563" t="s">
        <v>114</v>
      </c>
      <c r="AK1563">
        <v>1</v>
      </c>
      <c r="AL1563">
        <v>1</v>
      </c>
      <c r="AO1563">
        <v>0</v>
      </c>
      <c r="AP1563" t="s">
        <v>3015</v>
      </c>
      <c r="AQ1563" t="s">
        <v>3044</v>
      </c>
      <c r="AR1563" t="s">
        <v>3045</v>
      </c>
      <c r="AS1563" t="s">
        <v>3046</v>
      </c>
      <c r="AU1563" t="s">
        <v>3046</v>
      </c>
    </row>
    <row r="1564" spans="1:47" x14ac:dyDescent="0.35">
      <c r="A1564">
        <v>348131</v>
      </c>
      <c r="B1564" t="s">
        <v>193</v>
      </c>
      <c r="C1564" t="s">
        <v>194</v>
      </c>
      <c r="D1564" s="2">
        <v>45797</v>
      </c>
      <c r="E1564">
        <v>53850</v>
      </c>
      <c r="F1564">
        <v>117</v>
      </c>
      <c r="G1564" t="s">
        <v>490</v>
      </c>
      <c r="H1564" t="s">
        <v>167</v>
      </c>
      <c r="I1564" t="s">
        <v>45</v>
      </c>
      <c r="K1564" t="s">
        <v>1705</v>
      </c>
      <c r="L1564">
        <v>1173300538726</v>
      </c>
      <c r="M1564">
        <v>20250518</v>
      </c>
      <c r="N1564" t="s">
        <v>195</v>
      </c>
      <c r="Q1564" t="s">
        <v>47</v>
      </c>
      <c r="R1564">
        <v>37590</v>
      </c>
      <c r="S1564">
        <v>37590</v>
      </c>
      <c r="T1564">
        <v>4784989</v>
      </c>
      <c r="U1564">
        <v>1269590772</v>
      </c>
      <c r="V1564" t="s">
        <v>492</v>
      </c>
      <c r="W1564" t="s">
        <v>49</v>
      </c>
      <c r="X1564" t="s">
        <v>413</v>
      </c>
      <c r="Y1564" t="s">
        <v>51</v>
      </c>
      <c r="Z1564">
        <v>1926</v>
      </c>
      <c r="AH1564">
        <v>0</v>
      </c>
      <c r="AI1564">
        <v>202505</v>
      </c>
      <c r="AJ1564" t="s">
        <v>56</v>
      </c>
      <c r="AK1564">
        <v>0</v>
      </c>
      <c r="AL1564">
        <v>1</v>
      </c>
      <c r="AM1564">
        <v>4784989</v>
      </c>
      <c r="AN1564">
        <v>1</v>
      </c>
      <c r="AO1564">
        <v>0</v>
      </c>
      <c r="AP1564" t="s">
        <v>3015</v>
      </c>
      <c r="AQ1564" t="s">
        <v>3012</v>
      </c>
      <c r="AR1564" t="s">
        <v>3016</v>
      </c>
      <c r="AT1564" t="s">
        <v>3017</v>
      </c>
      <c r="AU1564" t="s">
        <v>3018</v>
      </c>
    </row>
    <row r="1565" spans="1:47" x14ac:dyDescent="0.35">
      <c r="A1565">
        <v>348130</v>
      </c>
      <c r="B1565" t="s">
        <v>193</v>
      </c>
      <c r="C1565" t="s">
        <v>194</v>
      </c>
      <c r="D1565" s="2">
        <v>45797</v>
      </c>
      <c r="E1565">
        <v>53850</v>
      </c>
      <c r="F1565">
        <v>118</v>
      </c>
      <c r="G1565" t="s">
        <v>254</v>
      </c>
      <c r="H1565" t="s">
        <v>167</v>
      </c>
      <c r="I1565" t="s">
        <v>45</v>
      </c>
      <c r="K1565">
        <v>202505187994075</v>
      </c>
      <c r="L1565">
        <v>1023308722503</v>
      </c>
      <c r="M1565">
        <v>20250518</v>
      </c>
      <c r="N1565" t="s">
        <v>195</v>
      </c>
      <c r="Q1565" t="s">
        <v>47</v>
      </c>
      <c r="R1565">
        <v>18700</v>
      </c>
      <c r="S1565">
        <v>18700</v>
      </c>
      <c r="T1565">
        <v>413650</v>
      </c>
      <c r="U1565">
        <v>3657230722</v>
      </c>
      <c r="V1565" t="s">
        <v>196</v>
      </c>
      <c r="W1565" t="s">
        <v>190</v>
      </c>
      <c r="X1565" t="s">
        <v>197</v>
      </c>
      <c r="Y1565" t="s">
        <v>51</v>
      </c>
      <c r="Z1565">
        <v>1306</v>
      </c>
      <c r="AH1565">
        <v>0</v>
      </c>
      <c r="AI1565">
        <v>202505</v>
      </c>
      <c r="AJ1565" t="s">
        <v>56</v>
      </c>
      <c r="AK1565">
        <v>0</v>
      </c>
      <c r="AL1565">
        <v>1</v>
      </c>
      <c r="AM1565">
        <v>413650</v>
      </c>
      <c r="AN1565">
        <v>1</v>
      </c>
      <c r="AO1565">
        <v>0</v>
      </c>
      <c r="AP1565" t="s">
        <v>3050</v>
      </c>
      <c r="AQ1565" t="s">
        <v>3047</v>
      </c>
      <c r="AR1565" t="s">
        <v>3051</v>
      </c>
      <c r="AS1565" t="s">
        <v>3049</v>
      </c>
      <c r="AU1565" t="s">
        <v>3049</v>
      </c>
    </row>
    <row r="1566" spans="1:47" x14ac:dyDescent="0.35">
      <c r="A1566">
        <v>348129</v>
      </c>
      <c r="B1566" t="s">
        <v>193</v>
      </c>
      <c r="C1566" t="s">
        <v>194</v>
      </c>
      <c r="D1566" s="2">
        <v>45797</v>
      </c>
      <c r="E1566">
        <v>53850</v>
      </c>
      <c r="F1566">
        <v>116</v>
      </c>
      <c r="G1566" t="s">
        <v>126</v>
      </c>
      <c r="H1566" t="s">
        <v>167</v>
      </c>
      <c r="I1566" t="s">
        <v>45</v>
      </c>
      <c r="K1566" t="s">
        <v>1706</v>
      </c>
      <c r="L1566">
        <v>1423300307298</v>
      </c>
      <c r="M1566">
        <v>20250517</v>
      </c>
      <c r="N1566" t="s">
        <v>195</v>
      </c>
      <c r="Q1566" t="s">
        <v>47</v>
      </c>
      <c r="R1566">
        <v>43800</v>
      </c>
      <c r="S1566">
        <v>43800</v>
      </c>
      <c r="T1566">
        <v>4190581</v>
      </c>
      <c r="U1566">
        <v>5161670723</v>
      </c>
      <c r="V1566" t="s">
        <v>1141</v>
      </c>
      <c r="W1566" t="s">
        <v>49</v>
      </c>
      <c r="X1566" t="s">
        <v>590</v>
      </c>
      <c r="Y1566" t="s">
        <v>51</v>
      </c>
      <c r="Z1566">
        <v>1612</v>
      </c>
      <c r="AH1566">
        <v>0</v>
      </c>
      <c r="AI1566">
        <v>202505</v>
      </c>
      <c r="AJ1566" t="s">
        <v>114</v>
      </c>
      <c r="AK1566">
        <v>1</v>
      </c>
      <c r="AL1566">
        <v>1</v>
      </c>
      <c r="AM1566">
        <v>4190581</v>
      </c>
      <c r="AN1566">
        <v>1</v>
      </c>
      <c r="AO1566">
        <v>0</v>
      </c>
      <c r="AP1566" t="s">
        <v>3015</v>
      </c>
      <c r="AQ1566" t="s">
        <v>3012</v>
      </c>
      <c r="AR1566" t="s">
        <v>3016</v>
      </c>
      <c r="AT1566" t="s">
        <v>3017</v>
      </c>
      <c r="AU1566" t="s">
        <v>3018</v>
      </c>
    </row>
    <row r="1567" spans="1:47" x14ac:dyDescent="0.35">
      <c r="A1567">
        <v>348128</v>
      </c>
      <c r="B1567" t="s">
        <v>193</v>
      </c>
      <c r="C1567" t="s">
        <v>194</v>
      </c>
      <c r="D1567" s="2">
        <v>45797</v>
      </c>
      <c r="E1567">
        <v>53850</v>
      </c>
      <c r="F1567">
        <v>109</v>
      </c>
      <c r="G1567" t="s">
        <v>89</v>
      </c>
      <c r="H1567" t="s">
        <v>167</v>
      </c>
      <c r="I1567" t="s">
        <v>45</v>
      </c>
      <c r="K1567" t="s">
        <v>1707</v>
      </c>
      <c r="L1567">
        <v>1093306674001</v>
      </c>
      <c r="M1567">
        <v>20250509</v>
      </c>
      <c r="N1567" t="s">
        <v>266</v>
      </c>
      <c r="Q1567" t="s">
        <v>47</v>
      </c>
      <c r="R1567">
        <v>18360</v>
      </c>
      <c r="S1567">
        <v>18360</v>
      </c>
      <c r="T1567">
        <v>4125303</v>
      </c>
      <c r="U1567" t="s">
        <v>774</v>
      </c>
      <c r="V1567" t="s">
        <v>775</v>
      </c>
      <c r="W1567" t="s">
        <v>69</v>
      </c>
      <c r="X1567" t="s">
        <v>131</v>
      </c>
      <c r="Y1567" t="s">
        <v>51</v>
      </c>
      <c r="Z1567">
        <v>783</v>
      </c>
      <c r="AH1567">
        <v>0</v>
      </c>
      <c r="AI1567">
        <v>202505</v>
      </c>
      <c r="AJ1567" t="s">
        <v>56</v>
      </c>
      <c r="AK1567">
        <v>0</v>
      </c>
      <c r="AL1567">
        <v>1</v>
      </c>
      <c r="AM1567">
        <v>4125303</v>
      </c>
      <c r="AN1567">
        <v>1</v>
      </c>
      <c r="AO1567">
        <v>0</v>
      </c>
      <c r="AP1567" t="s">
        <v>3033</v>
      </c>
      <c r="AQ1567" t="s">
        <v>3021</v>
      </c>
      <c r="AR1567" t="s">
        <v>3054</v>
      </c>
      <c r="AS1567" t="s">
        <v>3055</v>
      </c>
      <c r="AU1567" t="s">
        <v>3055</v>
      </c>
    </row>
    <row r="1568" spans="1:47" x14ac:dyDescent="0.35">
      <c r="A1568">
        <v>348127</v>
      </c>
      <c r="B1568" t="s">
        <v>193</v>
      </c>
      <c r="C1568" t="s">
        <v>194</v>
      </c>
      <c r="D1568" s="2">
        <v>45794</v>
      </c>
      <c r="E1568">
        <v>53850</v>
      </c>
      <c r="F1568">
        <v>119</v>
      </c>
      <c r="G1568" t="s">
        <v>207</v>
      </c>
      <c r="H1568" t="s">
        <v>167</v>
      </c>
      <c r="I1568" t="s">
        <v>45</v>
      </c>
      <c r="K1568">
        <v>202505167986161</v>
      </c>
      <c r="L1568">
        <v>1093306673806</v>
      </c>
      <c r="M1568">
        <v>20250516</v>
      </c>
      <c r="N1568" t="s">
        <v>195</v>
      </c>
      <c r="Q1568" t="s">
        <v>47</v>
      </c>
      <c r="R1568">
        <v>15100</v>
      </c>
      <c r="S1568">
        <v>15100</v>
      </c>
      <c r="T1568">
        <v>4852124</v>
      </c>
      <c r="U1568">
        <v>7886680722</v>
      </c>
      <c r="V1568" t="s">
        <v>1708</v>
      </c>
      <c r="W1568" t="s">
        <v>190</v>
      </c>
      <c r="X1568" t="s">
        <v>131</v>
      </c>
      <c r="Y1568" t="s">
        <v>51</v>
      </c>
      <c r="Z1568">
        <v>1107</v>
      </c>
      <c r="AH1568">
        <v>0</v>
      </c>
      <c r="AI1568">
        <v>202505</v>
      </c>
      <c r="AJ1568" t="s">
        <v>56</v>
      </c>
      <c r="AK1568">
        <v>0</v>
      </c>
      <c r="AL1568">
        <v>1</v>
      </c>
      <c r="AO1568">
        <v>0</v>
      </c>
      <c r="AP1568" t="s">
        <v>3033</v>
      </c>
      <c r="AQ1568" t="s">
        <v>3047</v>
      </c>
      <c r="AR1568" t="s">
        <v>3048</v>
      </c>
      <c r="AS1568" t="s">
        <v>3049</v>
      </c>
      <c r="AU1568" t="s">
        <v>3049</v>
      </c>
    </row>
    <row r="1569" spans="1:47" x14ac:dyDescent="0.35">
      <c r="A1569">
        <v>348126</v>
      </c>
      <c r="B1569" t="s">
        <v>193</v>
      </c>
      <c r="C1569" t="s">
        <v>194</v>
      </c>
      <c r="D1569" s="2">
        <v>45794</v>
      </c>
      <c r="E1569">
        <v>53850</v>
      </c>
      <c r="F1569">
        <v>171</v>
      </c>
      <c r="G1569" t="s">
        <v>198</v>
      </c>
      <c r="H1569" t="s">
        <v>167</v>
      </c>
      <c r="I1569" t="s">
        <v>45</v>
      </c>
      <c r="K1569" t="s">
        <v>1709</v>
      </c>
      <c r="L1569">
        <v>1713305728950</v>
      </c>
      <c r="M1569">
        <v>20250516</v>
      </c>
      <c r="N1569" t="s">
        <v>195</v>
      </c>
      <c r="Q1569" t="s">
        <v>47</v>
      </c>
      <c r="R1569">
        <v>364852.12</v>
      </c>
      <c r="S1569">
        <v>364852.12</v>
      </c>
      <c r="T1569">
        <v>572895</v>
      </c>
      <c r="U1569">
        <v>4161600723</v>
      </c>
      <c r="V1569" t="s">
        <v>199</v>
      </c>
      <c r="W1569" t="s">
        <v>49</v>
      </c>
      <c r="X1569" t="s">
        <v>200</v>
      </c>
      <c r="Y1569" t="s">
        <v>51</v>
      </c>
      <c r="Z1569">
        <v>1903</v>
      </c>
      <c r="AH1569">
        <v>0</v>
      </c>
      <c r="AI1569">
        <v>202505</v>
      </c>
      <c r="AJ1569" t="s">
        <v>86</v>
      </c>
      <c r="AK1569">
        <v>1</v>
      </c>
      <c r="AL1569">
        <v>1</v>
      </c>
      <c r="AM1569">
        <v>572895</v>
      </c>
      <c r="AN1569">
        <v>1</v>
      </c>
      <c r="AO1569">
        <v>0</v>
      </c>
      <c r="AP1569" t="s">
        <v>3015</v>
      </c>
      <c r="AQ1569" t="s">
        <v>3012</v>
      </c>
      <c r="AR1569" t="s">
        <v>3016</v>
      </c>
      <c r="AT1569" t="s">
        <v>3017</v>
      </c>
      <c r="AU1569" t="s">
        <v>3018</v>
      </c>
    </row>
    <row r="1570" spans="1:47" x14ac:dyDescent="0.35">
      <c r="A1570">
        <v>348125</v>
      </c>
      <c r="B1570" t="s">
        <v>178</v>
      </c>
      <c r="C1570" t="s">
        <v>179</v>
      </c>
      <c r="D1570" s="2">
        <v>45794</v>
      </c>
      <c r="E1570">
        <v>53850</v>
      </c>
      <c r="F1570">
        <v>102</v>
      </c>
      <c r="G1570" t="s">
        <v>151</v>
      </c>
      <c r="H1570" t="s">
        <v>167</v>
      </c>
      <c r="I1570" t="s">
        <v>45</v>
      </c>
      <c r="K1570">
        <v>202505167985582</v>
      </c>
      <c r="L1570">
        <v>1023308728031</v>
      </c>
      <c r="M1570">
        <v>20250516</v>
      </c>
      <c r="N1570" t="s">
        <v>659</v>
      </c>
      <c r="Q1570" t="s">
        <v>170</v>
      </c>
      <c r="R1570">
        <v>1401654.56</v>
      </c>
      <c r="S1570">
        <v>0</v>
      </c>
      <c r="T1570">
        <v>3033613</v>
      </c>
      <c r="U1570">
        <v>5066690156</v>
      </c>
      <c r="V1570" t="s">
        <v>1710</v>
      </c>
      <c r="W1570" t="s">
        <v>49</v>
      </c>
      <c r="X1570" t="s">
        <v>1711</v>
      </c>
      <c r="Y1570" t="s">
        <v>51</v>
      </c>
      <c r="Z1570">
        <v>1203</v>
      </c>
      <c r="AH1570">
        <v>0</v>
      </c>
      <c r="AI1570">
        <v>202505</v>
      </c>
      <c r="AJ1570" t="s">
        <v>86</v>
      </c>
      <c r="AK1570">
        <v>1</v>
      </c>
      <c r="AL1570">
        <v>1</v>
      </c>
      <c r="AO1570">
        <v>0</v>
      </c>
      <c r="AP1570" t="s">
        <v>3015</v>
      </c>
      <c r="AQ1570" t="s">
        <v>3012</v>
      </c>
      <c r="AR1570" t="s">
        <v>3016</v>
      </c>
      <c r="AT1570" t="s">
        <v>3017</v>
      </c>
      <c r="AU1570" t="s">
        <v>3018</v>
      </c>
    </row>
    <row r="1571" spans="1:47" x14ac:dyDescent="0.35">
      <c r="A1571">
        <v>348124</v>
      </c>
      <c r="B1571" t="s">
        <v>178</v>
      </c>
      <c r="C1571" t="s">
        <v>179</v>
      </c>
      <c r="D1571" s="2">
        <v>45794</v>
      </c>
      <c r="E1571">
        <v>53850</v>
      </c>
      <c r="F1571">
        <v>109</v>
      </c>
      <c r="G1571" t="s">
        <v>89</v>
      </c>
      <c r="H1571" t="s">
        <v>167</v>
      </c>
      <c r="I1571" t="s">
        <v>45</v>
      </c>
      <c r="K1571">
        <v>202505167985905</v>
      </c>
      <c r="L1571">
        <v>1093306673999</v>
      </c>
      <c r="M1571">
        <v>20250516</v>
      </c>
      <c r="N1571" t="s">
        <v>659</v>
      </c>
      <c r="Q1571" t="s">
        <v>170</v>
      </c>
      <c r="R1571">
        <v>1138611.3600000001</v>
      </c>
      <c r="S1571">
        <v>0</v>
      </c>
      <c r="T1571">
        <v>4843798</v>
      </c>
      <c r="U1571">
        <v>267480721</v>
      </c>
      <c r="V1571" t="s">
        <v>1712</v>
      </c>
      <c r="W1571" t="s">
        <v>49</v>
      </c>
      <c r="X1571" t="s">
        <v>213</v>
      </c>
      <c r="Y1571" t="s">
        <v>51</v>
      </c>
      <c r="Z1571">
        <v>1903</v>
      </c>
      <c r="AH1571">
        <v>0</v>
      </c>
      <c r="AI1571">
        <v>202505</v>
      </c>
      <c r="AJ1571" t="s">
        <v>86</v>
      </c>
      <c r="AK1571">
        <v>1</v>
      </c>
      <c r="AL1571">
        <v>1</v>
      </c>
      <c r="AO1571">
        <v>0</v>
      </c>
      <c r="AP1571" t="s">
        <v>3015</v>
      </c>
      <c r="AQ1571" t="s">
        <v>3012</v>
      </c>
      <c r="AR1571" t="s">
        <v>3016</v>
      </c>
      <c r="AT1571" t="s">
        <v>3017</v>
      </c>
      <c r="AU1571" t="s">
        <v>3018</v>
      </c>
    </row>
    <row r="1572" spans="1:47" x14ac:dyDescent="0.35">
      <c r="A1572">
        <v>348123</v>
      </c>
      <c r="B1572" t="s">
        <v>178</v>
      </c>
      <c r="C1572" t="s">
        <v>179</v>
      </c>
      <c r="D1572" s="2">
        <v>45794</v>
      </c>
      <c r="E1572">
        <v>53850</v>
      </c>
      <c r="F1572">
        <v>187</v>
      </c>
      <c r="G1572" t="s">
        <v>251</v>
      </c>
      <c r="H1572" t="s">
        <v>167</v>
      </c>
      <c r="I1572" t="s">
        <v>45</v>
      </c>
      <c r="K1572">
        <v>202505167984032</v>
      </c>
      <c r="L1572">
        <v>999361870311</v>
      </c>
      <c r="M1572">
        <v>20250516</v>
      </c>
      <c r="N1572" t="s">
        <v>168</v>
      </c>
      <c r="P1572" t="s">
        <v>1713</v>
      </c>
      <c r="Q1572" t="s">
        <v>170</v>
      </c>
      <c r="R1572">
        <v>1828906.67</v>
      </c>
      <c r="S1572">
        <v>0</v>
      </c>
      <c r="T1572">
        <v>3004644</v>
      </c>
      <c r="U1572">
        <v>80008750731</v>
      </c>
      <c r="V1572" t="s">
        <v>252</v>
      </c>
      <c r="W1572" t="s">
        <v>253</v>
      </c>
      <c r="Y1572" t="s">
        <v>51</v>
      </c>
      <c r="Z1572">
        <v>1627</v>
      </c>
      <c r="AH1572">
        <v>0</v>
      </c>
      <c r="AI1572">
        <v>202505</v>
      </c>
      <c r="AJ1572" t="s">
        <v>56</v>
      </c>
      <c r="AK1572">
        <v>0</v>
      </c>
      <c r="AL1572">
        <v>1</v>
      </c>
      <c r="AO1572">
        <v>0</v>
      </c>
      <c r="AP1572" t="s">
        <v>3015</v>
      </c>
      <c r="AQ1572" t="s">
        <v>3052</v>
      </c>
      <c r="AR1572" t="s">
        <v>3053</v>
      </c>
      <c r="AS1572" t="s">
        <v>3037</v>
      </c>
      <c r="AU1572" t="s">
        <v>3037</v>
      </c>
    </row>
    <row r="1573" spans="1:47" x14ac:dyDescent="0.35">
      <c r="A1573">
        <v>348122</v>
      </c>
      <c r="B1573" t="s">
        <v>178</v>
      </c>
      <c r="C1573" t="s">
        <v>179</v>
      </c>
      <c r="D1573" s="2">
        <v>45794</v>
      </c>
      <c r="E1573">
        <v>53850</v>
      </c>
      <c r="F1573">
        <v>114</v>
      </c>
      <c r="G1573" t="s">
        <v>188</v>
      </c>
      <c r="H1573" t="s">
        <v>167</v>
      </c>
      <c r="I1573" t="s">
        <v>45</v>
      </c>
      <c r="K1573">
        <v>202505167986712</v>
      </c>
      <c r="L1573">
        <v>1143306280450</v>
      </c>
      <c r="M1573">
        <v>20250516</v>
      </c>
      <c r="N1573" t="s">
        <v>3136</v>
      </c>
      <c r="Q1573" t="s">
        <v>170</v>
      </c>
      <c r="R1573">
        <v>39861.81</v>
      </c>
      <c r="S1573">
        <v>0</v>
      </c>
      <c r="T1573">
        <v>4585160</v>
      </c>
      <c r="U1573">
        <v>2073300713</v>
      </c>
      <c r="V1573" t="s">
        <v>1714</v>
      </c>
      <c r="W1573" t="s">
        <v>49</v>
      </c>
      <c r="X1573" t="s">
        <v>413</v>
      </c>
      <c r="Y1573" t="s">
        <v>51</v>
      </c>
      <c r="Z1573">
        <v>519</v>
      </c>
      <c r="AH1573">
        <v>0</v>
      </c>
      <c r="AI1573">
        <v>202505</v>
      </c>
      <c r="AJ1573" t="s">
        <v>56</v>
      </c>
      <c r="AK1573">
        <v>0</v>
      </c>
      <c r="AL1573">
        <v>1</v>
      </c>
      <c r="AO1573">
        <v>1</v>
      </c>
      <c r="AP1573" t="s">
        <v>3015</v>
      </c>
      <c r="AQ1573" t="s">
        <v>3012</v>
      </c>
      <c r="AR1573" t="s">
        <v>3016</v>
      </c>
      <c r="AT1573" t="s">
        <v>3017</v>
      </c>
      <c r="AU1573" t="s">
        <v>3018</v>
      </c>
    </row>
    <row r="1574" spans="1:47" x14ac:dyDescent="0.35">
      <c r="A1574">
        <v>348121</v>
      </c>
      <c r="B1574" t="s">
        <v>172</v>
      </c>
      <c r="C1574" t="s">
        <v>173</v>
      </c>
      <c r="D1574" s="2">
        <v>45794</v>
      </c>
      <c r="E1574">
        <v>53850</v>
      </c>
      <c r="F1574">
        <v>121</v>
      </c>
      <c r="G1574" t="s">
        <v>140</v>
      </c>
      <c r="H1574" t="s">
        <v>167</v>
      </c>
      <c r="I1574" t="s">
        <v>45</v>
      </c>
      <c r="K1574">
        <v>202505167986741</v>
      </c>
      <c r="L1574">
        <v>1213300002971</v>
      </c>
      <c r="M1574">
        <v>20250516</v>
      </c>
      <c r="N1574" t="s">
        <v>81</v>
      </c>
      <c r="Q1574" t="s">
        <v>47</v>
      </c>
      <c r="R1574">
        <v>150000</v>
      </c>
      <c r="S1574">
        <v>0</v>
      </c>
      <c r="T1574">
        <v>4859756</v>
      </c>
      <c r="U1574">
        <v>7229510727</v>
      </c>
      <c r="V1574" t="s">
        <v>1564</v>
      </c>
      <c r="W1574" t="s">
        <v>49</v>
      </c>
      <c r="X1574" t="s">
        <v>381</v>
      </c>
      <c r="Y1574" t="s">
        <v>51</v>
      </c>
      <c r="Z1574">
        <v>1058</v>
      </c>
      <c r="AH1574">
        <v>0</v>
      </c>
      <c r="AI1574">
        <v>202505</v>
      </c>
      <c r="AJ1574" t="s">
        <v>52</v>
      </c>
      <c r="AK1574">
        <v>0</v>
      </c>
      <c r="AL1574">
        <v>1</v>
      </c>
      <c r="AO1574">
        <v>0</v>
      </c>
      <c r="AP1574" t="s">
        <v>3015</v>
      </c>
      <c r="AQ1574" t="s">
        <v>3012</v>
      </c>
      <c r="AR1574" t="s">
        <v>3016</v>
      </c>
      <c r="AT1574" t="s">
        <v>3017</v>
      </c>
      <c r="AU1574" t="s">
        <v>3018</v>
      </c>
    </row>
    <row r="1575" spans="1:47" x14ac:dyDescent="0.35">
      <c r="A1575">
        <v>348120</v>
      </c>
      <c r="B1575" t="s">
        <v>178</v>
      </c>
      <c r="C1575" t="s">
        <v>179</v>
      </c>
      <c r="D1575" s="2">
        <v>45794</v>
      </c>
      <c r="E1575">
        <v>53850</v>
      </c>
      <c r="F1575">
        <v>173</v>
      </c>
      <c r="G1575" t="s">
        <v>1409</v>
      </c>
      <c r="H1575" t="s">
        <v>167</v>
      </c>
      <c r="I1575" t="s">
        <v>45</v>
      </c>
      <c r="K1575">
        <v>202505167986883</v>
      </c>
      <c r="L1575">
        <v>1733302705276</v>
      </c>
      <c r="M1575">
        <v>20250516</v>
      </c>
      <c r="N1575" t="s">
        <v>236</v>
      </c>
      <c r="P1575" t="s">
        <v>51</v>
      </c>
      <c r="Q1575" t="s">
        <v>170</v>
      </c>
      <c r="R1575">
        <v>400000</v>
      </c>
      <c r="S1575">
        <v>0</v>
      </c>
      <c r="T1575">
        <v>4792738</v>
      </c>
      <c r="U1575" t="s">
        <v>1715</v>
      </c>
      <c r="V1575" t="s">
        <v>1716</v>
      </c>
      <c r="W1575" t="s">
        <v>187</v>
      </c>
      <c r="Y1575" t="s">
        <v>51</v>
      </c>
      <c r="Z1575">
        <v>1179</v>
      </c>
      <c r="AH1575">
        <v>0</v>
      </c>
      <c r="AI1575">
        <v>202505</v>
      </c>
      <c r="AJ1575" t="s">
        <v>86</v>
      </c>
      <c r="AK1575">
        <v>1</v>
      </c>
      <c r="AL1575">
        <v>1</v>
      </c>
      <c r="AO1575">
        <v>0</v>
      </c>
      <c r="AP1575" t="s">
        <v>3015</v>
      </c>
      <c r="AQ1575" t="s">
        <v>3044</v>
      </c>
      <c r="AR1575" t="s">
        <v>3045</v>
      </c>
      <c r="AS1575" t="s">
        <v>3046</v>
      </c>
      <c r="AU1575" t="s">
        <v>3046</v>
      </c>
    </row>
    <row r="1576" spans="1:47" x14ac:dyDescent="0.35">
      <c r="A1576">
        <v>348119</v>
      </c>
      <c r="B1576" t="s">
        <v>193</v>
      </c>
      <c r="C1576" t="s">
        <v>194</v>
      </c>
      <c r="D1576" s="2">
        <v>45794</v>
      </c>
      <c r="E1576">
        <v>53850</v>
      </c>
      <c r="F1576">
        <v>174</v>
      </c>
      <c r="G1576" t="s">
        <v>224</v>
      </c>
      <c r="H1576" t="s">
        <v>167</v>
      </c>
      <c r="I1576" t="s">
        <v>45</v>
      </c>
      <c r="K1576" t="s">
        <v>1709</v>
      </c>
      <c r="L1576">
        <v>1743302879903</v>
      </c>
      <c r="M1576">
        <v>20250516</v>
      </c>
      <c r="N1576" t="s">
        <v>175</v>
      </c>
      <c r="Q1576" t="s">
        <v>47</v>
      </c>
      <c r="R1576">
        <v>70995.5</v>
      </c>
      <c r="S1576">
        <v>55770</v>
      </c>
      <c r="T1576">
        <v>4928259</v>
      </c>
      <c r="U1576">
        <v>8287320728</v>
      </c>
      <c r="V1576" t="s">
        <v>1171</v>
      </c>
      <c r="W1576" t="s">
        <v>49</v>
      </c>
      <c r="X1576" t="s">
        <v>117</v>
      </c>
      <c r="Y1576" t="s">
        <v>51</v>
      </c>
      <c r="Z1576">
        <v>448</v>
      </c>
      <c r="AH1576">
        <v>0</v>
      </c>
      <c r="AI1576">
        <v>202505</v>
      </c>
      <c r="AJ1576" t="s">
        <v>52</v>
      </c>
      <c r="AK1576">
        <v>0</v>
      </c>
      <c r="AL1576">
        <v>1</v>
      </c>
      <c r="AM1576">
        <v>4928259</v>
      </c>
      <c r="AN1576">
        <v>1</v>
      </c>
      <c r="AO1576">
        <v>1</v>
      </c>
      <c r="AP1576" t="s">
        <v>3029</v>
      </c>
      <c r="AQ1576" t="s">
        <v>3012</v>
      </c>
      <c r="AR1576" t="s">
        <v>3030</v>
      </c>
      <c r="AS1576" t="s">
        <v>3014</v>
      </c>
      <c r="AU1576" t="s">
        <v>3014</v>
      </c>
    </row>
    <row r="1577" spans="1:47" x14ac:dyDescent="0.35">
      <c r="A1577">
        <v>348118</v>
      </c>
      <c r="B1577" t="s">
        <v>214</v>
      </c>
      <c r="C1577" t="s">
        <v>215</v>
      </c>
      <c r="D1577" s="2">
        <v>45794</v>
      </c>
      <c r="E1577">
        <v>53850</v>
      </c>
      <c r="F1577">
        <v>191</v>
      </c>
      <c r="G1577" t="s">
        <v>102</v>
      </c>
      <c r="H1577" t="s">
        <v>167</v>
      </c>
      <c r="I1577" t="s">
        <v>45</v>
      </c>
      <c r="K1577">
        <v>202505167986944</v>
      </c>
      <c r="L1577">
        <v>1913300069010</v>
      </c>
      <c r="M1577">
        <v>20250516</v>
      </c>
      <c r="N1577" t="s">
        <v>168</v>
      </c>
      <c r="P1577" t="s">
        <v>217</v>
      </c>
      <c r="Q1577" t="s">
        <v>170</v>
      </c>
      <c r="R1577">
        <v>230000</v>
      </c>
      <c r="S1577">
        <v>0</v>
      </c>
      <c r="T1577">
        <v>4067141</v>
      </c>
      <c r="U1577" t="s">
        <v>1717</v>
      </c>
      <c r="V1577" t="s">
        <v>1718</v>
      </c>
      <c r="W1577" t="s">
        <v>696</v>
      </c>
      <c r="Y1577" t="s">
        <v>217</v>
      </c>
      <c r="Z1577">
        <v>517</v>
      </c>
      <c r="AH1577">
        <v>0</v>
      </c>
      <c r="AI1577">
        <v>202505</v>
      </c>
      <c r="AJ1577" t="s">
        <v>86</v>
      </c>
      <c r="AK1577">
        <v>1</v>
      </c>
      <c r="AL1577">
        <v>1</v>
      </c>
      <c r="AO1577">
        <v>0</v>
      </c>
      <c r="AP1577" t="s">
        <v>3015</v>
      </c>
      <c r="AQ1577" t="s">
        <v>3084</v>
      </c>
      <c r="AR1577" t="s">
        <v>3085</v>
      </c>
      <c r="AS1577" t="s">
        <v>3046</v>
      </c>
      <c r="AU1577" t="s">
        <v>3046</v>
      </c>
    </row>
    <row r="1578" spans="1:47" x14ac:dyDescent="0.35">
      <c r="A1578">
        <v>348117</v>
      </c>
      <c r="B1578" t="s">
        <v>164</v>
      </c>
      <c r="C1578" t="s">
        <v>165</v>
      </c>
      <c r="D1578" s="2">
        <v>45794</v>
      </c>
      <c r="E1578">
        <v>53850</v>
      </c>
      <c r="F1578">
        <v>105</v>
      </c>
      <c r="G1578" t="s">
        <v>60</v>
      </c>
      <c r="H1578" t="s">
        <v>167</v>
      </c>
      <c r="I1578" t="s">
        <v>45</v>
      </c>
      <c r="K1578">
        <v>202505167985175</v>
      </c>
      <c r="L1578">
        <v>1053306286871</v>
      </c>
      <c r="M1578">
        <v>20250516</v>
      </c>
      <c r="N1578" t="s">
        <v>168</v>
      </c>
      <c r="P1578" t="s">
        <v>435</v>
      </c>
      <c r="Q1578" t="s">
        <v>47</v>
      </c>
      <c r="R1578">
        <v>5112</v>
      </c>
      <c r="S1578">
        <v>0</v>
      </c>
      <c r="T1578">
        <v>4269425</v>
      </c>
      <c r="U1578">
        <v>4938290725</v>
      </c>
      <c r="V1578" t="s">
        <v>632</v>
      </c>
      <c r="W1578" t="s">
        <v>620</v>
      </c>
      <c r="X1578" t="s">
        <v>85</v>
      </c>
      <c r="Y1578" t="s">
        <v>51</v>
      </c>
      <c r="Z1578">
        <v>1947</v>
      </c>
      <c r="AH1578">
        <v>0</v>
      </c>
      <c r="AI1578">
        <v>202505</v>
      </c>
      <c r="AJ1578" t="s">
        <v>119</v>
      </c>
      <c r="AK1578">
        <v>1</v>
      </c>
      <c r="AL1578">
        <v>1</v>
      </c>
      <c r="AO1578">
        <v>0</v>
      </c>
      <c r="AP1578" t="s">
        <v>3015</v>
      </c>
      <c r="AQ1578" t="s">
        <v>3080</v>
      </c>
      <c r="AR1578" t="s">
        <v>3081</v>
      </c>
      <c r="AT1578" t="s">
        <v>3017</v>
      </c>
      <c r="AU1578" t="s">
        <v>3057</v>
      </c>
    </row>
    <row r="1579" spans="1:47" x14ac:dyDescent="0.35">
      <c r="A1579">
        <v>348116</v>
      </c>
      <c r="B1579" t="s">
        <v>178</v>
      </c>
      <c r="C1579" t="s">
        <v>179</v>
      </c>
      <c r="D1579" s="2">
        <v>45794</v>
      </c>
      <c r="E1579">
        <v>53850</v>
      </c>
      <c r="F1579">
        <v>109</v>
      </c>
      <c r="G1579" t="s">
        <v>89</v>
      </c>
      <c r="H1579" t="s">
        <v>167</v>
      </c>
      <c r="I1579" t="s">
        <v>45</v>
      </c>
      <c r="K1579" t="s">
        <v>1719</v>
      </c>
      <c r="L1579">
        <v>1093306674144</v>
      </c>
      <c r="M1579">
        <v>20250516</v>
      </c>
      <c r="N1579" t="s">
        <v>3136</v>
      </c>
      <c r="Q1579" t="s">
        <v>170</v>
      </c>
      <c r="R1579">
        <v>1992.86</v>
      </c>
      <c r="S1579">
        <v>0</v>
      </c>
      <c r="T1579">
        <v>4895193</v>
      </c>
      <c r="U1579" t="s">
        <v>1720</v>
      </c>
      <c r="V1579" t="s">
        <v>1721</v>
      </c>
      <c r="W1579" t="s">
        <v>187</v>
      </c>
      <c r="Y1579" t="s">
        <v>51</v>
      </c>
      <c r="Z1579">
        <v>929</v>
      </c>
      <c r="AH1579">
        <v>0</v>
      </c>
      <c r="AI1579">
        <v>202505</v>
      </c>
      <c r="AJ1579" t="s">
        <v>86</v>
      </c>
      <c r="AK1579">
        <v>1</v>
      </c>
      <c r="AL1579">
        <v>1</v>
      </c>
      <c r="AO1579">
        <v>1</v>
      </c>
      <c r="AP1579" t="s">
        <v>3015</v>
      </c>
      <c r="AQ1579" t="s">
        <v>3044</v>
      </c>
      <c r="AR1579" t="s">
        <v>3045</v>
      </c>
      <c r="AS1579" t="s">
        <v>3046</v>
      </c>
      <c r="AU1579" t="s">
        <v>3046</v>
      </c>
    </row>
    <row r="1580" spans="1:47" x14ac:dyDescent="0.35">
      <c r="A1580">
        <v>348115</v>
      </c>
      <c r="B1580" t="s">
        <v>178</v>
      </c>
      <c r="C1580" t="s">
        <v>179</v>
      </c>
      <c r="D1580" s="2">
        <v>45794</v>
      </c>
      <c r="E1580">
        <v>53850</v>
      </c>
      <c r="F1580">
        <v>170</v>
      </c>
      <c r="G1580" t="s">
        <v>211</v>
      </c>
      <c r="H1580" t="s">
        <v>167</v>
      </c>
      <c r="I1580" t="s">
        <v>45</v>
      </c>
      <c r="K1580">
        <v>202505167986875</v>
      </c>
      <c r="L1580">
        <v>1703306289593</v>
      </c>
      <c r="M1580">
        <v>20250516</v>
      </c>
      <c r="N1580" t="s">
        <v>633</v>
      </c>
      <c r="P1580" t="s">
        <v>51</v>
      </c>
      <c r="Q1580" t="s">
        <v>47</v>
      </c>
      <c r="R1580">
        <v>312000</v>
      </c>
      <c r="S1580">
        <v>0</v>
      </c>
      <c r="T1580">
        <v>4944194</v>
      </c>
      <c r="U1580" t="s">
        <v>1722</v>
      </c>
      <c r="V1580" t="s">
        <v>1723</v>
      </c>
      <c r="W1580" t="s">
        <v>187</v>
      </c>
      <c r="Y1580" t="s">
        <v>51</v>
      </c>
      <c r="Z1580">
        <v>1954</v>
      </c>
      <c r="AH1580">
        <v>0</v>
      </c>
      <c r="AI1580">
        <v>202505</v>
      </c>
      <c r="AJ1580" t="s">
        <v>86</v>
      </c>
      <c r="AK1580">
        <v>1</v>
      </c>
      <c r="AL1580">
        <v>1</v>
      </c>
      <c r="AO1580">
        <v>0</v>
      </c>
      <c r="AP1580" t="s">
        <v>3015</v>
      </c>
      <c r="AQ1580" t="s">
        <v>3044</v>
      </c>
      <c r="AR1580" t="s">
        <v>3045</v>
      </c>
      <c r="AS1580" t="s">
        <v>3046</v>
      </c>
      <c r="AU1580" t="s">
        <v>3046</v>
      </c>
    </row>
    <row r="1581" spans="1:47" x14ac:dyDescent="0.35">
      <c r="A1581">
        <v>348114</v>
      </c>
      <c r="B1581" t="s">
        <v>172</v>
      </c>
      <c r="C1581" t="s">
        <v>173</v>
      </c>
      <c r="D1581" s="2">
        <v>45794</v>
      </c>
      <c r="E1581">
        <v>53850</v>
      </c>
      <c r="F1581">
        <v>102</v>
      </c>
      <c r="G1581" t="s">
        <v>151</v>
      </c>
      <c r="H1581" t="s">
        <v>167</v>
      </c>
      <c r="I1581" t="s">
        <v>45</v>
      </c>
      <c r="K1581">
        <v>202505167986600</v>
      </c>
      <c r="L1581">
        <v>1023302038620</v>
      </c>
      <c r="M1581">
        <v>20250516</v>
      </c>
      <c r="N1581" t="s">
        <v>266</v>
      </c>
      <c r="Q1581" t="s">
        <v>47</v>
      </c>
      <c r="R1581">
        <v>800000</v>
      </c>
      <c r="S1581">
        <v>0</v>
      </c>
      <c r="T1581">
        <v>42352</v>
      </c>
      <c r="U1581" t="s">
        <v>1724</v>
      </c>
      <c r="V1581" t="s">
        <v>1725</v>
      </c>
      <c r="W1581" t="s">
        <v>69</v>
      </c>
      <c r="X1581" t="s">
        <v>213</v>
      </c>
      <c r="Y1581" t="s">
        <v>51</v>
      </c>
      <c r="Z1581">
        <v>580</v>
      </c>
      <c r="AH1581">
        <v>0</v>
      </c>
      <c r="AI1581">
        <v>202505</v>
      </c>
      <c r="AJ1581" t="s">
        <v>86</v>
      </c>
      <c r="AK1581">
        <v>1</v>
      </c>
      <c r="AL1581">
        <v>1</v>
      </c>
      <c r="AO1581">
        <v>0</v>
      </c>
      <c r="AP1581" t="s">
        <v>3015</v>
      </c>
      <c r="AQ1581" t="s">
        <v>3021</v>
      </c>
      <c r="AR1581" t="s">
        <v>3022</v>
      </c>
      <c r="AT1581" t="s">
        <v>3017</v>
      </c>
      <c r="AU1581" t="s">
        <v>3014</v>
      </c>
    </row>
    <row r="1582" spans="1:47" x14ac:dyDescent="0.35">
      <c r="A1582">
        <v>348113</v>
      </c>
      <c r="B1582" t="s">
        <v>178</v>
      </c>
      <c r="C1582" t="s">
        <v>179</v>
      </c>
      <c r="D1582" s="2">
        <v>45794</v>
      </c>
      <c r="E1582">
        <v>53850</v>
      </c>
      <c r="F1582">
        <v>182</v>
      </c>
      <c r="G1582" t="s">
        <v>318</v>
      </c>
      <c r="H1582" t="s">
        <v>167</v>
      </c>
      <c r="I1582" t="s">
        <v>45</v>
      </c>
      <c r="K1582">
        <v>202505167984806</v>
      </c>
      <c r="L1582">
        <v>1823300072312</v>
      </c>
      <c r="M1582">
        <v>20250516</v>
      </c>
      <c r="N1582" t="s">
        <v>46</v>
      </c>
      <c r="P1582" t="s">
        <v>51</v>
      </c>
      <c r="Q1582" t="s">
        <v>47</v>
      </c>
      <c r="R1582">
        <v>1215238.24</v>
      </c>
      <c r="S1582">
        <v>0</v>
      </c>
      <c r="T1582">
        <v>3072878</v>
      </c>
      <c r="U1582">
        <v>333580736</v>
      </c>
      <c r="V1582" t="s">
        <v>454</v>
      </c>
      <c r="W1582" t="s">
        <v>49</v>
      </c>
      <c r="X1582" t="s">
        <v>421</v>
      </c>
      <c r="Y1582" t="s">
        <v>51</v>
      </c>
      <c r="Z1582">
        <v>1627</v>
      </c>
      <c r="AH1582">
        <v>0</v>
      </c>
      <c r="AI1582">
        <v>202505</v>
      </c>
      <c r="AJ1582" t="s">
        <v>52</v>
      </c>
      <c r="AK1582">
        <v>0</v>
      </c>
      <c r="AL1582">
        <v>1</v>
      </c>
      <c r="AO1582">
        <v>0</v>
      </c>
      <c r="AP1582" t="s">
        <v>3015</v>
      </c>
      <c r="AQ1582" t="s">
        <v>3012</v>
      </c>
      <c r="AR1582" t="s">
        <v>3016</v>
      </c>
      <c r="AT1582" t="s">
        <v>3017</v>
      </c>
      <c r="AU1582" t="s">
        <v>3018</v>
      </c>
    </row>
    <row r="1583" spans="1:47" x14ac:dyDescent="0.35">
      <c r="A1583">
        <v>348112</v>
      </c>
      <c r="B1583" t="s">
        <v>164</v>
      </c>
      <c r="C1583" t="s">
        <v>165</v>
      </c>
      <c r="D1583" s="2">
        <v>45794</v>
      </c>
      <c r="E1583">
        <v>53850</v>
      </c>
      <c r="F1583">
        <v>103</v>
      </c>
      <c r="G1583" t="s">
        <v>80</v>
      </c>
      <c r="H1583" t="s">
        <v>167</v>
      </c>
      <c r="I1583" t="s">
        <v>45</v>
      </c>
      <c r="K1583">
        <v>202505167985123</v>
      </c>
      <c r="L1583">
        <v>1033306976736</v>
      </c>
      <c r="M1583">
        <v>20250516</v>
      </c>
      <c r="N1583" t="s">
        <v>168</v>
      </c>
      <c r="P1583" t="s">
        <v>169</v>
      </c>
      <c r="Q1583" t="s">
        <v>47</v>
      </c>
      <c r="R1583">
        <v>18153.02</v>
      </c>
      <c r="S1583">
        <v>0</v>
      </c>
      <c r="T1583">
        <v>4127133</v>
      </c>
      <c r="U1583">
        <v>5762170727</v>
      </c>
      <c r="V1583" t="s">
        <v>1212</v>
      </c>
      <c r="W1583" t="s">
        <v>49</v>
      </c>
      <c r="X1583" t="s">
        <v>257</v>
      </c>
      <c r="Y1583" t="s">
        <v>51</v>
      </c>
      <c r="Z1583">
        <v>739</v>
      </c>
      <c r="AH1583">
        <v>0</v>
      </c>
      <c r="AI1583">
        <v>202505</v>
      </c>
      <c r="AJ1583" t="s">
        <v>86</v>
      </c>
      <c r="AK1583">
        <v>1</v>
      </c>
      <c r="AL1583">
        <v>1</v>
      </c>
      <c r="AO1583">
        <v>0</v>
      </c>
      <c r="AP1583" t="s">
        <v>3015</v>
      </c>
      <c r="AQ1583" t="s">
        <v>3012</v>
      </c>
      <c r="AR1583" t="s">
        <v>3016</v>
      </c>
      <c r="AT1583" t="s">
        <v>3017</v>
      </c>
      <c r="AU1583" t="s">
        <v>3018</v>
      </c>
    </row>
    <row r="1584" spans="1:47" x14ac:dyDescent="0.35">
      <c r="A1584">
        <v>348111</v>
      </c>
      <c r="B1584" t="s">
        <v>164</v>
      </c>
      <c r="C1584" t="s">
        <v>165</v>
      </c>
      <c r="D1584" s="2">
        <v>45794</v>
      </c>
      <c r="E1584">
        <v>53850</v>
      </c>
      <c r="F1584">
        <v>103</v>
      </c>
      <c r="G1584" t="s">
        <v>80</v>
      </c>
      <c r="H1584" t="s">
        <v>167</v>
      </c>
      <c r="I1584" t="s">
        <v>45</v>
      </c>
      <c r="K1584">
        <v>202505167984110</v>
      </c>
      <c r="L1584">
        <v>1033302886146</v>
      </c>
      <c r="M1584">
        <v>20250516</v>
      </c>
      <c r="N1584" t="s">
        <v>168</v>
      </c>
      <c r="P1584" t="s">
        <v>255</v>
      </c>
      <c r="Q1584" t="s">
        <v>170</v>
      </c>
      <c r="R1584">
        <v>7832.4</v>
      </c>
      <c r="S1584">
        <v>0</v>
      </c>
      <c r="T1584">
        <v>4503362</v>
      </c>
      <c r="U1584">
        <v>6800040724</v>
      </c>
      <c r="V1584" t="s">
        <v>1726</v>
      </c>
      <c r="W1584" t="s">
        <v>620</v>
      </c>
      <c r="X1584" t="s">
        <v>686</v>
      </c>
      <c r="Y1584" t="s">
        <v>51</v>
      </c>
      <c r="Z1584">
        <v>1912</v>
      </c>
      <c r="AH1584">
        <v>0</v>
      </c>
      <c r="AI1584">
        <v>202505</v>
      </c>
      <c r="AJ1584" t="s">
        <v>86</v>
      </c>
      <c r="AK1584">
        <v>1</v>
      </c>
      <c r="AL1584">
        <v>1</v>
      </c>
      <c r="AO1584">
        <v>0</v>
      </c>
      <c r="AP1584" t="s">
        <v>3015</v>
      </c>
      <c r="AQ1584" t="s">
        <v>3080</v>
      </c>
      <c r="AR1584" t="s">
        <v>3081</v>
      </c>
      <c r="AT1584" t="s">
        <v>3017</v>
      </c>
      <c r="AU1584" t="s">
        <v>3057</v>
      </c>
    </row>
    <row r="1585" spans="1:47" x14ac:dyDescent="0.35">
      <c r="A1585">
        <v>348110</v>
      </c>
      <c r="B1585" t="s">
        <v>178</v>
      </c>
      <c r="C1585" t="s">
        <v>179</v>
      </c>
      <c r="D1585" s="2">
        <v>45794</v>
      </c>
      <c r="E1585">
        <v>53850</v>
      </c>
      <c r="F1585">
        <v>102</v>
      </c>
      <c r="G1585" t="s">
        <v>151</v>
      </c>
      <c r="H1585" t="s">
        <v>167</v>
      </c>
      <c r="I1585" t="s">
        <v>45</v>
      </c>
      <c r="K1585">
        <v>202505167984992</v>
      </c>
      <c r="L1585">
        <v>1023308727913</v>
      </c>
      <c r="M1585">
        <v>20250516</v>
      </c>
      <c r="N1585" t="s">
        <v>46</v>
      </c>
      <c r="P1585" t="s">
        <v>51</v>
      </c>
      <c r="Q1585" t="s">
        <v>47</v>
      </c>
      <c r="R1585">
        <v>972757.19</v>
      </c>
      <c r="S1585">
        <v>0</v>
      </c>
      <c r="T1585">
        <v>413202</v>
      </c>
      <c r="U1585">
        <v>454840778</v>
      </c>
      <c r="V1585" t="s">
        <v>634</v>
      </c>
      <c r="W1585" t="s">
        <v>49</v>
      </c>
      <c r="X1585" t="s">
        <v>364</v>
      </c>
      <c r="Y1585" t="s">
        <v>51</v>
      </c>
      <c r="Z1585">
        <v>1203</v>
      </c>
      <c r="AH1585">
        <v>0</v>
      </c>
      <c r="AI1585">
        <v>202505</v>
      </c>
      <c r="AJ1585" t="s">
        <v>56</v>
      </c>
      <c r="AK1585">
        <v>0</v>
      </c>
      <c r="AL1585">
        <v>1</v>
      </c>
      <c r="AO1585">
        <v>0</v>
      </c>
      <c r="AP1585" t="s">
        <v>3062</v>
      </c>
      <c r="AQ1585" t="s">
        <v>3012</v>
      </c>
      <c r="AR1585" t="s">
        <v>3063</v>
      </c>
      <c r="AS1585" t="s">
        <v>3014</v>
      </c>
      <c r="AU1585" t="s">
        <v>3014</v>
      </c>
    </row>
    <row r="1586" spans="1:47" x14ac:dyDescent="0.35">
      <c r="A1586">
        <v>348109</v>
      </c>
      <c r="B1586" t="s">
        <v>193</v>
      </c>
      <c r="C1586" t="s">
        <v>194</v>
      </c>
      <c r="D1586" s="2">
        <v>45794</v>
      </c>
      <c r="E1586">
        <v>53850</v>
      </c>
      <c r="F1586">
        <v>268</v>
      </c>
      <c r="G1586" t="s">
        <v>83</v>
      </c>
      <c r="H1586" t="s">
        <v>167</v>
      </c>
      <c r="I1586" t="s">
        <v>45</v>
      </c>
      <c r="K1586">
        <v>202505167986544</v>
      </c>
      <c r="L1586">
        <v>2683300006671</v>
      </c>
      <c r="M1586">
        <v>20250516</v>
      </c>
      <c r="N1586" t="s">
        <v>195</v>
      </c>
      <c r="Q1586" t="s">
        <v>47</v>
      </c>
      <c r="R1586">
        <v>21150</v>
      </c>
      <c r="S1586">
        <v>21150</v>
      </c>
      <c r="T1586">
        <v>1704716</v>
      </c>
      <c r="U1586">
        <v>3109600795</v>
      </c>
      <c r="V1586" t="s">
        <v>1256</v>
      </c>
      <c r="W1586" t="s">
        <v>580</v>
      </c>
      <c r="X1586" t="s">
        <v>131</v>
      </c>
      <c r="Y1586" t="s">
        <v>51</v>
      </c>
      <c r="Z1586">
        <v>1891</v>
      </c>
      <c r="AH1586">
        <v>0</v>
      </c>
      <c r="AI1586">
        <v>202505</v>
      </c>
      <c r="AJ1586" t="s">
        <v>52</v>
      </c>
      <c r="AK1586">
        <v>0</v>
      </c>
      <c r="AL1586">
        <v>1</v>
      </c>
      <c r="AM1586">
        <v>1704716</v>
      </c>
      <c r="AN1586">
        <v>1</v>
      </c>
      <c r="AO1586">
        <v>0</v>
      </c>
      <c r="AP1586" t="s">
        <v>3033</v>
      </c>
      <c r="AQ1586" t="s">
        <v>3078</v>
      </c>
      <c r="AR1586" t="s">
        <v>3079</v>
      </c>
      <c r="AS1586" t="s">
        <v>3049</v>
      </c>
      <c r="AU1586" t="s">
        <v>3049</v>
      </c>
    </row>
    <row r="1587" spans="1:47" x14ac:dyDescent="0.35">
      <c r="A1587">
        <v>348108</v>
      </c>
      <c r="B1587" t="s">
        <v>172</v>
      </c>
      <c r="C1587" t="s">
        <v>173</v>
      </c>
      <c r="D1587" s="2">
        <v>45794</v>
      </c>
      <c r="E1587">
        <v>53850</v>
      </c>
      <c r="F1587">
        <v>171</v>
      </c>
      <c r="G1587" t="s">
        <v>198</v>
      </c>
      <c r="H1587" t="s">
        <v>167</v>
      </c>
      <c r="I1587" t="s">
        <v>45</v>
      </c>
      <c r="K1587" t="s">
        <v>1709</v>
      </c>
      <c r="L1587">
        <v>1713305728950</v>
      </c>
      <c r="M1587">
        <v>20250516</v>
      </c>
      <c r="N1587" t="s">
        <v>195</v>
      </c>
      <c r="Q1587" t="s">
        <v>47</v>
      </c>
      <c r="R1587">
        <v>364852.12</v>
      </c>
      <c r="S1587">
        <v>364852.12</v>
      </c>
      <c r="T1587">
        <v>572895</v>
      </c>
      <c r="U1587">
        <v>4161600723</v>
      </c>
      <c r="V1587" t="s">
        <v>199</v>
      </c>
      <c r="W1587" t="s">
        <v>49</v>
      </c>
      <c r="X1587" t="s">
        <v>200</v>
      </c>
      <c r="Y1587" t="s">
        <v>51</v>
      </c>
      <c r="Z1587">
        <v>1903</v>
      </c>
      <c r="AH1587">
        <v>0</v>
      </c>
      <c r="AI1587">
        <v>202505</v>
      </c>
      <c r="AJ1587" t="s">
        <v>86</v>
      </c>
      <c r="AK1587">
        <v>1</v>
      </c>
      <c r="AL1587">
        <v>1</v>
      </c>
      <c r="AM1587">
        <v>572895</v>
      </c>
      <c r="AN1587">
        <v>1</v>
      </c>
      <c r="AO1587">
        <v>0</v>
      </c>
      <c r="AP1587" t="s">
        <v>3015</v>
      </c>
      <c r="AQ1587" t="s">
        <v>3012</v>
      </c>
      <c r="AR1587" t="s">
        <v>3016</v>
      </c>
      <c r="AT1587" t="s">
        <v>3017</v>
      </c>
      <c r="AU1587" t="s">
        <v>3018</v>
      </c>
    </row>
    <row r="1588" spans="1:47" x14ac:dyDescent="0.35">
      <c r="A1588">
        <v>348107</v>
      </c>
      <c r="B1588" t="s">
        <v>178</v>
      </c>
      <c r="C1588" t="s">
        <v>179</v>
      </c>
      <c r="D1588" s="2">
        <v>45794</v>
      </c>
      <c r="E1588">
        <v>53850</v>
      </c>
      <c r="F1588">
        <v>141</v>
      </c>
      <c r="G1588" t="s">
        <v>105</v>
      </c>
      <c r="H1588" t="s">
        <v>167</v>
      </c>
      <c r="I1588" t="s">
        <v>45</v>
      </c>
      <c r="K1588">
        <v>202505167985904</v>
      </c>
      <c r="L1588">
        <v>1413300003347</v>
      </c>
      <c r="M1588">
        <v>20250516</v>
      </c>
      <c r="N1588" t="s">
        <v>659</v>
      </c>
      <c r="Q1588" t="s">
        <v>170</v>
      </c>
      <c r="R1588">
        <v>796339.63</v>
      </c>
      <c r="S1588">
        <v>0</v>
      </c>
      <c r="T1588">
        <v>4835947</v>
      </c>
      <c r="U1588">
        <v>3351210756</v>
      </c>
      <c r="V1588" t="s">
        <v>148</v>
      </c>
      <c r="W1588" t="s">
        <v>49</v>
      </c>
      <c r="X1588" t="s">
        <v>50</v>
      </c>
      <c r="Y1588" t="s">
        <v>51</v>
      </c>
      <c r="Z1588">
        <v>1627</v>
      </c>
      <c r="AH1588">
        <v>0</v>
      </c>
      <c r="AI1588">
        <v>202505</v>
      </c>
      <c r="AJ1588" t="s">
        <v>56</v>
      </c>
      <c r="AK1588">
        <v>0</v>
      </c>
      <c r="AL1588">
        <v>1</v>
      </c>
      <c r="AO1588">
        <v>0</v>
      </c>
      <c r="AP1588" t="s">
        <v>3011</v>
      </c>
      <c r="AQ1588" t="s">
        <v>3012</v>
      </c>
      <c r="AR1588" t="s">
        <v>3013</v>
      </c>
      <c r="AS1588" t="s">
        <v>3014</v>
      </c>
      <c r="AU1588" t="s">
        <v>3014</v>
      </c>
    </row>
    <row r="1589" spans="1:47" x14ac:dyDescent="0.35">
      <c r="A1589">
        <v>348106</v>
      </c>
      <c r="B1589" t="s">
        <v>178</v>
      </c>
      <c r="C1589" t="s">
        <v>179</v>
      </c>
      <c r="D1589" s="2">
        <v>45794</v>
      </c>
      <c r="E1589">
        <v>53850</v>
      </c>
      <c r="F1589">
        <v>141</v>
      </c>
      <c r="G1589" t="s">
        <v>105</v>
      </c>
      <c r="H1589" t="s">
        <v>167</v>
      </c>
      <c r="I1589" t="s">
        <v>45</v>
      </c>
      <c r="K1589">
        <v>202505167983788</v>
      </c>
      <c r="L1589">
        <v>1413300003985</v>
      </c>
      <c r="M1589">
        <v>20250516</v>
      </c>
      <c r="N1589" t="s">
        <v>236</v>
      </c>
      <c r="P1589" t="s">
        <v>51</v>
      </c>
      <c r="Q1589" t="s">
        <v>170</v>
      </c>
      <c r="R1589">
        <v>1700000</v>
      </c>
      <c r="S1589">
        <v>0</v>
      </c>
      <c r="T1589">
        <v>4996689</v>
      </c>
      <c r="U1589">
        <v>80010360750</v>
      </c>
      <c r="V1589" t="s">
        <v>106</v>
      </c>
      <c r="W1589" t="s">
        <v>49</v>
      </c>
      <c r="X1589" t="s">
        <v>107</v>
      </c>
      <c r="Y1589" t="s">
        <v>51</v>
      </c>
      <c r="Z1589">
        <v>1940</v>
      </c>
      <c r="AH1589">
        <v>0</v>
      </c>
      <c r="AI1589">
        <v>202505</v>
      </c>
      <c r="AJ1589" t="s">
        <v>56</v>
      </c>
      <c r="AK1589">
        <v>0</v>
      </c>
      <c r="AL1589">
        <v>1</v>
      </c>
      <c r="AO1589">
        <v>0</v>
      </c>
      <c r="AP1589" t="s">
        <v>3024</v>
      </c>
      <c r="AQ1589" t="s">
        <v>3012</v>
      </c>
      <c r="AR1589" t="s">
        <v>3025</v>
      </c>
      <c r="AS1589" t="s">
        <v>3014</v>
      </c>
      <c r="AU1589" t="s">
        <v>3014</v>
      </c>
    </row>
    <row r="1590" spans="1:47" x14ac:dyDescent="0.35">
      <c r="A1590">
        <v>348105</v>
      </c>
      <c r="B1590" t="s">
        <v>178</v>
      </c>
      <c r="C1590" t="s">
        <v>179</v>
      </c>
      <c r="D1590" s="2">
        <v>45794</v>
      </c>
      <c r="E1590">
        <v>53850</v>
      </c>
      <c r="F1590">
        <v>109</v>
      </c>
      <c r="G1590" t="s">
        <v>89</v>
      </c>
      <c r="H1590" t="s">
        <v>167</v>
      </c>
      <c r="I1590" t="s">
        <v>45</v>
      </c>
      <c r="K1590" t="s">
        <v>1719</v>
      </c>
      <c r="L1590">
        <v>1093306674144</v>
      </c>
      <c r="M1590">
        <v>20250516</v>
      </c>
      <c r="N1590" t="s">
        <v>3136</v>
      </c>
      <c r="Q1590" t="s">
        <v>170</v>
      </c>
      <c r="R1590">
        <v>1992.86</v>
      </c>
      <c r="S1590">
        <v>0</v>
      </c>
      <c r="T1590">
        <v>613337</v>
      </c>
      <c r="U1590" t="s">
        <v>1727</v>
      </c>
      <c r="V1590" t="s">
        <v>1728</v>
      </c>
      <c r="W1590" t="s">
        <v>187</v>
      </c>
      <c r="Y1590" t="s">
        <v>51</v>
      </c>
      <c r="Z1590">
        <v>1430</v>
      </c>
      <c r="AH1590">
        <v>0</v>
      </c>
      <c r="AI1590">
        <v>202505</v>
      </c>
      <c r="AJ1590" t="s">
        <v>86</v>
      </c>
      <c r="AK1590">
        <v>1</v>
      </c>
      <c r="AL1590">
        <v>1</v>
      </c>
      <c r="AO1590">
        <v>1</v>
      </c>
      <c r="AP1590" t="s">
        <v>3015</v>
      </c>
      <c r="AQ1590" t="s">
        <v>3044</v>
      </c>
      <c r="AR1590" t="s">
        <v>3045</v>
      </c>
      <c r="AS1590" t="s">
        <v>3046</v>
      </c>
      <c r="AU1590" t="s">
        <v>3046</v>
      </c>
    </row>
    <row r="1591" spans="1:47" x14ac:dyDescent="0.35">
      <c r="A1591">
        <v>348104</v>
      </c>
      <c r="B1591" t="s">
        <v>164</v>
      </c>
      <c r="C1591" t="s">
        <v>165</v>
      </c>
      <c r="D1591" s="2">
        <v>45794</v>
      </c>
      <c r="E1591">
        <v>53850</v>
      </c>
      <c r="F1591">
        <v>178</v>
      </c>
      <c r="G1591" t="s">
        <v>315</v>
      </c>
      <c r="H1591" t="s">
        <v>167</v>
      </c>
      <c r="I1591" t="s">
        <v>45</v>
      </c>
      <c r="K1591">
        <v>202505167985188</v>
      </c>
      <c r="L1591">
        <v>1783301004847</v>
      </c>
      <c r="M1591">
        <v>20250516</v>
      </c>
      <c r="N1591" t="s">
        <v>168</v>
      </c>
      <c r="P1591" t="s">
        <v>435</v>
      </c>
      <c r="Q1591" t="s">
        <v>47</v>
      </c>
      <c r="R1591">
        <v>5000</v>
      </c>
      <c r="S1591">
        <v>0</v>
      </c>
      <c r="T1591">
        <v>585288</v>
      </c>
      <c r="U1591" t="s">
        <v>1729</v>
      </c>
      <c r="V1591" t="s">
        <v>1730</v>
      </c>
      <c r="W1591" t="s">
        <v>342</v>
      </c>
      <c r="X1591" t="s">
        <v>736</v>
      </c>
      <c r="Y1591" t="s">
        <v>51</v>
      </c>
      <c r="Z1591">
        <v>685</v>
      </c>
      <c r="AH1591">
        <v>0</v>
      </c>
      <c r="AI1591">
        <v>202505</v>
      </c>
      <c r="AJ1591" t="s">
        <v>86</v>
      </c>
      <c r="AK1591">
        <v>1</v>
      </c>
      <c r="AL1591">
        <v>1</v>
      </c>
      <c r="AO1591">
        <v>0</v>
      </c>
      <c r="AP1591" t="s">
        <v>3015</v>
      </c>
      <c r="AQ1591" t="s">
        <v>3060</v>
      </c>
      <c r="AR1591" t="s">
        <v>3061</v>
      </c>
      <c r="AT1591" t="s">
        <v>3017</v>
      </c>
      <c r="AU1591" t="s">
        <v>3014</v>
      </c>
    </row>
    <row r="1592" spans="1:47" x14ac:dyDescent="0.35">
      <c r="A1592">
        <v>348103</v>
      </c>
      <c r="B1592" t="s">
        <v>178</v>
      </c>
      <c r="C1592" t="s">
        <v>179</v>
      </c>
      <c r="D1592" s="2">
        <v>45794</v>
      </c>
      <c r="E1592">
        <v>53850</v>
      </c>
      <c r="F1592">
        <v>188</v>
      </c>
      <c r="G1592" t="s">
        <v>419</v>
      </c>
      <c r="H1592" t="s">
        <v>167</v>
      </c>
      <c r="I1592" t="s">
        <v>45</v>
      </c>
      <c r="K1592">
        <v>202505167984802</v>
      </c>
      <c r="L1592">
        <v>1883300028081</v>
      </c>
      <c r="M1592">
        <v>20250516</v>
      </c>
      <c r="N1592" t="s">
        <v>46</v>
      </c>
      <c r="P1592" t="s">
        <v>51</v>
      </c>
      <c r="Q1592" t="s">
        <v>47</v>
      </c>
      <c r="R1592">
        <v>2051309.86</v>
      </c>
      <c r="S1592">
        <v>0</v>
      </c>
      <c r="T1592">
        <v>3001543</v>
      </c>
      <c r="U1592">
        <v>943900738</v>
      </c>
      <c r="V1592" t="s">
        <v>1226</v>
      </c>
      <c r="W1592" t="s">
        <v>49</v>
      </c>
      <c r="X1592" t="s">
        <v>421</v>
      </c>
      <c r="Y1592" t="s">
        <v>51</v>
      </c>
      <c r="Z1592">
        <v>1627</v>
      </c>
      <c r="AH1592">
        <v>0</v>
      </c>
      <c r="AI1592">
        <v>202505</v>
      </c>
      <c r="AJ1592" t="s">
        <v>52</v>
      </c>
      <c r="AK1592">
        <v>0</v>
      </c>
      <c r="AL1592">
        <v>1</v>
      </c>
      <c r="AM1592">
        <v>3001543</v>
      </c>
      <c r="AN1592">
        <v>1</v>
      </c>
      <c r="AO1592">
        <v>0</v>
      </c>
      <c r="AP1592" t="s">
        <v>3015</v>
      </c>
      <c r="AQ1592" t="s">
        <v>3012</v>
      </c>
      <c r="AR1592" t="s">
        <v>3016</v>
      </c>
      <c r="AT1592" t="s">
        <v>3017</v>
      </c>
      <c r="AU1592" t="s">
        <v>3018</v>
      </c>
    </row>
    <row r="1593" spans="1:47" x14ac:dyDescent="0.35">
      <c r="A1593">
        <v>348102</v>
      </c>
      <c r="B1593" t="s">
        <v>178</v>
      </c>
      <c r="C1593" t="s">
        <v>179</v>
      </c>
      <c r="D1593" s="2">
        <v>45794</v>
      </c>
      <c r="E1593">
        <v>53850</v>
      </c>
      <c r="F1593">
        <v>105</v>
      </c>
      <c r="G1593" t="s">
        <v>60</v>
      </c>
      <c r="H1593" t="s">
        <v>167</v>
      </c>
      <c r="I1593" t="s">
        <v>45</v>
      </c>
      <c r="K1593">
        <v>202505167986663</v>
      </c>
      <c r="L1593">
        <v>1053306288710</v>
      </c>
      <c r="M1593">
        <v>20250516</v>
      </c>
      <c r="N1593" t="s">
        <v>1002</v>
      </c>
      <c r="Q1593" t="s">
        <v>47</v>
      </c>
      <c r="R1593">
        <v>300000</v>
      </c>
      <c r="S1593">
        <v>0</v>
      </c>
      <c r="T1593">
        <v>522982</v>
      </c>
      <c r="U1593" t="s">
        <v>1258</v>
      </c>
      <c r="V1593" t="s">
        <v>1259</v>
      </c>
      <c r="W1593" t="s">
        <v>187</v>
      </c>
      <c r="Y1593" t="s">
        <v>51</v>
      </c>
      <c r="Z1593">
        <v>833</v>
      </c>
      <c r="AH1593">
        <v>0</v>
      </c>
      <c r="AI1593">
        <v>202505</v>
      </c>
      <c r="AJ1593" t="s">
        <v>86</v>
      </c>
      <c r="AK1593">
        <v>1</v>
      </c>
      <c r="AL1593">
        <v>1</v>
      </c>
      <c r="AO1593">
        <v>0</v>
      </c>
      <c r="AP1593" t="s">
        <v>3015</v>
      </c>
      <c r="AQ1593" t="s">
        <v>3044</v>
      </c>
      <c r="AR1593" t="s">
        <v>3045</v>
      </c>
      <c r="AS1593" t="s">
        <v>3046</v>
      </c>
      <c r="AU1593" t="s">
        <v>3046</v>
      </c>
    </row>
    <row r="1594" spans="1:47" x14ac:dyDescent="0.35">
      <c r="A1594">
        <v>348101</v>
      </c>
      <c r="B1594" t="s">
        <v>178</v>
      </c>
      <c r="C1594" t="s">
        <v>179</v>
      </c>
      <c r="D1594" s="2">
        <v>45794</v>
      </c>
      <c r="E1594">
        <v>53850</v>
      </c>
      <c r="F1594">
        <v>116</v>
      </c>
      <c r="G1594" t="s">
        <v>126</v>
      </c>
      <c r="H1594" t="s">
        <v>167</v>
      </c>
      <c r="I1594" t="s">
        <v>45</v>
      </c>
      <c r="K1594">
        <v>202505167985179</v>
      </c>
      <c r="L1594">
        <v>2173300010307</v>
      </c>
      <c r="M1594">
        <v>20250516</v>
      </c>
      <c r="N1594" t="s">
        <v>223</v>
      </c>
      <c r="Q1594" t="s">
        <v>170</v>
      </c>
      <c r="R1594">
        <v>6000000</v>
      </c>
      <c r="S1594">
        <v>0</v>
      </c>
      <c r="T1594">
        <v>4434879</v>
      </c>
      <c r="U1594">
        <v>1595620061</v>
      </c>
      <c r="V1594" t="s">
        <v>1443</v>
      </c>
      <c r="W1594" t="s">
        <v>49</v>
      </c>
      <c r="X1594" t="s">
        <v>1444</v>
      </c>
      <c r="Y1594" t="s">
        <v>51</v>
      </c>
      <c r="Z1594">
        <v>1696</v>
      </c>
      <c r="AH1594">
        <v>0</v>
      </c>
      <c r="AI1594">
        <v>202505</v>
      </c>
      <c r="AJ1594" t="s">
        <v>86</v>
      </c>
      <c r="AK1594">
        <v>1</v>
      </c>
      <c r="AL1594">
        <v>1</v>
      </c>
      <c r="AO1594">
        <v>0</v>
      </c>
      <c r="AP1594" t="s">
        <v>3015</v>
      </c>
      <c r="AQ1594" t="s">
        <v>3012</v>
      </c>
      <c r="AR1594" t="s">
        <v>3016</v>
      </c>
      <c r="AT1594" t="s">
        <v>3017</v>
      </c>
      <c r="AU1594" t="s">
        <v>3018</v>
      </c>
    </row>
    <row r="1595" spans="1:47" x14ac:dyDescent="0.35">
      <c r="A1595">
        <v>348100</v>
      </c>
      <c r="B1595" t="s">
        <v>193</v>
      </c>
      <c r="C1595" t="s">
        <v>194</v>
      </c>
      <c r="D1595" s="2">
        <v>45794</v>
      </c>
      <c r="E1595">
        <v>53850</v>
      </c>
      <c r="F1595">
        <v>137</v>
      </c>
      <c r="G1595" t="s">
        <v>166</v>
      </c>
      <c r="H1595" t="s">
        <v>167</v>
      </c>
      <c r="I1595" t="s">
        <v>45</v>
      </c>
      <c r="K1595">
        <v>202505167986782</v>
      </c>
      <c r="L1595">
        <v>1373304102703</v>
      </c>
      <c r="M1595">
        <v>20250516</v>
      </c>
      <c r="N1595" t="s">
        <v>266</v>
      </c>
      <c r="Q1595" t="s">
        <v>47</v>
      </c>
      <c r="R1595">
        <v>21070</v>
      </c>
      <c r="S1595">
        <v>21070</v>
      </c>
      <c r="T1595">
        <v>1001333</v>
      </c>
      <c r="U1595" t="s">
        <v>692</v>
      </c>
      <c r="V1595" t="s">
        <v>693</v>
      </c>
      <c r="W1595" t="s">
        <v>69</v>
      </c>
      <c r="X1595" t="s">
        <v>131</v>
      </c>
      <c r="Y1595" t="s">
        <v>51</v>
      </c>
      <c r="Z1595">
        <v>1867</v>
      </c>
      <c r="AH1595">
        <v>0</v>
      </c>
      <c r="AI1595">
        <v>202505</v>
      </c>
      <c r="AJ1595" t="s">
        <v>56</v>
      </c>
      <c r="AK1595">
        <v>0</v>
      </c>
      <c r="AL1595">
        <v>1</v>
      </c>
      <c r="AM1595">
        <v>1001333</v>
      </c>
      <c r="AN1595">
        <v>1</v>
      </c>
      <c r="AO1595">
        <v>0</v>
      </c>
      <c r="AP1595" t="s">
        <v>3033</v>
      </c>
      <c r="AQ1595" t="s">
        <v>3021</v>
      </c>
      <c r="AR1595" t="s">
        <v>3054</v>
      </c>
      <c r="AS1595" t="s">
        <v>3055</v>
      </c>
      <c r="AU1595" t="s">
        <v>3055</v>
      </c>
    </row>
    <row r="1596" spans="1:47" x14ac:dyDescent="0.35">
      <c r="A1596">
        <v>348099</v>
      </c>
      <c r="B1596" t="s">
        <v>172</v>
      </c>
      <c r="C1596" t="s">
        <v>173</v>
      </c>
      <c r="D1596" s="2">
        <v>45794</v>
      </c>
      <c r="E1596">
        <v>53850</v>
      </c>
      <c r="F1596">
        <v>171</v>
      </c>
      <c r="G1596" t="s">
        <v>198</v>
      </c>
      <c r="H1596" t="s">
        <v>167</v>
      </c>
      <c r="I1596" t="s">
        <v>45</v>
      </c>
      <c r="K1596" t="s">
        <v>1709</v>
      </c>
      <c r="L1596">
        <v>1713302214147</v>
      </c>
      <c r="M1596">
        <v>20250516</v>
      </c>
      <c r="N1596" t="s">
        <v>195</v>
      </c>
      <c r="Q1596" t="s">
        <v>47</v>
      </c>
      <c r="R1596">
        <v>135105.82</v>
      </c>
      <c r="S1596">
        <v>135105.82</v>
      </c>
      <c r="T1596">
        <v>4199319</v>
      </c>
      <c r="U1596">
        <v>6037810725</v>
      </c>
      <c r="V1596" t="s">
        <v>1144</v>
      </c>
      <c r="W1596" t="s">
        <v>49</v>
      </c>
      <c r="X1596" t="s">
        <v>200</v>
      </c>
      <c r="Y1596" t="s">
        <v>51</v>
      </c>
      <c r="Z1596">
        <v>1903</v>
      </c>
      <c r="AH1596">
        <v>0</v>
      </c>
      <c r="AI1596">
        <v>202505</v>
      </c>
      <c r="AJ1596" t="s">
        <v>86</v>
      </c>
      <c r="AK1596">
        <v>1</v>
      </c>
      <c r="AL1596">
        <v>1</v>
      </c>
      <c r="AM1596">
        <v>4199319</v>
      </c>
      <c r="AN1596">
        <v>1</v>
      </c>
      <c r="AO1596">
        <v>0</v>
      </c>
      <c r="AP1596" t="s">
        <v>3015</v>
      </c>
      <c r="AQ1596" t="s">
        <v>3012</v>
      </c>
      <c r="AR1596" t="s">
        <v>3016</v>
      </c>
      <c r="AT1596" t="s">
        <v>3017</v>
      </c>
      <c r="AU1596" t="s">
        <v>3018</v>
      </c>
    </row>
    <row r="1597" spans="1:47" x14ac:dyDescent="0.35">
      <c r="A1597">
        <v>348098</v>
      </c>
      <c r="B1597" t="s">
        <v>471</v>
      </c>
      <c r="C1597" t="s">
        <v>472</v>
      </c>
      <c r="D1597" s="2">
        <v>45794</v>
      </c>
      <c r="E1597">
        <v>53850</v>
      </c>
      <c r="F1597">
        <v>191</v>
      </c>
      <c r="G1597" t="s">
        <v>102</v>
      </c>
      <c r="H1597" t="s">
        <v>167</v>
      </c>
      <c r="I1597" t="s">
        <v>45</v>
      </c>
      <c r="K1597">
        <v>202505167986944</v>
      </c>
      <c r="L1597">
        <v>1913300069010</v>
      </c>
      <c r="M1597">
        <v>20250516</v>
      </c>
      <c r="N1597" t="s">
        <v>168</v>
      </c>
      <c r="P1597" t="s">
        <v>217</v>
      </c>
      <c r="Q1597" t="s">
        <v>170</v>
      </c>
      <c r="R1597">
        <v>230000</v>
      </c>
      <c r="S1597">
        <v>0</v>
      </c>
      <c r="T1597">
        <v>4067141</v>
      </c>
      <c r="U1597" t="s">
        <v>1717</v>
      </c>
      <c r="V1597" t="s">
        <v>1718</v>
      </c>
      <c r="W1597" t="s">
        <v>696</v>
      </c>
      <c r="Y1597" t="s">
        <v>217</v>
      </c>
      <c r="Z1597">
        <v>517</v>
      </c>
      <c r="AH1597">
        <v>0</v>
      </c>
      <c r="AI1597">
        <v>202505</v>
      </c>
      <c r="AJ1597" t="s">
        <v>86</v>
      </c>
      <c r="AK1597">
        <v>1</v>
      </c>
      <c r="AL1597">
        <v>1</v>
      </c>
      <c r="AO1597">
        <v>0</v>
      </c>
      <c r="AP1597" t="s">
        <v>3015</v>
      </c>
      <c r="AQ1597" t="s">
        <v>3084</v>
      </c>
      <c r="AR1597" t="s">
        <v>3085</v>
      </c>
      <c r="AS1597" t="s">
        <v>3046</v>
      </c>
      <c r="AU1597" t="s">
        <v>3046</v>
      </c>
    </row>
    <row r="1598" spans="1:47" x14ac:dyDescent="0.35">
      <c r="A1598">
        <v>348097</v>
      </c>
      <c r="B1598" t="s">
        <v>178</v>
      </c>
      <c r="C1598" t="s">
        <v>179</v>
      </c>
      <c r="D1598" s="2">
        <v>45794</v>
      </c>
      <c r="E1598">
        <v>53850</v>
      </c>
      <c r="F1598">
        <v>196</v>
      </c>
      <c r="G1598" t="s">
        <v>567</v>
      </c>
      <c r="H1598" t="s">
        <v>167</v>
      </c>
      <c r="I1598" t="s">
        <v>45</v>
      </c>
      <c r="K1598">
        <v>202505167986970</v>
      </c>
      <c r="L1598">
        <v>1963302355156</v>
      </c>
      <c r="M1598">
        <v>20250516</v>
      </c>
      <c r="N1598" t="s">
        <v>3136</v>
      </c>
      <c r="Q1598" t="s">
        <v>170</v>
      </c>
      <c r="R1598">
        <v>37875.4</v>
      </c>
      <c r="S1598">
        <v>0</v>
      </c>
      <c r="T1598">
        <v>4444344</v>
      </c>
      <c r="U1598" t="s">
        <v>1731</v>
      </c>
      <c r="V1598" t="s">
        <v>1732</v>
      </c>
      <c r="W1598" t="s">
        <v>69</v>
      </c>
      <c r="X1598" t="s">
        <v>234</v>
      </c>
      <c r="Y1598" t="s">
        <v>51</v>
      </c>
      <c r="Z1598">
        <v>1945</v>
      </c>
      <c r="AH1598">
        <v>0</v>
      </c>
      <c r="AI1598">
        <v>202505</v>
      </c>
      <c r="AJ1598" t="s">
        <v>86</v>
      </c>
      <c r="AK1598">
        <v>1</v>
      </c>
      <c r="AL1598">
        <v>1</v>
      </c>
      <c r="AO1598">
        <v>1</v>
      </c>
      <c r="AP1598" t="s">
        <v>3015</v>
      </c>
      <c r="AQ1598" t="s">
        <v>3021</v>
      </c>
      <c r="AR1598" t="s">
        <v>3022</v>
      </c>
      <c r="AT1598" t="s">
        <v>3017</v>
      </c>
      <c r="AU1598" t="s">
        <v>3014</v>
      </c>
    </row>
    <row r="1599" spans="1:47" x14ac:dyDescent="0.35">
      <c r="A1599">
        <v>348096</v>
      </c>
      <c r="B1599" t="s">
        <v>193</v>
      </c>
      <c r="C1599" t="s">
        <v>194</v>
      </c>
      <c r="D1599" s="2">
        <v>45794</v>
      </c>
      <c r="E1599">
        <v>53850</v>
      </c>
      <c r="F1599">
        <v>171</v>
      </c>
      <c r="G1599" t="s">
        <v>198</v>
      </c>
      <c r="H1599" t="s">
        <v>167</v>
      </c>
      <c r="I1599" t="s">
        <v>45</v>
      </c>
      <c r="K1599" t="s">
        <v>1709</v>
      </c>
      <c r="L1599">
        <v>1713302214147</v>
      </c>
      <c r="M1599">
        <v>20250516</v>
      </c>
      <c r="N1599" t="s">
        <v>195</v>
      </c>
      <c r="Q1599" t="s">
        <v>47</v>
      </c>
      <c r="R1599">
        <v>135105.82</v>
      </c>
      <c r="S1599">
        <v>135105.82</v>
      </c>
      <c r="T1599">
        <v>4199319</v>
      </c>
      <c r="U1599">
        <v>6037810725</v>
      </c>
      <c r="V1599" t="s">
        <v>1144</v>
      </c>
      <c r="W1599" t="s">
        <v>49</v>
      </c>
      <c r="X1599" t="s">
        <v>200</v>
      </c>
      <c r="Y1599" t="s">
        <v>51</v>
      </c>
      <c r="Z1599">
        <v>1903</v>
      </c>
      <c r="AH1599">
        <v>0</v>
      </c>
      <c r="AI1599">
        <v>202505</v>
      </c>
      <c r="AJ1599" t="s">
        <v>86</v>
      </c>
      <c r="AK1599">
        <v>1</v>
      </c>
      <c r="AL1599">
        <v>1</v>
      </c>
      <c r="AM1599">
        <v>4199319</v>
      </c>
      <c r="AN1599">
        <v>1</v>
      </c>
      <c r="AO1599">
        <v>0</v>
      </c>
      <c r="AP1599" t="s">
        <v>3015</v>
      </c>
      <c r="AQ1599" t="s">
        <v>3012</v>
      </c>
      <c r="AR1599" t="s">
        <v>3016</v>
      </c>
      <c r="AT1599" t="s">
        <v>3017</v>
      </c>
      <c r="AU1599" t="s">
        <v>3018</v>
      </c>
    </row>
    <row r="1600" spans="1:47" x14ac:dyDescent="0.35">
      <c r="A1600">
        <v>348095</v>
      </c>
      <c r="B1600" t="s">
        <v>178</v>
      </c>
      <c r="C1600" t="s">
        <v>179</v>
      </c>
      <c r="D1600" s="2">
        <v>45794</v>
      </c>
      <c r="E1600">
        <v>53850</v>
      </c>
      <c r="F1600">
        <v>141</v>
      </c>
      <c r="G1600" t="s">
        <v>105</v>
      </c>
      <c r="H1600" t="s">
        <v>167</v>
      </c>
      <c r="I1600" t="s">
        <v>45</v>
      </c>
      <c r="K1600">
        <v>202505167984955</v>
      </c>
      <c r="L1600">
        <v>1413300003749</v>
      </c>
      <c r="M1600">
        <v>20250516</v>
      </c>
      <c r="N1600" t="s">
        <v>46</v>
      </c>
      <c r="P1600" t="s">
        <v>51</v>
      </c>
      <c r="Q1600" t="s">
        <v>47</v>
      </c>
      <c r="R1600">
        <v>986023.06</v>
      </c>
      <c r="S1600">
        <v>0</v>
      </c>
      <c r="T1600">
        <v>4835947</v>
      </c>
      <c r="U1600">
        <v>3351210756</v>
      </c>
      <c r="V1600" t="s">
        <v>148</v>
      </c>
      <c r="W1600" t="s">
        <v>49</v>
      </c>
      <c r="X1600" t="s">
        <v>50</v>
      </c>
      <c r="Y1600" t="s">
        <v>51</v>
      </c>
      <c r="Z1600">
        <v>1627</v>
      </c>
      <c r="AH1600">
        <v>0</v>
      </c>
      <c r="AI1600">
        <v>202505</v>
      </c>
      <c r="AJ1600" t="s">
        <v>56</v>
      </c>
      <c r="AK1600">
        <v>0</v>
      </c>
      <c r="AL1600">
        <v>1</v>
      </c>
      <c r="AO1600">
        <v>0</v>
      </c>
      <c r="AP1600" t="s">
        <v>3011</v>
      </c>
      <c r="AQ1600" t="s">
        <v>3012</v>
      </c>
      <c r="AR1600" t="s">
        <v>3013</v>
      </c>
      <c r="AS1600" t="s">
        <v>3014</v>
      </c>
      <c r="AU1600" t="s">
        <v>3014</v>
      </c>
    </row>
    <row r="1601" spans="1:47" x14ac:dyDescent="0.35">
      <c r="A1601">
        <v>348094</v>
      </c>
      <c r="B1601" t="s">
        <v>172</v>
      </c>
      <c r="C1601" t="s">
        <v>173</v>
      </c>
      <c r="D1601" s="2">
        <v>45794</v>
      </c>
      <c r="E1601">
        <v>53850</v>
      </c>
      <c r="F1601">
        <v>104</v>
      </c>
      <c r="G1601" t="s">
        <v>108</v>
      </c>
      <c r="H1601" t="s">
        <v>167</v>
      </c>
      <c r="I1601" t="s">
        <v>45</v>
      </c>
      <c r="K1601">
        <v>202505167986651</v>
      </c>
      <c r="L1601">
        <v>1043301448675</v>
      </c>
      <c r="M1601">
        <v>20250516</v>
      </c>
      <c r="N1601" t="s">
        <v>231</v>
      </c>
      <c r="Q1601" t="s">
        <v>47</v>
      </c>
      <c r="R1601">
        <v>183000</v>
      </c>
      <c r="S1601">
        <v>0</v>
      </c>
      <c r="T1601">
        <v>4139723</v>
      </c>
      <c r="U1601" t="s">
        <v>1733</v>
      </c>
      <c r="V1601" t="s">
        <v>1734</v>
      </c>
      <c r="W1601" t="s">
        <v>187</v>
      </c>
      <c r="Y1601" t="s">
        <v>51</v>
      </c>
      <c r="Z1601">
        <v>1422</v>
      </c>
      <c r="AH1601">
        <v>0</v>
      </c>
      <c r="AI1601">
        <v>202505</v>
      </c>
      <c r="AJ1601" t="s">
        <v>86</v>
      </c>
      <c r="AK1601">
        <v>1</v>
      </c>
      <c r="AL1601">
        <v>1</v>
      </c>
      <c r="AO1601">
        <v>0</v>
      </c>
      <c r="AP1601" t="s">
        <v>3015</v>
      </c>
      <c r="AQ1601" t="s">
        <v>3044</v>
      </c>
      <c r="AR1601" t="s">
        <v>3045</v>
      </c>
      <c r="AS1601" t="s">
        <v>3046</v>
      </c>
      <c r="AU1601" t="s">
        <v>3046</v>
      </c>
    </row>
    <row r="1602" spans="1:47" x14ac:dyDescent="0.35">
      <c r="A1602">
        <v>348093</v>
      </c>
      <c r="B1602" t="s">
        <v>164</v>
      </c>
      <c r="C1602" t="s">
        <v>165</v>
      </c>
      <c r="D1602" s="2">
        <v>45794</v>
      </c>
      <c r="E1602">
        <v>53850</v>
      </c>
      <c r="F1602">
        <v>148</v>
      </c>
      <c r="G1602" t="s">
        <v>78</v>
      </c>
      <c r="H1602" t="s">
        <v>167</v>
      </c>
      <c r="I1602" t="s">
        <v>45</v>
      </c>
      <c r="K1602">
        <v>202505167985199</v>
      </c>
      <c r="L1602">
        <v>1483300003872</v>
      </c>
      <c r="M1602">
        <v>20250516</v>
      </c>
      <c r="N1602" t="s">
        <v>168</v>
      </c>
      <c r="P1602" t="s">
        <v>244</v>
      </c>
      <c r="Q1602" t="s">
        <v>170</v>
      </c>
      <c r="R1602">
        <v>5033.28</v>
      </c>
      <c r="S1602">
        <v>0</v>
      </c>
      <c r="T1602">
        <v>4602337</v>
      </c>
      <c r="U1602">
        <v>1418030621</v>
      </c>
      <c r="V1602" t="s">
        <v>1203</v>
      </c>
      <c r="W1602" t="s">
        <v>49</v>
      </c>
      <c r="X1602" t="s">
        <v>698</v>
      </c>
      <c r="Y1602" t="s">
        <v>51</v>
      </c>
      <c r="Z1602">
        <v>982</v>
      </c>
      <c r="AH1602">
        <v>0</v>
      </c>
      <c r="AI1602">
        <v>202505</v>
      </c>
      <c r="AJ1602" t="s">
        <v>56</v>
      </c>
      <c r="AK1602">
        <v>0</v>
      </c>
      <c r="AL1602">
        <v>1</v>
      </c>
      <c r="AO1602">
        <v>0</v>
      </c>
      <c r="AP1602" t="s">
        <v>3015</v>
      </c>
      <c r="AQ1602" t="s">
        <v>3012</v>
      </c>
      <c r="AR1602" t="s">
        <v>3016</v>
      </c>
      <c r="AT1602" t="s">
        <v>3017</v>
      </c>
      <c r="AU1602" t="s">
        <v>3018</v>
      </c>
    </row>
    <row r="1603" spans="1:47" x14ac:dyDescent="0.35">
      <c r="A1603">
        <v>348092</v>
      </c>
      <c r="B1603" t="s">
        <v>178</v>
      </c>
      <c r="C1603" t="s">
        <v>179</v>
      </c>
      <c r="D1603" s="2">
        <v>45794</v>
      </c>
      <c r="E1603">
        <v>53850</v>
      </c>
      <c r="F1603">
        <v>187</v>
      </c>
      <c r="G1603" t="s">
        <v>251</v>
      </c>
      <c r="H1603" t="s">
        <v>167</v>
      </c>
      <c r="I1603" t="s">
        <v>45</v>
      </c>
      <c r="K1603">
        <v>202505167984002</v>
      </c>
      <c r="L1603">
        <v>999361870311</v>
      </c>
      <c r="M1603">
        <v>20250516</v>
      </c>
      <c r="N1603" t="s">
        <v>168</v>
      </c>
      <c r="P1603" t="s">
        <v>1713</v>
      </c>
      <c r="Q1603" t="s">
        <v>170</v>
      </c>
      <c r="R1603">
        <v>4838233.33</v>
      </c>
      <c r="S1603">
        <v>0</v>
      </c>
      <c r="T1603">
        <v>3004644</v>
      </c>
      <c r="U1603">
        <v>80008750731</v>
      </c>
      <c r="V1603" t="s">
        <v>252</v>
      </c>
      <c r="W1603" t="s">
        <v>253</v>
      </c>
      <c r="Y1603" t="s">
        <v>51</v>
      </c>
      <c r="Z1603">
        <v>1627</v>
      </c>
      <c r="AH1603">
        <v>0</v>
      </c>
      <c r="AI1603">
        <v>202505</v>
      </c>
      <c r="AJ1603" t="s">
        <v>56</v>
      </c>
      <c r="AK1603">
        <v>0</v>
      </c>
      <c r="AL1603">
        <v>1</v>
      </c>
      <c r="AO1603">
        <v>0</v>
      </c>
      <c r="AP1603" t="s">
        <v>3015</v>
      </c>
      <c r="AQ1603" t="s">
        <v>3052</v>
      </c>
      <c r="AR1603" t="s">
        <v>3053</v>
      </c>
      <c r="AS1603" t="s">
        <v>3037</v>
      </c>
      <c r="AU1603" t="s">
        <v>3037</v>
      </c>
    </row>
    <row r="1604" spans="1:47" x14ac:dyDescent="0.35">
      <c r="A1604">
        <v>348091</v>
      </c>
      <c r="B1604" t="s">
        <v>178</v>
      </c>
      <c r="C1604" t="s">
        <v>179</v>
      </c>
      <c r="D1604" s="2">
        <v>45794</v>
      </c>
      <c r="E1604">
        <v>53850</v>
      </c>
      <c r="F1604">
        <v>114</v>
      </c>
      <c r="G1604" t="s">
        <v>188</v>
      </c>
      <c r="H1604" t="s">
        <v>167</v>
      </c>
      <c r="I1604" t="s">
        <v>45</v>
      </c>
      <c r="K1604">
        <v>202505167983800</v>
      </c>
      <c r="L1604">
        <v>1143306285135</v>
      </c>
      <c r="M1604">
        <v>20250516</v>
      </c>
      <c r="N1604" t="s">
        <v>236</v>
      </c>
      <c r="P1604" t="s">
        <v>51</v>
      </c>
      <c r="Q1604" t="s">
        <v>170</v>
      </c>
      <c r="R1604">
        <v>100000</v>
      </c>
      <c r="S1604">
        <v>0</v>
      </c>
      <c r="T1604">
        <v>3730898</v>
      </c>
      <c r="U1604" t="s">
        <v>835</v>
      </c>
      <c r="V1604" t="s">
        <v>836</v>
      </c>
      <c r="W1604" t="s">
        <v>69</v>
      </c>
      <c r="X1604" t="s">
        <v>131</v>
      </c>
      <c r="Y1604" t="s">
        <v>51</v>
      </c>
      <c r="Z1604">
        <v>869</v>
      </c>
      <c r="AH1604">
        <v>0</v>
      </c>
      <c r="AI1604">
        <v>202505</v>
      </c>
      <c r="AJ1604" t="s">
        <v>56</v>
      </c>
      <c r="AK1604">
        <v>0</v>
      </c>
      <c r="AL1604">
        <v>1</v>
      </c>
      <c r="AM1604">
        <v>3730898</v>
      </c>
      <c r="AN1604">
        <v>1</v>
      </c>
      <c r="AO1604">
        <v>0</v>
      </c>
      <c r="AP1604" t="s">
        <v>3033</v>
      </c>
      <c r="AQ1604" t="s">
        <v>3021</v>
      </c>
      <c r="AR1604" t="s">
        <v>3054</v>
      </c>
      <c r="AS1604" t="s">
        <v>3055</v>
      </c>
      <c r="AU1604" t="s">
        <v>3055</v>
      </c>
    </row>
    <row r="1605" spans="1:47" x14ac:dyDescent="0.35">
      <c r="A1605">
        <v>348090</v>
      </c>
      <c r="B1605" t="s">
        <v>193</v>
      </c>
      <c r="C1605" t="s">
        <v>194</v>
      </c>
      <c r="D1605" s="2">
        <v>45794</v>
      </c>
      <c r="E1605">
        <v>53850</v>
      </c>
      <c r="F1605">
        <v>134</v>
      </c>
      <c r="G1605" t="s">
        <v>804</v>
      </c>
      <c r="H1605" t="s">
        <v>167</v>
      </c>
      <c r="I1605" t="s">
        <v>45</v>
      </c>
      <c r="K1605" t="s">
        <v>1709</v>
      </c>
      <c r="L1605">
        <v>1343300002724</v>
      </c>
      <c r="M1605">
        <v>20250516</v>
      </c>
      <c r="N1605" t="s">
        <v>175</v>
      </c>
      <c r="Q1605" t="s">
        <v>47</v>
      </c>
      <c r="R1605">
        <v>36290</v>
      </c>
      <c r="S1605">
        <v>34410</v>
      </c>
      <c r="T1605">
        <v>4876967</v>
      </c>
      <c r="U1605" t="s">
        <v>1353</v>
      </c>
      <c r="V1605" t="s">
        <v>1354</v>
      </c>
      <c r="W1605" t="s">
        <v>69</v>
      </c>
      <c r="X1605" t="s">
        <v>1355</v>
      </c>
      <c r="Y1605" t="s">
        <v>51</v>
      </c>
      <c r="Z1605">
        <v>1562</v>
      </c>
      <c r="AH1605">
        <v>0</v>
      </c>
      <c r="AI1605">
        <v>202505</v>
      </c>
      <c r="AJ1605" t="s">
        <v>119</v>
      </c>
      <c r="AK1605">
        <v>1</v>
      </c>
      <c r="AL1605">
        <v>1</v>
      </c>
      <c r="AM1605">
        <v>4876967</v>
      </c>
      <c r="AN1605">
        <v>1</v>
      </c>
      <c r="AO1605">
        <v>1</v>
      </c>
      <c r="AP1605" t="s">
        <v>3015</v>
      </c>
      <c r="AQ1605" t="s">
        <v>3021</v>
      </c>
      <c r="AR1605" t="s">
        <v>3022</v>
      </c>
      <c r="AT1605" t="s">
        <v>3017</v>
      </c>
      <c r="AU1605" t="s">
        <v>3014</v>
      </c>
    </row>
    <row r="1606" spans="1:47" x14ac:dyDescent="0.35">
      <c r="A1606">
        <v>348089</v>
      </c>
      <c r="B1606" t="s">
        <v>164</v>
      </c>
      <c r="C1606" t="s">
        <v>165</v>
      </c>
      <c r="D1606" s="2">
        <v>45794</v>
      </c>
      <c r="E1606">
        <v>53850</v>
      </c>
      <c r="F1606">
        <v>118</v>
      </c>
      <c r="G1606" t="s">
        <v>254</v>
      </c>
      <c r="H1606" t="s">
        <v>167</v>
      </c>
      <c r="I1606" t="s">
        <v>45</v>
      </c>
      <c r="K1606">
        <v>202505167983803</v>
      </c>
      <c r="L1606">
        <v>1183306279384</v>
      </c>
      <c r="M1606">
        <v>20250516</v>
      </c>
      <c r="N1606" t="s">
        <v>168</v>
      </c>
      <c r="P1606" t="s">
        <v>255</v>
      </c>
      <c r="Q1606" t="s">
        <v>170</v>
      </c>
      <c r="R1606">
        <v>9000</v>
      </c>
      <c r="S1606">
        <v>0</v>
      </c>
      <c r="T1606">
        <v>4896093</v>
      </c>
      <c r="U1606">
        <v>8070110724</v>
      </c>
      <c r="V1606" t="s">
        <v>256</v>
      </c>
      <c r="W1606" t="s">
        <v>49</v>
      </c>
      <c r="X1606" t="s">
        <v>257</v>
      </c>
      <c r="Y1606" t="s">
        <v>51</v>
      </c>
      <c r="Z1606">
        <v>979</v>
      </c>
      <c r="AH1606">
        <v>0</v>
      </c>
      <c r="AI1606">
        <v>202505</v>
      </c>
      <c r="AJ1606" t="s">
        <v>86</v>
      </c>
      <c r="AK1606">
        <v>1</v>
      </c>
      <c r="AL1606">
        <v>1</v>
      </c>
      <c r="AO1606">
        <v>0</v>
      </c>
      <c r="AP1606" t="s">
        <v>3015</v>
      </c>
      <c r="AQ1606" t="s">
        <v>3012</v>
      </c>
      <c r="AR1606" t="s">
        <v>3016</v>
      </c>
      <c r="AT1606" t="s">
        <v>3017</v>
      </c>
      <c r="AU1606" t="s">
        <v>3018</v>
      </c>
    </row>
    <row r="1607" spans="1:47" x14ac:dyDescent="0.35">
      <c r="A1607">
        <v>348088</v>
      </c>
      <c r="B1607" t="s">
        <v>178</v>
      </c>
      <c r="C1607" t="s">
        <v>179</v>
      </c>
      <c r="D1607" s="2">
        <v>45794</v>
      </c>
      <c r="E1607">
        <v>53850</v>
      </c>
      <c r="F1607">
        <v>120</v>
      </c>
      <c r="G1607" t="s">
        <v>411</v>
      </c>
      <c r="H1607" t="s">
        <v>167</v>
      </c>
      <c r="I1607" t="s">
        <v>45</v>
      </c>
      <c r="K1607">
        <v>202505167985462</v>
      </c>
      <c r="L1607">
        <v>1203300002401</v>
      </c>
      <c r="M1607">
        <v>20250516</v>
      </c>
      <c r="N1607" t="s">
        <v>659</v>
      </c>
      <c r="Q1607" t="s">
        <v>170</v>
      </c>
      <c r="R1607">
        <v>3451969.31</v>
      </c>
      <c r="S1607">
        <v>0</v>
      </c>
      <c r="T1607">
        <v>613876</v>
      </c>
      <c r="U1607">
        <v>574290722</v>
      </c>
      <c r="V1607" t="s">
        <v>545</v>
      </c>
      <c r="W1607" t="s">
        <v>546</v>
      </c>
      <c r="X1607" t="s">
        <v>421</v>
      </c>
      <c r="Y1607" t="s">
        <v>51</v>
      </c>
      <c r="Z1607">
        <v>1058</v>
      </c>
      <c r="AH1607">
        <v>0</v>
      </c>
      <c r="AI1607">
        <v>202505</v>
      </c>
      <c r="AJ1607" t="s">
        <v>56</v>
      </c>
      <c r="AK1607">
        <v>0</v>
      </c>
      <c r="AL1607">
        <v>1</v>
      </c>
      <c r="AM1607">
        <v>613876</v>
      </c>
      <c r="AN1607">
        <v>1</v>
      </c>
      <c r="AO1607">
        <v>0</v>
      </c>
      <c r="AP1607" t="s">
        <v>3015</v>
      </c>
      <c r="AQ1607" t="s">
        <v>3076</v>
      </c>
      <c r="AR1607" t="s">
        <v>3077</v>
      </c>
      <c r="AT1607" t="s">
        <v>3017</v>
      </c>
      <c r="AU1607" t="s">
        <v>3014</v>
      </c>
    </row>
    <row r="1608" spans="1:47" x14ac:dyDescent="0.35">
      <c r="A1608">
        <v>348087</v>
      </c>
      <c r="B1608" t="s">
        <v>178</v>
      </c>
      <c r="C1608" t="s">
        <v>179</v>
      </c>
      <c r="D1608" s="2">
        <v>45794</v>
      </c>
      <c r="E1608">
        <v>53850</v>
      </c>
      <c r="F1608">
        <v>109</v>
      </c>
      <c r="G1608" t="s">
        <v>89</v>
      </c>
      <c r="H1608" t="s">
        <v>167</v>
      </c>
      <c r="I1608" t="s">
        <v>45</v>
      </c>
      <c r="K1608" t="s">
        <v>1719</v>
      </c>
      <c r="L1608">
        <v>1093306674144</v>
      </c>
      <c r="M1608">
        <v>20250516</v>
      </c>
      <c r="N1608" t="s">
        <v>3136</v>
      </c>
      <c r="Q1608" t="s">
        <v>170</v>
      </c>
      <c r="R1608">
        <v>1992.86</v>
      </c>
      <c r="S1608">
        <v>0</v>
      </c>
      <c r="T1608">
        <v>563942</v>
      </c>
      <c r="U1608" t="s">
        <v>1735</v>
      </c>
      <c r="V1608" t="s">
        <v>1736</v>
      </c>
      <c r="W1608" t="s">
        <v>187</v>
      </c>
      <c r="Y1608" t="s">
        <v>51</v>
      </c>
      <c r="Z1608">
        <v>929</v>
      </c>
      <c r="AH1608">
        <v>0</v>
      </c>
      <c r="AI1608">
        <v>202505</v>
      </c>
      <c r="AJ1608" t="s">
        <v>86</v>
      </c>
      <c r="AK1608">
        <v>1</v>
      </c>
      <c r="AL1608">
        <v>1</v>
      </c>
      <c r="AO1608">
        <v>1</v>
      </c>
      <c r="AP1608" t="s">
        <v>3015</v>
      </c>
      <c r="AQ1608" t="s">
        <v>3044</v>
      </c>
      <c r="AR1608" t="s">
        <v>3045</v>
      </c>
      <c r="AS1608" t="s">
        <v>3046</v>
      </c>
      <c r="AU1608" t="s">
        <v>3046</v>
      </c>
    </row>
    <row r="1609" spans="1:47" x14ac:dyDescent="0.35">
      <c r="A1609">
        <v>348086</v>
      </c>
      <c r="B1609" t="s">
        <v>178</v>
      </c>
      <c r="C1609" t="s">
        <v>179</v>
      </c>
      <c r="D1609" s="2">
        <v>45794</v>
      </c>
      <c r="E1609">
        <v>53850</v>
      </c>
      <c r="F1609">
        <v>195</v>
      </c>
      <c r="G1609" t="s">
        <v>498</v>
      </c>
      <c r="H1609" t="s">
        <v>167</v>
      </c>
      <c r="I1609" t="s">
        <v>45</v>
      </c>
      <c r="K1609">
        <v>202505167986467</v>
      </c>
      <c r="L1609">
        <v>1943300004576</v>
      </c>
      <c r="M1609">
        <v>20250516</v>
      </c>
      <c r="N1609" t="s">
        <v>258</v>
      </c>
      <c r="Q1609" t="s">
        <v>170</v>
      </c>
      <c r="R1609">
        <v>90000</v>
      </c>
      <c r="S1609">
        <v>0</v>
      </c>
      <c r="T1609">
        <v>3043207</v>
      </c>
      <c r="U1609" t="s">
        <v>1737</v>
      </c>
      <c r="V1609" t="s">
        <v>1738</v>
      </c>
      <c r="W1609" t="s">
        <v>69</v>
      </c>
      <c r="X1609" t="s">
        <v>131</v>
      </c>
      <c r="Y1609" t="s">
        <v>51</v>
      </c>
      <c r="Z1609">
        <v>938</v>
      </c>
      <c r="AH1609">
        <v>0</v>
      </c>
      <c r="AI1609">
        <v>202505</v>
      </c>
      <c r="AJ1609" t="s">
        <v>86</v>
      </c>
      <c r="AK1609">
        <v>1</v>
      </c>
      <c r="AL1609">
        <v>1</v>
      </c>
      <c r="AO1609">
        <v>0</v>
      </c>
      <c r="AP1609" t="s">
        <v>3033</v>
      </c>
      <c r="AQ1609" t="s">
        <v>3021</v>
      </c>
      <c r="AR1609" t="s">
        <v>3054</v>
      </c>
      <c r="AS1609" t="s">
        <v>3055</v>
      </c>
      <c r="AU1609" t="s">
        <v>3055</v>
      </c>
    </row>
    <row r="1610" spans="1:47" x14ac:dyDescent="0.35">
      <c r="A1610">
        <v>348085</v>
      </c>
      <c r="B1610" t="s">
        <v>214</v>
      </c>
      <c r="C1610" t="s">
        <v>215</v>
      </c>
      <c r="D1610" s="2">
        <v>45794</v>
      </c>
      <c r="E1610">
        <v>53850</v>
      </c>
      <c r="F1610">
        <v>174</v>
      </c>
      <c r="G1610" t="s">
        <v>224</v>
      </c>
      <c r="H1610" t="s">
        <v>167</v>
      </c>
      <c r="I1610" t="s">
        <v>45</v>
      </c>
      <c r="K1610">
        <v>202505167985187</v>
      </c>
      <c r="L1610">
        <v>1743302880339</v>
      </c>
      <c r="M1610">
        <v>20250516</v>
      </c>
      <c r="N1610" t="s">
        <v>168</v>
      </c>
      <c r="P1610" t="s">
        <v>1739</v>
      </c>
      <c r="Q1610" t="s">
        <v>47</v>
      </c>
      <c r="R1610">
        <v>25000</v>
      </c>
      <c r="S1610">
        <v>0</v>
      </c>
      <c r="T1610">
        <v>4969332</v>
      </c>
      <c r="U1610">
        <v>9411491211</v>
      </c>
      <c r="V1610" t="s">
        <v>1740</v>
      </c>
      <c r="W1610" t="s">
        <v>49</v>
      </c>
      <c r="X1610" t="s">
        <v>1741</v>
      </c>
      <c r="Y1610" t="s">
        <v>51</v>
      </c>
      <c r="Z1610">
        <v>502</v>
      </c>
      <c r="AH1610">
        <v>0</v>
      </c>
      <c r="AI1610">
        <v>202505</v>
      </c>
      <c r="AJ1610" t="s">
        <v>86</v>
      </c>
      <c r="AK1610">
        <v>1</v>
      </c>
      <c r="AL1610">
        <v>1</v>
      </c>
      <c r="AO1610">
        <v>0</v>
      </c>
      <c r="AP1610" t="s">
        <v>3015</v>
      </c>
      <c r="AQ1610" t="s">
        <v>3012</v>
      </c>
      <c r="AR1610" t="s">
        <v>3016</v>
      </c>
      <c r="AT1610" t="s">
        <v>3017</v>
      </c>
      <c r="AU1610" t="s">
        <v>3018</v>
      </c>
    </row>
    <row r="1611" spans="1:47" x14ac:dyDescent="0.35">
      <c r="A1611">
        <v>348084</v>
      </c>
      <c r="B1611" t="s">
        <v>214</v>
      </c>
      <c r="C1611" t="s">
        <v>215</v>
      </c>
      <c r="D1611" s="2">
        <v>45794</v>
      </c>
      <c r="E1611">
        <v>53850</v>
      </c>
      <c r="F1611">
        <v>105</v>
      </c>
      <c r="G1611" t="s">
        <v>60</v>
      </c>
      <c r="H1611" t="s">
        <v>167</v>
      </c>
      <c r="I1611" t="s">
        <v>45</v>
      </c>
      <c r="K1611">
        <v>202505167985176</v>
      </c>
      <c r="L1611">
        <v>1053300176050</v>
      </c>
      <c r="M1611">
        <v>20250516</v>
      </c>
      <c r="N1611" t="s">
        <v>168</v>
      </c>
      <c r="P1611" t="s">
        <v>520</v>
      </c>
      <c r="Q1611" t="s">
        <v>170</v>
      </c>
      <c r="R1611">
        <v>660031.41</v>
      </c>
      <c r="S1611">
        <v>0</v>
      </c>
      <c r="T1611">
        <v>17605</v>
      </c>
      <c r="U1611">
        <v>261350722</v>
      </c>
      <c r="V1611" t="s">
        <v>1742</v>
      </c>
      <c r="W1611" t="s">
        <v>49</v>
      </c>
      <c r="X1611" t="s">
        <v>1307</v>
      </c>
      <c r="Y1611" t="s">
        <v>51</v>
      </c>
      <c r="Z1611">
        <v>1058</v>
      </c>
      <c r="AH1611">
        <v>0</v>
      </c>
      <c r="AI1611">
        <v>202505</v>
      </c>
      <c r="AJ1611" t="s">
        <v>119</v>
      </c>
      <c r="AK1611">
        <v>1</v>
      </c>
      <c r="AL1611">
        <v>1</v>
      </c>
      <c r="AO1611">
        <v>0</v>
      </c>
      <c r="AP1611" t="s">
        <v>3015</v>
      </c>
      <c r="AQ1611" t="s">
        <v>3012</v>
      </c>
      <c r="AR1611" t="s">
        <v>3016</v>
      </c>
      <c r="AT1611" t="s">
        <v>3017</v>
      </c>
      <c r="AU1611" t="s">
        <v>3018</v>
      </c>
    </row>
    <row r="1612" spans="1:47" x14ac:dyDescent="0.35">
      <c r="A1612">
        <v>348083</v>
      </c>
      <c r="B1612" t="s">
        <v>333</v>
      </c>
      <c r="C1612" t="s">
        <v>334</v>
      </c>
      <c r="D1612" s="2">
        <v>45794</v>
      </c>
      <c r="E1612">
        <v>53850</v>
      </c>
      <c r="F1612">
        <v>102</v>
      </c>
      <c r="G1612" t="s">
        <v>151</v>
      </c>
      <c r="H1612" t="s">
        <v>167</v>
      </c>
      <c r="I1612" t="s">
        <v>45</v>
      </c>
      <c r="K1612">
        <v>202505167986599</v>
      </c>
      <c r="M1612">
        <v>20250516</v>
      </c>
      <c r="N1612" t="s">
        <v>1356</v>
      </c>
      <c r="Q1612" t="s">
        <v>170</v>
      </c>
      <c r="R1612">
        <v>800000</v>
      </c>
      <c r="S1612">
        <v>0</v>
      </c>
      <c r="T1612">
        <v>42352</v>
      </c>
      <c r="U1612" t="s">
        <v>1724</v>
      </c>
      <c r="V1612" t="s">
        <v>1725</v>
      </c>
      <c r="W1612" t="s">
        <v>69</v>
      </c>
      <c r="X1612" t="s">
        <v>213</v>
      </c>
      <c r="Y1612" t="s">
        <v>51</v>
      </c>
      <c r="Z1612">
        <v>580</v>
      </c>
      <c r="AH1612">
        <v>0</v>
      </c>
      <c r="AI1612">
        <v>202505</v>
      </c>
      <c r="AJ1612" t="s">
        <v>86</v>
      </c>
      <c r="AK1612">
        <v>1</v>
      </c>
      <c r="AL1612">
        <v>0</v>
      </c>
      <c r="AO1612">
        <v>0</v>
      </c>
      <c r="AP1612" t="s">
        <v>3015</v>
      </c>
      <c r="AQ1612" t="s">
        <v>3021</v>
      </c>
      <c r="AR1612" t="s">
        <v>3022</v>
      </c>
      <c r="AT1612" t="s">
        <v>3017</v>
      </c>
      <c r="AU1612" t="s">
        <v>3014</v>
      </c>
    </row>
    <row r="1613" spans="1:47" x14ac:dyDescent="0.35">
      <c r="A1613">
        <v>348082</v>
      </c>
      <c r="B1613" t="s">
        <v>178</v>
      </c>
      <c r="C1613" t="s">
        <v>179</v>
      </c>
      <c r="D1613" s="2">
        <v>45793</v>
      </c>
      <c r="E1613">
        <v>53850</v>
      </c>
      <c r="F1613">
        <v>103</v>
      </c>
      <c r="G1613" t="s">
        <v>80</v>
      </c>
      <c r="H1613" t="s">
        <v>167</v>
      </c>
      <c r="I1613" t="s">
        <v>45</v>
      </c>
      <c r="K1613">
        <v>202505167982350</v>
      </c>
      <c r="L1613">
        <v>1030050005143</v>
      </c>
      <c r="M1613">
        <v>20250516</v>
      </c>
      <c r="N1613" t="s">
        <v>1200</v>
      </c>
      <c r="Q1613" t="s">
        <v>170</v>
      </c>
      <c r="R1613">
        <v>200000</v>
      </c>
      <c r="S1613">
        <v>0</v>
      </c>
      <c r="T1613">
        <v>156633</v>
      </c>
      <c r="U1613" t="s">
        <v>1743</v>
      </c>
      <c r="V1613" t="s">
        <v>1744</v>
      </c>
      <c r="W1613" t="s">
        <v>187</v>
      </c>
      <c r="Y1613" t="s">
        <v>51</v>
      </c>
      <c r="Z1613">
        <v>1657</v>
      </c>
      <c r="AH1613">
        <v>0</v>
      </c>
      <c r="AI1613">
        <v>202505</v>
      </c>
      <c r="AJ1613" t="s">
        <v>86</v>
      </c>
      <c r="AK1613">
        <v>1</v>
      </c>
      <c r="AL1613">
        <v>1</v>
      </c>
      <c r="AO1613">
        <v>0</v>
      </c>
      <c r="AP1613" t="s">
        <v>3015</v>
      </c>
      <c r="AQ1613" t="s">
        <v>3044</v>
      </c>
      <c r="AR1613" t="s">
        <v>3045</v>
      </c>
      <c r="AS1613" t="s">
        <v>3046</v>
      </c>
      <c r="AU1613" t="s">
        <v>3046</v>
      </c>
    </row>
    <row r="1614" spans="1:47" x14ac:dyDescent="0.35">
      <c r="A1614">
        <v>348081</v>
      </c>
      <c r="B1614" t="s">
        <v>178</v>
      </c>
      <c r="C1614" t="s">
        <v>179</v>
      </c>
      <c r="D1614" s="2">
        <v>45793</v>
      </c>
      <c r="E1614">
        <v>53850</v>
      </c>
      <c r="F1614">
        <v>103</v>
      </c>
      <c r="G1614" t="s">
        <v>80</v>
      </c>
      <c r="H1614" t="s">
        <v>167</v>
      </c>
      <c r="I1614" t="s">
        <v>45</v>
      </c>
      <c r="K1614">
        <v>202505167982350</v>
      </c>
      <c r="L1614">
        <v>1030050005143</v>
      </c>
      <c r="M1614">
        <v>20250516</v>
      </c>
      <c r="N1614" t="s">
        <v>1200</v>
      </c>
      <c r="Q1614" t="s">
        <v>170</v>
      </c>
      <c r="R1614">
        <v>200000</v>
      </c>
      <c r="S1614">
        <v>0</v>
      </c>
      <c r="T1614">
        <v>18223</v>
      </c>
      <c r="U1614" t="s">
        <v>1745</v>
      </c>
      <c r="V1614" t="s">
        <v>1746</v>
      </c>
      <c r="W1614" t="s">
        <v>187</v>
      </c>
      <c r="Y1614" t="s">
        <v>51</v>
      </c>
      <c r="Z1614">
        <v>1657</v>
      </c>
      <c r="AH1614">
        <v>0</v>
      </c>
      <c r="AI1614">
        <v>202505</v>
      </c>
      <c r="AJ1614" t="s">
        <v>86</v>
      </c>
      <c r="AK1614">
        <v>1</v>
      </c>
      <c r="AL1614">
        <v>1</v>
      </c>
      <c r="AO1614">
        <v>0</v>
      </c>
      <c r="AP1614" t="s">
        <v>3015</v>
      </c>
      <c r="AQ1614" t="s">
        <v>3044</v>
      </c>
      <c r="AR1614" t="s">
        <v>3045</v>
      </c>
      <c r="AS1614" t="s">
        <v>3046</v>
      </c>
      <c r="AU1614" t="s">
        <v>3046</v>
      </c>
    </row>
    <row r="1615" spans="1:47" x14ac:dyDescent="0.35">
      <c r="A1615">
        <v>348080</v>
      </c>
      <c r="B1615" t="s">
        <v>172</v>
      </c>
      <c r="C1615" t="s">
        <v>173</v>
      </c>
      <c r="D1615" s="2">
        <v>45793</v>
      </c>
      <c r="E1615">
        <v>53850</v>
      </c>
      <c r="F1615">
        <v>103</v>
      </c>
      <c r="G1615" t="s">
        <v>80</v>
      </c>
      <c r="H1615" t="s">
        <v>167</v>
      </c>
      <c r="I1615" t="s">
        <v>45</v>
      </c>
      <c r="K1615">
        <v>202505157983016</v>
      </c>
      <c r="L1615">
        <v>1033306985959</v>
      </c>
      <c r="M1615">
        <v>20250515</v>
      </c>
      <c r="N1615" t="s">
        <v>325</v>
      </c>
      <c r="Q1615" t="s">
        <v>47</v>
      </c>
      <c r="R1615">
        <v>270000</v>
      </c>
      <c r="S1615">
        <v>0</v>
      </c>
      <c r="T1615">
        <v>3740317</v>
      </c>
      <c r="U1615" t="s">
        <v>1747</v>
      </c>
      <c r="V1615" t="s">
        <v>1748</v>
      </c>
      <c r="W1615" t="s">
        <v>187</v>
      </c>
      <c r="Y1615" t="s">
        <v>51</v>
      </c>
      <c r="AH1615">
        <v>0</v>
      </c>
      <c r="AI1615">
        <v>202505</v>
      </c>
      <c r="AJ1615" t="s">
        <v>86</v>
      </c>
      <c r="AK1615">
        <v>1</v>
      </c>
      <c r="AL1615">
        <v>1</v>
      </c>
      <c r="AO1615">
        <v>0</v>
      </c>
      <c r="AP1615" t="s">
        <v>3015</v>
      </c>
      <c r="AQ1615" t="s">
        <v>3044</v>
      </c>
      <c r="AR1615" t="s">
        <v>3045</v>
      </c>
      <c r="AS1615" t="s">
        <v>3046</v>
      </c>
      <c r="AU1615" t="s">
        <v>3046</v>
      </c>
    </row>
    <row r="1616" spans="1:47" x14ac:dyDescent="0.35">
      <c r="A1616">
        <v>348079</v>
      </c>
      <c r="B1616" t="s">
        <v>164</v>
      </c>
      <c r="C1616" t="s">
        <v>165</v>
      </c>
      <c r="D1616" s="2">
        <v>45793</v>
      </c>
      <c r="E1616">
        <v>53850</v>
      </c>
      <c r="F1616">
        <v>102</v>
      </c>
      <c r="G1616" t="s">
        <v>151</v>
      </c>
      <c r="H1616" t="s">
        <v>167</v>
      </c>
      <c r="I1616" t="s">
        <v>45</v>
      </c>
      <c r="K1616" t="s">
        <v>1749</v>
      </c>
      <c r="L1616">
        <v>1023308724471</v>
      </c>
      <c r="M1616">
        <v>20250515</v>
      </c>
      <c r="N1616" t="s">
        <v>168</v>
      </c>
      <c r="P1616" t="s">
        <v>435</v>
      </c>
      <c r="Q1616" t="s">
        <v>47</v>
      </c>
      <c r="R1616">
        <v>3000</v>
      </c>
      <c r="S1616">
        <v>0</v>
      </c>
      <c r="T1616">
        <v>4926972</v>
      </c>
      <c r="U1616">
        <v>8178330729</v>
      </c>
      <c r="V1616" t="s">
        <v>1750</v>
      </c>
      <c r="W1616" t="s">
        <v>49</v>
      </c>
      <c r="X1616" t="s">
        <v>131</v>
      </c>
      <c r="Y1616" t="s">
        <v>51</v>
      </c>
      <c r="Z1616">
        <v>1443</v>
      </c>
      <c r="AH1616">
        <v>0</v>
      </c>
      <c r="AI1616">
        <v>202505</v>
      </c>
      <c r="AJ1616" t="s">
        <v>86</v>
      </c>
      <c r="AK1616">
        <v>1</v>
      </c>
      <c r="AL1616">
        <v>1</v>
      </c>
      <c r="AO1616">
        <v>0</v>
      </c>
      <c r="AP1616" t="s">
        <v>3033</v>
      </c>
      <c r="AQ1616" t="s">
        <v>3012</v>
      </c>
      <c r="AR1616" t="s">
        <v>3034</v>
      </c>
      <c r="AS1616" t="s">
        <v>3014</v>
      </c>
      <c r="AU1616" t="s">
        <v>3014</v>
      </c>
    </row>
    <row r="1617" spans="1:47" x14ac:dyDescent="0.35">
      <c r="A1617">
        <v>348078</v>
      </c>
      <c r="B1617" t="s">
        <v>164</v>
      </c>
      <c r="C1617" t="s">
        <v>165</v>
      </c>
      <c r="D1617" s="2">
        <v>45793</v>
      </c>
      <c r="E1617">
        <v>53850</v>
      </c>
      <c r="F1617">
        <v>198</v>
      </c>
      <c r="G1617" t="s">
        <v>300</v>
      </c>
      <c r="H1617" t="s">
        <v>167</v>
      </c>
      <c r="I1617" t="s">
        <v>45</v>
      </c>
      <c r="K1617" t="s">
        <v>1751</v>
      </c>
      <c r="L1617">
        <v>1983309519925</v>
      </c>
      <c r="M1617">
        <v>20250515</v>
      </c>
      <c r="N1617" t="s">
        <v>168</v>
      </c>
      <c r="P1617" t="s">
        <v>741</v>
      </c>
      <c r="Q1617" t="s">
        <v>47</v>
      </c>
      <c r="R1617">
        <v>2477</v>
      </c>
      <c r="S1617">
        <v>0</v>
      </c>
      <c r="T1617">
        <v>4033412</v>
      </c>
      <c r="U1617" t="s">
        <v>1752</v>
      </c>
      <c r="V1617" t="s">
        <v>1753</v>
      </c>
      <c r="W1617" t="s">
        <v>69</v>
      </c>
      <c r="X1617" t="s">
        <v>85</v>
      </c>
      <c r="Y1617" t="s">
        <v>51</v>
      </c>
      <c r="Z1617">
        <v>1923</v>
      </c>
      <c r="AH1617">
        <v>0</v>
      </c>
      <c r="AI1617">
        <v>202505</v>
      </c>
      <c r="AJ1617" t="s">
        <v>56</v>
      </c>
      <c r="AK1617">
        <v>0</v>
      </c>
      <c r="AL1617">
        <v>1</v>
      </c>
      <c r="AO1617">
        <v>0</v>
      </c>
      <c r="AP1617" t="s">
        <v>3015</v>
      </c>
      <c r="AQ1617" t="s">
        <v>3021</v>
      </c>
      <c r="AR1617" t="s">
        <v>3022</v>
      </c>
      <c r="AT1617" t="s">
        <v>3017</v>
      </c>
      <c r="AU1617" t="s">
        <v>3014</v>
      </c>
    </row>
    <row r="1618" spans="1:47" x14ac:dyDescent="0.35">
      <c r="A1618">
        <v>348077</v>
      </c>
      <c r="B1618" t="s">
        <v>178</v>
      </c>
      <c r="C1618" t="s">
        <v>179</v>
      </c>
      <c r="D1618" s="2">
        <v>45793</v>
      </c>
      <c r="E1618">
        <v>53850</v>
      </c>
      <c r="F1618">
        <v>103</v>
      </c>
      <c r="G1618" t="s">
        <v>80</v>
      </c>
      <c r="H1618" t="s">
        <v>167</v>
      </c>
      <c r="I1618" t="s">
        <v>45</v>
      </c>
      <c r="K1618">
        <v>202505157983001</v>
      </c>
      <c r="L1618">
        <v>1033306974276</v>
      </c>
      <c r="M1618">
        <v>20250515</v>
      </c>
      <c r="N1618" t="s">
        <v>344</v>
      </c>
      <c r="Q1618" t="s">
        <v>170</v>
      </c>
      <c r="R1618">
        <v>225000</v>
      </c>
      <c r="S1618">
        <v>0</v>
      </c>
      <c r="T1618">
        <v>4098513</v>
      </c>
      <c r="U1618" t="s">
        <v>1754</v>
      </c>
      <c r="V1618" t="s">
        <v>1755</v>
      </c>
      <c r="W1618" t="s">
        <v>187</v>
      </c>
      <c r="Y1618" t="s">
        <v>51</v>
      </c>
      <c r="Z1618">
        <v>806</v>
      </c>
      <c r="AH1618">
        <v>0</v>
      </c>
      <c r="AI1618">
        <v>202505</v>
      </c>
      <c r="AJ1618" t="s">
        <v>86</v>
      </c>
      <c r="AK1618">
        <v>1</v>
      </c>
      <c r="AL1618">
        <v>1</v>
      </c>
      <c r="AO1618">
        <v>0</v>
      </c>
      <c r="AP1618" t="s">
        <v>3015</v>
      </c>
      <c r="AQ1618" t="s">
        <v>3044</v>
      </c>
      <c r="AR1618" t="s">
        <v>3045</v>
      </c>
      <c r="AS1618" t="s">
        <v>3046</v>
      </c>
      <c r="AU1618" t="s">
        <v>3046</v>
      </c>
    </row>
    <row r="1619" spans="1:47" x14ac:dyDescent="0.35">
      <c r="A1619">
        <v>348076</v>
      </c>
      <c r="B1619" t="s">
        <v>193</v>
      </c>
      <c r="C1619" t="s">
        <v>194</v>
      </c>
      <c r="D1619" s="2">
        <v>45793</v>
      </c>
      <c r="E1619">
        <v>53850</v>
      </c>
      <c r="F1619">
        <v>109</v>
      </c>
      <c r="G1619" t="s">
        <v>89</v>
      </c>
      <c r="H1619" t="s">
        <v>167</v>
      </c>
      <c r="I1619" t="s">
        <v>45</v>
      </c>
      <c r="K1619">
        <v>202505157983072</v>
      </c>
      <c r="L1619">
        <v>1093306675356</v>
      </c>
      <c r="M1619">
        <v>20250515</v>
      </c>
      <c r="N1619" t="s">
        <v>266</v>
      </c>
      <c r="Q1619" t="s">
        <v>47</v>
      </c>
      <c r="R1619">
        <v>46000</v>
      </c>
      <c r="S1619">
        <v>46000</v>
      </c>
      <c r="T1619">
        <v>4976123</v>
      </c>
      <c r="U1619">
        <v>8630940727</v>
      </c>
      <c r="V1619" t="s">
        <v>717</v>
      </c>
      <c r="W1619" t="s">
        <v>49</v>
      </c>
      <c r="X1619" t="s">
        <v>131</v>
      </c>
      <c r="Y1619" t="s">
        <v>51</v>
      </c>
      <c r="Z1619">
        <v>502</v>
      </c>
      <c r="AH1619">
        <v>0</v>
      </c>
      <c r="AI1619">
        <v>202505</v>
      </c>
      <c r="AJ1619" t="s">
        <v>56</v>
      </c>
      <c r="AK1619">
        <v>0</v>
      </c>
      <c r="AL1619">
        <v>1</v>
      </c>
      <c r="AM1619">
        <v>4976123</v>
      </c>
      <c r="AN1619">
        <v>1</v>
      </c>
      <c r="AO1619">
        <v>0</v>
      </c>
      <c r="AP1619" t="s">
        <v>3033</v>
      </c>
      <c r="AQ1619" t="s">
        <v>3012</v>
      </c>
      <c r="AR1619" t="s">
        <v>3034</v>
      </c>
      <c r="AS1619" t="s">
        <v>3014</v>
      </c>
      <c r="AU1619" t="s">
        <v>3014</v>
      </c>
    </row>
    <row r="1620" spans="1:47" x14ac:dyDescent="0.35">
      <c r="A1620">
        <v>348075</v>
      </c>
      <c r="B1620" t="s">
        <v>214</v>
      </c>
      <c r="C1620" t="s">
        <v>215</v>
      </c>
      <c r="D1620" s="2">
        <v>45793</v>
      </c>
      <c r="E1620">
        <v>53850</v>
      </c>
      <c r="F1620">
        <v>102</v>
      </c>
      <c r="G1620" t="s">
        <v>151</v>
      </c>
      <c r="H1620" t="s">
        <v>167</v>
      </c>
      <c r="I1620" t="s">
        <v>45</v>
      </c>
      <c r="K1620">
        <v>202505157982041</v>
      </c>
      <c r="L1620">
        <v>2583302250573</v>
      </c>
      <c r="M1620">
        <v>20250515</v>
      </c>
      <c r="N1620" t="s">
        <v>168</v>
      </c>
      <c r="P1620" t="s">
        <v>217</v>
      </c>
      <c r="Q1620" t="s">
        <v>47</v>
      </c>
      <c r="R1620">
        <v>24000</v>
      </c>
      <c r="S1620">
        <v>0</v>
      </c>
      <c r="T1620">
        <v>4127428</v>
      </c>
      <c r="U1620" t="s">
        <v>951</v>
      </c>
      <c r="V1620" t="s">
        <v>952</v>
      </c>
      <c r="W1620" t="s">
        <v>69</v>
      </c>
      <c r="X1620" t="s">
        <v>953</v>
      </c>
      <c r="Y1620" t="s">
        <v>51</v>
      </c>
      <c r="Z1620">
        <v>1949</v>
      </c>
      <c r="AH1620">
        <v>0</v>
      </c>
      <c r="AI1620">
        <v>202505</v>
      </c>
      <c r="AJ1620" t="s">
        <v>56</v>
      </c>
      <c r="AK1620">
        <v>0</v>
      </c>
      <c r="AL1620">
        <v>1</v>
      </c>
      <c r="AM1620">
        <v>4127428</v>
      </c>
      <c r="AN1620">
        <v>1</v>
      </c>
      <c r="AO1620">
        <v>0</v>
      </c>
      <c r="AP1620" t="s">
        <v>3015</v>
      </c>
      <c r="AQ1620" t="s">
        <v>3021</v>
      </c>
      <c r="AR1620" t="s">
        <v>3022</v>
      </c>
      <c r="AT1620" t="s">
        <v>3017</v>
      </c>
      <c r="AU1620" t="s">
        <v>3014</v>
      </c>
    </row>
    <row r="1621" spans="1:47" x14ac:dyDescent="0.35">
      <c r="A1621">
        <v>348074</v>
      </c>
      <c r="B1621" t="s">
        <v>178</v>
      </c>
      <c r="C1621" t="s">
        <v>179</v>
      </c>
      <c r="D1621" s="2">
        <v>45793</v>
      </c>
      <c r="E1621">
        <v>53850</v>
      </c>
      <c r="F1621">
        <v>102</v>
      </c>
      <c r="G1621" t="s">
        <v>151</v>
      </c>
      <c r="H1621" t="s">
        <v>167</v>
      </c>
      <c r="I1621" t="s">
        <v>45</v>
      </c>
      <c r="K1621">
        <v>202505157981565</v>
      </c>
      <c r="L1621">
        <v>1023308719190</v>
      </c>
      <c r="M1621">
        <v>20250515</v>
      </c>
      <c r="N1621" t="s">
        <v>46</v>
      </c>
      <c r="P1621" t="s">
        <v>51</v>
      </c>
      <c r="Q1621" t="s">
        <v>47</v>
      </c>
      <c r="R1621">
        <v>1575466.8</v>
      </c>
      <c r="S1621">
        <v>0</v>
      </c>
      <c r="T1621">
        <v>4233192</v>
      </c>
      <c r="U1621">
        <v>4107060966</v>
      </c>
      <c r="V1621" t="s">
        <v>802</v>
      </c>
      <c r="W1621" t="s">
        <v>803</v>
      </c>
      <c r="X1621" t="s">
        <v>210</v>
      </c>
      <c r="Y1621" t="s">
        <v>51</v>
      </c>
      <c r="Z1621">
        <v>739</v>
      </c>
      <c r="AH1621">
        <v>0</v>
      </c>
      <c r="AI1621">
        <v>202505</v>
      </c>
      <c r="AJ1621" t="s">
        <v>86</v>
      </c>
      <c r="AK1621">
        <v>1</v>
      </c>
      <c r="AL1621">
        <v>1</v>
      </c>
      <c r="AO1621">
        <v>0</v>
      </c>
      <c r="AP1621" t="s">
        <v>3015</v>
      </c>
      <c r="AQ1621" t="s">
        <v>3088</v>
      </c>
      <c r="AR1621" t="s">
        <v>3089</v>
      </c>
      <c r="AT1621" t="s">
        <v>3017</v>
      </c>
      <c r="AU1621" t="s">
        <v>3037</v>
      </c>
    </row>
    <row r="1622" spans="1:47" x14ac:dyDescent="0.35">
      <c r="A1622">
        <v>348073</v>
      </c>
      <c r="B1622" t="s">
        <v>193</v>
      </c>
      <c r="C1622" t="s">
        <v>194</v>
      </c>
      <c r="D1622" s="2">
        <v>45793</v>
      </c>
      <c r="E1622">
        <v>53850</v>
      </c>
      <c r="F1622">
        <v>108</v>
      </c>
      <c r="G1622" t="s">
        <v>124</v>
      </c>
      <c r="H1622" t="s">
        <v>167</v>
      </c>
      <c r="I1622" t="s">
        <v>45</v>
      </c>
      <c r="K1622">
        <v>202505157983067</v>
      </c>
      <c r="L1622">
        <v>1083306291105</v>
      </c>
      <c r="M1622">
        <v>20250515</v>
      </c>
      <c r="N1622" t="s">
        <v>266</v>
      </c>
      <c r="Q1622" t="s">
        <v>47</v>
      </c>
      <c r="R1622">
        <v>61124.75</v>
      </c>
      <c r="S1622">
        <v>61124.75</v>
      </c>
      <c r="T1622">
        <v>4227057</v>
      </c>
      <c r="U1622">
        <v>4874620729</v>
      </c>
      <c r="V1622" t="s">
        <v>250</v>
      </c>
      <c r="W1622" t="s">
        <v>49</v>
      </c>
      <c r="X1622" t="s">
        <v>62</v>
      </c>
      <c r="Y1622" t="s">
        <v>51</v>
      </c>
      <c r="Z1622">
        <v>1058</v>
      </c>
      <c r="AH1622">
        <v>0</v>
      </c>
      <c r="AI1622">
        <v>202505</v>
      </c>
      <c r="AJ1622" t="s">
        <v>56</v>
      </c>
      <c r="AK1622">
        <v>0</v>
      </c>
      <c r="AL1622">
        <v>1</v>
      </c>
      <c r="AM1622">
        <v>4227057</v>
      </c>
      <c r="AN1622">
        <v>1</v>
      </c>
      <c r="AO1622">
        <v>0</v>
      </c>
      <c r="AP1622" t="s">
        <v>3015</v>
      </c>
      <c r="AQ1622" t="s">
        <v>3012</v>
      </c>
      <c r="AR1622" t="s">
        <v>3016</v>
      </c>
      <c r="AT1622" t="s">
        <v>3017</v>
      </c>
      <c r="AU1622" t="s">
        <v>3018</v>
      </c>
    </row>
    <row r="1623" spans="1:47" x14ac:dyDescent="0.35">
      <c r="A1623">
        <v>348072</v>
      </c>
      <c r="B1623" t="s">
        <v>178</v>
      </c>
      <c r="C1623" t="s">
        <v>179</v>
      </c>
      <c r="D1623" s="2">
        <v>45793</v>
      </c>
      <c r="E1623">
        <v>53850</v>
      </c>
      <c r="F1623">
        <v>141</v>
      </c>
      <c r="G1623" t="s">
        <v>105</v>
      </c>
      <c r="H1623" t="s">
        <v>167</v>
      </c>
      <c r="I1623" t="s">
        <v>45</v>
      </c>
      <c r="K1623">
        <v>202505157981971</v>
      </c>
      <c r="L1623">
        <v>1413300003985</v>
      </c>
      <c r="M1623">
        <v>20250515</v>
      </c>
      <c r="N1623" t="s">
        <v>46</v>
      </c>
      <c r="P1623" t="s">
        <v>51</v>
      </c>
      <c r="Q1623" t="s">
        <v>47</v>
      </c>
      <c r="R1623">
        <v>2814221.66</v>
      </c>
      <c r="S1623">
        <v>0</v>
      </c>
      <c r="T1623">
        <v>4996689</v>
      </c>
      <c r="U1623">
        <v>80010360750</v>
      </c>
      <c r="V1623" t="s">
        <v>106</v>
      </c>
      <c r="W1623" t="s">
        <v>49</v>
      </c>
      <c r="X1623" t="s">
        <v>107</v>
      </c>
      <c r="Y1623" t="s">
        <v>51</v>
      </c>
      <c r="Z1623">
        <v>1940</v>
      </c>
      <c r="AH1623">
        <v>0</v>
      </c>
      <c r="AI1623">
        <v>202505</v>
      </c>
      <c r="AJ1623" t="s">
        <v>56</v>
      </c>
      <c r="AK1623">
        <v>0</v>
      </c>
      <c r="AL1623">
        <v>1</v>
      </c>
      <c r="AO1623">
        <v>0</v>
      </c>
      <c r="AP1623" t="s">
        <v>3024</v>
      </c>
      <c r="AQ1623" t="s">
        <v>3012</v>
      </c>
      <c r="AR1623" t="s">
        <v>3025</v>
      </c>
      <c r="AS1623" t="s">
        <v>3014</v>
      </c>
      <c r="AU1623" t="s">
        <v>3014</v>
      </c>
    </row>
    <row r="1624" spans="1:47" x14ac:dyDescent="0.35">
      <c r="A1624">
        <v>348071</v>
      </c>
      <c r="B1624" t="s">
        <v>164</v>
      </c>
      <c r="C1624" t="s">
        <v>165</v>
      </c>
      <c r="D1624" s="2">
        <v>45793</v>
      </c>
      <c r="E1624">
        <v>53850</v>
      </c>
      <c r="F1624">
        <v>129</v>
      </c>
      <c r="G1624" t="s">
        <v>227</v>
      </c>
      <c r="H1624" t="s">
        <v>167</v>
      </c>
      <c r="I1624" t="s">
        <v>45</v>
      </c>
      <c r="K1624">
        <v>202505157981969</v>
      </c>
      <c r="L1624">
        <v>1293300002811</v>
      </c>
      <c r="M1624">
        <v>20250515</v>
      </c>
      <c r="N1624" t="s">
        <v>168</v>
      </c>
      <c r="P1624" t="s">
        <v>169</v>
      </c>
      <c r="Q1624" t="s">
        <v>47</v>
      </c>
      <c r="R1624">
        <v>5644.91</v>
      </c>
      <c r="S1624">
        <v>0</v>
      </c>
      <c r="T1624">
        <v>4972184</v>
      </c>
      <c r="U1624">
        <v>7780290727</v>
      </c>
      <c r="V1624" t="s">
        <v>720</v>
      </c>
      <c r="W1624" t="s">
        <v>49</v>
      </c>
      <c r="X1624" t="s">
        <v>721</v>
      </c>
      <c r="Y1624" t="s">
        <v>51</v>
      </c>
      <c r="Z1624">
        <v>1058</v>
      </c>
      <c r="AH1624">
        <v>0</v>
      </c>
      <c r="AI1624">
        <v>202505</v>
      </c>
      <c r="AJ1624" t="s">
        <v>52</v>
      </c>
      <c r="AK1624">
        <v>0</v>
      </c>
      <c r="AL1624">
        <v>1</v>
      </c>
      <c r="AO1624">
        <v>0</v>
      </c>
      <c r="AP1624" t="s">
        <v>3015</v>
      </c>
      <c r="AQ1624" t="s">
        <v>3012</v>
      </c>
      <c r="AR1624" t="s">
        <v>3016</v>
      </c>
      <c r="AT1624" t="s">
        <v>3017</v>
      </c>
      <c r="AU1624" t="s">
        <v>3018</v>
      </c>
    </row>
    <row r="1625" spans="1:47" x14ac:dyDescent="0.35">
      <c r="A1625">
        <v>348070</v>
      </c>
      <c r="B1625" t="s">
        <v>178</v>
      </c>
      <c r="C1625" t="s">
        <v>179</v>
      </c>
      <c r="D1625" s="2">
        <v>45793</v>
      </c>
      <c r="E1625">
        <v>53850</v>
      </c>
      <c r="F1625">
        <v>164</v>
      </c>
      <c r="G1625" t="s">
        <v>651</v>
      </c>
      <c r="H1625" t="s">
        <v>167</v>
      </c>
      <c r="I1625" t="s">
        <v>45</v>
      </c>
      <c r="K1625">
        <v>202505157983238</v>
      </c>
      <c r="L1625">
        <v>1643300015060</v>
      </c>
      <c r="M1625">
        <v>20250515</v>
      </c>
      <c r="N1625" t="s">
        <v>3136</v>
      </c>
      <c r="Q1625" t="s">
        <v>170</v>
      </c>
      <c r="R1625">
        <v>12394.44</v>
      </c>
      <c r="S1625">
        <v>0</v>
      </c>
      <c r="T1625">
        <v>810601</v>
      </c>
      <c r="U1625" t="s">
        <v>1756</v>
      </c>
      <c r="V1625" t="s">
        <v>1757</v>
      </c>
      <c r="W1625" t="s">
        <v>187</v>
      </c>
      <c r="Y1625" t="s">
        <v>51</v>
      </c>
      <c r="Z1625">
        <v>787</v>
      </c>
      <c r="AH1625">
        <v>0</v>
      </c>
      <c r="AI1625">
        <v>202505</v>
      </c>
      <c r="AJ1625" t="s">
        <v>56</v>
      </c>
      <c r="AK1625">
        <v>0</v>
      </c>
      <c r="AL1625">
        <v>1</v>
      </c>
      <c r="AO1625">
        <v>1</v>
      </c>
      <c r="AP1625" t="s">
        <v>3015</v>
      </c>
      <c r="AQ1625" t="s">
        <v>3044</v>
      </c>
      <c r="AR1625" t="s">
        <v>3045</v>
      </c>
      <c r="AS1625" t="s">
        <v>3046</v>
      </c>
      <c r="AU1625" t="s">
        <v>3046</v>
      </c>
    </row>
    <row r="1626" spans="1:47" x14ac:dyDescent="0.35">
      <c r="A1626">
        <v>348069</v>
      </c>
      <c r="B1626" t="s">
        <v>193</v>
      </c>
      <c r="C1626" t="s">
        <v>194</v>
      </c>
      <c r="D1626" s="2">
        <v>45793</v>
      </c>
      <c r="E1626">
        <v>53850</v>
      </c>
      <c r="F1626">
        <v>189</v>
      </c>
      <c r="G1626" t="s">
        <v>286</v>
      </c>
      <c r="H1626" t="s">
        <v>167</v>
      </c>
      <c r="I1626" t="s">
        <v>45</v>
      </c>
      <c r="K1626">
        <v>202505157983336</v>
      </c>
      <c r="L1626">
        <v>1893300023546</v>
      </c>
      <c r="M1626">
        <v>20250515</v>
      </c>
      <c r="N1626" t="s">
        <v>266</v>
      </c>
      <c r="Q1626" t="s">
        <v>47</v>
      </c>
      <c r="R1626">
        <v>69710</v>
      </c>
      <c r="S1626">
        <v>69710</v>
      </c>
      <c r="T1626">
        <v>3064562</v>
      </c>
      <c r="U1626" t="s">
        <v>287</v>
      </c>
      <c r="V1626" t="s">
        <v>288</v>
      </c>
      <c r="W1626" t="s">
        <v>69</v>
      </c>
      <c r="X1626" t="s">
        <v>55</v>
      </c>
      <c r="Y1626" t="s">
        <v>51</v>
      </c>
      <c r="Z1626">
        <v>1620</v>
      </c>
      <c r="AH1626">
        <v>0</v>
      </c>
      <c r="AI1626">
        <v>202505</v>
      </c>
      <c r="AJ1626" t="s">
        <v>56</v>
      </c>
      <c r="AK1626">
        <v>0</v>
      </c>
      <c r="AL1626">
        <v>1</v>
      </c>
      <c r="AM1626">
        <v>3064562</v>
      </c>
      <c r="AN1626">
        <v>1</v>
      </c>
      <c r="AO1626">
        <v>0</v>
      </c>
      <c r="AP1626" t="s">
        <v>3015</v>
      </c>
      <c r="AQ1626" t="s">
        <v>3021</v>
      </c>
      <c r="AR1626" t="s">
        <v>3022</v>
      </c>
      <c r="AT1626" t="s">
        <v>3017</v>
      </c>
      <c r="AU1626" t="s">
        <v>3014</v>
      </c>
    </row>
    <row r="1627" spans="1:47" x14ac:dyDescent="0.35">
      <c r="A1627">
        <v>348068</v>
      </c>
      <c r="B1627" t="s">
        <v>178</v>
      </c>
      <c r="C1627" t="s">
        <v>179</v>
      </c>
      <c r="D1627" s="2">
        <v>45793</v>
      </c>
      <c r="E1627">
        <v>53850</v>
      </c>
      <c r="F1627">
        <v>173</v>
      </c>
      <c r="G1627" t="s">
        <v>1409</v>
      </c>
      <c r="H1627" t="s">
        <v>167</v>
      </c>
      <c r="I1627" t="s">
        <v>45</v>
      </c>
      <c r="K1627">
        <v>202505157981675</v>
      </c>
      <c r="L1627">
        <v>1733302705276</v>
      </c>
      <c r="M1627">
        <v>20250515</v>
      </c>
      <c r="N1627" t="s">
        <v>46</v>
      </c>
      <c r="P1627" t="s">
        <v>51</v>
      </c>
      <c r="Q1627" t="s">
        <v>47</v>
      </c>
      <c r="R1627">
        <v>400000</v>
      </c>
      <c r="S1627">
        <v>0</v>
      </c>
      <c r="T1627">
        <v>4792738</v>
      </c>
      <c r="U1627" t="s">
        <v>1715</v>
      </c>
      <c r="V1627" t="s">
        <v>1716</v>
      </c>
      <c r="W1627" t="s">
        <v>187</v>
      </c>
      <c r="Y1627" t="s">
        <v>51</v>
      </c>
      <c r="Z1627">
        <v>1179</v>
      </c>
      <c r="AH1627">
        <v>0</v>
      </c>
      <c r="AI1627">
        <v>202505</v>
      </c>
      <c r="AJ1627" t="s">
        <v>86</v>
      </c>
      <c r="AK1627">
        <v>1</v>
      </c>
      <c r="AL1627">
        <v>1</v>
      </c>
      <c r="AO1627">
        <v>0</v>
      </c>
      <c r="AP1627" t="s">
        <v>3015</v>
      </c>
      <c r="AQ1627" t="s">
        <v>3044</v>
      </c>
      <c r="AR1627" t="s">
        <v>3045</v>
      </c>
      <c r="AS1627" t="s">
        <v>3046</v>
      </c>
      <c r="AU1627" t="s">
        <v>3046</v>
      </c>
    </row>
    <row r="1628" spans="1:47" x14ac:dyDescent="0.35">
      <c r="A1628">
        <v>348067</v>
      </c>
      <c r="B1628" t="s">
        <v>178</v>
      </c>
      <c r="C1628" t="s">
        <v>179</v>
      </c>
      <c r="D1628" s="2">
        <v>45793</v>
      </c>
      <c r="E1628">
        <v>53850</v>
      </c>
      <c r="F1628">
        <v>102</v>
      </c>
      <c r="G1628" t="s">
        <v>151</v>
      </c>
      <c r="H1628" t="s">
        <v>167</v>
      </c>
      <c r="I1628" t="s">
        <v>45</v>
      </c>
      <c r="K1628">
        <v>202505157982423</v>
      </c>
      <c r="L1628">
        <v>1023308719190</v>
      </c>
      <c r="M1628">
        <v>20250515</v>
      </c>
      <c r="N1628" t="s">
        <v>659</v>
      </c>
      <c r="Q1628" t="s">
        <v>170</v>
      </c>
      <c r="R1628">
        <v>1602602.61</v>
      </c>
      <c r="S1628">
        <v>0</v>
      </c>
      <c r="T1628">
        <v>4233192</v>
      </c>
      <c r="U1628">
        <v>4107060966</v>
      </c>
      <c r="V1628" t="s">
        <v>802</v>
      </c>
      <c r="W1628" t="s">
        <v>803</v>
      </c>
      <c r="X1628" t="s">
        <v>210</v>
      </c>
      <c r="Y1628" t="s">
        <v>51</v>
      </c>
      <c r="Z1628">
        <v>739</v>
      </c>
      <c r="AH1628">
        <v>0</v>
      </c>
      <c r="AI1628">
        <v>202505</v>
      </c>
      <c r="AJ1628" t="s">
        <v>86</v>
      </c>
      <c r="AK1628">
        <v>1</v>
      </c>
      <c r="AL1628">
        <v>1</v>
      </c>
      <c r="AO1628">
        <v>0</v>
      </c>
      <c r="AP1628" t="s">
        <v>3015</v>
      </c>
      <c r="AQ1628" t="s">
        <v>3088</v>
      </c>
      <c r="AR1628" t="s">
        <v>3089</v>
      </c>
      <c r="AT1628" t="s">
        <v>3017</v>
      </c>
      <c r="AU1628" t="s">
        <v>3037</v>
      </c>
    </row>
    <row r="1629" spans="1:47" x14ac:dyDescent="0.35">
      <c r="A1629">
        <v>348066</v>
      </c>
      <c r="B1629" t="s">
        <v>172</v>
      </c>
      <c r="C1629" t="s">
        <v>173</v>
      </c>
      <c r="D1629" s="2">
        <v>45793</v>
      </c>
      <c r="E1629">
        <v>53850</v>
      </c>
      <c r="F1629">
        <v>109</v>
      </c>
      <c r="G1629" t="s">
        <v>89</v>
      </c>
      <c r="H1629" t="s">
        <v>167</v>
      </c>
      <c r="I1629" t="s">
        <v>45</v>
      </c>
      <c r="K1629">
        <v>202505157983074</v>
      </c>
      <c r="L1629">
        <v>1093306674752</v>
      </c>
      <c r="M1629">
        <v>20250515</v>
      </c>
      <c r="N1629" t="s">
        <v>231</v>
      </c>
      <c r="Q1629" t="s">
        <v>47</v>
      </c>
      <c r="R1629">
        <v>196000</v>
      </c>
      <c r="S1629">
        <v>0</v>
      </c>
      <c r="T1629">
        <v>4945428</v>
      </c>
      <c r="U1629" t="s">
        <v>1758</v>
      </c>
      <c r="V1629" t="s">
        <v>1759</v>
      </c>
      <c r="W1629" t="s">
        <v>187</v>
      </c>
      <c r="Y1629" t="s">
        <v>51</v>
      </c>
      <c r="Z1629">
        <v>1918</v>
      </c>
      <c r="AH1629">
        <v>0</v>
      </c>
      <c r="AI1629">
        <v>202505</v>
      </c>
      <c r="AJ1629" t="s">
        <v>86</v>
      </c>
      <c r="AK1629">
        <v>1</v>
      </c>
      <c r="AL1629">
        <v>1</v>
      </c>
      <c r="AO1629">
        <v>0</v>
      </c>
      <c r="AP1629" t="s">
        <v>3015</v>
      </c>
      <c r="AQ1629" t="s">
        <v>3044</v>
      </c>
      <c r="AR1629" t="s">
        <v>3045</v>
      </c>
      <c r="AS1629" t="s">
        <v>3046</v>
      </c>
      <c r="AU1629" t="s">
        <v>3046</v>
      </c>
    </row>
    <row r="1630" spans="1:47" x14ac:dyDescent="0.35">
      <c r="A1630">
        <v>348065</v>
      </c>
      <c r="B1630" t="s">
        <v>193</v>
      </c>
      <c r="C1630" t="s">
        <v>194</v>
      </c>
      <c r="D1630" s="2">
        <v>45793</v>
      </c>
      <c r="E1630">
        <v>53850</v>
      </c>
      <c r="F1630">
        <v>103</v>
      </c>
      <c r="G1630" t="s">
        <v>80</v>
      </c>
      <c r="H1630" t="s">
        <v>167</v>
      </c>
      <c r="I1630" t="s">
        <v>45</v>
      </c>
      <c r="K1630">
        <v>202505157983000</v>
      </c>
      <c r="L1630">
        <v>1033306985374</v>
      </c>
      <c r="M1630">
        <v>20250515</v>
      </c>
      <c r="N1630" t="s">
        <v>266</v>
      </c>
      <c r="Q1630" t="s">
        <v>47</v>
      </c>
      <c r="R1630">
        <v>26000</v>
      </c>
      <c r="S1630">
        <v>26000</v>
      </c>
      <c r="T1630">
        <v>3722977</v>
      </c>
      <c r="U1630">
        <v>8874860722</v>
      </c>
      <c r="V1630" t="s">
        <v>1216</v>
      </c>
      <c r="W1630" t="s">
        <v>620</v>
      </c>
      <c r="X1630" t="s">
        <v>131</v>
      </c>
      <c r="Y1630" t="s">
        <v>51</v>
      </c>
      <c r="Z1630">
        <v>1916</v>
      </c>
      <c r="AH1630">
        <v>0</v>
      </c>
      <c r="AI1630">
        <v>202505</v>
      </c>
      <c r="AJ1630" t="s">
        <v>52</v>
      </c>
      <c r="AK1630">
        <v>0</v>
      </c>
      <c r="AL1630">
        <v>1</v>
      </c>
      <c r="AM1630">
        <v>3722977</v>
      </c>
      <c r="AN1630">
        <v>1</v>
      </c>
      <c r="AO1630">
        <v>0</v>
      </c>
      <c r="AP1630" t="s">
        <v>3033</v>
      </c>
      <c r="AQ1630" t="s">
        <v>3080</v>
      </c>
      <c r="AR1630" t="s">
        <v>3106</v>
      </c>
      <c r="AS1630" t="s">
        <v>3049</v>
      </c>
      <c r="AU1630" t="s">
        <v>3049</v>
      </c>
    </row>
    <row r="1631" spans="1:47" x14ac:dyDescent="0.35">
      <c r="A1631">
        <v>348064</v>
      </c>
      <c r="B1631" t="s">
        <v>178</v>
      </c>
      <c r="C1631" t="s">
        <v>179</v>
      </c>
      <c r="D1631" s="2">
        <v>45793</v>
      </c>
      <c r="E1631">
        <v>53850</v>
      </c>
      <c r="F1631">
        <v>103</v>
      </c>
      <c r="G1631" t="s">
        <v>80</v>
      </c>
      <c r="H1631" t="s">
        <v>167</v>
      </c>
      <c r="I1631" t="s">
        <v>45</v>
      </c>
      <c r="K1631">
        <v>202505157982989</v>
      </c>
      <c r="L1631">
        <v>1033306979264</v>
      </c>
      <c r="M1631">
        <v>20250515</v>
      </c>
      <c r="N1631" t="s">
        <v>3136</v>
      </c>
      <c r="Q1631" t="s">
        <v>170</v>
      </c>
      <c r="R1631">
        <v>58953.41</v>
      </c>
      <c r="S1631">
        <v>0</v>
      </c>
      <c r="T1631">
        <v>608841</v>
      </c>
      <c r="U1631" t="s">
        <v>1760</v>
      </c>
      <c r="V1631" t="s">
        <v>1761</v>
      </c>
      <c r="W1631" t="s">
        <v>187</v>
      </c>
      <c r="Y1631" t="s">
        <v>51</v>
      </c>
      <c r="AH1631">
        <v>0</v>
      </c>
      <c r="AI1631">
        <v>202505</v>
      </c>
      <c r="AJ1631" t="s">
        <v>86</v>
      </c>
      <c r="AK1631">
        <v>1</v>
      </c>
      <c r="AL1631">
        <v>1</v>
      </c>
      <c r="AO1631">
        <v>1</v>
      </c>
      <c r="AP1631" t="s">
        <v>3015</v>
      </c>
      <c r="AQ1631" t="s">
        <v>3044</v>
      </c>
      <c r="AR1631" t="s">
        <v>3045</v>
      </c>
      <c r="AS1631" t="s">
        <v>3046</v>
      </c>
      <c r="AU1631" t="s">
        <v>3046</v>
      </c>
    </row>
    <row r="1632" spans="1:47" x14ac:dyDescent="0.35">
      <c r="A1632">
        <v>348063</v>
      </c>
      <c r="B1632" t="s">
        <v>172</v>
      </c>
      <c r="C1632" t="s">
        <v>173</v>
      </c>
      <c r="D1632" s="2">
        <v>45793</v>
      </c>
      <c r="E1632">
        <v>53850</v>
      </c>
      <c r="F1632">
        <v>153</v>
      </c>
      <c r="G1632" t="s">
        <v>63</v>
      </c>
      <c r="H1632" t="s">
        <v>167</v>
      </c>
      <c r="I1632" t="s">
        <v>45</v>
      </c>
      <c r="K1632">
        <v>202505157983208</v>
      </c>
      <c r="L1632">
        <v>1533300662905</v>
      </c>
      <c r="M1632">
        <v>20250515</v>
      </c>
      <c r="N1632" t="s">
        <v>81</v>
      </c>
      <c r="Q1632" t="s">
        <v>47</v>
      </c>
      <c r="R1632">
        <v>92678.99</v>
      </c>
      <c r="S1632">
        <v>0</v>
      </c>
      <c r="T1632">
        <v>4165339</v>
      </c>
      <c r="U1632">
        <v>5612950633</v>
      </c>
      <c r="V1632" t="s">
        <v>1020</v>
      </c>
      <c r="W1632" t="s">
        <v>49</v>
      </c>
      <c r="X1632" t="s">
        <v>1021</v>
      </c>
      <c r="Y1632" t="s">
        <v>51</v>
      </c>
      <c r="Z1632">
        <v>982</v>
      </c>
      <c r="AH1632">
        <v>0</v>
      </c>
      <c r="AI1632">
        <v>202505</v>
      </c>
      <c r="AJ1632" t="s">
        <v>56</v>
      </c>
      <c r="AK1632">
        <v>0</v>
      </c>
      <c r="AL1632">
        <v>1</v>
      </c>
      <c r="AO1632">
        <v>0</v>
      </c>
      <c r="AP1632" t="s">
        <v>3098</v>
      </c>
      <c r="AQ1632" t="s">
        <v>3012</v>
      </c>
      <c r="AR1632" t="s">
        <v>3099</v>
      </c>
      <c r="AS1632" t="s">
        <v>3014</v>
      </c>
      <c r="AU1632" t="s">
        <v>3014</v>
      </c>
    </row>
    <row r="1633" spans="1:47" x14ac:dyDescent="0.35">
      <c r="A1633">
        <v>348062</v>
      </c>
      <c r="B1633" t="s">
        <v>164</v>
      </c>
      <c r="C1633" t="s">
        <v>165</v>
      </c>
      <c r="D1633" s="2">
        <v>45793</v>
      </c>
      <c r="E1633">
        <v>53850</v>
      </c>
      <c r="F1633">
        <v>196</v>
      </c>
      <c r="G1633" t="s">
        <v>567</v>
      </c>
      <c r="H1633" t="s">
        <v>167</v>
      </c>
      <c r="I1633" t="s">
        <v>45</v>
      </c>
      <c r="K1633" t="s">
        <v>1762</v>
      </c>
      <c r="L1633">
        <v>1963302354532</v>
      </c>
      <c r="M1633">
        <v>20250515</v>
      </c>
      <c r="N1633" t="s">
        <v>168</v>
      </c>
      <c r="P1633" t="s">
        <v>741</v>
      </c>
      <c r="Q1633" t="s">
        <v>170</v>
      </c>
      <c r="R1633">
        <v>1000</v>
      </c>
      <c r="S1633">
        <v>0</v>
      </c>
      <c r="T1633">
        <v>4962400</v>
      </c>
      <c r="U1633" t="s">
        <v>742</v>
      </c>
      <c r="V1633" t="s">
        <v>743</v>
      </c>
      <c r="W1633" t="s">
        <v>187</v>
      </c>
      <c r="Y1633" t="s">
        <v>51</v>
      </c>
      <c r="Z1633">
        <v>796</v>
      </c>
      <c r="AH1633">
        <v>0</v>
      </c>
      <c r="AI1633">
        <v>202505</v>
      </c>
      <c r="AJ1633" t="s">
        <v>86</v>
      </c>
      <c r="AK1633">
        <v>1</v>
      </c>
      <c r="AL1633">
        <v>1</v>
      </c>
      <c r="AO1633">
        <v>0</v>
      </c>
      <c r="AP1633" t="s">
        <v>3015</v>
      </c>
      <c r="AQ1633" t="s">
        <v>3044</v>
      </c>
      <c r="AR1633" t="s">
        <v>3045</v>
      </c>
      <c r="AS1633" t="s">
        <v>3046</v>
      </c>
      <c r="AU1633" t="s">
        <v>3046</v>
      </c>
    </row>
    <row r="1634" spans="1:47" x14ac:dyDescent="0.35">
      <c r="A1634">
        <v>348061</v>
      </c>
      <c r="B1634" t="s">
        <v>178</v>
      </c>
      <c r="C1634" t="s">
        <v>179</v>
      </c>
      <c r="D1634" s="2">
        <v>45793</v>
      </c>
      <c r="E1634">
        <v>53850</v>
      </c>
      <c r="F1634">
        <v>265</v>
      </c>
      <c r="G1634" t="s">
        <v>758</v>
      </c>
      <c r="H1634" t="s">
        <v>167</v>
      </c>
      <c r="I1634" t="s">
        <v>45</v>
      </c>
      <c r="K1634" t="s">
        <v>1763</v>
      </c>
      <c r="L1634">
        <v>2653300000419</v>
      </c>
      <c r="M1634">
        <v>20250515</v>
      </c>
      <c r="N1634" t="s">
        <v>3136</v>
      </c>
      <c r="Q1634" t="s">
        <v>170</v>
      </c>
      <c r="R1634">
        <v>1652</v>
      </c>
      <c r="S1634">
        <v>0</v>
      </c>
      <c r="T1634">
        <v>1636814</v>
      </c>
      <c r="U1634" t="s">
        <v>1764</v>
      </c>
      <c r="V1634" t="s">
        <v>1765</v>
      </c>
      <c r="W1634" t="s">
        <v>187</v>
      </c>
      <c r="Y1634" t="s">
        <v>51</v>
      </c>
      <c r="Z1634">
        <v>1890</v>
      </c>
      <c r="AH1634">
        <v>0</v>
      </c>
      <c r="AI1634">
        <v>202505</v>
      </c>
      <c r="AJ1634" t="s">
        <v>86</v>
      </c>
      <c r="AK1634">
        <v>1</v>
      </c>
      <c r="AL1634">
        <v>1</v>
      </c>
      <c r="AO1634">
        <v>1</v>
      </c>
      <c r="AP1634" t="s">
        <v>3015</v>
      </c>
      <c r="AQ1634" t="s">
        <v>3044</v>
      </c>
      <c r="AR1634" t="s">
        <v>3045</v>
      </c>
      <c r="AS1634" t="s">
        <v>3046</v>
      </c>
      <c r="AU1634" t="s">
        <v>3046</v>
      </c>
    </row>
    <row r="1635" spans="1:47" x14ac:dyDescent="0.35">
      <c r="A1635">
        <v>348060</v>
      </c>
      <c r="B1635" t="s">
        <v>193</v>
      </c>
      <c r="C1635" t="s">
        <v>194</v>
      </c>
      <c r="D1635" s="2">
        <v>45793</v>
      </c>
      <c r="E1635">
        <v>53850</v>
      </c>
      <c r="F1635">
        <v>268</v>
      </c>
      <c r="G1635" t="s">
        <v>83</v>
      </c>
      <c r="H1635" t="s">
        <v>167</v>
      </c>
      <c r="I1635" t="s">
        <v>45</v>
      </c>
      <c r="K1635" t="s">
        <v>1766</v>
      </c>
      <c r="L1635">
        <v>2683300010030</v>
      </c>
      <c r="M1635">
        <v>20250515</v>
      </c>
      <c r="N1635" t="s">
        <v>195</v>
      </c>
      <c r="Q1635" t="s">
        <v>47</v>
      </c>
      <c r="R1635">
        <v>33925</v>
      </c>
      <c r="S1635">
        <v>33925</v>
      </c>
      <c r="T1635">
        <v>4966939</v>
      </c>
      <c r="U1635" t="s">
        <v>221</v>
      </c>
      <c r="V1635" t="s">
        <v>222</v>
      </c>
      <c r="W1635" t="s">
        <v>69</v>
      </c>
      <c r="X1635" t="s">
        <v>55</v>
      </c>
      <c r="Y1635" t="s">
        <v>51</v>
      </c>
      <c r="Z1635">
        <v>1870</v>
      </c>
      <c r="AH1635">
        <v>0</v>
      </c>
      <c r="AI1635">
        <v>202505</v>
      </c>
      <c r="AJ1635" t="s">
        <v>56</v>
      </c>
      <c r="AK1635">
        <v>0</v>
      </c>
      <c r="AL1635">
        <v>1</v>
      </c>
      <c r="AM1635">
        <v>4966939</v>
      </c>
      <c r="AN1635">
        <v>1</v>
      </c>
      <c r="AO1635">
        <v>0</v>
      </c>
      <c r="AP1635" t="s">
        <v>3015</v>
      </c>
      <c r="AQ1635" t="s">
        <v>3021</v>
      </c>
      <c r="AR1635" t="s">
        <v>3022</v>
      </c>
      <c r="AT1635" t="s">
        <v>3017</v>
      </c>
      <c r="AU1635" t="s">
        <v>3014</v>
      </c>
    </row>
    <row r="1636" spans="1:47" x14ac:dyDescent="0.35">
      <c r="A1636">
        <v>348059</v>
      </c>
      <c r="B1636" t="s">
        <v>172</v>
      </c>
      <c r="C1636" t="s">
        <v>173</v>
      </c>
      <c r="D1636" s="2">
        <v>45793</v>
      </c>
      <c r="E1636">
        <v>53850</v>
      </c>
      <c r="F1636">
        <v>161</v>
      </c>
      <c r="G1636" t="s">
        <v>111</v>
      </c>
      <c r="H1636" t="s">
        <v>167</v>
      </c>
      <c r="I1636" t="s">
        <v>45</v>
      </c>
      <c r="K1636">
        <v>202505157983234</v>
      </c>
      <c r="L1636">
        <v>1613300032598</v>
      </c>
      <c r="M1636">
        <v>20250515</v>
      </c>
      <c r="N1636" t="s">
        <v>81</v>
      </c>
      <c r="Q1636" t="s">
        <v>47</v>
      </c>
      <c r="R1636">
        <v>153569.38</v>
      </c>
      <c r="S1636">
        <v>0</v>
      </c>
      <c r="T1636">
        <v>4103078</v>
      </c>
      <c r="U1636">
        <v>272810722</v>
      </c>
      <c r="V1636" t="s">
        <v>1767</v>
      </c>
      <c r="W1636" t="s">
        <v>49</v>
      </c>
      <c r="X1636" t="s">
        <v>299</v>
      </c>
      <c r="Y1636" t="s">
        <v>51</v>
      </c>
      <c r="Z1636">
        <v>1903</v>
      </c>
      <c r="AH1636">
        <v>0</v>
      </c>
      <c r="AI1636">
        <v>202505</v>
      </c>
      <c r="AJ1636" t="s">
        <v>114</v>
      </c>
      <c r="AK1636">
        <v>1</v>
      </c>
      <c r="AL1636">
        <v>1</v>
      </c>
      <c r="AO1636">
        <v>0</v>
      </c>
      <c r="AP1636" t="s">
        <v>3015</v>
      </c>
      <c r="AQ1636" t="s">
        <v>3012</v>
      </c>
      <c r="AR1636" t="s">
        <v>3016</v>
      </c>
      <c r="AT1636" t="s">
        <v>3017</v>
      </c>
      <c r="AU1636" t="s">
        <v>3018</v>
      </c>
    </row>
    <row r="1637" spans="1:47" x14ac:dyDescent="0.35">
      <c r="A1637">
        <v>348058</v>
      </c>
      <c r="B1637" t="s">
        <v>178</v>
      </c>
      <c r="C1637" t="s">
        <v>179</v>
      </c>
      <c r="D1637" s="2">
        <v>45793</v>
      </c>
      <c r="E1637">
        <v>53850</v>
      </c>
      <c r="F1637">
        <v>182</v>
      </c>
      <c r="G1637" t="s">
        <v>318</v>
      </c>
      <c r="H1637" t="s">
        <v>167</v>
      </c>
      <c r="I1637" t="s">
        <v>45</v>
      </c>
      <c r="K1637">
        <v>202505157983327</v>
      </c>
      <c r="L1637">
        <v>1823300172492</v>
      </c>
      <c r="M1637">
        <v>20250515</v>
      </c>
      <c r="N1637" t="s">
        <v>1002</v>
      </c>
      <c r="Q1637" t="s">
        <v>47</v>
      </c>
      <c r="R1637">
        <v>233000</v>
      </c>
      <c r="S1637">
        <v>0</v>
      </c>
      <c r="T1637">
        <v>3014130</v>
      </c>
      <c r="U1637" t="s">
        <v>1768</v>
      </c>
      <c r="V1637" t="s">
        <v>1769</v>
      </c>
      <c r="W1637" t="s">
        <v>187</v>
      </c>
      <c r="Y1637" t="s">
        <v>51</v>
      </c>
      <c r="Z1637">
        <v>616</v>
      </c>
      <c r="AH1637">
        <v>0</v>
      </c>
      <c r="AI1637">
        <v>202505</v>
      </c>
      <c r="AJ1637" t="s">
        <v>56</v>
      </c>
      <c r="AK1637">
        <v>0</v>
      </c>
      <c r="AL1637">
        <v>1</v>
      </c>
      <c r="AO1637">
        <v>0</v>
      </c>
      <c r="AP1637" t="s">
        <v>3015</v>
      </c>
      <c r="AQ1637" t="s">
        <v>3044</v>
      </c>
      <c r="AR1637" t="s">
        <v>3045</v>
      </c>
      <c r="AS1637" t="s">
        <v>3046</v>
      </c>
      <c r="AU1637" t="s">
        <v>3046</v>
      </c>
    </row>
    <row r="1638" spans="1:47" x14ac:dyDescent="0.35">
      <c r="A1638">
        <v>348057</v>
      </c>
      <c r="B1638" t="s">
        <v>178</v>
      </c>
      <c r="C1638" t="s">
        <v>179</v>
      </c>
      <c r="D1638" s="2">
        <v>45793</v>
      </c>
      <c r="E1638">
        <v>53850</v>
      </c>
      <c r="F1638">
        <v>196</v>
      </c>
      <c r="G1638" t="s">
        <v>567</v>
      </c>
      <c r="H1638" t="s">
        <v>167</v>
      </c>
      <c r="I1638" t="s">
        <v>45</v>
      </c>
      <c r="K1638">
        <v>202505157983369</v>
      </c>
      <c r="L1638">
        <v>1963302355120</v>
      </c>
      <c r="M1638">
        <v>20250515</v>
      </c>
      <c r="N1638" t="s">
        <v>46</v>
      </c>
      <c r="P1638" t="s">
        <v>51</v>
      </c>
      <c r="Q1638" t="s">
        <v>47</v>
      </c>
      <c r="R1638">
        <v>890523.24</v>
      </c>
      <c r="S1638">
        <v>0</v>
      </c>
      <c r="T1638">
        <v>3722752</v>
      </c>
      <c r="U1638">
        <v>1998440711</v>
      </c>
      <c r="V1638" t="s">
        <v>1770</v>
      </c>
      <c r="W1638" t="s">
        <v>49</v>
      </c>
      <c r="X1638" t="s">
        <v>418</v>
      </c>
      <c r="Y1638" t="s">
        <v>51</v>
      </c>
      <c r="Z1638">
        <v>870</v>
      </c>
      <c r="AH1638">
        <v>0</v>
      </c>
      <c r="AI1638">
        <v>202505</v>
      </c>
      <c r="AJ1638" t="s">
        <v>86</v>
      </c>
      <c r="AK1638">
        <v>1</v>
      </c>
      <c r="AL1638">
        <v>1</v>
      </c>
      <c r="AO1638">
        <v>0</v>
      </c>
      <c r="AP1638" t="s">
        <v>3066</v>
      </c>
      <c r="AQ1638" t="s">
        <v>3012</v>
      </c>
      <c r="AR1638" t="s">
        <v>3067</v>
      </c>
      <c r="AS1638" t="s">
        <v>3014</v>
      </c>
      <c r="AU1638" t="s">
        <v>3014</v>
      </c>
    </row>
    <row r="1639" spans="1:47" x14ac:dyDescent="0.35">
      <c r="A1639">
        <v>348056</v>
      </c>
      <c r="B1639" t="s">
        <v>193</v>
      </c>
      <c r="C1639" t="s">
        <v>194</v>
      </c>
      <c r="D1639" s="2">
        <v>45793</v>
      </c>
      <c r="E1639">
        <v>53850</v>
      </c>
      <c r="F1639">
        <v>269</v>
      </c>
      <c r="G1639" t="s">
        <v>265</v>
      </c>
      <c r="H1639" t="s">
        <v>167</v>
      </c>
      <c r="I1639" t="s">
        <v>45</v>
      </c>
      <c r="K1639" t="s">
        <v>1766</v>
      </c>
      <c r="L1639">
        <v>2693300001614</v>
      </c>
      <c r="M1639">
        <v>20250515</v>
      </c>
      <c r="N1639" t="s">
        <v>266</v>
      </c>
      <c r="Q1639" t="s">
        <v>47</v>
      </c>
      <c r="R1639">
        <v>35120</v>
      </c>
      <c r="S1639">
        <v>35120</v>
      </c>
      <c r="T1639">
        <v>1695085</v>
      </c>
      <c r="U1639" t="s">
        <v>267</v>
      </c>
      <c r="V1639" t="s">
        <v>268</v>
      </c>
      <c r="W1639" t="s">
        <v>69</v>
      </c>
      <c r="X1639" t="s">
        <v>55</v>
      </c>
      <c r="Y1639" t="s">
        <v>51</v>
      </c>
      <c r="Z1639">
        <v>1805</v>
      </c>
      <c r="AH1639">
        <v>0</v>
      </c>
      <c r="AI1639">
        <v>202505</v>
      </c>
      <c r="AJ1639" t="s">
        <v>56</v>
      </c>
      <c r="AK1639">
        <v>0</v>
      </c>
      <c r="AL1639">
        <v>1</v>
      </c>
      <c r="AM1639">
        <v>1695085</v>
      </c>
      <c r="AN1639">
        <v>1</v>
      </c>
      <c r="AO1639">
        <v>0</v>
      </c>
      <c r="AP1639" t="s">
        <v>3015</v>
      </c>
      <c r="AQ1639" t="s">
        <v>3021</v>
      </c>
      <c r="AR1639" t="s">
        <v>3022</v>
      </c>
      <c r="AT1639" t="s">
        <v>3017</v>
      </c>
      <c r="AU1639" t="s">
        <v>3014</v>
      </c>
    </row>
    <row r="1640" spans="1:47" x14ac:dyDescent="0.35">
      <c r="A1640">
        <v>348055</v>
      </c>
      <c r="B1640" t="s">
        <v>178</v>
      </c>
      <c r="C1640" t="s">
        <v>179</v>
      </c>
      <c r="D1640" s="2">
        <v>45793</v>
      </c>
      <c r="E1640">
        <v>53850</v>
      </c>
      <c r="F1640">
        <v>187</v>
      </c>
      <c r="G1640" t="s">
        <v>251</v>
      </c>
      <c r="H1640" t="s">
        <v>167</v>
      </c>
      <c r="I1640" t="s">
        <v>45</v>
      </c>
      <c r="K1640">
        <v>202505157980945</v>
      </c>
      <c r="L1640">
        <v>999361870311</v>
      </c>
      <c r="M1640">
        <v>20250515</v>
      </c>
      <c r="N1640" t="s">
        <v>236</v>
      </c>
      <c r="P1640" t="s">
        <v>51</v>
      </c>
      <c r="Q1640" t="s">
        <v>170</v>
      </c>
      <c r="R1640">
        <v>1362805.46</v>
      </c>
      <c r="S1640">
        <v>0</v>
      </c>
      <c r="T1640">
        <v>3004644</v>
      </c>
      <c r="U1640">
        <v>80008750731</v>
      </c>
      <c r="V1640" t="s">
        <v>252</v>
      </c>
      <c r="W1640" t="s">
        <v>253</v>
      </c>
      <c r="Y1640" t="s">
        <v>51</v>
      </c>
      <c r="Z1640">
        <v>1627</v>
      </c>
      <c r="AH1640">
        <v>0</v>
      </c>
      <c r="AI1640">
        <v>202505</v>
      </c>
      <c r="AJ1640" t="s">
        <v>56</v>
      </c>
      <c r="AK1640">
        <v>0</v>
      </c>
      <c r="AL1640">
        <v>1</v>
      </c>
      <c r="AO1640">
        <v>0</v>
      </c>
      <c r="AP1640" t="s">
        <v>3015</v>
      </c>
      <c r="AQ1640" t="s">
        <v>3052</v>
      </c>
      <c r="AR1640" t="s">
        <v>3053</v>
      </c>
      <c r="AS1640" t="s">
        <v>3037</v>
      </c>
      <c r="AU1640" t="s">
        <v>3037</v>
      </c>
    </row>
    <row r="1641" spans="1:47" x14ac:dyDescent="0.35">
      <c r="A1641">
        <v>348054</v>
      </c>
      <c r="B1641" t="s">
        <v>178</v>
      </c>
      <c r="C1641" t="s">
        <v>179</v>
      </c>
      <c r="D1641" s="2">
        <v>45793</v>
      </c>
      <c r="E1641">
        <v>53850</v>
      </c>
      <c r="F1641">
        <v>118</v>
      </c>
      <c r="G1641" t="s">
        <v>254</v>
      </c>
      <c r="H1641" t="s">
        <v>167</v>
      </c>
      <c r="I1641" t="s">
        <v>45</v>
      </c>
      <c r="K1641">
        <v>202505157983116</v>
      </c>
      <c r="L1641">
        <v>1183306278983</v>
      </c>
      <c r="M1641">
        <v>20250515</v>
      </c>
      <c r="N1641" t="s">
        <v>3136</v>
      </c>
      <c r="Q1641" t="s">
        <v>170</v>
      </c>
      <c r="R1641">
        <v>7987.97</v>
      </c>
      <c r="S1641">
        <v>0</v>
      </c>
      <c r="T1641">
        <v>56722</v>
      </c>
      <c r="U1641" t="s">
        <v>1771</v>
      </c>
      <c r="V1641" t="s">
        <v>1772</v>
      </c>
      <c r="W1641" t="s">
        <v>187</v>
      </c>
      <c r="Y1641" t="s">
        <v>51</v>
      </c>
      <c r="AH1641">
        <v>0</v>
      </c>
      <c r="AI1641">
        <v>202505</v>
      </c>
      <c r="AJ1641" t="s">
        <v>86</v>
      </c>
      <c r="AK1641">
        <v>1</v>
      </c>
      <c r="AL1641">
        <v>1</v>
      </c>
      <c r="AO1641">
        <v>1</v>
      </c>
      <c r="AP1641" t="s">
        <v>3015</v>
      </c>
      <c r="AQ1641" t="s">
        <v>3044</v>
      </c>
      <c r="AR1641" t="s">
        <v>3045</v>
      </c>
      <c r="AS1641" t="s">
        <v>3046</v>
      </c>
      <c r="AU1641" t="s">
        <v>3046</v>
      </c>
    </row>
    <row r="1642" spans="1:47" x14ac:dyDescent="0.35">
      <c r="A1642">
        <v>348053</v>
      </c>
      <c r="B1642" t="s">
        <v>178</v>
      </c>
      <c r="C1642" t="s">
        <v>179</v>
      </c>
      <c r="D1642" s="2">
        <v>45793</v>
      </c>
      <c r="E1642">
        <v>53850</v>
      </c>
      <c r="F1642">
        <v>116</v>
      </c>
      <c r="G1642" t="s">
        <v>126</v>
      </c>
      <c r="H1642" t="s">
        <v>167</v>
      </c>
      <c r="I1642" t="s">
        <v>45</v>
      </c>
      <c r="K1642">
        <v>202505157981153</v>
      </c>
      <c r="L1642">
        <v>2173300010307</v>
      </c>
      <c r="M1642">
        <v>20250515</v>
      </c>
      <c r="N1642" t="s">
        <v>46</v>
      </c>
      <c r="P1642" t="s">
        <v>51</v>
      </c>
      <c r="Q1642" t="s">
        <v>47</v>
      </c>
      <c r="R1642">
        <v>2000000</v>
      </c>
      <c r="S1642">
        <v>0</v>
      </c>
      <c r="T1642">
        <v>4434879</v>
      </c>
      <c r="U1642">
        <v>1595620061</v>
      </c>
      <c r="V1642" t="s">
        <v>1443</v>
      </c>
      <c r="W1642" t="s">
        <v>49</v>
      </c>
      <c r="X1642" t="s">
        <v>1444</v>
      </c>
      <c r="Y1642" t="s">
        <v>51</v>
      </c>
      <c r="Z1642">
        <v>1696</v>
      </c>
      <c r="AH1642">
        <v>0</v>
      </c>
      <c r="AI1642">
        <v>202505</v>
      </c>
      <c r="AJ1642" t="s">
        <v>86</v>
      </c>
      <c r="AK1642">
        <v>1</v>
      </c>
      <c r="AL1642">
        <v>1</v>
      </c>
      <c r="AO1642">
        <v>0</v>
      </c>
      <c r="AP1642" t="s">
        <v>3015</v>
      </c>
      <c r="AQ1642" t="s">
        <v>3012</v>
      </c>
      <c r="AR1642" t="s">
        <v>3016</v>
      </c>
      <c r="AT1642" t="s">
        <v>3017</v>
      </c>
      <c r="AU1642" t="s">
        <v>3018</v>
      </c>
    </row>
    <row r="1643" spans="1:47" x14ac:dyDescent="0.35">
      <c r="A1643">
        <v>348052</v>
      </c>
      <c r="B1643" t="s">
        <v>178</v>
      </c>
      <c r="C1643" t="s">
        <v>179</v>
      </c>
      <c r="D1643" s="2">
        <v>45793</v>
      </c>
      <c r="E1643">
        <v>53850</v>
      </c>
      <c r="F1643">
        <v>118</v>
      </c>
      <c r="G1643" t="s">
        <v>254</v>
      </c>
      <c r="H1643" t="s">
        <v>167</v>
      </c>
      <c r="I1643" t="s">
        <v>45</v>
      </c>
      <c r="K1643">
        <v>202505157983116</v>
      </c>
      <c r="L1643">
        <v>1183306278983</v>
      </c>
      <c r="M1643">
        <v>20250515</v>
      </c>
      <c r="N1643" t="s">
        <v>3136</v>
      </c>
      <c r="Q1643" t="s">
        <v>170</v>
      </c>
      <c r="R1643">
        <v>7987.97</v>
      </c>
      <c r="S1643">
        <v>0</v>
      </c>
      <c r="T1643">
        <v>56732</v>
      </c>
      <c r="U1643" t="s">
        <v>1773</v>
      </c>
      <c r="V1643" t="s">
        <v>1774</v>
      </c>
      <c r="W1643" t="s">
        <v>187</v>
      </c>
      <c r="Y1643" t="s">
        <v>51</v>
      </c>
      <c r="Z1643">
        <v>632</v>
      </c>
      <c r="AH1643">
        <v>0</v>
      </c>
      <c r="AI1643">
        <v>202505</v>
      </c>
      <c r="AJ1643" t="s">
        <v>86</v>
      </c>
      <c r="AK1643">
        <v>1</v>
      </c>
      <c r="AL1643">
        <v>1</v>
      </c>
      <c r="AO1643">
        <v>1</v>
      </c>
      <c r="AP1643" t="s">
        <v>3015</v>
      </c>
      <c r="AQ1643" t="s">
        <v>3044</v>
      </c>
      <c r="AR1643" t="s">
        <v>3045</v>
      </c>
      <c r="AS1643" t="s">
        <v>3046</v>
      </c>
      <c r="AU1643" t="s">
        <v>3046</v>
      </c>
    </row>
    <row r="1644" spans="1:47" x14ac:dyDescent="0.35">
      <c r="A1644">
        <v>348051</v>
      </c>
      <c r="B1644" t="s">
        <v>178</v>
      </c>
      <c r="C1644" t="s">
        <v>179</v>
      </c>
      <c r="D1644" s="2">
        <v>45793</v>
      </c>
      <c r="E1644">
        <v>53850</v>
      </c>
      <c r="F1644">
        <v>103</v>
      </c>
      <c r="G1644" t="s">
        <v>80</v>
      </c>
      <c r="H1644" t="s">
        <v>167</v>
      </c>
      <c r="I1644" t="s">
        <v>45</v>
      </c>
      <c r="K1644">
        <v>202505157982989</v>
      </c>
      <c r="L1644">
        <v>1033306979264</v>
      </c>
      <c r="M1644">
        <v>20250515</v>
      </c>
      <c r="N1644" t="s">
        <v>3136</v>
      </c>
      <c r="Q1644" t="s">
        <v>170</v>
      </c>
      <c r="R1644">
        <v>58953.41</v>
      </c>
      <c r="S1644">
        <v>0</v>
      </c>
      <c r="T1644">
        <v>96293</v>
      </c>
      <c r="U1644" t="s">
        <v>1775</v>
      </c>
      <c r="V1644" t="s">
        <v>1776</v>
      </c>
      <c r="W1644" t="s">
        <v>187</v>
      </c>
      <c r="Y1644" t="s">
        <v>51</v>
      </c>
      <c r="Z1644">
        <v>959</v>
      </c>
      <c r="AH1644">
        <v>0</v>
      </c>
      <c r="AI1644">
        <v>202505</v>
      </c>
      <c r="AJ1644" t="s">
        <v>86</v>
      </c>
      <c r="AK1644">
        <v>1</v>
      </c>
      <c r="AL1644">
        <v>1</v>
      </c>
      <c r="AO1644">
        <v>1</v>
      </c>
      <c r="AP1644" t="s">
        <v>3015</v>
      </c>
      <c r="AQ1644" t="s">
        <v>3044</v>
      </c>
      <c r="AR1644" t="s">
        <v>3045</v>
      </c>
      <c r="AS1644" t="s">
        <v>3046</v>
      </c>
      <c r="AU1644" t="s">
        <v>3046</v>
      </c>
    </row>
    <row r="1645" spans="1:47" x14ac:dyDescent="0.35">
      <c r="A1645">
        <v>348050</v>
      </c>
      <c r="B1645" t="s">
        <v>164</v>
      </c>
      <c r="C1645" t="s">
        <v>165</v>
      </c>
      <c r="D1645" s="2">
        <v>45793</v>
      </c>
      <c r="E1645">
        <v>53850</v>
      </c>
      <c r="F1645">
        <v>137</v>
      </c>
      <c r="G1645" t="s">
        <v>166</v>
      </c>
      <c r="H1645" t="s">
        <v>167</v>
      </c>
      <c r="I1645" t="s">
        <v>45</v>
      </c>
      <c r="K1645">
        <v>202505157981080</v>
      </c>
      <c r="L1645">
        <v>1373300005994</v>
      </c>
      <c r="M1645">
        <v>20250515</v>
      </c>
      <c r="N1645" t="s">
        <v>168</v>
      </c>
      <c r="P1645" t="s">
        <v>169</v>
      </c>
      <c r="Q1645" t="s">
        <v>170</v>
      </c>
      <c r="R1645">
        <v>47483.7</v>
      </c>
      <c r="S1645">
        <v>0</v>
      </c>
      <c r="T1645">
        <v>3734872</v>
      </c>
      <c r="U1645">
        <v>1896670708</v>
      </c>
      <c r="V1645" t="s">
        <v>171</v>
      </c>
      <c r="W1645" t="s">
        <v>49</v>
      </c>
      <c r="X1645" t="s">
        <v>113</v>
      </c>
      <c r="Y1645" t="s">
        <v>51</v>
      </c>
      <c r="Z1645">
        <v>1867</v>
      </c>
      <c r="AH1645">
        <v>0</v>
      </c>
      <c r="AI1645">
        <v>202505</v>
      </c>
      <c r="AJ1645" t="s">
        <v>56</v>
      </c>
      <c r="AK1645">
        <v>0</v>
      </c>
      <c r="AL1645">
        <v>1</v>
      </c>
      <c r="AO1645">
        <v>0</v>
      </c>
      <c r="AP1645" t="s">
        <v>3015</v>
      </c>
      <c r="AQ1645" t="s">
        <v>3012</v>
      </c>
      <c r="AR1645" t="s">
        <v>3016</v>
      </c>
      <c r="AT1645" t="s">
        <v>3017</v>
      </c>
      <c r="AU1645" t="s">
        <v>3018</v>
      </c>
    </row>
    <row r="1646" spans="1:47" x14ac:dyDescent="0.35">
      <c r="A1646">
        <v>348049</v>
      </c>
      <c r="B1646" t="s">
        <v>214</v>
      </c>
      <c r="C1646" t="s">
        <v>215</v>
      </c>
      <c r="D1646" s="2">
        <v>45793</v>
      </c>
      <c r="E1646">
        <v>53850</v>
      </c>
      <c r="F1646">
        <v>110</v>
      </c>
      <c r="G1646" t="s">
        <v>230</v>
      </c>
      <c r="H1646" t="s">
        <v>167</v>
      </c>
      <c r="I1646" t="s">
        <v>45</v>
      </c>
      <c r="K1646">
        <v>202505157982165</v>
      </c>
      <c r="L1646">
        <v>1103306288240</v>
      </c>
      <c r="M1646">
        <v>20250515</v>
      </c>
      <c r="N1646" t="s">
        <v>168</v>
      </c>
      <c r="P1646" t="s">
        <v>752</v>
      </c>
      <c r="Q1646" t="s">
        <v>47</v>
      </c>
      <c r="R1646">
        <v>298635.90999999997</v>
      </c>
      <c r="S1646">
        <v>0</v>
      </c>
      <c r="T1646">
        <v>4960705</v>
      </c>
      <c r="U1646">
        <v>8520490726</v>
      </c>
      <c r="V1646" t="s">
        <v>753</v>
      </c>
      <c r="W1646" t="s">
        <v>49</v>
      </c>
      <c r="X1646" t="s">
        <v>110</v>
      </c>
      <c r="Y1646" t="s">
        <v>51</v>
      </c>
      <c r="Z1646">
        <v>1696</v>
      </c>
      <c r="AH1646">
        <v>0</v>
      </c>
      <c r="AI1646">
        <v>202505</v>
      </c>
      <c r="AJ1646" t="s">
        <v>52</v>
      </c>
      <c r="AK1646">
        <v>0</v>
      </c>
      <c r="AL1646">
        <v>1</v>
      </c>
      <c r="AO1646">
        <v>0</v>
      </c>
      <c r="AP1646" t="s">
        <v>3026</v>
      </c>
      <c r="AQ1646" t="s">
        <v>3012</v>
      </c>
      <c r="AR1646" t="s">
        <v>3027</v>
      </c>
      <c r="AS1646" t="s">
        <v>3028</v>
      </c>
      <c r="AU1646" t="s">
        <v>3028</v>
      </c>
    </row>
    <row r="1647" spans="1:47" x14ac:dyDescent="0.35">
      <c r="A1647">
        <v>348048</v>
      </c>
      <c r="B1647" t="s">
        <v>193</v>
      </c>
      <c r="C1647" t="s">
        <v>194</v>
      </c>
      <c r="D1647" s="2">
        <v>45793</v>
      </c>
      <c r="E1647">
        <v>53850</v>
      </c>
      <c r="F1647">
        <v>102</v>
      </c>
      <c r="G1647" t="s">
        <v>151</v>
      </c>
      <c r="H1647" t="s">
        <v>167</v>
      </c>
      <c r="I1647" t="s">
        <v>45</v>
      </c>
      <c r="K1647" t="s">
        <v>1766</v>
      </c>
      <c r="L1647">
        <v>1023308723527</v>
      </c>
      <c r="M1647">
        <v>20250515</v>
      </c>
      <c r="N1647" t="s">
        <v>195</v>
      </c>
      <c r="Q1647" t="s">
        <v>47</v>
      </c>
      <c r="R1647">
        <v>21840</v>
      </c>
      <c r="S1647">
        <v>21840</v>
      </c>
      <c r="T1647">
        <v>4883007</v>
      </c>
      <c r="U1647">
        <v>8028310723</v>
      </c>
      <c r="V1647" t="s">
        <v>314</v>
      </c>
      <c r="W1647" t="s">
        <v>190</v>
      </c>
      <c r="X1647" t="s">
        <v>131</v>
      </c>
      <c r="Y1647" t="s">
        <v>51</v>
      </c>
      <c r="Z1647">
        <v>1949</v>
      </c>
      <c r="AH1647">
        <v>0</v>
      </c>
      <c r="AI1647">
        <v>202505</v>
      </c>
      <c r="AJ1647" t="s">
        <v>119</v>
      </c>
      <c r="AK1647">
        <v>1</v>
      </c>
      <c r="AL1647">
        <v>1</v>
      </c>
      <c r="AM1647">
        <v>4883007</v>
      </c>
      <c r="AN1647">
        <v>1</v>
      </c>
      <c r="AO1647">
        <v>0</v>
      </c>
      <c r="AP1647" t="s">
        <v>3033</v>
      </c>
      <c r="AQ1647" t="s">
        <v>3047</v>
      </c>
      <c r="AR1647" t="s">
        <v>3048</v>
      </c>
      <c r="AS1647" t="s">
        <v>3049</v>
      </c>
      <c r="AU1647" t="s">
        <v>3049</v>
      </c>
    </row>
    <row r="1648" spans="1:47" x14ac:dyDescent="0.35">
      <c r="A1648">
        <v>348047</v>
      </c>
      <c r="B1648" t="s">
        <v>193</v>
      </c>
      <c r="C1648" t="s">
        <v>194</v>
      </c>
      <c r="D1648" s="2">
        <v>45793</v>
      </c>
      <c r="E1648">
        <v>53850</v>
      </c>
      <c r="F1648">
        <v>116</v>
      </c>
      <c r="G1648" t="s">
        <v>126</v>
      </c>
      <c r="H1648" t="s">
        <v>167</v>
      </c>
      <c r="I1648" t="s">
        <v>45</v>
      </c>
      <c r="K1648">
        <v>202505157982858</v>
      </c>
      <c r="L1648">
        <v>2343300010453</v>
      </c>
      <c r="M1648">
        <v>20250515</v>
      </c>
      <c r="N1648" t="s">
        <v>195</v>
      </c>
      <c r="Q1648" t="s">
        <v>47</v>
      </c>
      <c r="R1648">
        <v>54776.3</v>
      </c>
      <c r="S1648">
        <v>54776.3</v>
      </c>
      <c r="T1648">
        <v>4247777</v>
      </c>
      <c r="U1648">
        <v>233470236</v>
      </c>
      <c r="V1648" t="s">
        <v>206</v>
      </c>
      <c r="W1648" t="s">
        <v>49</v>
      </c>
      <c r="X1648" t="s">
        <v>117</v>
      </c>
      <c r="Y1648" t="s">
        <v>51</v>
      </c>
      <c r="Z1648">
        <v>1696</v>
      </c>
      <c r="AH1648">
        <v>0</v>
      </c>
      <c r="AI1648">
        <v>202505</v>
      </c>
      <c r="AJ1648" t="s">
        <v>114</v>
      </c>
      <c r="AK1648">
        <v>1</v>
      </c>
      <c r="AL1648">
        <v>1</v>
      </c>
      <c r="AM1648">
        <v>4247777</v>
      </c>
      <c r="AN1648">
        <v>1</v>
      </c>
      <c r="AO1648">
        <v>0</v>
      </c>
      <c r="AP1648" t="s">
        <v>3029</v>
      </c>
      <c r="AQ1648" t="s">
        <v>3012</v>
      </c>
      <c r="AR1648" t="s">
        <v>3030</v>
      </c>
      <c r="AS1648" t="s">
        <v>3014</v>
      </c>
      <c r="AU1648" t="s">
        <v>3014</v>
      </c>
    </row>
    <row r="1649" spans="1:47" x14ac:dyDescent="0.35">
      <c r="A1649">
        <v>348046</v>
      </c>
      <c r="B1649" t="s">
        <v>193</v>
      </c>
      <c r="C1649" t="s">
        <v>194</v>
      </c>
      <c r="D1649" s="2">
        <v>45793</v>
      </c>
      <c r="E1649">
        <v>53850</v>
      </c>
      <c r="F1649">
        <v>102</v>
      </c>
      <c r="G1649" t="s">
        <v>151</v>
      </c>
      <c r="H1649" t="s">
        <v>167</v>
      </c>
      <c r="I1649" t="s">
        <v>45</v>
      </c>
      <c r="K1649" t="s">
        <v>1766</v>
      </c>
      <c r="L1649">
        <v>1023308722503</v>
      </c>
      <c r="M1649">
        <v>20250515</v>
      </c>
      <c r="N1649" t="s">
        <v>195</v>
      </c>
      <c r="Q1649" t="s">
        <v>47</v>
      </c>
      <c r="R1649">
        <v>47360</v>
      </c>
      <c r="S1649">
        <v>47360</v>
      </c>
      <c r="T1649">
        <v>413650</v>
      </c>
      <c r="U1649">
        <v>3657230722</v>
      </c>
      <c r="V1649" t="s">
        <v>196</v>
      </c>
      <c r="W1649" t="s">
        <v>190</v>
      </c>
      <c r="X1649" t="s">
        <v>197</v>
      </c>
      <c r="Y1649" t="s">
        <v>51</v>
      </c>
      <c r="Z1649">
        <v>1306</v>
      </c>
      <c r="AH1649">
        <v>0</v>
      </c>
      <c r="AI1649">
        <v>202505</v>
      </c>
      <c r="AJ1649" t="s">
        <v>56</v>
      </c>
      <c r="AK1649">
        <v>0</v>
      </c>
      <c r="AL1649">
        <v>1</v>
      </c>
      <c r="AM1649">
        <v>413650</v>
      </c>
      <c r="AN1649">
        <v>1</v>
      </c>
      <c r="AO1649">
        <v>0</v>
      </c>
      <c r="AP1649" t="s">
        <v>3050</v>
      </c>
      <c r="AQ1649" t="s">
        <v>3047</v>
      </c>
      <c r="AR1649" t="s">
        <v>3051</v>
      </c>
      <c r="AS1649" t="s">
        <v>3049</v>
      </c>
      <c r="AU1649" t="s">
        <v>3049</v>
      </c>
    </row>
    <row r="1650" spans="1:47" x14ac:dyDescent="0.35">
      <c r="A1650">
        <v>348045</v>
      </c>
      <c r="B1650" t="s">
        <v>172</v>
      </c>
      <c r="C1650" t="s">
        <v>173</v>
      </c>
      <c r="D1650" s="2">
        <v>45793</v>
      </c>
      <c r="E1650">
        <v>53850</v>
      </c>
      <c r="F1650">
        <v>161</v>
      </c>
      <c r="G1650" t="s">
        <v>111</v>
      </c>
      <c r="H1650" t="s">
        <v>167</v>
      </c>
      <c r="I1650" t="s">
        <v>45</v>
      </c>
      <c r="K1650" t="s">
        <v>1766</v>
      </c>
      <c r="L1650">
        <v>1613300029653</v>
      </c>
      <c r="M1650">
        <v>20250515</v>
      </c>
      <c r="N1650" t="s">
        <v>175</v>
      </c>
      <c r="Q1650" t="s">
        <v>47</v>
      </c>
      <c r="R1650">
        <v>225130.1</v>
      </c>
      <c r="S1650">
        <v>9400</v>
      </c>
      <c r="T1650">
        <v>4088769</v>
      </c>
      <c r="U1650">
        <v>5150120722</v>
      </c>
      <c r="V1650" t="s">
        <v>270</v>
      </c>
      <c r="W1650" t="s">
        <v>49</v>
      </c>
      <c r="X1650" t="s">
        <v>110</v>
      </c>
      <c r="Y1650" t="s">
        <v>51</v>
      </c>
      <c r="Z1650">
        <v>1903</v>
      </c>
      <c r="AH1650">
        <v>0</v>
      </c>
      <c r="AI1650">
        <v>202505</v>
      </c>
      <c r="AJ1650" t="s">
        <v>56</v>
      </c>
      <c r="AK1650">
        <v>0</v>
      </c>
      <c r="AL1650">
        <v>1</v>
      </c>
      <c r="AM1650">
        <v>4088769</v>
      </c>
      <c r="AN1650">
        <v>1</v>
      </c>
      <c r="AO1650">
        <v>1</v>
      </c>
      <c r="AP1650" t="s">
        <v>3026</v>
      </c>
      <c r="AQ1650" t="s">
        <v>3012</v>
      </c>
      <c r="AR1650" t="s">
        <v>3027</v>
      </c>
      <c r="AS1650" t="s">
        <v>3028</v>
      </c>
      <c r="AU1650" t="s">
        <v>3028</v>
      </c>
    </row>
    <row r="1651" spans="1:47" x14ac:dyDescent="0.35">
      <c r="A1651">
        <v>348044</v>
      </c>
      <c r="B1651" t="s">
        <v>178</v>
      </c>
      <c r="C1651" t="s">
        <v>179</v>
      </c>
      <c r="D1651" s="2">
        <v>45793</v>
      </c>
      <c r="E1651">
        <v>53850</v>
      </c>
      <c r="F1651">
        <v>125</v>
      </c>
      <c r="G1651" t="s">
        <v>75</v>
      </c>
      <c r="H1651" t="s">
        <v>167</v>
      </c>
      <c r="I1651" t="s">
        <v>45</v>
      </c>
      <c r="K1651">
        <v>202505157980462</v>
      </c>
      <c r="L1651">
        <v>1253300010106</v>
      </c>
      <c r="M1651">
        <v>20250515</v>
      </c>
      <c r="N1651" t="s">
        <v>168</v>
      </c>
      <c r="P1651" t="s">
        <v>474</v>
      </c>
      <c r="Q1651" t="s">
        <v>170</v>
      </c>
      <c r="R1651">
        <v>309000</v>
      </c>
      <c r="S1651">
        <v>0</v>
      </c>
      <c r="T1651">
        <v>4315652</v>
      </c>
      <c r="U1651" t="s">
        <v>1777</v>
      </c>
      <c r="V1651" t="s">
        <v>1778</v>
      </c>
      <c r="W1651" t="s">
        <v>187</v>
      </c>
      <c r="Y1651" t="s">
        <v>51</v>
      </c>
      <c r="Z1651">
        <v>1346</v>
      </c>
      <c r="AH1651">
        <v>0</v>
      </c>
      <c r="AI1651">
        <v>202505</v>
      </c>
      <c r="AJ1651" t="s">
        <v>56</v>
      </c>
      <c r="AK1651">
        <v>0</v>
      </c>
      <c r="AL1651">
        <v>1</v>
      </c>
      <c r="AO1651">
        <v>0</v>
      </c>
      <c r="AP1651" t="s">
        <v>3015</v>
      </c>
      <c r="AQ1651" t="s">
        <v>3044</v>
      </c>
      <c r="AR1651" t="s">
        <v>3045</v>
      </c>
      <c r="AS1651" t="s">
        <v>3046</v>
      </c>
      <c r="AU1651" t="s">
        <v>3046</v>
      </c>
    </row>
    <row r="1652" spans="1:47" x14ac:dyDescent="0.35">
      <c r="A1652">
        <v>348043</v>
      </c>
      <c r="B1652" t="s">
        <v>172</v>
      </c>
      <c r="C1652" t="s">
        <v>173</v>
      </c>
      <c r="D1652" s="2">
        <v>45793</v>
      </c>
      <c r="E1652">
        <v>53850</v>
      </c>
      <c r="F1652">
        <v>128</v>
      </c>
      <c r="G1652" t="s">
        <v>94</v>
      </c>
      <c r="H1652" t="s">
        <v>167</v>
      </c>
      <c r="I1652" t="s">
        <v>45</v>
      </c>
      <c r="K1652" t="s">
        <v>1766</v>
      </c>
      <c r="L1652">
        <v>1283300001665</v>
      </c>
      <c r="M1652">
        <v>20250515</v>
      </c>
      <c r="N1652" t="s">
        <v>175</v>
      </c>
      <c r="Q1652" t="s">
        <v>47</v>
      </c>
      <c r="R1652">
        <v>160952.84</v>
      </c>
      <c r="S1652">
        <v>2030</v>
      </c>
      <c r="T1652">
        <v>4254896</v>
      </c>
      <c r="U1652">
        <v>6234730726</v>
      </c>
      <c r="V1652" t="s">
        <v>95</v>
      </c>
      <c r="W1652" t="s">
        <v>49</v>
      </c>
      <c r="X1652" t="s">
        <v>96</v>
      </c>
      <c r="Y1652" t="s">
        <v>51</v>
      </c>
      <c r="Z1652">
        <v>1919</v>
      </c>
      <c r="AH1652">
        <v>0</v>
      </c>
      <c r="AI1652">
        <v>202505</v>
      </c>
      <c r="AJ1652" t="s">
        <v>56</v>
      </c>
      <c r="AK1652">
        <v>0</v>
      </c>
      <c r="AL1652">
        <v>1</v>
      </c>
      <c r="AO1652">
        <v>1</v>
      </c>
      <c r="AP1652" t="s">
        <v>3015</v>
      </c>
      <c r="AQ1652" t="s">
        <v>3012</v>
      </c>
      <c r="AR1652" t="s">
        <v>3016</v>
      </c>
      <c r="AT1652" t="s">
        <v>3017</v>
      </c>
      <c r="AU1652" t="s">
        <v>3018</v>
      </c>
    </row>
    <row r="1653" spans="1:47" x14ac:dyDescent="0.35">
      <c r="A1653">
        <v>348042</v>
      </c>
      <c r="B1653" t="s">
        <v>178</v>
      </c>
      <c r="C1653" t="s">
        <v>179</v>
      </c>
      <c r="D1653" s="2">
        <v>45793</v>
      </c>
      <c r="E1653">
        <v>53850</v>
      </c>
      <c r="F1653">
        <v>103</v>
      </c>
      <c r="G1653" t="s">
        <v>80</v>
      </c>
      <c r="H1653" t="s">
        <v>167</v>
      </c>
      <c r="I1653" t="s">
        <v>45</v>
      </c>
      <c r="K1653">
        <v>202505157982989</v>
      </c>
      <c r="L1653">
        <v>1033306979264</v>
      </c>
      <c r="M1653">
        <v>20250515</v>
      </c>
      <c r="N1653" t="s">
        <v>3136</v>
      </c>
      <c r="Q1653" t="s">
        <v>170</v>
      </c>
      <c r="R1653">
        <v>58953.41</v>
      </c>
      <c r="S1653">
        <v>0</v>
      </c>
      <c r="T1653">
        <v>540058</v>
      </c>
      <c r="U1653" t="s">
        <v>1779</v>
      </c>
      <c r="V1653" t="s">
        <v>1780</v>
      </c>
      <c r="W1653" t="s">
        <v>187</v>
      </c>
      <c r="Y1653" t="s">
        <v>51</v>
      </c>
      <c r="AH1653">
        <v>0</v>
      </c>
      <c r="AI1653">
        <v>202505</v>
      </c>
      <c r="AJ1653" t="s">
        <v>86</v>
      </c>
      <c r="AK1653">
        <v>1</v>
      </c>
      <c r="AL1653">
        <v>1</v>
      </c>
      <c r="AO1653">
        <v>1</v>
      </c>
      <c r="AP1653" t="s">
        <v>3015</v>
      </c>
      <c r="AQ1653" t="s">
        <v>3044</v>
      </c>
      <c r="AR1653" t="s">
        <v>3045</v>
      </c>
      <c r="AS1653" t="s">
        <v>3046</v>
      </c>
      <c r="AU1653" t="s">
        <v>3046</v>
      </c>
    </row>
    <row r="1654" spans="1:47" x14ac:dyDescent="0.35">
      <c r="A1654">
        <v>348041</v>
      </c>
      <c r="B1654" t="s">
        <v>178</v>
      </c>
      <c r="C1654" t="s">
        <v>179</v>
      </c>
      <c r="D1654" s="2">
        <v>45793</v>
      </c>
      <c r="E1654">
        <v>53850</v>
      </c>
      <c r="F1654">
        <v>103</v>
      </c>
      <c r="G1654" t="s">
        <v>80</v>
      </c>
      <c r="H1654" t="s">
        <v>167</v>
      </c>
      <c r="I1654" t="s">
        <v>45</v>
      </c>
      <c r="K1654">
        <v>202505157982989</v>
      </c>
      <c r="L1654">
        <v>1033306979264</v>
      </c>
      <c r="M1654">
        <v>20250515</v>
      </c>
      <c r="N1654" t="s">
        <v>3136</v>
      </c>
      <c r="Q1654" t="s">
        <v>170</v>
      </c>
      <c r="R1654">
        <v>58953.41</v>
      </c>
      <c r="S1654">
        <v>0</v>
      </c>
      <c r="T1654">
        <v>608838</v>
      </c>
      <c r="U1654" t="s">
        <v>1781</v>
      </c>
      <c r="V1654" t="s">
        <v>1782</v>
      </c>
      <c r="W1654" t="s">
        <v>187</v>
      </c>
      <c r="Y1654" t="s">
        <v>51</v>
      </c>
      <c r="AH1654">
        <v>0</v>
      </c>
      <c r="AI1654">
        <v>202505</v>
      </c>
      <c r="AJ1654" t="s">
        <v>86</v>
      </c>
      <c r="AK1654">
        <v>1</v>
      </c>
      <c r="AL1654">
        <v>1</v>
      </c>
      <c r="AO1654">
        <v>1</v>
      </c>
      <c r="AP1654" t="s">
        <v>3015</v>
      </c>
      <c r="AQ1654" t="s">
        <v>3044</v>
      </c>
      <c r="AR1654" t="s">
        <v>3045</v>
      </c>
      <c r="AS1654" t="s">
        <v>3046</v>
      </c>
      <c r="AU1654" t="s">
        <v>3046</v>
      </c>
    </row>
    <row r="1655" spans="1:47" x14ac:dyDescent="0.35">
      <c r="A1655">
        <v>348040</v>
      </c>
      <c r="B1655" t="s">
        <v>164</v>
      </c>
      <c r="C1655" t="s">
        <v>165</v>
      </c>
      <c r="D1655" s="2">
        <v>45793</v>
      </c>
      <c r="E1655">
        <v>53850</v>
      </c>
      <c r="F1655">
        <v>187</v>
      </c>
      <c r="G1655" t="s">
        <v>251</v>
      </c>
      <c r="H1655" t="s">
        <v>167</v>
      </c>
      <c r="I1655" t="s">
        <v>45</v>
      </c>
      <c r="K1655" t="s">
        <v>1783</v>
      </c>
      <c r="L1655">
        <v>1873300102696</v>
      </c>
      <c r="M1655">
        <v>20250515</v>
      </c>
      <c r="N1655" t="s">
        <v>168</v>
      </c>
      <c r="P1655" t="s">
        <v>255</v>
      </c>
      <c r="Q1655" t="s">
        <v>47</v>
      </c>
      <c r="R1655">
        <v>1574.15</v>
      </c>
      <c r="S1655">
        <v>0</v>
      </c>
      <c r="T1655">
        <v>4000559</v>
      </c>
      <c r="U1655">
        <v>2099160737</v>
      </c>
      <c r="V1655" t="s">
        <v>528</v>
      </c>
      <c r="W1655" t="s">
        <v>49</v>
      </c>
      <c r="X1655" t="s">
        <v>117</v>
      </c>
      <c r="Y1655" t="s">
        <v>51</v>
      </c>
      <c r="Z1655">
        <v>1627</v>
      </c>
      <c r="AH1655">
        <v>0</v>
      </c>
      <c r="AI1655">
        <v>202505</v>
      </c>
      <c r="AJ1655" t="s">
        <v>56</v>
      </c>
      <c r="AK1655">
        <v>0</v>
      </c>
      <c r="AL1655">
        <v>1</v>
      </c>
      <c r="AO1655">
        <v>0</v>
      </c>
      <c r="AP1655" t="s">
        <v>3029</v>
      </c>
      <c r="AQ1655" t="s">
        <v>3012</v>
      </c>
      <c r="AR1655" t="s">
        <v>3030</v>
      </c>
      <c r="AS1655" t="s">
        <v>3014</v>
      </c>
      <c r="AU1655" t="s">
        <v>3014</v>
      </c>
    </row>
    <row r="1656" spans="1:47" x14ac:dyDescent="0.35">
      <c r="A1656">
        <v>348039</v>
      </c>
      <c r="B1656" t="s">
        <v>193</v>
      </c>
      <c r="C1656" t="s">
        <v>194</v>
      </c>
      <c r="D1656" s="2">
        <v>45793</v>
      </c>
      <c r="E1656">
        <v>53850</v>
      </c>
      <c r="F1656">
        <v>287</v>
      </c>
      <c r="G1656" t="s">
        <v>707</v>
      </c>
      <c r="H1656" t="s">
        <v>167</v>
      </c>
      <c r="I1656" t="s">
        <v>45</v>
      </c>
      <c r="K1656" t="s">
        <v>1766</v>
      </c>
      <c r="L1656">
        <v>2873300001853</v>
      </c>
      <c r="M1656">
        <v>20250515</v>
      </c>
      <c r="N1656" t="s">
        <v>175</v>
      </c>
      <c r="Q1656" t="s">
        <v>47</v>
      </c>
      <c r="R1656">
        <v>47304.38</v>
      </c>
      <c r="S1656">
        <v>37055</v>
      </c>
      <c r="T1656">
        <v>3722213</v>
      </c>
      <c r="U1656">
        <v>2021570698</v>
      </c>
      <c r="V1656" t="s">
        <v>708</v>
      </c>
      <c r="W1656" t="s">
        <v>49</v>
      </c>
      <c r="X1656" t="s">
        <v>117</v>
      </c>
      <c r="Y1656" t="s">
        <v>51</v>
      </c>
      <c r="Z1656">
        <v>1877</v>
      </c>
      <c r="AH1656">
        <v>0</v>
      </c>
      <c r="AI1656">
        <v>202505</v>
      </c>
      <c r="AJ1656" t="s">
        <v>52</v>
      </c>
      <c r="AK1656">
        <v>0</v>
      </c>
      <c r="AL1656">
        <v>1</v>
      </c>
      <c r="AM1656">
        <v>3722213</v>
      </c>
      <c r="AN1656">
        <v>1</v>
      </c>
      <c r="AO1656">
        <v>1</v>
      </c>
      <c r="AP1656" t="s">
        <v>3029</v>
      </c>
      <c r="AQ1656" t="s">
        <v>3012</v>
      </c>
      <c r="AR1656" t="s">
        <v>3030</v>
      </c>
      <c r="AS1656" t="s">
        <v>3014</v>
      </c>
      <c r="AU1656" t="s">
        <v>3014</v>
      </c>
    </row>
    <row r="1657" spans="1:47" x14ac:dyDescent="0.35">
      <c r="A1657">
        <v>348038</v>
      </c>
      <c r="B1657" t="s">
        <v>178</v>
      </c>
      <c r="C1657" t="s">
        <v>179</v>
      </c>
      <c r="D1657" s="2">
        <v>45793</v>
      </c>
      <c r="E1657">
        <v>53850</v>
      </c>
      <c r="F1657">
        <v>182</v>
      </c>
      <c r="G1657" t="s">
        <v>318</v>
      </c>
      <c r="H1657" t="s">
        <v>167</v>
      </c>
      <c r="I1657" t="s">
        <v>45</v>
      </c>
      <c r="K1657">
        <v>202505157983327</v>
      </c>
      <c r="L1657">
        <v>1823300172492</v>
      </c>
      <c r="M1657">
        <v>20250515</v>
      </c>
      <c r="N1657" t="s">
        <v>1002</v>
      </c>
      <c r="Q1657" t="s">
        <v>47</v>
      </c>
      <c r="R1657">
        <v>233000</v>
      </c>
      <c r="S1657">
        <v>0</v>
      </c>
      <c r="T1657">
        <v>3113202</v>
      </c>
      <c r="U1657" t="s">
        <v>1784</v>
      </c>
      <c r="V1657" t="s">
        <v>1785</v>
      </c>
      <c r="W1657" t="s">
        <v>187</v>
      </c>
      <c r="Y1657" t="s">
        <v>51</v>
      </c>
      <c r="Z1657">
        <v>616</v>
      </c>
      <c r="AH1657">
        <v>0</v>
      </c>
      <c r="AI1657">
        <v>202505</v>
      </c>
      <c r="AJ1657" t="s">
        <v>56</v>
      </c>
      <c r="AK1657">
        <v>0</v>
      </c>
      <c r="AL1657">
        <v>1</v>
      </c>
      <c r="AO1657">
        <v>0</v>
      </c>
      <c r="AP1657" t="s">
        <v>3015</v>
      </c>
      <c r="AQ1657" t="s">
        <v>3044</v>
      </c>
      <c r="AR1657" t="s">
        <v>3045</v>
      </c>
      <c r="AS1657" t="s">
        <v>3046</v>
      </c>
      <c r="AU1657" t="s">
        <v>3046</v>
      </c>
    </row>
    <row r="1658" spans="1:47" x14ac:dyDescent="0.35">
      <c r="A1658">
        <v>348037</v>
      </c>
      <c r="B1658" t="s">
        <v>178</v>
      </c>
      <c r="C1658" t="s">
        <v>179</v>
      </c>
      <c r="D1658" s="2">
        <v>45793</v>
      </c>
      <c r="E1658">
        <v>53850</v>
      </c>
      <c r="F1658">
        <v>116</v>
      </c>
      <c r="G1658" t="s">
        <v>126</v>
      </c>
      <c r="H1658" t="s">
        <v>167</v>
      </c>
      <c r="I1658" t="s">
        <v>45</v>
      </c>
      <c r="K1658">
        <v>202505157981810</v>
      </c>
      <c r="L1658">
        <v>1163307617735</v>
      </c>
      <c r="M1658">
        <v>20250515</v>
      </c>
      <c r="N1658" t="s">
        <v>46</v>
      </c>
      <c r="P1658" t="s">
        <v>51</v>
      </c>
      <c r="Q1658" t="s">
        <v>47</v>
      </c>
      <c r="R1658">
        <v>264367</v>
      </c>
      <c r="S1658">
        <v>0</v>
      </c>
      <c r="T1658">
        <v>570966</v>
      </c>
      <c r="U1658" t="s">
        <v>1703</v>
      </c>
      <c r="V1658" t="s">
        <v>1704</v>
      </c>
      <c r="W1658" t="s">
        <v>187</v>
      </c>
      <c r="Y1658" t="s">
        <v>51</v>
      </c>
      <c r="Z1658">
        <v>924</v>
      </c>
      <c r="AH1658">
        <v>0</v>
      </c>
      <c r="AI1658">
        <v>202505</v>
      </c>
      <c r="AJ1658" t="s">
        <v>114</v>
      </c>
      <c r="AK1658">
        <v>1</v>
      </c>
      <c r="AL1658">
        <v>1</v>
      </c>
      <c r="AO1658">
        <v>0</v>
      </c>
      <c r="AP1658" t="s">
        <v>3015</v>
      </c>
      <c r="AQ1658" t="s">
        <v>3044</v>
      </c>
      <c r="AR1658" t="s">
        <v>3045</v>
      </c>
      <c r="AS1658" t="s">
        <v>3046</v>
      </c>
      <c r="AU1658" t="s">
        <v>3046</v>
      </c>
    </row>
    <row r="1659" spans="1:47" x14ac:dyDescent="0.35">
      <c r="A1659">
        <v>348036</v>
      </c>
      <c r="B1659" t="s">
        <v>178</v>
      </c>
      <c r="C1659" t="s">
        <v>179</v>
      </c>
      <c r="D1659" s="2">
        <v>45792</v>
      </c>
      <c r="E1659">
        <v>53850</v>
      </c>
      <c r="F1659">
        <v>268</v>
      </c>
      <c r="G1659" t="s">
        <v>83</v>
      </c>
      <c r="H1659" t="s">
        <v>167</v>
      </c>
      <c r="I1659" t="s">
        <v>45</v>
      </c>
      <c r="K1659">
        <v>202505157979361</v>
      </c>
      <c r="L1659">
        <v>2683300002752</v>
      </c>
      <c r="M1659">
        <v>20250515</v>
      </c>
      <c r="N1659" t="s">
        <v>1587</v>
      </c>
      <c r="Q1659" t="s">
        <v>47</v>
      </c>
      <c r="R1659">
        <v>623419.42000000004</v>
      </c>
      <c r="S1659">
        <v>0</v>
      </c>
      <c r="T1659">
        <v>1611487</v>
      </c>
      <c r="U1659" t="s">
        <v>1786</v>
      </c>
      <c r="V1659" t="s">
        <v>1787</v>
      </c>
      <c r="W1659" t="s">
        <v>187</v>
      </c>
      <c r="Y1659" t="s">
        <v>51</v>
      </c>
      <c r="Z1659">
        <v>1834</v>
      </c>
      <c r="AH1659">
        <v>0</v>
      </c>
      <c r="AI1659">
        <v>202505</v>
      </c>
      <c r="AJ1659" t="s">
        <v>86</v>
      </c>
      <c r="AK1659">
        <v>1</v>
      </c>
      <c r="AL1659">
        <v>1</v>
      </c>
      <c r="AO1659">
        <v>0</v>
      </c>
      <c r="AP1659" t="s">
        <v>3015</v>
      </c>
      <c r="AQ1659" t="s">
        <v>3044</v>
      </c>
      <c r="AR1659" t="s">
        <v>3045</v>
      </c>
      <c r="AS1659" t="s">
        <v>3046</v>
      </c>
      <c r="AU1659" t="s">
        <v>3046</v>
      </c>
    </row>
    <row r="1660" spans="1:47" x14ac:dyDescent="0.35">
      <c r="A1660">
        <v>348035</v>
      </c>
      <c r="B1660" t="s">
        <v>178</v>
      </c>
      <c r="C1660" t="s">
        <v>179</v>
      </c>
      <c r="D1660" s="2">
        <v>45792</v>
      </c>
      <c r="E1660">
        <v>53850</v>
      </c>
      <c r="F1660">
        <v>268</v>
      </c>
      <c r="G1660" t="s">
        <v>83</v>
      </c>
      <c r="H1660" t="s">
        <v>167</v>
      </c>
      <c r="I1660" t="s">
        <v>45</v>
      </c>
      <c r="K1660">
        <v>202505157979361</v>
      </c>
      <c r="L1660">
        <v>2683300002752</v>
      </c>
      <c r="M1660">
        <v>20250515</v>
      </c>
      <c r="N1660" t="s">
        <v>1587</v>
      </c>
      <c r="Q1660" t="s">
        <v>47</v>
      </c>
      <c r="R1660">
        <v>623419.42000000004</v>
      </c>
      <c r="S1660">
        <v>0</v>
      </c>
      <c r="T1660">
        <v>1625093</v>
      </c>
      <c r="U1660" t="s">
        <v>1788</v>
      </c>
      <c r="V1660" t="s">
        <v>1789</v>
      </c>
      <c r="W1660" t="s">
        <v>187</v>
      </c>
      <c r="Y1660" t="s">
        <v>51</v>
      </c>
      <c r="Z1660">
        <v>1834</v>
      </c>
      <c r="AH1660">
        <v>0</v>
      </c>
      <c r="AI1660">
        <v>202505</v>
      </c>
      <c r="AJ1660" t="s">
        <v>86</v>
      </c>
      <c r="AK1660">
        <v>1</v>
      </c>
      <c r="AL1660">
        <v>1</v>
      </c>
      <c r="AO1660">
        <v>0</v>
      </c>
      <c r="AP1660" t="s">
        <v>3015</v>
      </c>
      <c r="AQ1660" t="s">
        <v>3044</v>
      </c>
      <c r="AR1660" t="s">
        <v>3045</v>
      </c>
      <c r="AS1660" t="s">
        <v>3046</v>
      </c>
      <c r="AU1660" t="s">
        <v>3046</v>
      </c>
    </row>
    <row r="1661" spans="1:47" x14ac:dyDescent="0.35">
      <c r="A1661">
        <v>348034</v>
      </c>
      <c r="B1661" t="s">
        <v>193</v>
      </c>
      <c r="C1661" t="s">
        <v>194</v>
      </c>
      <c r="D1661" s="2">
        <v>45792</v>
      </c>
      <c r="E1661">
        <v>53850</v>
      </c>
      <c r="F1661">
        <v>102</v>
      </c>
      <c r="G1661" t="s">
        <v>151</v>
      </c>
      <c r="H1661" t="s">
        <v>167</v>
      </c>
      <c r="I1661" t="s">
        <v>45</v>
      </c>
      <c r="K1661">
        <v>202505147979491</v>
      </c>
      <c r="L1661">
        <v>1023308722503</v>
      </c>
      <c r="M1661">
        <v>20250514</v>
      </c>
      <c r="N1661" t="s">
        <v>195</v>
      </c>
      <c r="Q1661" t="s">
        <v>47</v>
      </c>
      <c r="R1661">
        <v>20530</v>
      </c>
      <c r="S1661">
        <v>20530</v>
      </c>
      <c r="T1661">
        <v>413650</v>
      </c>
      <c r="U1661">
        <v>3657230722</v>
      </c>
      <c r="V1661" t="s">
        <v>196</v>
      </c>
      <c r="W1661" t="s">
        <v>190</v>
      </c>
      <c r="X1661" t="s">
        <v>197</v>
      </c>
      <c r="Y1661" t="s">
        <v>51</v>
      </c>
      <c r="Z1661">
        <v>1306</v>
      </c>
      <c r="AH1661">
        <v>0</v>
      </c>
      <c r="AI1661">
        <v>202505</v>
      </c>
      <c r="AJ1661" t="s">
        <v>56</v>
      </c>
      <c r="AK1661">
        <v>0</v>
      </c>
      <c r="AL1661">
        <v>1</v>
      </c>
      <c r="AM1661">
        <v>413650</v>
      </c>
      <c r="AN1661">
        <v>1</v>
      </c>
      <c r="AO1661">
        <v>0</v>
      </c>
      <c r="AP1661" t="s">
        <v>3050</v>
      </c>
      <c r="AQ1661" t="s">
        <v>3047</v>
      </c>
      <c r="AR1661" t="s">
        <v>3051</v>
      </c>
      <c r="AS1661" t="s">
        <v>3049</v>
      </c>
      <c r="AU1661" t="s">
        <v>3049</v>
      </c>
    </row>
    <row r="1662" spans="1:47" x14ac:dyDescent="0.35">
      <c r="A1662">
        <v>348033</v>
      </c>
      <c r="B1662" t="s">
        <v>164</v>
      </c>
      <c r="C1662" t="s">
        <v>165</v>
      </c>
      <c r="D1662" s="2">
        <v>45792</v>
      </c>
      <c r="E1662">
        <v>53850</v>
      </c>
      <c r="F1662">
        <v>148</v>
      </c>
      <c r="G1662" t="s">
        <v>78</v>
      </c>
      <c r="H1662" t="s">
        <v>167</v>
      </c>
      <c r="I1662" t="s">
        <v>45</v>
      </c>
      <c r="K1662" t="s">
        <v>1790</v>
      </c>
      <c r="L1662">
        <v>1483300003580</v>
      </c>
      <c r="M1662">
        <v>20250514</v>
      </c>
      <c r="N1662" t="s">
        <v>168</v>
      </c>
      <c r="P1662" t="s">
        <v>169</v>
      </c>
      <c r="Q1662" t="s">
        <v>47</v>
      </c>
      <c r="R1662">
        <v>1500</v>
      </c>
      <c r="S1662">
        <v>0</v>
      </c>
      <c r="T1662">
        <v>4771374</v>
      </c>
      <c r="U1662" t="s">
        <v>845</v>
      </c>
      <c r="V1662" t="s">
        <v>846</v>
      </c>
      <c r="W1662" t="s">
        <v>187</v>
      </c>
      <c r="Y1662" t="s">
        <v>51</v>
      </c>
      <c r="Z1662">
        <v>1064</v>
      </c>
      <c r="AH1662">
        <v>0</v>
      </c>
      <c r="AI1662">
        <v>202505</v>
      </c>
      <c r="AJ1662" t="s">
        <v>56</v>
      </c>
      <c r="AK1662">
        <v>0</v>
      </c>
      <c r="AL1662">
        <v>1</v>
      </c>
      <c r="AO1662">
        <v>0</v>
      </c>
      <c r="AP1662" t="s">
        <v>3015</v>
      </c>
      <c r="AQ1662" t="s">
        <v>3044</v>
      </c>
      <c r="AR1662" t="s">
        <v>3045</v>
      </c>
      <c r="AS1662" t="s">
        <v>3046</v>
      </c>
      <c r="AU1662" t="s">
        <v>3046</v>
      </c>
    </row>
    <row r="1663" spans="1:47" x14ac:dyDescent="0.35">
      <c r="A1663">
        <v>348032</v>
      </c>
      <c r="B1663" t="s">
        <v>172</v>
      </c>
      <c r="C1663" t="s">
        <v>173</v>
      </c>
      <c r="D1663" s="2">
        <v>45792</v>
      </c>
      <c r="E1663">
        <v>53850</v>
      </c>
      <c r="F1663">
        <v>116</v>
      </c>
      <c r="G1663" t="s">
        <v>126</v>
      </c>
      <c r="H1663" t="s">
        <v>167</v>
      </c>
      <c r="I1663" t="s">
        <v>45</v>
      </c>
      <c r="K1663">
        <v>202505147980033</v>
      </c>
      <c r="L1663">
        <v>1163307620997</v>
      </c>
      <c r="M1663">
        <v>20250514</v>
      </c>
      <c r="N1663" t="s">
        <v>231</v>
      </c>
      <c r="Q1663" t="s">
        <v>47</v>
      </c>
      <c r="R1663">
        <v>150000</v>
      </c>
      <c r="S1663">
        <v>0</v>
      </c>
      <c r="T1663">
        <v>4925993</v>
      </c>
      <c r="U1663" t="s">
        <v>1791</v>
      </c>
      <c r="V1663" t="s">
        <v>1792</v>
      </c>
      <c r="W1663" t="s">
        <v>187</v>
      </c>
      <c r="Y1663" t="s">
        <v>51</v>
      </c>
      <c r="Z1663">
        <v>808</v>
      </c>
      <c r="AH1663">
        <v>0</v>
      </c>
      <c r="AI1663">
        <v>202505</v>
      </c>
      <c r="AJ1663" t="s">
        <v>86</v>
      </c>
      <c r="AK1663">
        <v>1</v>
      </c>
      <c r="AL1663">
        <v>1</v>
      </c>
      <c r="AO1663">
        <v>0</v>
      </c>
      <c r="AP1663" t="s">
        <v>3015</v>
      </c>
      <c r="AQ1663" t="s">
        <v>3044</v>
      </c>
      <c r="AR1663" t="s">
        <v>3045</v>
      </c>
      <c r="AS1663" t="s">
        <v>3046</v>
      </c>
      <c r="AU1663" t="s">
        <v>3046</v>
      </c>
    </row>
    <row r="1664" spans="1:47" x14ac:dyDescent="0.35">
      <c r="A1664">
        <v>348031</v>
      </c>
      <c r="B1664" t="s">
        <v>214</v>
      </c>
      <c r="C1664" t="s">
        <v>215</v>
      </c>
      <c r="D1664" s="2">
        <v>45792</v>
      </c>
      <c r="E1664">
        <v>53850</v>
      </c>
      <c r="F1664">
        <v>109</v>
      </c>
      <c r="G1664" t="s">
        <v>89</v>
      </c>
      <c r="H1664" t="s">
        <v>167</v>
      </c>
      <c r="I1664" t="s">
        <v>45</v>
      </c>
      <c r="K1664">
        <v>202505147979164</v>
      </c>
      <c r="L1664">
        <v>1093306667367</v>
      </c>
      <c r="M1664">
        <v>20250514</v>
      </c>
      <c r="N1664" t="s">
        <v>168</v>
      </c>
      <c r="P1664" t="s">
        <v>511</v>
      </c>
      <c r="Q1664" t="s">
        <v>47</v>
      </c>
      <c r="R1664">
        <v>51994.49</v>
      </c>
      <c r="S1664">
        <v>0</v>
      </c>
      <c r="T1664">
        <v>4026861</v>
      </c>
      <c r="U1664">
        <v>5195820724</v>
      </c>
      <c r="V1664" t="s">
        <v>1011</v>
      </c>
      <c r="W1664" t="s">
        <v>49</v>
      </c>
      <c r="X1664" t="s">
        <v>131</v>
      </c>
      <c r="Y1664" t="s">
        <v>51</v>
      </c>
      <c r="Z1664">
        <v>1696</v>
      </c>
      <c r="AH1664">
        <v>0</v>
      </c>
      <c r="AI1664">
        <v>202505</v>
      </c>
      <c r="AJ1664" t="s">
        <v>56</v>
      </c>
      <c r="AK1664">
        <v>0</v>
      </c>
      <c r="AL1664">
        <v>1</v>
      </c>
      <c r="AM1664">
        <v>4026861</v>
      </c>
      <c r="AN1664">
        <v>1</v>
      </c>
      <c r="AO1664">
        <v>0</v>
      </c>
      <c r="AP1664" t="s">
        <v>3033</v>
      </c>
      <c r="AQ1664" t="s">
        <v>3012</v>
      </c>
      <c r="AR1664" t="s">
        <v>3034</v>
      </c>
      <c r="AS1664" t="s">
        <v>3014</v>
      </c>
      <c r="AU1664" t="s">
        <v>3014</v>
      </c>
    </row>
    <row r="1665" spans="1:47" x14ac:dyDescent="0.35">
      <c r="A1665">
        <v>348030</v>
      </c>
      <c r="B1665" t="s">
        <v>178</v>
      </c>
      <c r="C1665" t="s">
        <v>179</v>
      </c>
      <c r="D1665" s="2">
        <v>45792</v>
      </c>
      <c r="E1665">
        <v>53850</v>
      </c>
      <c r="F1665">
        <v>105</v>
      </c>
      <c r="G1665" t="s">
        <v>60</v>
      </c>
      <c r="H1665" t="s">
        <v>167</v>
      </c>
      <c r="I1665" t="s">
        <v>45</v>
      </c>
      <c r="K1665">
        <v>202505147979957</v>
      </c>
      <c r="L1665">
        <v>1053300336450</v>
      </c>
      <c r="M1665">
        <v>20250514</v>
      </c>
      <c r="N1665" t="s">
        <v>1002</v>
      </c>
      <c r="Q1665" t="s">
        <v>47</v>
      </c>
      <c r="R1665">
        <v>200000</v>
      </c>
      <c r="S1665">
        <v>0</v>
      </c>
      <c r="T1665">
        <v>33645</v>
      </c>
      <c r="U1665" t="s">
        <v>1793</v>
      </c>
      <c r="V1665" t="s">
        <v>1794</v>
      </c>
      <c r="W1665" t="s">
        <v>187</v>
      </c>
      <c r="Y1665" t="s">
        <v>51</v>
      </c>
      <c r="Z1665">
        <v>833</v>
      </c>
      <c r="AH1665">
        <v>0</v>
      </c>
      <c r="AI1665">
        <v>202505</v>
      </c>
      <c r="AJ1665" t="s">
        <v>56</v>
      </c>
      <c r="AK1665">
        <v>0</v>
      </c>
      <c r="AL1665">
        <v>1</v>
      </c>
      <c r="AO1665">
        <v>0</v>
      </c>
      <c r="AP1665" t="s">
        <v>3015</v>
      </c>
      <c r="AQ1665" t="s">
        <v>3044</v>
      </c>
      <c r="AR1665" t="s">
        <v>3045</v>
      </c>
      <c r="AS1665" t="s">
        <v>3046</v>
      </c>
      <c r="AU1665" t="s">
        <v>3046</v>
      </c>
    </row>
    <row r="1666" spans="1:47" x14ac:dyDescent="0.35">
      <c r="A1666">
        <v>348029</v>
      </c>
      <c r="B1666" t="s">
        <v>172</v>
      </c>
      <c r="C1666" t="s">
        <v>173</v>
      </c>
      <c r="D1666" s="2">
        <v>45792</v>
      </c>
      <c r="E1666">
        <v>53850</v>
      </c>
      <c r="F1666">
        <v>116</v>
      </c>
      <c r="G1666" t="s">
        <v>126</v>
      </c>
      <c r="H1666" t="s">
        <v>167</v>
      </c>
      <c r="I1666" t="s">
        <v>45</v>
      </c>
      <c r="K1666">
        <v>202505147980033</v>
      </c>
      <c r="L1666">
        <v>1163307620997</v>
      </c>
      <c r="M1666">
        <v>20250514</v>
      </c>
      <c r="N1666" t="s">
        <v>231</v>
      </c>
      <c r="Q1666" t="s">
        <v>47</v>
      </c>
      <c r="R1666">
        <v>150000</v>
      </c>
      <c r="S1666">
        <v>0</v>
      </c>
      <c r="T1666">
        <v>4996140</v>
      </c>
      <c r="U1666" t="s">
        <v>1795</v>
      </c>
      <c r="V1666" t="s">
        <v>1796</v>
      </c>
      <c r="W1666" t="s">
        <v>187</v>
      </c>
      <c r="Y1666" t="s">
        <v>51</v>
      </c>
      <c r="Z1666">
        <v>733</v>
      </c>
      <c r="AH1666">
        <v>0</v>
      </c>
      <c r="AI1666">
        <v>202505</v>
      </c>
      <c r="AJ1666" t="s">
        <v>86</v>
      </c>
      <c r="AK1666">
        <v>1</v>
      </c>
      <c r="AL1666">
        <v>1</v>
      </c>
      <c r="AO1666">
        <v>0</v>
      </c>
      <c r="AP1666" t="s">
        <v>3015</v>
      </c>
      <c r="AQ1666" t="s">
        <v>3044</v>
      </c>
      <c r="AR1666" t="s">
        <v>3045</v>
      </c>
      <c r="AS1666" t="s">
        <v>3046</v>
      </c>
      <c r="AU1666" t="s">
        <v>3046</v>
      </c>
    </row>
    <row r="1667" spans="1:47" x14ac:dyDescent="0.35">
      <c r="A1667">
        <v>348028</v>
      </c>
      <c r="B1667" t="s">
        <v>172</v>
      </c>
      <c r="C1667" t="s">
        <v>173</v>
      </c>
      <c r="D1667" s="2">
        <v>45792</v>
      </c>
      <c r="E1667">
        <v>53850</v>
      </c>
      <c r="F1667">
        <v>116</v>
      </c>
      <c r="G1667" t="s">
        <v>126</v>
      </c>
      <c r="H1667" t="s">
        <v>167</v>
      </c>
      <c r="I1667" t="s">
        <v>45</v>
      </c>
      <c r="K1667">
        <v>202505147980033</v>
      </c>
      <c r="L1667">
        <v>1163307620997</v>
      </c>
      <c r="M1667">
        <v>20250514</v>
      </c>
      <c r="N1667" t="s">
        <v>231</v>
      </c>
      <c r="Q1667" t="s">
        <v>47</v>
      </c>
      <c r="R1667">
        <v>150000</v>
      </c>
      <c r="S1667">
        <v>0</v>
      </c>
      <c r="T1667">
        <v>523257</v>
      </c>
      <c r="U1667" t="s">
        <v>1797</v>
      </c>
      <c r="V1667" t="s">
        <v>1798</v>
      </c>
      <c r="W1667" t="s">
        <v>69</v>
      </c>
      <c r="X1667" t="s">
        <v>1799</v>
      </c>
      <c r="Y1667" t="s">
        <v>51</v>
      </c>
      <c r="Z1667">
        <v>1612</v>
      </c>
      <c r="AH1667">
        <v>0</v>
      </c>
      <c r="AI1667">
        <v>202505</v>
      </c>
      <c r="AJ1667" t="s">
        <v>56</v>
      </c>
      <c r="AK1667">
        <v>0</v>
      </c>
      <c r="AL1667">
        <v>1</v>
      </c>
      <c r="AO1667">
        <v>0</v>
      </c>
      <c r="AP1667" t="s">
        <v>3015</v>
      </c>
      <c r="AQ1667" t="s">
        <v>3021</v>
      </c>
      <c r="AR1667" t="s">
        <v>3022</v>
      </c>
      <c r="AT1667" t="s">
        <v>3017</v>
      </c>
      <c r="AU1667" t="s">
        <v>3014</v>
      </c>
    </row>
    <row r="1668" spans="1:47" x14ac:dyDescent="0.35">
      <c r="A1668">
        <v>348027</v>
      </c>
      <c r="B1668" t="s">
        <v>172</v>
      </c>
      <c r="C1668" t="s">
        <v>173</v>
      </c>
      <c r="D1668" s="2">
        <v>45792</v>
      </c>
      <c r="E1668">
        <v>53850</v>
      </c>
      <c r="F1668">
        <v>108</v>
      </c>
      <c r="G1668" t="s">
        <v>124</v>
      </c>
      <c r="H1668" t="s">
        <v>167</v>
      </c>
      <c r="I1668" t="s">
        <v>45</v>
      </c>
      <c r="K1668" t="s">
        <v>1800</v>
      </c>
      <c r="L1668">
        <v>1083306291105</v>
      </c>
      <c r="M1668">
        <v>20250514</v>
      </c>
      <c r="N1668" t="s">
        <v>175</v>
      </c>
      <c r="Q1668" t="s">
        <v>47</v>
      </c>
      <c r="R1668">
        <v>187262.31</v>
      </c>
      <c r="S1668">
        <v>112449.60000000001</v>
      </c>
      <c r="T1668">
        <v>4227057</v>
      </c>
      <c r="U1668">
        <v>4874620729</v>
      </c>
      <c r="V1668" t="s">
        <v>250</v>
      </c>
      <c r="W1668" t="s">
        <v>49</v>
      </c>
      <c r="X1668" t="s">
        <v>62</v>
      </c>
      <c r="Y1668" t="s">
        <v>51</v>
      </c>
      <c r="Z1668">
        <v>1058</v>
      </c>
      <c r="AH1668">
        <v>0</v>
      </c>
      <c r="AI1668">
        <v>202505</v>
      </c>
      <c r="AJ1668" t="s">
        <v>56</v>
      </c>
      <c r="AK1668">
        <v>0</v>
      </c>
      <c r="AL1668">
        <v>1</v>
      </c>
      <c r="AM1668">
        <v>4227057</v>
      </c>
      <c r="AN1668">
        <v>1</v>
      </c>
      <c r="AO1668">
        <v>1</v>
      </c>
      <c r="AP1668" t="s">
        <v>3015</v>
      </c>
      <c r="AQ1668" t="s">
        <v>3012</v>
      </c>
      <c r="AR1668" t="s">
        <v>3016</v>
      </c>
      <c r="AT1668" t="s">
        <v>3017</v>
      </c>
      <c r="AU1668" t="s">
        <v>3018</v>
      </c>
    </row>
    <row r="1669" spans="1:47" x14ac:dyDescent="0.35">
      <c r="A1669">
        <v>348026</v>
      </c>
      <c r="B1669" t="s">
        <v>172</v>
      </c>
      <c r="C1669" t="s">
        <v>173</v>
      </c>
      <c r="D1669" s="2">
        <v>45792</v>
      </c>
      <c r="E1669">
        <v>53850</v>
      </c>
      <c r="F1669">
        <v>116</v>
      </c>
      <c r="G1669" t="s">
        <v>126</v>
      </c>
      <c r="H1669" t="s">
        <v>167</v>
      </c>
      <c r="I1669" t="s">
        <v>45</v>
      </c>
      <c r="K1669">
        <v>202505147979800</v>
      </c>
      <c r="L1669">
        <v>2343300010453</v>
      </c>
      <c r="M1669">
        <v>20250514</v>
      </c>
      <c r="N1669" t="s">
        <v>195</v>
      </c>
      <c r="Q1669" t="s">
        <v>47</v>
      </c>
      <c r="R1669">
        <v>157456.45000000001</v>
      </c>
      <c r="S1669">
        <v>157456.45000000001</v>
      </c>
      <c r="T1669">
        <v>4247777</v>
      </c>
      <c r="U1669">
        <v>233470236</v>
      </c>
      <c r="V1669" t="s">
        <v>206</v>
      </c>
      <c r="W1669" t="s">
        <v>49</v>
      </c>
      <c r="X1669" t="s">
        <v>117</v>
      </c>
      <c r="Y1669" t="s">
        <v>51</v>
      </c>
      <c r="Z1669">
        <v>1696</v>
      </c>
      <c r="AH1669">
        <v>0</v>
      </c>
      <c r="AI1669">
        <v>202505</v>
      </c>
      <c r="AJ1669" t="s">
        <v>114</v>
      </c>
      <c r="AK1669">
        <v>1</v>
      </c>
      <c r="AL1669">
        <v>1</v>
      </c>
      <c r="AM1669">
        <v>4247777</v>
      </c>
      <c r="AN1669">
        <v>1</v>
      </c>
      <c r="AO1669">
        <v>0</v>
      </c>
      <c r="AP1669" t="s">
        <v>3029</v>
      </c>
      <c r="AQ1669" t="s">
        <v>3012</v>
      </c>
      <c r="AR1669" t="s">
        <v>3030</v>
      </c>
      <c r="AS1669" t="s">
        <v>3014</v>
      </c>
      <c r="AU1669" t="s">
        <v>3014</v>
      </c>
    </row>
    <row r="1670" spans="1:47" x14ac:dyDescent="0.35">
      <c r="A1670">
        <v>348025</v>
      </c>
      <c r="B1670" t="s">
        <v>178</v>
      </c>
      <c r="C1670" t="s">
        <v>179</v>
      </c>
      <c r="D1670" s="2">
        <v>45792</v>
      </c>
      <c r="E1670">
        <v>53850</v>
      </c>
      <c r="F1670">
        <v>102</v>
      </c>
      <c r="G1670" t="s">
        <v>151</v>
      </c>
      <c r="H1670" t="s">
        <v>167</v>
      </c>
      <c r="I1670" t="s">
        <v>45</v>
      </c>
      <c r="K1670">
        <v>202505147979467</v>
      </c>
      <c r="L1670">
        <v>1023300113820</v>
      </c>
      <c r="M1670">
        <v>20250514</v>
      </c>
      <c r="N1670" t="s">
        <v>416</v>
      </c>
      <c r="Q1670" t="s">
        <v>170</v>
      </c>
      <c r="R1670">
        <v>1026452.35</v>
      </c>
      <c r="S1670">
        <v>0</v>
      </c>
      <c r="T1670">
        <v>11382</v>
      </c>
      <c r="U1670">
        <v>252420724</v>
      </c>
      <c r="V1670" t="s">
        <v>1010</v>
      </c>
      <c r="W1670" t="s">
        <v>49</v>
      </c>
      <c r="X1670" t="s">
        <v>597</v>
      </c>
      <c r="Y1670" t="s">
        <v>51</v>
      </c>
      <c r="Z1670">
        <v>1203</v>
      </c>
      <c r="AH1670">
        <v>0</v>
      </c>
      <c r="AI1670">
        <v>202505</v>
      </c>
      <c r="AJ1670" t="s">
        <v>86</v>
      </c>
      <c r="AK1670">
        <v>1</v>
      </c>
      <c r="AL1670">
        <v>1</v>
      </c>
      <c r="AO1670">
        <v>0</v>
      </c>
      <c r="AP1670" t="s">
        <v>3015</v>
      </c>
      <c r="AQ1670" t="s">
        <v>3012</v>
      </c>
      <c r="AR1670" t="s">
        <v>3016</v>
      </c>
      <c r="AT1670" t="s">
        <v>3017</v>
      </c>
      <c r="AU1670" t="s">
        <v>3018</v>
      </c>
    </row>
    <row r="1671" spans="1:47" x14ac:dyDescent="0.35">
      <c r="A1671">
        <v>348024</v>
      </c>
      <c r="B1671" t="s">
        <v>193</v>
      </c>
      <c r="C1671" t="s">
        <v>194</v>
      </c>
      <c r="D1671" s="2">
        <v>45792</v>
      </c>
      <c r="E1671">
        <v>53850</v>
      </c>
      <c r="F1671">
        <v>108</v>
      </c>
      <c r="G1671" t="s">
        <v>124</v>
      </c>
      <c r="H1671" t="s">
        <v>167</v>
      </c>
      <c r="I1671" t="s">
        <v>45</v>
      </c>
      <c r="K1671" t="s">
        <v>1800</v>
      </c>
      <c r="L1671">
        <v>1083306291105</v>
      </c>
      <c r="M1671">
        <v>20250514</v>
      </c>
      <c r="N1671" t="s">
        <v>175</v>
      </c>
      <c r="Q1671" t="s">
        <v>47</v>
      </c>
      <c r="R1671">
        <v>187262.31</v>
      </c>
      <c r="S1671">
        <v>112449.60000000001</v>
      </c>
      <c r="T1671">
        <v>4227057</v>
      </c>
      <c r="U1671">
        <v>4874620729</v>
      </c>
      <c r="V1671" t="s">
        <v>250</v>
      </c>
      <c r="W1671" t="s">
        <v>49</v>
      </c>
      <c r="X1671" t="s">
        <v>62</v>
      </c>
      <c r="Y1671" t="s">
        <v>51</v>
      </c>
      <c r="Z1671">
        <v>1058</v>
      </c>
      <c r="AH1671">
        <v>0</v>
      </c>
      <c r="AI1671">
        <v>202505</v>
      </c>
      <c r="AJ1671" t="s">
        <v>56</v>
      </c>
      <c r="AK1671">
        <v>0</v>
      </c>
      <c r="AL1671">
        <v>1</v>
      </c>
      <c r="AM1671">
        <v>4227057</v>
      </c>
      <c r="AN1671">
        <v>1</v>
      </c>
      <c r="AO1671">
        <v>1</v>
      </c>
      <c r="AP1671" t="s">
        <v>3015</v>
      </c>
      <c r="AQ1671" t="s">
        <v>3012</v>
      </c>
      <c r="AR1671" t="s">
        <v>3016</v>
      </c>
      <c r="AT1671" t="s">
        <v>3017</v>
      </c>
      <c r="AU1671" t="s">
        <v>3018</v>
      </c>
    </row>
    <row r="1672" spans="1:47" x14ac:dyDescent="0.35">
      <c r="A1672">
        <v>348023</v>
      </c>
      <c r="B1672" t="s">
        <v>178</v>
      </c>
      <c r="C1672" t="s">
        <v>179</v>
      </c>
      <c r="D1672" s="2">
        <v>45792</v>
      </c>
      <c r="E1672">
        <v>53850</v>
      </c>
      <c r="F1672">
        <v>125</v>
      </c>
      <c r="G1672" t="s">
        <v>75</v>
      </c>
      <c r="H1672" t="s">
        <v>167</v>
      </c>
      <c r="I1672" t="s">
        <v>45</v>
      </c>
      <c r="K1672">
        <v>202505147977797</v>
      </c>
      <c r="L1672">
        <v>1253300010383</v>
      </c>
      <c r="M1672">
        <v>20250514</v>
      </c>
      <c r="N1672" t="s">
        <v>236</v>
      </c>
      <c r="P1672" t="s">
        <v>51</v>
      </c>
      <c r="Q1672" t="s">
        <v>170</v>
      </c>
      <c r="R1672">
        <v>1750000</v>
      </c>
      <c r="S1672">
        <v>0</v>
      </c>
      <c r="T1672">
        <v>4693650</v>
      </c>
      <c r="U1672">
        <v>7055451210</v>
      </c>
      <c r="V1672" t="s">
        <v>1801</v>
      </c>
      <c r="W1672" t="s">
        <v>49</v>
      </c>
      <c r="X1672" t="s">
        <v>1444</v>
      </c>
      <c r="Y1672" t="s">
        <v>51</v>
      </c>
      <c r="Z1672">
        <v>982</v>
      </c>
      <c r="AH1672">
        <v>0</v>
      </c>
      <c r="AI1672">
        <v>202505</v>
      </c>
      <c r="AJ1672" t="s">
        <v>56</v>
      </c>
      <c r="AK1672">
        <v>0</v>
      </c>
      <c r="AL1672">
        <v>1</v>
      </c>
      <c r="AO1672">
        <v>0</v>
      </c>
      <c r="AP1672" t="s">
        <v>3015</v>
      </c>
      <c r="AQ1672" t="s">
        <v>3012</v>
      </c>
      <c r="AR1672" t="s">
        <v>3016</v>
      </c>
      <c r="AT1672" t="s">
        <v>3017</v>
      </c>
      <c r="AU1672" t="s">
        <v>3018</v>
      </c>
    </row>
    <row r="1673" spans="1:47" x14ac:dyDescent="0.35">
      <c r="A1673">
        <v>348022</v>
      </c>
      <c r="B1673" t="s">
        <v>193</v>
      </c>
      <c r="C1673" t="s">
        <v>194</v>
      </c>
      <c r="D1673" s="2">
        <v>45792</v>
      </c>
      <c r="E1673">
        <v>53850</v>
      </c>
      <c r="F1673">
        <v>114</v>
      </c>
      <c r="G1673" t="s">
        <v>188</v>
      </c>
      <c r="H1673" t="s">
        <v>167</v>
      </c>
      <c r="I1673" t="s">
        <v>45</v>
      </c>
      <c r="K1673">
        <v>202505147980021</v>
      </c>
      <c r="L1673">
        <v>1143306280621</v>
      </c>
      <c r="M1673">
        <v>20250514</v>
      </c>
      <c r="N1673" t="s">
        <v>266</v>
      </c>
      <c r="Q1673" t="s">
        <v>47</v>
      </c>
      <c r="R1673">
        <v>49000</v>
      </c>
      <c r="S1673">
        <v>49000</v>
      </c>
      <c r="T1673">
        <v>4658875</v>
      </c>
      <c r="U1673">
        <v>3230890711</v>
      </c>
      <c r="V1673" t="s">
        <v>1363</v>
      </c>
      <c r="W1673" t="s">
        <v>49</v>
      </c>
      <c r="X1673" t="s">
        <v>131</v>
      </c>
      <c r="Y1673" t="s">
        <v>51</v>
      </c>
      <c r="Z1673">
        <v>870</v>
      </c>
      <c r="AH1673">
        <v>0</v>
      </c>
      <c r="AI1673">
        <v>202505</v>
      </c>
      <c r="AJ1673" t="s">
        <v>56</v>
      </c>
      <c r="AK1673">
        <v>0</v>
      </c>
      <c r="AL1673">
        <v>1</v>
      </c>
      <c r="AM1673">
        <v>4658875</v>
      </c>
      <c r="AN1673">
        <v>1</v>
      </c>
      <c r="AO1673">
        <v>0</v>
      </c>
      <c r="AP1673" t="s">
        <v>3033</v>
      </c>
      <c r="AQ1673" t="s">
        <v>3012</v>
      </c>
      <c r="AR1673" t="s">
        <v>3034</v>
      </c>
      <c r="AS1673" t="s">
        <v>3014</v>
      </c>
      <c r="AU1673" t="s">
        <v>3014</v>
      </c>
    </row>
    <row r="1674" spans="1:47" x14ac:dyDescent="0.35">
      <c r="A1674">
        <v>348021</v>
      </c>
      <c r="B1674" t="s">
        <v>172</v>
      </c>
      <c r="C1674" t="s">
        <v>173</v>
      </c>
      <c r="D1674" s="2">
        <v>45792</v>
      </c>
      <c r="E1674">
        <v>53850</v>
      </c>
      <c r="F1674">
        <v>284</v>
      </c>
      <c r="G1674" t="s">
        <v>184</v>
      </c>
      <c r="H1674" t="s">
        <v>167</v>
      </c>
      <c r="I1674" t="s">
        <v>45</v>
      </c>
      <c r="K1674">
        <v>202505147980387</v>
      </c>
      <c r="L1674">
        <v>2843300000683</v>
      </c>
      <c r="M1674">
        <v>20250514</v>
      </c>
      <c r="N1674" t="s">
        <v>231</v>
      </c>
      <c r="Q1674" t="s">
        <v>47</v>
      </c>
      <c r="R1674">
        <v>110000</v>
      </c>
      <c r="S1674">
        <v>0</v>
      </c>
      <c r="T1674">
        <v>1669887</v>
      </c>
      <c r="U1674" t="s">
        <v>1802</v>
      </c>
      <c r="V1674" t="s">
        <v>1803</v>
      </c>
      <c r="W1674" t="s">
        <v>187</v>
      </c>
      <c r="Y1674" t="s">
        <v>51</v>
      </c>
      <c r="AH1674">
        <v>0</v>
      </c>
      <c r="AI1674">
        <v>202505</v>
      </c>
      <c r="AJ1674" t="s">
        <v>52</v>
      </c>
      <c r="AK1674">
        <v>0</v>
      </c>
      <c r="AL1674">
        <v>1</v>
      </c>
      <c r="AO1674">
        <v>0</v>
      </c>
      <c r="AP1674" t="s">
        <v>3015</v>
      </c>
      <c r="AQ1674" t="s">
        <v>3044</v>
      </c>
      <c r="AR1674" t="s">
        <v>3045</v>
      </c>
      <c r="AS1674" t="s">
        <v>3046</v>
      </c>
      <c r="AU1674" t="s">
        <v>3046</v>
      </c>
    </row>
    <row r="1675" spans="1:47" x14ac:dyDescent="0.35">
      <c r="A1675">
        <v>348020</v>
      </c>
      <c r="B1675" t="s">
        <v>333</v>
      </c>
      <c r="C1675" t="s">
        <v>334</v>
      </c>
      <c r="D1675" s="2">
        <v>45792</v>
      </c>
      <c r="E1675">
        <v>53850</v>
      </c>
      <c r="F1675">
        <v>171</v>
      </c>
      <c r="G1675" t="s">
        <v>198</v>
      </c>
      <c r="H1675" t="s">
        <v>167</v>
      </c>
      <c r="I1675" t="s">
        <v>45</v>
      </c>
      <c r="K1675">
        <v>202505147980194</v>
      </c>
      <c r="M1675">
        <v>20250514</v>
      </c>
      <c r="N1675" t="s">
        <v>915</v>
      </c>
      <c r="Q1675" t="s">
        <v>170</v>
      </c>
      <c r="R1675">
        <v>16050</v>
      </c>
      <c r="S1675">
        <v>31</v>
      </c>
      <c r="T1675">
        <v>4021488</v>
      </c>
      <c r="U1675" t="s">
        <v>1804</v>
      </c>
      <c r="V1675" t="s">
        <v>1805</v>
      </c>
      <c r="W1675" t="s">
        <v>187</v>
      </c>
      <c r="Y1675" t="s">
        <v>51</v>
      </c>
      <c r="Z1675">
        <v>662</v>
      </c>
      <c r="AH1675">
        <v>0</v>
      </c>
      <c r="AI1675">
        <v>202505</v>
      </c>
      <c r="AL1675">
        <v>0</v>
      </c>
      <c r="AO1675">
        <v>0</v>
      </c>
      <c r="AP1675" t="s">
        <v>3015</v>
      </c>
      <c r="AQ1675" t="s">
        <v>3044</v>
      </c>
      <c r="AR1675" t="s">
        <v>3045</v>
      </c>
      <c r="AS1675" t="s">
        <v>3046</v>
      </c>
      <c r="AU1675" t="s">
        <v>3046</v>
      </c>
    </row>
    <row r="1676" spans="1:47" x14ac:dyDescent="0.35">
      <c r="A1676">
        <v>348019</v>
      </c>
      <c r="B1676" t="s">
        <v>193</v>
      </c>
      <c r="C1676" t="s">
        <v>194</v>
      </c>
      <c r="D1676" s="2">
        <v>45792</v>
      </c>
      <c r="E1676">
        <v>53850</v>
      </c>
      <c r="F1676">
        <v>171</v>
      </c>
      <c r="G1676" t="s">
        <v>198</v>
      </c>
      <c r="H1676" t="s">
        <v>167</v>
      </c>
      <c r="I1676" t="s">
        <v>45</v>
      </c>
      <c r="K1676" t="s">
        <v>1800</v>
      </c>
      <c r="L1676">
        <v>1713305728950</v>
      </c>
      <c r="M1676">
        <v>20250514</v>
      </c>
      <c r="N1676" t="s">
        <v>195</v>
      </c>
      <c r="Q1676" t="s">
        <v>47</v>
      </c>
      <c r="R1676">
        <v>386588.7</v>
      </c>
      <c r="S1676">
        <v>386588.7</v>
      </c>
      <c r="T1676">
        <v>572895</v>
      </c>
      <c r="U1676">
        <v>4161600723</v>
      </c>
      <c r="V1676" t="s">
        <v>199</v>
      </c>
      <c r="W1676" t="s">
        <v>49</v>
      </c>
      <c r="X1676" t="s">
        <v>200</v>
      </c>
      <c r="Y1676" t="s">
        <v>51</v>
      </c>
      <c r="Z1676">
        <v>1903</v>
      </c>
      <c r="AH1676">
        <v>0</v>
      </c>
      <c r="AI1676">
        <v>202505</v>
      </c>
      <c r="AJ1676" t="s">
        <v>86</v>
      </c>
      <c r="AK1676">
        <v>1</v>
      </c>
      <c r="AL1676">
        <v>1</v>
      </c>
      <c r="AM1676">
        <v>572895</v>
      </c>
      <c r="AN1676">
        <v>1</v>
      </c>
      <c r="AO1676">
        <v>0</v>
      </c>
      <c r="AP1676" t="s">
        <v>3015</v>
      </c>
      <c r="AQ1676" t="s">
        <v>3012</v>
      </c>
      <c r="AR1676" t="s">
        <v>3016</v>
      </c>
      <c r="AT1676" t="s">
        <v>3017</v>
      </c>
      <c r="AU1676" t="s">
        <v>3018</v>
      </c>
    </row>
    <row r="1677" spans="1:47" x14ac:dyDescent="0.35">
      <c r="A1677">
        <v>348018</v>
      </c>
      <c r="B1677" t="s">
        <v>178</v>
      </c>
      <c r="C1677" t="s">
        <v>179</v>
      </c>
      <c r="D1677" s="2">
        <v>45792</v>
      </c>
      <c r="E1677">
        <v>53850</v>
      </c>
      <c r="F1677">
        <v>161</v>
      </c>
      <c r="G1677" t="s">
        <v>111</v>
      </c>
      <c r="H1677" t="s">
        <v>167</v>
      </c>
      <c r="I1677" t="s">
        <v>45</v>
      </c>
      <c r="K1677">
        <v>202505147978905</v>
      </c>
      <c r="L1677">
        <v>1613300029174</v>
      </c>
      <c r="M1677">
        <v>20250514</v>
      </c>
      <c r="N1677" t="s">
        <v>46</v>
      </c>
      <c r="P1677" t="s">
        <v>51</v>
      </c>
      <c r="Q1677" t="s">
        <v>47</v>
      </c>
      <c r="R1677">
        <v>325570.92</v>
      </c>
      <c r="S1677">
        <v>0</v>
      </c>
      <c r="T1677">
        <v>4017792</v>
      </c>
      <c r="U1677" t="s">
        <v>1806</v>
      </c>
      <c r="V1677" t="s">
        <v>1807</v>
      </c>
      <c r="W1677" t="s">
        <v>187</v>
      </c>
      <c r="Y1677" t="s">
        <v>51</v>
      </c>
      <c r="Z1677">
        <v>1662</v>
      </c>
      <c r="AH1677">
        <v>0</v>
      </c>
      <c r="AI1677">
        <v>202505</v>
      </c>
      <c r="AJ1677" t="s">
        <v>52</v>
      </c>
      <c r="AK1677">
        <v>0</v>
      </c>
      <c r="AL1677">
        <v>1</v>
      </c>
      <c r="AO1677">
        <v>0</v>
      </c>
      <c r="AP1677" t="s">
        <v>3015</v>
      </c>
      <c r="AQ1677" t="s">
        <v>3044</v>
      </c>
      <c r="AR1677" t="s">
        <v>3045</v>
      </c>
      <c r="AS1677" t="s">
        <v>3046</v>
      </c>
      <c r="AU1677" t="s">
        <v>3046</v>
      </c>
    </row>
    <row r="1678" spans="1:47" x14ac:dyDescent="0.35">
      <c r="A1678">
        <v>348017</v>
      </c>
      <c r="B1678" t="s">
        <v>172</v>
      </c>
      <c r="C1678" t="s">
        <v>173</v>
      </c>
      <c r="D1678" s="2">
        <v>45792</v>
      </c>
      <c r="E1678">
        <v>53850</v>
      </c>
      <c r="F1678">
        <v>266</v>
      </c>
      <c r="G1678" t="s">
        <v>1248</v>
      </c>
      <c r="H1678" t="s">
        <v>167</v>
      </c>
      <c r="I1678" t="s">
        <v>45</v>
      </c>
      <c r="K1678" t="s">
        <v>1800</v>
      </c>
      <c r="L1678">
        <v>2663300000556</v>
      </c>
      <c r="M1678">
        <v>20250514</v>
      </c>
      <c r="N1678" t="s">
        <v>175</v>
      </c>
      <c r="Q1678" t="s">
        <v>47</v>
      </c>
      <c r="R1678">
        <v>226958.14</v>
      </c>
      <c r="S1678">
        <v>0</v>
      </c>
      <c r="T1678">
        <v>1633047</v>
      </c>
      <c r="U1678" t="s">
        <v>1808</v>
      </c>
      <c r="V1678" t="s">
        <v>1809</v>
      </c>
      <c r="W1678" t="s">
        <v>187</v>
      </c>
      <c r="Y1678" t="s">
        <v>51</v>
      </c>
      <c r="Z1678">
        <v>1799</v>
      </c>
      <c r="AH1678">
        <v>0</v>
      </c>
      <c r="AI1678">
        <v>202505</v>
      </c>
      <c r="AJ1678" t="s">
        <v>86</v>
      </c>
      <c r="AK1678">
        <v>1</v>
      </c>
      <c r="AL1678">
        <v>1</v>
      </c>
      <c r="AO1678">
        <v>1</v>
      </c>
      <c r="AP1678" t="s">
        <v>3015</v>
      </c>
      <c r="AQ1678" t="s">
        <v>3044</v>
      </c>
      <c r="AR1678" t="s">
        <v>3045</v>
      </c>
      <c r="AS1678" t="s">
        <v>3046</v>
      </c>
      <c r="AU1678" t="s">
        <v>3046</v>
      </c>
    </row>
    <row r="1679" spans="1:47" x14ac:dyDescent="0.35">
      <c r="A1679">
        <v>348016</v>
      </c>
      <c r="B1679" t="s">
        <v>178</v>
      </c>
      <c r="C1679" t="s">
        <v>179</v>
      </c>
      <c r="D1679" s="2">
        <v>45792</v>
      </c>
      <c r="E1679">
        <v>53850</v>
      </c>
      <c r="F1679">
        <v>170</v>
      </c>
      <c r="G1679" t="s">
        <v>211</v>
      </c>
      <c r="H1679" t="s">
        <v>167</v>
      </c>
      <c r="I1679" t="s">
        <v>45</v>
      </c>
      <c r="K1679">
        <v>202505147977415</v>
      </c>
      <c r="L1679">
        <v>1703306290830</v>
      </c>
      <c r="M1679">
        <v>20250514</v>
      </c>
      <c r="N1679" t="s">
        <v>310</v>
      </c>
      <c r="Q1679" t="s">
        <v>170</v>
      </c>
      <c r="R1679">
        <v>729828.68</v>
      </c>
      <c r="S1679">
        <v>0</v>
      </c>
      <c r="T1679">
        <v>4934769</v>
      </c>
      <c r="U1679">
        <v>2791590728</v>
      </c>
      <c r="V1679" t="s">
        <v>1810</v>
      </c>
      <c r="W1679" t="s">
        <v>49</v>
      </c>
      <c r="X1679" t="s">
        <v>784</v>
      </c>
      <c r="Y1679" t="s">
        <v>51</v>
      </c>
      <c r="Z1679">
        <v>1919</v>
      </c>
      <c r="AH1679">
        <v>0</v>
      </c>
      <c r="AI1679">
        <v>202505</v>
      </c>
      <c r="AJ1679" t="s">
        <v>86</v>
      </c>
      <c r="AK1679">
        <v>1</v>
      </c>
      <c r="AL1679">
        <v>1</v>
      </c>
      <c r="AO1679">
        <v>0</v>
      </c>
      <c r="AP1679" t="s">
        <v>3090</v>
      </c>
      <c r="AQ1679" t="s">
        <v>3012</v>
      </c>
      <c r="AR1679" t="s">
        <v>3091</v>
      </c>
      <c r="AS1679" t="s">
        <v>3014</v>
      </c>
      <c r="AU1679" t="s">
        <v>3014</v>
      </c>
    </row>
    <row r="1680" spans="1:47" x14ac:dyDescent="0.35">
      <c r="A1680">
        <v>348015</v>
      </c>
      <c r="B1680" t="s">
        <v>193</v>
      </c>
      <c r="C1680" t="s">
        <v>194</v>
      </c>
      <c r="D1680" s="2">
        <v>45792</v>
      </c>
      <c r="E1680">
        <v>53850</v>
      </c>
      <c r="F1680">
        <v>116</v>
      </c>
      <c r="G1680" t="s">
        <v>126</v>
      </c>
      <c r="H1680" t="s">
        <v>167</v>
      </c>
      <c r="I1680" t="s">
        <v>45</v>
      </c>
      <c r="K1680">
        <v>202505147979800</v>
      </c>
      <c r="L1680">
        <v>2343300010453</v>
      </c>
      <c r="M1680">
        <v>20250514</v>
      </c>
      <c r="N1680" t="s">
        <v>195</v>
      </c>
      <c r="Q1680" t="s">
        <v>47</v>
      </c>
      <c r="R1680">
        <v>157456.45000000001</v>
      </c>
      <c r="S1680">
        <v>157456.45000000001</v>
      </c>
      <c r="T1680">
        <v>4247777</v>
      </c>
      <c r="U1680">
        <v>233470236</v>
      </c>
      <c r="V1680" t="s">
        <v>206</v>
      </c>
      <c r="W1680" t="s">
        <v>49</v>
      </c>
      <c r="X1680" t="s">
        <v>117</v>
      </c>
      <c r="Y1680" t="s">
        <v>51</v>
      </c>
      <c r="Z1680">
        <v>1696</v>
      </c>
      <c r="AH1680">
        <v>0</v>
      </c>
      <c r="AI1680">
        <v>202505</v>
      </c>
      <c r="AJ1680" t="s">
        <v>114</v>
      </c>
      <c r="AK1680">
        <v>1</v>
      </c>
      <c r="AL1680">
        <v>1</v>
      </c>
      <c r="AM1680">
        <v>4247777</v>
      </c>
      <c r="AN1680">
        <v>1</v>
      </c>
      <c r="AO1680">
        <v>0</v>
      </c>
      <c r="AP1680" t="s">
        <v>3029</v>
      </c>
      <c r="AQ1680" t="s">
        <v>3012</v>
      </c>
      <c r="AR1680" t="s">
        <v>3030</v>
      </c>
      <c r="AS1680" t="s">
        <v>3014</v>
      </c>
      <c r="AU1680" t="s">
        <v>3014</v>
      </c>
    </row>
    <row r="1681" spans="1:47" x14ac:dyDescent="0.35">
      <c r="A1681">
        <v>348014</v>
      </c>
      <c r="B1681" t="s">
        <v>172</v>
      </c>
      <c r="C1681" t="s">
        <v>173</v>
      </c>
      <c r="D1681" s="2">
        <v>45792</v>
      </c>
      <c r="E1681">
        <v>53850</v>
      </c>
      <c r="F1681">
        <v>171</v>
      </c>
      <c r="G1681" t="s">
        <v>198</v>
      </c>
      <c r="H1681" t="s">
        <v>167</v>
      </c>
      <c r="I1681" t="s">
        <v>45</v>
      </c>
      <c r="K1681" t="s">
        <v>1800</v>
      </c>
      <c r="L1681">
        <v>1713302214147</v>
      </c>
      <c r="M1681">
        <v>20250514</v>
      </c>
      <c r="N1681" t="s">
        <v>195</v>
      </c>
      <c r="Q1681" t="s">
        <v>47</v>
      </c>
      <c r="R1681">
        <v>164995</v>
      </c>
      <c r="S1681">
        <v>164995</v>
      </c>
      <c r="T1681">
        <v>4199319</v>
      </c>
      <c r="U1681">
        <v>6037810725</v>
      </c>
      <c r="V1681" t="s">
        <v>1144</v>
      </c>
      <c r="W1681" t="s">
        <v>49</v>
      </c>
      <c r="X1681" t="s">
        <v>200</v>
      </c>
      <c r="Y1681" t="s">
        <v>51</v>
      </c>
      <c r="Z1681">
        <v>1903</v>
      </c>
      <c r="AH1681">
        <v>0</v>
      </c>
      <c r="AI1681">
        <v>202505</v>
      </c>
      <c r="AJ1681" t="s">
        <v>86</v>
      </c>
      <c r="AK1681">
        <v>1</v>
      </c>
      <c r="AL1681">
        <v>1</v>
      </c>
      <c r="AM1681">
        <v>4199319</v>
      </c>
      <c r="AN1681">
        <v>1</v>
      </c>
      <c r="AO1681">
        <v>0</v>
      </c>
      <c r="AP1681" t="s">
        <v>3015</v>
      </c>
      <c r="AQ1681" t="s">
        <v>3012</v>
      </c>
      <c r="AR1681" t="s">
        <v>3016</v>
      </c>
      <c r="AT1681" t="s">
        <v>3017</v>
      </c>
      <c r="AU1681" t="s">
        <v>3018</v>
      </c>
    </row>
    <row r="1682" spans="1:47" x14ac:dyDescent="0.35">
      <c r="A1682">
        <v>348013</v>
      </c>
      <c r="B1682" t="s">
        <v>214</v>
      </c>
      <c r="C1682" t="s">
        <v>215</v>
      </c>
      <c r="D1682" s="2">
        <v>45792</v>
      </c>
      <c r="E1682">
        <v>53850</v>
      </c>
      <c r="F1682">
        <v>140</v>
      </c>
      <c r="G1682" t="s">
        <v>322</v>
      </c>
      <c r="H1682" t="s">
        <v>167</v>
      </c>
      <c r="I1682" t="s">
        <v>45</v>
      </c>
      <c r="K1682">
        <v>202505147979180</v>
      </c>
      <c r="L1682">
        <v>1403300003116</v>
      </c>
      <c r="M1682">
        <v>20250514</v>
      </c>
      <c r="N1682" t="s">
        <v>168</v>
      </c>
      <c r="P1682" t="s">
        <v>1270</v>
      </c>
      <c r="Q1682" t="s">
        <v>47</v>
      </c>
      <c r="R1682">
        <v>18942.89</v>
      </c>
      <c r="S1682">
        <v>0</v>
      </c>
      <c r="T1682">
        <v>4089951</v>
      </c>
      <c r="U1682" t="s">
        <v>1271</v>
      </c>
      <c r="V1682" t="s">
        <v>1272</v>
      </c>
      <c r="W1682" t="s">
        <v>187</v>
      </c>
      <c r="Y1682" t="s">
        <v>51</v>
      </c>
      <c r="Z1682">
        <v>1403</v>
      </c>
      <c r="AH1682">
        <v>0</v>
      </c>
      <c r="AI1682">
        <v>202505</v>
      </c>
      <c r="AJ1682" t="s">
        <v>86</v>
      </c>
      <c r="AK1682">
        <v>1</v>
      </c>
      <c r="AL1682">
        <v>1</v>
      </c>
      <c r="AO1682">
        <v>0</v>
      </c>
      <c r="AP1682" t="s">
        <v>3015</v>
      </c>
      <c r="AQ1682" t="s">
        <v>3044</v>
      </c>
      <c r="AR1682" t="s">
        <v>3045</v>
      </c>
      <c r="AS1682" t="s">
        <v>3046</v>
      </c>
      <c r="AU1682" t="s">
        <v>3046</v>
      </c>
    </row>
    <row r="1683" spans="1:47" x14ac:dyDescent="0.35">
      <c r="A1683">
        <v>348012</v>
      </c>
      <c r="B1683" t="s">
        <v>178</v>
      </c>
      <c r="C1683" t="s">
        <v>179</v>
      </c>
      <c r="D1683" s="2">
        <v>45792</v>
      </c>
      <c r="E1683">
        <v>53850</v>
      </c>
      <c r="F1683">
        <v>170</v>
      </c>
      <c r="G1683" t="s">
        <v>211</v>
      </c>
      <c r="H1683" t="s">
        <v>167</v>
      </c>
      <c r="I1683" t="s">
        <v>45</v>
      </c>
      <c r="K1683" t="s">
        <v>1811</v>
      </c>
      <c r="L1683">
        <v>1703306287314</v>
      </c>
      <c r="M1683">
        <v>20250514</v>
      </c>
      <c r="N1683" t="s">
        <v>3136</v>
      </c>
      <c r="Q1683" t="s">
        <v>47</v>
      </c>
      <c r="R1683">
        <v>1000</v>
      </c>
      <c r="S1683">
        <v>0</v>
      </c>
      <c r="T1683">
        <v>4221749</v>
      </c>
      <c r="U1683">
        <v>5485630726</v>
      </c>
      <c r="V1683" t="s">
        <v>1812</v>
      </c>
      <c r="W1683" t="s">
        <v>49</v>
      </c>
      <c r="X1683" t="s">
        <v>698</v>
      </c>
      <c r="Y1683" t="s">
        <v>51</v>
      </c>
      <c r="Z1683">
        <v>1920</v>
      </c>
      <c r="AH1683">
        <v>0</v>
      </c>
      <c r="AI1683">
        <v>202505</v>
      </c>
      <c r="AJ1683" t="s">
        <v>86</v>
      </c>
      <c r="AK1683">
        <v>1</v>
      </c>
      <c r="AL1683">
        <v>1</v>
      </c>
      <c r="AO1683">
        <v>1</v>
      </c>
      <c r="AP1683" t="s">
        <v>3015</v>
      </c>
      <c r="AQ1683" t="s">
        <v>3012</v>
      </c>
      <c r="AR1683" t="s">
        <v>3016</v>
      </c>
      <c r="AT1683" t="s">
        <v>3017</v>
      </c>
      <c r="AU1683" t="s">
        <v>3018</v>
      </c>
    </row>
    <row r="1684" spans="1:47" x14ac:dyDescent="0.35">
      <c r="A1684">
        <v>348011</v>
      </c>
      <c r="B1684" t="s">
        <v>353</v>
      </c>
      <c r="C1684" t="s">
        <v>354</v>
      </c>
      <c r="D1684" s="2">
        <v>45792</v>
      </c>
      <c r="E1684">
        <v>53850</v>
      </c>
      <c r="F1684">
        <v>140</v>
      </c>
      <c r="G1684" t="s">
        <v>322</v>
      </c>
      <c r="H1684" t="s">
        <v>167</v>
      </c>
      <c r="I1684" t="s">
        <v>45</v>
      </c>
      <c r="K1684">
        <v>202505147979180</v>
      </c>
      <c r="L1684">
        <v>1403300003116</v>
      </c>
      <c r="M1684">
        <v>20250514</v>
      </c>
      <c r="N1684" t="s">
        <v>168</v>
      </c>
      <c r="P1684" t="s">
        <v>1270</v>
      </c>
      <c r="Q1684" t="s">
        <v>47</v>
      </c>
      <c r="R1684">
        <v>18942.89</v>
      </c>
      <c r="S1684">
        <v>0</v>
      </c>
      <c r="T1684">
        <v>4089951</v>
      </c>
      <c r="U1684" t="s">
        <v>1271</v>
      </c>
      <c r="V1684" t="s">
        <v>1272</v>
      </c>
      <c r="W1684" t="s">
        <v>187</v>
      </c>
      <c r="Y1684" t="s">
        <v>51</v>
      </c>
      <c r="Z1684">
        <v>1403</v>
      </c>
      <c r="AH1684">
        <v>0</v>
      </c>
      <c r="AI1684">
        <v>202505</v>
      </c>
      <c r="AJ1684" t="s">
        <v>86</v>
      </c>
      <c r="AK1684">
        <v>1</v>
      </c>
      <c r="AL1684">
        <v>1</v>
      </c>
      <c r="AO1684">
        <v>0</v>
      </c>
      <c r="AP1684" t="s">
        <v>3015</v>
      </c>
      <c r="AQ1684" t="s">
        <v>3044</v>
      </c>
      <c r="AR1684" t="s">
        <v>3045</v>
      </c>
      <c r="AS1684" t="s">
        <v>3046</v>
      </c>
      <c r="AU1684" t="s">
        <v>3046</v>
      </c>
    </row>
    <row r="1685" spans="1:47" x14ac:dyDescent="0.35">
      <c r="A1685">
        <v>348010</v>
      </c>
      <c r="B1685" t="s">
        <v>164</v>
      </c>
      <c r="C1685" t="s">
        <v>165</v>
      </c>
      <c r="D1685" s="2">
        <v>45792</v>
      </c>
      <c r="E1685">
        <v>53850</v>
      </c>
      <c r="F1685">
        <v>147</v>
      </c>
      <c r="G1685" t="s">
        <v>771</v>
      </c>
      <c r="H1685" t="s">
        <v>167</v>
      </c>
      <c r="I1685" t="s">
        <v>45</v>
      </c>
      <c r="K1685" t="s">
        <v>1813</v>
      </c>
      <c r="L1685">
        <v>1473300005217</v>
      </c>
      <c r="M1685">
        <v>20250514</v>
      </c>
      <c r="N1685" t="s">
        <v>168</v>
      </c>
      <c r="P1685" t="s">
        <v>255</v>
      </c>
      <c r="Q1685" t="s">
        <v>170</v>
      </c>
      <c r="R1685">
        <v>1825</v>
      </c>
      <c r="S1685">
        <v>0</v>
      </c>
      <c r="T1685">
        <v>3724704</v>
      </c>
      <c r="U1685">
        <v>4306130610</v>
      </c>
      <c r="V1685" t="s">
        <v>773</v>
      </c>
      <c r="W1685" t="s">
        <v>49</v>
      </c>
      <c r="X1685" t="s">
        <v>686</v>
      </c>
      <c r="Y1685" t="s">
        <v>51</v>
      </c>
      <c r="Z1685">
        <v>1196</v>
      </c>
      <c r="AH1685">
        <v>0</v>
      </c>
      <c r="AI1685">
        <v>202505</v>
      </c>
      <c r="AJ1685" t="s">
        <v>52</v>
      </c>
      <c r="AK1685">
        <v>0</v>
      </c>
      <c r="AL1685">
        <v>1</v>
      </c>
      <c r="AO1685">
        <v>0</v>
      </c>
      <c r="AP1685" t="s">
        <v>3015</v>
      </c>
      <c r="AQ1685" t="s">
        <v>3012</v>
      </c>
      <c r="AR1685" t="s">
        <v>3016</v>
      </c>
      <c r="AT1685" t="s">
        <v>3017</v>
      </c>
      <c r="AU1685" t="s">
        <v>3018</v>
      </c>
    </row>
    <row r="1686" spans="1:47" x14ac:dyDescent="0.35">
      <c r="A1686">
        <v>348009</v>
      </c>
      <c r="B1686" t="s">
        <v>172</v>
      </c>
      <c r="C1686" t="s">
        <v>173</v>
      </c>
      <c r="D1686" s="2">
        <v>45792</v>
      </c>
      <c r="E1686">
        <v>53850</v>
      </c>
      <c r="F1686">
        <v>266</v>
      </c>
      <c r="G1686" t="s">
        <v>1248</v>
      </c>
      <c r="H1686" t="s">
        <v>167</v>
      </c>
      <c r="I1686" t="s">
        <v>45</v>
      </c>
      <c r="K1686" t="s">
        <v>1800</v>
      </c>
      <c r="L1686">
        <v>2663300000556</v>
      </c>
      <c r="M1686">
        <v>20250514</v>
      </c>
      <c r="N1686" t="s">
        <v>175</v>
      </c>
      <c r="Q1686" t="s">
        <v>47</v>
      </c>
      <c r="R1686">
        <v>226958.14</v>
      </c>
      <c r="S1686">
        <v>0</v>
      </c>
      <c r="T1686">
        <v>1633772</v>
      </c>
      <c r="U1686" t="s">
        <v>1814</v>
      </c>
      <c r="V1686" t="s">
        <v>1815</v>
      </c>
      <c r="W1686" t="s">
        <v>187</v>
      </c>
      <c r="Y1686" t="s">
        <v>51</v>
      </c>
      <c r="Z1686">
        <v>1799</v>
      </c>
      <c r="AH1686">
        <v>0</v>
      </c>
      <c r="AI1686">
        <v>202505</v>
      </c>
      <c r="AJ1686" t="s">
        <v>119</v>
      </c>
      <c r="AK1686">
        <v>1</v>
      </c>
      <c r="AL1686">
        <v>1</v>
      </c>
      <c r="AO1686">
        <v>1</v>
      </c>
      <c r="AP1686" t="s">
        <v>3015</v>
      </c>
      <c r="AQ1686" t="s">
        <v>3044</v>
      </c>
      <c r="AR1686" t="s">
        <v>3045</v>
      </c>
      <c r="AS1686" t="s">
        <v>3046</v>
      </c>
      <c r="AU1686" t="s">
        <v>3046</v>
      </c>
    </row>
    <row r="1687" spans="1:47" x14ac:dyDescent="0.35">
      <c r="A1687">
        <v>348008</v>
      </c>
      <c r="B1687" t="s">
        <v>178</v>
      </c>
      <c r="C1687" t="s">
        <v>179</v>
      </c>
      <c r="D1687" s="2">
        <v>45792</v>
      </c>
      <c r="E1687">
        <v>53850</v>
      </c>
      <c r="F1687">
        <v>102</v>
      </c>
      <c r="G1687" t="s">
        <v>151</v>
      </c>
      <c r="H1687" t="s">
        <v>167</v>
      </c>
      <c r="I1687" t="s">
        <v>45</v>
      </c>
      <c r="K1687">
        <v>202505147979882</v>
      </c>
      <c r="L1687">
        <v>1023308717407</v>
      </c>
      <c r="M1687">
        <v>20250514</v>
      </c>
      <c r="N1687" t="s">
        <v>3136</v>
      </c>
      <c r="Q1687" t="s">
        <v>170</v>
      </c>
      <c r="R1687">
        <v>14235.26</v>
      </c>
      <c r="S1687">
        <v>0</v>
      </c>
      <c r="T1687">
        <v>49012</v>
      </c>
      <c r="U1687" t="s">
        <v>1816</v>
      </c>
      <c r="V1687" t="s">
        <v>1817</v>
      </c>
      <c r="W1687" t="s">
        <v>187</v>
      </c>
      <c r="Y1687" t="s">
        <v>51</v>
      </c>
      <c r="Z1687">
        <v>580</v>
      </c>
      <c r="AH1687">
        <v>0</v>
      </c>
      <c r="AI1687">
        <v>202505</v>
      </c>
      <c r="AJ1687" t="s">
        <v>86</v>
      </c>
      <c r="AK1687">
        <v>1</v>
      </c>
      <c r="AL1687">
        <v>1</v>
      </c>
      <c r="AO1687">
        <v>1</v>
      </c>
      <c r="AP1687" t="s">
        <v>3015</v>
      </c>
      <c r="AQ1687" t="s">
        <v>3044</v>
      </c>
      <c r="AR1687" t="s">
        <v>3045</v>
      </c>
      <c r="AS1687" t="s">
        <v>3046</v>
      </c>
      <c r="AU1687" t="s">
        <v>3046</v>
      </c>
    </row>
    <row r="1688" spans="1:47" x14ac:dyDescent="0.35">
      <c r="A1688">
        <v>348007</v>
      </c>
      <c r="B1688" t="s">
        <v>172</v>
      </c>
      <c r="C1688" t="s">
        <v>173</v>
      </c>
      <c r="D1688" s="2">
        <v>45792</v>
      </c>
      <c r="E1688">
        <v>53850</v>
      </c>
      <c r="F1688">
        <v>129</v>
      </c>
      <c r="G1688" t="s">
        <v>227</v>
      </c>
      <c r="H1688" t="s">
        <v>167</v>
      </c>
      <c r="I1688" t="s">
        <v>45</v>
      </c>
      <c r="K1688">
        <v>202505147980062</v>
      </c>
      <c r="L1688">
        <v>1293300003071</v>
      </c>
      <c r="M1688">
        <v>20250514</v>
      </c>
      <c r="N1688" t="s">
        <v>325</v>
      </c>
      <c r="Q1688" t="s">
        <v>47</v>
      </c>
      <c r="R1688">
        <v>185000</v>
      </c>
      <c r="S1688">
        <v>0</v>
      </c>
      <c r="T1688">
        <v>4400202</v>
      </c>
      <c r="U1688" t="s">
        <v>1818</v>
      </c>
      <c r="V1688" t="s">
        <v>1819</v>
      </c>
      <c r="W1688" t="s">
        <v>187</v>
      </c>
      <c r="Y1688" t="s">
        <v>51</v>
      </c>
      <c r="Z1688">
        <v>1355</v>
      </c>
      <c r="AH1688">
        <v>0</v>
      </c>
      <c r="AI1688">
        <v>202505</v>
      </c>
      <c r="AJ1688" t="s">
        <v>119</v>
      </c>
      <c r="AK1688">
        <v>1</v>
      </c>
      <c r="AL1688">
        <v>1</v>
      </c>
      <c r="AO1688">
        <v>0</v>
      </c>
      <c r="AP1688" t="s">
        <v>3015</v>
      </c>
      <c r="AQ1688" t="s">
        <v>3044</v>
      </c>
      <c r="AR1688" t="s">
        <v>3045</v>
      </c>
      <c r="AS1688" t="s">
        <v>3046</v>
      </c>
      <c r="AU1688" t="s">
        <v>3046</v>
      </c>
    </row>
    <row r="1689" spans="1:47" x14ac:dyDescent="0.35">
      <c r="A1689">
        <v>348006</v>
      </c>
      <c r="B1689" t="s">
        <v>353</v>
      </c>
      <c r="C1689" t="s">
        <v>354</v>
      </c>
      <c r="D1689" s="2">
        <v>45792</v>
      </c>
      <c r="E1689">
        <v>53850</v>
      </c>
      <c r="F1689">
        <v>140</v>
      </c>
      <c r="G1689" t="s">
        <v>322</v>
      </c>
      <c r="H1689" t="s">
        <v>167</v>
      </c>
      <c r="I1689" t="s">
        <v>45</v>
      </c>
      <c r="K1689">
        <v>202505147979180</v>
      </c>
      <c r="L1689">
        <v>1403300003116</v>
      </c>
      <c r="M1689">
        <v>20250514</v>
      </c>
      <c r="N1689" t="s">
        <v>168</v>
      </c>
      <c r="P1689" t="s">
        <v>1270</v>
      </c>
      <c r="Q1689" t="s">
        <v>47</v>
      </c>
      <c r="R1689">
        <v>18942.89</v>
      </c>
      <c r="S1689">
        <v>0</v>
      </c>
      <c r="T1689">
        <v>4090758</v>
      </c>
      <c r="U1689" t="s">
        <v>1273</v>
      </c>
      <c r="V1689" t="s">
        <v>1274</v>
      </c>
      <c r="W1689" t="s">
        <v>187</v>
      </c>
      <c r="Y1689" t="s">
        <v>51</v>
      </c>
      <c r="Z1689">
        <v>1403</v>
      </c>
      <c r="AH1689">
        <v>0</v>
      </c>
      <c r="AI1689">
        <v>202505</v>
      </c>
      <c r="AJ1689" t="s">
        <v>86</v>
      </c>
      <c r="AK1689">
        <v>1</v>
      </c>
      <c r="AL1689">
        <v>1</v>
      </c>
      <c r="AO1689">
        <v>0</v>
      </c>
      <c r="AP1689" t="s">
        <v>3015</v>
      </c>
      <c r="AQ1689" t="s">
        <v>3044</v>
      </c>
      <c r="AR1689" t="s">
        <v>3045</v>
      </c>
      <c r="AS1689" t="s">
        <v>3046</v>
      </c>
      <c r="AU1689" t="s">
        <v>3046</v>
      </c>
    </row>
    <row r="1690" spans="1:47" x14ac:dyDescent="0.35">
      <c r="A1690">
        <v>348005</v>
      </c>
      <c r="B1690" t="s">
        <v>172</v>
      </c>
      <c r="C1690" t="s">
        <v>173</v>
      </c>
      <c r="D1690" s="2">
        <v>45792</v>
      </c>
      <c r="E1690">
        <v>53850</v>
      </c>
      <c r="F1690">
        <v>284</v>
      </c>
      <c r="G1690" t="s">
        <v>184</v>
      </c>
      <c r="H1690" t="s">
        <v>167</v>
      </c>
      <c r="I1690" t="s">
        <v>45</v>
      </c>
      <c r="K1690">
        <v>202505147980387</v>
      </c>
      <c r="L1690">
        <v>2843300000683</v>
      </c>
      <c r="M1690">
        <v>20250514</v>
      </c>
      <c r="N1690" t="s">
        <v>231</v>
      </c>
      <c r="Q1690" t="s">
        <v>47</v>
      </c>
      <c r="R1690">
        <v>110000</v>
      </c>
      <c r="S1690">
        <v>0</v>
      </c>
      <c r="T1690">
        <v>1669888</v>
      </c>
      <c r="U1690" t="s">
        <v>1820</v>
      </c>
      <c r="V1690" t="s">
        <v>1821</v>
      </c>
      <c r="W1690" t="s">
        <v>187</v>
      </c>
      <c r="Y1690" t="s">
        <v>51</v>
      </c>
      <c r="Z1690">
        <v>1858</v>
      </c>
      <c r="AH1690">
        <v>0</v>
      </c>
      <c r="AI1690">
        <v>202505</v>
      </c>
      <c r="AJ1690" t="s">
        <v>52</v>
      </c>
      <c r="AK1690">
        <v>0</v>
      </c>
      <c r="AL1690">
        <v>1</v>
      </c>
      <c r="AO1690">
        <v>0</v>
      </c>
      <c r="AP1690" t="s">
        <v>3015</v>
      </c>
      <c r="AQ1690" t="s">
        <v>3044</v>
      </c>
      <c r="AR1690" t="s">
        <v>3045</v>
      </c>
      <c r="AS1690" t="s">
        <v>3046</v>
      </c>
      <c r="AU1690" t="s">
        <v>3046</v>
      </c>
    </row>
    <row r="1691" spans="1:47" x14ac:dyDescent="0.35">
      <c r="A1691">
        <v>348004</v>
      </c>
      <c r="B1691" t="s">
        <v>178</v>
      </c>
      <c r="C1691" t="s">
        <v>179</v>
      </c>
      <c r="D1691" s="2">
        <v>45792</v>
      </c>
      <c r="E1691">
        <v>53850</v>
      </c>
      <c r="F1691">
        <v>286</v>
      </c>
      <c r="G1691" t="s">
        <v>408</v>
      </c>
      <c r="H1691" t="s">
        <v>167</v>
      </c>
      <c r="I1691" t="s">
        <v>45</v>
      </c>
      <c r="K1691" t="s">
        <v>1822</v>
      </c>
      <c r="L1691">
        <v>2863300002062</v>
      </c>
      <c r="M1691">
        <v>20250514</v>
      </c>
      <c r="N1691" t="s">
        <v>3136</v>
      </c>
      <c r="Q1691" t="s">
        <v>170</v>
      </c>
      <c r="R1691">
        <v>1841.29</v>
      </c>
      <c r="S1691">
        <v>0</v>
      </c>
      <c r="T1691">
        <v>1656116</v>
      </c>
      <c r="U1691" t="s">
        <v>1823</v>
      </c>
      <c r="V1691" t="s">
        <v>1824</v>
      </c>
      <c r="W1691" t="s">
        <v>187</v>
      </c>
      <c r="Y1691" t="s">
        <v>51</v>
      </c>
      <c r="Z1691">
        <v>1764</v>
      </c>
      <c r="AH1691">
        <v>0</v>
      </c>
      <c r="AI1691">
        <v>202505</v>
      </c>
      <c r="AJ1691" t="s">
        <v>52</v>
      </c>
      <c r="AK1691">
        <v>0</v>
      </c>
      <c r="AL1691">
        <v>1</v>
      </c>
      <c r="AO1691">
        <v>1</v>
      </c>
      <c r="AP1691" t="s">
        <v>3015</v>
      </c>
      <c r="AQ1691" t="s">
        <v>3044</v>
      </c>
      <c r="AR1691" t="s">
        <v>3045</v>
      </c>
      <c r="AS1691" t="s">
        <v>3046</v>
      </c>
      <c r="AU1691" t="s">
        <v>3046</v>
      </c>
    </row>
    <row r="1692" spans="1:47" x14ac:dyDescent="0.35">
      <c r="A1692">
        <v>348003</v>
      </c>
      <c r="B1692" t="s">
        <v>178</v>
      </c>
      <c r="C1692" t="s">
        <v>179</v>
      </c>
      <c r="D1692" s="2">
        <v>45792</v>
      </c>
      <c r="E1692">
        <v>53850</v>
      </c>
      <c r="F1692">
        <v>103</v>
      </c>
      <c r="G1692" t="s">
        <v>80</v>
      </c>
      <c r="H1692" t="s">
        <v>167</v>
      </c>
      <c r="I1692" t="s">
        <v>45</v>
      </c>
      <c r="K1692">
        <v>202505147979921</v>
      </c>
      <c r="L1692">
        <v>1033306985959</v>
      </c>
      <c r="M1692">
        <v>20250514</v>
      </c>
      <c r="N1692" t="s">
        <v>344</v>
      </c>
      <c r="Q1692" t="s">
        <v>170</v>
      </c>
      <c r="R1692">
        <v>270000</v>
      </c>
      <c r="S1692">
        <v>0</v>
      </c>
      <c r="T1692">
        <v>3740317</v>
      </c>
      <c r="U1692" t="s">
        <v>1747</v>
      </c>
      <c r="V1692" t="s">
        <v>1748</v>
      </c>
      <c r="W1692" t="s">
        <v>187</v>
      </c>
      <c r="Y1692" t="s">
        <v>51</v>
      </c>
      <c r="AH1692">
        <v>0</v>
      </c>
      <c r="AI1692">
        <v>202505</v>
      </c>
      <c r="AJ1692" t="s">
        <v>86</v>
      </c>
      <c r="AK1692">
        <v>1</v>
      </c>
      <c r="AL1692">
        <v>1</v>
      </c>
      <c r="AO1692">
        <v>0</v>
      </c>
      <c r="AP1692" t="s">
        <v>3015</v>
      </c>
      <c r="AQ1692" t="s">
        <v>3044</v>
      </c>
      <c r="AR1692" t="s">
        <v>3045</v>
      </c>
      <c r="AS1692" t="s">
        <v>3046</v>
      </c>
      <c r="AU1692" t="s">
        <v>3046</v>
      </c>
    </row>
    <row r="1693" spans="1:47" x14ac:dyDescent="0.35">
      <c r="A1693">
        <v>348002</v>
      </c>
      <c r="B1693" t="s">
        <v>178</v>
      </c>
      <c r="C1693" t="s">
        <v>179</v>
      </c>
      <c r="D1693" s="2">
        <v>45792</v>
      </c>
      <c r="E1693">
        <v>53850</v>
      </c>
      <c r="F1693">
        <v>116</v>
      </c>
      <c r="G1693" t="s">
        <v>126</v>
      </c>
      <c r="H1693" t="s">
        <v>167</v>
      </c>
      <c r="I1693" t="s">
        <v>45</v>
      </c>
      <c r="K1693">
        <v>202505147978940</v>
      </c>
      <c r="L1693">
        <v>2173300010307</v>
      </c>
      <c r="M1693">
        <v>20250514</v>
      </c>
      <c r="N1693" t="s">
        <v>46</v>
      </c>
      <c r="P1693" t="s">
        <v>51</v>
      </c>
      <c r="Q1693" t="s">
        <v>47</v>
      </c>
      <c r="R1693">
        <v>3000000</v>
      </c>
      <c r="S1693">
        <v>0</v>
      </c>
      <c r="T1693">
        <v>4434879</v>
      </c>
      <c r="U1693">
        <v>1595620061</v>
      </c>
      <c r="V1693" t="s">
        <v>1443</v>
      </c>
      <c r="W1693" t="s">
        <v>49</v>
      </c>
      <c r="X1693" t="s">
        <v>1444</v>
      </c>
      <c r="Y1693" t="s">
        <v>51</v>
      </c>
      <c r="Z1693">
        <v>1696</v>
      </c>
      <c r="AH1693">
        <v>0</v>
      </c>
      <c r="AI1693">
        <v>202505</v>
      </c>
      <c r="AJ1693" t="s">
        <v>86</v>
      </c>
      <c r="AK1693">
        <v>1</v>
      </c>
      <c r="AL1693">
        <v>1</v>
      </c>
      <c r="AO1693">
        <v>0</v>
      </c>
      <c r="AP1693" t="s">
        <v>3015</v>
      </c>
      <c r="AQ1693" t="s">
        <v>3012</v>
      </c>
      <c r="AR1693" t="s">
        <v>3016</v>
      </c>
      <c r="AT1693" t="s">
        <v>3017</v>
      </c>
      <c r="AU1693" t="s">
        <v>3018</v>
      </c>
    </row>
    <row r="1694" spans="1:47" x14ac:dyDescent="0.35">
      <c r="A1694">
        <v>348001</v>
      </c>
      <c r="B1694" t="s">
        <v>164</v>
      </c>
      <c r="C1694" t="s">
        <v>165</v>
      </c>
      <c r="D1694" s="2">
        <v>45792</v>
      </c>
      <c r="E1694">
        <v>53850</v>
      </c>
      <c r="F1694">
        <v>271</v>
      </c>
      <c r="G1694" t="s">
        <v>275</v>
      </c>
      <c r="H1694" t="s">
        <v>167</v>
      </c>
      <c r="I1694" t="s">
        <v>45</v>
      </c>
      <c r="K1694">
        <v>202505147979176</v>
      </c>
      <c r="L1694">
        <v>2713300010112</v>
      </c>
      <c r="M1694">
        <v>20250514</v>
      </c>
      <c r="N1694" t="s">
        <v>168</v>
      </c>
      <c r="P1694" t="s">
        <v>435</v>
      </c>
      <c r="Q1694" t="s">
        <v>47</v>
      </c>
      <c r="R1694">
        <v>5000</v>
      </c>
      <c r="S1694">
        <v>0</v>
      </c>
      <c r="T1694">
        <v>1611557</v>
      </c>
      <c r="U1694" t="s">
        <v>890</v>
      </c>
      <c r="V1694" t="s">
        <v>891</v>
      </c>
      <c r="W1694" t="s">
        <v>69</v>
      </c>
      <c r="X1694" t="s">
        <v>402</v>
      </c>
      <c r="Y1694" t="s">
        <v>51</v>
      </c>
      <c r="Z1694">
        <v>1850</v>
      </c>
      <c r="AH1694">
        <v>0</v>
      </c>
      <c r="AI1694">
        <v>202505</v>
      </c>
      <c r="AJ1694" t="s">
        <v>52</v>
      </c>
      <c r="AK1694">
        <v>0</v>
      </c>
      <c r="AL1694">
        <v>1</v>
      </c>
      <c r="AO1694">
        <v>0</v>
      </c>
      <c r="AP1694" t="s">
        <v>3015</v>
      </c>
      <c r="AQ1694" t="s">
        <v>3021</v>
      </c>
      <c r="AR1694" t="s">
        <v>3022</v>
      </c>
      <c r="AT1694" t="s">
        <v>3017</v>
      </c>
      <c r="AU1694" t="s">
        <v>3014</v>
      </c>
    </row>
    <row r="1695" spans="1:47" x14ac:dyDescent="0.35">
      <c r="A1695">
        <v>348000</v>
      </c>
      <c r="B1695" t="s">
        <v>178</v>
      </c>
      <c r="C1695" t="s">
        <v>179</v>
      </c>
      <c r="D1695" s="2">
        <v>45792</v>
      </c>
      <c r="E1695">
        <v>53850</v>
      </c>
      <c r="F1695">
        <v>161</v>
      </c>
      <c r="G1695" t="s">
        <v>111</v>
      </c>
      <c r="H1695" t="s">
        <v>167</v>
      </c>
      <c r="I1695" t="s">
        <v>45</v>
      </c>
      <c r="K1695">
        <v>202505147978905</v>
      </c>
      <c r="L1695">
        <v>1613300029174</v>
      </c>
      <c r="M1695">
        <v>20250514</v>
      </c>
      <c r="N1695" t="s">
        <v>46</v>
      </c>
      <c r="P1695" t="s">
        <v>51</v>
      </c>
      <c r="Q1695" t="s">
        <v>47</v>
      </c>
      <c r="R1695">
        <v>325570.92</v>
      </c>
      <c r="S1695">
        <v>0</v>
      </c>
      <c r="T1695">
        <v>4017790</v>
      </c>
      <c r="U1695" t="s">
        <v>1825</v>
      </c>
      <c r="V1695" t="s">
        <v>1826</v>
      </c>
      <c r="W1695" t="s">
        <v>187</v>
      </c>
      <c r="Y1695" t="s">
        <v>51</v>
      </c>
      <c r="Z1695">
        <v>1662</v>
      </c>
      <c r="AH1695">
        <v>0</v>
      </c>
      <c r="AI1695">
        <v>202505</v>
      </c>
      <c r="AJ1695" t="s">
        <v>52</v>
      </c>
      <c r="AK1695">
        <v>0</v>
      </c>
      <c r="AL1695">
        <v>1</v>
      </c>
      <c r="AO1695">
        <v>0</v>
      </c>
      <c r="AP1695" t="s">
        <v>3015</v>
      </c>
      <c r="AQ1695" t="s">
        <v>3044</v>
      </c>
      <c r="AR1695" t="s">
        <v>3045</v>
      </c>
      <c r="AS1695" t="s">
        <v>3046</v>
      </c>
      <c r="AU1695" t="s">
        <v>3046</v>
      </c>
    </row>
    <row r="1696" spans="1:47" x14ac:dyDescent="0.35">
      <c r="A1696">
        <v>347999</v>
      </c>
      <c r="B1696" t="s">
        <v>214</v>
      </c>
      <c r="C1696" t="s">
        <v>215</v>
      </c>
      <c r="D1696" s="2">
        <v>45792</v>
      </c>
      <c r="E1696">
        <v>53850</v>
      </c>
      <c r="F1696">
        <v>140</v>
      </c>
      <c r="G1696" t="s">
        <v>322</v>
      </c>
      <c r="H1696" t="s">
        <v>167</v>
      </c>
      <c r="I1696" t="s">
        <v>45</v>
      </c>
      <c r="K1696">
        <v>202505147979180</v>
      </c>
      <c r="L1696">
        <v>1403300003116</v>
      </c>
      <c r="M1696">
        <v>20250514</v>
      </c>
      <c r="N1696" t="s">
        <v>168</v>
      </c>
      <c r="P1696" t="s">
        <v>1270</v>
      </c>
      <c r="Q1696" t="s">
        <v>47</v>
      </c>
      <c r="R1696">
        <v>18942.89</v>
      </c>
      <c r="S1696">
        <v>0</v>
      </c>
      <c r="T1696">
        <v>4090758</v>
      </c>
      <c r="U1696" t="s">
        <v>1273</v>
      </c>
      <c r="V1696" t="s">
        <v>1274</v>
      </c>
      <c r="W1696" t="s">
        <v>187</v>
      </c>
      <c r="Y1696" t="s">
        <v>51</v>
      </c>
      <c r="Z1696">
        <v>1403</v>
      </c>
      <c r="AH1696">
        <v>0</v>
      </c>
      <c r="AI1696">
        <v>202505</v>
      </c>
      <c r="AJ1696" t="s">
        <v>86</v>
      </c>
      <c r="AK1696">
        <v>1</v>
      </c>
      <c r="AL1696">
        <v>1</v>
      </c>
      <c r="AO1696">
        <v>0</v>
      </c>
      <c r="AP1696" t="s">
        <v>3015</v>
      </c>
      <c r="AQ1696" t="s">
        <v>3044</v>
      </c>
      <c r="AR1696" t="s">
        <v>3045</v>
      </c>
      <c r="AS1696" t="s">
        <v>3046</v>
      </c>
      <c r="AU1696" t="s">
        <v>3046</v>
      </c>
    </row>
    <row r="1697" spans="1:47" x14ac:dyDescent="0.35">
      <c r="A1697">
        <v>347998</v>
      </c>
      <c r="B1697" t="s">
        <v>164</v>
      </c>
      <c r="C1697" t="s">
        <v>165</v>
      </c>
      <c r="D1697" s="2">
        <v>45792</v>
      </c>
      <c r="E1697">
        <v>53850</v>
      </c>
      <c r="F1697">
        <v>149</v>
      </c>
      <c r="G1697" t="s">
        <v>449</v>
      </c>
      <c r="H1697" t="s">
        <v>167</v>
      </c>
      <c r="I1697" t="s">
        <v>45</v>
      </c>
      <c r="K1697" t="s">
        <v>1827</v>
      </c>
      <c r="L1697">
        <v>1493300663564</v>
      </c>
      <c r="M1697">
        <v>20250514</v>
      </c>
      <c r="N1697" t="s">
        <v>168</v>
      </c>
      <c r="P1697" t="s">
        <v>255</v>
      </c>
      <c r="Q1697" t="s">
        <v>47</v>
      </c>
      <c r="R1697">
        <v>3040</v>
      </c>
      <c r="S1697">
        <v>0</v>
      </c>
      <c r="T1697">
        <v>4851736</v>
      </c>
      <c r="U1697">
        <v>8243781211</v>
      </c>
      <c r="V1697" t="s">
        <v>1240</v>
      </c>
      <c r="W1697" t="s">
        <v>49</v>
      </c>
      <c r="X1697" t="s">
        <v>451</v>
      </c>
      <c r="Y1697" t="s">
        <v>51</v>
      </c>
      <c r="Z1697">
        <v>1256</v>
      </c>
      <c r="AH1697">
        <v>0</v>
      </c>
      <c r="AI1697">
        <v>202505</v>
      </c>
      <c r="AJ1697" t="s">
        <v>56</v>
      </c>
      <c r="AK1697">
        <v>0</v>
      </c>
      <c r="AL1697">
        <v>1</v>
      </c>
      <c r="AO1697">
        <v>0</v>
      </c>
      <c r="AP1697" t="s">
        <v>3015</v>
      </c>
      <c r="AQ1697" t="s">
        <v>3012</v>
      </c>
      <c r="AR1697" t="s">
        <v>3016</v>
      </c>
      <c r="AT1697" t="s">
        <v>3017</v>
      </c>
      <c r="AU1697" t="s">
        <v>3018</v>
      </c>
    </row>
    <row r="1698" spans="1:47" x14ac:dyDescent="0.35">
      <c r="A1698">
        <v>347997</v>
      </c>
      <c r="B1698" t="s">
        <v>193</v>
      </c>
      <c r="C1698" t="s">
        <v>194</v>
      </c>
      <c r="D1698" s="2">
        <v>45792</v>
      </c>
      <c r="E1698">
        <v>53850</v>
      </c>
      <c r="F1698">
        <v>171</v>
      </c>
      <c r="G1698" t="s">
        <v>198</v>
      </c>
      <c r="H1698" t="s">
        <v>167</v>
      </c>
      <c r="I1698" t="s">
        <v>45</v>
      </c>
      <c r="K1698" t="s">
        <v>1800</v>
      </c>
      <c r="L1698">
        <v>1713302214147</v>
      </c>
      <c r="M1698">
        <v>20250514</v>
      </c>
      <c r="N1698" t="s">
        <v>195</v>
      </c>
      <c r="Q1698" t="s">
        <v>47</v>
      </c>
      <c r="R1698">
        <v>164995</v>
      </c>
      <c r="S1698">
        <v>164995</v>
      </c>
      <c r="T1698">
        <v>4199319</v>
      </c>
      <c r="U1698">
        <v>6037810725</v>
      </c>
      <c r="V1698" t="s">
        <v>1144</v>
      </c>
      <c r="W1698" t="s">
        <v>49</v>
      </c>
      <c r="X1698" t="s">
        <v>200</v>
      </c>
      <c r="Y1698" t="s">
        <v>51</v>
      </c>
      <c r="Z1698">
        <v>1903</v>
      </c>
      <c r="AH1698">
        <v>0</v>
      </c>
      <c r="AI1698">
        <v>202505</v>
      </c>
      <c r="AJ1698" t="s">
        <v>86</v>
      </c>
      <c r="AK1698">
        <v>1</v>
      </c>
      <c r="AL1698">
        <v>1</v>
      </c>
      <c r="AM1698">
        <v>4199319</v>
      </c>
      <c r="AN1698">
        <v>1</v>
      </c>
      <c r="AO1698">
        <v>0</v>
      </c>
      <c r="AP1698" t="s">
        <v>3015</v>
      </c>
      <c r="AQ1698" t="s">
        <v>3012</v>
      </c>
      <c r="AR1698" t="s">
        <v>3016</v>
      </c>
      <c r="AT1698" t="s">
        <v>3017</v>
      </c>
      <c r="AU1698" t="s">
        <v>3018</v>
      </c>
    </row>
    <row r="1699" spans="1:47" x14ac:dyDescent="0.35">
      <c r="A1699">
        <v>347996</v>
      </c>
      <c r="B1699" t="s">
        <v>172</v>
      </c>
      <c r="C1699" t="s">
        <v>173</v>
      </c>
      <c r="D1699" s="2">
        <v>45792</v>
      </c>
      <c r="E1699">
        <v>53850</v>
      </c>
      <c r="F1699">
        <v>116</v>
      </c>
      <c r="G1699" t="s">
        <v>126</v>
      </c>
      <c r="H1699" t="s">
        <v>167</v>
      </c>
      <c r="I1699" t="s">
        <v>45</v>
      </c>
      <c r="K1699">
        <v>202505147980033</v>
      </c>
      <c r="L1699">
        <v>1163307620997</v>
      </c>
      <c r="M1699">
        <v>20250514</v>
      </c>
      <c r="N1699" t="s">
        <v>231</v>
      </c>
      <c r="Q1699" t="s">
        <v>47</v>
      </c>
      <c r="R1699">
        <v>150000</v>
      </c>
      <c r="S1699">
        <v>0</v>
      </c>
      <c r="T1699">
        <v>4925190</v>
      </c>
      <c r="U1699" t="s">
        <v>1828</v>
      </c>
      <c r="V1699" t="s">
        <v>1829</v>
      </c>
      <c r="W1699" t="s">
        <v>187</v>
      </c>
      <c r="Y1699" t="s">
        <v>51</v>
      </c>
      <c r="Z1699">
        <v>808</v>
      </c>
      <c r="AH1699">
        <v>0</v>
      </c>
      <c r="AI1699">
        <v>202505</v>
      </c>
      <c r="AJ1699" t="s">
        <v>86</v>
      </c>
      <c r="AK1699">
        <v>1</v>
      </c>
      <c r="AL1699">
        <v>1</v>
      </c>
      <c r="AO1699">
        <v>0</v>
      </c>
      <c r="AP1699" t="s">
        <v>3015</v>
      </c>
      <c r="AQ1699" t="s">
        <v>3044</v>
      </c>
      <c r="AR1699" t="s">
        <v>3045</v>
      </c>
      <c r="AS1699" t="s">
        <v>3046</v>
      </c>
      <c r="AU1699" t="s">
        <v>3046</v>
      </c>
    </row>
    <row r="1700" spans="1:47" x14ac:dyDescent="0.35">
      <c r="A1700">
        <v>347995</v>
      </c>
      <c r="B1700" t="s">
        <v>164</v>
      </c>
      <c r="C1700" t="s">
        <v>165</v>
      </c>
      <c r="D1700" s="2">
        <v>45792</v>
      </c>
      <c r="E1700">
        <v>53850</v>
      </c>
      <c r="F1700">
        <v>116</v>
      </c>
      <c r="G1700" t="s">
        <v>126</v>
      </c>
      <c r="H1700" t="s">
        <v>167</v>
      </c>
      <c r="I1700" t="s">
        <v>45</v>
      </c>
      <c r="K1700">
        <v>202505147979166</v>
      </c>
      <c r="L1700">
        <v>1161208800014</v>
      </c>
      <c r="M1700">
        <v>20250514</v>
      </c>
      <c r="N1700" t="s">
        <v>168</v>
      </c>
      <c r="P1700" t="s">
        <v>255</v>
      </c>
      <c r="Q1700" t="s">
        <v>170</v>
      </c>
      <c r="R1700">
        <v>11840.06</v>
      </c>
      <c r="S1700">
        <v>0</v>
      </c>
      <c r="T1700">
        <v>4871871</v>
      </c>
      <c r="U1700">
        <v>2516140726</v>
      </c>
      <c r="V1700" t="s">
        <v>1304</v>
      </c>
      <c r="W1700" t="s">
        <v>49</v>
      </c>
      <c r="X1700" t="s">
        <v>59</v>
      </c>
      <c r="Y1700" t="s">
        <v>51</v>
      </c>
      <c r="Z1700">
        <v>1903</v>
      </c>
      <c r="AH1700">
        <v>0</v>
      </c>
      <c r="AI1700">
        <v>202505</v>
      </c>
      <c r="AJ1700" t="s">
        <v>56</v>
      </c>
      <c r="AK1700">
        <v>0</v>
      </c>
      <c r="AL1700">
        <v>1</v>
      </c>
      <c r="AO1700">
        <v>0</v>
      </c>
      <c r="AP1700" t="s">
        <v>3015</v>
      </c>
      <c r="AQ1700" t="s">
        <v>3012</v>
      </c>
      <c r="AR1700" t="s">
        <v>3016</v>
      </c>
      <c r="AT1700" t="s">
        <v>3017</v>
      </c>
      <c r="AU1700" t="s">
        <v>3018</v>
      </c>
    </row>
    <row r="1701" spans="1:47" x14ac:dyDescent="0.35">
      <c r="A1701">
        <v>347994</v>
      </c>
      <c r="B1701" t="s">
        <v>172</v>
      </c>
      <c r="C1701" t="s">
        <v>173</v>
      </c>
      <c r="D1701" s="2">
        <v>45792</v>
      </c>
      <c r="E1701">
        <v>53850</v>
      </c>
      <c r="F1701">
        <v>171</v>
      </c>
      <c r="G1701" t="s">
        <v>198</v>
      </c>
      <c r="H1701" t="s">
        <v>167</v>
      </c>
      <c r="I1701" t="s">
        <v>45</v>
      </c>
      <c r="K1701" t="s">
        <v>1800</v>
      </c>
      <c r="L1701">
        <v>1713305728950</v>
      </c>
      <c r="M1701">
        <v>20250514</v>
      </c>
      <c r="N1701" t="s">
        <v>195</v>
      </c>
      <c r="Q1701" t="s">
        <v>47</v>
      </c>
      <c r="R1701">
        <v>386588.7</v>
      </c>
      <c r="S1701">
        <v>386588.7</v>
      </c>
      <c r="T1701">
        <v>572895</v>
      </c>
      <c r="U1701">
        <v>4161600723</v>
      </c>
      <c r="V1701" t="s">
        <v>199</v>
      </c>
      <c r="W1701" t="s">
        <v>49</v>
      </c>
      <c r="X1701" t="s">
        <v>200</v>
      </c>
      <c r="Y1701" t="s">
        <v>51</v>
      </c>
      <c r="Z1701">
        <v>1903</v>
      </c>
      <c r="AH1701">
        <v>0</v>
      </c>
      <c r="AI1701">
        <v>202505</v>
      </c>
      <c r="AJ1701" t="s">
        <v>86</v>
      </c>
      <c r="AK1701">
        <v>1</v>
      </c>
      <c r="AL1701">
        <v>1</v>
      </c>
      <c r="AM1701">
        <v>572895</v>
      </c>
      <c r="AN1701">
        <v>1</v>
      </c>
      <c r="AO1701">
        <v>0</v>
      </c>
      <c r="AP1701" t="s">
        <v>3015</v>
      </c>
      <c r="AQ1701" t="s">
        <v>3012</v>
      </c>
      <c r="AR1701" t="s">
        <v>3016</v>
      </c>
      <c r="AT1701" t="s">
        <v>3017</v>
      </c>
      <c r="AU1701" t="s">
        <v>3018</v>
      </c>
    </row>
    <row r="1702" spans="1:47" x14ac:dyDescent="0.35">
      <c r="A1702">
        <v>347993</v>
      </c>
      <c r="B1702" t="s">
        <v>193</v>
      </c>
      <c r="C1702" t="s">
        <v>194</v>
      </c>
      <c r="D1702" s="2">
        <v>45792</v>
      </c>
      <c r="E1702">
        <v>53850</v>
      </c>
      <c r="F1702">
        <v>128</v>
      </c>
      <c r="G1702" t="s">
        <v>94</v>
      </c>
      <c r="H1702" t="s">
        <v>167</v>
      </c>
      <c r="I1702" t="s">
        <v>45</v>
      </c>
      <c r="K1702" t="s">
        <v>1800</v>
      </c>
      <c r="L1702">
        <v>1283300003941</v>
      </c>
      <c r="M1702">
        <v>20250514</v>
      </c>
      <c r="N1702" t="s">
        <v>195</v>
      </c>
      <c r="Q1702" t="s">
        <v>47</v>
      </c>
      <c r="R1702">
        <v>44000</v>
      </c>
      <c r="S1702">
        <v>44000</v>
      </c>
      <c r="T1702">
        <v>4916499</v>
      </c>
      <c r="U1702" t="s">
        <v>382</v>
      </c>
      <c r="V1702" t="s">
        <v>383</v>
      </c>
      <c r="W1702" t="s">
        <v>69</v>
      </c>
      <c r="X1702" t="s">
        <v>55</v>
      </c>
      <c r="Y1702" t="s">
        <v>51</v>
      </c>
      <c r="Z1702">
        <v>1166</v>
      </c>
      <c r="AH1702">
        <v>0</v>
      </c>
      <c r="AI1702">
        <v>202505</v>
      </c>
      <c r="AJ1702" t="s">
        <v>56</v>
      </c>
      <c r="AK1702">
        <v>0</v>
      </c>
      <c r="AL1702">
        <v>1</v>
      </c>
      <c r="AM1702">
        <v>4916499</v>
      </c>
      <c r="AN1702">
        <v>1</v>
      </c>
      <c r="AO1702">
        <v>0</v>
      </c>
      <c r="AP1702" t="s">
        <v>3015</v>
      </c>
      <c r="AQ1702" t="s">
        <v>3021</v>
      </c>
      <c r="AR1702" t="s">
        <v>3022</v>
      </c>
      <c r="AT1702" t="s">
        <v>3017</v>
      </c>
      <c r="AU1702" t="s">
        <v>3014</v>
      </c>
    </row>
    <row r="1703" spans="1:47" x14ac:dyDescent="0.35">
      <c r="A1703">
        <v>347992</v>
      </c>
      <c r="B1703" t="s">
        <v>178</v>
      </c>
      <c r="C1703" t="s">
        <v>179</v>
      </c>
      <c r="D1703" s="2">
        <v>45792</v>
      </c>
      <c r="E1703">
        <v>53850</v>
      </c>
      <c r="F1703">
        <v>109</v>
      </c>
      <c r="G1703" t="s">
        <v>89</v>
      </c>
      <c r="H1703" t="s">
        <v>167</v>
      </c>
      <c r="I1703" t="s">
        <v>45</v>
      </c>
      <c r="K1703">
        <v>202505147979977</v>
      </c>
      <c r="L1703">
        <v>1723306283969</v>
      </c>
      <c r="M1703">
        <v>20250514</v>
      </c>
      <c r="N1703" t="s">
        <v>3136</v>
      </c>
      <c r="Q1703" t="s">
        <v>170</v>
      </c>
      <c r="R1703">
        <v>42874.68</v>
      </c>
      <c r="S1703">
        <v>0</v>
      </c>
      <c r="T1703">
        <v>4972749</v>
      </c>
      <c r="U1703" t="s">
        <v>1830</v>
      </c>
      <c r="V1703" t="s">
        <v>1831</v>
      </c>
      <c r="W1703" t="s">
        <v>187</v>
      </c>
      <c r="Y1703" t="s">
        <v>51</v>
      </c>
      <c r="Z1703">
        <v>494</v>
      </c>
      <c r="AH1703">
        <v>0</v>
      </c>
      <c r="AI1703">
        <v>202505</v>
      </c>
      <c r="AJ1703" t="s">
        <v>86</v>
      </c>
      <c r="AK1703">
        <v>1</v>
      </c>
      <c r="AL1703">
        <v>1</v>
      </c>
      <c r="AO1703">
        <v>1</v>
      </c>
      <c r="AP1703" t="s">
        <v>3015</v>
      </c>
      <c r="AQ1703" t="s">
        <v>3044</v>
      </c>
      <c r="AR1703" t="s">
        <v>3045</v>
      </c>
      <c r="AS1703" t="s">
        <v>3046</v>
      </c>
      <c r="AU1703" t="s">
        <v>3046</v>
      </c>
    </row>
    <row r="1704" spans="1:47" x14ac:dyDescent="0.35">
      <c r="A1704">
        <v>347991</v>
      </c>
      <c r="B1704" t="s">
        <v>178</v>
      </c>
      <c r="C1704" t="s">
        <v>179</v>
      </c>
      <c r="D1704" s="2">
        <v>45791</v>
      </c>
      <c r="E1704">
        <v>53850</v>
      </c>
      <c r="F1704">
        <v>174</v>
      </c>
      <c r="G1704" t="s">
        <v>224</v>
      </c>
      <c r="H1704" t="s">
        <v>167</v>
      </c>
      <c r="I1704" t="s">
        <v>45</v>
      </c>
      <c r="K1704">
        <v>202505147975908</v>
      </c>
      <c r="L1704">
        <v>1743302879825</v>
      </c>
      <c r="M1704">
        <v>20250514</v>
      </c>
      <c r="N1704" t="s">
        <v>1587</v>
      </c>
      <c r="Q1704" t="s">
        <v>47</v>
      </c>
      <c r="R1704">
        <v>156758.56</v>
      </c>
      <c r="S1704">
        <v>0</v>
      </c>
      <c r="T1704">
        <v>4916814</v>
      </c>
      <c r="U1704" t="s">
        <v>1832</v>
      </c>
      <c r="V1704" t="s">
        <v>1833</v>
      </c>
      <c r="W1704" t="s">
        <v>69</v>
      </c>
      <c r="X1704" t="s">
        <v>131</v>
      </c>
      <c r="Y1704" t="s">
        <v>51</v>
      </c>
      <c r="Z1704">
        <v>720</v>
      </c>
      <c r="AH1704">
        <v>0</v>
      </c>
      <c r="AI1704">
        <v>202505</v>
      </c>
      <c r="AJ1704" t="s">
        <v>86</v>
      </c>
      <c r="AK1704">
        <v>1</v>
      </c>
      <c r="AL1704">
        <v>1</v>
      </c>
      <c r="AO1704">
        <v>0</v>
      </c>
      <c r="AP1704" t="s">
        <v>3033</v>
      </c>
      <c r="AQ1704" t="s">
        <v>3021</v>
      </c>
      <c r="AR1704" t="s">
        <v>3054</v>
      </c>
      <c r="AS1704" t="s">
        <v>3055</v>
      </c>
      <c r="AU1704" t="s">
        <v>3055</v>
      </c>
    </row>
    <row r="1705" spans="1:47" x14ac:dyDescent="0.35">
      <c r="A1705">
        <v>347990</v>
      </c>
      <c r="B1705" t="s">
        <v>178</v>
      </c>
      <c r="C1705" t="s">
        <v>179</v>
      </c>
      <c r="D1705" s="2">
        <v>45791</v>
      </c>
      <c r="E1705">
        <v>53850</v>
      </c>
      <c r="F1705">
        <v>102</v>
      </c>
      <c r="G1705" t="s">
        <v>151</v>
      </c>
      <c r="H1705" t="s">
        <v>167</v>
      </c>
      <c r="I1705" t="s">
        <v>45</v>
      </c>
      <c r="K1705">
        <v>202505147975743</v>
      </c>
      <c r="L1705">
        <v>1023302251821</v>
      </c>
      <c r="M1705">
        <v>20250514</v>
      </c>
      <c r="N1705" t="s">
        <v>303</v>
      </c>
      <c r="Q1705" t="s">
        <v>170</v>
      </c>
      <c r="R1705">
        <v>196891</v>
      </c>
      <c r="S1705">
        <v>0</v>
      </c>
      <c r="T1705">
        <v>522069</v>
      </c>
      <c r="U1705" t="s">
        <v>925</v>
      </c>
      <c r="V1705" t="s">
        <v>926</v>
      </c>
      <c r="W1705" t="s">
        <v>342</v>
      </c>
      <c r="X1705" t="s">
        <v>927</v>
      </c>
      <c r="Y1705" t="s">
        <v>51</v>
      </c>
      <c r="Z1705">
        <v>1306</v>
      </c>
      <c r="AH1705">
        <v>0</v>
      </c>
      <c r="AI1705">
        <v>202505</v>
      </c>
      <c r="AJ1705" t="s">
        <v>56</v>
      </c>
      <c r="AK1705">
        <v>0</v>
      </c>
      <c r="AL1705">
        <v>1</v>
      </c>
      <c r="AO1705">
        <v>0</v>
      </c>
      <c r="AP1705" t="s">
        <v>3092</v>
      </c>
      <c r="AQ1705" t="s">
        <v>3060</v>
      </c>
      <c r="AR1705" t="s">
        <v>3093</v>
      </c>
      <c r="AS1705" t="s">
        <v>3055</v>
      </c>
      <c r="AU1705" t="s">
        <v>3055</v>
      </c>
    </row>
    <row r="1706" spans="1:47" x14ac:dyDescent="0.35">
      <c r="A1706">
        <v>347989</v>
      </c>
      <c r="B1706" t="s">
        <v>193</v>
      </c>
      <c r="C1706" t="s">
        <v>194</v>
      </c>
      <c r="D1706" s="2">
        <v>45791</v>
      </c>
      <c r="E1706">
        <v>53850</v>
      </c>
      <c r="F1706">
        <v>286</v>
      </c>
      <c r="G1706" t="s">
        <v>408</v>
      </c>
      <c r="H1706" t="s">
        <v>167</v>
      </c>
      <c r="I1706" t="s">
        <v>45</v>
      </c>
      <c r="K1706">
        <v>202505137976728</v>
      </c>
      <c r="L1706">
        <v>2863300002878</v>
      </c>
      <c r="M1706">
        <v>20250513</v>
      </c>
      <c r="N1706" t="s">
        <v>195</v>
      </c>
      <c r="Q1706" t="s">
        <v>47</v>
      </c>
      <c r="R1706">
        <v>15130</v>
      </c>
      <c r="S1706">
        <v>15130</v>
      </c>
      <c r="T1706">
        <v>1686425</v>
      </c>
      <c r="U1706">
        <v>2629680691</v>
      </c>
      <c r="V1706" t="s">
        <v>644</v>
      </c>
      <c r="W1706" t="s">
        <v>190</v>
      </c>
      <c r="X1706" t="s">
        <v>131</v>
      </c>
      <c r="Y1706" t="s">
        <v>51</v>
      </c>
      <c r="Z1706">
        <v>1767</v>
      </c>
      <c r="AH1706">
        <v>0</v>
      </c>
      <c r="AI1706">
        <v>202505</v>
      </c>
      <c r="AJ1706" t="s">
        <v>52</v>
      </c>
      <c r="AK1706">
        <v>0</v>
      </c>
      <c r="AL1706">
        <v>1</v>
      </c>
      <c r="AO1706">
        <v>0</v>
      </c>
      <c r="AP1706" t="s">
        <v>3033</v>
      </c>
      <c r="AQ1706" t="s">
        <v>3047</v>
      </c>
      <c r="AR1706" t="s">
        <v>3048</v>
      </c>
      <c r="AS1706" t="s">
        <v>3049</v>
      </c>
      <c r="AU1706" t="s">
        <v>3049</v>
      </c>
    </row>
    <row r="1707" spans="1:47" x14ac:dyDescent="0.35">
      <c r="A1707">
        <v>347988</v>
      </c>
      <c r="B1707" t="s">
        <v>193</v>
      </c>
      <c r="C1707" t="s">
        <v>194</v>
      </c>
      <c r="D1707" s="2">
        <v>45791</v>
      </c>
      <c r="E1707">
        <v>53850</v>
      </c>
      <c r="F1707">
        <v>102</v>
      </c>
      <c r="G1707" t="s">
        <v>151</v>
      </c>
      <c r="H1707" t="s">
        <v>167</v>
      </c>
      <c r="I1707" t="s">
        <v>45</v>
      </c>
      <c r="K1707" t="s">
        <v>1834</v>
      </c>
      <c r="L1707">
        <v>1023308722503</v>
      </c>
      <c r="M1707">
        <v>20250513</v>
      </c>
      <c r="N1707" t="s">
        <v>195</v>
      </c>
      <c r="Q1707" t="s">
        <v>47</v>
      </c>
      <c r="R1707">
        <v>44860</v>
      </c>
      <c r="S1707">
        <v>44860</v>
      </c>
      <c r="T1707">
        <v>413650</v>
      </c>
      <c r="U1707">
        <v>3657230722</v>
      </c>
      <c r="V1707" t="s">
        <v>196</v>
      </c>
      <c r="W1707" t="s">
        <v>190</v>
      </c>
      <c r="X1707" t="s">
        <v>197</v>
      </c>
      <c r="Y1707" t="s">
        <v>51</v>
      </c>
      <c r="Z1707">
        <v>1306</v>
      </c>
      <c r="AH1707">
        <v>0</v>
      </c>
      <c r="AI1707">
        <v>202505</v>
      </c>
      <c r="AJ1707" t="s">
        <v>56</v>
      </c>
      <c r="AK1707">
        <v>0</v>
      </c>
      <c r="AL1707">
        <v>1</v>
      </c>
      <c r="AM1707">
        <v>413650</v>
      </c>
      <c r="AN1707">
        <v>1</v>
      </c>
      <c r="AO1707">
        <v>0</v>
      </c>
      <c r="AP1707" t="s">
        <v>3050</v>
      </c>
      <c r="AQ1707" t="s">
        <v>3047</v>
      </c>
      <c r="AR1707" t="s">
        <v>3051</v>
      </c>
      <c r="AS1707" t="s">
        <v>3049</v>
      </c>
      <c r="AU1707" t="s">
        <v>3049</v>
      </c>
    </row>
    <row r="1708" spans="1:47" x14ac:dyDescent="0.35">
      <c r="A1708">
        <v>347987</v>
      </c>
      <c r="B1708" t="s">
        <v>193</v>
      </c>
      <c r="C1708" t="s">
        <v>194</v>
      </c>
      <c r="D1708" s="2">
        <v>45791</v>
      </c>
      <c r="E1708">
        <v>53850</v>
      </c>
      <c r="F1708">
        <v>171</v>
      </c>
      <c r="G1708" t="s">
        <v>198</v>
      </c>
      <c r="H1708" t="s">
        <v>167</v>
      </c>
      <c r="I1708" t="s">
        <v>45</v>
      </c>
      <c r="K1708" t="s">
        <v>1834</v>
      </c>
      <c r="L1708">
        <v>1713305728950</v>
      </c>
      <c r="M1708">
        <v>20250513</v>
      </c>
      <c r="N1708" t="s">
        <v>195</v>
      </c>
      <c r="Q1708" t="s">
        <v>47</v>
      </c>
      <c r="R1708">
        <v>201900</v>
      </c>
      <c r="S1708">
        <v>201900</v>
      </c>
      <c r="T1708">
        <v>572895</v>
      </c>
      <c r="U1708">
        <v>4161600723</v>
      </c>
      <c r="V1708" t="s">
        <v>199</v>
      </c>
      <c r="W1708" t="s">
        <v>49</v>
      </c>
      <c r="X1708" t="s">
        <v>200</v>
      </c>
      <c r="Y1708" t="s">
        <v>51</v>
      </c>
      <c r="Z1708">
        <v>1903</v>
      </c>
      <c r="AH1708">
        <v>0</v>
      </c>
      <c r="AI1708">
        <v>202505</v>
      </c>
      <c r="AJ1708" t="s">
        <v>86</v>
      </c>
      <c r="AK1708">
        <v>1</v>
      </c>
      <c r="AL1708">
        <v>1</v>
      </c>
      <c r="AM1708">
        <v>572895</v>
      </c>
      <c r="AN1708">
        <v>1</v>
      </c>
      <c r="AO1708">
        <v>0</v>
      </c>
      <c r="AP1708" t="s">
        <v>3015</v>
      </c>
      <c r="AQ1708" t="s">
        <v>3012</v>
      </c>
      <c r="AR1708" t="s">
        <v>3016</v>
      </c>
      <c r="AT1708" t="s">
        <v>3017</v>
      </c>
      <c r="AU1708" t="s">
        <v>3018</v>
      </c>
    </row>
    <row r="1709" spans="1:47" x14ac:dyDescent="0.35">
      <c r="A1709">
        <v>347986</v>
      </c>
      <c r="B1709" t="s">
        <v>172</v>
      </c>
      <c r="C1709" t="s">
        <v>173</v>
      </c>
      <c r="D1709" s="2">
        <v>45791</v>
      </c>
      <c r="E1709">
        <v>53850</v>
      </c>
      <c r="F1709">
        <v>171</v>
      </c>
      <c r="G1709" t="s">
        <v>198</v>
      </c>
      <c r="H1709" t="s">
        <v>167</v>
      </c>
      <c r="I1709" t="s">
        <v>45</v>
      </c>
      <c r="K1709" t="s">
        <v>1834</v>
      </c>
      <c r="L1709">
        <v>1713305728950</v>
      </c>
      <c r="M1709">
        <v>20250513</v>
      </c>
      <c r="N1709" t="s">
        <v>195</v>
      </c>
      <c r="Q1709" t="s">
        <v>47</v>
      </c>
      <c r="R1709">
        <v>201900</v>
      </c>
      <c r="S1709">
        <v>201900</v>
      </c>
      <c r="T1709">
        <v>572895</v>
      </c>
      <c r="U1709">
        <v>4161600723</v>
      </c>
      <c r="V1709" t="s">
        <v>199</v>
      </c>
      <c r="W1709" t="s">
        <v>49</v>
      </c>
      <c r="X1709" t="s">
        <v>200</v>
      </c>
      <c r="Y1709" t="s">
        <v>51</v>
      </c>
      <c r="Z1709">
        <v>1903</v>
      </c>
      <c r="AH1709">
        <v>0</v>
      </c>
      <c r="AI1709">
        <v>202505</v>
      </c>
      <c r="AJ1709" t="s">
        <v>86</v>
      </c>
      <c r="AK1709">
        <v>1</v>
      </c>
      <c r="AL1709">
        <v>1</v>
      </c>
      <c r="AM1709">
        <v>572895</v>
      </c>
      <c r="AN1709">
        <v>1</v>
      </c>
      <c r="AO1709">
        <v>0</v>
      </c>
      <c r="AP1709" t="s">
        <v>3015</v>
      </c>
      <c r="AQ1709" t="s">
        <v>3012</v>
      </c>
      <c r="AR1709" t="s">
        <v>3016</v>
      </c>
      <c r="AT1709" t="s">
        <v>3017</v>
      </c>
      <c r="AU1709" t="s">
        <v>3018</v>
      </c>
    </row>
    <row r="1710" spans="1:47" x14ac:dyDescent="0.35">
      <c r="A1710">
        <v>347985</v>
      </c>
      <c r="B1710" t="s">
        <v>214</v>
      </c>
      <c r="C1710" t="s">
        <v>215</v>
      </c>
      <c r="D1710" s="2">
        <v>45791</v>
      </c>
      <c r="E1710">
        <v>53850</v>
      </c>
      <c r="F1710">
        <v>102</v>
      </c>
      <c r="G1710" t="s">
        <v>151</v>
      </c>
      <c r="H1710" t="s">
        <v>167</v>
      </c>
      <c r="I1710" t="s">
        <v>45</v>
      </c>
      <c r="K1710">
        <v>202505137975485</v>
      </c>
      <c r="L1710">
        <v>1023308723686</v>
      </c>
      <c r="M1710">
        <v>20250513</v>
      </c>
      <c r="N1710" t="s">
        <v>168</v>
      </c>
      <c r="P1710" t="s">
        <v>217</v>
      </c>
      <c r="Q1710" t="s">
        <v>47</v>
      </c>
      <c r="R1710">
        <v>50000</v>
      </c>
      <c r="S1710">
        <v>0</v>
      </c>
      <c r="T1710">
        <v>531420</v>
      </c>
      <c r="U1710" t="s">
        <v>744</v>
      </c>
      <c r="V1710" t="s">
        <v>745</v>
      </c>
      <c r="W1710" t="s">
        <v>69</v>
      </c>
      <c r="X1710" t="s">
        <v>746</v>
      </c>
      <c r="Y1710" t="s">
        <v>51</v>
      </c>
      <c r="Z1710">
        <v>1306</v>
      </c>
      <c r="AH1710">
        <v>0</v>
      </c>
      <c r="AI1710">
        <v>202505</v>
      </c>
      <c r="AJ1710" t="s">
        <v>56</v>
      </c>
      <c r="AK1710">
        <v>0</v>
      </c>
      <c r="AL1710">
        <v>1</v>
      </c>
      <c r="AO1710">
        <v>0</v>
      </c>
      <c r="AP1710" t="s">
        <v>3015</v>
      </c>
      <c r="AQ1710" t="s">
        <v>3021</v>
      </c>
      <c r="AR1710" t="s">
        <v>3022</v>
      </c>
      <c r="AT1710" t="s">
        <v>3017</v>
      </c>
      <c r="AU1710" t="s">
        <v>3014</v>
      </c>
    </row>
    <row r="1711" spans="1:47" x14ac:dyDescent="0.35">
      <c r="A1711">
        <v>347984</v>
      </c>
      <c r="B1711" t="s">
        <v>178</v>
      </c>
      <c r="C1711" t="s">
        <v>179</v>
      </c>
      <c r="D1711" s="2">
        <v>45791</v>
      </c>
      <c r="E1711">
        <v>53850</v>
      </c>
      <c r="F1711">
        <v>175</v>
      </c>
      <c r="G1711" t="s">
        <v>99</v>
      </c>
      <c r="H1711" t="s">
        <v>167</v>
      </c>
      <c r="I1711" t="s">
        <v>45</v>
      </c>
      <c r="K1711">
        <v>202505137973833</v>
      </c>
      <c r="L1711">
        <v>1753305636160</v>
      </c>
      <c r="M1711">
        <v>20250513</v>
      </c>
      <c r="N1711" t="s">
        <v>236</v>
      </c>
      <c r="P1711" t="s">
        <v>51</v>
      </c>
      <c r="Q1711" t="s">
        <v>170</v>
      </c>
      <c r="R1711">
        <v>2000000</v>
      </c>
      <c r="S1711">
        <v>0</v>
      </c>
      <c r="T1711">
        <v>563616</v>
      </c>
      <c r="U1711">
        <v>55560775</v>
      </c>
      <c r="V1711" t="s">
        <v>856</v>
      </c>
      <c r="W1711" t="s">
        <v>49</v>
      </c>
      <c r="X1711" t="s">
        <v>110</v>
      </c>
      <c r="Y1711" t="s">
        <v>51</v>
      </c>
      <c r="Z1711">
        <v>739</v>
      </c>
      <c r="AH1711">
        <v>0</v>
      </c>
      <c r="AI1711">
        <v>202505</v>
      </c>
      <c r="AJ1711" t="s">
        <v>56</v>
      </c>
      <c r="AK1711">
        <v>0</v>
      </c>
      <c r="AL1711">
        <v>1</v>
      </c>
      <c r="AO1711">
        <v>0</v>
      </c>
      <c r="AP1711" t="s">
        <v>3026</v>
      </c>
      <c r="AQ1711" t="s">
        <v>3012</v>
      </c>
      <c r="AR1711" t="s">
        <v>3027</v>
      </c>
      <c r="AS1711" t="s">
        <v>3028</v>
      </c>
      <c r="AU1711" t="s">
        <v>3028</v>
      </c>
    </row>
    <row r="1712" spans="1:47" x14ac:dyDescent="0.35">
      <c r="A1712">
        <v>347983</v>
      </c>
      <c r="B1712" t="s">
        <v>178</v>
      </c>
      <c r="C1712" t="s">
        <v>179</v>
      </c>
      <c r="D1712" s="2">
        <v>45791</v>
      </c>
      <c r="E1712">
        <v>53850</v>
      </c>
      <c r="F1712">
        <v>268</v>
      </c>
      <c r="G1712" t="s">
        <v>83</v>
      </c>
      <c r="H1712" t="s">
        <v>167</v>
      </c>
      <c r="I1712" t="s">
        <v>45</v>
      </c>
      <c r="K1712" t="s">
        <v>1835</v>
      </c>
      <c r="L1712">
        <v>2683300002309</v>
      </c>
      <c r="M1712">
        <v>20250513</v>
      </c>
      <c r="N1712" t="s">
        <v>3136</v>
      </c>
      <c r="Q1712" t="s">
        <v>170</v>
      </c>
      <c r="R1712">
        <v>1518.13</v>
      </c>
      <c r="S1712">
        <v>0</v>
      </c>
      <c r="T1712">
        <v>1635245</v>
      </c>
      <c r="U1712" t="s">
        <v>1836</v>
      </c>
      <c r="V1712" t="s">
        <v>1837</v>
      </c>
      <c r="W1712" t="s">
        <v>187</v>
      </c>
      <c r="Y1712" t="s">
        <v>51</v>
      </c>
      <c r="Z1712">
        <v>1830</v>
      </c>
      <c r="AH1712">
        <v>0</v>
      </c>
      <c r="AI1712">
        <v>202505</v>
      </c>
      <c r="AJ1712" t="s">
        <v>86</v>
      </c>
      <c r="AK1712">
        <v>1</v>
      </c>
      <c r="AL1712">
        <v>1</v>
      </c>
      <c r="AO1712">
        <v>1</v>
      </c>
      <c r="AP1712" t="s">
        <v>3015</v>
      </c>
      <c r="AQ1712" t="s">
        <v>3044</v>
      </c>
      <c r="AR1712" t="s">
        <v>3045</v>
      </c>
      <c r="AS1712" t="s">
        <v>3046</v>
      </c>
      <c r="AU1712" t="s">
        <v>3046</v>
      </c>
    </row>
    <row r="1713" spans="1:47" x14ac:dyDescent="0.35">
      <c r="A1713">
        <v>347982</v>
      </c>
      <c r="B1713" t="s">
        <v>178</v>
      </c>
      <c r="C1713" t="s">
        <v>179</v>
      </c>
      <c r="D1713" s="2">
        <v>45791</v>
      </c>
      <c r="E1713">
        <v>53850</v>
      </c>
      <c r="F1713">
        <v>279</v>
      </c>
      <c r="G1713" t="s">
        <v>587</v>
      </c>
      <c r="H1713" t="s">
        <v>167</v>
      </c>
      <c r="I1713" t="s">
        <v>45</v>
      </c>
      <c r="K1713" t="s">
        <v>1838</v>
      </c>
      <c r="L1713">
        <v>2793300001229</v>
      </c>
      <c r="M1713">
        <v>20250513</v>
      </c>
      <c r="N1713" t="s">
        <v>3136</v>
      </c>
      <c r="Q1713" t="s">
        <v>170</v>
      </c>
      <c r="R1713">
        <v>1045.46</v>
      </c>
      <c r="S1713">
        <v>0</v>
      </c>
      <c r="T1713">
        <v>1681220</v>
      </c>
      <c r="U1713" t="s">
        <v>1839</v>
      </c>
      <c r="V1713" t="s">
        <v>1840</v>
      </c>
      <c r="W1713" t="s">
        <v>187</v>
      </c>
      <c r="Y1713" t="s">
        <v>51</v>
      </c>
      <c r="Z1713">
        <v>1847</v>
      </c>
      <c r="AH1713">
        <v>0</v>
      </c>
      <c r="AI1713">
        <v>202505</v>
      </c>
      <c r="AJ1713" t="s">
        <v>52</v>
      </c>
      <c r="AK1713">
        <v>0</v>
      </c>
      <c r="AL1713">
        <v>1</v>
      </c>
      <c r="AO1713">
        <v>1</v>
      </c>
      <c r="AP1713" t="s">
        <v>3015</v>
      </c>
      <c r="AQ1713" t="s">
        <v>3044</v>
      </c>
      <c r="AR1713" t="s">
        <v>3045</v>
      </c>
      <c r="AS1713" t="s">
        <v>3046</v>
      </c>
      <c r="AU1713" t="s">
        <v>3046</v>
      </c>
    </row>
    <row r="1714" spans="1:47" x14ac:dyDescent="0.35">
      <c r="A1714">
        <v>347981</v>
      </c>
      <c r="B1714" t="s">
        <v>178</v>
      </c>
      <c r="C1714" t="s">
        <v>179</v>
      </c>
      <c r="D1714" s="2">
        <v>45791</v>
      </c>
      <c r="E1714">
        <v>53850</v>
      </c>
      <c r="F1714">
        <v>286</v>
      </c>
      <c r="G1714" t="s">
        <v>408</v>
      </c>
      <c r="H1714" t="s">
        <v>167</v>
      </c>
      <c r="I1714" t="s">
        <v>45</v>
      </c>
      <c r="K1714">
        <v>202505137974985</v>
      </c>
      <c r="L1714">
        <v>2863300013638</v>
      </c>
      <c r="M1714">
        <v>20250513</v>
      </c>
      <c r="N1714" t="s">
        <v>46</v>
      </c>
      <c r="P1714" t="s">
        <v>51</v>
      </c>
      <c r="Q1714" t="s">
        <v>47</v>
      </c>
      <c r="R1714">
        <v>1371568.24</v>
      </c>
      <c r="S1714">
        <v>0</v>
      </c>
      <c r="T1714">
        <v>3730606</v>
      </c>
      <c r="U1714">
        <v>17550651008</v>
      </c>
      <c r="V1714" t="s">
        <v>1841</v>
      </c>
      <c r="W1714" t="s">
        <v>156</v>
      </c>
      <c r="X1714" t="s">
        <v>825</v>
      </c>
      <c r="Y1714" t="s">
        <v>51</v>
      </c>
      <c r="Z1714">
        <v>1877</v>
      </c>
      <c r="AH1714">
        <v>0</v>
      </c>
      <c r="AI1714">
        <v>202505</v>
      </c>
      <c r="AJ1714" t="s">
        <v>56</v>
      </c>
      <c r="AK1714">
        <v>0</v>
      </c>
      <c r="AL1714">
        <v>1</v>
      </c>
      <c r="AO1714">
        <v>0</v>
      </c>
      <c r="AP1714" t="s">
        <v>3015</v>
      </c>
      <c r="AQ1714" t="s">
        <v>3038</v>
      </c>
      <c r="AR1714" t="s">
        <v>3039</v>
      </c>
      <c r="AT1714" t="s">
        <v>3017</v>
      </c>
      <c r="AU1714" t="s">
        <v>3037</v>
      </c>
    </row>
    <row r="1715" spans="1:47" x14ac:dyDescent="0.35">
      <c r="A1715">
        <v>347980</v>
      </c>
      <c r="B1715" t="s">
        <v>178</v>
      </c>
      <c r="C1715" t="s">
        <v>179</v>
      </c>
      <c r="D1715" s="2">
        <v>45791</v>
      </c>
      <c r="E1715">
        <v>53850</v>
      </c>
      <c r="F1715">
        <v>125</v>
      </c>
      <c r="G1715" t="s">
        <v>75</v>
      </c>
      <c r="H1715" t="s">
        <v>167</v>
      </c>
      <c r="I1715" t="s">
        <v>45</v>
      </c>
      <c r="K1715">
        <v>202505137975561</v>
      </c>
      <c r="L1715">
        <v>1253300010106</v>
      </c>
      <c r="M1715">
        <v>20250513</v>
      </c>
      <c r="N1715" t="s">
        <v>633</v>
      </c>
      <c r="P1715" t="s">
        <v>51</v>
      </c>
      <c r="Q1715" t="s">
        <v>47</v>
      </c>
      <c r="R1715">
        <v>400000</v>
      </c>
      <c r="S1715">
        <v>0</v>
      </c>
      <c r="T1715">
        <v>4315652</v>
      </c>
      <c r="U1715" t="s">
        <v>1777</v>
      </c>
      <c r="V1715" t="s">
        <v>1778</v>
      </c>
      <c r="W1715" t="s">
        <v>187</v>
      </c>
      <c r="Y1715" t="s">
        <v>51</v>
      </c>
      <c r="Z1715">
        <v>1346</v>
      </c>
      <c r="AH1715">
        <v>0</v>
      </c>
      <c r="AI1715">
        <v>202505</v>
      </c>
      <c r="AJ1715" t="s">
        <v>56</v>
      </c>
      <c r="AK1715">
        <v>0</v>
      </c>
      <c r="AL1715">
        <v>1</v>
      </c>
      <c r="AO1715">
        <v>0</v>
      </c>
      <c r="AP1715" t="s">
        <v>3015</v>
      </c>
      <c r="AQ1715" t="s">
        <v>3044</v>
      </c>
      <c r="AR1715" t="s">
        <v>3045</v>
      </c>
      <c r="AS1715" t="s">
        <v>3046</v>
      </c>
      <c r="AU1715" t="s">
        <v>3046</v>
      </c>
    </row>
    <row r="1716" spans="1:47" x14ac:dyDescent="0.35">
      <c r="A1716">
        <v>347979</v>
      </c>
      <c r="B1716" t="s">
        <v>214</v>
      </c>
      <c r="C1716" t="s">
        <v>215</v>
      </c>
      <c r="D1716" s="2">
        <v>45791</v>
      </c>
      <c r="E1716">
        <v>53850</v>
      </c>
      <c r="F1716">
        <v>102</v>
      </c>
      <c r="G1716" t="s">
        <v>151</v>
      </c>
      <c r="H1716" t="s">
        <v>167</v>
      </c>
      <c r="I1716" t="s">
        <v>45</v>
      </c>
      <c r="K1716">
        <v>202505137975252</v>
      </c>
      <c r="L1716">
        <v>1023308723686</v>
      </c>
      <c r="M1716">
        <v>20250513</v>
      </c>
      <c r="N1716" t="s">
        <v>168</v>
      </c>
      <c r="P1716" t="s">
        <v>217</v>
      </c>
      <c r="Q1716" t="s">
        <v>47</v>
      </c>
      <c r="R1716">
        <v>30000</v>
      </c>
      <c r="S1716">
        <v>0</v>
      </c>
      <c r="T1716">
        <v>531420</v>
      </c>
      <c r="U1716" t="s">
        <v>744</v>
      </c>
      <c r="V1716" t="s">
        <v>745</v>
      </c>
      <c r="W1716" t="s">
        <v>69</v>
      </c>
      <c r="X1716" t="s">
        <v>746</v>
      </c>
      <c r="Y1716" t="s">
        <v>51</v>
      </c>
      <c r="Z1716">
        <v>1306</v>
      </c>
      <c r="AH1716">
        <v>0</v>
      </c>
      <c r="AI1716">
        <v>202505</v>
      </c>
      <c r="AJ1716" t="s">
        <v>56</v>
      </c>
      <c r="AK1716">
        <v>0</v>
      </c>
      <c r="AL1716">
        <v>1</v>
      </c>
      <c r="AO1716">
        <v>0</v>
      </c>
      <c r="AP1716" t="s">
        <v>3015</v>
      </c>
      <c r="AQ1716" t="s">
        <v>3021</v>
      </c>
      <c r="AR1716" t="s">
        <v>3022</v>
      </c>
      <c r="AT1716" t="s">
        <v>3017</v>
      </c>
      <c r="AU1716" t="s">
        <v>3014</v>
      </c>
    </row>
    <row r="1717" spans="1:47" x14ac:dyDescent="0.35">
      <c r="A1717">
        <v>347978</v>
      </c>
      <c r="B1717" t="s">
        <v>214</v>
      </c>
      <c r="C1717" t="s">
        <v>215</v>
      </c>
      <c r="D1717" s="2">
        <v>45791</v>
      </c>
      <c r="E1717">
        <v>53850</v>
      </c>
      <c r="F1717">
        <v>131</v>
      </c>
      <c r="G1717" t="s">
        <v>216</v>
      </c>
      <c r="H1717" t="s">
        <v>167</v>
      </c>
      <c r="I1717" t="s">
        <v>45</v>
      </c>
      <c r="K1717">
        <v>202505137976926</v>
      </c>
      <c r="L1717">
        <v>1313300004532</v>
      </c>
      <c r="M1717">
        <v>20250513</v>
      </c>
      <c r="N1717" t="s">
        <v>168</v>
      </c>
      <c r="P1717" t="s">
        <v>217</v>
      </c>
      <c r="Q1717" t="s">
        <v>170</v>
      </c>
      <c r="R1717">
        <v>15666.67</v>
      </c>
      <c r="S1717">
        <v>0</v>
      </c>
      <c r="T1717">
        <v>3739170</v>
      </c>
      <c r="U1717" t="s">
        <v>1842</v>
      </c>
      <c r="V1717" t="s">
        <v>1843</v>
      </c>
      <c r="W1717" t="s">
        <v>187</v>
      </c>
      <c r="Y1717" t="s">
        <v>51</v>
      </c>
      <c r="Z1717">
        <v>915</v>
      </c>
      <c r="AH1717">
        <v>0</v>
      </c>
      <c r="AI1717">
        <v>202505</v>
      </c>
      <c r="AJ1717" t="s">
        <v>119</v>
      </c>
      <c r="AK1717">
        <v>1</v>
      </c>
      <c r="AL1717">
        <v>1</v>
      </c>
      <c r="AO1717">
        <v>0</v>
      </c>
      <c r="AP1717" t="s">
        <v>3015</v>
      </c>
      <c r="AQ1717" t="s">
        <v>3044</v>
      </c>
      <c r="AR1717" t="s">
        <v>3045</v>
      </c>
      <c r="AS1717" t="s">
        <v>3046</v>
      </c>
      <c r="AU1717" t="s">
        <v>3046</v>
      </c>
    </row>
    <row r="1718" spans="1:47" x14ac:dyDescent="0.35">
      <c r="A1718">
        <v>347977</v>
      </c>
      <c r="B1718" t="s">
        <v>178</v>
      </c>
      <c r="C1718" t="s">
        <v>179</v>
      </c>
      <c r="D1718" s="2">
        <v>45791</v>
      </c>
      <c r="E1718">
        <v>53850</v>
      </c>
      <c r="F1718">
        <v>268</v>
      </c>
      <c r="G1718" t="s">
        <v>83</v>
      </c>
      <c r="H1718" t="s">
        <v>167</v>
      </c>
      <c r="I1718" t="s">
        <v>45</v>
      </c>
      <c r="K1718" t="s">
        <v>1844</v>
      </c>
      <c r="L1718">
        <v>2683300004281</v>
      </c>
      <c r="M1718">
        <v>20250513</v>
      </c>
      <c r="N1718" t="s">
        <v>3136</v>
      </c>
      <c r="Q1718" t="s">
        <v>170</v>
      </c>
      <c r="R1718">
        <v>2060.67</v>
      </c>
      <c r="S1718">
        <v>0</v>
      </c>
      <c r="T1718">
        <v>1648024</v>
      </c>
      <c r="U1718" t="s">
        <v>1845</v>
      </c>
      <c r="V1718" t="s">
        <v>1846</v>
      </c>
      <c r="W1718" t="s">
        <v>187</v>
      </c>
      <c r="Y1718" t="s">
        <v>51</v>
      </c>
      <c r="Z1718">
        <v>1830</v>
      </c>
      <c r="AH1718">
        <v>0</v>
      </c>
      <c r="AI1718">
        <v>202505</v>
      </c>
      <c r="AJ1718" t="s">
        <v>86</v>
      </c>
      <c r="AK1718">
        <v>1</v>
      </c>
      <c r="AL1718">
        <v>1</v>
      </c>
      <c r="AO1718">
        <v>1</v>
      </c>
      <c r="AP1718" t="s">
        <v>3015</v>
      </c>
      <c r="AQ1718" t="s">
        <v>3044</v>
      </c>
      <c r="AR1718" t="s">
        <v>3045</v>
      </c>
      <c r="AS1718" t="s">
        <v>3046</v>
      </c>
      <c r="AU1718" t="s">
        <v>3046</v>
      </c>
    </row>
    <row r="1719" spans="1:47" x14ac:dyDescent="0.35">
      <c r="A1719">
        <v>347976</v>
      </c>
      <c r="B1719" t="s">
        <v>172</v>
      </c>
      <c r="C1719" t="s">
        <v>173</v>
      </c>
      <c r="D1719" s="2">
        <v>45791</v>
      </c>
      <c r="E1719">
        <v>53850</v>
      </c>
      <c r="F1719">
        <v>196</v>
      </c>
      <c r="G1719" t="s">
        <v>567</v>
      </c>
      <c r="H1719" t="s">
        <v>167</v>
      </c>
      <c r="I1719" t="s">
        <v>45</v>
      </c>
      <c r="K1719">
        <v>202505137977147</v>
      </c>
      <c r="L1719">
        <v>1963302351731</v>
      </c>
      <c r="M1719">
        <v>20250513</v>
      </c>
      <c r="N1719" t="s">
        <v>81</v>
      </c>
      <c r="Q1719" t="s">
        <v>47</v>
      </c>
      <c r="R1719">
        <v>200000</v>
      </c>
      <c r="S1719">
        <v>0</v>
      </c>
      <c r="T1719">
        <v>4284661</v>
      </c>
      <c r="U1719" t="s">
        <v>1847</v>
      </c>
      <c r="V1719" t="s">
        <v>1848</v>
      </c>
      <c r="W1719" t="s">
        <v>69</v>
      </c>
      <c r="X1719" t="s">
        <v>234</v>
      </c>
      <c r="Y1719" t="s">
        <v>51</v>
      </c>
      <c r="Z1719">
        <v>1945</v>
      </c>
      <c r="AH1719">
        <v>0</v>
      </c>
      <c r="AI1719">
        <v>202505</v>
      </c>
      <c r="AJ1719" t="s">
        <v>86</v>
      </c>
      <c r="AK1719">
        <v>1</v>
      </c>
      <c r="AL1719">
        <v>1</v>
      </c>
      <c r="AO1719">
        <v>0</v>
      </c>
      <c r="AP1719" t="s">
        <v>3015</v>
      </c>
      <c r="AQ1719" t="s">
        <v>3021</v>
      </c>
      <c r="AR1719" t="s">
        <v>3022</v>
      </c>
      <c r="AT1719" t="s">
        <v>3017</v>
      </c>
      <c r="AU1719" t="s">
        <v>3014</v>
      </c>
    </row>
    <row r="1720" spans="1:47" x14ac:dyDescent="0.35">
      <c r="A1720">
        <v>347975</v>
      </c>
      <c r="B1720" t="s">
        <v>214</v>
      </c>
      <c r="C1720" t="s">
        <v>215</v>
      </c>
      <c r="D1720" s="2">
        <v>45791</v>
      </c>
      <c r="E1720">
        <v>53850</v>
      </c>
      <c r="F1720">
        <v>131</v>
      </c>
      <c r="G1720" t="s">
        <v>216</v>
      </c>
      <c r="H1720" t="s">
        <v>167</v>
      </c>
      <c r="I1720" t="s">
        <v>45</v>
      </c>
      <c r="K1720">
        <v>202505137976927</v>
      </c>
      <c r="L1720">
        <v>1313300004532</v>
      </c>
      <c r="M1720">
        <v>20250513</v>
      </c>
      <c r="N1720" t="s">
        <v>168</v>
      </c>
      <c r="P1720" t="s">
        <v>217</v>
      </c>
      <c r="Q1720" t="s">
        <v>170</v>
      </c>
      <c r="R1720">
        <v>28666.66</v>
      </c>
      <c r="S1720">
        <v>0</v>
      </c>
      <c r="T1720">
        <v>3739170</v>
      </c>
      <c r="U1720" t="s">
        <v>1842</v>
      </c>
      <c r="V1720" t="s">
        <v>1843</v>
      </c>
      <c r="W1720" t="s">
        <v>187</v>
      </c>
      <c r="Y1720" t="s">
        <v>51</v>
      </c>
      <c r="Z1720">
        <v>915</v>
      </c>
      <c r="AH1720">
        <v>0</v>
      </c>
      <c r="AI1720">
        <v>202505</v>
      </c>
      <c r="AJ1720" t="s">
        <v>119</v>
      </c>
      <c r="AK1720">
        <v>1</v>
      </c>
      <c r="AL1720">
        <v>1</v>
      </c>
      <c r="AO1720">
        <v>0</v>
      </c>
      <c r="AP1720" t="s">
        <v>3015</v>
      </c>
      <c r="AQ1720" t="s">
        <v>3044</v>
      </c>
      <c r="AR1720" t="s">
        <v>3045</v>
      </c>
      <c r="AS1720" t="s">
        <v>3046</v>
      </c>
      <c r="AU1720" t="s">
        <v>3046</v>
      </c>
    </row>
    <row r="1721" spans="1:47" x14ac:dyDescent="0.35">
      <c r="A1721">
        <v>347974</v>
      </c>
      <c r="B1721" t="s">
        <v>214</v>
      </c>
      <c r="C1721" t="s">
        <v>215</v>
      </c>
      <c r="D1721" s="2">
        <v>45791</v>
      </c>
      <c r="E1721">
        <v>53850</v>
      </c>
      <c r="F1721">
        <v>226</v>
      </c>
      <c r="G1721" t="s">
        <v>129</v>
      </c>
      <c r="H1721" t="s">
        <v>167</v>
      </c>
      <c r="I1721" t="s">
        <v>45</v>
      </c>
      <c r="K1721">
        <v>202505137975650</v>
      </c>
      <c r="L1721">
        <v>2263300011935</v>
      </c>
      <c r="M1721">
        <v>20250513</v>
      </c>
      <c r="N1721" t="s">
        <v>168</v>
      </c>
      <c r="P1721" t="s">
        <v>414</v>
      </c>
      <c r="Q1721" t="s">
        <v>170</v>
      </c>
      <c r="R1721">
        <v>20007.37</v>
      </c>
      <c r="S1721">
        <v>0</v>
      </c>
      <c r="T1721">
        <v>3715508</v>
      </c>
      <c r="U1721">
        <v>5330180729</v>
      </c>
      <c r="V1721" t="s">
        <v>1849</v>
      </c>
      <c r="W1721" t="s">
        <v>190</v>
      </c>
      <c r="X1721" t="s">
        <v>131</v>
      </c>
      <c r="Y1721" t="s">
        <v>51</v>
      </c>
      <c r="Z1721">
        <v>1932</v>
      </c>
      <c r="AH1721">
        <v>0</v>
      </c>
      <c r="AI1721">
        <v>202505</v>
      </c>
      <c r="AJ1721" t="s">
        <v>86</v>
      </c>
      <c r="AK1721">
        <v>1</v>
      </c>
      <c r="AL1721">
        <v>1</v>
      </c>
      <c r="AO1721">
        <v>0</v>
      </c>
      <c r="AP1721" t="s">
        <v>3033</v>
      </c>
      <c r="AQ1721" t="s">
        <v>3047</v>
      </c>
      <c r="AR1721" t="s">
        <v>3048</v>
      </c>
      <c r="AS1721" t="s">
        <v>3049</v>
      </c>
      <c r="AU1721" t="s">
        <v>3049</v>
      </c>
    </row>
    <row r="1722" spans="1:47" x14ac:dyDescent="0.35">
      <c r="A1722">
        <v>347973</v>
      </c>
      <c r="B1722" t="s">
        <v>178</v>
      </c>
      <c r="C1722" t="s">
        <v>179</v>
      </c>
      <c r="D1722" s="2">
        <v>45791</v>
      </c>
      <c r="E1722">
        <v>53850</v>
      </c>
      <c r="F1722">
        <v>114</v>
      </c>
      <c r="G1722" t="s">
        <v>188</v>
      </c>
      <c r="H1722" t="s">
        <v>167</v>
      </c>
      <c r="I1722" t="s">
        <v>45</v>
      </c>
      <c r="K1722">
        <v>202505137976880</v>
      </c>
      <c r="L1722">
        <v>1143306281849</v>
      </c>
      <c r="M1722">
        <v>20250513</v>
      </c>
      <c r="N1722" t="s">
        <v>3136</v>
      </c>
      <c r="Q1722" t="s">
        <v>170</v>
      </c>
      <c r="R1722">
        <v>80449.399999999994</v>
      </c>
      <c r="S1722">
        <v>0</v>
      </c>
      <c r="T1722">
        <v>4779500</v>
      </c>
      <c r="U1722">
        <v>80005800711</v>
      </c>
      <c r="V1722" t="s">
        <v>1072</v>
      </c>
      <c r="W1722" t="s">
        <v>183</v>
      </c>
      <c r="Y1722" t="s">
        <v>51</v>
      </c>
      <c r="Z1722">
        <v>519</v>
      </c>
      <c r="AH1722">
        <v>0</v>
      </c>
      <c r="AI1722">
        <v>202505</v>
      </c>
      <c r="AJ1722" t="s">
        <v>56</v>
      </c>
      <c r="AK1722">
        <v>0</v>
      </c>
      <c r="AL1722">
        <v>1</v>
      </c>
      <c r="AO1722">
        <v>1</v>
      </c>
      <c r="AP1722" t="s">
        <v>3015</v>
      </c>
      <c r="AQ1722" t="s">
        <v>3042</v>
      </c>
      <c r="AR1722" t="s">
        <v>3043</v>
      </c>
      <c r="AS1722" t="s">
        <v>3037</v>
      </c>
      <c r="AU1722" t="s">
        <v>3037</v>
      </c>
    </row>
    <row r="1723" spans="1:47" x14ac:dyDescent="0.35">
      <c r="A1723">
        <v>347972</v>
      </c>
      <c r="B1723" t="s">
        <v>214</v>
      </c>
      <c r="C1723" t="s">
        <v>215</v>
      </c>
      <c r="D1723" s="2">
        <v>45791</v>
      </c>
      <c r="E1723">
        <v>53850</v>
      </c>
      <c r="F1723">
        <v>148</v>
      </c>
      <c r="G1723" t="s">
        <v>78</v>
      </c>
      <c r="H1723" t="s">
        <v>167</v>
      </c>
      <c r="I1723" t="s">
        <v>45</v>
      </c>
      <c r="K1723">
        <v>202505137973801</v>
      </c>
      <c r="L1723">
        <v>1483303001176</v>
      </c>
      <c r="M1723">
        <v>20250513</v>
      </c>
      <c r="N1723" t="s">
        <v>168</v>
      </c>
      <c r="P1723" t="s">
        <v>217</v>
      </c>
      <c r="Q1723" t="s">
        <v>170</v>
      </c>
      <c r="R1723">
        <v>25000</v>
      </c>
      <c r="S1723">
        <v>0</v>
      </c>
      <c r="T1723">
        <v>2012964</v>
      </c>
      <c r="U1723" t="s">
        <v>1850</v>
      </c>
      <c r="V1723" t="s">
        <v>1851</v>
      </c>
      <c r="W1723" t="s">
        <v>187</v>
      </c>
      <c r="Y1723" t="s">
        <v>51</v>
      </c>
      <c r="Z1723">
        <v>1636</v>
      </c>
      <c r="AH1723">
        <v>0</v>
      </c>
      <c r="AI1723">
        <v>202505</v>
      </c>
      <c r="AJ1723" t="s">
        <v>56</v>
      </c>
      <c r="AK1723">
        <v>0</v>
      </c>
      <c r="AL1723">
        <v>1</v>
      </c>
      <c r="AO1723">
        <v>0</v>
      </c>
      <c r="AP1723" t="s">
        <v>3015</v>
      </c>
      <c r="AQ1723" t="s">
        <v>3044</v>
      </c>
      <c r="AR1723" t="s">
        <v>3045</v>
      </c>
      <c r="AS1723" t="s">
        <v>3046</v>
      </c>
      <c r="AU1723" t="s">
        <v>3046</v>
      </c>
    </row>
    <row r="1724" spans="1:47" x14ac:dyDescent="0.35">
      <c r="A1724">
        <v>347971</v>
      </c>
      <c r="B1724" t="s">
        <v>178</v>
      </c>
      <c r="C1724" t="s">
        <v>179</v>
      </c>
      <c r="D1724" s="2">
        <v>45791</v>
      </c>
      <c r="E1724">
        <v>53850</v>
      </c>
      <c r="F1724">
        <v>176</v>
      </c>
      <c r="G1724" t="s">
        <v>390</v>
      </c>
      <c r="H1724" t="s">
        <v>167</v>
      </c>
      <c r="I1724" t="s">
        <v>45</v>
      </c>
      <c r="K1724">
        <v>202505137977069</v>
      </c>
      <c r="L1724">
        <v>1763300002000</v>
      </c>
      <c r="M1724">
        <v>20250513</v>
      </c>
      <c r="N1724" t="s">
        <v>3136</v>
      </c>
      <c r="Q1724" t="s">
        <v>170</v>
      </c>
      <c r="R1724">
        <v>7018.4</v>
      </c>
      <c r="S1724">
        <v>0</v>
      </c>
      <c r="T1724">
        <v>3400212</v>
      </c>
      <c r="U1724" t="s">
        <v>1852</v>
      </c>
      <c r="V1724" t="s">
        <v>1853</v>
      </c>
      <c r="W1724" t="s">
        <v>187</v>
      </c>
      <c r="Y1724" t="s">
        <v>51</v>
      </c>
      <c r="Z1724">
        <v>672</v>
      </c>
      <c r="AH1724">
        <v>0</v>
      </c>
      <c r="AI1724">
        <v>202505</v>
      </c>
      <c r="AJ1724" t="s">
        <v>86</v>
      </c>
      <c r="AK1724">
        <v>1</v>
      </c>
      <c r="AL1724">
        <v>1</v>
      </c>
      <c r="AO1724">
        <v>1</v>
      </c>
      <c r="AP1724" t="s">
        <v>3015</v>
      </c>
      <c r="AQ1724" t="s">
        <v>3044</v>
      </c>
      <c r="AR1724" t="s">
        <v>3045</v>
      </c>
      <c r="AS1724" t="s">
        <v>3046</v>
      </c>
      <c r="AU1724" t="s">
        <v>3046</v>
      </c>
    </row>
    <row r="1725" spans="1:47" x14ac:dyDescent="0.35">
      <c r="A1725">
        <v>347970</v>
      </c>
      <c r="B1725" t="s">
        <v>178</v>
      </c>
      <c r="C1725" t="s">
        <v>179</v>
      </c>
      <c r="D1725" s="2">
        <v>45791</v>
      </c>
      <c r="E1725">
        <v>53850</v>
      </c>
      <c r="F1725">
        <v>102</v>
      </c>
      <c r="G1725" t="s">
        <v>151</v>
      </c>
      <c r="H1725" t="s">
        <v>167</v>
      </c>
      <c r="I1725" t="s">
        <v>45</v>
      </c>
      <c r="K1725">
        <v>202505137973992</v>
      </c>
      <c r="L1725">
        <v>1023308726073</v>
      </c>
      <c r="M1725">
        <v>20250513</v>
      </c>
      <c r="N1725" t="s">
        <v>236</v>
      </c>
      <c r="P1725" t="s">
        <v>51</v>
      </c>
      <c r="Q1725" t="s">
        <v>170</v>
      </c>
      <c r="R1725">
        <v>1200000</v>
      </c>
      <c r="S1725">
        <v>0</v>
      </c>
      <c r="T1725">
        <v>4972446</v>
      </c>
      <c r="U1725">
        <v>8406920721</v>
      </c>
      <c r="V1725" t="s">
        <v>824</v>
      </c>
      <c r="W1725" t="s">
        <v>49</v>
      </c>
      <c r="X1725" t="s">
        <v>364</v>
      </c>
      <c r="Y1725" t="s">
        <v>51</v>
      </c>
      <c r="Z1725">
        <v>739</v>
      </c>
      <c r="AH1725">
        <v>0</v>
      </c>
      <c r="AI1725">
        <v>202505</v>
      </c>
      <c r="AJ1725" t="s">
        <v>86</v>
      </c>
      <c r="AK1725">
        <v>1</v>
      </c>
      <c r="AL1725">
        <v>1</v>
      </c>
      <c r="AO1725">
        <v>0</v>
      </c>
      <c r="AP1725" t="s">
        <v>3062</v>
      </c>
      <c r="AQ1725" t="s">
        <v>3012</v>
      </c>
      <c r="AR1725" t="s">
        <v>3063</v>
      </c>
      <c r="AS1725" t="s">
        <v>3014</v>
      </c>
      <c r="AU1725" t="s">
        <v>3014</v>
      </c>
    </row>
    <row r="1726" spans="1:47" x14ac:dyDescent="0.35">
      <c r="A1726">
        <v>347969</v>
      </c>
      <c r="B1726" t="s">
        <v>178</v>
      </c>
      <c r="C1726" t="s">
        <v>179</v>
      </c>
      <c r="D1726" s="2">
        <v>45791</v>
      </c>
      <c r="E1726">
        <v>53850</v>
      </c>
      <c r="F1726">
        <v>286</v>
      </c>
      <c r="G1726" t="s">
        <v>408</v>
      </c>
      <c r="H1726" t="s">
        <v>167</v>
      </c>
      <c r="I1726" t="s">
        <v>45</v>
      </c>
      <c r="K1726" t="s">
        <v>1854</v>
      </c>
      <c r="L1726">
        <v>2863300001177</v>
      </c>
      <c r="M1726">
        <v>20250513</v>
      </c>
      <c r="N1726" t="s">
        <v>3136</v>
      </c>
      <c r="Q1726" t="s">
        <v>170</v>
      </c>
      <c r="R1726">
        <v>1038.44</v>
      </c>
      <c r="S1726">
        <v>0</v>
      </c>
      <c r="T1726">
        <v>1653433</v>
      </c>
      <c r="U1726" t="s">
        <v>1855</v>
      </c>
      <c r="V1726" t="s">
        <v>1856</v>
      </c>
      <c r="W1726" t="s">
        <v>187</v>
      </c>
      <c r="Y1726" t="s">
        <v>51</v>
      </c>
      <c r="Z1726">
        <v>1764</v>
      </c>
      <c r="AH1726">
        <v>0</v>
      </c>
      <c r="AI1726">
        <v>202505</v>
      </c>
      <c r="AJ1726" t="s">
        <v>52</v>
      </c>
      <c r="AK1726">
        <v>0</v>
      </c>
      <c r="AL1726">
        <v>1</v>
      </c>
      <c r="AO1726">
        <v>1</v>
      </c>
      <c r="AP1726" t="s">
        <v>3015</v>
      </c>
      <c r="AQ1726" t="s">
        <v>3044</v>
      </c>
      <c r="AR1726" t="s">
        <v>3045</v>
      </c>
      <c r="AS1726" t="s">
        <v>3046</v>
      </c>
      <c r="AU1726" t="s">
        <v>3046</v>
      </c>
    </row>
    <row r="1727" spans="1:47" x14ac:dyDescent="0.35">
      <c r="A1727">
        <v>347968</v>
      </c>
      <c r="B1727" t="s">
        <v>193</v>
      </c>
      <c r="C1727" t="s">
        <v>194</v>
      </c>
      <c r="D1727" s="2">
        <v>45791</v>
      </c>
      <c r="E1727">
        <v>53850</v>
      </c>
      <c r="F1727">
        <v>136</v>
      </c>
      <c r="G1727" t="s">
        <v>551</v>
      </c>
      <c r="H1727" t="s">
        <v>167</v>
      </c>
      <c r="I1727" t="s">
        <v>45</v>
      </c>
      <c r="K1727">
        <v>202505137976951</v>
      </c>
      <c r="L1727">
        <v>1363300004078</v>
      </c>
      <c r="M1727">
        <v>20250513</v>
      </c>
      <c r="N1727" t="s">
        <v>266</v>
      </c>
      <c r="Q1727" t="s">
        <v>47</v>
      </c>
      <c r="R1727">
        <v>143030</v>
      </c>
      <c r="S1727">
        <v>143030</v>
      </c>
      <c r="T1727">
        <v>4952440</v>
      </c>
      <c r="U1727" t="s">
        <v>1857</v>
      </c>
      <c r="V1727" t="s">
        <v>1858</v>
      </c>
      <c r="W1727" t="s">
        <v>69</v>
      </c>
      <c r="X1727" t="s">
        <v>590</v>
      </c>
      <c r="Y1727" t="s">
        <v>51</v>
      </c>
      <c r="Z1727">
        <v>1552</v>
      </c>
      <c r="AH1727">
        <v>0</v>
      </c>
      <c r="AI1727">
        <v>202505</v>
      </c>
      <c r="AJ1727" t="s">
        <v>56</v>
      </c>
      <c r="AK1727">
        <v>0</v>
      </c>
      <c r="AL1727">
        <v>1</v>
      </c>
      <c r="AM1727">
        <v>4952440</v>
      </c>
      <c r="AN1727">
        <v>1</v>
      </c>
      <c r="AO1727">
        <v>0</v>
      </c>
      <c r="AP1727" t="s">
        <v>3015</v>
      </c>
      <c r="AQ1727" t="s">
        <v>3021</v>
      </c>
      <c r="AR1727" t="s">
        <v>3022</v>
      </c>
      <c r="AT1727" t="s">
        <v>3017</v>
      </c>
      <c r="AU1727" t="s">
        <v>3014</v>
      </c>
    </row>
    <row r="1728" spans="1:47" x14ac:dyDescent="0.35">
      <c r="A1728">
        <v>347967</v>
      </c>
      <c r="B1728" t="s">
        <v>172</v>
      </c>
      <c r="C1728" t="s">
        <v>173</v>
      </c>
      <c r="D1728" s="2">
        <v>45791</v>
      </c>
      <c r="E1728">
        <v>53850</v>
      </c>
      <c r="F1728">
        <v>286</v>
      </c>
      <c r="G1728" t="s">
        <v>408</v>
      </c>
      <c r="H1728" t="s">
        <v>167</v>
      </c>
      <c r="I1728" t="s">
        <v>45</v>
      </c>
      <c r="K1728">
        <v>202505137977259</v>
      </c>
      <c r="L1728">
        <v>2863300013639</v>
      </c>
      <c r="M1728">
        <v>20250513</v>
      </c>
      <c r="N1728" t="s">
        <v>325</v>
      </c>
      <c r="Q1728" t="s">
        <v>47</v>
      </c>
      <c r="R1728">
        <v>331000</v>
      </c>
      <c r="S1728">
        <v>0</v>
      </c>
      <c r="T1728">
        <v>3730622</v>
      </c>
      <c r="U1728">
        <v>2540520695</v>
      </c>
      <c r="V1728" t="s">
        <v>1859</v>
      </c>
      <c r="W1728" t="s">
        <v>1860</v>
      </c>
      <c r="X1728" t="s">
        <v>825</v>
      </c>
      <c r="Y1728" t="s">
        <v>51</v>
      </c>
      <c r="Z1728">
        <v>1877</v>
      </c>
      <c r="AH1728">
        <v>0</v>
      </c>
      <c r="AI1728">
        <v>202505</v>
      </c>
      <c r="AJ1728" t="s">
        <v>56</v>
      </c>
      <c r="AK1728">
        <v>0</v>
      </c>
      <c r="AL1728">
        <v>1</v>
      </c>
      <c r="AO1728">
        <v>0</v>
      </c>
      <c r="AP1728" t="s">
        <v>3015</v>
      </c>
      <c r="AQ1728" t="s">
        <v>3121</v>
      </c>
      <c r="AR1728" t="s">
        <v>3122</v>
      </c>
      <c r="AT1728" t="s">
        <v>3017</v>
      </c>
      <c r="AU1728" t="s">
        <v>3037</v>
      </c>
    </row>
    <row r="1729" spans="1:47" x14ac:dyDescent="0.35">
      <c r="A1729">
        <v>347966</v>
      </c>
      <c r="B1729" t="s">
        <v>178</v>
      </c>
      <c r="C1729" t="s">
        <v>179</v>
      </c>
      <c r="D1729" s="2">
        <v>45791</v>
      </c>
      <c r="E1729">
        <v>53850</v>
      </c>
      <c r="F1729">
        <v>268</v>
      </c>
      <c r="G1729" t="s">
        <v>83</v>
      </c>
      <c r="H1729" t="s">
        <v>167</v>
      </c>
      <c r="I1729" t="s">
        <v>45</v>
      </c>
      <c r="K1729" t="s">
        <v>1861</v>
      </c>
      <c r="L1729">
        <v>2683300002913</v>
      </c>
      <c r="M1729">
        <v>20250513</v>
      </c>
      <c r="N1729" t="s">
        <v>3136</v>
      </c>
      <c r="Q1729" t="s">
        <v>170</v>
      </c>
      <c r="R1729">
        <v>1744.07</v>
      </c>
      <c r="S1729">
        <v>0</v>
      </c>
      <c r="T1729">
        <v>1700584</v>
      </c>
      <c r="U1729" t="s">
        <v>1862</v>
      </c>
      <c r="V1729" t="s">
        <v>1863</v>
      </c>
      <c r="W1729" t="s">
        <v>187</v>
      </c>
      <c r="Y1729" t="s">
        <v>51</v>
      </c>
      <c r="AH1729">
        <v>0</v>
      </c>
      <c r="AI1729">
        <v>202505</v>
      </c>
      <c r="AJ1729" t="s">
        <v>86</v>
      </c>
      <c r="AK1729">
        <v>1</v>
      </c>
      <c r="AL1729">
        <v>1</v>
      </c>
      <c r="AO1729">
        <v>1</v>
      </c>
      <c r="AP1729" t="s">
        <v>3015</v>
      </c>
      <c r="AQ1729" t="s">
        <v>3044</v>
      </c>
      <c r="AR1729" t="s">
        <v>3045</v>
      </c>
      <c r="AS1729" t="s">
        <v>3046</v>
      </c>
      <c r="AU1729" t="s">
        <v>3046</v>
      </c>
    </row>
    <row r="1730" spans="1:47" x14ac:dyDescent="0.35">
      <c r="A1730">
        <v>347965</v>
      </c>
      <c r="B1730" t="s">
        <v>214</v>
      </c>
      <c r="C1730" t="s">
        <v>215</v>
      </c>
      <c r="D1730" s="2">
        <v>45791</v>
      </c>
      <c r="E1730">
        <v>53850</v>
      </c>
      <c r="F1730">
        <v>103</v>
      </c>
      <c r="G1730" t="s">
        <v>80</v>
      </c>
      <c r="H1730" t="s">
        <v>167</v>
      </c>
      <c r="I1730" t="s">
        <v>45</v>
      </c>
      <c r="K1730">
        <v>202505137975250</v>
      </c>
      <c r="L1730">
        <v>1033305840830</v>
      </c>
      <c r="M1730">
        <v>20250513</v>
      </c>
      <c r="N1730" t="s">
        <v>168</v>
      </c>
      <c r="P1730" t="s">
        <v>217</v>
      </c>
      <c r="Q1730" t="s">
        <v>47</v>
      </c>
      <c r="R1730">
        <v>40000</v>
      </c>
      <c r="S1730">
        <v>0</v>
      </c>
      <c r="T1730">
        <v>584083</v>
      </c>
      <c r="U1730" t="s">
        <v>1864</v>
      </c>
      <c r="V1730" t="s">
        <v>1865</v>
      </c>
      <c r="W1730" t="s">
        <v>187</v>
      </c>
      <c r="Y1730" t="s">
        <v>51</v>
      </c>
      <c r="Z1730">
        <v>600</v>
      </c>
      <c r="AH1730">
        <v>0</v>
      </c>
      <c r="AI1730">
        <v>202505</v>
      </c>
      <c r="AJ1730" t="s">
        <v>86</v>
      </c>
      <c r="AK1730">
        <v>1</v>
      </c>
      <c r="AL1730">
        <v>1</v>
      </c>
      <c r="AO1730">
        <v>0</v>
      </c>
      <c r="AP1730" t="s">
        <v>3015</v>
      </c>
      <c r="AQ1730" t="s">
        <v>3044</v>
      </c>
      <c r="AR1730" t="s">
        <v>3045</v>
      </c>
      <c r="AS1730" t="s">
        <v>3046</v>
      </c>
      <c r="AU1730" t="s">
        <v>3046</v>
      </c>
    </row>
    <row r="1731" spans="1:47" x14ac:dyDescent="0.35">
      <c r="A1731">
        <v>347964</v>
      </c>
      <c r="B1731" t="s">
        <v>178</v>
      </c>
      <c r="C1731" t="s">
        <v>179</v>
      </c>
      <c r="D1731" s="2">
        <v>45791</v>
      </c>
      <c r="E1731">
        <v>53850</v>
      </c>
      <c r="F1731">
        <v>199</v>
      </c>
      <c r="G1731" t="s">
        <v>473</v>
      </c>
      <c r="H1731" t="s">
        <v>167</v>
      </c>
      <c r="I1731" t="s">
        <v>45</v>
      </c>
      <c r="K1731">
        <v>202505137975477</v>
      </c>
      <c r="L1731">
        <v>1993300002653</v>
      </c>
      <c r="M1731">
        <v>20250513</v>
      </c>
      <c r="N1731" t="s">
        <v>46</v>
      </c>
      <c r="P1731" t="s">
        <v>51</v>
      </c>
      <c r="Q1731" t="s">
        <v>47</v>
      </c>
      <c r="R1731">
        <v>1185000</v>
      </c>
      <c r="S1731">
        <v>0</v>
      </c>
      <c r="T1731">
        <v>4862196</v>
      </c>
      <c r="U1731">
        <v>1430150746</v>
      </c>
      <c r="V1731" t="s">
        <v>1319</v>
      </c>
      <c r="W1731" t="s">
        <v>49</v>
      </c>
      <c r="X1731" t="s">
        <v>234</v>
      </c>
      <c r="Y1731" t="s">
        <v>51</v>
      </c>
      <c r="Z1731">
        <v>1627</v>
      </c>
      <c r="AH1731">
        <v>0</v>
      </c>
      <c r="AI1731">
        <v>202505</v>
      </c>
      <c r="AJ1731" t="s">
        <v>86</v>
      </c>
      <c r="AK1731">
        <v>1</v>
      </c>
      <c r="AL1731">
        <v>1</v>
      </c>
      <c r="AO1731">
        <v>0</v>
      </c>
      <c r="AP1731" t="s">
        <v>3015</v>
      </c>
      <c r="AQ1731" t="s">
        <v>3012</v>
      </c>
      <c r="AR1731" t="s">
        <v>3016</v>
      </c>
      <c r="AT1731" t="s">
        <v>3017</v>
      </c>
      <c r="AU1731" t="s">
        <v>3018</v>
      </c>
    </row>
    <row r="1732" spans="1:47" x14ac:dyDescent="0.35">
      <c r="A1732">
        <v>347963</v>
      </c>
      <c r="B1732" t="s">
        <v>214</v>
      </c>
      <c r="C1732" t="s">
        <v>215</v>
      </c>
      <c r="D1732" s="2">
        <v>45791</v>
      </c>
      <c r="E1732">
        <v>53850</v>
      </c>
      <c r="F1732">
        <v>102</v>
      </c>
      <c r="G1732" t="s">
        <v>151</v>
      </c>
      <c r="H1732" t="s">
        <v>167</v>
      </c>
      <c r="I1732" t="s">
        <v>45</v>
      </c>
      <c r="K1732">
        <v>202505137975634</v>
      </c>
      <c r="L1732">
        <v>1023306274744</v>
      </c>
      <c r="M1732">
        <v>20250513</v>
      </c>
      <c r="N1732" t="s">
        <v>168</v>
      </c>
      <c r="P1732" t="s">
        <v>339</v>
      </c>
      <c r="Q1732" t="s">
        <v>47</v>
      </c>
      <c r="R1732">
        <v>63102</v>
      </c>
      <c r="S1732">
        <v>0</v>
      </c>
      <c r="T1732">
        <v>4873420</v>
      </c>
      <c r="U1732">
        <v>7966910726</v>
      </c>
      <c r="V1732" t="s">
        <v>942</v>
      </c>
      <c r="W1732" t="s">
        <v>49</v>
      </c>
      <c r="X1732" t="s">
        <v>123</v>
      </c>
      <c r="Y1732" t="s">
        <v>51</v>
      </c>
      <c r="Z1732">
        <v>1443</v>
      </c>
      <c r="AH1732">
        <v>0</v>
      </c>
      <c r="AI1732">
        <v>202505</v>
      </c>
      <c r="AJ1732" t="s">
        <v>1866</v>
      </c>
      <c r="AK1732">
        <v>1</v>
      </c>
      <c r="AL1732">
        <v>1</v>
      </c>
      <c r="AO1732">
        <v>0</v>
      </c>
      <c r="AP1732" t="s">
        <v>3031</v>
      </c>
      <c r="AQ1732" t="s">
        <v>3012</v>
      </c>
      <c r="AR1732" t="s">
        <v>3032</v>
      </c>
      <c r="AS1732" t="s">
        <v>3014</v>
      </c>
      <c r="AU1732" t="s">
        <v>3014</v>
      </c>
    </row>
    <row r="1733" spans="1:47" x14ac:dyDescent="0.35">
      <c r="A1733">
        <v>347962</v>
      </c>
      <c r="B1733" t="s">
        <v>178</v>
      </c>
      <c r="C1733" t="s">
        <v>179</v>
      </c>
      <c r="D1733" s="2">
        <v>45791</v>
      </c>
      <c r="E1733">
        <v>53850</v>
      </c>
      <c r="F1733">
        <v>103</v>
      </c>
      <c r="G1733" t="s">
        <v>80</v>
      </c>
      <c r="H1733" t="s">
        <v>167</v>
      </c>
      <c r="I1733" t="s">
        <v>45</v>
      </c>
      <c r="K1733">
        <v>202505137976155</v>
      </c>
      <c r="L1733">
        <v>1033306976187</v>
      </c>
      <c r="M1733">
        <v>20250513</v>
      </c>
      <c r="N1733" t="s">
        <v>258</v>
      </c>
      <c r="Q1733" t="s">
        <v>170</v>
      </c>
      <c r="R1733">
        <v>232000</v>
      </c>
      <c r="S1733">
        <v>0</v>
      </c>
      <c r="T1733">
        <v>4540292</v>
      </c>
      <c r="U1733" t="s">
        <v>1867</v>
      </c>
      <c r="V1733" t="s">
        <v>1868</v>
      </c>
      <c r="W1733" t="s">
        <v>187</v>
      </c>
      <c r="Y1733" t="s">
        <v>51</v>
      </c>
      <c r="AH1733">
        <v>0</v>
      </c>
      <c r="AI1733">
        <v>202505</v>
      </c>
      <c r="AJ1733" t="s">
        <v>86</v>
      </c>
      <c r="AK1733">
        <v>1</v>
      </c>
      <c r="AL1733">
        <v>1</v>
      </c>
      <c r="AO1733">
        <v>0</v>
      </c>
      <c r="AP1733" t="s">
        <v>3015</v>
      </c>
      <c r="AQ1733" t="s">
        <v>3044</v>
      </c>
      <c r="AR1733" t="s">
        <v>3045</v>
      </c>
      <c r="AS1733" t="s">
        <v>3046</v>
      </c>
      <c r="AU1733" t="s">
        <v>3046</v>
      </c>
    </row>
    <row r="1734" spans="1:47" x14ac:dyDescent="0.35">
      <c r="A1734">
        <v>347961</v>
      </c>
      <c r="B1734" t="s">
        <v>178</v>
      </c>
      <c r="C1734" t="s">
        <v>179</v>
      </c>
      <c r="D1734" s="2">
        <v>45791</v>
      </c>
      <c r="E1734">
        <v>53850</v>
      </c>
      <c r="F1734">
        <v>125</v>
      </c>
      <c r="G1734" t="s">
        <v>75</v>
      </c>
      <c r="H1734" t="s">
        <v>167</v>
      </c>
      <c r="I1734" t="s">
        <v>45</v>
      </c>
      <c r="K1734">
        <v>202505137975413</v>
      </c>
      <c r="L1734">
        <v>1253300010013</v>
      </c>
      <c r="M1734">
        <v>20250513</v>
      </c>
      <c r="N1734" t="s">
        <v>46</v>
      </c>
      <c r="P1734" t="s">
        <v>51</v>
      </c>
      <c r="Q1734" t="s">
        <v>47</v>
      </c>
      <c r="R1734">
        <v>400000</v>
      </c>
      <c r="S1734">
        <v>0</v>
      </c>
      <c r="T1734">
        <v>4167043</v>
      </c>
      <c r="U1734">
        <v>269990636</v>
      </c>
      <c r="V1734" t="s">
        <v>239</v>
      </c>
      <c r="W1734" t="s">
        <v>49</v>
      </c>
      <c r="X1734" t="s">
        <v>110</v>
      </c>
      <c r="Y1734" t="s">
        <v>51</v>
      </c>
      <c r="Z1734">
        <v>982</v>
      </c>
      <c r="AH1734">
        <v>0</v>
      </c>
      <c r="AI1734">
        <v>202505</v>
      </c>
      <c r="AJ1734" t="s">
        <v>52</v>
      </c>
      <c r="AK1734">
        <v>0</v>
      </c>
      <c r="AL1734">
        <v>1</v>
      </c>
      <c r="AO1734">
        <v>0</v>
      </c>
      <c r="AP1734" t="s">
        <v>3026</v>
      </c>
      <c r="AQ1734" t="s">
        <v>3012</v>
      </c>
      <c r="AR1734" t="s">
        <v>3027</v>
      </c>
      <c r="AS1734" t="s">
        <v>3028</v>
      </c>
      <c r="AU1734" t="s">
        <v>3028</v>
      </c>
    </row>
    <row r="1735" spans="1:47" x14ac:dyDescent="0.35">
      <c r="A1735">
        <v>347960</v>
      </c>
      <c r="B1735" t="s">
        <v>178</v>
      </c>
      <c r="C1735" t="s">
        <v>179</v>
      </c>
      <c r="D1735" s="2">
        <v>45791</v>
      </c>
      <c r="E1735">
        <v>53850</v>
      </c>
      <c r="F1735">
        <v>103</v>
      </c>
      <c r="G1735" t="s">
        <v>80</v>
      </c>
      <c r="H1735" t="s">
        <v>167</v>
      </c>
      <c r="I1735" t="s">
        <v>45</v>
      </c>
      <c r="K1735">
        <v>202505137974141</v>
      </c>
      <c r="L1735">
        <v>1033306973875</v>
      </c>
      <c r="M1735">
        <v>20250513</v>
      </c>
      <c r="N1735" t="s">
        <v>236</v>
      </c>
      <c r="P1735" t="s">
        <v>51</v>
      </c>
      <c r="Q1735" t="s">
        <v>170</v>
      </c>
      <c r="R1735">
        <v>900000</v>
      </c>
      <c r="S1735">
        <v>0</v>
      </c>
      <c r="T1735">
        <v>4669615</v>
      </c>
      <c r="U1735">
        <v>7203330720</v>
      </c>
      <c r="V1735" t="s">
        <v>1869</v>
      </c>
      <c r="W1735" t="s">
        <v>49</v>
      </c>
      <c r="X1735" t="s">
        <v>65</v>
      </c>
      <c r="Y1735" t="s">
        <v>51</v>
      </c>
      <c r="Z1735">
        <v>1926</v>
      </c>
      <c r="AH1735">
        <v>0</v>
      </c>
      <c r="AI1735">
        <v>202505</v>
      </c>
      <c r="AJ1735" t="s">
        <v>119</v>
      </c>
      <c r="AK1735">
        <v>1</v>
      </c>
      <c r="AL1735">
        <v>1</v>
      </c>
      <c r="AO1735">
        <v>0</v>
      </c>
      <c r="AP1735" t="s">
        <v>3019</v>
      </c>
      <c r="AQ1735" t="s">
        <v>3012</v>
      </c>
      <c r="AR1735" t="s">
        <v>3020</v>
      </c>
      <c r="AS1735" t="s">
        <v>3014</v>
      </c>
      <c r="AU1735" t="s">
        <v>3014</v>
      </c>
    </row>
    <row r="1736" spans="1:47" x14ac:dyDescent="0.35">
      <c r="A1736">
        <v>347959</v>
      </c>
      <c r="B1736" t="s">
        <v>193</v>
      </c>
      <c r="C1736" t="s">
        <v>194</v>
      </c>
      <c r="D1736" s="2">
        <v>45791</v>
      </c>
      <c r="E1736">
        <v>53850</v>
      </c>
      <c r="F1736">
        <v>171</v>
      </c>
      <c r="G1736" t="s">
        <v>198</v>
      </c>
      <c r="H1736" t="s">
        <v>167</v>
      </c>
      <c r="I1736" t="s">
        <v>45</v>
      </c>
      <c r="K1736" t="s">
        <v>1834</v>
      </c>
      <c r="L1736">
        <v>1713302214147</v>
      </c>
      <c r="M1736">
        <v>20250513</v>
      </c>
      <c r="N1736" t="s">
        <v>195</v>
      </c>
      <c r="Q1736" t="s">
        <v>47</v>
      </c>
      <c r="R1736">
        <v>43115</v>
      </c>
      <c r="S1736">
        <v>43115</v>
      </c>
      <c r="T1736">
        <v>4199319</v>
      </c>
      <c r="U1736">
        <v>6037810725</v>
      </c>
      <c r="V1736" t="s">
        <v>1144</v>
      </c>
      <c r="W1736" t="s">
        <v>49</v>
      </c>
      <c r="X1736" t="s">
        <v>200</v>
      </c>
      <c r="Y1736" t="s">
        <v>51</v>
      </c>
      <c r="Z1736">
        <v>1903</v>
      </c>
      <c r="AH1736">
        <v>0</v>
      </c>
      <c r="AI1736">
        <v>202505</v>
      </c>
      <c r="AJ1736" t="s">
        <v>86</v>
      </c>
      <c r="AK1736">
        <v>1</v>
      </c>
      <c r="AL1736">
        <v>1</v>
      </c>
      <c r="AM1736">
        <v>4199319</v>
      </c>
      <c r="AN1736">
        <v>1</v>
      </c>
      <c r="AO1736">
        <v>0</v>
      </c>
      <c r="AP1736" t="s">
        <v>3015</v>
      </c>
      <c r="AQ1736" t="s">
        <v>3012</v>
      </c>
      <c r="AR1736" t="s">
        <v>3016</v>
      </c>
      <c r="AT1736" t="s">
        <v>3017</v>
      </c>
      <c r="AU1736" t="s">
        <v>3018</v>
      </c>
    </row>
    <row r="1737" spans="1:47" x14ac:dyDescent="0.35">
      <c r="A1737">
        <v>347958</v>
      </c>
      <c r="B1737" t="s">
        <v>178</v>
      </c>
      <c r="C1737" t="s">
        <v>179</v>
      </c>
      <c r="D1737" s="2">
        <v>45791</v>
      </c>
      <c r="E1737">
        <v>53850</v>
      </c>
      <c r="F1737">
        <v>268</v>
      </c>
      <c r="G1737" t="s">
        <v>83</v>
      </c>
      <c r="H1737" t="s">
        <v>167</v>
      </c>
      <c r="I1737" t="s">
        <v>45</v>
      </c>
      <c r="K1737">
        <v>202505137977203</v>
      </c>
      <c r="L1737">
        <v>2683300000159</v>
      </c>
      <c r="M1737">
        <v>20250513</v>
      </c>
      <c r="N1737" t="s">
        <v>3136</v>
      </c>
      <c r="Q1737" t="s">
        <v>170</v>
      </c>
      <c r="R1737">
        <v>5336.47</v>
      </c>
      <c r="S1737">
        <v>0</v>
      </c>
      <c r="T1737">
        <v>1606026</v>
      </c>
      <c r="U1737" t="s">
        <v>1870</v>
      </c>
      <c r="V1737" t="s">
        <v>1871</v>
      </c>
      <c r="W1737" t="s">
        <v>187</v>
      </c>
      <c r="Y1737" t="s">
        <v>51</v>
      </c>
      <c r="Z1737">
        <v>1830</v>
      </c>
      <c r="AH1737">
        <v>0</v>
      </c>
      <c r="AI1737">
        <v>202505</v>
      </c>
      <c r="AJ1737" t="s">
        <v>86</v>
      </c>
      <c r="AK1737">
        <v>1</v>
      </c>
      <c r="AL1737">
        <v>1</v>
      </c>
      <c r="AO1737">
        <v>1</v>
      </c>
      <c r="AP1737" t="s">
        <v>3015</v>
      </c>
      <c r="AQ1737" t="s">
        <v>3044</v>
      </c>
      <c r="AR1737" t="s">
        <v>3045</v>
      </c>
      <c r="AS1737" t="s">
        <v>3046</v>
      </c>
      <c r="AU1737" t="s">
        <v>3046</v>
      </c>
    </row>
    <row r="1738" spans="1:47" x14ac:dyDescent="0.35">
      <c r="A1738">
        <v>347957</v>
      </c>
      <c r="B1738" t="s">
        <v>172</v>
      </c>
      <c r="C1738" t="s">
        <v>173</v>
      </c>
      <c r="D1738" s="2">
        <v>45791</v>
      </c>
      <c r="E1738">
        <v>53850</v>
      </c>
      <c r="F1738">
        <v>108</v>
      </c>
      <c r="G1738" t="s">
        <v>124</v>
      </c>
      <c r="H1738" t="s">
        <v>167</v>
      </c>
      <c r="I1738" t="s">
        <v>45</v>
      </c>
      <c r="K1738" t="s">
        <v>1834</v>
      </c>
      <c r="L1738">
        <v>1083300011180</v>
      </c>
      <c r="M1738">
        <v>20250513</v>
      </c>
      <c r="N1738" t="s">
        <v>175</v>
      </c>
      <c r="Q1738" t="s">
        <v>47</v>
      </c>
      <c r="R1738">
        <v>133274.48000000001</v>
      </c>
      <c r="S1738">
        <v>0</v>
      </c>
      <c r="T1738">
        <v>1118</v>
      </c>
      <c r="U1738">
        <v>3246700722</v>
      </c>
      <c r="V1738" t="s">
        <v>125</v>
      </c>
      <c r="W1738" t="s">
        <v>49</v>
      </c>
      <c r="X1738" t="s">
        <v>96</v>
      </c>
      <c r="Y1738" t="s">
        <v>51</v>
      </c>
      <c r="Z1738">
        <v>1058</v>
      </c>
      <c r="AH1738">
        <v>0</v>
      </c>
      <c r="AI1738">
        <v>202505</v>
      </c>
      <c r="AJ1738" t="s">
        <v>52</v>
      </c>
      <c r="AK1738">
        <v>0</v>
      </c>
      <c r="AL1738">
        <v>1</v>
      </c>
      <c r="AO1738">
        <v>1</v>
      </c>
      <c r="AP1738" t="s">
        <v>3015</v>
      </c>
      <c r="AQ1738" t="s">
        <v>3012</v>
      </c>
      <c r="AR1738" t="s">
        <v>3016</v>
      </c>
      <c r="AT1738" t="s">
        <v>3017</v>
      </c>
      <c r="AU1738" t="s">
        <v>3018</v>
      </c>
    </row>
    <row r="1739" spans="1:47" x14ac:dyDescent="0.35">
      <c r="A1739">
        <v>347956</v>
      </c>
      <c r="B1739" t="s">
        <v>178</v>
      </c>
      <c r="C1739" t="s">
        <v>179</v>
      </c>
      <c r="D1739" s="2">
        <v>45791</v>
      </c>
      <c r="E1739">
        <v>53850</v>
      </c>
      <c r="F1739">
        <v>269</v>
      </c>
      <c r="G1739" t="s">
        <v>265</v>
      </c>
      <c r="H1739" t="s">
        <v>167</v>
      </c>
      <c r="I1739" t="s">
        <v>45</v>
      </c>
      <c r="K1739" t="s">
        <v>1872</v>
      </c>
      <c r="L1739">
        <v>2693300001109</v>
      </c>
      <c r="M1739">
        <v>20250513</v>
      </c>
      <c r="N1739" t="s">
        <v>3136</v>
      </c>
      <c r="Q1739" t="s">
        <v>170</v>
      </c>
      <c r="R1739">
        <v>1526.83</v>
      </c>
      <c r="S1739">
        <v>0</v>
      </c>
      <c r="T1739">
        <v>1679198</v>
      </c>
      <c r="U1739" t="s">
        <v>1873</v>
      </c>
      <c r="V1739" t="s">
        <v>1874</v>
      </c>
      <c r="W1739" t="s">
        <v>187</v>
      </c>
      <c r="Y1739" t="s">
        <v>51</v>
      </c>
      <c r="Z1739">
        <v>1879</v>
      </c>
      <c r="AH1739">
        <v>0</v>
      </c>
      <c r="AI1739">
        <v>202505</v>
      </c>
      <c r="AJ1739" t="s">
        <v>52</v>
      </c>
      <c r="AK1739">
        <v>0</v>
      </c>
      <c r="AL1739">
        <v>1</v>
      </c>
      <c r="AO1739">
        <v>1</v>
      </c>
      <c r="AP1739" t="s">
        <v>3015</v>
      </c>
      <c r="AQ1739" t="s">
        <v>3044</v>
      </c>
      <c r="AR1739" t="s">
        <v>3045</v>
      </c>
      <c r="AS1739" t="s">
        <v>3046</v>
      </c>
      <c r="AU1739" t="s">
        <v>3046</v>
      </c>
    </row>
    <row r="1740" spans="1:47" x14ac:dyDescent="0.35">
      <c r="A1740">
        <v>347955</v>
      </c>
      <c r="B1740" t="s">
        <v>178</v>
      </c>
      <c r="C1740" t="s">
        <v>179</v>
      </c>
      <c r="D1740" s="2">
        <v>45791</v>
      </c>
      <c r="E1740">
        <v>53850</v>
      </c>
      <c r="F1740">
        <v>268</v>
      </c>
      <c r="G1740" t="s">
        <v>83</v>
      </c>
      <c r="H1740" t="s">
        <v>167</v>
      </c>
      <c r="I1740" t="s">
        <v>45</v>
      </c>
      <c r="K1740" t="s">
        <v>1861</v>
      </c>
      <c r="L1740">
        <v>2683300002913</v>
      </c>
      <c r="M1740">
        <v>20250513</v>
      </c>
      <c r="N1740" t="s">
        <v>3136</v>
      </c>
      <c r="Q1740" t="s">
        <v>170</v>
      </c>
      <c r="R1740">
        <v>1744.07</v>
      </c>
      <c r="S1740">
        <v>0</v>
      </c>
      <c r="T1740">
        <v>1630064</v>
      </c>
      <c r="U1740" t="s">
        <v>1875</v>
      </c>
      <c r="V1740" t="s">
        <v>1876</v>
      </c>
      <c r="W1740" t="s">
        <v>187</v>
      </c>
      <c r="Y1740" t="s">
        <v>51</v>
      </c>
      <c r="AH1740">
        <v>0</v>
      </c>
      <c r="AI1740">
        <v>202505</v>
      </c>
      <c r="AJ1740" t="s">
        <v>86</v>
      </c>
      <c r="AK1740">
        <v>1</v>
      </c>
      <c r="AL1740">
        <v>1</v>
      </c>
      <c r="AO1740">
        <v>1</v>
      </c>
      <c r="AP1740" t="s">
        <v>3015</v>
      </c>
      <c r="AQ1740" t="s">
        <v>3044</v>
      </c>
      <c r="AR1740" t="s">
        <v>3045</v>
      </c>
      <c r="AS1740" t="s">
        <v>3046</v>
      </c>
      <c r="AU1740" t="s">
        <v>3046</v>
      </c>
    </row>
    <row r="1741" spans="1:47" x14ac:dyDescent="0.35">
      <c r="A1741">
        <v>347954</v>
      </c>
      <c r="B1741" t="s">
        <v>333</v>
      </c>
      <c r="C1741" t="s">
        <v>334</v>
      </c>
      <c r="D1741" s="2">
        <v>45791</v>
      </c>
      <c r="E1741">
        <v>53850</v>
      </c>
      <c r="F1741">
        <v>99</v>
      </c>
      <c r="G1741" t="s">
        <v>335</v>
      </c>
      <c r="H1741" t="s">
        <v>167</v>
      </c>
      <c r="I1741" t="s">
        <v>45</v>
      </c>
      <c r="K1741">
        <v>202505137976741</v>
      </c>
      <c r="M1741">
        <v>20250513</v>
      </c>
      <c r="N1741" t="s">
        <v>3136</v>
      </c>
      <c r="Q1741" t="s">
        <v>170</v>
      </c>
      <c r="R1741">
        <v>36278.19</v>
      </c>
      <c r="S1741">
        <v>0</v>
      </c>
      <c r="T1741">
        <v>1677596</v>
      </c>
      <c r="U1741" t="s">
        <v>1877</v>
      </c>
      <c r="V1741" t="s">
        <v>1878</v>
      </c>
      <c r="W1741" t="s">
        <v>187</v>
      </c>
      <c r="Y1741" t="s">
        <v>51</v>
      </c>
      <c r="Z1741">
        <v>1798</v>
      </c>
      <c r="AH1741">
        <v>0</v>
      </c>
      <c r="AI1741">
        <v>202505</v>
      </c>
      <c r="AJ1741" t="s">
        <v>52</v>
      </c>
      <c r="AK1741">
        <v>0</v>
      </c>
      <c r="AL1741">
        <v>0</v>
      </c>
      <c r="AO1741">
        <v>1</v>
      </c>
      <c r="AP1741" t="s">
        <v>3015</v>
      </c>
      <c r="AQ1741" t="s">
        <v>3044</v>
      </c>
      <c r="AR1741" t="s">
        <v>3045</v>
      </c>
      <c r="AS1741" t="s">
        <v>3046</v>
      </c>
      <c r="AU1741" t="s">
        <v>3046</v>
      </c>
    </row>
    <row r="1742" spans="1:47" x14ac:dyDescent="0.35">
      <c r="A1742">
        <v>347953</v>
      </c>
      <c r="B1742" t="s">
        <v>178</v>
      </c>
      <c r="C1742" t="s">
        <v>179</v>
      </c>
      <c r="D1742" s="2">
        <v>45791</v>
      </c>
      <c r="E1742">
        <v>53850</v>
      </c>
      <c r="F1742">
        <v>169</v>
      </c>
      <c r="G1742" t="s">
        <v>57</v>
      </c>
      <c r="H1742" t="s">
        <v>167</v>
      </c>
      <c r="I1742" t="s">
        <v>45</v>
      </c>
      <c r="K1742">
        <v>202505137977032</v>
      </c>
      <c r="L1742">
        <v>1693302225641</v>
      </c>
      <c r="M1742">
        <v>20250513</v>
      </c>
      <c r="N1742" t="s">
        <v>3136</v>
      </c>
      <c r="Q1742" t="s">
        <v>170</v>
      </c>
      <c r="R1742">
        <v>14482.57</v>
      </c>
      <c r="S1742">
        <v>0</v>
      </c>
      <c r="T1742">
        <v>3715785</v>
      </c>
      <c r="U1742">
        <v>6316660726</v>
      </c>
      <c r="V1742" t="s">
        <v>1879</v>
      </c>
      <c r="W1742" t="s">
        <v>49</v>
      </c>
      <c r="X1742" t="s">
        <v>432</v>
      </c>
      <c r="Y1742" t="s">
        <v>51</v>
      </c>
      <c r="Z1742">
        <v>905</v>
      </c>
      <c r="AH1742">
        <v>0</v>
      </c>
      <c r="AI1742">
        <v>202505</v>
      </c>
      <c r="AJ1742" t="s">
        <v>86</v>
      </c>
      <c r="AK1742">
        <v>1</v>
      </c>
      <c r="AL1742">
        <v>1</v>
      </c>
      <c r="AO1742">
        <v>1</v>
      </c>
      <c r="AP1742" t="s">
        <v>3015</v>
      </c>
      <c r="AQ1742" t="s">
        <v>3012</v>
      </c>
      <c r="AR1742" t="s">
        <v>3016</v>
      </c>
      <c r="AT1742" t="s">
        <v>3017</v>
      </c>
      <c r="AU1742" t="s">
        <v>3018</v>
      </c>
    </row>
    <row r="1743" spans="1:47" x14ac:dyDescent="0.35">
      <c r="A1743">
        <v>347952</v>
      </c>
      <c r="B1743" t="s">
        <v>172</v>
      </c>
      <c r="C1743" t="s">
        <v>173</v>
      </c>
      <c r="D1743" s="2">
        <v>45791</v>
      </c>
      <c r="E1743">
        <v>53850</v>
      </c>
      <c r="F1743">
        <v>136</v>
      </c>
      <c r="G1743" t="s">
        <v>551</v>
      </c>
      <c r="H1743" t="s">
        <v>167</v>
      </c>
      <c r="I1743" t="s">
        <v>45</v>
      </c>
      <c r="K1743">
        <v>202505137976951</v>
      </c>
      <c r="L1743">
        <v>1363300004078</v>
      </c>
      <c r="M1743">
        <v>20250513</v>
      </c>
      <c r="N1743" t="s">
        <v>266</v>
      </c>
      <c r="Q1743" t="s">
        <v>47</v>
      </c>
      <c r="R1743">
        <v>143030</v>
      </c>
      <c r="S1743">
        <v>143030</v>
      </c>
      <c r="T1743">
        <v>4952440</v>
      </c>
      <c r="U1743" t="s">
        <v>1857</v>
      </c>
      <c r="V1743" t="s">
        <v>1858</v>
      </c>
      <c r="W1743" t="s">
        <v>69</v>
      </c>
      <c r="X1743" t="s">
        <v>590</v>
      </c>
      <c r="Y1743" t="s">
        <v>51</v>
      </c>
      <c r="Z1743">
        <v>1552</v>
      </c>
      <c r="AH1743">
        <v>0</v>
      </c>
      <c r="AI1743">
        <v>202505</v>
      </c>
      <c r="AJ1743" t="s">
        <v>56</v>
      </c>
      <c r="AK1743">
        <v>0</v>
      </c>
      <c r="AL1743">
        <v>1</v>
      </c>
      <c r="AM1743">
        <v>4952440</v>
      </c>
      <c r="AN1743">
        <v>1</v>
      </c>
      <c r="AO1743">
        <v>0</v>
      </c>
      <c r="AP1743" t="s">
        <v>3015</v>
      </c>
      <c r="AQ1743" t="s">
        <v>3021</v>
      </c>
      <c r="AR1743" t="s">
        <v>3022</v>
      </c>
      <c r="AT1743" t="s">
        <v>3017</v>
      </c>
      <c r="AU1743" t="s">
        <v>3014</v>
      </c>
    </row>
    <row r="1744" spans="1:47" x14ac:dyDescent="0.35">
      <c r="A1744">
        <v>347951</v>
      </c>
      <c r="B1744" t="s">
        <v>164</v>
      </c>
      <c r="C1744" t="s">
        <v>165</v>
      </c>
      <c r="D1744" s="2">
        <v>45791</v>
      </c>
      <c r="E1744">
        <v>53850</v>
      </c>
      <c r="F1744">
        <v>199</v>
      </c>
      <c r="G1744" t="s">
        <v>473</v>
      </c>
      <c r="H1744" t="s">
        <v>167</v>
      </c>
      <c r="I1744" t="s">
        <v>45</v>
      </c>
      <c r="K1744">
        <v>202505137973901</v>
      </c>
      <c r="L1744">
        <v>1993300003021</v>
      </c>
      <c r="M1744">
        <v>20250513</v>
      </c>
      <c r="N1744" t="s">
        <v>168</v>
      </c>
      <c r="P1744" t="s">
        <v>255</v>
      </c>
      <c r="Q1744" t="s">
        <v>170</v>
      </c>
      <c r="R1744">
        <v>5000</v>
      </c>
      <c r="S1744">
        <v>0</v>
      </c>
      <c r="T1744">
        <v>4946318</v>
      </c>
      <c r="U1744">
        <v>2571200746</v>
      </c>
      <c r="V1744" t="s">
        <v>475</v>
      </c>
      <c r="W1744" t="s">
        <v>476</v>
      </c>
      <c r="X1744" t="s">
        <v>241</v>
      </c>
      <c r="Y1744" t="s">
        <v>255</v>
      </c>
      <c r="Z1744">
        <v>639</v>
      </c>
      <c r="AH1744">
        <v>0</v>
      </c>
      <c r="AI1744">
        <v>202505</v>
      </c>
      <c r="AJ1744" t="s">
        <v>56</v>
      </c>
      <c r="AK1744">
        <v>0</v>
      </c>
      <c r="AL1744">
        <v>1</v>
      </c>
      <c r="AO1744">
        <v>0</v>
      </c>
      <c r="AP1744" t="s">
        <v>3015</v>
      </c>
      <c r="AQ1744" t="s">
        <v>3072</v>
      </c>
      <c r="AR1744" t="s">
        <v>3073</v>
      </c>
      <c r="AT1744" t="s">
        <v>3017</v>
      </c>
      <c r="AU1744" t="s">
        <v>3057</v>
      </c>
    </row>
    <row r="1745" spans="1:47" x14ac:dyDescent="0.35">
      <c r="A1745">
        <v>347950</v>
      </c>
      <c r="B1745" t="s">
        <v>178</v>
      </c>
      <c r="C1745" t="s">
        <v>179</v>
      </c>
      <c r="D1745" s="2">
        <v>45791</v>
      </c>
      <c r="E1745">
        <v>53850</v>
      </c>
      <c r="F1745">
        <v>286</v>
      </c>
      <c r="G1745" t="s">
        <v>408</v>
      </c>
      <c r="H1745" t="s">
        <v>167</v>
      </c>
      <c r="I1745" t="s">
        <v>45</v>
      </c>
      <c r="K1745">
        <v>202505137974664</v>
      </c>
      <c r="L1745">
        <v>2863300013638</v>
      </c>
      <c r="M1745">
        <v>20250513</v>
      </c>
      <c r="N1745" t="s">
        <v>46</v>
      </c>
      <c r="P1745" t="s">
        <v>51</v>
      </c>
      <c r="Q1745" t="s">
        <v>47</v>
      </c>
      <c r="R1745">
        <v>2500000</v>
      </c>
      <c r="S1745">
        <v>0</v>
      </c>
      <c r="T1745">
        <v>3730606</v>
      </c>
      <c r="U1745">
        <v>17550651008</v>
      </c>
      <c r="V1745" t="s">
        <v>1841</v>
      </c>
      <c r="W1745" t="s">
        <v>156</v>
      </c>
      <c r="X1745" t="s">
        <v>825</v>
      </c>
      <c r="Y1745" t="s">
        <v>51</v>
      </c>
      <c r="Z1745">
        <v>1877</v>
      </c>
      <c r="AH1745">
        <v>0</v>
      </c>
      <c r="AI1745">
        <v>202505</v>
      </c>
      <c r="AJ1745" t="s">
        <v>56</v>
      </c>
      <c r="AK1745">
        <v>0</v>
      </c>
      <c r="AL1745">
        <v>1</v>
      </c>
      <c r="AO1745">
        <v>0</v>
      </c>
      <c r="AP1745" t="s">
        <v>3015</v>
      </c>
      <c r="AQ1745" t="s">
        <v>3038</v>
      </c>
      <c r="AR1745" t="s">
        <v>3039</v>
      </c>
      <c r="AT1745" t="s">
        <v>3017</v>
      </c>
      <c r="AU1745" t="s">
        <v>3037</v>
      </c>
    </row>
    <row r="1746" spans="1:47" x14ac:dyDescent="0.35">
      <c r="A1746">
        <v>347949</v>
      </c>
      <c r="B1746" t="s">
        <v>193</v>
      </c>
      <c r="C1746" t="s">
        <v>194</v>
      </c>
      <c r="D1746" s="2">
        <v>45791</v>
      </c>
      <c r="E1746">
        <v>53850</v>
      </c>
      <c r="F1746">
        <v>161</v>
      </c>
      <c r="G1746" t="s">
        <v>111</v>
      </c>
      <c r="H1746" t="s">
        <v>167</v>
      </c>
      <c r="I1746" t="s">
        <v>45</v>
      </c>
      <c r="K1746" t="s">
        <v>1834</v>
      </c>
      <c r="L1746">
        <v>1613300031333</v>
      </c>
      <c r="M1746">
        <v>20250513</v>
      </c>
      <c r="N1746" t="s">
        <v>175</v>
      </c>
      <c r="Q1746" t="s">
        <v>47</v>
      </c>
      <c r="R1746">
        <v>45007.4</v>
      </c>
      <c r="S1746">
        <v>40100</v>
      </c>
      <c r="T1746">
        <v>511904</v>
      </c>
      <c r="U1746" t="s">
        <v>388</v>
      </c>
      <c r="V1746" t="s">
        <v>389</v>
      </c>
      <c r="W1746" t="s">
        <v>69</v>
      </c>
      <c r="X1746" t="s">
        <v>55</v>
      </c>
      <c r="Y1746" t="s">
        <v>51</v>
      </c>
      <c r="Z1746">
        <v>857</v>
      </c>
      <c r="AH1746">
        <v>0</v>
      </c>
      <c r="AI1746">
        <v>202505</v>
      </c>
      <c r="AJ1746" t="s">
        <v>56</v>
      </c>
      <c r="AK1746">
        <v>0</v>
      </c>
      <c r="AL1746">
        <v>1</v>
      </c>
      <c r="AM1746">
        <v>511904</v>
      </c>
      <c r="AN1746">
        <v>1</v>
      </c>
      <c r="AO1746">
        <v>1</v>
      </c>
      <c r="AP1746" t="s">
        <v>3015</v>
      </c>
      <c r="AQ1746" t="s">
        <v>3021</v>
      </c>
      <c r="AR1746" t="s">
        <v>3022</v>
      </c>
      <c r="AT1746" t="s">
        <v>3017</v>
      </c>
      <c r="AU1746" t="s">
        <v>3014</v>
      </c>
    </row>
    <row r="1747" spans="1:47" x14ac:dyDescent="0.35">
      <c r="A1747">
        <v>347948</v>
      </c>
      <c r="B1747" t="s">
        <v>178</v>
      </c>
      <c r="C1747" t="s">
        <v>179</v>
      </c>
      <c r="D1747" s="2">
        <v>45791</v>
      </c>
      <c r="E1747">
        <v>53850</v>
      </c>
      <c r="F1747">
        <v>102</v>
      </c>
      <c r="G1747" t="s">
        <v>151</v>
      </c>
      <c r="H1747" t="s">
        <v>167</v>
      </c>
      <c r="I1747" t="s">
        <v>45</v>
      </c>
      <c r="K1747">
        <v>202505137974765</v>
      </c>
      <c r="L1747">
        <v>1023308726073</v>
      </c>
      <c r="M1747">
        <v>20250513</v>
      </c>
      <c r="N1747" t="s">
        <v>46</v>
      </c>
      <c r="P1747" t="s">
        <v>51</v>
      </c>
      <c r="Q1747" t="s">
        <v>47</v>
      </c>
      <c r="R1747">
        <v>695171</v>
      </c>
      <c r="S1747">
        <v>0</v>
      </c>
      <c r="T1747">
        <v>4972446</v>
      </c>
      <c r="U1747">
        <v>8406920721</v>
      </c>
      <c r="V1747" t="s">
        <v>824</v>
      </c>
      <c r="W1747" t="s">
        <v>49</v>
      </c>
      <c r="X1747" t="s">
        <v>364</v>
      </c>
      <c r="Y1747" t="s">
        <v>51</v>
      </c>
      <c r="Z1747">
        <v>739</v>
      </c>
      <c r="AH1747">
        <v>0</v>
      </c>
      <c r="AI1747">
        <v>202505</v>
      </c>
      <c r="AJ1747" t="s">
        <v>86</v>
      </c>
      <c r="AK1747">
        <v>1</v>
      </c>
      <c r="AL1747">
        <v>1</v>
      </c>
      <c r="AO1747">
        <v>0</v>
      </c>
      <c r="AP1747" t="s">
        <v>3062</v>
      </c>
      <c r="AQ1747" t="s">
        <v>3012</v>
      </c>
      <c r="AR1747" t="s">
        <v>3063</v>
      </c>
      <c r="AS1747" t="s">
        <v>3014</v>
      </c>
      <c r="AU1747" t="s">
        <v>3014</v>
      </c>
    </row>
    <row r="1748" spans="1:47" x14ac:dyDescent="0.35">
      <c r="A1748">
        <v>347947</v>
      </c>
      <c r="B1748" t="s">
        <v>178</v>
      </c>
      <c r="C1748" t="s">
        <v>179</v>
      </c>
      <c r="D1748" s="2">
        <v>45791</v>
      </c>
      <c r="E1748">
        <v>53850</v>
      </c>
      <c r="F1748">
        <v>109</v>
      </c>
      <c r="G1748" t="s">
        <v>89</v>
      </c>
      <c r="H1748" t="s">
        <v>167</v>
      </c>
      <c r="I1748" t="s">
        <v>45</v>
      </c>
      <c r="K1748">
        <v>202505137976858</v>
      </c>
      <c r="L1748">
        <v>1093304100117</v>
      </c>
      <c r="M1748">
        <v>20250513</v>
      </c>
      <c r="N1748" t="s">
        <v>3136</v>
      </c>
      <c r="Q1748" t="s">
        <v>170</v>
      </c>
      <c r="R1748">
        <v>7719.46</v>
      </c>
      <c r="S1748">
        <v>0</v>
      </c>
      <c r="T1748">
        <v>1007122</v>
      </c>
      <c r="U1748" t="s">
        <v>1880</v>
      </c>
      <c r="V1748" t="s">
        <v>1881</v>
      </c>
      <c r="W1748" t="s">
        <v>187</v>
      </c>
      <c r="Y1748" t="s">
        <v>51</v>
      </c>
      <c r="Z1748">
        <v>1271</v>
      </c>
      <c r="AH1748">
        <v>0</v>
      </c>
      <c r="AI1748">
        <v>202505</v>
      </c>
      <c r="AJ1748" t="s">
        <v>86</v>
      </c>
      <c r="AK1748">
        <v>1</v>
      </c>
      <c r="AL1748">
        <v>1</v>
      </c>
      <c r="AO1748">
        <v>1</v>
      </c>
      <c r="AP1748" t="s">
        <v>3015</v>
      </c>
      <c r="AQ1748" t="s">
        <v>3044</v>
      </c>
      <c r="AR1748" t="s">
        <v>3045</v>
      </c>
      <c r="AS1748" t="s">
        <v>3046</v>
      </c>
      <c r="AU1748" t="s">
        <v>3046</v>
      </c>
    </row>
    <row r="1749" spans="1:47" x14ac:dyDescent="0.35">
      <c r="A1749">
        <v>347946</v>
      </c>
      <c r="B1749" t="s">
        <v>214</v>
      </c>
      <c r="C1749" t="s">
        <v>215</v>
      </c>
      <c r="D1749" s="2">
        <v>45791</v>
      </c>
      <c r="E1749">
        <v>53850</v>
      </c>
      <c r="F1749">
        <v>131</v>
      </c>
      <c r="G1749" t="s">
        <v>216</v>
      </c>
      <c r="H1749" t="s">
        <v>167</v>
      </c>
      <c r="I1749" t="s">
        <v>45</v>
      </c>
      <c r="K1749">
        <v>202505137976928</v>
      </c>
      <c r="L1749">
        <v>1313300004532</v>
      </c>
      <c r="M1749">
        <v>20250513</v>
      </c>
      <c r="N1749" t="s">
        <v>168</v>
      </c>
      <c r="P1749" t="s">
        <v>217</v>
      </c>
      <c r="Q1749" t="s">
        <v>170</v>
      </c>
      <c r="R1749">
        <v>15666.67</v>
      </c>
      <c r="S1749">
        <v>0</v>
      </c>
      <c r="T1749">
        <v>3739170</v>
      </c>
      <c r="U1749" t="s">
        <v>1842</v>
      </c>
      <c r="V1749" t="s">
        <v>1843</v>
      </c>
      <c r="W1749" t="s">
        <v>187</v>
      </c>
      <c r="Y1749" t="s">
        <v>51</v>
      </c>
      <c r="Z1749">
        <v>915</v>
      </c>
      <c r="AH1749">
        <v>0</v>
      </c>
      <c r="AI1749">
        <v>202505</v>
      </c>
      <c r="AJ1749" t="s">
        <v>119</v>
      </c>
      <c r="AK1749">
        <v>1</v>
      </c>
      <c r="AL1749">
        <v>1</v>
      </c>
      <c r="AO1749">
        <v>0</v>
      </c>
      <c r="AP1749" t="s">
        <v>3015</v>
      </c>
      <c r="AQ1749" t="s">
        <v>3044</v>
      </c>
      <c r="AR1749" t="s">
        <v>3045</v>
      </c>
      <c r="AS1749" t="s">
        <v>3046</v>
      </c>
      <c r="AU1749" t="s">
        <v>3046</v>
      </c>
    </row>
    <row r="1750" spans="1:47" x14ac:dyDescent="0.35">
      <c r="A1750">
        <v>347945</v>
      </c>
      <c r="B1750" t="s">
        <v>178</v>
      </c>
      <c r="C1750" t="s">
        <v>179</v>
      </c>
      <c r="D1750" s="2">
        <v>45791</v>
      </c>
      <c r="E1750">
        <v>53850</v>
      </c>
      <c r="F1750">
        <v>286</v>
      </c>
      <c r="G1750" t="s">
        <v>408</v>
      </c>
      <c r="H1750" t="s">
        <v>167</v>
      </c>
      <c r="I1750" t="s">
        <v>45</v>
      </c>
      <c r="K1750">
        <v>202505137976740</v>
      </c>
      <c r="L1750">
        <v>2863300002276</v>
      </c>
      <c r="M1750">
        <v>20250513</v>
      </c>
      <c r="N1750" t="s">
        <v>3136</v>
      </c>
      <c r="Q1750" t="s">
        <v>170</v>
      </c>
      <c r="R1750">
        <v>36278.19</v>
      </c>
      <c r="S1750">
        <v>0</v>
      </c>
      <c r="T1750">
        <v>1677596</v>
      </c>
      <c r="U1750" t="s">
        <v>1877</v>
      </c>
      <c r="V1750" t="s">
        <v>1878</v>
      </c>
      <c r="W1750" t="s">
        <v>187</v>
      </c>
      <c r="Y1750" t="s">
        <v>51</v>
      </c>
      <c r="Z1750">
        <v>1798</v>
      </c>
      <c r="AH1750">
        <v>0</v>
      </c>
      <c r="AI1750">
        <v>202505</v>
      </c>
      <c r="AJ1750" t="s">
        <v>52</v>
      </c>
      <c r="AK1750">
        <v>0</v>
      </c>
      <c r="AL1750">
        <v>1</v>
      </c>
      <c r="AO1750">
        <v>1</v>
      </c>
      <c r="AP1750" t="s">
        <v>3015</v>
      </c>
      <c r="AQ1750" t="s">
        <v>3044</v>
      </c>
      <c r="AR1750" t="s">
        <v>3045</v>
      </c>
      <c r="AS1750" t="s">
        <v>3046</v>
      </c>
      <c r="AU1750" t="s">
        <v>3046</v>
      </c>
    </row>
    <row r="1751" spans="1:47" x14ac:dyDescent="0.35">
      <c r="A1751">
        <v>347944</v>
      </c>
      <c r="B1751" t="s">
        <v>178</v>
      </c>
      <c r="C1751" t="s">
        <v>179</v>
      </c>
      <c r="D1751" s="2">
        <v>45791</v>
      </c>
      <c r="E1751">
        <v>53850</v>
      </c>
      <c r="F1751">
        <v>270</v>
      </c>
      <c r="G1751" t="s">
        <v>524</v>
      </c>
      <c r="H1751" t="s">
        <v>167</v>
      </c>
      <c r="I1751" t="s">
        <v>45</v>
      </c>
      <c r="K1751">
        <v>202505137977212</v>
      </c>
      <c r="L1751">
        <v>2703300000033</v>
      </c>
      <c r="M1751">
        <v>20250513</v>
      </c>
      <c r="N1751" t="s">
        <v>3136</v>
      </c>
      <c r="Q1751" t="s">
        <v>170</v>
      </c>
      <c r="R1751">
        <v>6937.71</v>
      </c>
      <c r="S1751">
        <v>0</v>
      </c>
      <c r="T1751">
        <v>1602036</v>
      </c>
      <c r="U1751" t="s">
        <v>1882</v>
      </c>
      <c r="V1751" t="s">
        <v>1883</v>
      </c>
      <c r="W1751" t="s">
        <v>187</v>
      </c>
      <c r="Y1751" t="s">
        <v>51</v>
      </c>
      <c r="Z1751">
        <v>1822</v>
      </c>
      <c r="AH1751">
        <v>0</v>
      </c>
      <c r="AI1751">
        <v>202505</v>
      </c>
      <c r="AJ1751" t="s">
        <v>52</v>
      </c>
      <c r="AK1751">
        <v>0</v>
      </c>
      <c r="AL1751">
        <v>1</v>
      </c>
      <c r="AO1751">
        <v>1</v>
      </c>
      <c r="AP1751" t="s">
        <v>3015</v>
      </c>
      <c r="AQ1751" t="s">
        <v>3044</v>
      </c>
      <c r="AR1751" t="s">
        <v>3045</v>
      </c>
      <c r="AS1751" t="s">
        <v>3046</v>
      </c>
      <c r="AU1751" t="s">
        <v>3046</v>
      </c>
    </row>
    <row r="1752" spans="1:47" x14ac:dyDescent="0.35">
      <c r="A1752">
        <v>347943</v>
      </c>
      <c r="B1752" t="s">
        <v>164</v>
      </c>
      <c r="C1752" t="s">
        <v>165</v>
      </c>
      <c r="D1752" s="2">
        <v>45791</v>
      </c>
      <c r="E1752">
        <v>53850</v>
      </c>
      <c r="F1752">
        <v>226</v>
      </c>
      <c r="G1752" t="s">
        <v>129</v>
      </c>
      <c r="H1752" t="s">
        <v>167</v>
      </c>
      <c r="I1752" t="s">
        <v>45</v>
      </c>
      <c r="K1752" t="s">
        <v>1884</v>
      </c>
      <c r="L1752">
        <v>2263300011652</v>
      </c>
      <c r="M1752">
        <v>20250512</v>
      </c>
      <c r="N1752" t="s">
        <v>168</v>
      </c>
      <c r="P1752" t="s">
        <v>169</v>
      </c>
      <c r="Q1752" t="s">
        <v>170</v>
      </c>
      <c r="R1752">
        <v>1000</v>
      </c>
      <c r="S1752">
        <v>0</v>
      </c>
      <c r="T1752">
        <v>4445772</v>
      </c>
      <c r="U1752" t="s">
        <v>1885</v>
      </c>
      <c r="V1752" t="s">
        <v>1886</v>
      </c>
      <c r="W1752" t="s">
        <v>187</v>
      </c>
      <c r="Y1752" t="s">
        <v>51</v>
      </c>
      <c r="Z1752">
        <v>1395</v>
      </c>
      <c r="AH1752">
        <v>0</v>
      </c>
      <c r="AI1752">
        <v>202505</v>
      </c>
      <c r="AJ1752" t="s">
        <v>86</v>
      </c>
      <c r="AK1752">
        <v>1</v>
      </c>
      <c r="AL1752">
        <v>1</v>
      </c>
      <c r="AO1752">
        <v>0</v>
      </c>
      <c r="AP1752" t="s">
        <v>3015</v>
      </c>
      <c r="AQ1752" t="s">
        <v>3044</v>
      </c>
      <c r="AR1752" t="s">
        <v>3045</v>
      </c>
      <c r="AS1752" t="s">
        <v>3046</v>
      </c>
      <c r="AU1752" t="s">
        <v>3046</v>
      </c>
    </row>
    <row r="1753" spans="1:47" x14ac:dyDescent="0.35">
      <c r="A1753">
        <v>347942</v>
      </c>
      <c r="B1753" t="s">
        <v>164</v>
      </c>
      <c r="C1753" t="s">
        <v>165</v>
      </c>
      <c r="D1753" s="2">
        <v>45791</v>
      </c>
      <c r="E1753">
        <v>53850</v>
      </c>
      <c r="F1753">
        <v>226</v>
      </c>
      <c r="G1753" t="s">
        <v>129</v>
      </c>
      <c r="H1753" t="s">
        <v>167</v>
      </c>
      <c r="I1753" t="s">
        <v>45</v>
      </c>
      <c r="K1753" t="s">
        <v>1887</v>
      </c>
      <c r="L1753">
        <v>2263300011719</v>
      </c>
      <c r="M1753">
        <v>20250512</v>
      </c>
      <c r="N1753" t="s">
        <v>168</v>
      </c>
      <c r="P1753" t="s">
        <v>169</v>
      </c>
      <c r="Q1753" t="s">
        <v>170</v>
      </c>
      <c r="R1753">
        <v>1000</v>
      </c>
      <c r="S1753">
        <v>0</v>
      </c>
      <c r="T1753">
        <v>4445784</v>
      </c>
      <c r="U1753" t="s">
        <v>1888</v>
      </c>
      <c r="V1753" t="s">
        <v>1889</v>
      </c>
      <c r="W1753" t="s">
        <v>187</v>
      </c>
      <c r="Y1753" t="s">
        <v>51</v>
      </c>
      <c r="Z1753">
        <v>1395</v>
      </c>
      <c r="AH1753">
        <v>0</v>
      </c>
      <c r="AI1753">
        <v>202505</v>
      </c>
      <c r="AJ1753" t="s">
        <v>86</v>
      </c>
      <c r="AK1753">
        <v>1</v>
      </c>
      <c r="AL1753">
        <v>1</v>
      </c>
      <c r="AO1753">
        <v>0</v>
      </c>
      <c r="AP1753" t="s">
        <v>3015</v>
      </c>
      <c r="AQ1753" t="s">
        <v>3044</v>
      </c>
      <c r="AR1753" t="s">
        <v>3045</v>
      </c>
      <c r="AS1753" t="s">
        <v>3046</v>
      </c>
      <c r="AU1753" t="s">
        <v>3046</v>
      </c>
    </row>
    <row r="1754" spans="1:47" x14ac:dyDescent="0.35">
      <c r="A1754">
        <v>347941</v>
      </c>
      <c r="B1754" t="s">
        <v>193</v>
      </c>
      <c r="C1754" t="s">
        <v>194</v>
      </c>
      <c r="D1754" s="2">
        <v>45791</v>
      </c>
      <c r="E1754">
        <v>53850</v>
      </c>
      <c r="F1754">
        <v>195</v>
      </c>
      <c r="G1754" t="s">
        <v>498</v>
      </c>
      <c r="H1754" t="s">
        <v>167</v>
      </c>
      <c r="I1754" t="s">
        <v>45</v>
      </c>
      <c r="K1754" t="s">
        <v>1890</v>
      </c>
      <c r="L1754">
        <v>1953300026976</v>
      </c>
      <c r="M1754">
        <v>20250512</v>
      </c>
      <c r="N1754" t="s">
        <v>195</v>
      </c>
      <c r="Q1754" t="s">
        <v>47</v>
      </c>
      <c r="R1754">
        <v>43350</v>
      </c>
      <c r="S1754">
        <v>43350</v>
      </c>
      <c r="T1754">
        <v>4081785</v>
      </c>
      <c r="U1754" t="s">
        <v>499</v>
      </c>
      <c r="V1754" t="s">
        <v>500</v>
      </c>
      <c r="W1754" t="s">
        <v>69</v>
      </c>
      <c r="X1754" t="s">
        <v>501</v>
      </c>
      <c r="Y1754" t="s">
        <v>51</v>
      </c>
      <c r="Z1754">
        <v>938</v>
      </c>
      <c r="AH1754">
        <v>0</v>
      </c>
      <c r="AI1754">
        <v>202505</v>
      </c>
      <c r="AJ1754" t="s">
        <v>56</v>
      </c>
      <c r="AK1754">
        <v>0</v>
      </c>
      <c r="AL1754">
        <v>1</v>
      </c>
      <c r="AM1754">
        <v>4081785</v>
      </c>
      <c r="AN1754">
        <v>1</v>
      </c>
      <c r="AO1754">
        <v>0</v>
      </c>
      <c r="AP1754" t="s">
        <v>3015</v>
      </c>
      <c r="AQ1754" t="s">
        <v>3021</v>
      </c>
      <c r="AR1754" t="s">
        <v>3022</v>
      </c>
      <c r="AT1754" t="s">
        <v>3017</v>
      </c>
      <c r="AU1754" t="s">
        <v>3014</v>
      </c>
    </row>
    <row r="1755" spans="1:47" x14ac:dyDescent="0.35">
      <c r="A1755">
        <v>347940</v>
      </c>
      <c r="B1755" t="s">
        <v>178</v>
      </c>
      <c r="C1755" t="s">
        <v>179</v>
      </c>
      <c r="D1755" s="2">
        <v>45790</v>
      </c>
      <c r="E1755">
        <v>53850</v>
      </c>
      <c r="F1755">
        <v>108</v>
      </c>
      <c r="G1755" t="s">
        <v>124</v>
      </c>
      <c r="H1755" t="s">
        <v>167</v>
      </c>
      <c r="I1755" t="s">
        <v>45</v>
      </c>
      <c r="K1755">
        <v>202505137971953</v>
      </c>
      <c r="L1755">
        <v>1085500039514</v>
      </c>
      <c r="M1755">
        <v>20250513</v>
      </c>
      <c r="N1755" t="s">
        <v>808</v>
      </c>
      <c r="Q1755" t="s">
        <v>47</v>
      </c>
      <c r="R1755">
        <v>195977.3</v>
      </c>
      <c r="S1755">
        <v>0</v>
      </c>
      <c r="T1755">
        <v>426147</v>
      </c>
      <c r="U1755" t="s">
        <v>1581</v>
      </c>
      <c r="V1755" t="s">
        <v>1582</v>
      </c>
      <c r="W1755" t="s">
        <v>187</v>
      </c>
      <c r="Y1755" t="s">
        <v>51</v>
      </c>
      <c r="AH1755">
        <v>0</v>
      </c>
      <c r="AI1755">
        <v>202505</v>
      </c>
      <c r="AJ1755" t="s">
        <v>86</v>
      </c>
      <c r="AK1755">
        <v>1</v>
      </c>
      <c r="AL1755">
        <v>1</v>
      </c>
      <c r="AO1755">
        <v>0</v>
      </c>
      <c r="AP1755" t="s">
        <v>3015</v>
      </c>
      <c r="AQ1755" t="s">
        <v>3044</v>
      </c>
      <c r="AR1755" t="s">
        <v>3045</v>
      </c>
      <c r="AS1755" t="s">
        <v>3046</v>
      </c>
      <c r="AU1755" t="s">
        <v>3046</v>
      </c>
    </row>
    <row r="1756" spans="1:47" x14ac:dyDescent="0.35">
      <c r="A1756">
        <v>347939</v>
      </c>
      <c r="B1756" t="s">
        <v>178</v>
      </c>
      <c r="C1756" t="s">
        <v>179</v>
      </c>
      <c r="D1756" s="2">
        <v>45790</v>
      </c>
      <c r="E1756">
        <v>53850</v>
      </c>
      <c r="F1756">
        <v>108</v>
      </c>
      <c r="G1756" t="s">
        <v>124</v>
      </c>
      <c r="H1756" t="s">
        <v>167</v>
      </c>
      <c r="I1756" t="s">
        <v>45</v>
      </c>
      <c r="K1756">
        <v>202505137971953</v>
      </c>
      <c r="L1756">
        <v>1085500039514</v>
      </c>
      <c r="M1756">
        <v>20250513</v>
      </c>
      <c r="N1756" t="s">
        <v>808</v>
      </c>
      <c r="Q1756" t="s">
        <v>47</v>
      </c>
      <c r="R1756">
        <v>195977.3</v>
      </c>
      <c r="S1756">
        <v>0</v>
      </c>
      <c r="T1756">
        <v>412179</v>
      </c>
      <c r="U1756" t="s">
        <v>1579</v>
      </c>
      <c r="V1756" t="s">
        <v>1580</v>
      </c>
      <c r="W1756" t="s">
        <v>187</v>
      </c>
      <c r="Y1756" t="s">
        <v>51</v>
      </c>
      <c r="Z1756">
        <v>667</v>
      </c>
      <c r="AH1756">
        <v>0</v>
      </c>
      <c r="AI1756">
        <v>202505</v>
      </c>
      <c r="AJ1756" t="s">
        <v>86</v>
      </c>
      <c r="AK1756">
        <v>1</v>
      </c>
      <c r="AL1756">
        <v>1</v>
      </c>
      <c r="AO1756">
        <v>0</v>
      </c>
      <c r="AP1756" t="s">
        <v>3015</v>
      </c>
      <c r="AQ1756" t="s">
        <v>3044</v>
      </c>
      <c r="AR1756" t="s">
        <v>3045</v>
      </c>
      <c r="AS1756" t="s">
        <v>3046</v>
      </c>
      <c r="AU1756" t="s">
        <v>3046</v>
      </c>
    </row>
    <row r="1757" spans="1:47" x14ac:dyDescent="0.35">
      <c r="A1757">
        <v>347938</v>
      </c>
      <c r="B1757" t="s">
        <v>193</v>
      </c>
      <c r="C1757" t="s">
        <v>194</v>
      </c>
      <c r="D1757" s="2">
        <v>45790</v>
      </c>
      <c r="E1757">
        <v>53850</v>
      </c>
      <c r="F1757">
        <v>268</v>
      </c>
      <c r="G1757" t="s">
        <v>83</v>
      </c>
      <c r="H1757" t="s">
        <v>167</v>
      </c>
      <c r="I1757" t="s">
        <v>45</v>
      </c>
      <c r="K1757" t="s">
        <v>1890</v>
      </c>
      <c r="L1757">
        <v>2683300010030</v>
      </c>
      <c r="M1757">
        <v>20250512</v>
      </c>
      <c r="N1757" t="s">
        <v>195</v>
      </c>
      <c r="Q1757" t="s">
        <v>47</v>
      </c>
      <c r="R1757">
        <v>46505</v>
      </c>
      <c r="S1757">
        <v>46505</v>
      </c>
      <c r="T1757">
        <v>4966939</v>
      </c>
      <c r="U1757" t="s">
        <v>221</v>
      </c>
      <c r="V1757" t="s">
        <v>222</v>
      </c>
      <c r="W1757" t="s">
        <v>69</v>
      </c>
      <c r="X1757" t="s">
        <v>55</v>
      </c>
      <c r="Y1757" t="s">
        <v>51</v>
      </c>
      <c r="Z1757">
        <v>1870</v>
      </c>
      <c r="AH1757">
        <v>0</v>
      </c>
      <c r="AI1757">
        <v>202505</v>
      </c>
      <c r="AJ1757" t="s">
        <v>56</v>
      </c>
      <c r="AK1757">
        <v>0</v>
      </c>
      <c r="AL1757">
        <v>1</v>
      </c>
      <c r="AM1757">
        <v>4966939</v>
      </c>
      <c r="AN1757">
        <v>1</v>
      </c>
      <c r="AO1757">
        <v>0</v>
      </c>
      <c r="AP1757" t="s">
        <v>3015</v>
      </c>
      <c r="AQ1757" t="s">
        <v>3021</v>
      </c>
      <c r="AR1757" t="s">
        <v>3022</v>
      </c>
      <c r="AT1757" t="s">
        <v>3017</v>
      </c>
      <c r="AU1757" t="s">
        <v>3014</v>
      </c>
    </row>
    <row r="1758" spans="1:47" x14ac:dyDescent="0.35">
      <c r="A1758">
        <v>347937</v>
      </c>
      <c r="B1758" t="s">
        <v>172</v>
      </c>
      <c r="C1758" t="s">
        <v>173</v>
      </c>
      <c r="D1758" s="2">
        <v>45790</v>
      </c>
      <c r="E1758">
        <v>53850</v>
      </c>
      <c r="F1758">
        <v>104</v>
      </c>
      <c r="G1758" t="s">
        <v>108</v>
      </c>
      <c r="H1758" t="s">
        <v>167</v>
      </c>
      <c r="I1758" t="s">
        <v>45</v>
      </c>
      <c r="K1758" t="s">
        <v>1890</v>
      </c>
      <c r="L1758">
        <v>1043304173550</v>
      </c>
      <c r="M1758">
        <v>20250512</v>
      </c>
      <c r="N1758" t="s">
        <v>175</v>
      </c>
      <c r="Q1758" t="s">
        <v>47</v>
      </c>
      <c r="R1758">
        <v>108176.82</v>
      </c>
      <c r="S1758">
        <v>9200</v>
      </c>
      <c r="T1758">
        <v>417355</v>
      </c>
      <c r="U1758">
        <v>374690725</v>
      </c>
      <c r="V1758" t="s">
        <v>109</v>
      </c>
      <c r="W1758" t="s">
        <v>49</v>
      </c>
      <c r="X1758" t="s">
        <v>110</v>
      </c>
      <c r="Y1758" t="s">
        <v>51</v>
      </c>
      <c r="Z1758">
        <v>1919</v>
      </c>
      <c r="AH1758">
        <v>0</v>
      </c>
      <c r="AI1758">
        <v>202505</v>
      </c>
      <c r="AJ1758" t="s">
        <v>52</v>
      </c>
      <c r="AK1758">
        <v>0</v>
      </c>
      <c r="AL1758">
        <v>1</v>
      </c>
      <c r="AM1758">
        <v>417355</v>
      </c>
      <c r="AN1758">
        <v>1</v>
      </c>
      <c r="AO1758">
        <v>1</v>
      </c>
      <c r="AP1758" t="s">
        <v>3026</v>
      </c>
      <c r="AQ1758" t="s">
        <v>3012</v>
      </c>
      <c r="AR1758" t="s">
        <v>3027</v>
      </c>
      <c r="AS1758" t="s">
        <v>3028</v>
      </c>
      <c r="AU1758" t="s">
        <v>3028</v>
      </c>
    </row>
    <row r="1759" spans="1:47" x14ac:dyDescent="0.35">
      <c r="A1759">
        <v>347936</v>
      </c>
      <c r="B1759" t="s">
        <v>172</v>
      </c>
      <c r="C1759" t="s">
        <v>173</v>
      </c>
      <c r="D1759" s="2">
        <v>45790</v>
      </c>
      <c r="E1759">
        <v>53850</v>
      </c>
      <c r="F1759">
        <v>102</v>
      </c>
      <c r="G1759" t="s">
        <v>151</v>
      </c>
      <c r="H1759" t="s">
        <v>167</v>
      </c>
      <c r="I1759" t="s">
        <v>45</v>
      </c>
      <c r="K1759" t="s">
        <v>1890</v>
      </c>
      <c r="L1759">
        <v>1023300660520</v>
      </c>
      <c r="M1759">
        <v>20250512</v>
      </c>
      <c r="N1759" t="s">
        <v>175</v>
      </c>
      <c r="Q1759" t="s">
        <v>47</v>
      </c>
      <c r="R1759">
        <v>197178.41</v>
      </c>
      <c r="S1759">
        <v>9835</v>
      </c>
      <c r="T1759">
        <v>66052</v>
      </c>
      <c r="U1759">
        <v>398110726</v>
      </c>
      <c r="V1759" t="s">
        <v>426</v>
      </c>
      <c r="W1759" t="s">
        <v>49</v>
      </c>
      <c r="X1759" t="s">
        <v>59</v>
      </c>
      <c r="Y1759" t="s">
        <v>51</v>
      </c>
      <c r="Z1759">
        <v>1203</v>
      </c>
      <c r="AH1759">
        <v>0</v>
      </c>
      <c r="AI1759">
        <v>202505</v>
      </c>
      <c r="AJ1759" t="s">
        <v>119</v>
      </c>
      <c r="AK1759">
        <v>1</v>
      </c>
      <c r="AL1759">
        <v>1</v>
      </c>
      <c r="AM1759">
        <v>66052</v>
      </c>
      <c r="AN1759">
        <v>1</v>
      </c>
      <c r="AO1759">
        <v>1</v>
      </c>
      <c r="AP1759" t="s">
        <v>3015</v>
      </c>
      <c r="AQ1759" t="s">
        <v>3012</v>
      </c>
      <c r="AR1759" t="s">
        <v>3016</v>
      </c>
      <c r="AT1759" t="s">
        <v>3017</v>
      </c>
      <c r="AU1759" t="s">
        <v>3018</v>
      </c>
    </row>
    <row r="1760" spans="1:47" x14ac:dyDescent="0.35">
      <c r="A1760">
        <v>347935</v>
      </c>
      <c r="B1760" t="s">
        <v>178</v>
      </c>
      <c r="C1760" t="s">
        <v>179</v>
      </c>
      <c r="D1760" s="2">
        <v>45790</v>
      </c>
      <c r="E1760">
        <v>53850</v>
      </c>
      <c r="F1760">
        <v>284</v>
      </c>
      <c r="G1760" t="s">
        <v>184</v>
      </c>
      <c r="H1760" t="s">
        <v>167</v>
      </c>
      <c r="I1760" t="s">
        <v>45</v>
      </c>
      <c r="K1760">
        <v>202505127973664</v>
      </c>
      <c r="L1760">
        <v>2845500000060</v>
      </c>
      <c r="M1760">
        <v>20250512</v>
      </c>
      <c r="N1760" t="s">
        <v>794</v>
      </c>
      <c r="Q1760" t="s">
        <v>170</v>
      </c>
      <c r="R1760">
        <v>175971.72</v>
      </c>
      <c r="S1760">
        <v>0</v>
      </c>
      <c r="T1760">
        <v>1656421</v>
      </c>
      <c r="U1760" t="s">
        <v>1891</v>
      </c>
      <c r="V1760" t="s">
        <v>1892</v>
      </c>
      <c r="W1760" t="s">
        <v>187</v>
      </c>
      <c r="Y1760" t="s">
        <v>51</v>
      </c>
      <c r="Z1760">
        <v>1840</v>
      </c>
      <c r="AH1760">
        <v>0</v>
      </c>
      <c r="AI1760">
        <v>202505</v>
      </c>
      <c r="AJ1760" t="s">
        <v>52</v>
      </c>
      <c r="AK1760">
        <v>0</v>
      </c>
      <c r="AL1760">
        <v>1</v>
      </c>
      <c r="AO1760">
        <v>0</v>
      </c>
      <c r="AP1760" t="s">
        <v>3015</v>
      </c>
      <c r="AQ1760" t="s">
        <v>3044</v>
      </c>
      <c r="AR1760" t="s">
        <v>3045</v>
      </c>
      <c r="AS1760" t="s">
        <v>3046</v>
      </c>
      <c r="AU1760" t="s">
        <v>3046</v>
      </c>
    </row>
    <row r="1761" spans="1:47" x14ac:dyDescent="0.35">
      <c r="A1761">
        <v>347934</v>
      </c>
      <c r="B1761" t="s">
        <v>193</v>
      </c>
      <c r="C1761" t="s">
        <v>194</v>
      </c>
      <c r="D1761" s="2">
        <v>45790</v>
      </c>
      <c r="E1761">
        <v>53850</v>
      </c>
      <c r="F1761">
        <v>269</v>
      </c>
      <c r="G1761" t="s">
        <v>265</v>
      </c>
      <c r="H1761" t="s">
        <v>167</v>
      </c>
      <c r="I1761" t="s">
        <v>45</v>
      </c>
      <c r="K1761" t="s">
        <v>1890</v>
      </c>
      <c r="L1761">
        <v>2693300010131</v>
      </c>
      <c r="M1761">
        <v>20250512</v>
      </c>
      <c r="N1761" t="s">
        <v>266</v>
      </c>
      <c r="Q1761" t="s">
        <v>47</v>
      </c>
      <c r="R1761">
        <v>34395</v>
      </c>
      <c r="S1761">
        <v>34395</v>
      </c>
      <c r="T1761">
        <v>4996619</v>
      </c>
      <c r="U1761">
        <v>2782690693</v>
      </c>
      <c r="V1761" t="s">
        <v>1893</v>
      </c>
      <c r="W1761" t="s">
        <v>332</v>
      </c>
      <c r="X1761" t="s">
        <v>905</v>
      </c>
      <c r="Y1761" t="s">
        <v>51</v>
      </c>
      <c r="Z1761">
        <v>1773</v>
      </c>
      <c r="AH1761">
        <v>0</v>
      </c>
      <c r="AI1761">
        <v>202505</v>
      </c>
      <c r="AJ1761" t="s">
        <v>56</v>
      </c>
      <c r="AK1761">
        <v>0</v>
      </c>
      <c r="AL1761">
        <v>1</v>
      </c>
      <c r="AM1761">
        <v>4996619</v>
      </c>
      <c r="AN1761">
        <v>1</v>
      </c>
      <c r="AO1761">
        <v>0</v>
      </c>
      <c r="AP1761" t="s">
        <v>3015</v>
      </c>
      <c r="AQ1761" t="s">
        <v>3058</v>
      </c>
      <c r="AR1761" t="s">
        <v>3059</v>
      </c>
      <c r="AT1761" t="s">
        <v>3017</v>
      </c>
      <c r="AU1761" t="s">
        <v>3014</v>
      </c>
    </row>
    <row r="1762" spans="1:47" x14ac:dyDescent="0.35">
      <c r="A1762">
        <v>347933</v>
      </c>
      <c r="B1762" t="s">
        <v>164</v>
      </c>
      <c r="C1762" t="s">
        <v>165</v>
      </c>
      <c r="D1762" s="2">
        <v>45790</v>
      </c>
      <c r="E1762">
        <v>53850</v>
      </c>
      <c r="F1762">
        <v>187</v>
      </c>
      <c r="G1762" t="s">
        <v>251</v>
      </c>
      <c r="H1762" t="s">
        <v>167</v>
      </c>
      <c r="I1762" t="s">
        <v>45</v>
      </c>
      <c r="K1762" t="s">
        <v>1894</v>
      </c>
      <c r="L1762">
        <v>1873300102696</v>
      </c>
      <c r="M1762">
        <v>20250512</v>
      </c>
      <c r="N1762" t="s">
        <v>168</v>
      </c>
      <c r="P1762" t="s">
        <v>255</v>
      </c>
      <c r="Q1762" t="s">
        <v>47</v>
      </c>
      <c r="R1762">
        <v>4670.97</v>
      </c>
      <c r="S1762">
        <v>0</v>
      </c>
      <c r="T1762">
        <v>4000559</v>
      </c>
      <c r="U1762">
        <v>2099160737</v>
      </c>
      <c r="V1762" t="s">
        <v>528</v>
      </c>
      <c r="W1762" t="s">
        <v>49</v>
      </c>
      <c r="X1762" t="s">
        <v>117</v>
      </c>
      <c r="Y1762" t="s">
        <v>51</v>
      </c>
      <c r="Z1762">
        <v>1627</v>
      </c>
      <c r="AH1762">
        <v>0</v>
      </c>
      <c r="AI1762">
        <v>202505</v>
      </c>
      <c r="AJ1762" t="s">
        <v>56</v>
      </c>
      <c r="AK1762">
        <v>0</v>
      </c>
      <c r="AL1762">
        <v>1</v>
      </c>
      <c r="AO1762">
        <v>0</v>
      </c>
      <c r="AP1762" t="s">
        <v>3029</v>
      </c>
      <c r="AQ1762" t="s">
        <v>3012</v>
      </c>
      <c r="AR1762" t="s">
        <v>3030</v>
      </c>
      <c r="AS1762" t="s">
        <v>3014</v>
      </c>
      <c r="AU1762" t="s">
        <v>3014</v>
      </c>
    </row>
    <row r="1763" spans="1:47" x14ac:dyDescent="0.35">
      <c r="A1763">
        <v>347932</v>
      </c>
      <c r="B1763" t="s">
        <v>193</v>
      </c>
      <c r="C1763" t="s">
        <v>194</v>
      </c>
      <c r="D1763" s="2">
        <v>45790</v>
      </c>
      <c r="E1763">
        <v>53850</v>
      </c>
      <c r="F1763">
        <v>182</v>
      </c>
      <c r="G1763" t="s">
        <v>318</v>
      </c>
      <c r="H1763" t="s">
        <v>167</v>
      </c>
      <c r="I1763" t="s">
        <v>45</v>
      </c>
      <c r="K1763" t="s">
        <v>1890</v>
      </c>
      <c r="L1763">
        <v>1823300169301</v>
      </c>
      <c r="M1763">
        <v>20250512</v>
      </c>
      <c r="N1763" t="s">
        <v>195</v>
      </c>
      <c r="Q1763" t="s">
        <v>47</v>
      </c>
      <c r="R1763">
        <v>39500</v>
      </c>
      <c r="S1763">
        <v>39500</v>
      </c>
      <c r="T1763">
        <v>4284957</v>
      </c>
      <c r="U1763" t="s">
        <v>455</v>
      </c>
      <c r="V1763" t="s">
        <v>456</v>
      </c>
      <c r="W1763" t="s">
        <v>69</v>
      </c>
      <c r="X1763" t="s">
        <v>197</v>
      </c>
      <c r="Y1763" t="s">
        <v>51</v>
      </c>
      <c r="Z1763">
        <v>1656</v>
      </c>
      <c r="AH1763">
        <v>0</v>
      </c>
      <c r="AI1763">
        <v>202505</v>
      </c>
      <c r="AJ1763" t="s">
        <v>56</v>
      </c>
      <c r="AK1763">
        <v>0</v>
      </c>
      <c r="AL1763">
        <v>1</v>
      </c>
      <c r="AM1763">
        <v>4284957</v>
      </c>
      <c r="AN1763">
        <v>1</v>
      </c>
      <c r="AO1763">
        <v>0</v>
      </c>
      <c r="AP1763" t="s">
        <v>3050</v>
      </c>
      <c r="AQ1763" t="s">
        <v>3021</v>
      </c>
      <c r="AR1763" t="s">
        <v>3070</v>
      </c>
      <c r="AS1763" t="s">
        <v>3055</v>
      </c>
      <c r="AU1763" t="s">
        <v>3055</v>
      </c>
    </row>
    <row r="1764" spans="1:47" x14ac:dyDescent="0.35">
      <c r="A1764">
        <v>347931</v>
      </c>
      <c r="B1764" t="s">
        <v>172</v>
      </c>
      <c r="C1764" t="s">
        <v>173</v>
      </c>
      <c r="D1764" s="2">
        <v>45790</v>
      </c>
      <c r="E1764">
        <v>53850</v>
      </c>
      <c r="F1764">
        <v>182</v>
      </c>
      <c r="G1764" t="s">
        <v>318</v>
      </c>
      <c r="H1764" t="s">
        <v>167</v>
      </c>
      <c r="I1764" t="s">
        <v>45</v>
      </c>
      <c r="K1764" t="s">
        <v>1890</v>
      </c>
      <c r="L1764">
        <v>1823300169301</v>
      </c>
      <c r="M1764">
        <v>20250512</v>
      </c>
      <c r="N1764" t="s">
        <v>195</v>
      </c>
      <c r="Q1764" t="s">
        <v>47</v>
      </c>
      <c r="R1764">
        <v>39500</v>
      </c>
      <c r="S1764">
        <v>39500</v>
      </c>
      <c r="T1764">
        <v>4284957</v>
      </c>
      <c r="U1764" t="s">
        <v>455</v>
      </c>
      <c r="V1764" t="s">
        <v>456</v>
      </c>
      <c r="W1764" t="s">
        <v>69</v>
      </c>
      <c r="X1764" t="s">
        <v>197</v>
      </c>
      <c r="Y1764" t="s">
        <v>51</v>
      </c>
      <c r="Z1764">
        <v>1656</v>
      </c>
      <c r="AH1764">
        <v>0</v>
      </c>
      <c r="AI1764">
        <v>202505</v>
      </c>
      <c r="AJ1764" t="s">
        <v>56</v>
      </c>
      <c r="AK1764">
        <v>0</v>
      </c>
      <c r="AL1764">
        <v>1</v>
      </c>
      <c r="AM1764">
        <v>4284957</v>
      </c>
      <c r="AN1764">
        <v>1</v>
      </c>
      <c r="AO1764">
        <v>0</v>
      </c>
      <c r="AP1764" t="s">
        <v>3050</v>
      </c>
      <c r="AQ1764" t="s">
        <v>3021</v>
      </c>
      <c r="AR1764" t="s">
        <v>3070</v>
      </c>
      <c r="AS1764" t="s">
        <v>3055</v>
      </c>
      <c r="AU1764" t="s">
        <v>3055</v>
      </c>
    </row>
    <row r="1765" spans="1:47" x14ac:dyDescent="0.35">
      <c r="A1765">
        <v>347930</v>
      </c>
      <c r="B1765" t="s">
        <v>178</v>
      </c>
      <c r="C1765" t="s">
        <v>179</v>
      </c>
      <c r="D1765" s="2">
        <v>45790</v>
      </c>
      <c r="E1765">
        <v>53850</v>
      </c>
      <c r="F1765">
        <v>102</v>
      </c>
      <c r="G1765" t="s">
        <v>151</v>
      </c>
      <c r="H1765" t="s">
        <v>167</v>
      </c>
      <c r="I1765" t="s">
        <v>45</v>
      </c>
      <c r="K1765">
        <v>202505127969820</v>
      </c>
      <c r="L1765">
        <v>1023308719178</v>
      </c>
      <c r="M1765">
        <v>20250512</v>
      </c>
      <c r="N1765" t="s">
        <v>236</v>
      </c>
      <c r="P1765" t="s">
        <v>51</v>
      </c>
      <c r="Q1765" t="s">
        <v>170</v>
      </c>
      <c r="R1765">
        <v>612708.1</v>
      </c>
      <c r="S1765">
        <v>0</v>
      </c>
      <c r="T1765">
        <v>474476</v>
      </c>
      <c r="U1765">
        <v>3470340724</v>
      </c>
      <c r="V1765" t="s">
        <v>1895</v>
      </c>
      <c r="W1765" t="s">
        <v>49</v>
      </c>
      <c r="X1765" t="s">
        <v>65</v>
      </c>
      <c r="Y1765" t="s">
        <v>51</v>
      </c>
      <c r="Z1765">
        <v>1203</v>
      </c>
      <c r="AH1765">
        <v>0</v>
      </c>
      <c r="AI1765">
        <v>202505</v>
      </c>
      <c r="AJ1765" t="s">
        <v>86</v>
      </c>
      <c r="AK1765">
        <v>1</v>
      </c>
      <c r="AL1765">
        <v>1</v>
      </c>
      <c r="AO1765">
        <v>0</v>
      </c>
      <c r="AP1765" t="s">
        <v>3019</v>
      </c>
      <c r="AQ1765" t="s">
        <v>3012</v>
      </c>
      <c r="AR1765" t="s">
        <v>3020</v>
      </c>
      <c r="AS1765" t="s">
        <v>3014</v>
      </c>
      <c r="AU1765" t="s">
        <v>3014</v>
      </c>
    </row>
    <row r="1766" spans="1:47" x14ac:dyDescent="0.35">
      <c r="A1766">
        <v>347929</v>
      </c>
      <c r="B1766" t="s">
        <v>333</v>
      </c>
      <c r="C1766" t="s">
        <v>334</v>
      </c>
      <c r="D1766" s="2">
        <v>45790</v>
      </c>
      <c r="E1766">
        <v>53850</v>
      </c>
      <c r="F1766">
        <v>261</v>
      </c>
      <c r="G1766" t="s">
        <v>136</v>
      </c>
      <c r="H1766" t="s">
        <v>167</v>
      </c>
      <c r="I1766" t="s">
        <v>45</v>
      </c>
      <c r="K1766">
        <v>202505127973576</v>
      </c>
      <c r="M1766">
        <v>20250512</v>
      </c>
      <c r="N1766" t="s">
        <v>915</v>
      </c>
      <c r="Q1766" t="s">
        <v>170</v>
      </c>
      <c r="R1766">
        <v>62019.32</v>
      </c>
      <c r="S1766">
        <v>0</v>
      </c>
      <c r="T1766">
        <v>4173710</v>
      </c>
      <c r="U1766" t="s">
        <v>916</v>
      </c>
      <c r="V1766" t="s">
        <v>917</v>
      </c>
      <c r="W1766" t="s">
        <v>187</v>
      </c>
      <c r="Y1766" t="s">
        <v>51</v>
      </c>
      <c r="AH1766">
        <v>0</v>
      </c>
      <c r="AI1766">
        <v>202505</v>
      </c>
      <c r="AJ1766" t="s">
        <v>52</v>
      </c>
      <c r="AK1766">
        <v>0</v>
      </c>
      <c r="AL1766">
        <v>0</v>
      </c>
      <c r="AO1766">
        <v>0</v>
      </c>
      <c r="AP1766" t="s">
        <v>3015</v>
      </c>
      <c r="AQ1766" t="s">
        <v>3044</v>
      </c>
      <c r="AR1766" t="s">
        <v>3045</v>
      </c>
      <c r="AS1766" t="s">
        <v>3046</v>
      </c>
      <c r="AU1766" t="s">
        <v>3046</v>
      </c>
    </row>
    <row r="1767" spans="1:47" x14ac:dyDescent="0.35">
      <c r="A1767">
        <v>347928</v>
      </c>
      <c r="B1767" t="s">
        <v>193</v>
      </c>
      <c r="C1767" t="s">
        <v>194</v>
      </c>
      <c r="D1767" s="2">
        <v>45790</v>
      </c>
      <c r="E1767">
        <v>53850</v>
      </c>
      <c r="F1767">
        <v>267</v>
      </c>
      <c r="G1767" t="s">
        <v>349</v>
      </c>
      <c r="H1767" t="s">
        <v>167</v>
      </c>
      <c r="I1767" t="s">
        <v>45</v>
      </c>
      <c r="K1767">
        <v>202505127973602</v>
      </c>
      <c r="L1767">
        <v>2673300003600</v>
      </c>
      <c r="M1767">
        <v>20250512</v>
      </c>
      <c r="N1767" t="s">
        <v>266</v>
      </c>
      <c r="Q1767" t="s">
        <v>47</v>
      </c>
      <c r="R1767">
        <v>85000</v>
      </c>
      <c r="S1767">
        <v>85000</v>
      </c>
      <c r="T1767">
        <v>1705101</v>
      </c>
      <c r="U1767">
        <v>2896870793</v>
      </c>
      <c r="V1767" t="s">
        <v>439</v>
      </c>
      <c r="W1767" t="s">
        <v>190</v>
      </c>
      <c r="X1767" t="s">
        <v>200</v>
      </c>
      <c r="Y1767" t="s">
        <v>51</v>
      </c>
      <c r="Z1767">
        <v>1878</v>
      </c>
      <c r="AH1767">
        <v>0</v>
      </c>
      <c r="AI1767">
        <v>202505</v>
      </c>
      <c r="AJ1767" t="s">
        <v>56</v>
      </c>
      <c r="AK1767">
        <v>0</v>
      </c>
      <c r="AL1767">
        <v>1</v>
      </c>
      <c r="AM1767">
        <v>1705101</v>
      </c>
      <c r="AN1767">
        <v>1</v>
      </c>
      <c r="AO1767">
        <v>0</v>
      </c>
      <c r="AP1767" t="s">
        <v>3015</v>
      </c>
      <c r="AQ1767" t="s">
        <v>3047</v>
      </c>
      <c r="AR1767" t="s">
        <v>3056</v>
      </c>
      <c r="AT1767" t="s">
        <v>3017</v>
      </c>
      <c r="AU1767" t="s">
        <v>3057</v>
      </c>
    </row>
    <row r="1768" spans="1:47" x14ac:dyDescent="0.35">
      <c r="A1768">
        <v>347927</v>
      </c>
      <c r="B1768" t="s">
        <v>193</v>
      </c>
      <c r="C1768" t="s">
        <v>194</v>
      </c>
      <c r="D1768" s="2">
        <v>45790</v>
      </c>
      <c r="E1768">
        <v>53850</v>
      </c>
      <c r="F1768">
        <v>102</v>
      </c>
      <c r="G1768" t="s">
        <v>151</v>
      </c>
      <c r="H1768" t="s">
        <v>167</v>
      </c>
      <c r="I1768" t="s">
        <v>45</v>
      </c>
      <c r="K1768" t="s">
        <v>1890</v>
      </c>
      <c r="L1768">
        <v>1023305677850</v>
      </c>
      <c r="M1768">
        <v>20250512</v>
      </c>
      <c r="N1768" t="s">
        <v>175</v>
      </c>
      <c r="Q1768" t="s">
        <v>47</v>
      </c>
      <c r="R1768">
        <v>40000</v>
      </c>
      <c r="S1768">
        <v>31500</v>
      </c>
      <c r="T1768">
        <v>567785</v>
      </c>
      <c r="U1768">
        <v>4522700725</v>
      </c>
      <c r="V1768" t="s">
        <v>1896</v>
      </c>
      <c r="W1768" t="s">
        <v>49</v>
      </c>
      <c r="X1768" t="s">
        <v>131</v>
      </c>
      <c r="Y1768" t="s">
        <v>51</v>
      </c>
      <c r="Z1768">
        <v>911</v>
      </c>
      <c r="AH1768">
        <v>0</v>
      </c>
      <c r="AI1768">
        <v>202505</v>
      </c>
      <c r="AJ1768" t="s">
        <v>56</v>
      </c>
      <c r="AK1768">
        <v>0</v>
      </c>
      <c r="AL1768">
        <v>1</v>
      </c>
      <c r="AM1768">
        <v>567785</v>
      </c>
      <c r="AN1768">
        <v>1</v>
      </c>
      <c r="AO1768">
        <v>1</v>
      </c>
      <c r="AP1768" t="s">
        <v>3033</v>
      </c>
      <c r="AQ1768" t="s">
        <v>3012</v>
      </c>
      <c r="AR1768" t="s">
        <v>3034</v>
      </c>
      <c r="AS1768" t="s">
        <v>3014</v>
      </c>
      <c r="AU1768" t="s">
        <v>3014</v>
      </c>
    </row>
    <row r="1769" spans="1:47" x14ac:dyDescent="0.35">
      <c r="A1769">
        <v>347926</v>
      </c>
      <c r="B1769" t="s">
        <v>193</v>
      </c>
      <c r="C1769" t="s">
        <v>194</v>
      </c>
      <c r="D1769" s="2">
        <v>45790</v>
      </c>
      <c r="E1769">
        <v>53850</v>
      </c>
      <c r="F1769">
        <v>170</v>
      </c>
      <c r="G1769" t="s">
        <v>211</v>
      </c>
      <c r="H1769" t="s">
        <v>167</v>
      </c>
      <c r="I1769" t="s">
        <v>45</v>
      </c>
      <c r="K1769">
        <v>202505127973395</v>
      </c>
      <c r="L1769">
        <v>1703300000428</v>
      </c>
      <c r="M1769">
        <v>20250512</v>
      </c>
      <c r="N1769" t="s">
        <v>266</v>
      </c>
      <c r="Q1769" t="s">
        <v>47</v>
      </c>
      <c r="R1769">
        <v>50000</v>
      </c>
      <c r="S1769">
        <v>50000</v>
      </c>
      <c r="T1769">
        <v>4833134</v>
      </c>
      <c r="U1769">
        <v>7323170725</v>
      </c>
      <c r="V1769" t="s">
        <v>425</v>
      </c>
      <c r="W1769" t="s">
        <v>49</v>
      </c>
      <c r="X1769" t="s">
        <v>413</v>
      </c>
      <c r="Y1769" t="s">
        <v>51</v>
      </c>
      <c r="Z1769">
        <v>694</v>
      </c>
      <c r="AH1769">
        <v>0</v>
      </c>
      <c r="AI1769">
        <v>202505</v>
      </c>
      <c r="AJ1769" t="s">
        <v>56</v>
      </c>
      <c r="AK1769">
        <v>0</v>
      </c>
      <c r="AL1769">
        <v>1</v>
      </c>
      <c r="AM1769">
        <v>4833134</v>
      </c>
      <c r="AN1769">
        <v>1</v>
      </c>
      <c r="AO1769">
        <v>0</v>
      </c>
      <c r="AP1769" t="s">
        <v>3015</v>
      </c>
      <c r="AQ1769" t="s">
        <v>3012</v>
      </c>
      <c r="AR1769" t="s">
        <v>3016</v>
      </c>
      <c r="AT1769" t="s">
        <v>3017</v>
      </c>
      <c r="AU1769" t="s">
        <v>3018</v>
      </c>
    </row>
    <row r="1770" spans="1:47" x14ac:dyDescent="0.35">
      <c r="A1770">
        <v>347925</v>
      </c>
      <c r="B1770" t="s">
        <v>164</v>
      </c>
      <c r="C1770" t="s">
        <v>165</v>
      </c>
      <c r="D1770" s="2">
        <v>45790</v>
      </c>
      <c r="E1770">
        <v>53850</v>
      </c>
      <c r="F1770">
        <v>187</v>
      </c>
      <c r="G1770" t="s">
        <v>251</v>
      </c>
      <c r="H1770" t="s">
        <v>167</v>
      </c>
      <c r="I1770" t="s">
        <v>45</v>
      </c>
      <c r="K1770" t="s">
        <v>1897</v>
      </c>
      <c r="L1770">
        <v>1873300001435</v>
      </c>
      <c r="M1770">
        <v>20250512</v>
      </c>
      <c r="N1770" t="s">
        <v>168</v>
      </c>
      <c r="P1770" t="s">
        <v>435</v>
      </c>
      <c r="Q1770" t="s">
        <v>47</v>
      </c>
      <c r="R1770">
        <v>1000</v>
      </c>
      <c r="S1770">
        <v>0</v>
      </c>
      <c r="T1770">
        <v>3120377</v>
      </c>
      <c r="U1770" t="s">
        <v>1898</v>
      </c>
      <c r="V1770" t="s">
        <v>1899</v>
      </c>
      <c r="W1770" t="s">
        <v>187</v>
      </c>
      <c r="Y1770" t="s">
        <v>51</v>
      </c>
      <c r="Z1770">
        <v>479</v>
      </c>
      <c r="AH1770">
        <v>0</v>
      </c>
      <c r="AI1770">
        <v>202505</v>
      </c>
      <c r="AJ1770" t="s">
        <v>86</v>
      </c>
      <c r="AK1770">
        <v>1</v>
      </c>
      <c r="AL1770">
        <v>1</v>
      </c>
      <c r="AO1770">
        <v>0</v>
      </c>
      <c r="AP1770" t="s">
        <v>3015</v>
      </c>
      <c r="AQ1770" t="s">
        <v>3044</v>
      </c>
      <c r="AR1770" t="s">
        <v>3045</v>
      </c>
      <c r="AS1770" t="s">
        <v>3046</v>
      </c>
      <c r="AU1770" t="s">
        <v>3046</v>
      </c>
    </row>
    <row r="1771" spans="1:47" x14ac:dyDescent="0.35">
      <c r="A1771">
        <v>347924</v>
      </c>
      <c r="B1771" t="s">
        <v>193</v>
      </c>
      <c r="C1771" t="s">
        <v>194</v>
      </c>
      <c r="D1771" s="2">
        <v>45790</v>
      </c>
      <c r="E1771">
        <v>53850</v>
      </c>
      <c r="F1771">
        <v>114</v>
      </c>
      <c r="G1771" t="s">
        <v>188</v>
      </c>
      <c r="H1771" t="s">
        <v>167</v>
      </c>
      <c r="I1771" t="s">
        <v>45</v>
      </c>
      <c r="K1771">
        <v>202505127973196</v>
      </c>
      <c r="L1771">
        <v>1143306280621</v>
      </c>
      <c r="M1771">
        <v>20250512</v>
      </c>
      <c r="N1771" t="s">
        <v>266</v>
      </c>
      <c r="Q1771" t="s">
        <v>47</v>
      </c>
      <c r="R1771">
        <v>46000</v>
      </c>
      <c r="S1771">
        <v>46000</v>
      </c>
      <c r="T1771">
        <v>4658875</v>
      </c>
      <c r="U1771">
        <v>3230890711</v>
      </c>
      <c r="V1771" t="s">
        <v>1363</v>
      </c>
      <c r="W1771" t="s">
        <v>49</v>
      </c>
      <c r="X1771" t="s">
        <v>131</v>
      </c>
      <c r="Y1771" t="s">
        <v>51</v>
      </c>
      <c r="Z1771">
        <v>870</v>
      </c>
      <c r="AH1771">
        <v>0</v>
      </c>
      <c r="AI1771">
        <v>202505</v>
      </c>
      <c r="AJ1771" t="s">
        <v>56</v>
      </c>
      <c r="AK1771">
        <v>0</v>
      </c>
      <c r="AL1771">
        <v>1</v>
      </c>
      <c r="AM1771">
        <v>4658875</v>
      </c>
      <c r="AN1771">
        <v>1</v>
      </c>
      <c r="AO1771">
        <v>0</v>
      </c>
      <c r="AP1771" t="s">
        <v>3033</v>
      </c>
      <c r="AQ1771" t="s">
        <v>3012</v>
      </c>
      <c r="AR1771" t="s">
        <v>3034</v>
      </c>
      <c r="AS1771" t="s">
        <v>3014</v>
      </c>
      <c r="AU1771" t="s">
        <v>3014</v>
      </c>
    </row>
    <row r="1772" spans="1:47" x14ac:dyDescent="0.35">
      <c r="A1772">
        <v>347923</v>
      </c>
      <c r="B1772" t="s">
        <v>178</v>
      </c>
      <c r="C1772" t="s">
        <v>179</v>
      </c>
      <c r="D1772" s="2">
        <v>45790</v>
      </c>
      <c r="E1772">
        <v>53850</v>
      </c>
      <c r="F1772">
        <v>164</v>
      </c>
      <c r="G1772" t="s">
        <v>651</v>
      </c>
      <c r="H1772" t="s">
        <v>167</v>
      </c>
      <c r="I1772" t="s">
        <v>45</v>
      </c>
      <c r="K1772">
        <v>202505127973356</v>
      </c>
      <c r="L1772">
        <v>1643300370785</v>
      </c>
      <c r="M1772">
        <v>20250512</v>
      </c>
      <c r="N1772" t="s">
        <v>236</v>
      </c>
      <c r="P1772" t="s">
        <v>51</v>
      </c>
      <c r="Q1772" t="s">
        <v>170</v>
      </c>
      <c r="R1772">
        <v>1016300</v>
      </c>
      <c r="S1772">
        <v>0</v>
      </c>
      <c r="T1772">
        <v>3732249</v>
      </c>
      <c r="U1772">
        <v>4127610717</v>
      </c>
      <c r="V1772" t="s">
        <v>1900</v>
      </c>
      <c r="W1772" t="s">
        <v>49</v>
      </c>
      <c r="X1772" t="s">
        <v>595</v>
      </c>
      <c r="Y1772" t="s">
        <v>51</v>
      </c>
      <c r="Z1772">
        <v>677</v>
      </c>
      <c r="AH1772">
        <v>0</v>
      </c>
      <c r="AI1772">
        <v>202505</v>
      </c>
      <c r="AJ1772" t="s">
        <v>56</v>
      </c>
      <c r="AK1772">
        <v>0</v>
      </c>
      <c r="AL1772">
        <v>1</v>
      </c>
      <c r="AO1772">
        <v>0</v>
      </c>
      <c r="AP1772" t="s">
        <v>3015</v>
      </c>
      <c r="AQ1772" t="s">
        <v>3012</v>
      </c>
      <c r="AR1772" t="s">
        <v>3016</v>
      </c>
      <c r="AT1772" t="s">
        <v>3017</v>
      </c>
      <c r="AU1772" t="s">
        <v>3018</v>
      </c>
    </row>
    <row r="1773" spans="1:47" x14ac:dyDescent="0.35">
      <c r="A1773">
        <v>347922</v>
      </c>
      <c r="B1773" t="s">
        <v>178</v>
      </c>
      <c r="C1773" t="s">
        <v>179</v>
      </c>
      <c r="D1773" s="2">
        <v>45790</v>
      </c>
      <c r="E1773">
        <v>53850</v>
      </c>
      <c r="F1773">
        <v>261</v>
      </c>
      <c r="G1773" t="s">
        <v>136</v>
      </c>
      <c r="H1773" t="s">
        <v>167</v>
      </c>
      <c r="I1773" t="s">
        <v>45</v>
      </c>
      <c r="K1773" t="s">
        <v>1901</v>
      </c>
      <c r="L1773">
        <v>2613300003915</v>
      </c>
      <c r="M1773">
        <v>20250512</v>
      </c>
      <c r="N1773" t="s">
        <v>3136</v>
      </c>
      <c r="Q1773" t="s">
        <v>170</v>
      </c>
      <c r="R1773">
        <v>2473.96</v>
      </c>
      <c r="S1773">
        <v>0</v>
      </c>
      <c r="T1773">
        <v>1696446</v>
      </c>
      <c r="U1773" t="s">
        <v>1902</v>
      </c>
      <c r="V1773" t="s">
        <v>1903</v>
      </c>
      <c r="W1773" t="s">
        <v>187</v>
      </c>
      <c r="Y1773" t="s">
        <v>51</v>
      </c>
      <c r="Z1773">
        <v>1818</v>
      </c>
      <c r="AH1773">
        <v>0</v>
      </c>
      <c r="AI1773">
        <v>202505</v>
      </c>
      <c r="AJ1773" t="s">
        <v>52</v>
      </c>
      <c r="AK1773">
        <v>0</v>
      </c>
      <c r="AL1773">
        <v>1</v>
      </c>
      <c r="AO1773">
        <v>1</v>
      </c>
      <c r="AP1773" t="s">
        <v>3015</v>
      </c>
      <c r="AQ1773" t="s">
        <v>3044</v>
      </c>
      <c r="AR1773" t="s">
        <v>3045</v>
      </c>
      <c r="AS1773" t="s">
        <v>3046</v>
      </c>
      <c r="AU1773" t="s">
        <v>3046</v>
      </c>
    </row>
    <row r="1774" spans="1:47" x14ac:dyDescent="0.35">
      <c r="A1774">
        <v>347921</v>
      </c>
      <c r="B1774" t="s">
        <v>178</v>
      </c>
      <c r="C1774" t="s">
        <v>179</v>
      </c>
      <c r="D1774" s="2">
        <v>45790</v>
      </c>
      <c r="E1774">
        <v>53850</v>
      </c>
      <c r="F1774">
        <v>261</v>
      </c>
      <c r="G1774" t="s">
        <v>136</v>
      </c>
      <c r="H1774" t="s">
        <v>167</v>
      </c>
      <c r="I1774" t="s">
        <v>45</v>
      </c>
      <c r="K1774" t="s">
        <v>1904</v>
      </c>
      <c r="L1774">
        <v>2613300002543</v>
      </c>
      <c r="M1774">
        <v>20250512</v>
      </c>
      <c r="N1774" t="s">
        <v>3136</v>
      </c>
      <c r="Q1774" t="s">
        <v>170</v>
      </c>
      <c r="R1774">
        <v>2270.96</v>
      </c>
      <c r="S1774">
        <v>0</v>
      </c>
      <c r="T1774">
        <v>1651802</v>
      </c>
      <c r="U1774" t="s">
        <v>1905</v>
      </c>
      <c r="V1774" t="s">
        <v>1906</v>
      </c>
      <c r="W1774" t="s">
        <v>187</v>
      </c>
      <c r="Y1774" t="s">
        <v>51</v>
      </c>
      <c r="Z1774">
        <v>1755</v>
      </c>
      <c r="AH1774">
        <v>0</v>
      </c>
      <c r="AI1774">
        <v>202505</v>
      </c>
      <c r="AJ1774" t="s">
        <v>52</v>
      </c>
      <c r="AK1774">
        <v>0</v>
      </c>
      <c r="AL1774">
        <v>1</v>
      </c>
      <c r="AO1774">
        <v>1</v>
      </c>
      <c r="AP1774" t="s">
        <v>3015</v>
      </c>
      <c r="AQ1774" t="s">
        <v>3044</v>
      </c>
      <c r="AR1774" t="s">
        <v>3045</v>
      </c>
      <c r="AS1774" t="s">
        <v>3046</v>
      </c>
      <c r="AU1774" t="s">
        <v>3046</v>
      </c>
    </row>
    <row r="1775" spans="1:47" x14ac:dyDescent="0.35">
      <c r="A1775">
        <v>347920</v>
      </c>
      <c r="B1775" t="s">
        <v>164</v>
      </c>
      <c r="C1775" t="s">
        <v>165</v>
      </c>
      <c r="D1775" s="2">
        <v>45790</v>
      </c>
      <c r="E1775">
        <v>53850</v>
      </c>
      <c r="F1775">
        <v>149</v>
      </c>
      <c r="G1775" t="s">
        <v>449</v>
      </c>
      <c r="H1775" t="s">
        <v>167</v>
      </c>
      <c r="I1775" t="s">
        <v>45</v>
      </c>
      <c r="K1775">
        <v>202505127970731</v>
      </c>
      <c r="L1775">
        <v>1493300663564</v>
      </c>
      <c r="M1775">
        <v>20250512</v>
      </c>
      <c r="N1775" t="s">
        <v>168</v>
      </c>
      <c r="P1775" t="s">
        <v>255</v>
      </c>
      <c r="Q1775" t="s">
        <v>47</v>
      </c>
      <c r="R1775">
        <v>30246</v>
      </c>
      <c r="S1775">
        <v>0</v>
      </c>
      <c r="T1775">
        <v>4851736</v>
      </c>
      <c r="U1775">
        <v>8243781211</v>
      </c>
      <c r="V1775" t="s">
        <v>1240</v>
      </c>
      <c r="W1775" t="s">
        <v>49</v>
      </c>
      <c r="X1775" t="s">
        <v>451</v>
      </c>
      <c r="Y1775" t="s">
        <v>51</v>
      </c>
      <c r="Z1775">
        <v>1256</v>
      </c>
      <c r="AH1775">
        <v>0</v>
      </c>
      <c r="AI1775">
        <v>202505</v>
      </c>
      <c r="AJ1775" t="s">
        <v>56</v>
      </c>
      <c r="AK1775">
        <v>0</v>
      </c>
      <c r="AL1775">
        <v>1</v>
      </c>
      <c r="AO1775">
        <v>0</v>
      </c>
      <c r="AP1775" t="s">
        <v>3015</v>
      </c>
      <c r="AQ1775" t="s">
        <v>3012</v>
      </c>
      <c r="AR1775" t="s">
        <v>3016</v>
      </c>
      <c r="AT1775" t="s">
        <v>3017</v>
      </c>
      <c r="AU1775" t="s">
        <v>3018</v>
      </c>
    </row>
    <row r="1776" spans="1:47" x14ac:dyDescent="0.35">
      <c r="A1776">
        <v>347919</v>
      </c>
      <c r="B1776" t="s">
        <v>193</v>
      </c>
      <c r="C1776" t="s">
        <v>194</v>
      </c>
      <c r="D1776" s="2">
        <v>45790</v>
      </c>
      <c r="E1776">
        <v>53850</v>
      </c>
      <c r="F1776">
        <v>116</v>
      </c>
      <c r="G1776" t="s">
        <v>126</v>
      </c>
      <c r="H1776" t="s">
        <v>167</v>
      </c>
      <c r="I1776" t="s">
        <v>45</v>
      </c>
      <c r="K1776">
        <v>202505127972864</v>
      </c>
      <c r="L1776">
        <v>2343300010453</v>
      </c>
      <c r="M1776">
        <v>20250512</v>
      </c>
      <c r="N1776" t="s">
        <v>195</v>
      </c>
      <c r="Q1776" t="s">
        <v>47</v>
      </c>
      <c r="R1776">
        <v>191268.3</v>
      </c>
      <c r="S1776">
        <v>191268.3</v>
      </c>
      <c r="T1776">
        <v>4247777</v>
      </c>
      <c r="U1776">
        <v>233470236</v>
      </c>
      <c r="V1776" t="s">
        <v>206</v>
      </c>
      <c r="W1776" t="s">
        <v>49</v>
      </c>
      <c r="X1776" t="s">
        <v>117</v>
      </c>
      <c r="Y1776" t="s">
        <v>51</v>
      </c>
      <c r="Z1776">
        <v>1696</v>
      </c>
      <c r="AH1776">
        <v>0</v>
      </c>
      <c r="AI1776">
        <v>202505</v>
      </c>
      <c r="AJ1776" t="s">
        <v>114</v>
      </c>
      <c r="AK1776">
        <v>1</v>
      </c>
      <c r="AL1776">
        <v>1</v>
      </c>
      <c r="AM1776">
        <v>4247777</v>
      </c>
      <c r="AN1776">
        <v>1</v>
      </c>
      <c r="AO1776">
        <v>0</v>
      </c>
      <c r="AP1776" t="s">
        <v>3029</v>
      </c>
      <c r="AQ1776" t="s">
        <v>3012</v>
      </c>
      <c r="AR1776" t="s">
        <v>3030</v>
      </c>
      <c r="AS1776" t="s">
        <v>3014</v>
      </c>
      <c r="AU1776" t="s">
        <v>3014</v>
      </c>
    </row>
    <row r="1777" spans="1:47" x14ac:dyDescent="0.35">
      <c r="A1777">
        <v>347918</v>
      </c>
      <c r="B1777" t="s">
        <v>178</v>
      </c>
      <c r="C1777" t="s">
        <v>179</v>
      </c>
      <c r="D1777" s="2">
        <v>45790</v>
      </c>
      <c r="E1777">
        <v>53850</v>
      </c>
      <c r="F1777">
        <v>102</v>
      </c>
      <c r="G1777" t="s">
        <v>151</v>
      </c>
      <c r="H1777" t="s">
        <v>167</v>
      </c>
      <c r="I1777" t="s">
        <v>45</v>
      </c>
      <c r="K1777">
        <v>202505127971335</v>
      </c>
      <c r="L1777">
        <v>1603300002981</v>
      </c>
      <c r="M1777">
        <v>20250512</v>
      </c>
      <c r="N1777" t="s">
        <v>46</v>
      </c>
      <c r="P1777" t="s">
        <v>51</v>
      </c>
      <c r="Q1777" t="s">
        <v>47</v>
      </c>
      <c r="R1777">
        <v>14903049.34</v>
      </c>
      <c r="S1777">
        <v>0</v>
      </c>
      <c r="T1777">
        <v>4990319</v>
      </c>
      <c r="U1777">
        <v>6655971007</v>
      </c>
      <c r="V1777" t="s">
        <v>1074</v>
      </c>
      <c r="W1777" t="s">
        <v>1075</v>
      </c>
      <c r="X1777" t="s">
        <v>1076</v>
      </c>
      <c r="Y1777" t="s">
        <v>51</v>
      </c>
      <c r="Z1777">
        <v>739</v>
      </c>
      <c r="AH1777">
        <v>0</v>
      </c>
      <c r="AI1777">
        <v>202505</v>
      </c>
      <c r="AJ1777" t="s">
        <v>86</v>
      </c>
      <c r="AK1777">
        <v>1</v>
      </c>
      <c r="AL1777">
        <v>1</v>
      </c>
      <c r="AO1777">
        <v>0</v>
      </c>
      <c r="AP1777" t="s">
        <v>3015</v>
      </c>
      <c r="AQ1777" t="s">
        <v>3100</v>
      </c>
      <c r="AR1777" t="s">
        <v>3101</v>
      </c>
      <c r="AT1777" t="s">
        <v>3017</v>
      </c>
      <c r="AU1777" t="s">
        <v>3018</v>
      </c>
    </row>
    <row r="1778" spans="1:47" x14ac:dyDescent="0.35">
      <c r="A1778">
        <v>347917</v>
      </c>
      <c r="B1778" t="s">
        <v>178</v>
      </c>
      <c r="C1778" t="s">
        <v>179</v>
      </c>
      <c r="D1778" s="2">
        <v>45790</v>
      </c>
      <c r="E1778">
        <v>53850</v>
      </c>
      <c r="F1778">
        <v>114</v>
      </c>
      <c r="G1778" t="s">
        <v>188</v>
      </c>
      <c r="H1778" t="s">
        <v>167</v>
      </c>
      <c r="I1778" t="s">
        <v>45</v>
      </c>
      <c r="K1778">
        <v>202505127972094</v>
      </c>
      <c r="L1778">
        <v>1146000019363</v>
      </c>
      <c r="M1778">
        <v>20250512</v>
      </c>
      <c r="N1778" t="s">
        <v>1002</v>
      </c>
      <c r="Q1778" t="s">
        <v>47</v>
      </c>
      <c r="R1778">
        <v>194072.24</v>
      </c>
      <c r="S1778">
        <v>0</v>
      </c>
      <c r="T1778">
        <v>4072202</v>
      </c>
      <c r="U1778" t="s">
        <v>1907</v>
      </c>
      <c r="V1778" t="s">
        <v>1908</v>
      </c>
      <c r="W1778" t="s">
        <v>187</v>
      </c>
      <c r="Y1778" t="s">
        <v>51</v>
      </c>
      <c r="Z1778">
        <v>1644</v>
      </c>
      <c r="AH1778">
        <v>0</v>
      </c>
      <c r="AI1778">
        <v>202505</v>
      </c>
      <c r="AJ1778" t="s">
        <v>119</v>
      </c>
      <c r="AK1778">
        <v>1</v>
      </c>
      <c r="AL1778">
        <v>1</v>
      </c>
      <c r="AO1778">
        <v>0</v>
      </c>
      <c r="AP1778" t="s">
        <v>3015</v>
      </c>
      <c r="AQ1778" t="s">
        <v>3044</v>
      </c>
      <c r="AR1778" t="s">
        <v>3045</v>
      </c>
      <c r="AS1778" t="s">
        <v>3046</v>
      </c>
      <c r="AU1778" t="s">
        <v>3046</v>
      </c>
    </row>
    <row r="1779" spans="1:47" x14ac:dyDescent="0.35">
      <c r="A1779">
        <v>347916</v>
      </c>
      <c r="B1779" t="s">
        <v>193</v>
      </c>
      <c r="C1779" t="s">
        <v>194</v>
      </c>
      <c r="D1779" s="2">
        <v>45790</v>
      </c>
      <c r="E1779">
        <v>53850</v>
      </c>
      <c r="F1779">
        <v>104</v>
      </c>
      <c r="G1779" t="s">
        <v>108</v>
      </c>
      <c r="H1779" t="s">
        <v>167</v>
      </c>
      <c r="I1779" t="s">
        <v>45</v>
      </c>
      <c r="K1779" t="s">
        <v>1890</v>
      </c>
      <c r="L1779">
        <v>1043309505529</v>
      </c>
      <c r="M1779">
        <v>20250512</v>
      </c>
      <c r="N1779" t="s">
        <v>195</v>
      </c>
      <c r="Q1779" t="s">
        <v>47</v>
      </c>
      <c r="R1779">
        <v>69940</v>
      </c>
      <c r="S1779">
        <v>69940</v>
      </c>
      <c r="T1779">
        <v>4222821</v>
      </c>
      <c r="U1779">
        <v>6131230721</v>
      </c>
      <c r="V1779" t="s">
        <v>697</v>
      </c>
      <c r="W1779" t="s">
        <v>49</v>
      </c>
      <c r="X1779" t="s">
        <v>698</v>
      </c>
      <c r="Y1779" t="s">
        <v>51</v>
      </c>
      <c r="Z1779">
        <v>727</v>
      </c>
      <c r="AH1779">
        <v>0</v>
      </c>
      <c r="AI1779">
        <v>202505</v>
      </c>
      <c r="AJ1779" t="s">
        <v>52</v>
      </c>
      <c r="AK1779">
        <v>0</v>
      </c>
      <c r="AL1779">
        <v>1</v>
      </c>
      <c r="AM1779">
        <v>4222821</v>
      </c>
      <c r="AN1779">
        <v>1</v>
      </c>
      <c r="AO1779">
        <v>0</v>
      </c>
      <c r="AP1779" t="s">
        <v>3015</v>
      </c>
      <c r="AQ1779" t="s">
        <v>3012</v>
      </c>
      <c r="AR1779" t="s">
        <v>3016</v>
      </c>
      <c r="AT1779" t="s">
        <v>3017</v>
      </c>
      <c r="AU1779" t="s">
        <v>3018</v>
      </c>
    </row>
    <row r="1780" spans="1:47" x14ac:dyDescent="0.35">
      <c r="A1780">
        <v>347915</v>
      </c>
      <c r="B1780" t="s">
        <v>471</v>
      </c>
      <c r="C1780" t="s">
        <v>472</v>
      </c>
      <c r="D1780" s="2">
        <v>45790</v>
      </c>
      <c r="E1780">
        <v>53850</v>
      </c>
      <c r="F1780">
        <v>168</v>
      </c>
      <c r="G1780" t="s">
        <v>616</v>
      </c>
      <c r="H1780" t="s">
        <v>167</v>
      </c>
      <c r="I1780" t="s">
        <v>45</v>
      </c>
      <c r="K1780">
        <v>202505127971840</v>
      </c>
      <c r="L1780">
        <v>1683306277782</v>
      </c>
      <c r="M1780">
        <v>20250512</v>
      </c>
      <c r="N1780" t="s">
        <v>168</v>
      </c>
      <c r="P1780" t="s">
        <v>217</v>
      </c>
      <c r="Q1780" t="s">
        <v>47</v>
      </c>
      <c r="R1780">
        <v>12855.42</v>
      </c>
      <c r="S1780">
        <v>0</v>
      </c>
      <c r="T1780">
        <v>3743230</v>
      </c>
      <c r="U1780" t="s">
        <v>694</v>
      </c>
      <c r="V1780" t="s">
        <v>695</v>
      </c>
      <c r="W1780" t="s">
        <v>696</v>
      </c>
      <c r="Y1780" t="s">
        <v>217</v>
      </c>
      <c r="Z1780">
        <v>1358</v>
      </c>
      <c r="AH1780">
        <v>0</v>
      </c>
      <c r="AI1780">
        <v>202505</v>
      </c>
      <c r="AJ1780" t="s">
        <v>86</v>
      </c>
      <c r="AK1780">
        <v>1</v>
      </c>
      <c r="AL1780">
        <v>1</v>
      </c>
      <c r="AO1780">
        <v>0</v>
      </c>
      <c r="AP1780" t="s">
        <v>3015</v>
      </c>
      <c r="AQ1780" t="s">
        <v>3084</v>
      </c>
      <c r="AR1780" t="s">
        <v>3085</v>
      </c>
      <c r="AS1780" t="s">
        <v>3046</v>
      </c>
      <c r="AU1780" t="s">
        <v>3046</v>
      </c>
    </row>
    <row r="1781" spans="1:47" x14ac:dyDescent="0.35">
      <c r="A1781">
        <v>347914</v>
      </c>
      <c r="B1781" t="s">
        <v>178</v>
      </c>
      <c r="C1781" t="s">
        <v>179</v>
      </c>
      <c r="D1781" s="2">
        <v>45790</v>
      </c>
      <c r="E1781">
        <v>53850</v>
      </c>
      <c r="F1781">
        <v>102</v>
      </c>
      <c r="G1781" t="s">
        <v>151</v>
      </c>
      <c r="H1781" t="s">
        <v>167</v>
      </c>
      <c r="I1781" t="s">
        <v>45</v>
      </c>
      <c r="K1781">
        <v>202505127973062</v>
      </c>
      <c r="L1781">
        <v>1603300002981</v>
      </c>
      <c r="M1781">
        <v>20250512</v>
      </c>
      <c r="N1781" t="s">
        <v>659</v>
      </c>
      <c r="Q1781" t="s">
        <v>170</v>
      </c>
      <c r="R1781">
        <v>14903049.34</v>
      </c>
      <c r="S1781">
        <v>0</v>
      </c>
      <c r="T1781">
        <v>4990319</v>
      </c>
      <c r="U1781">
        <v>6655971007</v>
      </c>
      <c r="V1781" t="s">
        <v>1074</v>
      </c>
      <c r="W1781" t="s">
        <v>1075</v>
      </c>
      <c r="X1781" t="s">
        <v>1076</v>
      </c>
      <c r="Y1781" t="s">
        <v>51</v>
      </c>
      <c r="Z1781">
        <v>739</v>
      </c>
      <c r="AH1781">
        <v>0</v>
      </c>
      <c r="AI1781">
        <v>202505</v>
      </c>
      <c r="AJ1781" t="s">
        <v>86</v>
      </c>
      <c r="AK1781">
        <v>1</v>
      </c>
      <c r="AL1781">
        <v>1</v>
      </c>
      <c r="AO1781">
        <v>0</v>
      </c>
      <c r="AP1781" t="s">
        <v>3015</v>
      </c>
      <c r="AQ1781" t="s">
        <v>3100</v>
      </c>
      <c r="AR1781" t="s">
        <v>3101</v>
      </c>
      <c r="AT1781" t="s">
        <v>3017</v>
      </c>
      <c r="AU1781" t="s">
        <v>3018</v>
      </c>
    </row>
    <row r="1782" spans="1:47" x14ac:dyDescent="0.35">
      <c r="A1782">
        <v>347913</v>
      </c>
      <c r="B1782" t="s">
        <v>193</v>
      </c>
      <c r="C1782" t="s">
        <v>194</v>
      </c>
      <c r="D1782" s="2">
        <v>45790</v>
      </c>
      <c r="E1782">
        <v>53850</v>
      </c>
      <c r="F1782">
        <v>259</v>
      </c>
      <c r="G1782" t="s">
        <v>361</v>
      </c>
      <c r="H1782" t="s">
        <v>167</v>
      </c>
      <c r="I1782" t="s">
        <v>45</v>
      </c>
      <c r="K1782" t="s">
        <v>1890</v>
      </c>
      <c r="L1782">
        <v>2593300000146</v>
      </c>
      <c r="M1782">
        <v>20250512</v>
      </c>
      <c r="N1782" t="s">
        <v>175</v>
      </c>
      <c r="Q1782" t="s">
        <v>47</v>
      </c>
      <c r="R1782">
        <v>58120</v>
      </c>
      <c r="S1782">
        <v>57000</v>
      </c>
      <c r="T1782">
        <v>4574357</v>
      </c>
      <c r="U1782">
        <v>5690380729</v>
      </c>
      <c r="V1782" t="s">
        <v>486</v>
      </c>
      <c r="W1782" t="s">
        <v>49</v>
      </c>
      <c r="X1782" t="s">
        <v>117</v>
      </c>
      <c r="Y1782" t="s">
        <v>51</v>
      </c>
      <c r="Z1782">
        <v>1058</v>
      </c>
      <c r="AH1782">
        <v>0</v>
      </c>
      <c r="AI1782">
        <v>202505</v>
      </c>
      <c r="AJ1782" t="s">
        <v>52</v>
      </c>
      <c r="AK1782">
        <v>0</v>
      </c>
      <c r="AL1782">
        <v>1</v>
      </c>
      <c r="AM1782">
        <v>4574357</v>
      </c>
      <c r="AN1782">
        <v>1</v>
      </c>
      <c r="AO1782">
        <v>1</v>
      </c>
      <c r="AP1782" t="s">
        <v>3029</v>
      </c>
      <c r="AQ1782" t="s">
        <v>3012</v>
      </c>
      <c r="AR1782" t="s">
        <v>3030</v>
      </c>
      <c r="AS1782" t="s">
        <v>3014</v>
      </c>
      <c r="AU1782" t="s">
        <v>3014</v>
      </c>
    </row>
    <row r="1783" spans="1:47" x14ac:dyDescent="0.35">
      <c r="A1783">
        <v>347912</v>
      </c>
      <c r="B1783" t="s">
        <v>164</v>
      </c>
      <c r="C1783" t="s">
        <v>165</v>
      </c>
      <c r="D1783" s="2">
        <v>45790</v>
      </c>
      <c r="E1783">
        <v>53850</v>
      </c>
      <c r="F1783">
        <v>111</v>
      </c>
      <c r="G1783" t="s">
        <v>458</v>
      </c>
      <c r="H1783" t="s">
        <v>167</v>
      </c>
      <c r="I1783" t="s">
        <v>45</v>
      </c>
      <c r="K1783" t="s">
        <v>1909</v>
      </c>
      <c r="L1783">
        <v>1113305626850</v>
      </c>
      <c r="M1783">
        <v>20250512</v>
      </c>
      <c r="N1783" t="s">
        <v>168</v>
      </c>
      <c r="P1783" t="s">
        <v>169</v>
      </c>
      <c r="Q1783" t="s">
        <v>170</v>
      </c>
      <c r="R1783">
        <v>1820</v>
      </c>
      <c r="S1783">
        <v>0</v>
      </c>
      <c r="T1783">
        <v>562685</v>
      </c>
      <c r="U1783" t="s">
        <v>459</v>
      </c>
      <c r="V1783" t="s">
        <v>460</v>
      </c>
      <c r="W1783" t="s">
        <v>187</v>
      </c>
      <c r="Y1783" t="s">
        <v>51</v>
      </c>
      <c r="Z1783">
        <v>593</v>
      </c>
      <c r="AH1783">
        <v>0</v>
      </c>
      <c r="AI1783">
        <v>202505</v>
      </c>
      <c r="AJ1783" t="s">
        <v>119</v>
      </c>
      <c r="AK1783">
        <v>1</v>
      </c>
      <c r="AL1783">
        <v>1</v>
      </c>
      <c r="AO1783">
        <v>0</v>
      </c>
      <c r="AP1783" t="s">
        <v>3015</v>
      </c>
      <c r="AQ1783" t="s">
        <v>3044</v>
      </c>
      <c r="AR1783" t="s">
        <v>3045</v>
      </c>
      <c r="AS1783" t="s">
        <v>3046</v>
      </c>
      <c r="AU1783" t="s">
        <v>3046</v>
      </c>
    </row>
    <row r="1784" spans="1:47" x14ac:dyDescent="0.35">
      <c r="A1784">
        <v>347911</v>
      </c>
      <c r="B1784" t="s">
        <v>178</v>
      </c>
      <c r="C1784" t="s">
        <v>179</v>
      </c>
      <c r="D1784" s="2">
        <v>45790</v>
      </c>
      <c r="E1784">
        <v>53850</v>
      </c>
      <c r="F1784">
        <v>102</v>
      </c>
      <c r="G1784" t="s">
        <v>151</v>
      </c>
      <c r="H1784" t="s">
        <v>167</v>
      </c>
      <c r="I1784" t="s">
        <v>45</v>
      </c>
      <c r="K1784">
        <v>202505127972163</v>
      </c>
      <c r="L1784">
        <v>1023305697550</v>
      </c>
      <c r="M1784">
        <v>20250512</v>
      </c>
      <c r="N1784" t="s">
        <v>258</v>
      </c>
      <c r="Q1784" t="s">
        <v>170</v>
      </c>
      <c r="R1784">
        <v>1200000</v>
      </c>
      <c r="S1784">
        <v>0</v>
      </c>
      <c r="T1784">
        <v>569755</v>
      </c>
      <c r="U1784">
        <v>4504560725</v>
      </c>
      <c r="V1784" t="s">
        <v>1910</v>
      </c>
      <c r="W1784" t="s">
        <v>49</v>
      </c>
      <c r="X1784" t="s">
        <v>1062</v>
      </c>
      <c r="Y1784" t="s">
        <v>51</v>
      </c>
      <c r="Z1784">
        <v>739</v>
      </c>
      <c r="AH1784">
        <v>0</v>
      </c>
      <c r="AI1784">
        <v>202505</v>
      </c>
      <c r="AJ1784" t="s">
        <v>86</v>
      </c>
      <c r="AK1784">
        <v>1</v>
      </c>
      <c r="AL1784">
        <v>1</v>
      </c>
      <c r="AO1784">
        <v>0</v>
      </c>
      <c r="AP1784" t="s">
        <v>3015</v>
      </c>
      <c r="AQ1784" t="s">
        <v>3012</v>
      </c>
      <c r="AR1784" t="s">
        <v>3016</v>
      </c>
      <c r="AT1784" t="s">
        <v>3017</v>
      </c>
      <c r="AU1784" t="s">
        <v>3018</v>
      </c>
    </row>
    <row r="1785" spans="1:47" x14ac:dyDescent="0.35">
      <c r="A1785">
        <v>347910</v>
      </c>
      <c r="B1785" t="s">
        <v>172</v>
      </c>
      <c r="C1785" t="s">
        <v>173</v>
      </c>
      <c r="D1785" s="2">
        <v>45790</v>
      </c>
      <c r="E1785">
        <v>53850</v>
      </c>
      <c r="F1785">
        <v>116</v>
      </c>
      <c r="G1785" t="s">
        <v>126</v>
      </c>
      <c r="H1785" t="s">
        <v>167</v>
      </c>
      <c r="I1785" t="s">
        <v>45</v>
      </c>
      <c r="K1785">
        <v>202505127972864</v>
      </c>
      <c r="L1785">
        <v>2343300010453</v>
      </c>
      <c r="M1785">
        <v>20250512</v>
      </c>
      <c r="N1785" t="s">
        <v>195</v>
      </c>
      <c r="Q1785" t="s">
        <v>47</v>
      </c>
      <c r="R1785">
        <v>191268.3</v>
      </c>
      <c r="S1785">
        <v>191268.3</v>
      </c>
      <c r="T1785">
        <v>4247777</v>
      </c>
      <c r="U1785">
        <v>233470236</v>
      </c>
      <c r="V1785" t="s">
        <v>206</v>
      </c>
      <c r="W1785" t="s">
        <v>49</v>
      </c>
      <c r="X1785" t="s">
        <v>117</v>
      </c>
      <c r="Y1785" t="s">
        <v>51</v>
      </c>
      <c r="Z1785">
        <v>1696</v>
      </c>
      <c r="AH1785">
        <v>0</v>
      </c>
      <c r="AI1785">
        <v>202505</v>
      </c>
      <c r="AJ1785" t="s">
        <v>114</v>
      </c>
      <c r="AK1785">
        <v>1</v>
      </c>
      <c r="AL1785">
        <v>1</v>
      </c>
      <c r="AM1785">
        <v>4247777</v>
      </c>
      <c r="AN1785">
        <v>1</v>
      </c>
      <c r="AO1785">
        <v>0</v>
      </c>
      <c r="AP1785" t="s">
        <v>3029</v>
      </c>
      <c r="AQ1785" t="s">
        <v>3012</v>
      </c>
      <c r="AR1785" t="s">
        <v>3030</v>
      </c>
      <c r="AS1785" t="s">
        <v>3014</v>
      </c>
      <c r="AU1785" t="s">
        <v>3014</v>
      </c>
    </row>
    <row r="1786" spans="1:47" x14ac:dyDescent="0.35">
      <c r="A1786">
        <v>347909</v>
      </c>
      <c r="B1786" t="s">
        <v>193</v>
      </c>
      <c r="C1786" t="s">
        <v>194</v>
      </c>
      <c r="D1786" s="2">
        <v>45790</v>
      </c>
      <c r="E1786">
        <v>53850</v>
      </c>
      <c r="F1786">
        <v>109</v>
      </c>
      <c r="G1786" t="s">
        <v>89</v>
      </c>
      <c r="H1786" t="s">
        <v>167</v>
      </c>
      <c r="I1786" t="s">
        <v>45</v>
      </c>
      <c r="K1786">
        <v>202505127973143</v>
      </c>
      <c r="L1786">
        <v>1093306675356</v>
      </c>
      <c r="M1786">
        <v>20250512</v>
      </c>
      <c r="N1786" t="s">
        <v>266</v>
      </c>
      <c r="Q1786" t="s">
        <v>47</v>
      </c>
      <c r="R1786">
        <v>33500</v>
      </c>
      <c r="S1786">
        <v>33500</v>
      </c>
      <c r="T1786">
        <v>4976123</v>
      </c>
      <c r="U1786">
        <v>8630940727</v>
      </c>
      <c r="V1786" t="s">
        <v>717</v>
      </c>
      <c r="W1786" t="s">
        <v>49</v>
      </c>
      <c r="X1786" t="s">
        <v>131</v>
      </c>
      <c r="Y1786" t="s">
        <v>51</v>
      </c>
      <c r="Z1786">
        <v>502</v>
      </c>
      <c r="AH1786">
        <v>0</v>
      </c>
      <c r="AI1786">
        <v>202505</v>
      </c>
      <c r="AJ1786" t="s">
        <v>56</v>
      </c>
      <c r="AK1786">
        <v>0</v>
      </c>
      <c r="AL1786">
        <v>1</v>
      </c>
      <c r="AM1786">
        <v>4976123</v>
      </c>
      <c r="AN1786">
        <v>1</v>
      </c>
      <c r="AO1786">
        <v>0</v>
      </c>
      <c r="AP1786" t="s">
        <v>3033</v>
      </c>
      <c r="AQ1786" t="s">
        <v>3012</v>
      </c>
      <c r="AR1786" t="s">
        <v>3034</v>
      </c>
      <c r="AS1786" t="s">
        <v>3014</v>
      </c>
      <c r="AU1786" t="s">
        <v>3014</v>
      </c>
    </row>
    <row r="1787" spans="1:47" x14ac:dyDescent="0.35">
      <c r="A1787">
        <v>347908</v>
      </c>
      <c r="B1787" t="s">
        <v>178</v>
      </c>
      <c r="C1787" t="s">
        <v>179</v>
      </c>
      <c r="D1787" s="2">
        <v>45790</v>
      </c>
      <c r="E1787">
        <v>53850</v>
      </c>
      <c r="F1787">
        <v>284</v>
      </c>
      <c r="G1787" t="s">
        <v>184</v>
      </c>
      <c r="H1787" t="s">
        <v>167</v>
      </c>
      <c r="I1787" t="s">
        <v>45</v>
      </c>
      <c r="K1787">
        <v>202505127973664</v>
      </c>
      <c r="L1787">
        <v>2845500000060</v>
      </c>
      <c r="M1787">
        <v>20250512</v>
      </c>
      <c r="N1787" t="s">
        <v>794</v>
      </c>
      <c r="Q1787" t="s">
        <v>170</v>
      </c>
      <c r="R1787">
        <v>175971.72</v>
      </c>
      <c r="S1787">
        <v>0</v>
      </c>
      <c r="T1787">
        <v>1604878</v>
      </c>
      <c r="U1787" t="s">
        <v>1911</v>
      </c>
      <c r="V1787" t="s">
        <v>1912</v>
      </c>
      <c r="W1787" t="s">
        <v>187</v>
      </c>
      <c r="Y1787" t="s">
        <v>51</v>
      </c>
      <c r="Z1787">
        <v>1840</v>
      </c>
      <c r="AH1787">
        <v>0</v>
      </c>
      <c r="AI1787">
        <v>202505</v>
      </c>
      <c r="AJ1787" t="s">
        <v>52</v>
      </c>
      <c r="AK1787">
        <v>0</v>
      </c>
      <c r="AL1787">
        <v>1</v>
      </c>
      <c r="AO1787">
        <v>0</v>
      </c>
      <c r="AP1787" t="s">
        <v>3015</v>
      </c>
      <c r="AQ1787" t="s">
        <v>3044</v>
      </c>
      <c r="AR1787" t="s">
        <v>3045</v>
      </c>
      <c r="AS1787" t="s">
        <v>3046</v>
      </c>
      <c r="AU1787" t="s">
        <v>3046</v>
      </c>
    </row>
    <row r="1788" spans="1:47" x14ac:dyDescent="0.35">
      <c r="A1788">
        <v>347907</v>
      </c>
      <c r="B1788" t="s">
        <v>172</v>
      </c>
      <c r="C1788" t="s">
        <v>173</v>
      </c>
      <c r="D1788" s="2">
        <v>45790</v>
      </c>
      <c r="E1788">
        <v>53850</v>
      </c>
      <c r="F1788">
        <v>287</v>
      </c>
      <c r="G1788" t="s">
        <v>707</v>
      </c>
      <c r="H1788" t="s">
        <v>167</v>
      </c>
      <c r="I1788" t="s">
        <v>45</v>
      </c>
      <c r="K1788" t="s">
        <v>1890</v>
      </c>
      <c r="L1788">
        <v>2873300001853</v>
      </c>
      <c r="M1788">
        <v>20250512</v>
      </c>
      <c r="N1788" t="s">
        <v>175</v>
      </c>
      <c r="Q1788" t="s">
        <v>47</v>
      </c>
      <c r="R1788">
        <v>105369.64</v>
      </c>
      <c r="S1788">
        <v>0</v>
      </c>
      <c r="T1788">
        <v>3722213</v>
      </c>
      <c r="U1788">
        <v>2021570698</v>
      </c>
      <c r="V1788" t="s">
        <v>708</v>
      </c>
      <c r="W1788" t="s">
        <v>49</v>
      </c>
      <c r="X1788" t="s">
        <v>117</v>
      </c>
      <c r="Y1788" t="s">
        <v>51</v>
      </c>
      <c r="Z1788">
        <v>1877</v>
      </c>
      <c r="AH1788">
        <v>0</v>
      </c>
      <c r="AI1788">
        <v>202505</v>
      </c>
      <c r="AJ1788" t="s">
        <v>52</v>
      </c>
      <c r="AK1788">
        <v>0</v>
      </c>
      <c r="AL1788">
        <v>1</v>
      </c>
      <c r="AM1788">
        <v>3722213</v>
      </c>
      <c r="AN1788">
        <v>1</v>
      </c>
      <c r="AO1788">
        <v>1</v>
      </c>
      <c r="AP1788" t="s">
        <v>3029</v>
      </c>
      <c r="AQ1788" t="s">
        <v>3012</v>
      </c>
      <c r="AR1788" t="s">
        <v>3030</v>
      </c>
      <c r="AS1788" t="s">
        <v>3014</v>
      </c>
      <c r="AU1788" t="s">
        <v>3014</v>
      </c>
    </row>
    <row r="1789" spans="1:47" x14ac:dyDescent="0.35">
      <c r="A1789">
        <v>347906</v>
      </c>
      <c r="B1789" t="s">
        <v>178</v>
      </c>
      <c r="C1789" t="s">
        <v>179</v>
      </c>
      <c r="D1789" s="2">
        <v>45790</v>
      </c>
      <c r="E1789">
        <v>53850</v>
      </c>
      <c r="F1789">
        <v>102</v>
      </c>
      <c r="G1789" t="s">
        <v>151</v>
      </c>
      <c r="H1789" t="s">
        <v>167</v>
      </c>
      <c r="I1789" t="s">
        <v>45</v>
      </c>
      <c r="K1789">
        <v>202505127970583</v>
      </c>
      <c r="L1789">
        <v>1023302279020</v>
      </c>
      <c r="M1789">
        <v>20250512</v>
      </c>
      <c r="N1789" t="s">
        <v>310</v>
      </c>
      <c r="Q1789" t="s">
        <v>170</v>
      </c>
      <c r="R1789">
        <v>419575.92</v>
      </c>
      <c r="S1789">
        <v>0</v>
      </c>
      <c r="T1789">
        <v>225102</v>
      </c>
      <c r="U1789">
        <v>3613570724</v>
      </c>
      <c r="V1789" t="s">
        <v>1913</v>
      </c>
      <c r="W1789" t="s">
        <v>49</v>
      </c>
      <c r="X1789" t="s">
        <v>343</v>
      </c>
      <c r="Y1789" t="s">
        <v>51</v>
      </c>
      <c r="Z1789">
        <v>1203</v>
      </c>
      <c r="AH1789">
        <v>0</v>
      </c>
      <c r="AI1789">
        <v>202505</v>
      </c>
      <c r="AJ1789" t="s">
        <v>86</v>
      </c>
      <c r="AK1789">
        <v>1</v>
      </c>
      <c r="AL1789">
        <v>1</v>
      </c>
      <c r="AO1789">
        <v>0</v>
      </c>
      <c r="AP1789" t="s">
        <v>3086</v>
      </c>
      <c r="AQ1789" t="s">
        <v>3012</v>
      </c>
      <c r="AR1789" t="s">
        <v>3087</v>
      </c>
      <c r="AS1789" t="s">
        <v>3014</v>
      </c>
      <c r="AU1789" t="s">
        <v>3014</v>
      </c>
    </row>
    <row r="1790" spans="1:47" x14ac:dyDescent="0.35">
      <c r="A1790">
        <v>347905</v>
      </c>
      <c r="B1790" t="s">
        <v>172</v>
      </c>
      <c r="C1790" t="s">
        <v>173</v>
      </c>
      <c r="D1790" s="2">
        <v>45790</v>
      </c>
      <c r="E1790">
        <v>53850</v>
      </c>
      <c r="F1790">
        <v>284</v>
      </c>
      <c r="G1790" t="s">
        <v>184</v>
      </c>
      <c r="H1790" t="s">
        <v>167</v>
      </c>
      <c r="I1790" t="s">
        <v>45</v>
      </c>
      <c r="K1790">
        <v>202505127973665</v>
      </c>
      <c r="L1790">
        <v>2843300000381</v>
      </c>
      <c r="M1790">
        <v>20250512</v>
      </c>
      <c r="N1790" t="s">
        <v>266</v>
      </c>
      <c r="Q1790" t="s">
        <v>47</v>
      </c>
      <c r="R1790">
        <v>175971.72</v>
      </c>
      <c r="S1790">
        <v>0</v>
      </c>
      <c r="T1790">
        <v>1656421</v>
      </c>
      <c r="U1790" t="s">
        <v>1891</v>
      </c>
      <c r="V1790" t="s">
        <v>1892</v>
      </c>
      <c r="W1790" t="s">
        <v>187</v>
      </c>
      <c r="Y1790" t="s">
        <v>51</v>
      </c>
      <c r="Z1790">
        <v>1840</v>
      </c>
      <c r="AH1790">
        <v>0</v>
      </c>
      <c r="AI1790">
        <v>202505</v>
      </c>
      <c r="AJ1790" t="s">
        <v>52</v>
      </c>
      <c r="AK1790">
        <v>0</v>
      </c>
      <c r="AL1790">
        <v>1</v>
      </c>
      <c r="AO1790">
        <v>0</v>
      </c>
      <c r="AP1790" t="s">
        <v>3015</v>
      </c>
      <c r="AQ1790" t="s">
        <v>3044</v>
      </c>
      <c r="AR1790" t="s">
        <v>3045</v>
      </c>
      <c r="AS1790" t="s">
        <v>3046</v>
      </c>
      <c r="AU1790" t="s">
        <v>3046</v>
      </c>
    </row>
    <row r="1791" spans="1:47" x14ac:dyDescent="0.35">
      <c r="A1791">
        <v>347904</v>
      </c>
      <c r="B1791" t="s">
        <v>164</v>
      </c>
      <c r="C1791" t="s">
        <v>165</v>
      </c>
      <c r="D1791" s="2">
        <v>45790</v>
      </c>
      <c r="E1791">
        <v>53850</v>
      </c>
      <c r="F1791">
        <v>187</v>
      </c>
      <c r="G1791" t="s">
        <v>251</v>
      </c>
      <c r="H1791" t="s">
        <v>167</v>
      </c>
      <c r="I1791" t="s">
        <v>45</v>
      </c>
      <c r="K1791" t="s">
        <v>1897</v>
      </c>
      <c r="L1791">
        <v>1873300001435</v>
      </c>
      <c r="M1791">
        <v>20250512</v>
      </c>
      <c r="N1791" t="s">
        <v>168</v>
      </c>
      <c r="P1791" t="s">
        <v>435</v>
      </c>
      <c r="Q1791" t="s">
        <v>47</v>
      </c>
      <c r="R1791">
        <v>1000</v>
      </c>
      <c r="S1791">
        <v>0</v>
      </c>
      <c r="T1791">
        <v>3023756</v>
      </c>
      <c r="U1791" t="s">
        <v>1914</v>
      </c>
      <c r="V1791" t="s">
        <v>1915</v>
      </c>
      <c r="W1791" t="s">
        <v>187</v>
      </c>
      <c r="Y1791" t="s">
        <v>51</v>
      </c>
      <c r="Z1791">
        <v>479</v>
      </c>
      <c r="AH1791">
        <v>0</v>
      </c>
      <c r="AI1791">
        <v>202505</v>
      </c>
      <c r="AJ1791" t="s">
        <v>86</v>
      </c>
      <c r="AK1791">
        <v>1</v>
      </c>
      <c r="AL1791">
        <v>1</v>
      </c>
      <c r="AO1791">
        <v>0</v>
      </c>
      <c r="AP1791" t="s">
        <v>3015</v>
      </c>
      <c r="AQ1791" t="s">
        <v>3044</v>
      </c>
      <c r="AR1791" t="s">
        <v>3045</v>
      </c>
      <c r="AS1791" t="s">
        <v>3046</v>
      </c>
      <c r="AU1791" t="s">
        <v>3046</v>
      </c>
    </row>
    <row r="1792" spans="1:47" x14ac:dyDescent="0.35">
      <c r="A1792">
        <v>347903</v>
      </c>
      <c r="B1792" t="s">
        <v>178</v>
      </c>
      <c r="C1792" t="s">
        <v>179</v>
      </c>
      <c r="D1792" s="2">
        <v>45790</v>
      </c>
      <c r="E1792">
        <v>53850</v>
      </c>
      <c r="F1792">
        <v>161</v>
      </c>
      <c r="G1792" t="s">
        <v>111</v>
      </c>
      <c r="H1792" t="s">
        <v>167</v>
      </c>
      <c r="I1792" t="s">
        <v>45</v>
      </c>
      <c r="K1792">
        <v>202505127972562</v>
      </c>
      <c r="L1792">
        <v>1613300029653</v>
      </c>
      <c r="M1792">
        <v>20250512</v>
      </c>
      <c r="N1792" t="s">
        <v>659</v>
      </c>
      <c r="Q1792" t="s">
        <v>170</v>
      </c>
      <c r="R1792">
        <v>523753.44</v>
      </c>
      <c r="S1792">
        <v>0</v>
      </c>
      <c r="T1792">
        <v>4088769</v>
      </c>
      <c r="U1792">
        <v>5150120722</v>
      </c>
      <c r="V1792" t="s">
        <v>270</v>
      </c>
      <c r="W1792" t="s">
        <v>49</v>
      </c>
      <c r="X1792" t="s">
        <v>110</v>
      </c>
      <c r="Y1792" t="s">
        <v>51</v>
      </c>
      <c r="Z1792">
        <v>1903</v>
      </c>
      <c r="AH1792">
        <v>0</v>
      </c>
      <c r="AI1792">
        <v>202505</v>
      </c>
      <c r="AJ1792" t="s">
        <v>56</v>
      </c>
      <c r="AK1792">
        <v>0</v>
      </c>
      <c r="AL1792">
        <v>1</v>
      </c>
      <c r="AM1792">
        <v>4088769</v>
      </c>
      <c r="AN1792">
        <v>1</v>
      </c>
      <c r="AO1792">
        <v>0</v>
      </c>
      <c r="AP1792" t="s">
        <v>3026</v>
      </c>
      <c r="AQ1792" t="s">
        <v>3012</v>
      </c>
      <c r="AR1792" t="s">
        <v>3027</v>
      </c>
      <c r="AS1792" t="s">
        <v>3028</v>
      </c>
      <c r="AU1792" t="s">
        <v>3028</v>
      </c>
    </row>
    <row r="1793" spans="1:47" x14ac:dyDescent="0.35">
      <c r="A1793">
        <v>347902</v>
      </c>
      <c r="B1793" t="s">
        <v>214</v>
      </c>
      <c r="C1793" t="s">
        <v>215</v>
      </c>
      <c r="D1793" s="2">
        <v>45790</v>
      </c>
      <c r="E1793">
        <v>53850</v>
      </c>
      <c r="F1793">
        <v>149</v>
      </c>
      <c r="G1793" t="s">
        <v>449</v>
      </c>
      <c r="H1793" t="s">
        <v>167</v>
      </c>
      <c r="I1793" t="s">
        <v>45</v>
      </c>
      <c r="K1793">
        <v>202505127971838</v>
      </c>
      <c r="L1793">
        <v>1493300664691</v>
      </c>
      <c r="M1793">
        <v>20250512</v>
      </c>
      <c r="N1793" t="s">
        <v>168</v>
      </c>
      <c r="P1793" t="s">
        <v>414</v>
      </c>
      <c r="Q1793" t="s">
        <v>170</v>
      </c>
      <c r="R1793">
        <v>19320</v>
      </c>
      <c r="S1793">
        <v>0</v>
      </c>
      <c r="T1793">
        <v>4988257</v>
      </c>
      <c r="U1793">
        <v>7432651219</v>
      </c>
      <c r="V1793" t="s">
        <v>1916</v>
      </c>
      <c r="W1793" t="s">
        <v>49</v>
      </c>
      <c r="X1793" t="s">
        <v>110</v>
      </c>
      <c r="Y1793" t="s">
        <v>51</v>
      </c>
      <c r="Z1793">
        <v>1910</v>
      </c>
      <c r="AH1793">
        <v>0</v>
      </c>
      <c r="AI1793">
        <v>202505</v>
      </c>
      <c r="AJ1793" t="s">
        <v>119</v>
      </c>
      <c r="AK1793">
        <v>1</v>
      </c>
      <c r="AL1793">
        <v>1</v>
      </c>
      <c r="AO1793">
        <v>0</v>
      </c>
      <c r="AP1793" t="s">
        <v>3026</v>
      </c>
      <c r="AQ1793" t="s">
        <v>3012</v>
      </c>
      <c r="AR1793" t="s">
        <v>3027</v>
      </c>
      <c r="AS1793" t="s">
        <v>3028</v>
      </c>
      <c r="AU1793" t="s">
        <v>3028</v>
      </c>
    </row>
    <row r="1794" spans="1:47" x14ac:dyDescent="0.35">
      <c r="A1794">
        <v>347901</v>
      </c>
      <c r="B1794" t="s">
        <v>193</v>
      </c>
      <c r="C1794" t="s">
        <v>194</v>
      </c>
      <c r="D1794" s="2">
        <v>45790</v>
      </c>
      <c r="E1794">
        <v>53850</v>
      </c>
      <c r="F1794">
        <v>102</v>
      </c>
      <c r="G1794" t="s">
        <v>151</v>
      </c>
      <c r="H1794" t="s">
        <v>167</v>
      </c>
      <c r="I1794" t="s">
        <v>45</v>
      </c>
      <c r="K1794">
        <v>202505107972107</v>
      </c>
      <c r="L1794">
        <v>1023308722503</v>
      </c>
      <c r="M1794">
        <v>20250510</v>
      </c>
      <c r="N1794" t="s">
        <v>195</v>
      </c>
      <c r="Q1794" t="s">
        <v>47</v>
      </c>
      <c r="R1794">
        <v>17000</v>
      </c>
      <c r="S1794">
        <v>17000</v>
      </c>
      <c r="T1794">
        <v>413650</v>
      </c>
      <c r="U1794">
        <v>3657230722</v>
      </c>
      <c r="V1794" t="s">
        <v>196</v>
      </c>
      <c r="W1794" t="s">
        <v>190</v>
      </c>
      <c r="X1794" t="s">
        <v>197</v>
      </c>
      <c r="Y1794" t="s">
        <v>51</v>
      </c>
      <c r="Z1794">
        <v>1306</v>
      </c>
      <c r="AH1794">
        <v>0</v>
      </c>
      <c r="AI1794">
        <v>202505</v>
      </c>
      <c r="AJ1794" t="s">
        <v>56</v>
      </c>
      <c r="AK1794">
        <v>0</v>
      </c>
      <c r="AL1794">
        <v>1</v>
      </c>
      <c r="AM1794">
        <v>413650</v>
      </c>
      <c r="AN1794">
        <v>1</v>
      </c>
      <c r="AO1794">
        <v>0</v>
      </c>
      <c r="AP1794" t="s">
        <v>3050</v>
      </c>
      <c r="AQ1794" t="s">
        <v>3047</v>
      </c>
      <c r="AR1794" t="s">
        <v>3051</v>
      </c>
      <c r="AS1794" t="s">
        <v>3049</v>
      </c>
      <c r="AU1794" t="s">
        <v>3049</v>
      </c>
    </row>
    <row r="1795" spans="1:47" x14ac:dyDescent="0.35">
      <c r="A1795">
        <v>347900</v>
      </c>
      <c r="B1795" t="s">
        <v>164</v>
      </c>
      <c r="C1795" t="s">
        <v>165</v>
      </c>
      <c r="D1795" s="2">
        <v>45790</v>
      </c>
      <c r="E1795">
        <v>53850</v>
      </c>
      <c r="F1795">
        <v>175</v>
      </c>
      <c r="G1795" t="s">
        <v>99</v>
      </c>
      <c r="H1795" t="s">
        <v>167</v>
      </c>
      <c r="I1795" t="s">
        <v>45</v>
      </c>
      <c r="K1795" t="s">
        <v>1917</v>
      </c>
      <c r="L1795">
        <v>1753302201268</v>
      </c>
      <c r="M1795">
        <v>20250509</v>
      </c>
      <c r="N1795" t="s">
        <v>168</v>
      </c>
      <c r="P1795" t="s">
        <v>255</v>
      </c>
      <c r="Q1795" t="s">
        <v>170</v>
      </c>
      <c r="R1795">
        <v>3807.4</v>
      </c>
      <c r="S1795">
        <v>0</v>
      </c>
      <c r="T1795">
        <v>4162195</v>
      </c>
      <c r="U1795" t="s">
        <v>1918</v>
      </c>
      <c r="V1795" t="s">
        <v>1919</v>
      </c>
      <c r="W1795" t="s">
        <v>69</v>
      </c>
      <c r="X1795" t="s">
        <v>1645</v>
      </c>
      <c r="Y1795" t="s">
        <v>51</v>
      </c>
      <c r="Z1795">
        <v>1110</v>
      </c>
      <c r="AH1795">
        <v>0</v>
      </c>
      <c r="AI1795">
        <v>202505</v>
      </c>
      <c r="AJ1795" t="s">
        <v>86</v>
      </c>
      <c r="AK1795">
        <v>1</v>
      </c>
      <c r="AL1795">
        <v>1</v>
      </c>
      <c r="AO1795">
        <v>0</v>
      </c>
      <c r="AP1795" t="s">
        <v>3015</v>
      </c>
      <c r="AQ1795" t="s">
        <v>3021</v>
      </c>
      <c r="AR1795" t="s">
        <v>3022</v>
      </c>
      <c r="AT1795" t="s">
        <v>3017</v>
      </c>
      <c r="AU1795" t="s">
        <v>3014</v>
      </c>
    </row>
    <row r="1796" spans="1:47" x14ac:dyDescent="0.35">
      <c r="A1796">
        <v>338044</v>
      </c>
      <c r="B1796" t="s">
        <v>178</v>
      </c>
      <c r="C1796" t="s">
        <v>179</v>
      </c>
      <c r="D1796" s="2">
        <v>45787</v>
      </c>
      <c r="E1796">
        <v>53850</v>
      </c>
      <c r="F1796">
        <v>103</v>
      </c>
      <c r="G1796" t="s">
        <v>80</v>
      </c>
      <c r="H1796" t="s">
        <v>167</v>
      </c>
      <c r="I1796" t="s">
        <v>45</v>
      </c>
      <c r="K1796">
        <v>202505127963855</v>
      </c>
      <c r="L1796">
        <v>1033306970929</v>
      </c>
      <c r="M1796">
        <v>20250512</v>
      </c>
      <c r="N1796" t="s">
        <v>1587</v>
      </c>
      <c r="Q1796" t="s">
        <v>47</v>
      </c>
      <c r="R1796">
        <v>1376294.69</v>
      </c>
      <c r="S1796">
        <v>0</v>
      </c>
      <c r="T1796">
        <v>44313</v>
      </c>
      <c r="U1796" t="s">
        <v>1451</v>
      </c>
      <c r="V1796" t="s">
        <v>1452</v>
      </c>
      <c r="W1796" t="s">
        <v>187</v>
      </c>
      <c r="Y1796" t="s">
        <v>51</v>
      </c>
      <c r="AH1796">
        <v>0</v>
      </c>
      <c r="AI1796">
        <v>202505</v>
      </c>
      <c r="AJ1796" t="s">
        <v>86</v>
      </c>
      <c r="AK1796">
        <v>1</v>
      </c>
      <c r="AL1796">
        <v>1</v>
      </c>
      <c r="AO1796">
        <v>0</v>
      </c>
      <c r="AP1796" t="s">
        <v>3015</v>
      </c>
      <c r="AQ1796" t="s">
        <v>3044</v>
      </c>
      <c r="AR1796" t="s">
        <v>3045</v>
      </c>
      <c r="AS1796" t="s">
        <v>3046</v>
      </c>
      <c r="AU1796" t="s">
        <v>3046</v>
      </c>
    </row>
    <row r="1797" spans="1:47" x14ac:dyDescent="0.35">
      <c r="A1797">
        <v>338043</v>
      </c>
      <c r="B1797" t="s">
        <v>178</v>
      </c>
      <c r="C1797" t="s">
        <v>179</v>
      </c>
      <c r="D1797" s="2">
        <v>45787</v>
      </c>
      <c r="E1797">
        <v>53850</v>
      </c>
      <c r="F1797">
        <v>103</v>
      </c>
      <c r="G1797" t="s">
        <v>80</v>
      </c>
      <c r="H1797" t="s">
        <v>167</v>
      </c>
      <c r="I1797" t="s">
        <v>45</v>
      </c>
      <c r="K1797">
        <v>202505127963855</v>
      </c>
      <c r="L1797">
        <v>1033306970929</v>
      </c>
      <c r="M1797">
        <v>20250512</v>
      </c>
      <c r="N1797" t="s">
        <v>1587</v>
      </c>
      <c r="Q1797" t="s">
        <v>47</v>
      </c>
      <c r="R1797">
        <v>1376294.69</v>
      </c>
      <c r="S1797">
        <v>0</v>
      </c>
      <c r="T1797">
        <v>8893</v>
      </c>
      <c r="U1797" t="s">
        <v>1455</v>
      </c>
      <c r="V1797" t="s">
        <v>1456</v>
      </c>
      <c r="W1797" t="s">
        <v>187</v>
      </c>
      <c r="Y1797" t="s">
        <v>51</v>
      </c>
      <c r="AH1797">
        <v>0</v>
      </c>
      <c r="AI1797">
        <v>202505</v>
      </c>
      <c r="AJ1797" t="s">
        <v>86</v>
      </c>
      <c r="AK1797">
        <v>1</v>
      </c>
      <c r="AL1797">
        <v>1</v>
      </c>
      <c r="AO1797">
        <v>0</v>
      </c>
      <c r="AP1797" t="s">
        <v>3015</v>
      </c>
      <c r="AQ1797" t="s">
        <v>3044</v>
      </c>
      <c r="AR1797" t="s">
        <v>3045</v>
      </c>
      <c r="AS1797" t="s">
        <v>3046</v>
      </c>
      <c r="AU1797" t="s">
        <v>3046</v>
      </c>
    </row>
    <row r="1798" spans="1:47" x14ac:dyDescent="0.35">
      <c r="A1798">
        <v>338042</v>
      </c>
      <c r="B1798" t="s">
        <v>178</v>
      </c>
      <c r="C1798" t="s">
        <v>179</v>
      </c>
      <c r="D1798" s="2">
        <v>45787</v>
      </c>
      <c r="E1798">
        <v>53850</v>
      </c>
      <c r="F1798">
        <v>103</v>
      </c>
      <c r="G1798" t="s">
        <v>80</v>
      </c>
      <c r="H1798" t="s">
        <v>167</v>
      </c>
      <c r="I1798" t="s">
        <v>45</v>
      </c>
      <c r="K1798">
        <v>202505127963855</v>
      </c>
      <c r="L1798">
        <v>1033306970929</v>
      </c>
      <c r="M1798">
        <v>20250512</v>
      </c>
      <c r="N1798" t="s">
        <v>1587</v>
      </c>
      <c r="Q1798" t="s">
        <v>47</v>
      </c>
      <c r="R1798">
        <v>1376294.69</v>
      </c>
      <c r="S1798">
        <v>0</v>
      </c>
      <c r="T1798">
        <v>507387</v>
      </c>
      <c r="U1798" t="s">
        <v>1449</v>
      </c>
      <c r="V1798" t="s">
        <v>1450</v>
      </c>
      <c r="W1798" t="s">
        <v>187</v>
      </c>
      <c r="Y1798" t="s">
        <v>51</v>
      </c>
      <c r="Z1798">
        <v>1316</v>
      </c>
      <c r="AH1798">
        <v>0</v>
      </c>
      <c r="AI1798">
        <v>202505</v>
      </c>
      <c r="AJ1798" t="s">
        <v>86</v>
      </c>
      <c r="AK1798">
        <v>1</v>
      </c>
      <c r="AL1798">
        <v>1</v>
      </c>
      <c r="AO1798">
        <v>0</v>
      </c>
      <c r="AP1798" t="s">
        <v>3015</v>
      </c>
      <c r="AQ1798" t="s">
        <v>3044</v>
      </c>
      <c r="AR1798" t="s">
        <v>3045</v>
      </c>
      <c r="AS1798" t="s">
        <v>3046</v>
      </c>
      <c r="AU1798" t="s">
        <v>3046</v>
      </c>
    </row>
    <row r="1799" spans="1:47" x14ac:dyDescent="0.35">
      <c r="A1799">
        <v>338041</v>
      </c>
      <c r="B1799" t="s">
        <v>178</v>
      </c>
      <c r="C1799" t="s">
        <v>179</v>
      </c>
      <c r="D1799" s="2">
        <v>45787</v>
      </c>
      <c r="E1799">
        <v>53850</v>
      </c>
      <c r="F1799">
        <v>118</v>
      </c>
      <c r="G1799" t="s">
        <v>254</v>
      </c>
      <c r="H1799" t="s">
        <v>167</v>
      </c>
      <c r="I1799" t="s">
        <v>45</v>
      </c>
      <c r="K1799">
        <v>202505097964583</v>
      </c>
      <c r="L1799">
        <v>1183306278672</v>
      </c>
      <c r="M1799">
        <v>20250509</v>
      </c>
      <c r="N1799" t="s">
        <v>633</v>
      </c>
      <c r="P1799" t="s">
        <v>51</v>
      </c>
      <c r="Q1799" t="s">
        <v>47</v>
      </c>
      <c r="R1799">
        <v>1500000</v>
      </c>
      <c r="S1799">
        <v>0</v>
      </c>
      <c r="T1799">
        <v>496233</v>
      </c>
      <c r="U1799" t="s">
        <v>1920</v>
      </c>
      <c r="V1799" t="s">
        <v>1921</v>
      </c>
      <c r="W1799" t="s">
        <v>187</v>
      </c>
      <c r="Y1799" t="s">
        <v>51</v>
      </c>
      <c r="Z1799">
        <v>724</v>
      </c>
      <c r="AH1799">
        <v>0</v>
      </c>
      <c r="AI1799">
        <v>202505</v>
      </c>
      <c r="AJ1799" t="s">
        <v>86</v>
      </c>
      <c r="AK1799">
        <v>1</v>
      </c>
      <c r="AL1799">
        <v>1</v>
      </c>
      <c r="AO1799">
        <v>0</v>
      </c>
      <c r="AP1799" t="s">
        <v>3015</v>
      </c>
      <c r="AQ1799" t="s">
        <v>3044</v>
      </c>
      <c r="AR1799" t="s">
        <v>3045</v>
      </c>
      <c r="AS1799" t="s">
        <v>3046</v>
      </c>
      <c r="AU1799" t="s">
        <v>3046</v>
      </c>
    </row>
    <row r="1800" spans="1:47" x14ac:dyDescent="0.35">
      <c r="A1800">
        <v>338040</v>
      </c>
      <c r="B1800" t="s">
        <v>172</v>
      </c>
      <c r="C1800" t="s">
        <v>173</v>
      </c>
      <c r="D1800" s="2">
        <v>45787</v>
      </c>
      <c r="E1800">
        <v>53850</v>
      </c>
      <c r="F1800">
        <v>193</v>
      </c>
      <c r="G1800" t="s">
        <v>811</v>
      </c>
      <c r="H1800" t="s">
        <v>167</v>
      </c>
      <c r="I1800" t="s">
        <v>45</v>
      </c>
      <c r="K1800">
        <v>202505097964822</v>
      </c>
      <c r="L1800">
        <v>1943300005251</v>
      </c>
      <c r="M1800">
        <v>20250509</v>
      </c>
      <c r="N1800" t="s">
        <v>231</v>
      </c>
      <c r="Q1800" t="s">
        <v>47</v>
      </c>
      <c r="R1800">
        <v>150000</v>
      </c>
      <c r="S1800">
        <v>0</v>
      </c>
      <c r="T1800">
        <v>4273110</v>
      </c>
      <c r="U1800" t="s">
        <v>1922</v>
      </c>
      <c r="V1800" t="s">
        <v>1923</v>
      </c>
      <c r="W1800" t="s">
        <v>187</v>
      </c>
      <c r="Y1800" t="s">
        <v>51</v>
      </c>
      <c r="Z1800">
        <v>1450</v>
      </c>
      <c r="AH1800">
        <v>0</v>
      </c>
      <c r="AI1800">
        <v>202505</v>
      </c>
      <c r="AJ1800" t="s">
        <v>86</v>
      </c>
      <c r="AK1800">
        <v>1</v>
      </c>
      <c r="AL1800">
        <v>1</v>
      </c>
      <c r="AO1800">
        <v>0</v>
      </c>
      <c r="AP1800" t="s">
        <v>3015</v>
      </c>
      <c r="AQ1800" t="s">
        <v>3044</v>
      </c>
      <c r="AR1800" t="s">
        <v>3045</v>
      </c>
      <c r="AS1800" t="s">
        <v>3046</v>
      </c>
      <c r="AU1800" t="s">
        <v>3046</v>
      </c>
    </row>
    <row r="1801" spans="1:47" x14ac:dyDescent="0.35">
      <c r="A1801">
        <v>338039</v>
      </c>
      <c r="B1801" t="s">
        <v>178</v>
      </c>
      <c r="C1801" t="s">
        <v>179</v>
      </c>
      <c r="D1801" s="2">
        <v>45787</v>
      </c>
      <c r="E1801">
        <v>53850</v>
      </c>
      <c r="F1801">
        <v>118</v>
      </c>
      <c r="G1801" t="s">
        <v>254</v>
      </c>
      <c r="H1801" t="s">
        <v>167</v>
      </c>
      <c r="I1801" t="s">
        <v>45</v>
      </c>
      <c r="K1801">
        <v>202505097964573</v>
      </c>
      <c r="L1801">
        <v>1183306280513</v>
      </c>
      <c r="M1801">
        <v>20250509</v>
      </c>
      <c r="N1801" t="s">
        <v>633</v>
      </c>
      <c r="P1801" t="s">
        <v>51</v>
      </c>
      <c r="Q1801" t="s">
        <v>170</v>
      </c>
      <c r="R1801">
        <v>1500000</v>
      </c>
      <c r="S1801">
        <v>0</v>
      </c>
      <c r="T1801">
        <v>516581</v>
      </c>
      <c r="U1801" t="s">
        <v>1924</v>
      </c>
      <c r="V1801" t="s">
        <v>1925</v>
      </c>
      <c r="W1801" t="s">
        <v>187</v>
      </c>
      <c r="Y1801" t="s">
        <v>51</v>
      </c>
      <c r="Z1801">
        <v>724</v>
      </c>
      <c r="AH1801">
        <v>0</v>
      </c>
      <c r="AI1801">
        <v>202505</v>
      </c>
      <c r="AJ1801" t="s">
        <v>56</v>
      </c>
      <c r="AK1801">
        <v>0</v>
      </c>
      <c r="AL1801">
        <v>1</v>
      </c>
      <c r="AO1801">
        <v>0</v>
      </c>
      <c r="AP1801" t="s">
        <v>3015</v>
      </c>
      <c r="AQ1801" t="s">
        <v>3044</v>
      </c>
      <c r="AR1801" t="s">
        <v>3045</v>
      </c>
      <c r="AS1801" t="s">
        <v>3046</v>
      </c>
      <c r="AU1801" t="s">
        <v>3046</v>
      </c>
    </row>
    <row r="1802" spans="1:47" x14ac:dyDescent="0.35">
      <c r="A1802">
        <v>338038</v>
      </c>
      <c r="B1802" t="s">
        <v>178</v>
      </c>
      <c r="C1802" t="s">
        <v>179</v>
      </c>
      <c r="D1802" s="2">
        <v>45787</v>
      </c>
      <c r="E1802">
        <v>53850</v>
      </c>
      <c r="F1802">
        <v>264</v>
      </c>
      <c r="G1802" t="s">
        <v>71</v>
      </c>
      <c r="H1802" t="s">
        <v>167</v>
      </c>
      <c r="I1802" t="s">
        <v>45</v>
      </c>
      <c r="K1802" t="s">
        <v>1926</v>
      </c>
      <c r="L1802">
        <v>2643300001045</v>
      </c>
      <c r="M1802">
        <v>20250509</v>
      </c>
      <c r="N1802" t="s">
        <v>3136</v>
      </c>
      <c r="Q1802" t="s">
        <v>170</v>
      </c>
      <c r="R1802">
        <v>4102.1499999999996</v>
      </c>
      <c r="S1802">
        <v>0</v>
      </c>
      <c r="T1802">
        <v>1646159</v>
      </c>
      <c r="U1802" t="s">
        <v>1927</v>
      </c>
      <c r="V1802" t="s">
        <v>1928</v>
      </c>
      <c r="W1802" t="s">
        <v>187</v>
      </c>
      <c r="Y1802" t="s">
        <v>51</v>
      </c>
      <c r="Z1802">
        <v>1824</v>
      </c>
      <c r="AH1802">
        <v>0</v>
      </c>
      <c r="AI1802">
        <v>202505</v>
      </c>
      <c r="AJ1802" t="s">
        <v>86</v>
      </c>
      <c r="AK1802">
        <v>1</v>
      </c>
      <c r="AL1802">
        <v>1</v>
      </c>
      <c r="AO1802">
        <v>1</v>
      </c>
      <c r="AP1802" t="s">
        <v>3015</v>
      </c>
      <c r="AQ1802" t="s">
        <v>3044</v>
      </c>
      <c r="AR1802" t="s">
        <v>3045</v>
      </c>
      <c r="AS1802" t="s">
        <v>3046</v>
      </c>
      <c r="AU1802" t="s">
        <v>3046</v>
      </c>
    </row>
    <row r="1803" spans="1:47" x14ac:dyDescent="0.35">
      <c r="A1803">
        <v>338037</v>
      </c>
      <c r="B1803" t="s">
        <v>178</v>
      </c>
      <c r="C1803" t="s">
        <v>179</v>
      </c>
      <c r="D1803" s="2">
        <v>45787</v>
      </c>
      <c r="E1803">
        <v>53850</v>
      </c>
      <c r="F1803">
        <v>161</v>
      </c>
      <c r="G1803" t="s">
        <v>111</v>
      </c>
      <c r="H1803" t="s">
        <v>167</v>
      </c>
      <c r="I1803" t="s">
        <v>45</v>
      </c>
      <c r="K1803" t="s">
        <v>1929</v>
      </c>
      <c r="L1803">
        <v>1613300033039</v>
      </c>
      <c r="M1803">
        <v>20250509</v>
      </c>
      <c r="N1803" t="s">
        <v>3136</v>
      </c>
      <c r="Q1803" t="s">
        <v>170</v>
      </c>
      <c r="R1803">
        <v>1494</v>
      </c>
      <c r="S1803">
        <v>0</v>
      </c>
      <c r="T1803">
        <v>4925453</v>
      </c>
      <c r="U1803">
        <v>8050450728</v>
      </c>
      <c r="V1803" t="s">
        <v>1930</v>
      </c>
      <c r="W1803" t="s">
        <v>49</v>
      </c>
      <c r="X1803" t="s">
        <v>432</v>
      </c>
      <c r="Y1803" t="s">
        <v>51</v>
      </c>
      <c r="Z1803">
        <v>1118</v>
      </c>
      <c r="AH1803">
        <v>0</v>
      </c>
      <c r="AI1803">
        <v>202505</v>
      </c>
      <c r="AJ1803" t="s">
        <v>52</v>
      </c>
      <c r="AK1803">
        <v>0</v>
      </c>
      <c r="AL1803">
        <v>1</v>
      </c>
      <c r="AO1803">
        <v>1</v>
      </c>
      <c r="AP1803" t="s">
        <v>3015</v>
      </c>
      <c r="AQ1803" t="s">
        <v>3012</v>
      </c>
      <c r="AR1803" t="s">
        <v>3016</v>
      </c>
      <c r="AT1803" t="s">
        <v>3017</v>
      </c>
      <c r="AU1803" t="s">
        <v>3018</v>
      </c>
    </row>
    <row r="1804" spans="1:47" x14ac:dyDescent="0.35">
      <c r="A1804">
        <v>338036</v>
      </c>
      <c r="B1804" t="s">
        <v>193</v>
      </c>
      <c r="C1804" t="s">
        <v>194</v>
      </c>
      <c r="D1804" s="2">
        <v>45787</v>
      </c>
      <c r="E1804">
        <v>53850</v>
      </c>
      <c r="F1804">
        <v>153</v>
      </c>
      <c r="G1804" t="s">
        <v>63</v>
      </c>
      <c r="H1804" t="s">
        <v>167</v>
      </c>
      <c r="I1804" t="s">
        <v>45</v>
      </c>
      <c r="K1804">
        <v>202505097964668</v>
      </c>
      <c r="L1804">
        <v>1533300663089</v>
      </c>
      <c r="M1804">
        <v>20250509</v>
      </c>
      <c r="N1804" t="s">
        <v>266</v>
      </c>
      <c r="Q1804" t="s">
        <v>47</v>
      </c>
      <c r="R1804">
        <v>36365</v>
      </c>
      <c r="S1804">
        <v>36365</v>
      </c>
      <c r="T1804">
        <v>4911375</v>
      </c>
      <c r="U1804" t="s">
        <v>1142</v>
      </c>
      <c r="V1804" t="s">
        <v>1143</v>
      </c>
      <c r="W1804" t="s">
        <v>69</v>
      </c>
      <c r="X1804" t="s">
        <v>55</v>
      </c>
      <c r="Y1804" t="s">
        <v>51</v>
      </c>
      <c r="Z1804">
        <v>1055</v>
      </c>
      <c r="AH1804">
        <v>0</v>
      </c>
      <c r="AI1804">
        <v>202505</v>
      </c>
      <c r="AJ1804" t="s">
        <v>56</v>
      </c>
      <c r="AK1804">
        <v>0</v>
      </c>
      <c r="AL1804">
        <v>1</v>
      </c>
      <c r="AM1804">
        <v>4911375</v>
      </c>
      <c r="AN1804">
        <v>1</v>
      </c>
      <c r="AO1804">
        <v>0</v>
      </c>
      <c r="AP1804" t="s">
        <v>3015</v>
      </c>
      <c r="AQ1804" t="s">
        <v>3021</v>
      </c>
      <c r="AR1804" t="s">
        <v>3022</v>
      </c>
      <c r="AT1804" t="s">
        <v>3017</v>
      </c>
      <c r="AU1804" t="s">
        <v>3014</v>
      </c>
    </row>
    <row r="1805" spans="1:47" x14ac:dyDescent="0.35">
      <c r="A1805">
        <v>338035</v>
      </c>
      <c r="B1805" t="s">
        <v>172</v>
      </c>
      <c r="C1805" t="s">
        <v>173</v>
      </c>
      <c r="D1805" s="2">
        <v>45787</v>
      </c>
      <c r="E1805">
        <v>53850</v>
      </c>
      <c r="F1805">
        <v>171</v>
      </c>
      <c r="G1805" t="s">
        <v>198</v>
      </c>
      <c r="H1805" t="s">
        <v>167</v>
      </c>
      <c r="I1805" t="s">
        <v>45</v>
      </c>
      <c r="K1805" t="s">
        <v>1707</v>
      </c>
      <c r="L1805">
        <v>1713305728950</v>
      </c>
      <c r="M1805">
        <v>20250509</v>
      </c>
      <c r="N1805" t="s">
        <v>195</v>
      </c>
      <c r="Q1805" t="s">
        <v>47</v>
      </c>
      <c r="R1805">
        <v>400964.69</v>
      </c>
      <c r="S1805">
        <v>400964.69</v>
      </c>
      <c r="T1805">
        <v>572895</v>
      </c>
      <c r="U1805">
        <v>4161600723</v>
      </c>
      <c r="V1805" t="s">
        <v>199</v>
      </c>
      <c r="W1805" t="s">
        <v>49</v>
      </c>
      <c r="X1805" t="s">
        <v>200</v>
      </c>
      <c r="Y1805" t="s">
        <v>51</v>
      </c>
      <c r="Z1805">
        <v>1903</v>
      </c>
      <c r="AH1805">
        <v>0</v>
      </c>
      <c r="AI1805">
        <v>202505</v>
      </c>
      <c r="AJ1805" t="s">
        <v>86</v>
      </c>
      <c r="AK1805">
        <v>1</v>
      </c>
      <c r="AL1805">
        <v>1</v>
      </c>
      <c r="AM1805">
        <v>572895</v>
      </c>
      <c r="AN1805">
        <v>1</v>
      </c>
      <c r="AO1805">
        <v>0</v>
      </c>
      <c r="AP1805" t="s">
        <v>3015</v>
      </c>
      <c r="AQ1805" t="s">
        <v>3012</v>
      </c>
      <c r="AR1805" t="s">
        <v>3016</v>
      </c>
      <c r="AT1805" t="s">
        <v>3017</v>
      </c>
      <c r="AU1805" t="s">
        <v>3018</v>
      </c>
    </row>
    <row r="1806" spans="1:47" x14ac:dyDescent="0.35">
      <c r="A1806">
        <v>338034</v>
      </c>
      <c r="B1806" t="s">
        <v>178</v>
      </c>
      <c r="C1806" t="s">
        <v>179</v>
      </c>
      <c r="D1806" s="2">
        <v>45787</v>
      </c>
      <c r="E1806">
        <v>53850</v>
      </c>
      <c r="F1806">
        <v>261</v>
      </c>
      <c r="G1806" t="s">
        <v>136</v>
      </c>
      <c r="H1806" t="s">
        <v>167</v>
      </c>
      <c r="I1806" t="s">
        <v>45</v>
      </c>
      <c r="K1806" t="s">
        <v>1931</v>
      </c>
      <c r="L1806">
        <v>2613300002795</v>
      </c>
      <c r="M1806">
        <v>20250509</v>
      </c>
      <c r="N1806" t="s">
        <v>3136</v>
      </c>
      <c r="Q1806" t="s">
        <v>170</v>
      </c>
      <c r="R1806">
        <v>1127.58</v>
      </c>
      <c r="S1806">
        <v>0</v>
      </c>
      <c r="T1806">
        <v>1652596</v>
      </c>
      <c r="U1806" t="s">
        <v>1932</v>
      </c>
      <c r="V1806" t="s">
        <v>1933</v>
      </c>
      <c r="W1806" t="s">
        <v>696</v>
      </c>
      <c r="Y1806" t="s">
        <v>1934</v>
      </c>
      <c r="AH1806">
        <v>0</v>
      </c>
      <c r="AI1806">
        <v>202505</v>
      </c>
      <c r="AJ1806" t="s">
        <v>52</v>
      </c>
      <c r="AK1806">
        <v>0</v>
      </c>
      <c r="AL1806">
        <v>1</v>
      </c>
      <c r="AO1806">
        <v>1</v>
      </c>
      <c r="AP1806" t="s">
        <v>3015</v>
      </c>
      <c r="AQ1806" t="s">
        <v>3084</v>
      </c>
      <c r="AR1806" t="s">
        <v>3085</v>
      </c>
      <c r="AS1806" t="s">
        <v>3046</v>
      </c>
      <c r="AU1806" t="s">
        <v>3046</v>
      </c>
    </row>
    <row r="1807" spans="1:47" x14ac:dyDescent="0.35">
      <c r="A1807">
        <v>338033</v>
      </c>
      <c r="B1807" t="s">
        <v>164</v>
      </c>
      <c r="C1807" t="s">
        <v>165</v>
      </c>
      <c r="D1807" s="2">
        <v>45787</v>
      </c>
      <c r="E1807">
        <v>53850</v>
      </c>
      <c r="F1807">
        <v>132</v>
      </c>
      <c r="G1807" t="s">
        <v>92</v>
      </c>
      <c r="H1807" t="s">
        <v>167</v>
      </c>
      <c r="I1807" t="s">
        <v>45</v>
      </c>
      <c r="K1807">
        <v>202505097963723</v>
      </c>
      <c r="L1807">
        <v>1323300003557</v>
      </c>
      <c r="M1807">
        <v>20250509</v>
      </c>
      <c r="N1807" t="s">
        <v>168</v>
      </c>
      <c r="P1807" t="s">
        <v>435</v>
      </c>
      <c r="Q1807" t="s">
        <v>47</v>
      </c>
      <c r="R1807">
        <v>30500</v>
      </c>
      <c r="S1807">
        <v>0</v>
      </c>
      <c r="T1807">
        <v>4995426</v>
      </c>
      <c r="U1807">
        <v>1316960770</v>
      </c>
      <c r="V1807" t="s">
        <v>1935</v>
      </c>
      <c r="W1807" t="s">
        <v>49</v>
      </c>
      <c r="X1807" t="s">
        <v>131</v>
      </c>
      <c r="Y1807" t="s">
        <v>51</v>
      </c>
      <c r="Z1807">
        <v>823</v>
      </c>
      <c r="AH1807">
        <v>0</v>
      </c>
      <c r="AI1807">
        <v>202505</v>
      </c>
      <c r="AJ1807" t="s">
        <v>119</v>
      </c>
      <c r="AK1807">
        <v>1</v>
      </c>
      <c r="AL1807">
        <v>1</v>
      </c>
      <c r="AM1807">
        <v>4995426</v>
      </c>
      <c r="AN1807">
        <v>1</v>
      </c>
      <c r="AO1807">
        <v>0</v>
      </c>
      <c r="AP1807" t="s">
        <v>3033</v>
      </c>
      <c r="AQ1807" t="s">
        <v>3012</v>
      </c>
      <c r="AR1807" t="s">
        <v>3034</v>
      </c>
      <c r="AS1807" t="s">
        <v>3014</v>
      </c>
      <c r="AU1807" t="s">
        <v>3014</v>
      </c>
    </row>
    <row r="1808" spans="1:47" x14ac:dyDescent="0.35">
      <c r="A1808">
        <v>338032</v>
      </c>
      <c r="B1808" t="s">
        <v>193</v>
      </c>
      <c r="C1808" t="s">
        <v>194</v>
      </c>
      <c r="D1808" s="2">
        <v>45787</v>
      </c>
      <c r="E1808">
        <v>53850</v>
      </c>
      <c r="F1808">
        <v>134</v>
      </c>
      <c r="G1808" t="s">
        <v>804</v>
      </c>
      <c r="H1808" t="s">
        <v>167</v>
      </c>
      <c r="I1808" t="s">
        <v>45</v>
      </c>
      <c r="K1808" t="s">
        <v>1707</v>
      </c>
      <c r="L1808">
        <v>1343300002724</v>
      </c>
      <c r="M1808">
        <v>20250509</v>
      </c>
      <c r="N1808" t="s">
        <v>175</v>
      </c>
      <c r="Q1808" t="s">
        <v>47</v>
      </c>
      <c r="R1808">
        <v>51579.9</v>
      </c>
      <c r="S1808">
        <v>48080</v>
      </c>
      <c r="T1808">
        <v>4876967</v>
      </c>
      <c r="U1808" t="s">
        <v>1353</v>
      </c>
      <c r="V1808" t="s">
        <v>1354</v>
      </c>
      <c r="W1808" t="s">
        <v>69</v>
      </c>
      <c r="X1808" t="s">
        <v>1355</v>
      </c>
      <c r="Y1808" t="s">
        <v>51</v>
      </c>
      <c r="Z1808">
        <v>1562</v>
      </c>
      <c r="AH1808">
        <v>0</v>
      </c>
      <c r="AI1808">
        <v>202505</v>
      </c>
      <c r="AJ1808" t="s">
        <v>119</v>
      </c>
      <c r="AK1808">
        <v>1</v>
      </c>
      <c r="AL1808">
        <v>1</v>
      </c>
      <c r="AM1808">
        <v>4876967</v>
      </c>
      <c r="AN1808">
        <v>1</v>
      </c>
      <c r="AO1808">
        <v>1</v>
      </c>
      <c r="AP1808" t="s">
        <v>3015</v>
      </c>
      <c r="AQ1808" t="s">
        <v>3021</v>
      </c>
      <c r="AR1808" t="s">
        <v>3022</v>
      </c>
      <c r="AT1808" t="s">
        <v>3017</v>
      </c>
      <c r="AU1808" t="s">
        <v>3014</v>
      </c>
    </row>
    <row r="1809" spans="1:47" x14ac:dyDescent="0.35">
      <c r="A1809">
        <v>338031</v>
      </c>
      <c r="B1809" t="s">
        <v>178</v>
      </c>
      <c r="C1809" t="s">
        <v>179</v>
      </c>
      <c r="D1809" s="2">
        <v>45787</v>
      </c>
      <c r="E1809">
        <v>53850</v>
      </c>
      <c r="F1809">
        <v>118</v>
      </c>
      <c r="G1809" t="s">
        <v>254</v>
      </c>
      <c r="H1809" t="s">
        <v>167</v>
      </c>
      <c r="I1809" t="s">
        <v>45</v>
      </c>
      <c r="K1809">
        <v>202505097964569</v>
      </c>
      <c r="L1809">
        <v>1183306280094</v>
      </c>
      <c r="M1809">
        <v>20250509</v>
      </c>
      <c r="N1809" t="s">
        <v>3136</v>
      </c>
      <c r="Q1809" t="s">
        <v>170</v>
      </c>
      <c r="R1809">
        <v>16523.3</v>
      </c>
      <c r="S1809">
        <v>0</v>
      </c>
      <c r="T1809">
        <v>114232</v>
      </c>
      <c r="U1809" t="s">
        <v>1936</v>
      </c>
      <c r="V1809" t="s">
        <v>1937</v>
      </c>
      <c r="W1809" t="s">
        <v>187</v>
      </c>
      <c r="Y1809" t="s">
        <v>51</v>
      </c>
      <c r="Z1809">
        <v>1260</v>
      </c>
      <c r="AH1809">
        <v>0</v>
      </c>
      <c r="AI1809">
        <v>202505</v>
      </c>
      <c r="AJ1809" t="s">
        <v>86</v>
      </c>
      <c r="AK1809">
        <v>1</v>
      </c>
      <c r="AL1809">
        <v>1</v>
      </c>
      <c r="AO1809">
        <v>1</v>
      </c>
      <c r="AP1809" t="s">
        <v>3015</v>
      </c>
      <c r="AQ1809" t="s">
        <v>3044</v>
      </c>
      <c r="AR1809" t="s">
        <v>3045</v>
      </c>
      <c r="AS1809" t="s">
        <v>3046</v>
      </c>
      <c r="AU1809" t="s">
        <v>3046</v>
      </c>
    </row>
    <row r="1810" spans="1:47" x14ac:dyDescent="0.35">
      <c r="A1810">
        <v>338030</v>
      </c>
      <c r="B1810" t="s">
        <v>178</v>
      </c>
      <c r="C1810" t="s">
        <v>179</v>
      </c>
      <c r="D1810" s="2">
        <v>45787</v>
      </c>
      <c r="E1810">
        <v>53850</v>
      </c>
      <c r="F1810">
        <v>118</v>
      </c>
      <c r="G1810" t="s">
        <v>254</v>
      </c>
      <c r="H1810" t="s">
        <v>167</v>
      </c>
      <c r="I1810" t="s">
        <v>45</v>
      </c>
      <c r="K1810">
        <v>202505097964583</v>
      </c>
      <c r="L1810">
        <v>1183306278672</v>
      </c>
      <c r="M1810">
        <v>20250509</v>
      </c>
      <c r="N1810" t="s">
        <v>633</v>
      </c>
      <c r="P1810" t="s">
        <v>51</v>
      </c>
      <c r="Q1810" t="s">
        <v>47</v>
      </c>
      <c r="R1810">
        <v>1500000</v>
      </c>
      <c r="S1810">
        <v>0</v>
      </c>
      <c r="T1810">
        <v>422471</v>
      </c>
      <c r="U1810" t="s">
        <v>1938</v>
      </c>
      <c r="V1810" t="s">
        <v>1939</v>
      </c>
      <c r="W1810" t="s">
        <v>187</v>
      </c>
      <c r="Y1810" t="s">
        <v>51</v>
      </c>
      <c r="Z1810">
        <v>724</v>
      </c>
      <c r="AH1810">
        <v>0</v>
      </c>
      <c r="AI1810">
        <v>202505</v>
      </c>
      <c r="AJ1810" t="s">
        <v>86</v>
      </c>
      <c r="AK1810">
        <v>1</v>
      </c>
      <c r="AL1810">
        <v>1</v>
      </c>
      <c r="AO1810">
        <v>0</v>
      </c>
      <c r="AP1810" t="s">
        <v>3015</v>
      </c>
      <c r="AQ1810" t="s">
        <v>3044</v>
      </c>
      <c r="AR1810" t="s">
        <v>3045</v>
      </c>
      <c r="AS1810" t="s">
        <v>3046</v>
      </c>
      <c r="AU1810" t="s">
        <v>3046</v>
      </c>
    </row>
    <row r="1811" spans="1:47" x14ac:dyDescent="0.35">
      <c r="A1811">
        <v>338029</v>
      </c>
      <c r="B1811" t="s">
        <v>178</v>
      </c>
      <c r="C1811" t="s">
        <v>179</v>
      </c>
      <c r="D1811" s="2">
        <v>45787</v>
      </c>
      <c r="E1811">
        <v>53850</v>
      </c>
      <c r="F1811">
        <v>102</v>
      </c>
      <c r="G1811" t="s">
        <v>151</v>
      </c>
      <c r="H1811" t="s">
        <v>167</v>
      </c>
      <c r="I1811" t="s">
        <v>45</v>
      </c>
      <c r="K1811">
        <v>202505097964459</v>
      </c>
      <c r="L1811">
        <v>1025507000167</v>
      </c>
      <c r="M1811">
        <v>20250509</v>
      </c>
      <c r="N1811" t="s">
        <v>344</v>
      </c>
      <c r="Q1811" t="s">
        <v>170</v>
      </c>
      <c r="R1811">
        <v>245000</v>
      </c>
      <c r="S1811">
        <v>0</v>
      </c>
      <c r="T1811">
        <v>25092</v>
      </c>
      <c r="U1811" t="s">
        <v>1940</v>
      </c>
      <c r="V1811" t="s">
        <v>1941</v>
      </c>
      <c r="W1811" t="s">
        <v>187</v>
      </c>
      <c r="Y1811" t="s">
        <v>51</v>
      </c>
      <c r="Z1811">
        <v>1431</v>
      </c>
      <c r="AH1811">
        <v>0</v>
      </c>
      <c r="AI1811">
        <v>202505</v>
      </c>
      <c r="AJ1811" t="s">
        <v>52</v>
      </c>
      <c r="AK1811">
        <v>0</v>
      </c>
      <c r="AL1811">
        <v>1</v>
      </c>
      <c r="AO1811">
        <v>0</v>
      </c>
      <c r="AP1811" t="s">
        <v>3015</v>
      </c>
      <c r="AQ1811" t="s">
        <v>3044</v>
      </c>
      <c r="AR1811" t="s">
        <v>3045</v>
      </c>
      <c r="AS1811" t="s">
        <v>3046</v>
      </c>
      <c r="AU1811" t="s">
        <v>3046</v>
      </c>
    </row>
    <row r="1812" spans="1:47" x14ac:dyDescent="0.35">
      <c r="A1812">
        <v>338028</v>
      </c>
      <c r="B1812" t="s">
        <v>178</v>
      </c>
      <c r="C1812" t="s">
        <v>179</v>
      </c>
      <c r="D1812" s="2">
        <v>45787</v>
      </c>
      <c r="E1812">
        <v>53850</v>
      </c>
      <c r="F1812">
        <v>261</v>
      </c>
      <c r="G1812" t="s">
        <v>136</v>
      </c>
      <c r="H1812" t="s">
        <v>167</v>
      </c>
      <c r="I1812" t="s">
        <v>45</v>
      </c>
      <c r="K1812" t="s">
        <v>1942</v>
      </c>
      <c r="L1812">
        <v>2613300001928</v>
      </c>
      <c r="M1812">
        <v>20250509</v>
      </c>
      <c r="N1812" t="s">
        <v>3136</v>
      </c>
      <c r="Q1812" t="s">
        <v>170</v>
      </c>
      <c r="R1812">
        <v>1422.48</v>
      </c>
      <c r="S1812">
        <v>0</v>
      </c>
      <c r="T1812">
        <v>1636180</v>
      </c>
      <c r="U1812" t="s">
        <v>1943</v>
      </c>
      <c r="V1812" t="s">
        <v>1944</v>
      </c>
      <c r="W1812" t="s">
        <v>187</v>
      </c>
      <c r="Y1812" t="s">
        <v>51</v>
      </c>
      <c r="AH1812">
        <v>0</v>
      </c>
      <c r="AI1812">
        <v>202505</v>
      </c>
      <c r="AJ1812" t="s">
        <v>52</v>
      </c>
      <c r="AK1812">
        <v>0</v>
      </c>
      <c r="AL1812">
        <v>1</v>
      </c>
      <c r="AO1812">
        <v>1</v>
      </c>
      <c r="AP1812" t="s">
        <v>3015</v>
      </c>
      <c r="AQ1812" t="s">
        <v>3044</v>
      </c>
      <c r="AR1812" t="s">
        <v>3045</v>
      </c>
      <c r="AS1812" t="s">
        <v>3046</v>
      </c>
      <c r="AU1812" t="s">
        <v>3046</v>
      </c>
    </row>
    <row r="1813" spans="1:47" x14ac:dyDescent="0.35">
      <c r="A1813">
        <v>338027</v>
      </c>
      <c r="B1813" t="s">
        <v>178</v>
      </c>
      <c r="C1813" t="s">
        <v>179</v>
      </c>
      <c r="D1813" s="2">
        <v>45787</v>
      </c>
      <c r="E1813">
        <v>53850</v>
      </c>
      <c r="F1813">
        <v>282</v>
      </c>
      <c r="G1813" t="s">
        <v>433</v>
      </c>
      <c r="H1813" t="s">
        <v>167</v>
      </c>
      <c r="I1813" t="s">
        <v>45</v>
      </c>
      <c r="K1813" t="s">
        <v>1945</v>
      </c>
      <c r="L1813">
        <v>2823300001866</v>
      </c>
      <c r="M1813">
        <v>20250509</v>
      </c>
      <c r="N1813" t="s">
        <v>3136</v>
      </c>
      <c r="Q1813" t="s">
        <v>170</v>
      </c>
      <c r="R1813">
        <v>1363.68</v>
      </c>
      <c r="S1813">
        <v>0</v>
      </c>
      <c r="T1813">
        <v>1678272</v>
      </c>
      <c r="U1813" t="s">
        <v>1946</v>
      </c>
      <c r="V1813" t="s">
        <v>1947</v>
      </c>
      <c r="W1813" t="s">
        <v>187</v>
      </c>
      <c r="Y1813" t="s">
        <v>51</v>
      </c>
      <c r="Z1813">
        <v>1796</v>
      </c>
      <c r="AH1813">
        <v>0</v>
      </c>
      <c r="AI1813">
        <v>202505</v>
      </c>
      <c r="AJ1813" t="s">
        <v>52</v>
      </c>
      <c r="AK1813">
        <v>0</v>
      </c>
      <c r="AL1813">
        <v>1</v>
      </c>
      <c r="AO1813">
        <v>1</v>
      </c>
      <c r="AP1813" t="s">
        <v>3015</v>
      </c>
      <c r="AQ1813" t="s">
        <v>3044</v>
      </c>
      <c r="AR1813" t="s">
        <v>3045</v>
      </c>
      <c r="AS1813" t="s">
        <v>3046</v>
      </c>
      <c r="AU1813" t="s">
        <v>3046</v>
      </c>
    </row>
    <row r="1814" spans="1:47" x14ac:dyDescent="0.35">
      <c r="A1814">
        <v>338026</v>
      </c>
      <c r="B1814" t="s">
        <v>178</v>
      </c>
      <c r="C1814" t="s">
        <v>179</v>
      </c>
      <c r="D1814" s="2">
        <v>45787</v>
      </c>
      <c r="E1814">
        <v>53850</v>
      </c>
      <c r="F1814">
        <v>118</v>
      </c>
      <c r="G1814" t="s">
        <v>254</v>
      </c>
      <c r="H1814" t="s">
        <v>167</v>
      </c>
      <c r="I1814" t="s">
        <v>45</v>
      </c>
      <c r="K1814">
        <v>202505097964574</v>
      </c>
      <c r="L1814">
        <v>1183306280513</v>
      </c>
      <c r="M1814">
        <v>20250509</v>
      </c>
      <c r="N1814" t="s">
        <v>633</v>
      </c>
      <c r="P1814" t="s">
        <v>51</v>
      </c>
      <c r="Q1814" t="s">
        <v>170</v>
      </c>
      <c r="R1814">
        <v>763574</v>
      </c>
      <c r="S1814">
        <v>0</v>
      </c>
      <c r="T1814">
        <v>516605</v>
      </c>
      <c r="U1814" t="s">
        <v>1500</v>
      </c>
      <c r="V1814" t="s">
        <v>1501</v>
      </c>
      <c r="W1814" t="s">
        <v>187</v>
      </c>
      <c r="Y1814" t="s">
        <v>51</v>
      </c>
      <c r="Z1814">
        <v>724</v>
      </c>
      <c r="AH1814">
        <v>0</v>
      </c>
      <c r="AI1814">
        <v>202505</v>
      </c>
      <c r="AJ1814" t="s">
        <v>56</v>
      </c>
      <c r="AK1814">
        <v>0</v>
      </c>
      <c r="AL1814">
        <v>1</v>
      </c>
      <c r="AM1814">
        <v>516605</v>
      </c>
      <c r="AN1814">
        <v>1</v>
      </c>
      <c r="AO1814">
        <v>0</v>
      </c>
      <c r="AP1814" t="s">
        <v>3015</v>
      </c>
      <c r="AQ1814" t="s">
        <v>3044</v>
      </c>
      <c r="AR1814" t="s">
        <v>3045</v>
      </c>
      <c r="AS1814" t="s">
        <v>3046</v>
      </c>
      <c r="AU1814" t="s">
        <v>3046</v>
      </c>
    </row>
    <row r="1815" spans="1:47" x14ac:dyDescent="0.35">
      <c r="A1815">
        <v>338025</v>
      </c>
      <c r="B1815" t="s">
        <v>178</v>
      </c>
      <c r="C1815" t="s">
        <v>179</v>
      </c>
      <c r="D1815" s="2">
        <v>45787</v>
      </c>
      <c r="E1815">
        <v>53850</v>
      </c>
      <c r="F1815">
        <v>118</v>
      </c>
      <c r="G1815" t="s">
        <v>254</v>
      </c>
      <c r="H1815" t="s">
        <v>167</v>
      </c>
      <c r="I1815" t="s">
        <v>45</v>
      </c>
      <c r="K1815">
        <v>202505097964583</v>
      </c>
      <c r="L1815">
        <v>1183306278672</v>
      </c>
      <c r="M1815">
        <v>20250509</v>
      </c>
      <c r="N1815" t="s">
        <v>633</v>
      </c>
      <c r="P1815" t="s">
        <v>51</v>
      </c>
      <c r="Q1815" t="s">
        <v>47</v>
      </c>
      <c r="R1815">
        <v>1500000</v>
      </c>
      <c r="S1815">
        <v>0</v>
      </c>
      <c r="T1815">
        <v>516581</v>
      </c>
      <c r="U1815" t="s">
        <v>1924</v>
      </c>
      <c r="V1815" t="s">
        <v>1925</v>
      </c>
      <c r="W1815" t="s">
        <v>187</v>
      </c>
      <c r="Y1815" t="s">
        <v>51</v>
      </c>
      <c r="Z1815">
        <v>724</v>
      </c>
      <c r="AH1815">
        <v>0</v>
      </c>
      <c r="AI1815">
        <v>202505</v>
      </c>
      <c r="AJ1815" t="s">
        <v>56</v>
      </c>
      <c r="AK1815">
        <v>0</v>
      </c>
      <c r="AL1815">
        <v>1</v>
      </c>
      <c r="AO1815">
        <v>0</v>
      </c>
      <c r="AP1815" t="s">
        <v>3015</v>
      </c>
      <c r="AQ1815" t="s">
        <v>3044</v>
      </c>
      <c r="AR1815" t="s">
        <v>3045</v>
      </c>
      <c r="AS1815" t="s">
        <v>3046</v>
      </c>
      <c r="AU1815" t="s">
        <v>3046</v>
      </c>
    </row>
    <row r="1816" spans="1:47" x14ac:dyDescent="0.35">
      <c r="A1816">
        <v>338024</v>
      </c>
      <c r="B1816" t="s">
        <v>178</v>
      </c>
      <c r="C1816" t="s">
        <v>179</v>
      </c>
      <c r="D1816" s="2">
        <v>45787</v>
      </c>
      <c r="E1816">
        <v>53850</v>
      </c>
      <c r="F1816">
        <v>118</v>
      </c>
      <c r="G1816" t="s">
        <v>254</v>
      </c>
      <c r="H1816" t="s">
        <v>167</v>
      </c>
      <c r="I1816" t="s">
        <v>45</v>
      </c>
      <c r="K1816">
        <v>202505097964586</v>
      </c>
      <c r="L1816">
        <v>1183306278672</v>
      </c>
      <c r="M1816">
        <v>20250509</v>
      </c>
      <c r="N1816" t="s">
        <v>633</v>
      </c>
      <c r="P1816" t="s">
        <v>51</v>
      </c>
      <c r="Q1816" t="s">
        <v>170</v>
      </c>
      <c r="R1816">
        <v>2290722</v>
      </c>
      <c r="S1816">
        <v>0</v>
      </c>
      <c r="T1816">
        <v>516581</v>
      </c>
      <c r="U1816" t="s">
        <v>1924</v>
      </c>
      <c r="V1816" t="s">
        <v>1925</v>
      </c>
      <c r="W1816" t="s">
        <v>187</v>
      </c>
      <c r="Y1816" t="s">
        <v>51</v>
      </c>
      <c r="Z1816">
        <v>724</v>
      </c>
      <c r="AH1816">
        <v>0</v>
      </c>
      <c r="AI1816">
        <v>202505</v>
      </c>
      <c r="AJ1816" t="s">
        <v>56</v>
      </c>
      <c r="AK1816">
        <v>0</v>
      </c>
      <c r="AL1816">
        <v>1</v>
      </c>
      <c r="AO1816">
        <v>0</v>
      </c>
      <c r="AP1816" t="s">
        <v>3015</v>
      </c>
      <c r="AQ1816" t="s">
        <v>3044</v>
      </c>
      <c r="AR1816" t="s">
        <v>3045</v>
      </c>
      <c r="AS1816" t="s">
        <v>3046</v>
      </c>
      <c r="AU1816" t="s">
        <v>3046</v>
      </c>
    </row>
    <row r="1817" spans="1:47" x14ac:dyDescent="0.35">
      <c r="A1817">
        <v>338023</v>
      </c>
      <c r="B1817" t="s">
        <v>193</v>
      </c>
      <c r="C1817" t="s">
        <v>194</v>
      </c>
      <c r="D1817" s="2">
        <v>45787</v>
      </c>
      <c r="E1817">
        <v>53850</v>
      </c>
      <c r="F1817">
        <v>129</v>
      </c>
      <c r="G1817" t="s">
        <v>227</v>
      </c>
      <c r="H1817" t="s">
        <v>167</v>
      </c>
      <c r="I1817" t="s">
        <v>45</v>
      </c>
      <c r="K1817">
        <v>202505097964607</v>
      </c>
      <c r="L1817">
        <v>1293300000754</v>
      </c>
      <c r="M1817">
        <v>20250509</v>
      </c>
      <c r="N1817" t="s">
        <v>266</v>
      </c>
      <c r="Q1817" t="s">
        <v>47</v>
      </c>
      <c r="R1817">
        <v>15160</v>
      </c>
      <c r="S1817">
        <v>15160</v>
      </c>
      <c r="T1817">
        <v>4370923</v>
      </c>
      <c r="U1817">
        <v>2778200721</v>
      </c>
      <c r="V1817" t="s">
        <v>1554</v>
      </c>
      <c r="W1817" t="s">
        <v>190</v>
      </c>
      <c r="X1817" t="s">
        <v>131</v>
      </c>
      <c r="Y1817" t="s">
        <v>51</v>
      </c>
      <c r="Z1817">
        <v>1355</v>
      </c>
      <c r="AH1817">
        <v>0</v>
      </c>
      <c r="AI1817">
        <v>202505</v>
      </c>
      <c r="AJ1817" t="s">
        <v>119</v>
      </c>
      <c r="AK1817">
        <v>1</v>
      </c>
      <c r="AL1817">
        <v>1</v>
      </c>
      <c r="AM1817">
        <v>4370923</v>
      </c>
      <c r="AN1817">
        <v>1</v>
      </c>
      <c r="AO1817">
        <v>0</v>
      </c>
      <c r="AP1817" t="s">
        <v>3033</v>
      </c>
      <c r="AQ1817" t="s">
        <v>3047</v>
      </c>
      <c r="AR1817" t="s">
        <v>3048</v>
      </c>
      <c r="AS1817" t="s">
        <v>3049</v>
      </c>
      <c r="AU1817" t="s">
        <v>3049</v>
      </c>
    </row>
    <row r="1818" spans="1:47" x14ac:dyDescent="0.35">
      <c r="A1818">
        <v>338022</v>
      </c>
      <c r="B1818" t="s">
        <v>178</v>
      </c>
      <c r="C1818" t="s">
        <v>179</v>
      </c>
      <c r="D1818" s="2">
        <v>45787</v>
      </c>
      <c r="E1818">
        <v>53850</v>
      </c>
      <c r="F1818">
        <v>169</v>
      </c>
      <c r="G1818" t="s">
        <v>57</v>
      </c>
      <c r="H1818" t="s">
        <v>167</v>
      </c>
      <c r="I1818" t="s">
        <v>45</v>
      </c>
      <c r="K1818">
        <v>202505097964733</v>
      </c>
      <c r="L1818">
        <v>1693302224711</v>
      </c>
      <c r="M1818">
        <v>20250509</v>
      </c>
      <c r="N1818" t="s">
        <v>3136</v>
      </c>
      <c r="Q1818" t="s">
        <v>170</v>
      </c>
      <c r="R1818">
        <v>19862.79</v>
      </c>
      <c r="S1818">
        <v>0</v>
      </c>
      <c r="T1818">
        <v>553145</v>
      </c>
      <c r="U1818" t="s">
        <v>792</v>
      </c>
      <c r="V1818" t="s">
        <v>793</v>
      </c>
      <c r="W1818" t="s">
        <v>187</v>
      </c>
      <c r="Y1818" t="s">
        <v>51</v>
      </c>
      <c r="Z1818">
        <v>1352</v>
      </c>
      <c r="AH1818">
        <v>0</v>
      </c>
      <c r="AI1818">
        <v>202505</v>
      </c>
      <c r="AJ1818" t="s">
        <v>86</v>
      </c>
      <c r="AK1818">
        <v>1</v>
      </c>
      <c r="AL1818">
        <v>1</v>
      </c>
      <c r="AO1818">
        <v>1</v>
      </c>
      <c r="AP1818" t="s">
        <v>3015</v>
      </c>
      <c r="AQ1818" t="s">
        <v>3044</v>
      </c>
      <c r="AR1818" t="s">
        <v>3045</v>
      </c>
      <c r="AS1818" t="s">
        <v>3046</v>
      </c>
      <c r="AU1818" t="s">
        <v>3046</v>
      </c>
    </row>
    <row r="1819" spans="1:47" x14ac:dyDescent="0.35">
      <c r="A1819">
        <v>338021</v>
      </c>
      <c r="B1819" t="s">
        <v>178</v>
      </c>
      <c r="C1819" t="s">
        <v>179</v>
      </c>
      <c r="D1819" s="2">
        <v>45787</v>
      </c>
      <c r="E1819">
        <v>53850</v>
      </c>
      <c r="F1819">
        <v>103</v>
      </c>
      <c r="G1819" t="s">
        <v>80</v>
      </c>
      <c r="H1819" t="s">
        <v>167</v>
      </c>
      <c r="I1819" t="s">
        <v>45</v>
      </c>
      <c r="K1819">
        <v>202505097962977</v>
      </c>
      <c r="L1819">
        <v>1033306976380</v>
      </c>
      <c r="M1819">
        <v>20250509</v>
      </c>
      <c r="N1819" t="s">
        <v>46</v>
      </c>
      <c r="P1819" t="s">
        <v>51</v>
      </c>
      <c r="Q1819" t="s">
        <v>47</v>
      </c>
      <c r="R1819">
        <v>255000</v>
      </c>
      <c r="S1819">
        <v>0</v>
      </c>
      <c r="T1819">
        <v>471168</v>
      </c>
      <c r="U1819" t="s">
        <v>1948</v>
      </c>
      <c r="V1819" t="s">
        <v>1949</v>
      </c>
      <c r="W1819" t="s">
        <v>187</v>
      </c>
      <c r="Y1819" t="s">
        <v>51</v>
      </c>
      <c r="AH1819">
        <v>0</v>
      </c>
      <c r="AI1819">
        <v>202505</v>
      </c>
      <c r="AJ1819" t="s">
        <v>86</v>
      </c>
      <c r="AK1819">
        <v>1</v>
      </c>
      <c r="AL1819">
        <v>1</v>
      </c>
      <c r="AO1819">
        <v>0</v>
      </c>
      <c r="AP1819" t="s">
        <v>3015</v>
      </c>
      <c r="AQ1819" t="s">
        <v>3044</v>
      </c>
      <c r="AR1819" t="s">
        <v>3045</v>
      </c>
      <c r="AS1819" t="s">
        <v>3046</v>
      </c>
      <c r="AU1819" t="s">
        <v>3046</v>
      </c>
    </row>
    <row r="1820" spans="1:47" x14ac:dyDescent="0.35">
      <c r="A1820">
        <v>338020</v>
      </c>
      <c r="B1820" t="s">
        <v>178</v>
      </c>
      <c r="C1820" t="s">
        <v>179</v>
      </c>
      <c r="D1820" s="2">
        <v>45787</v>
      </c>
      <c r="E1820">
        <v>53850</v>
      </c>
      <c r="F1820">
        <v>118</v>
      </c>
      <c r="G1820" t="s">
        <v>254</v>
      </c>
      <c r="H1820" t="s">
        <v>167</v>
      </c>
      <c r="I1820" t="s">
        <v>45</v>
      </c>
      <c r="K1820">
        <v>202505097963445</v>
      </c>
      <c r="L1820">
        <v>1183306279348</v>
      </c>
      <c r="M1820">
        <v>20250509</v>
      </c>
      <c r="N1820" t="s">
        <v>633</v>
      </c>
      <c r="P1820" t="s">
        <v>51</v>
      </c>
      <c r="Q1820" t="s">
        <v>47</v>
      </c>
      <c r="R1820">
        <v>2290722</v>
      </c>
      <c r="S1820">
        <v>0</v>
      </c>
      <c r="T1820">
        <v>4890853</v>
      </c>
      <c r="U1820">
        <v>8059850720</v>
      </c>
      <c r="V1820" t="s">
        <v>1950</v>
      </c>
      <c r="W1820" t="s">
        <v>49</v>
      </c>
      <c r="X1820" t="s">
        <v>257</v>
      </c>
      <c r="Y1820" t="s">
        <v>51</v>
      </c>
      <c r="Z1820">
        <v>1203</v>
      </c>
      <c r="AH1820">
        <v>0</v>
      </c>
      <c r="AI1820">
        <v>202505</v>
      </c>
      <c r="AJ1820" t="s">
        <v>114</v>
      </c>
      <c r="AK1820">
        <v>1</v>
      </c>
      <c r="AL1820">
        <v>1</v>
      </c>
      <c r="AO1820">
        <v>0</v>
      </c>
      <c r="AP1820" t="s">
        <v>3015</v>
      </c>
      <c r="AQ1820" t="s">
        <v>3012</v>
      </c>
      <c r="AR1820" t="s">
        <v>3016</v>
      </c>
      <c r="AT1820" t="s">
        <v>3017</v>
      </c>
      <c r="AU1820" t="s">
        <v>3018</v>
      </c>
    </row>
    <row r="1821" spans="1:47" x14ac:dyDescent="0.35">
      <c r="A1821">
        <v>338019</v>
      </c>
      <c r="B1821" t="s">
        <v>172</v>
      </c>
      <c r="C1821" t="s">
        <v>173</v>
      </c>
      <c r="D1821" s="2">
        <v>45787</v>
      </c>
      <c r="E1821">
        <v>53850</v>
      </c>
      <c r="F1821">
        <v>114</v>
      </c>
      <c r="G1821" t="s">
        <v>188</v>
      </c>
      <c r="H1821" t="s">
        <v>167</v>
      </c>
      <c r="I1821" t="s">
        <v>45</v>
      </c>
      <c r="K1821">
        <v>202505097964557</v>
      </c>
      <c r="L1821">
        <v>1143306281584</v>
      </c>
      <c r="M1821">
        <v>20250509</v>
      </c>
      <c r="N1821" t="s">
        <v>81</v>
      </c>
      <c r="Q1821" t="s">
        <v>47</v>
      </c>
      <c r="R1821">
        <v>93962.4</v>
      </c>
      <c r="S1821">
        <v>0</v>
      </c>
      <c r="T1821">
        <v>4827112</v>
      </c>
      <c r="U1821">
        <v>3318280710</v>
      </c>
      <c r="V1821" t="s">
        <v>1951</v>
      </c>
      <c r="W1821" t="s">
        <v>49</v>
      </c>
      <c r="X1821" t="s">
        <v>65</v>
      </c>
      <c r="Y1821" t="s">
        <v>51</v>
      </c>
      <c r="Z1821">
        <v>870</v>
      </c>
      <c r="AH1821">
        <v>0</v>
      </c>
      <c r="AI1821">
        <v>202505</v>
      </c>
      <c r="AJ1821" t="s">
        <v>52</v>
      </c>
      <c r="AK1821">
        <v>0</v>
      </c>
      <c r="AL1821">
        <v>1</v>
      </c>
      <c r="AO1821">
        <v>0</v>
      </c>
      <c r="AP1821" t="s">
        <v>3019</v>
      </c>
      <c r="AQ1821" t="s">
        <v>3012</v>
      </c>
      <c r="AR1821" t="s">
        <v>3020</v>
      </c>
      <c r="AS1821" t="s">
        <v>3014</v>
      </c>
      <c r="AU1821" t="s">
        <v>3014</v>
      </c>
    </row>
    <row r="1822" spans="1:47" x14ac:dyDescent="0.35">
      <c r="A1822">
        <v>338018</v>
      </c>
      <c r="B1822" t="s">
        <v>178</v>
      </c>
      <c r="C1822" t="s">
        <v>179</v>
      </c>
      <c r="D1822" s="2">
        <v>45787</v>
      </c>
      <c r="E1822">
        <v>53850</v>
      </c>
      <c r="F1822">
        <v>102</v>
      </c>
      <c r="G1822" t="s">
        <v>151</v>
      </c>
      <c r="H1822" t="s">
        <v>167</v>
      </c>
      <c r="I1822" t="s">
        <v>45</v>
      </c>
      <c r="K1822">
        <v>202505097964458</v>
      </c>
      <c r="L1822">
        <v>1025507000167</v>
      </c>
      <c r="M1822">
        <v>20250509</v>
      </c>
      <c r="N1822" t="s">
        <v>794</v>
      </c>
      <c r="Q1822" t="s">
        <v>170</v>
      </c>
      <c r="R1822">
        <v>245000</v>
      </c>
      <c r="S1822">
        <v>0</v>
      </c>
      <c r="T1822">
        <v>25092</v>
      </c>
      <c r="U1822" t="s">
        <v>1940</v>
      </c>
      <c r="V1822" t="s">
        <v>1941</v>
      </c>
      <c r="W1822" t="s">
        <v>187</v>
      </c>
      <c r="Y1822" t="s">
        <v>51</v>
      </c>
      <c r="Z1822">
        <v>1431</v>
      </c>
      <c r="AH1822">
        <v>0</v>
      </c>
      <c r="AI1822">
        <v>202505</v>
      </c>
      <c r="AJ1822" t="s">
        <v>52</v>
      </c>
      <c r="AK1822">
        <v>0</v>
      </c>
      <c r="AL1822">
        <v>1</v>
      </c>
      <c r="AO1822">
        <v>0</v>
      </c>
      <c r="AP1822" t="s">
        <v>3015</v>
      </c>
      <c r="AQ1822" t="s">
        <v>3044</v>
      </c>
      <c r="AR1822" t="s">
        <v>3045</v>
      </c>
      <c r="AS1822" t="s">
        <v>3046</v>
      </c>
      <c r="AU1822" t="s">
        <v>3046</v>
      </c>
    </row>
    <row r="1823" spans="1:47" x14ac:dyDescent="0.35">
      <c r="A1823">
        <v>338017</v>
      </c>
      <c r="B1823" t="s">
        <v>164</v>
      </c>
      <c r="C1823" t="s">
        <v>165</v>
      </c>
      <c r="D1823" s="2">
        <v>45787</v>
      </c>
      <c r="E1823">
        <v>53850</v>
      </c>
      <c r="F1823">
        <v>271</v>
      </c>
      <c r="G1823" t="s">
        <v>275</v>
      </c>
      <c r="H1823" t="s">
        <v>167</v>
      </c>
      <c r="I1823" t="s">
        <v>45</v>
      </c>
      <c r="K1823">
        <v>202505097963731</v>
      </c>
      <c r="L1823">
        <v>2713300010112</v>
      </c>
      <c r="M1823">
        <v>20250509</v>
      </c>
      <c r="N1823" t="s">
        <v>168</v>
      </c>
      <c r="P1823" t="s">
        <v>435</v>
      </c>
      <c r="Q1823" t="s">
        <v>47</v>
      </c>
      <c r="R1823">
        <v>5000</v>
      </c>
      <c r="S1823">
        <v>0</v>
      </c>
      <c r="T1823">
        <v>1611557</v>
      </c>
      <c r="U1823" t="s">
        <v>890</v>
      </c>
      <c r="V1823" t="s">
        <v>891</v>
      </c>
      <c r="W1823" t="s">
        <v>69</v>
      </c>
      <c r="X1823" t="s">
        <v>402</v>
      </c>
      <c r="Y1823" t="s">
        <v>51</v>
      </c>
      <c r="Z1823">
        <v>1850</v>
      </c>
      <c r="AH1823">
        <v>0</v>
      </c>
      <c r="AI1823">
        <v>202505</v>
      </c>
      <c r="AJ1823" t="s">
        <v>52</v>
      </c>
      <c r="AK1823">
        <v>0</v>
      </c>
      <c r="AL1823">
        <v>1</v>
      </c>
      <c r="AO1823">
        <v>0</v>
      </c>
      <c r="AP1823" t="s">
        <v>3015</v>
      </c>
      <c r="AQ1823" t="s">
        <v>3021</v>
      </c>
      <c r="AR1823" t="s">
        <v>3022</v>
      </c>
      <c r="AT1823" t="s">
        <v>3017</v>
      </c>
      <c r="AU1823" t="s">
        <v>3014</v>
      </c>
    </row>
    <row r="1824" spans="1:47" x14ac:dyDescent="0.35">
      <c r="A1824">
        <v>338016</v>
      </c>
      <c r="B1824" t="s">
        <v>172</v>
      </c>
      <c r="C1824" t="s">
        <v>173</v>
      </c>
      <c r="D1824" s="2">
        <v>45787</v>
      </c>
      <c r="E1824">
        <v>53850</v>
      </c>
      <c r="F1824">
        <v>118</v>
      </c>
      <c r="G1824" t="s">
        <v>254</v>
      </c>
      <c r="H1824" t="s">
        <v>167</v>
      </c>
      <c r="I1824" t="s">
        <v>45</v>
      </c>
      <c r="K1824">
        <v>202505097964568</v>
      </c>
      <c r="L1824">
        <v>1183306275813</v>
      </c>
      <c r="M1824">
        <v>20250509</v>
      </c>
      <c r="N1824" t="s">
        <v>231</v>
      </c>
      <c r="Q1824" t="s">
        <v>47</v>
      </c>
      <c r="R1824">
        <v>149000</v>
      </c>
      <c r="S1824">
        <v>0</v>
      </c>
      <c r="T1824">
        <v>423437</v>
      </c>
      <c r="U1824" t="s">
        <v>1952</v>
      </c>
      <c r="V1824" t="s">
        <v>1259</v>
      </c>
      <c r="W1824" t="s">
        <v>187</v>
      </c>
      <c r="Y1824" t="s">
        <v>51</v>
      </c>
      <c r="Z1824">
        <v>724</v>
      </c>
      <c r="AH1824">
        <v>0</v>
      </c>
      <c r="AI1824">
        <v>202505</v>
      </c>
      <c r="AJ1824" t="s">
        <v>86</v>
      </c>
      <c r="AK1824">
        <v>1</v>
      </c>
      <c r="AL1824">
        <v>1</v>
      </c>
      <c r="AO1824">
        <v>0</v>
      </c>
      <c r="AP1824" t="s">
        <v>3015</v>
      </c>
      <c r="AQ1824" t="s">
        <v>3044</v>
      </c>
      <c r="AR1824" t="s">
        <v>3045</v>
      </c>
      <c r="AS1824" t="s">
        <v>3046</v>
      </c>
      <c r="AU1824" t="s">
        <v>3046</v>
      </c>
    </row>
    <row r="1825" spans="1:47" x14ac:dyDescent="0.35">
      <c r="A1825">
        <v>338015</v>
      </c>
      <c r="B1825" t="s">
        <v>172</v>
      </c>
      <c r="C1825" t="s">
        <v>173</v>
      </c>
      <c r="D1825" s="2">
        <v>45787</v>
      </c>
      <c r="E1825">
        <v>53850</v>
      </c>
      <c r="F1825">
        <v>161</v>
      </c>
      <c r="G1825" t="s">
        <v>111</v>
      </c>
      <c r="H1825" t="s">
        <v>167</v>
      </c>
      <c r="I1825" t="s">
        <v>45</v>
      </c>
      <c r="K1825" t="s">
        <v>1707</v>
      </c>
      <c r="L1825">
        <v>1613300029653</v>
      </c>
      <c r="M1825">
        <v>20250509</v>
      </c>
      <c r="N1825" t="s">
        <v>175</v>
      </c>
      <c r="Q1825" t="s">
        <v>47</v>
      </c>
      <c r="R1825">
        <v>76382.789999999994</v>
      </c>
      <c r="S1825">
        <v>8400</v>
      </c>
      <c r="T1825">
        <v>4088769</v>
      </c>
      <c r="U1825">
        <v>5150120722</v>
      </c>
      <c r="V1825" t="s">
        <v>270</v>
      </c>
      <c r="W1825" t="s">
        <v>49</v>
      </c>
      <c r="X1825" t="s">
        <v>110</v>
      </c>
      <c r="Y1825" t="s">
        <v>51</v>
      </c>
      <c r="Z1825">
        <v>1903</v>
      </c>
      <c r="AH1825">
        <v>0</v>
      </c>
      <c r="AI1825">
        <v>202505</v>
      </c>
      <c r="AJ1825" t="s">
        <v>56</v>
      </c>
      <c r="AK1825">
        <v>0</v>
      </c>
      <c r="AL1825">
        <v>1</v>
      </c>
      <c r="AM1825">
        <v>4088769</v>
      </c>
      <c r="AN1825">
        <v>1</v>
      </c>
      <c r="AO1825">
        <v>1</v>
      </c>
      <c r="AP1825" t="s">
        <v>3026</v>
      </c>
      <c r="AQ1825" t="s">
        <v>3012</v>
      </c>
      <c r="AR1825" t="s">
        <v>3027</v>
      </c>
      <c r="AS1825" t="s">
        <v>3028</v>
      </c>
      <c r="AU1825" t="s">
        <v>3028</v>
      </c>
    </row>
    <row r="1826" spans="1:47" x14ac:dyDescent="0.35">
      <c r="A1826">
        <v>338014</v>
      </c>
      <c r="B1826" t="s">
        <v>178</v>
      </c>
      <c r="C1826" t="s">
        <v>179</v>
      </c>
      <c r="D1826" s="2">
        <v>45787</v>
      </c>
      <c r="E1826">
        <v>53850</v>
      </c>
      <c r="F1826">
        <v>261</v>
      </c>
      <c r="G1826" t="s">
        <v>136</v>
      </c>
      <c r="H1826" t="s">
        <v>167</v>
      </c>
      <c r="I1826" t="s">
        <v>45</v>
      </c>
      <c r="K1826" t="s">
        <v>1953</v>
      </c>
      <c r="L1826">
        <v>2613300003184</v>
      </c>
      <c r="M1826">
        <v>20250509</v>
      </c>
      <c r="N1826" t="s">
        <v>3136</v>
      </c>
      <c r="Q1826" t="s">
        <v>170</v>
      </c>
      <c r="R1826">
        <v>3926.03</v>
      </c>
      <c r="S1826">
        <v>0</v>
      </c>
      <c r="T1826">
        <v>1653380</v>
      </c>
      <c r="U1826" t="s">
        <v>1954</v>
      </c>
      <c r="V1826" t="s">
        <v>1955</v>
      </c>
      <c r="W1826" t="s">
        <v>187</v>
      </c>
      <c r="Y1826" t="s">
        <v>51</v>
      </c>
      <c r="Z1826">
        <v>1755</v>
      </c>
      <c r="AH1826">
        <v>0</v>
      </c>
      <c r="AI1826">
        <v>202505</v>
      </c>
      <c r="AJ1826" t="s">
        <v>52</v>
      </c>
      <c r="AK1826">
        <v>0</v>
      </c>
      <c r="AL1826">
        <v>1</v>
      </c>
      <c r="AO1826">
        <v>1</v>
      </c>
      <c r="AP1826" t="s">
        <v>3015</v>
      </c>
      <c r="AQ1826" t="s">
        <v>3044</v>
      </c>
      <c r="AR1826" t="s">
        <v>3045</v>
      </c>
      <c r="AS1826" t="s">
        <v>3046</v>
      </c>
      <c r="AU1826" t="s">
        <v>3046</v>
      </c>
    </row>
    <row r="1827" spans="1:47" x14ac:dyDescent="0.35">
      <c r="A1827">
        <v>338013</v>
      </c>
      <c r="B1827" t="s">
        <v>164</v>
      </c>
      <c r="C1827" t="s">
        <v>165</v>
      </c>
      <c r="D1827" s="2">
        <v>45787</v>
      </c>
      <c r="E1827">
        <v>53850</v>
      </c>
      <c r="F1827">
        <v>116</v>
      </c>
      <c r="G1827" t="s">
        <v>126</v>
      </c>
      <c r="H1827" t="s">
        <v>167</v>
      </c>
      <c r="I1827" t="s">
        <v>45</v>
      </c>
      <c r="K1827">
        <v>202505097963718</v>
      </c>
      <c r="L1827">
        <v>1163307620851</v>
      </c>
      <c r="M1827">
        <v>20250509</v>
      </c>
      <c r="N1827" t="s">
        <v>168</v>
      </c>
      <c r="P1827" t="s">
        <v>435</v>
      </c>
      <c r="Q1827" t="s">
        <v>47</v>
      </c>
      <c r="R1827">
        <v>13169</v>
      </c>
      <c r="S1827">
        <v>0</v>
      </c>
      <c r="T1827">
        <v>4984414</v>
      </c>
      <c r="U1827" t="s">
        <v>1956</v>
      </c>
      <c r="V1827" t="s">
        <v>1957</v>
      </c>
      <c r="W1827" t="s">
        <v>187</v>
      </c>
      <c r="Y1827" t="s">
        <v>51</v>
      </c>
      <c r="Z1827">
        <v>535</v>
      </c>
      <c r="AH1827">
        <v>0</v>
      </c>
      <c r="AI1827">
        <v>202505</v>
      </c>
      <c r="AJ1827" t="s">
        <v>86</v>
      </c>
      <c r="AK1827">
        <v>1</v>
      </c>
      <c r="AL1827">
        <v>1</v>
      </c>
      <c r="AO1827">
        <v>0</v>
      </c>
      <c r="AP1827" t="s">
        <v>3015</v>
      </c>
      <c r="AQ1827" t="s">
        <v>3044</v>
      </c>
      <c r="AR1827" t="s">
        <v>3045</v>
      </c>
      <c r="AS1827" t="s">
        <v>3046</v>
      </c>
      <c r="AU1827" t="s">
        <v>3046</v>
      </c>
    </row>
    <row r="1828" spans="1:47" x14ac:dyDescent="0.35">
      <c r="A1828">
        <v>338012</v>
      </c>
      <c r="B1828" t="s">
        <v>172</v>
      </c>
      <c r="C1828" t="s">
        <v>173</v>
      </c>
      <c r="D1828" s="2">
        <v>45787</v>
      </c>
      <c r="E1828">
        <v>53850</v>
      </c>
      <c r="F1828">
        <v>110</v>
      </c>
      <c r="G1828" t="s">
        <v>230</v>
      </c>
      <c r="H1828" t="s">
        <v>167</v>
      </c>
      <c r="I1828" t="s">
        <v>45</v>
      </c>
      <c r="K1828">
        <v>202505097964540</v>
      </c>
      <c r="L1828">
        <v>1103306287662</v>
      </c>
      <c r="M1828">
        <v>20250509</v>
      </c>
      <c r="N1828" t="s">
        <v>81</v>
      </c>
      <c r="Q1828" t="s">
        <v>47</v>
      </c>
      <c r="R1828">
        <v>400000</v>
      </c>
      <c r="S1828">
        <v>0</v>
      </c>
      <c r="T1828">
        <v>4014921</v>
      </c>
      <c r="U1828" t="s">
        <v>1958</v>
      </c>
      <c r="V1828" t="s">
        <v>1959</v>
      </c>
      <c r="W1828" t="s">
        <v>187</v>
      </c>
      <c r="Y1828" t="s">
        <v>51</v>
      </c>
      <c r="Z1828">
        <v>1072</v>
      </c>
      <c r="AH1828">
        <v>0</v>
      </c>
      <c r="AI1828">
        <v>202505</v>
      </c>
      <c r="AJ1828" t="s">
        <v>119</v>
      </c>
      <c r="AK1828">
        <v>1</v>
      </c>
      <c r="AL1828">
        <v>1</v>
      </c>
      <c r="AO1828">
        <v>0</v>
      </c>
      <c r="AP1828" t="s">
        <v>3015</v>
      </c>
      <c r="AQ1828" t="s">
        <v>3044</v>
      </c>
      <c r="AR1828" t="s">
        <v>3045</v>
      </c>
      <c r="AS1828" t="s">
        <v>3046</v>
      </c>
      <c r="AU1828" t="s">
        <v>3046</v>
      </c>
    </row>
    <row r="1829" spans="1:47" x14ac:dyDescent="0.35">
      <c r="A1829">
        <v>338011</v>
      </c>
      <c r="B1829" t="s">
        <v>178</v>
      </c>
      <c r="C1829" t="s">
        <v>179</v>
      </c>
      <c r="D1829" s="2">
        <v>45787</v>
      </c>
      <c r="E1829">
        <v>53850</v>
      </c>
      <c r="F1829">
        <v>102</v>
      </c>
      <c r="G1829" t="s">
        <v>151</v>
      </c>
      <c r="H1829" t="s">
        <v>167</v>
      </c>
      <c r="I1829" t="s">
        <v>45</v>
      </c>
      <c r="K1829">
        <v>202505097962025</v>
      </c>
      <c r="L1829">
        <v>1503300003188</v>
      </c>
      <c r="M1829">
        <v>20250509</v>
      </c>
      <c r="N1829" t="s">
        <v>236</v>
      </c>
      <c r="P1829" t="s">
        <v>51</v>
      </c>
      <c r="Q1829" t="s">
        <v>170</v>
      </c>
      <c r="R1829">
        <v>1300000</v>
      </c>
      <c r="S1829">
        <v>0</v>
      </c>
      <c r="T1829">
        <v>4269640</v>
      </c>
      <c r="U1829">
        <v>4797080969</v>
      </c>
      <c r="V1829" t="s">
        <v>152</v>
      </c>
      <c r="W1829" t="s">
        <v>153</v>
      </c>
      <c r="X1829" t="s">
        <v>210</v>
      </c>
      <c r="Y1829" t="s">
        <v>51</v>
      </c>
      <c r="Z1829">
        <v>1926</v>
      </c>
      <c r="AH1829">
        <v>0</v>
      </c>
      <c r="AI1829">
        <v>202505</v>
      </c>
      <c r="AJ1829" t="s">
        <v>52</v>
      </c>
      <c r="AK1829">
        <v>0</v>
      </c>
      <c r="AL1829">
        <v>1</v>
      </c>
      <c r="AO1829">
        <v>0</v>
      </c>
      <c r="AP1829" t="s">
        <v>3015</v>
      </c>
      <c r="AQ1829" t="s">
        <v>3035</v>
      </c>
      <c r="AR1829" t="s">
        <v>3036</v>
      </c>
      <c r="AT1829" t="s">
        <v>3017</v>
      </c>
      <c r="AU1829" t="s">
        <v>3037</v>
      </c>
    </row>
    <row r="1830" spans="1:47" x14ac:dyDescent="0.35">
      <c r="A1830">
        <v>338010</v>
      </c>
      <c r="B1830" t="s">
        <v>178</v>
      </c>
      <c r="C1830" t="s">
        <v>179</v>
      </c>
      <c r="D1830" s="2">
        <v>45787</v>
      </c>
      <c r="E1830">
        <v>53850</v>
      </c>
      <c r="F1830">
        <v>264</v>
      </c>
      <c r="G1830" t="s">
        <v>71</v>
      </c>
      <c r="H1830" t="s">
        <v>167</v>
      </c>
      <c r="I1830" t="s">
        <v>45</v>
      </c>
      <c r="K1830">
        <v>202505097964868</v>
      </c>
      <c r="L1830">
        <v>2643300001636</v>
      </c>
      <c r="M1830">
        <v>20250509</v>
      </c>
      <c r="N1830" t="s">
        <v>3136</v>
      </c>
      <c r="Q1830" t="s">
        <v>170</v>
      </c>
      <c r="R1830">
        <v>28420.45</v>
      </c>
      <c r="S1830">
        <v>0</v>
      </c>
      <c r="T1830">
        <v>1695450</v>
      </c>
      <c r="U1830" t="s">
        <v>1960</v>
      </c>
      <c r="V1830" t="s">
        <v>1961</v>
      </c>
      <c r="W1830" t="s">
        <v>187</v>
      </c>
      <c r="Y1830" t="s">
        <v>51</v>
      </c>
      <c r="Z1830">
        <v>1851</v>
      </c>
      <c r="AH1830">
        <v>0</v>
      </c>
      <c r="AI1830">
        <v>202505</v>
      </c>
      <c r="AJ1830" t="s">
        <v>86</v>
      </c>
      <c r="AK1830">
        <v>1</v>
      </c>
      <c r="AL1830">
        <v>1</v>
      </c>
      <c r="AO1830">
        <v>1</v>
      </c>
      <c r="AP1830" t="s">
        <v>3015</v>
      </c>
      <c r="AQ1830" t="s">
        <v>3044</v>
      </c>
      <c r="AR1830" t="s">
        <v>3045</v>
      </c>
      <c r="AS1830" t="s">
        <v>3046</v>
      </c>
      <c r="AU1830" t="s">
        <v>3046</v>
      </c>
    </row>
    <row r="1831" spans="1:47" x14ac:dyDescent="0.35">
      <c r="A1831">
        <v>338009</v>
      </c>
      <c r="B1831" t="s">
        <v>214</v>
      </c>
      <c r="C1831" t="s">
        <v>215</v>
      </c>
      <c r="D1831" s="2">
        <v>45787</v>
      </c>
      <c r="E1831">
        <v>53850</v>
      </c>
      <c r="F1831">
        <v>148</v>
      </c>
      <c r="G1831" t="s">
        <v>78</v>
      </c>
      <c r="H1831" t="s">
        <v>167</v>
      </c>
      <c r="I1831" t="s">
        <v>45</v>
      </c>
      <c r="K1831">
        <v>202505097962295</v>
      </c>
      <c r="L1831">
        <v>1483303001176</v>
      </c>
      <c r="M1831">
        <v>20250509</v>
      </c>
      <c r="N1831" t="s">
        <v>168</v>
      </c>
      <c r="P1831" t="s">
        <v>217</v>
      </c>
      <c r="Q1831" t="s">
        <v>170</v>
      </c>
      <c r="R1831">
        <v>25000</v>
      </c>
      <c r="S1831">
        <v>0</v>
      </c>
      <c r="T1831">
        <v>2012964</v>
      </c>
      <c r="U1831" t="s">
        <v>1850</v>
      </c>
      <c r="V1831" t="s">
        <v>1851</v>
      </c>
      <c r="W1831" t="s">
        <v>187</v>
      </c>
      <c r="Y1831" t="s">
        <v>51</v>
      </c>
      <c r="Z1831">
        <v>1636</v>
      </c>
      <c r="AH1831">
        <v>0</v>
      </c>
      <c r="AI1831">
        <v>202505</v>
      </c>
      <c r="AJ1831" t="s">
        <v>56</v>
      </c>
      <c r="AK1831">
        <v>0</v>
      </c>
      <c r="AL1831">
        <v>1</v>
      </c>
      <c r="AO1831">
        <v>0</v>
      </c>
      <c r="AP1831" t="s">
        <v>3015</v>
      </c>
      <c r="AQ1831" t="s">
        <v>3044</v>
      </c>
      <c r="AR1831" t="s">
        <v>3045</v>
      </c>
      <c r="AS1831" t="s">
        <v>3046</v>
      </c>
      <c r="AU1831" t="s">
        <v>3046</v>
      </c>
    </row>
    <row r="1832" spans="1:47" x14ac:dyDescent="0.35">
      <c r="A1832">
        <v>338008</v>
      </c>
      <c r="B1832" t="s">
        <v>178</v>
      </c>
      <c r="C1832" t="s">
        <v>179</v>
      </c>
      <c r="D1832" s="2">
        <v>45787</v>
      </c>
      <c r="E1832">
        <v>53850</v>
      </c>
      <c r="F1832">
        <v>118</v>
      </c>
      <c r="G1832" t="s">
        <v>254</v>
      </c>
      <c r="H1832" t="s">
        <v>167</v>
      </c>
      <c r="I1832" t="s">
        <v>45</v>
      </c>
      <c r="K1832">
        <v>202505097964586</v>
      </c>
      <c r="L1832">
        <v>1183306278672</v>
      </c>
      <c r="M1832">
        <v>20250509</v>
      </c>
      <c r="N1832" t="s">
        <v>633</v>
      </c>
      <c r="P1832" t="s">
        <v>51</v>
      </c>
      <c r="Q1832" t="s">
        <v>170</v>
      </c>
      <c r="R1832">
        <v>2290722</v>
      </c>
      <c r="S1832">
        <v>0</v>
      </c>
      <c r="T1832">
        <v>422471</v>
      </c>
      <c r="U1832" t="s">
        <v>1938</v>
      </c>
      <c r="V1832" t="s">
        <v>1939</v>
      </c>
      <c r="W1832" t="s">
        <v>187</v>
      </c>
      <c r="Y1832" t="s">
        <v>51</v>
      </c>
      <c r="Z1832">
        <v>724</v>
      </c>
      <c r="AH1832">
        <v>0</v>
      </c>
      <c r="AI1832">
        <v>202505</v>
      </c>
      <c r="AJ1832" t="s">
        <v>86</v>
      </c>
      <c r="AK1832">
        <v>1</v>
      </c>
      <c r="AL1832">
        <v>1</v>
      </c>
      <c r="AO1832">
        <v>0</v>
      </c>
      <c r="AP1832" t="s">
        <v>3015</v>
      </c>
      <c r="AQ1832" t="s">
        <v>3044</v>
      </c>
      <c r="AR1832" t="s">
        <v>3045</v>
      </c>
      <c r="AS1832" t="s">
        <v>3046</v>
      </c>
      <c r="AU1832" t="s">
        <v>3046</v>
      </c>
    </row>
    <row r="1833" spans="1:47" x14ac:dyDescent="0.35">
      <c r="A1833">
        <v>338007</v>
      </c>
      <c r="B1833" t="s">
        <v>178</v>
      </c>
      <c r="C1833" t="s">
        <v>179</v>
      </c>
      <c r="D1833" s="2">
        <v>45787</v>
      </c>
      <c r="E1833">
        <v>53850</v>
      </c>
      <c r="F1833">
        <v>118</v>
      </c>
      <c r="G1833" t="s">
        <v>254</v>
      </c>
      <c r="H1833" t="s">
        <v>167</v>
      </c>
      <c r="I1833" t="s">
        <v>45</v>
      </c>
      <c r="K1833">
        <v>202505097964573</v>
      </c>
      <c r="L1833">
        <v>1183306280513</v>
      </c>
      <c r="M1833">
        <v>20250509</v>
      </c>
      <c r="N1833" t="s">
        <v>633</v>
      </c>
      <c r="P1833" t="s">
        <v>51</v>
      </c>
      <c r="Q1833" t="s">
        <v>170</v>
      </c>
      <c r="R1833">
        <v>1500000</v>
      </c>
      <c r="S1833">
        <v>0</v>
      </c>
      <c r="T1833">
        <v>516605</v>
      </c>
      <c r="U1833" t="s">
        <v>1500</v>
      </c>
      <c r="V1833" t="s">
        <v>1501</v>
      </c>
      <c r="W1833" t="s">
        <v>187</v>
      </c>
      <c r="Y1833" t="s">
        <v>51</v>
      </c>
      <c r="Z1833">
        <v>724</v>
      </c>
      <c r="AH1833">
        <v>0</v>
      </c>
      <c r="AI1833">
        <v>202505</v>
      </c>
      <c r="AJ1833" t="s">
        <v>56</v>
      </c>
      <c r="AK1833">
        <v>0</v>
      </c>
      <c r="AL1833">
        <v>1</v>
      </c>
      <c r="AM1833">
        <v>516605</v>
      </c>
      <c r="AN1833">
        <v>1</v>
      </c>
      <c r="AO1833">
        <v>0</v>
      </c>
      <c r="AP1833" t="s">
        <v>3015</v>
      </c>
      <c r="AQ1833" t="s">
        <v>3044</v>
      </c>
      <c r="AR1833" t="s">
        <v>3045</v>
      </c>
      <c r="AS1833" t="s">
        <v>3046</v>
      </c>
      <c r="AU1833" t="s">
        <v>3046</v>
      </c>
    </row>
    <row r="1834" spans="1:47" x14ac:dyDescent="0.35">
      <c r="A1834">
        <v>338006</v>
      </c>
      <c r="B1834" t="s">
        <v>193</v>
      </c>
      <c r="C1834" t="s">
        <v>194</v>
      </c>
      <c r="D1834" s="2">
        <v>45787</v>
      </c>
      <c r="E1834">
        <v>53850</v>
      </c>
      <c r="F1834">
        <v>171</v>
      </c>
      <c r="G1834" t="s">
        <v>198</v>
      </c>
      <c r="H1834" t="s">
        <v>167</v>
      </c>
      <c r="I1834" t="s">
        <v>45</v>
      </c>
      <c r="K1834" t="s">
        <v>1707</v>
      </c>
      <c r="L1834">
        <v>1713305728950</v>
      </c>
      <c r="M1834">
        <v>20250509</v>
      </c>
      <c r="N1834" t="s">
        <v>195</v>
      </c>
      <c r="Q1834" t="s">
        <v>47</v>
      </c>
      <c r="R1834">
        <v>400964.69</v>
      </c>
      <c r="S1834">
        <v>400964.69</v>
      </c>
      <c r="T1834">
        <v>572895</v>
      </c>
      <c r="U1834">
        <v>4161600723</v>
      </c>
      <c r="V1834" t="s">
        <v>199</v>
      </c>
      <c r="W1834" t="s">
        <v>49</v>
      </c>
      <c r="X1834" t="s">
        <v>200</v>
      </c>
      <c r="Y1834" t="s">
        <v>51</v>
      </c>
      <c r="Z1834">
        <v>1903</v>
      </c>
      <c r="AH1834">
        <v>0</v>
      </c>
      <c r="AI1834">
        <v>202505</v>
      </c>
      <c r="AJ1834" t="s">
        <v>86</v>
      </c>
      <c r="AK1834">
        <v>1</v>
      </c>
      <c r="AL1834">
        <v>1</v>
      </c>
      <c r="AM1834">
        <v>572895</v>
      </c>
      <c r="AN1834">
        <v>1</v>
      </c>
      <c r="AO1834">
        <v>0</v>
      </c>
      <c r="AP1834" t="s">
        <v>3015</v>
      </c>
      <c r="AQ1834" t="s">
        <v>3012</v>
      </c>
      <c r="AR1834" t="s">
        <v>3016</v>
      </c>
      <c r="AT1834" t="s">
        <v>3017</v>
      </c>
      <c r="AU1834" t="s">
        <v>3018</v>
      </c>
    </row>
    <row r="1835" spans="1:47" x14ac:dyDescent="0.35">
      <c r="A1835">
        <v>338005</v>
      </c>
      <c r="B1835" t="s">
        <v>172</v>
      </c>
      <c r="C1835" t="s">
        <v>173</v>
      </c>
      <c r="D1835" s="2">
        <v>45787</v>
      </c>
      <c r="E1835">
        <v>53850</v>
      </c>
      <c r="F1835">
        <v>273</v>
      </c>
      <c r="G1835" t="s">
        <v>133</v>
      </c>
      <c r="H1835" t="s">
        <v>167</v>
      </c>
      <c r="I1835" t="s">
        <v>45</v>
      </c>
      <c r="K1835">
        <v>202505097964928</v>
      </c>
      <c r="L1835">
        <v>1983300001006</v>
      </c>
      <c r="M1835">
        <v>20250509</v>
      </c>
      <c r="N1835" t="s">
        <v>231</v>
      </c>
      <c r="Q1835" t="s">
        <v>47</v>
      </c>
      <c r="R1835">
        <v>160000</v>
      </c>
      <c r="S1835">
        <v>0</v>
      </c>
      <c r="T1835">
        <v>4006820</v>
      </c>
      <c r="U1835" t="s">
        <v>1962</v>
      </c>
      <c r="V1835" t="s">
        <v>1963</v>
      </c>
      <c r="W1835" t="s">
        <v>187</v>
      </c>
      <c r="Y1835" t="s">
        <v>51</v>
      </c>
      <c r="Z1835">
        <v>1718</v>
      </c>
      <c r="AH1835">
        <v>0</v>
      </c>
      <c r="AI1835">
        <v>202505</v>
      </c>
      <c r="AJ1835" t="s">
        <v>119</v>
      </c>
      <c r="AK1835">
        <v>1</v>
      </c>
      <c r="AL1835">
        <v>1</v>
      </c>
      <c r="AO1835">
        <v>0</v>
      </c>
      <c r="AP1835" t="s">
        <v>3015</v>
      </c>
      <c r="AQ1835" t="s">
        <v>3044</v>
      </c>
      <c r="AR1835" t="s">
        <v>3045</v>
      </c>
      <c r="AS1835" t="s">
        <v>3046</v>
      </c>
      <c r="AU1835" t="s">
        <v>3046</v>
      </c>
    </row>
    <row r="1836" spans="1:47" x14ac:dyDescent="0.35">
      <c r="A1836">
        <v>338004</v>
      </c>
      <c r="B1836" t="s">
        <v>193</v>
      </c>
      <c r="C1836" t="s">
        <v>194</v>
      </c>
      <c r="D1836" s="2">
        <v>45787</v>
      </c>
      <c r="E1836">
        <v>53850</v>
      </c>
      <c r="F1836">
        <v>190</v>
      </c>
      <c r="G1836" t="s">
        <v>145</v>
      </c>
      <c r="H1836" t="s">
        <v>167</v>
      </c>
      <c r="I1836" t="s">
        <v>45</v>
      </c>
      <c r="K1836">
        <v>202505097964807</v>
      </c>
      <c r="L1836">
        <v>1903300007929</v>
      </c>
      <c r="M1836">
        <v>20250509</v>
      </c>
      <c r="N1836" t="s">
        <v>266</v>
      </c>
      <c r="Q1836" t="s">
        <v>47</v>
      </c>
      <c r="R1836">
        <v>15500</v>
      </c>
      <c r="S1836">
        <v>15500</v>
      </c>
      <c r="T1836">
        <v>3034190</v>
      </c>
      <c r="U1836" t="s">
        <v>1964</v>
      </c>
      <c r="V1836" t="s">
        <v>1965</v>
      </c>
      <c r="W1836" t="s">
        <v>69</v>
      </c>
      <c r="X1836" t="s">
        <v>131</v>
      </c>
      <c r="Y1836" t="s">
        <v>51</v>
      </c>
      <c r="Z1836">
        <v>1361</v>
      </c>
      <c r="AH1836">
        <v>0</v>
      </c>
      <c r="AI1836">
        <v>202505</v>
      </c>
      <c r="AJ1836" t="s">
        <v>114</v>
      </c>
      <c r="AK1836">
        <v>1</v>
      </c>
      <c r="AL1836">
        <v>1</v>
      </c>
      <c r="AM1836">
        <v>3034190</v>
      </c>
      <c r="AN1836">
        <v>1</v>
      </c>
      <c r="AO1836">
        <v>0</v>
      </c>
      <c r="AP1836" t="s">
        <v>3033</v>
      </c>
      <c r="AQ1836" t="s">
        <v>3021</v>
      </c>
      <c r="AR1836" t="s">
        <v>3054</v>
      </c>
      <c r="AS1836" t="s">
        <v>3055</v>
      </c>
      <c r="AU1836" t="s">
        <v>3055</v>
      </c>
    </row>
    <row r="1837" spans="1:47" x14ac:dyDescent="0.35">
      <c r="A1837">
        <v>338003</v>
      </c>
      <c r="B1837" t="s">
        <v>178</v>
      </c>
      <c r="C1837" t="s">
        <v>179</v>
      </c>
      <c r="D1837" s="2">
        <v>45787</v>
      </c>
      <c r="E1837">
        <v>53850</v>
      </c>
      <c r="F1837">
        <v>118</v>
      </c>
      <c r="G1837" t="s">
        <v>254</v>
      </c>
      <c r="H1837" t="s">
        <v>167</v>
      </c>
      <c r="I1837" t="s">
        <v>45</v>
      </c>
      <c r="K1837">
        <v>202505097964575</v>
      </c>
      <c r="L1837">
        <v>1183306280513</v>
      </c>
      <c r="M1837">
        <v>20250509</v>
      </c>
      <c r="N1837" t="s">
        <v>633</v>
      </c>
      <c r="P1837" t="s">
        <v>51</v>
      </c>
      <c r="Q1837" t="s">
        <v>170</v>
      </c>
      <c r="R1837">
        <v>763574</v>
      </c>
      <c r="S1837">
        <v>0</v>
      </c>
      <c r="T1837">
        <v>516581</v>
      </c>
      <c r="U1837" t="s">
        <v>1924</v>
      </c>
      <c r="V1837" t="s">
        <v>1925</v>
      </c>
      <c r="W1837" t="s">
        <v>187</v>
      </c>
      <c r="Y1837" t="s">
        <v>51</v>
      </c>
      <c r="Z1837">
        <v>724</v>
      </c>
      <c r="AH1837">
        <v>0</v>
      </c>
      <c r="AI1837">
        <v>202505</v>
      </c>
      <c r="AJ1837" t="s">
        <v>56</v>
      </c>
      <c r="AK1837">
        <v>0</v>
      </c>
      <c r="AL1837">
        <v>1</v>
      </c>
      <c r="AO1837">
        <v>0</v>
      </c>
      <c r="AP1837" t="s">
        <v>3015</v>
      </c>
      <c r="AQ1837" t="s">
        <v>3044</v>
      </c>
      <c r="AR1837" t="s">
        <v>3045</v>
      </c>
      <c r="AS1837" t="s">
        <v>3046</v>
      </c>
      <c r="AU1837" t="s">
        <v>3046</v>
      </c>
    </row>
    <row r="1838" spans="1:47" x14ac:dyDescent="0.35">
      <c r="A1838">
        <v>338002</v>
      </c>
      <c r="B1838" t="s">
        <v>178</v>
      </c>
      <c r="C1838" t="s">
        <v>179</v>
      </c>
      <c r="D1838" s="2">
        <v>45787</v>
      </c>
      <c r="E1838">
        <v>53850</v>
      </c>
      <c r="F1838">
        <v>102</v>
      </c>
      <c r="G1838" t="s">
        <v>151</v>
      </c>
      <c r="H1838" t="s">
        <v>167</v>
      </c>
      <c r="I1838" t="s">
        <v>45</v>
      </c>
      <c r="K1838">
        <v>202505097964465</v>
      </c>
      <c r="L1838">
        <v>1023306272415</v>
      </c>
      <c r="M1838">
        <v>20250509</v>
      </c>
      <c r="N1838" t="s">
        <v>3136</v>
      </c>
      <c r="Q1838" t="s">
        <v>170</v>
      </c>
      <c r="R1838">
        <v>34043.42</v>
      </c>
      <c r="S1838">
        <v>0</v>
      </c>
      <c r="T1838">
        <v>45192</v>
      </c>
      <c r="U1838" t="s">
        <v>1966</v>
      </c>
      <c r="V1838" t="s">
        <v>1967</v>
      </c>
      <c r="W1838" t="s">
        <v>187</v>
      </c>
      <c r="Y1838" t="s">
        <v>51</v>
      </c>
      <c r="Z1838">
        <v>1606</v>
      </c>
      <c r="AH1838">
        <v>0</v>
      </c>
      <c r="AI1838">
        <v>202505</v>
      </c>
      <c r="AJ1838" t="s">
        <v>86</v>
      </c>
      <c r="AK1838">
        <v>1</v>
      </c>
      <c r="AL1838">
        <v>1</v>
      </c>
      <c r="AO1838">
        <v>1</v>
      </c>
      <c r="AP1838" t="s">
        <v>3015</v>
      </c>
      <c r="AQ1838" t="s">
        <v>3044</v>
      </c>
      <c r="AR1838" t="s">
        <v>3045</v>
      </c>
      <c r="AS1838" t="s">
        <v>3046</v>
      </c>
      <c r="AU1838" t="s">
        <v>3046</v>
      </c>
    </row>
    <row r="1839" spans="1:47" x14ac:dyDescent="0.35">
      <c r="A1839">
        <v>338001</v>
      </c>
      <c r="B1839" t="s">
        <v>178</v>
      </c>
      <c r="C1839" t="s">
        <v>179</v>
      </c>
      <c r="D1839" s="2">
        <v>45787</v>
      </c>
      <c r="E1839">
        <v>53850</v>
      </c>
      <c r="F1839">
        <v>118</v>
      </c>
      <c r="G1839" t="s">
        <v>254</v>
      </c>
      <c r="H1839" t="s">
        <v>167</v>
      </c>
      <c r="I1839" t="s">
        <v>45</v>
      </c>
      <c r="K1839">
        <v>202505097964586</v>
      </c>
      <c r="L1839">
        <v>1183306278672</v>
      </c>
      <c r="M1839">
        <v>20250509</v>
      </c>
      <c r="N1839" t="s">
        <v>633</v>
      </c>
      <c r="P1839" t="s">
        <v>51</v>
      </c>
      <c r="Q1839" t="s">
        <v>170</v>
      </c>
      <c r="R1839">
        <v>2290722</v>
      </c>
      <c r="S1839">
        <v>0</v>
      </c>
      <c r="T1839">
        <v>496233</v>
      </c>
      <c r="U1839" t="s">
        <v>1920</v>
      </c>
      <c r="V1839" t="s">
        <v>1921</v>
      </c>
      <c r="W1839" t="s">
        <v>187</v>
      </c>
      <c r="Y1839" t="s">
        <v>51</v>
      </c>
      <c r="Z1839">
        <v>724</v>
      </c>
      <c r="AH1839">
        <v>0</v>
      </c>
      <c r="AI1839">
        <v>202505</v>
      </c>
      <c r="AJ1839" t="s">
        <v>86</v>
      </c>
      <c r="AK1839">
        <v>1</v>
      </c>
      <c r="AL1839">
        <v>1</v>
      </c>
      <c r="AO1839">
        <v>0</v>
      </c>
      <c r="AP1839" t="s">
        <v>3015</v>
      </c>
      <c r="AQ1839" t="s">
        <v>3044</v>
      </c>
      <c r="AR1839" t="s">
        <v>3045</v>
      </c>
      <c r="AS1839" t="s">
        <v>3046</v>
      </c>
      <c r="AU1839" t="s">
        <v>3046</v>
      </c>
    </row>
    <row r="1840" spans="1:47" x14ac:dyDescent="0.35">
      <c r="A1840">
        <v>338000</v>
      </c>
      <c r="B1840" t="s">
        <v>172</v>
      </c>
      <c r="C1840" t="s">
        <v>173</v>
      </c>
      <c r="D1840" s="2">
        <v>45787</v>
      </c>
      <c r="E1840">
        <v>53850</v>
      </c>
      <c r="F1840">
        <v>121</v>
      </c>
      <c r="G1840" t="s">
        <v>140</v>
      </c>
      <c r="H1840" t="s">
        <v>167</v>
      </c>
      <c r="I1840" t="s">
        <v>45</v>
      </c>
      <c r="K1840" t="s">
        <v>1707</v>
      </c>
      <c r="L1840">
        <v>1213300002600</v>
      </c>
      <c r="M1840">
        <v>20250509</v>
      </c>
      <c r="N1840" t="s">
        <v>175</v>
      </c>
      <c r="Q1840" t="s">
        <v>47</v>
      </c>
      <c r="R1840">
        <v>841641.07</v>
      </c>
      <c r="S1840">
        <v>0</v>
      </c>
      <c r="T1840">
        <v>4939345</v>
      </c>
      <c r="U1840">
        <v>5754810728</v>
      </c>
      <c r="V1840" t="s">
        <v>570</v>
      </c>
      <c r="W1840" t="s">
        <v>49</v>
      </c>
      <c r="X1840" t="s">
        <v>117</v>
      </c>
      <c r="Y1840" t="s">
        <v>51</v>
      </c>
      <c r="Z1840">
        <v>1058</v>
      </c>
      <c r="AH1840">
        <v>0</v>
      </c>
      <c r="AI1840">
        <v>202505</v>
      </c>
      <c r="AJ1840" t="s">
        <v>114</v>
      </c>
      <c r="AK1840">
        <v>1</v>
      </c>
      <c r="AL1840">
        <v>1</v>
      </c>
      <c r="AO1840">
        <v>1</v>
      </c>
      <c r="AP1840" t="s">
        <v>3029</v>
      </c>
      <c r="AQ1840" t="s">
        <v>3012</v>
      </c>
      <c r="AR1840" t="s">
        <v>3030</v>
      </c>
      <c r="AS1840" t="s">
        <v>3014</v>
      </c>
      <c r="AU1840" t="s">
        <v>3014</v>
      </c>
    </row>
    <row r="1841" spans="1:47" x14ac:dyDescent="0.35">
      <c r="A1841">
        <v>337999</v>
      </c>
      <c r="B1841" t="s">
        <v>164</v>
      </c>
      <c r="C1841" t="s">
        <v>165</v>
      </c>
      <c r="D1841" s="2">
        <v>45787</v>
      </c>
      <c r="E1841">
        <v>53850</v>
      </c>
      <c r="F1841">
        <v>226</v>
      </c>
      <c r="G1841" t="s">
        <v>129</v>
      </c>
      <c r="H1841" t="s">
        <v>167</v>
      </c>
      <c r="I1841" t="s">
        <v>45</v>
      </c>
      <c r="K1841">
        <v>202505097963676</v>
      </c>
      <c r="L1841">
        <v>1163307619285</v>
      </c>
      <c r="M1841">
        <v>20250509</v>
      </c>
      <c r="N1841" t="s">
        <v>168</v>
      </c>
      <c r="P1841" t="s">
        <v>255</v>
      </c>
      <c r="Q1841" t="s">
        <v>47</v>
      </c>
      <c r="R1841">
        <v>6500</v>
      </c>
      <c r="S1841">
        <v>0</v>
      </c>
      <c r="T1841">
        <v>4709685</v>
      </c>
      <c r="U1841">
        <v>6911480728</v>
      </c>
      <c r="V1841" t="s">
        <v>1643</v>
      </c>
      <c r="W1841" t="s">
        <v>620</v>
      </c>
      <c r="X1841" t="s">
        <v>621</v>
      </c>
      <c r="Y1841" t="s">
        <v>51</v>
      </c>
      <c r="Z1841">
        <v>1932</v>
      </c>
      <c r="AH1841">
        <v>0</v>
      </c>
      <c r="AI1841">
        <v>202505</v>
      </c>
      <c r="AJ1841" t="s">
        <v>114</v>
      </c>
      <c r="AK1841">
        <v>1</v>
      </c>
      <c r="AL1841">
        <v>1</v>
      </c>
      <c r="AO1841">
        <v>0</v>
      </c>
      <c r="AP1841" t="s">
        <v>3015</v>
      </c>
      <c r="AQ1841" t="s">
        <v>3080</v>
      </c>
      <c r="AR1841" t="s">
        <v>3081</v>
      </c>
      <c r="AT1841" t="s">
        <v>3017</v>
      </c>
      <c r="AU1841" t="s">
        <v>3057</v>
      </c>
    </row>
    <row r="1842" spans="1:47" x14ac:dyDescent="0.35">
      <c r="A1842">
        <v>337998</v>
      </c>
      <c r="B1842" t="s">
        <v>193</v>
      </c>
      <c r="C1842" t="s">
        <v>194</v>
      </c>
      <c r="D1842" s="2">
        <v>45787</v>
      </c>
      <c r="E1842">
        <v>53850</v>
      </c>
      <c r="F1842">
        <v>114</v>
      </c>
      <c r="G1842" t="s">
        <v>188</v>
      </c>
      <c r="H1842" t="s">
        <v>167</v>
      </c>
      <c r="I1842" t="s">
        <v>45</v>
      </c>
      <c r="K1842">
        <v>202505097964558</v>
      </c>
      <c r="L1842">
        <v>1143306280621</v>
      </c>
      <c r="M1842">
        <v>20250509</v>
      </c>
      <c r="N1842" t="s">
        <v>266</v>
      </c>
      <c r="Q1842" t="s">
        <v>47</v>
      </c>
      <c r="R1842">
        <v>32000</v>
      </c>
      <c r="S1842">
        <v>32000</v>
      </c>
      <c r="T1842">
        <v>4658875</v>
      </c>
      <c r="U1842">
        <v>3230890711</v>
      </c>
      <c r="V1842" t="s">
        <v>1363</v>
      </c>
      <c r="W1842" t="s">
        <v>49</v>
      </c>
      <c r="X1842" t="s">
        <v>131</v>
      </c>
      <c r="Y1842" t="s">
        <v>51</v>
      </c>
      <c r="Z1842">
        <v>870</v>
      </c>
      <c r="AH1842">
        <v>0</v>
      </c>
      <c r="AI1842">
        <v>202505</v>
      </c>
      <c r="AJ1842" t="s">
        <v>56</v>
      </c>
      <c r="AK1842">
        <v>0</v>
      </c>
      <c r="AL1842">
        <v>1</v>
      </c>
      <c r="AM1842">
        <v>4658875</v>
      </c>
      <c r="AN1842">
        <v>1</v>
      </c>
      <c r="AO1842">
        <v>0</v>
      </c>
      <c r="AP1842" t="s">
        <v>3033</v>
      </c>
      <c r="AQ1842" t="s">
        <v>3012</v>
      </c>
      <c r="AR1842" t="s">
        <v>3034</v>
      </c>
      <c r="AS1842" t="s">
        <v>3014</v>
      </c>
      <c r="AU1842" t="s">
        <v>3014</v>
      </c>
    </row>
    <row r="1843" spans="1:47" x14ac:dyDescent="0.35">
      <c r="A1843">
        <v>337997</v>
      </c>
      <c r="B1843" t="s">
        <v>193</v>
      </c>
      <c r="C1843" t="s">
        <v>194</v>
      </c>
      <c r="D1843" s="2">
        <v>45787</v>
      </c>
      <c r="E1843">
        <v>53850</v>
      </c>
      <c r="F1843">
        <v>171</v>
      </c>
      <c r="G1843" t="s">
        <v>198</v>
      </c>
      <c r="H1843" t="s">
        <v>167</v>
      </c>
      <c r="I1843" t="s">
        <v>45</v>
      </c>
      <c r="K1843" t="s">
        <v>1707</v>
      </c>
      <c r="L1843">
        <v>1713302214147</v>
      </c>
      <c r="M1843">
        <v>20250509</v>
      </c>
      <c r="N1843" t="s">
        <v>195</v>
      </c>
      <c r="Q1843" t="s">
        <v>47</v>
      </c>
      <c r="R1843">
        <v>166210.1</v>
      </c>
      <c r="S1843">
        <v>166210.1</v>
      </c>
      <c r="T1843">
        <v>4199319</v>
      </c>
      <c r="U1843">
        <v>6037810725</v>
      </c>
      <c r="V1843" t="s">
        <v>1144</v>
      </c>
      <c r="W1843" t="s">
        <v>49</v>
      </c>
      <c r="X1843" t="s">
        <v>200</v>
      </c>
      <c r="Y1843" t="s">
        <v>51</v>
      </c>
      <c r="Z1843">
        <v>1903</v>
      </c>
      <c r="AH1843">
        <v>0</v>
      </c>
      <c r="AI1843">
        <v>202505</v>
      </c>
      <c r="AJ1843" t="s">
        <v>86</v>
      </c>
      <c r="AK1843">
        <v>1</v>
      </c>
      <c r="AL1843">
        <v>1</v>
      </c>
      <c r="AM1843">
        <v>4199319</v>
      </c>
      <c r="AN1843">
        <v>1</v>
      </c>
      <c r="AO1843">
        <v>0</v>
      </c>
      <c r="AP1843" t="s">
        <v>3015</v>
      </c>
      <c r="AQ1843" t="s">
        <v>3012</v>
      </c>
      <c r="AR1843" t="s">
        <v>3016</v>
      </c>
      <c r="AT1843" t="s">
        <v>3017</v>
      </c>
      <c r="AU1843" t="s">
        <v>3018</v>
      </c>
    </row>
    <row r="1844" spans="1:47" x14ac:dyDescent="0.35">
      <c r="A1844">
        <v>337996</v>
      </c>
      <c r="B1844" t="s">
        <v>178</v>
      </c>
      <c r="C1844" t="s">
        <v>179</v>
      </c>
      <c r="D1844" s="2">
        <v>45787</v>
      </c>
      <c r="E1844">
        <v>53850</v>
      </c>
      <c r="F1844">
        <v>118</v>
      </c>
      <c r="G1844" t="s">
        <v>254</v>
      </c>
      <c r="H1844" t="s">
        <v>167</v>
      </c>
      <c r="I1844" t="s">
        <v>45</v>
      </c>
      <c r="K1844">
        <v>202505097962566</v>
      </c>
      <c r="L1844">
        <v>1183306279348</v>
      </c>
      <c r="M1844">
        <v>20250509</v>
      </c>
      <c r="N1844" t="s">
        <v>236</v>
      </c>
      <c r="P1844" t="s">
        <v>51</v>
      </c>
      <c r="Q1844" t="s">
        <v>170</v>
      </c>
      <c r="R1844">
        <v>3436083</v>
      </c>
      <c r="S1844">
        <v>0</v>
      </c>
      <c r="T1844">
        <v>4890853</v>
      </c>
      <c r="U1844">
        <v>8059850720</v>
      </c>
      <c r="V1844" t="s">
        <v>1950</v>
      </c>
      <c r="W1844" t="s">
        <v>49</v>
      </c>
      <c r="X1844" t="s">
        <v>257</v>
      </c>
      <c r="Y1844" t="s">
        <v>51</v>
      </c>
      <c r="Z1844">
        <v>1203</v>
      </c>
      <c r="AH1844">
        <v>0</v>
      </c>
      <c r="AI1844">
        <v>202505</v>
      </c>
      <c r="AJ1844" t="s">
        <v>114</v>
      </c>
      <c r="AK1844">
        <v>1</v>
      </c>
      <c r="AL1844">
        <v>1</v>
      </c>
      <c r="AO1844">
        <v>0</v>
      </c>
      <c r="AP1844" t="s">
        <v>3015</v>
      </c>
      <c r="AQ1844" t="s">
        <v>3012</v>
      </c>
      <c r="AR1844" t="s">
        <v>3016</v>
      </c>
      <c r="AT1844" t="s">
        <v>3017</v>
      </c>
      <c r="AU1844" t="s">
        <v>3018</v>
      </c>
    </row>
    <row r="1845" spans="1:47" x14ac:dyDescent="0.35">
      <c r="A1845">
        <v>337995</v>
      </c>
      <c r="B1845" t="s">
        <v>178</v>
      </c>
      <c r="C1845" t="s">
        <v>179</v>
      </c>
      <c r="D1845" s="2">
        <v>45787</v>
      </c>
      <c r="E1845">
        <v>53850</v>
      </c>
      <c r="F1845">
        <v>153</v>
      </c>
      <c r="G1845" t="s">
        <v>63</v>
      </c>
      <c r="H1845" t="s">
        <v>167</v>
      </c>
      <c r="I1845" t="s">
        <v>45</v>
      </c>
      <c r="K1845">
        <v>202505097962361</v>
      </c>
      <c r="L1845">
        <v>1533300662905</v>
      </c>
      <c r="M1845">
        <v>20250509</v>
      </c>
      <c r="N1845" t="s">
        <v>236</v>
      </c>
      <c r="P1845" t="s">
        <v>51</v>
      </c>
      <c r="Q1845" t="s">
        <v>170</v>
      </c>
      <c r="R1845">
        <v>952000</v>
      </c>
      <c r="S1845">
        <v>0</v>
      </c>
      <c r="T1845">
        <v>4165339</v>
      </c>
      <c r="U1845">
        <v>5612950633</v>
      </c>
      <c r="V1845" t="s">
        <v>1020</v>
      </c>
      <c r="W1845" t="s">
        <v>49</v>
      </c>
      <c r="X1845" t="s">
        <v>1021</v>
      </c>
      <c r="Y1845" t="s">
        <v>51</v>
      </c>
      <c r="Z1845">
        <v>982</v>
      </c>
      <c r="AH1845">
        <v>0</v>
      </c>
      <c r="AI1845">
        <v>202505</v>
      </c>
      <c r="AJ1845" t="s">
        <v>56</v>
      </c>
      <c r="AK1845">
        <v>0</v>
      </c>
      <c r="AL1845">
        <v>1</v>
      </c>
      <c r="AO1845">
        <v>0</v>
      </c>
      <c r="AP1845" t="s">
        <v>3098</v>
      </c>
      <c r="AQ1845" t="s">
        <v>3012</v>
      </c>
      <c r="AR1845" t="s">
        <v>3099</v>
      </c>
      <c r="AS1845" t="s">
        <v>3014</v>
      </c>
      <c r="AU1845" t="s">
        <v>3014</v>
      </c>
    </row>
    <row r="1846" spans="1:47" x14ac:dyDescent="0.35">
      <c r="A1846">
        <v>337994</v>
      </c>
      <c r="B1846" t="s">
        <v>193</v>
      </c>
      <c r="C1846" t="s">
        <v>194</v>
      </c>
      <c r="D1846" s="2">
        <v>45787</v>
      </c>
      <c r="E1846">
        <v>53850</v>
      </c>
      <c r="F1846">
        <v>174</v>
      </c>
      <c r="G1846" t="s">
        <v>224</v>
      </c>
      <c r="H1846" t="s">
        <v>167</v>
      </c>
      <c r="I1846" t="s">
        <v>45</v>
      </c>
      <c r="K1846" t="s">
        <v>1707</v>
      </c>
      <c r="L1846">
        <v>1743302879903</v>
      </c>
      <c r="M1846">
        <v>20250509</v>
      </c>
      <c r="N1846" t="s">
        <v>175</v>
      </c>
      <c r="Q1846" t="s">
        <v>47</v>
      </c>
      <c r="R1846">
        <v>41737.94</v>
      </c>
      <c r="S1846">
        <v>39690</v>
      </c>
      <c r="T1846">
        <v>4928259</v>
      </c>
      <c r="U1846">
        <v>8287320728</v>
      </c>
      <c r="V1846" t="s">
        <v>1171</v>
      </c>
      <c r="W1846" t="s">
        <v>49</v>
      </c>
      <c r="X1846" t="s">
        <v>117</v>
      </c>
      <c r="Y1846" t="s">
        <v>51</v>
      </c>
      <c r="Z1846">
        <v>448</v>
      </c>
      <c r="AH1846">
        <v>0</v>
      </c>
      <c r="AI1846">
        <v>202505</v>
      </c>
      <c r="AJ1846" t="s">
        <v>52</v>
      </c>
      <c r="AK1846">
        <v>0</v>
      </c>
      <c r="AL1846">
        <v>1</v>
      </c>
      <c r="AM1846">
        <v>4928259</v>
      </c>
      <c r="AN1846">
        <v>1</v>
      </c>
      <c r="AO1846">
        <v>1</v>
      </c>
      <c r="AP1846" t="s">
        <v>3029</v>
      </c>
      <c r="AQ1846" t="s">
        <v>3012</v>
      </c>
      <c r="AR1846" t="s">
        <v>3030</v>
      </c>
      <c r="AS1846" t="s">
        <v>3014</v>
      </c>
      <c r="AU1846" t="s">
        <v>3014</v>
      </c>
    </row>
    <row r="1847" spans="1:47" x14ac:dyDescent="0.35">
      <c r="A1847">
        <v>337993</v>
      </c>
      <c r="B1847" t="s">
        <v>178</v>
      </c>
      <c r="C1847" t="s">
        <v>179</v>
      </c>
      <c r="D1847" s="2">
        <v>45787</v>
      </c>
      <c r="E1847">
        <v>53850</v>
      </c>
      <c r="F1847">
        <v>118</v>
      </c>
      <c r="G1847" t="s">
        <v>254</v>
      </c>
      <c r="H1847" t="s">
        <v>167</v>
      </c>
      <c r="I1847" t="s">
        <v>45</v>
      </c>
      <c r="K1847">
        <v>202505097964583</v>
      </c>
      <c r="L1847">
        <v>1183306278672</v>
      </c>
      <c r="M1847">
        <v>20250509</v>
      </c>
      <c r="N1847" t="s">
        <v>633</v>
      </c>
      <c r="P1847" t="s">
        <v>51</v>
      </c>
      <c r="Q1847" t="s">
        <v>47</v>
      </c>
      <c r="R1847">
        <v>1500000</v>
      </c>
      <c r="S1847">
        <v>0</v>
      </c>
      <c r="T1847">
        <v>516605</v>
      </c>
      <c r="U1847" t="s">
        <v>1500</v>
      </c>
      <c r="V1847" t="s">
        <v>1501</v>
      </c>
      <c r="W1847" t="s">
        <v>187</v>
      </c>
      <c r="Y1847" t="s">
        <v>51</v>
      </c>
      <c r="Z1847">
        <v>724</v>
      </c>
      <c r="AH1847">
        <v>0</v>
      </c>
      <c r="AI1847">
        <v>202505</v>
      </c>
      <c r="AJ1847" t="s">
        <v>56</v>
      </c>
      <c r="AK1847">
        <v>0</v>
      </c>
      <c r="AL1847">
        <v>1</v>
      </c>
      <c r="AM1847">
        <v>516605</v>
      </c>
      <c r="AN1847">
        <v>1</v>
      </c>
      <c r="AO1847">
        <v>0</v>
      </c>
      <c r="AP1847" t="s">
        <v>3015</v>
      </c>
      <c r="AQ1847" t="s">
        <v>3044</v>
      </c>
      <c r="AR1847" t="s">
        <v>3045</v>
      </c>
      <c r="AS1847" t="s">
        <v>3046</v>
      </c>
      <c r="AU1847" t="s">
        <v>3046</v>
      </c>
    </row>
    <row r="1848" spans="1:47" x14ac:dyDescent="0.35">
      <c r="A1848">
        <v>337992</v>
      </c>
      <c r="B1848" t="s">
        <v>178</v>
      </c>
      <c r="C1848" t="s">
        <v>179</v>
      </c>
      <c r="D1848" s="2">
        <v>45787</v>
      </c>
      <c r="E1848">
        <v>53850</v>
      </c>
      <c r="F1848">
        <v>118</v>
      </c>
      <c r="G1848" t="s">
        <v>254</v>
      </c>
      <c r="H1848" t="s">
        <v>167</v>
      </c>
      <c r="I1848" t="s">
        <v>45</v>
      </c>
      <c r="K1848">
        <v>202505097964574</v>
      </c>
      <c r="L1848">
        <v>1183306280513</v>
      </c>
      <c r="M1848">
        <v>20250509</v>
      </c>
      <c r="N1848" t="s">
        <v>633</v>
      </c>
      <c r="P1848" t="s">
        <v>51</v>
      </c>
      <c r="Q1848" t="s">
        <v>170</v>
      </c>
      <c r="R1848">
        <v>763574</v>
      </c>
      <c r="S1848">
        <v>0</v>
      </c>
      <c r="T1848">
        <v>516581</v>
      </c>
      <c r="U1848" t="s">
        <v>1924</v>
      </c>
      <c r="V1848" t="s">
        <v>1925</v>
      </c>
      <c r="W1848" t="s">
        <v>187</v>
      </c>
      <c r="Y1848" t="s">
        <v>51</v>
      </c>
      <c r="Z1848">
        <v>724</v>
      </c>
      <c r="AH1848">
        <v>0</v>
      </c>
      <c r="AI1848">
        <v>202505</v>
      </c>
      <c r="AJ1848" t="s">
        <v>56</v>
      </c>
      <c r="AK1848">
        <v>0</v>
      </c>
      <c r="AL1848">
        <v>1</v>
      </c>
      <c r="AO1848">
        <v>0</v>
      </c>
      <c r="AP1848" t="s">
        <v>3015</v>
      </c>
      <c r="AQ1848" t="s">
        <v>3044</v>
      </c>
      <c r="AR1848" t="s">
        <v>3045</v>
      </c>
      <c r="AS1848" t="s">
        <v>3046</v>
      </c>
      <c r="AU1848" t="s">
        <v>3046</v>
      </c>
    </row>
    <row r="1849" spans="1:47" x14ac:dyDescent="0.35">
      <c r="A1849">
        <v>337991</v>
      </c>
      <c r="B1849" t="s">
        <v>214</v>
      </c>
      <c r="C1849" t="s">
        <v>215</v>
      </c>
      <c r="D1849" s="2">
        <v>45787</v>
      </c>
      <c r="E1849">
        <v>53850</v>
      </c>
      <c r="F1849">
        <v>110</v>
      </c>
      <c r="G1849" t="s">
        <v>230</v>
      </c>
      <c r="H1849" t="s">
        <v>167</v>
      </c>
      <c r="I1849" t="s">
        <v>45</v>
      </c>
      <c r="K1849">
        <v>202505097963716</v>
      </c>
      <c r="L1849">
        <v>1103306288240</v>
      </c>
      <c r="M1849">
        <v>20250509</v>
      </c>
      <c r="N1849" t="s">
        <v>168</v>
      </c>
      <c r="P1849" t="s">
        <v>752</v>
      </c>
      <c r="Q1849" t="s">
        <v>47</v>
      </c>
      <c r="R1849">
        <v>242925.7</v>
      </c>
      <c r="S1849">
        <v>0</v>
      </c>
      <c r="T1849">
        <v>4960705</v>
      </c>
      <c r="U1849">
        <v>8520490726</v>
      </c>
      <c r="V1849" t="s">
        <v>753</v>
      </c>
      <c r="W1849" t="s">
        <v>49</v>
      </c>
      <c r="X1849" t="s">
        <v>110</v>
      </c>
      <c r="Y1849" t="s">
        <v>51</v>
      </c>
      <c r="Z1849">
        <v>1696</v>
      </c>
      <c r="AH1849">
        <v>0</v>
      </c>
      <c r="AI1849">
        <v>202505</v>
      </c>
      <c r="AJ1849" t="s">
        <v>52</v>
      </c>
      <c r="AK1849">
        <v>0</v>
      </c>
      <c r="AL1849">
        <v>1</v>
      </c>
      <c r="AO1849">
        <v>0</v>
      </c>
      <c r="AP1849" t="s">
        <v>3026</v>
      </c>
      <c r="AQ1849" t="s">
        <v>3012</v>
      </c>
      <c r="AR1849" t="s">
        <v>3027</v>
      </c>
      <c r="AS1849" t="s">
        <v>3028</v>
      </c>
      <c r="AU1849" t="s">
        <v>3028</v>
      </c>
    </row>
    <row r="1850" spans="1:47" x14ac:dyDescent="0.35">
      <c r="A1850">
        <v>337990</v>
      </c>
      <c r="B1850" t="s">
        <v>178</v>
      </c>
      <c r="C1850" t="s">
        <v>179</v>
      </c>
      <c r="D1850" s="2">
        <v>45787</v>
      </c>
      <c r="E1850">
        <v>53850</v>
      </c>
      <c r="F1850">
        <v>164</v>
      </c>
      <c r="G1850" t="s">
        <v>651</v>
      </c>
      <c r="H1850" t="s">
        <v>167</v>
      </c>
      <c r="I1850" t="s">
        <v>45</v>
      </c>
      <c r="K1850">
        <v>202505097962765</v>
      </c>
      <c r="L1850">
        <v>1643300370785</v>
      </c>
      <c r="M1850">
        <v>20250509</v>
      </c>
      <c r="N1850" t="s">
        <v>46</v>
      </c>
      <c r="P1850" t="s">
        <v>51</v>
      </c>
      <c r="Q1850" t="s">
        <v>47</v>
      </c>
      <c r="R1850">
        <v>1138425.55</v>
      </c>
      <c r="S1850">
        <v>0</v>
      </c>
      <c r="T1850">
        <v>3732249</v>
      </c>
      <c r="U1850">
        <v>4127610717</v>
      </c>
      <c r="V1850" t="s">
        <v>1900</v>
      </c>
      <c r="W1850" t="s">
        <v>49</v>
      </c>
      <c r="X1850" t="s">
        <v>595</v>
      </c>
      <c r="Y1850" t="s">
        <v>51</v>
      </c>
      <c r="Z1850">
        <v>677</v>
      </c>
      <c r="AH1850">
        <v>0</v>
      </c>
      <c r="AI1850">
        <v>202505</v>
      </c>
      <c r="AJ1850" t="s">
        <v>56</v>
      </c>
      <c r="AK1850">
        <v>0</v>
      </c>
      <c r="AL1850">
        <v>1</v>
      </c>
      <c r="AO1850">
        <v>0</v>
      </c>
      <c r="AP1850" t="s">
        <v>3015</v>
      </c>
      <c r="AQ1850" t="s">
        <v>3012</v>
      </c>
      <c r="AR1850" t="s">
        <v>3016</v>
      </c>
      <c r="AT1850" t="s">
        <v>3017</v>
      </c>
      <c r="AU1850" t="s">
        <v>3018</v>
      </c>
    </row>
    <row r="1851" spans="1:47" x14ac:dyDescent="0.35">
      <c r="A1851">
        <v>337989</v>
      </c>
      <c r="B1851" t="s">
        <v>178</v>
      </c>
      <c r="C1851" t="s">
        <v>179</v>
      </c>
      <c r="D1851" s="2">
        <v>45787</v>
      </c>
      <c r="E1851">
        <v>53850</v>
      </c>
      <c r="F1851">
        <v>264</v>
      </c>
      <c r="G1851" t="s">
        <v>71</v>
      </c>
      <c r="H1851" t="s">
        <v>167</v>
      </c>
      <c r="I1851" t="s">
        <v>45</v>
      </c>
      <c r="K1851" t="s">
        <v>1968</v>
      </c>
      <c r="L1851">
        <v>2643300001096</v>
      </c>
      <c r="M1851">
        <v>20250509</v>
      </c>
      <c r="N1851" t="s">
        <v>3136</v>
      </c>
      <c r="Q1851" t="s">
        <v>170</v>
      </c>
      <c r="R1851">
        <v>1187.05</v>
      </c>
      <c r="S1851">
        <v>0</v>
      </c>
      <c r="T1851">
        <v>1647267</v>
      </c>
      <c r="U1851" t="s">
        <v>1969</v>
      </c>
      <c r="V1851" t="s">
        <v>1970</v>
      </c>
      <c r="W1851" t="s">
        <v>187</v>
      </c>
      <c r="Y1851" t="s">
        <v>51</v>
      </c>
      <c r="Z1851">
        <v>1824</v>
      </c>
      <c r="AH1851">
        <v>0</v>
      </c>
      <c r="AI1851">
        <v>202505</v>
      </c>
      <c r="AJ1851" t="s">
        <v>86</v>
      </c>
      <c r="AK1851">
        <v>1</v>
      </c>
      <c r="AL1851">
        <v>1</v>
      </c>
      <c r="AO1851">
        <v>1</v>
      </c>
      <c r="AP1851" t="s">
        <v>3015</v>
      </c>
      <c r="AQ1851" t="s">
        <v>3044</v>
      </c>
      <c r="AR1851" t="s">
        <v>3045</v>
      </c>
      <c r="AS1851" t="s">
        <v>3046</v>
      </c>
      <c r="AU1851" t="s">
        <v>3046</v>
      </c>
    </row>
    <row r="1852" spans="1:47" x14ac:dyDescent="0.35">
      <c r="A1852">
        <v>337988</v>
      </c>
      <c r="B1852" t="s">
        <v>172</v>
      </c>
      <c r="C1852" t="s">
        <v>173</v>
      </c>
      <c r="D1852" s="2">
        <v>45787</v>
      </c>
      <c r="E1852">
        <v>53850</v>
      </c>
      <c r="F1852">
        <v>273</v>
      </c>
      <c r="G1852" t="s">
        <v>133</v>
      </c>
      <c r="H1852" t="s">
        <v>167</v>
      </c>
      <c r="I1852" t="s">
        <v>45</v>
      </c>
      <c r="K1852">
        <v>202505097964928</v>
      </c>
      <c r="L1852">
        <v>1983300001006</v>
      </c>
      <c r="M1852">
        <v>20250509</v>
      </c>
      <c r="N1852" t="s">
        <v>231</v>
      </c>
      <c r="Q1852" t="s">
        <v>47</v>
      </c>
      <c r="R1852">
        <v>160000</v>
      </c>
      <c r="S1852">
        <v>0</v>
      </c>
      <c r="T1852">
        <v>4006823</v>
      </c>
      <c r="U1852" t="s">
        <v>1971</v>
      </c>
      <c r="V1852" t="s">
        <v>1972</v>
      </c>
      <c r="W1852" t="s">
        <v>187</v>
      </c>
      <c r="Y1852" t="s">
        <v>51</v>
      </c>
      <c r="Z1852">
        <v>1718</v>
      </c>
      <c r="AH1852">
        <v>0</v>
      </c>
      <c r="AI1852">
        <v>202505</v>
      </c>
      <c r="AJ1852" t="s">
        <v>119</v>
      </c>
      <c r="AK1852">
        <v>1</v>
      </c>
      <c r="AL1852">
        <v>1</v>
      </c>
      <c r="AO1852">
        <v>0</v>
      </c>
      <c r="AP1852" t="s">
        <v>3015</v>
      </c>
      <c r="AQ1852" t="s">
        <v>3044</v>
      </c>
      <c r="AR1852" t="s">
        <v>3045</v>
      </c>
      <c r="AS1852" t="s">
        <v>3046</v>
      </c>
      <c r="AU1852" t="s">
        <v>3046</v>
      </c>
    </row>
    <row r="1853" spans="1:47" x14ac:dyDescent="0.35">
      <c r="A1853">
        <v>337987</v>
      </c>
      <c r="B1853" t="s">
        <v>178</v>
      </c>
      <c r="C1853" t="s">
        <v>179</v>
      </c>
      <c r="D1853" s="2">
        <v>45787</v>
      </c>
      <c r="E1853">
        <v>53850</v>
      </c>
      <c r="F1853">
        <v>261</v>
      </c>
      <c r="G1853" t="s">
        <v>136</v>
      </c>
      <c r="H1853" t="s">
        <v>167</v>
      </c>
      <c r="I1853" t="s">
        <v>45</v>
      </c>
      <c r="K1853" t="s">
        <v>1942</v>
      </c>
      <c r="L1853">
        <v>2613300001928</v>
      </c>
      <c r="M1853">
        <v>20250509</v>
      </c>
      <c r="N1853" t="s">
        <v>3136</v>
      </c>
      <c r="Q1853" t="s">
        <v>170</v>
      </c>
      <c r="R1853">
        <v>1422.48</v>
      </c>
      <c r="S1853">
        <v>0</v>
      </c>
      <c r="T1853">
        <v>1626895</v>
      </c>
      <c r="U1853" t="s">
        <v>1973</v>
      </c>
      <c r="V1853" t="s">
        <v>1974</v>
      </c>
      <c r="W1853" t="s">
        <v>187</v>
      </c>
      <c r="Y1853" t="s">
        <v>51</v>
      </c>
      <c r="AH1853">
        <v>0</v>
      </c>
      <c r="AI1853">
        <v>202505</v>
      </c>
      <c r="AJ1853" t="s">
        <v>52</v>
      </c>
      <c r="AK1853">
        <v>0</v>
      </c>
      <c r="AL1853">
        <v>1</v>
      </c>
      <c r="AO1853">
        <v>1</v>
      </c>
      <c r="AP1853" t="s">
        <v>3015</v>
      </c>
      <c r="AQ1853" t="s">
        <v>3044</v>
      </c>
      <c r="AR1853" t="s">
        <v>3045</v>
      </c>
      <c r="AS1853" t="s">
        <v>3046</v>
      </c>
      <c r="AU1853" t="s">
        <v>3046</v>
      </c>
    </row>
    <row r="1854" spans="1:47" x14ac:dyDescent="0.35">
      <c r="A1854">
        <v>337986</v>
      </c>
      <c r="B1854" t="s">
        <v>178</v>
      </c>
      <c r="C1854" t="s">
        <v>179</v>
      </c>
      <c r="D1854" s="2">
        <v>45787</v>
      </c>
      <c r="E1854">
        <v>53850</v>
      </c>
      <c r="F1854">
        <v>118</v>
      </c>
      <c r="G1854" t="s">
        <v>254</v>
      </c>
      <c r="H1854" t="s">
        <v>167</v>
      </c>
      <c r="I1854" t="s">
        <v>45</v>
      </c>
      <c r="K1854">
        <v>202505097964575</v>
      </c>
      <c r="L1854">
        <v>1183306280513</v>
      </c>
      <c r="M1854">
        <v>20250509</v>
      </c>
      <c r="N1854" t="s">
        <v>633</v>
      </c>
      <c r="P1854" t="s">
        <v>51</v>
      </c>
      <c r="Q1854" t="s">
        <v>170</v>
      </c>
      <c r="R1854">
        <v>763574</v>
      </c>
      <c r="S1854">
        <v>0</v>
      </c>
      <c r="T1854">
        <v>516605</v>
      </c>
      <c r="U1854" t="s">
        <v>1500</v>
      </c>
      <c r="V1854" t="s">
        <v>1501</v>
      </c>
      <c r="W1854" t="s">
        <v>187</v>
      </c>
      <c r="Y1854" t="s">
        <v>51</v>
      </c>
      <c r="Z1854">
        <v>724</v>
      </c>
      <c r="AH1854">
        <v>0</v>
      </c>
      <c r="AI1854">
        <v>202505</v>
      </c>
      <c r="AJ1854" t="s">
        <v>56</v>
      </c>
      <c r="AK1854">
        <v>0</v>
      </c>
      <c r="AL1854">
        <v>1</v>
      </c>
      <c r="AM1854">
        <v>516605</v>
      </c>
      <c r="AN1854">
        <v>1</v>
      </c>
      <c r="AO1854">
        <v>0</v>
      </c>
      <c r="AP1854" t="s">
        <v>3015</v>
      </c>
      <c r="AQ1854" t="s">
        <v>3044</v>
      </c>
      <c r="AR1854" t="s">
        <v>3045</v>
      </c>
      <c r="AS1854" t="s">
        <v>3046</v>
      </c>
      <c r="AU1854" t="s">
        <v>3046</v>
      </c>
    </row>
    <row r="1855" spans="1:47" x14ac:dyDescent="0.35">
      <c r="A1855">
        <v>337985</v>
      </c>
      <c r="B1855" t="s">
        <v>178</v>
      </c>
      <c r="C1855" t="s">
        <v>179</v>
      </c>
      <c r="D1855" s="2">
        <v>45787</v>
      </c>
      <c r="E1855">
        <v>53850</v>
      </c>
      <c r="F1855">
        <v>102</v>
      </c>
      <c r="G1855" t="s">
        <v>151</v>
      </c>
      <c r="H1855" t="s">
        <v>167</v>
      </c>
      <c r="I1855" t="s">
        <v>45</v>
      </c>
      <c r="K1855">
        <v>202505097964465</v>
      </c>
      <c r="L1855">
        <v>1023306272415</v>
      </c>
      <c r="M1855">
        <v>20250509</v>
      </c>
      <c r="N1855" t="s">
        <v>3136</v>
      </c>
      <c r="Q1855" t="s">
        <v>170</v>
      </c>
      <c r="R1855">
        <v>34043.42</v>
      </c>
      <c r="S1855">
        <v>0</v>
      </c>
      <c r="T1855">
        <v>4038101</v>
      </c>
      <c r="U1855" t="s">
        <v>1975</v>
      </c>
      <c r="V1855" t="s">
        <v>1976</v>
      </c>
      <c r="W1855" t="s">
        <v>187</v>
      </c>
      <c r="Y1855" t="s">
        <v>51</v>
      </c>
      <c r="Z1855">
        <v>1576</v>
      </c>
      <c r="AH1855">
        <v>0</v>
      </c>
      <c r="AI1855">
        <v>202505</v>
      </c>
      <c r="AJ1855" t="s">
        <v>86</v>
      </c>
      <c r="AK1855">
        <v>1</v>
      </c>
      <c r="AL1855">
        <v>1</v>
      </c>
      <c r="AO1855">
        <v>1</v>
      </c>
      <c r="AP1855" t="s">
        <v>3015</v>
      </c>
      <c r="AQ1855" t="s">
        <v>3044</v>
      </c>
      <c r="AR1855" t="s">
        <v>3045</v>
      </c>
      <c r="AS1855" t="s">
        <v>3046</v>
      </c>
      <c r="AU1855" t="s">
        <v>3046</v>
      </c>
    </row>
    <row r="1856" spans="1:47" x14ac:dyDescent="0.35">
      <c r="A1856">
        <v>337984</v>
      </c>
      <c r="B1856" t="s">
        <v>178</v>
      </c>
      <c r="C1856" t="s">
        <v>179</v>
      </c>
      <c r="D1856" s="2">
        <v>45787</v>
      </c>
      <c r="E1856">
        <v>53850</v>
      </c>
      <c r="F1856">
        <v>261</v>
      </c>
      <c r="G1856" t="s">
        <v>136</v>
      </c>
      <c r="H1856" t="s">
        <v>167</v>
      </c>
      <c r="I1856" t="s">
        <v>45</v>
      </c>
      <c r="K1856" t="s">
        <v>1931</v>
      </c>
      <c r="L1856">
        <v>2613300002795</v>
      </c>
      <c r="M1856">
        <v>20250509</v>
      </c>
      <c r="N1856" t="s">
        <v>3136</v>
      </c>
      <c r="Q1856" t="s">
        <v>170</v>
      </c>
      <c r="R1856">
        <v>1127.58</v>
      </c>
      <c r="S1856">
        <v>0</v>
      </c>
      <c r="T1856">
        <v>1652597</v>
      </c>
      <c r="U1856" t="s">
        <v>1977</v>
      </c>
      <c r="V1856" t="s">
        <v>1978</v>
      </c>
      <c r="W1856" t="s">
        <v>696</v>
      </c>
      <c r="Y1856" t="s">
        <v>1934</v>
      </c>
      <c r="AH1856">
        <v>0</v>
      </c>
      <c r="AI1856">
        <v>202505</v>
      </c>
      <c r="AJ1856" t="s">
        <v>52</v>
      </c>
      <c r="AK1856">
        <v>0</v>
      </c>
      <c r="AL1856">
        <v>1</v>
      </c>
      <c r="AO1856">
        <v>1</v>
      </c>
      <c r="AP1856" t="s">
        <v>3015</v>
      </c>
      <c r="AQ1856" t="s">
        <v>3084</v>
      </c>
      <c r="AR1856" t="s">
        <v>3085</v>
      </c>
      <c r="AS1856" t="s">
        <v>3046</v>
      </c>
      <c r="AU1856" t="s">
        <v>3046</v>
      </c>
    </row>
    <row r="1857" spans="1:47" x14ac:dyDescent="0.35">
      <c r="A1857">
        <v>337983</v>
      </c>
      <c r="B1857" t="s">
        <v>172</v>
      </c>
      <c r="C1857" t="s">
        <v>173</v>
      </c>
      <c r="D1857" s="2">
        <v>45787</v>
      </c>
      <c r="E1857">
        <v>53850</v>
      </c>
      <c r="F1857">
        <v>171</v>
      </c>
      <c r="G1857" t="s">
        <v>198</v>
      </c>
      <c r="H1857" t="s">
        <v>167</v>
      </c>
      <c r="I1857" t="s">
        <v>45</v>
      </c>
      <c r="K1857" t="s">
        <v>1707</v>
      </c>
      <c r="L1857">
        <v>1713302214147</v>
      </c>
      <c r="M1857">
        <v>20250509</v>
      </c>
      <c r="N1857" t="s">
        <v>195</v>
      </c>
      <c r="Q1857" t="s">
        <v>47</v>
      </c>
      <c r="R1857">
        <v>166210.1</v>
      </c>
      <c r="S1857">
        <v>166210.1</v>
      </c>
      <c r="T1857">
        <v>4199319</v>
      </c>
      <c r="U1857">
        <v>6037810725</v>
      </c>
      <c r="V1857" t="s">
        <v>1144</v>
      </c>
      <c r="W1857" t="s">
        <v>49</v>
      </c>
      <c r="X1857" t="s">
        <v>200</v>
      </c>
      <c r="Y1857" t="s">
        <v>51</v>
      </c>
      <c r="Z1857">
        <v>1903</v>
      </c>
      <c r="AH1857">
        <v>0</v>
      </c>
      <c r="AI1857">
        <v>202505</v>
      </c>
      <c r="AJ1857" t="s">
        <v>86</v>
      </c>
      <c r="AK1857">
        <v>1</v>
      </c>
      <c r="AL1857">
        <v>1</v>
      </c>
      <c r="AM1857">
        <v>4199319</v>
      </c>
      <c r="AN1857">
        <v>1</v>
      </c>
      <c r="AO1857">
        <v>0</v>
      </c>
      <c r="AP1857" t="s">
        <v>3015</v>
      </c>
      <c r="AQ1857" t="s">
        <v>3012</v>
      </c>
      <c r="AR1857" t="s">
        <v>3016</v>
      </c>
      <c r="AT1857" t="s">
        <v>3017</v>
      </c>
      <c r="AU1857" t="s">
        <v>3018</v>
      </c>
    </row>
    <row r="1858" spans="1:47" x14ac:dyDescent="0.35">
      <c r="A1858">
        <v>337982</v>
      </c>
      <c r="B1858" t="s">
        <v>178</v>
      </c>
      <c r="C1858" t="s">
        <v>179</v>
      </c>
      <c r="D1858" s="2">
        <v>45787</v>
      </c>
      <c r="E1858">
        <v>53850</v>
      </c>
      <c r="F1858">
        <v>118</v>
      </c>
      <c r="G1858" t="s">
        <v>254</v>
      </c>
      <c r="H1858" t="s">
        <v>167</v>
      </c>
      <c r="I1858" t="s">
        <v>45</v>
      </c>
      <c r="K1858">
        <v>202505097964586</v>
      </c>
      <c r="L1858">
        <v>1183306278672</v>
      </c>
      <c r="M1858">
        <v>20250509</v>
      </c>
      <c r="N1858" t="s">
        <v>633</v>
      </c>
      <c r="P1858" t="s">
        <v>51</v>
      </c>
      <c r="Q1858" t="s">
        <v>170</v>
      </c>
      <c r="R1858">
        <v>2290722</v>
      </c>
      <c r="S1858">
        <v>0</v>
      </c>
      <c r="T1858">
        <v>516605</v>
      </c>
      <c r="U1858" t="s">
        <v>1500</v>
      </c>
      <c r="V1858" t="s">
        <v>1501</v>
      </c>
      <c r="W1858" t="s">
        <v>187</v>
      </c>
      <c r="Y1858" t="s">
        <v>51</v>
      </c>
      <c r="Z1858">
        <v>724</v>
      </c>
      <c r="AH1858">
        <v>0</v>
      </c>
      <c r="AI1858">
        <v>202505</v>
      </c>
      <c r="AJ1858" t="s">
        <v>56</v>
      </c>
      <c r="AK1858">
        <v>0</v>
      </c>
      <c r="AL1858">
        <v>1</v>
      </c>
      <c r="AM1858">
        <v>516605</v>
      </c>
      <c r="AN1858">
        <v>1</v>
      </c>
      <c r="AO1858">
        <v>0</v>
      </c>
      <c r="AP1858" t="s">
        <v>3015</v>
      </c>
      <c r="AQ1858" t="s">
        <v>3044</v>
      </c>
      <c r="AR1858" t="s">
        <v>3045</v>
      </c>
      <c r="AS1858" t="s">
        <v>3046</v>
      </c>
      <c r="AU1858" t="s">
        <v>3046</v>
      </c>
    </row>
    <row r="1859" spans="1:47" x14ac:dyDescent="0.35">
      <c r="A1859">
        <v>337981</v>
      </c>
      <c r="B1859" t="s">
        <v>178</v>
      </c>
      <c r="C1859" t="s">
        <v>179</v>
      </c>
      <c r="D1859" s="2">
        <v>45787</v>
      </c>
      <c r="E1859">
        <v>53850</v>
      </c>
      <c r="F1859">
        <v>264</v>
      </c>
      <c r="G1859" t="s">
        <v>71</v>
      </c>
      <c r="H1859" t="s">
        <v>167</v>
      </c>
      <c r="I1859" t="s">
        <v>45</v>
      </c>
      <c r="K1859">
        <v>202505097964868</v>
      </c>
      <c r="L1859">
        <v>2643300001636</v>
      </c>
      <c r="M1859">
        <v>20250509</v>
      </c>
      <c r="N1859" t="s">
        <v>3136</v>
      </c>
      <c r="Q1859" t="s">
        <v>170</v>
      </c>
      <c r="R1859">
        <v>28420.45</v>
      </c>
      <c r="S1859">
        <v>0</v>
      </c>
      <c r="T1859">
        <v>1697151</v>
      </c>
      <c r="U1859" t="s">
        <v>1979</v>
      </c>
      <c r="V1859" t="s">
        <v>1980</v>
      </c>
      <c r="W1859" t="s">
        <v>187</v>
      </c>
      <c r="Y1859" t="s">
        <v>51</v>
      </c>
      <c r="AH1859">
        <v>0</v>
      </c>
      <c r="AI1859">
        <v>202505</v>
      </c>
      <c r="AJ1859" t="s">
        <v>86</v>
      </c>
      <c r="AK1859">
        <v>1</v>
      </c>
      <c r="AL1859">
        <v>1</v>
      </c>
      <c r="AO1859">
        <v>1</v>
      </c>
      <c r="AP1859" t="s">
        <v>3015</v>
      </c>
      <c r="AQ1859" t="s">
        <v>3044</v>
      </c>
      <c r="AR1859" t="s">
        <v>3045</v>
      </c>
      <c r="AS1859" t="s">
        <v>3046</v>
      </c>
      <c r="AU1859" t="s">
        <v>3046</v>
      </c>
    </row>
    <row r="1860" spans="1:47" x14ac:dyDescent="0.35">
      <c r="A1860">
        <v>337980</v>
      </c>
      <c r="B1860" t="s">
        <v>164</v>
      </c>
      <c r="C1860" t="s">
        <v>165</v>
      </c>
      <c r="D1860" s="2">
        <v>45787</v>
      </c>
      <c r="E1860">
        <v>53850</v>
      </c>
      <c r="F1860">
        <v>277</v>
      </c>
      <c r="G1860" t="s">
        <v>505</v>
      </c>
      <c r="H1860" t="s">
        <v>167</v>
      </c>
      <c r="I1860" t="s">
        <v>45</v>
      </c>
      <c r="K1860" t="s">
        <v>1981</v>
      </c>
      <c r="L1860">
        <v>2773300001188</v>
      </c>
      <c r="M1860">
        <v>20250508</v>
      </c>
      <c r="N1860" t="s">
        <v>168</v>
      </c>
      <c r="P1860" t="s">
        <v>169</v>
      </c>
      <c r="Q1860" t="s">
        <v>170</v>
      </c>
      <c r="R1860">
        <v>3000</v>
      </c>
      <c r="S1860">
        <v>0</v>
      </c>
      <c r="T1860">
        <v>1679538</v>
      </c>
      <c r="U1860" t="s">
        <v>1982</v>
      </c>
      <c r="V1860" t="s">
        <v>1983</v>
      </c>
      <c r="W1860" t="s">
        <v>187</v>
      </c>
      <c r="Y1860" t="s">
        <v>51</v>
      </c>
      <c r="Z1860">
        <v>1791</v>
      </c>
      <c r="AH1860">
        <v>0</v>
      </c>
      <c r="AI1860">
        <v>202505</v>
      </c>
      <c r="AJ1860" t="s">
        <v>52</v>
      </c>
      <c r="AK1860">
        <v>0</v>
      </c>
      <c r="AL1860">
        <v>1</v>
      </c>
      <c r="AO1860">
        <v>0</v>
      </c>
      <c r="AP1860" t="s">
        <v>3015</v>
      </c>
      <c r="AQ1860" t="s">
        <v>3044</v>
      </c>
      <c r="AR1860" t="s">
        <v>3045</v>
      </c>
      <c r="AS1860" t="s">
        <v>3046</v>
      </c>
      <c r="AU1860" t="s">
        <v>3046</v>
      </c>
    </row>
    <row r="1861" spans="1:47" x14ac:dyDescent="0.35">
      <c r="A1861">
        <v>337979</v>
      </c>
      <c r="B1861" t="s">
        <v>178</v>
      </c>
      <c r="C1861" t="s">
        <v>179</v>
      </c>
      <c r="D1861" s="2">
        <v>45786</v>
      </c>
      <c r="E1861">
        <v>53850</v>
      </c>
      <c r="F1861">
        <v>103</v>
      </c>
      <c r="G1861" t="s">
        <v>80</v>
      </c>
      <c r="H1861" t="s">
        <v>167</v>
      </c>
      <c r="I1861" t="s">
        <v>45</v>
      </c>
      <c r="K1861">
        <v>202505097960978</v>
      </c>
      <c r="L1861">
        <v>1033306970929</v>
      </c>
      <c r="M1861">
        <v>20250509</v>
      </c>
      <c r="N1861" t="s">
        <v>1587</v>
      </c>
      <c r="Q1861" t="s">
        <v>47</v>
      </c>
      <c r="R1861">
        <v>378453.25</v>
      </c>
      <c r="S1861">
        <v>0</v>
      </c>
      <c r="T1861">
        <v>507387</v>
      </c>
      <c r="U1861" t="s">
        <v>1449</v>
      </c>
      <c r="V1861" t="s">
        <v>1450</v>
      </c>
      <c r="W1861" t="s">
        <v>187</v>
      </c>
      <c r="Y1861" t="s">
        <v>51</v>
      </c>
      <c r="Z1861">
        <v>1316</v>
      </c>
      <c r="AH1861">
        <v>0</v>
      </c>
      <c r="AI1861">
        <v>202505</v>
      </c>
      <c r="AJ1861" t="s">
        <v>86</v>
      </c>
      <c r="AK1861">
        <v>1</v>
      </c>
      <c r="AL1861">
        <v>1</v>
      </c>
      <c r="AO1861">
        <v>0</v>
      </c>
      <c r="AP1861" t="s">
        <v>3015</v>
      </c>
      <c r="AQ1861" t="s">
        <v>3044</v>
      </c>
      <c r="AR1861" t="s">
        <v>3045</v>
      </c>
      <c r="AS1861" t="s">
        <v>3046</v>
      </c>
      <c r="AU1861" t="s">
        <v>3046</v>
      </c>
    </row>
    <row r="1862" spans="1:47" x14ac:dyDescent="0.35">
      <c r="A1862">
        <v>337978</v>
      </c>
      <c r="B1862" t="s">
        <v>178</v>
      </c>
      <c r="C1862" t="s">
        <v>179</v>
      </c>
      <c r="D1862" s="2">
        <v>45786</v>
      </c>
      <c r="E1862">
        <v>53850</v>
      </c>
      <c r="F1862">
        <v>103</v>
      </c>
      <c r="G1862" t="s">
        <v>80</v>
      </c>
      <c r="H1862" t="s">
        <v>167</v>
      </c>
      <c r="I1862" t="s">
        <v>45</v>
      </c>
      <c r="K1862">
        <v>202505097960978</v>
      </c>
      <c r="L1862">
        <v>1033306970929</v>
      </c>
      <c r="M1862">
        <v>20250509</v>
      </c>
      <c r="N1862" t="s">
        <v>1587</v>
      </c>
      <c r="Q1862" t="s">
        <v>47</v>
      </c>
      <c r="R1862">
        <v>378453.25</v>
      </c>
      <c r="S1862">
        <v>0</v>
      </c>
      <c r="T1862">
        <v>44313</v>
      </c>
      <c r="U1862" t="s">
        <v>1451</v>
      </c>
      <c r="V1862" t="s">
        <v>1452</v>
      </c>
      <c r="W1862" t="s">
        <v>187</v>
      </c>
      <c r="Y1862" t="s">
        <v>51</v>
      </c>
      <c r="AH1862">
        <v>0</v>
      </c>
      <c r="AI1862">
        <v>202505</v>
      </c>
      <c r="AJ1862" t="s">
        <v>86</v>
      </c>
      <c r="AK1862">
        <v>1</v>
      </c>
      <c r="AL1862">
        <v>1</v>
      </c>
      <c r="AO1862">
        <v>0</v>
      </c>
      <c r="AP1862" t="s">
        <v>3015</v>
      </c>
      <c r="AQ1862" t="s">
        <v>3044</v>
      </c>
      <c r="AR1862" t="s">
        <v>3045</v>
      </c>
      <c r="AS1862" t="s">
        <v>3046</v>
      </c>
      <c r="AU1862" t="s">
        <v>3046</v>
      </c>
    </row>
    <row r="1863" spans="1:47" x14ac:dyDescent="0.35">
      <c r="A1863">
        <v>337977</v>
      </c>
      <c r="B1863" t="s">
        <v>178</v>
      </c>
      <c r="C1863" t="s">
        <v>179</v>
      </c>
      <c r="D1863" s="2">
        <v>45786</v>
      </c>
      <c r="E1863">
        <v>53850</v>
      </c>
      <c r="F1863">
        <v>103</v>
      </c>
      <c r="G1863" t="s">
        <v>80</v>
      </c>
      <c r="H1863" t="s">
        <v>167</v>
      </c>
      <c r="I1863" t="s">
        <v>45</v>
      </c>
      <c r="K1863">
        <v>202505097960978</v>
      </c>
      <c r="L1863">
        <v>1033306970929</v>
      </c>
      <c r="M1863">
        <v>20250509</v>
      </c>
      <c r="N1863" t="s">
        <v>1587</v>
      </c>
      <c r="Q1863" t="s">
        <v>47</v>
      </c>
      <c r="R1863">
        <v>378453.25</v>
      </c>
      <c r="S1863">
        <v>0</v>
      </c>
      <c r="T1863">
        <v>8893</v>
      </c>
      <c r="U1863" t="s">
        <v>1455</v>
      </c>
      <c r="V1863" t="s">
        <v>1456</v>
      </c>
      <c r="W1863" t="s">
        <v>187</v>
      </c>
      <c r="Y1863" t="s">
        <v>51</v>
      </c>
      <c r="AH1863">
        <v>0</v>
      </c>
      <c r="AI1863">
        <v>202505</v>
      </c>
      <c r="AJ1863" t="s">
        <v>86</v>
      </c>
      <c r="AK1863">
        <v>1</v>
      </c>
      <c r="AL1863">
        <v>1</v>
      </c>
      <c r="AO1863">
        <v>0</v>
      </c>
      <c r="AP1863" t="s">
        <v>3015</v>
      </c>
      <c r="AQ1863" t="s">
        <v>3044</v>
      </c>
      <c r="AR1863" t="s">
        <v>3045</v>
      </c>
      <c r="AS1863" t="s">
        <v>3046</v>
      </c>
      <c r="AU1863" t="s">
        <v>3046</v>
      </c>
    </row>
    <row r="1864" spans="1:47" x14ac:dyDescent="0.35">
      <c r="A1864">
        <v>337976</v>
      </c>
      <c r="B1864" t="s">
        <v>178</v>
      </c>
      <c r="C1864" t="s">
        <v>179</v>
      </c>
      <c r="D1864" s="2">
        <v>45786</v>
      </c>
      <c r="E1864">
        <v>53850</v>
      </c>
      <c r="F1864">
        <v>287</v>
      </c>
      <c r="G1864" t="s">
        <v>707</v>
      </c>
      <c r="H1864" t="s">
        <v>167</v>
      </c>
      <c r="I1864" t="s">
        <v>45</v>
      </c>
      <c r="K1864" t="s">
        <v>1984</v>
      </c>
      <c r="L1864">
        <v>2873300000387</v>
      </c>
      <c r="M1864">
        <v>20250508</v>
      </c>
      <c r="N1864" t="s">
        <v>3136</v>
      </c>
      <c r="Q1864" t="s">
        <v>170</v>
      </c>
      <c r="R1864">
        <v>2569.71</v>
      </c>
      <c r="S1864">
        <v>0</v>
      </c>
      <c r="T1864">
        <v>1659547</v>
      </c>
      <c r="U1864" t="s">
        <v>1985</v>
      </c>
      <c r="V1864" t="s">
        <v>1986</v>
      </c>
      <c r="W1864" t="s">
        <v>187</v>
      </c>
      <c r="Y1864" t="s">
        <v>51</v>
      </c>
      <c r="AH1864">
        <v>0</v>
      </c>
      <c r="AI1864">
        <v>202505</v>
      </c>
      <c r="AJ1864" t="s">
        <v>52</v>
      </c>
      <c r="AK1864">
        <v>0</v>
      </c>
      <c r="AL1864">
        <v>1</v>
      </c>
      <c r="AO1864">
        <v>1</v>
      </c>
      <c r="AP1864" t="s">
        <v>3015</v>
      </c>
      <c r="AQ1864" t="s">
        <v>3044</v>
      </c>
      <c r="AR1864" t="s">
        <v>3045</v>
      </c>
      <c r="AS1864" t="s">
        <v>3046</v>
      </c>
      <c r="AU1864" t="s">
        <v>3046</v>
      </c>
    </row>
    <row r="1865" spans="1:47" x14ac:dyDescent="0.35">
      <c r="A1865">
        <v>337975</v>
      </c>
      <c r="B1865" t="s">
        <v>178</v>
      </c>
      <c r="C1865" t="s">
        <v>179</v>
      </c>
      <c r="D1865" s="2">
        <v>45786</v>
      </c>
      <c r="E1865">
        <v>53850</v>
      </c>
      <c r="F1865">
        <v>284</v>
      </c>
      <c r="G1865" t="s">
        <v>184</v>
      </c>
      <c r="H1865" t="s">
        <v>167</v>
      </c>
      <c r="I1865" t="s">
        <v>45</v>
      </c>
      <c r="K1865" t="s">
        <v>1987</v>
      </c>
      <c r="L1865">
        <v>2843300001336</v>
      </c>
      <c r="M1865">
        <v>20250508</v>
      </c>
      <c r="N1865" t="s">
        <v>3136</v>
      </c>
      <c r="Q1865" t="s">
        <v>170</v>
      </c>
      <c r="R1865">
        <v>2000.85</v>
      </c>
      <c r="S1865">
        <v>0</v>
      </c>
      <c r="T1865">
        <v>1684901</v>
      </c>
      <c r="U1865">
        <v>2403010693</v>
      </c>
      <c r="V1865" t="s">
        <v>557</v>
      </c>
      <c r="W1865" t="s">
        <v>49</v>
      </c>
      <c r="X1865" t="s">
        <v>299</v>
      </c>
      <c r="Y1865" t="s">
        <v>51</v>
      </c>
      <c r="Z1865">
        <v>1767</v>
      </c>
      <c r="AH1865">
        <v>0</v>
      </c>
      <c r="AI1865">
        <v>202505</v>
      </c>
      <c r="AJ1865" t="s">
        <v>52</v>
      </c>
      <c r="AK1865">
        <v>0</v>
      </c>
      <c r="AL1865">
        <v>1</v>
      </c>
      <c r="AO1865">
        <v>1</v>
      </c>
      <c r="AP1865" t="s">
        <v>3015</v>
      </c>
      <c r="AQ1865" t="s">
        <v>3012</v>
      </c>
      <c r="AR1865" t="s">
        <v>3016</v>
      </c>
      <c r="AT1865" t="s">
        <v>3017</v>
      </c>
      <c r="AU1865" t="s">
        <v>3018</v>
      </c>
    </row>
    <row r="1866" spans="1:47" x14ac:dyDescent="0.35">
      <c r="A1866">
        <v>337974</v>
      </c>
      <c r="B1866" t="s">
        <v>178</v>
      </c>
      <c r="C1866" t="s">
        <v>179</v>
      </c>
      <c r="D1866" s="2">
        <v>45786</v>
      </c>
      <c r="E1866">
        <v>53850</v>
      </c>
      <c r="F1866">
        <v>287</v>
      </c>
      <c r="G1866" t="s">
        <v>707</v>
      </c>
      <c r="H1866" t="s">
        <v>167</v>
      </c>
      <c r="I1866" t="s">
        <v>45</v>
      </c>
      <c r="K1866" t="s">
        <v>1988</v>
      </c>
      <c r="L1866">
        <v>2873300000860</v>
      </c>
      <c r="M1866">
        <v>20250508</v>
      </c>
      <c r="N1866" t="s">
        <v>3136</v>
      </c>
      <c r="Q1866" t="s">
        <v>170</v>
      </c>
      <c r="R1866">
        <v>3797.51</v>
      </c>
      <c r="S1866">
        <v>0</v>
      </c>
      <c r="T1866">
        <v>1678949</v>
      </c>
      <c r="U1866" t="s">
        <v>1989</v>
      </c>
      <c r="V1866" t="s">
        <v>1990</v>
      </c>
      <c r="W1866" t="s">
        <v>187</v>
      </c>
      <c r="Y1866" t="s">
        <v>51</v>
      </c>
      <c r="Z1866">
        <v>1804</v>
      </c>
      <c r="AH1866">
        <v>0</v>
      </c>
      <c r="AI1866">
        <v>202505</v>
      </c>
      <c r="AJ1866" t="s">
        <v>52</v>
      </c>
      <c r="AK1866">
        <v>0</v>
      </c>
      <c r="AL1866">
        <v>1</v>
      </c>
      <c r="AO1866">
        <v>1</v>
      </c>
      <c r="AP1866" t="s">
        <v>3015</v>
      </c>
      <c r="AQ1866" t="s">
        <v>3044</v>
      </c>
      <c r="AR1866" t="s">
        <v>3045</v>
      </c>
      <c r="AS1866" t="s">
        <v>3046</v>
      </c>
      <c r="AU1866" t="s">
        <v>3046</v>
      </c>
    </row>
    <row r="1867" spans="1:47" x14ac:dyDescent="0.35">
      <c r="A1867">
        <v>337973</v>
      </c>
      <c r="B1867" t="s">
        <v>193</v>
      </c>
      <c r="C1867" t="s">
        <v>194</v>
      </c>
      <c r="D1867" s="2">
        <v>45786</v>
      </c>
      <c r="E1867">
        <v>53850</v>
      </c>
      <c r="F1867">
        <v>267</v>
      </c>
      <c r="G1867" t="s">
        <v>349</v>
      </c>
      <c r="H1867" t="s">
        <v>167</v>
      </c>
      <c r="I1867" t="s">
        <v>45</v>
      </c>
      <c r="K1867">
        <v>202505087961830</v>
      </c>
      <c r="L1867">
        <v>2673300002283</v>
      </c>
      <c r="M1867">
        <v>20250508</v>
      </c>
      <c r="N1867" t="s">
        <v>266</v>
      </c>
      <c r="Q1867" t="s">
        <v>47</v>
      </c>
      <c r="R1867">
        <v>42330</v>
      </c>
      <c r="S1867">
        <v>42330</v>
      </c>
      <c r="T1867">
        <v>1653892</v>
      </c>
      <c r="U1867">
        <v>3605780794</v>
      </c>
      <c r="V1867" t="s">
        <v>1227</v>
      </c>
      <c r="W1867" t="s">
        <v>49</v>
      </c>
      <c r="X1867" t="s">
        <v>131</v>
      </c>
      <c r="Y1867" t="s">
        <v>51</v>
      </c>
      <c r="Z1867">
        <v>1891</v>
      </c>
      <c r="AH1867">
        <v>0</v>
      </c>
      <c r="AI1867">
        <v>202505</v>
      </c>
      <c r="AJ1867" t="s">
        <v>56</v>
      </c>
      <c r="AK1867">
        <v>0</v>
      </c>
      <c r="AL1867">
        <v>1</v>
      </c>
      <c r="AO1867">
        <v>0</v>
      </c>
      <c r="AP1867" t="s">
        <v>3033</v>
      </c>
      <c r="AQ1867" t="s">
        <v>3012</v>
      </c>
      <c r="AR1867" t="s">
        <v>3034</v>
      </c>
      <c r="AS1867" t="s">
        <v>3014</v>
      </c>
      <c r="AU1867" t="s">
        <v>3014</v>
      </c>
    </row>
    <row r="1868" spans="1:47" x14ac:dyDescent="0.35">
      <c r="A1868">
        <v>337972</v>
      </c>
      <c r="B1868" t="s">
        <v>214</v>
      </c>
      <c r="C1868" t="s">
        <v>215</v>
      </c>
      <c r="D1868" s="2">
        <v>45786</v>
      </c>
      <c r="E1868">
        <v>53850</v>
      </c>
      <c r="F1868">
        <v>171</v>
      </c>
      <c r="G1868" t="s">
        <v>198</v>
      </c>
      <c r="H1868" t="s">
        <v>167</v>
      </c>
      <c r="I1868" t="s">
        <v>45</v>
      </c>
      <c r="K1868">
        <v>202505087960869</v>
      </c>
      <c r="L1868">
        <v>1713302217244</v>
      </c>
      <c r="M1868">
        <v>20250508</v>
      </c>
      <c r="N1868" t="s">
        <v>168</v>
      </c>
      <c r="P1868" t="s">
        <v>1991</v>
      </c>
      <c r="Q1868" t="s">
        <v>170</v>
      </c>
      <c r="R1868">
        <v>19880</v>
      </c>
      <c r="S1868">
        <v>0</v>
      </c>
      <c r="T1868">
        <v>4075827</v>
      </c>
      <c r="U1868" t="s">
        <v>1992</v>
      </c>
      <c r="V1868" t="s">
        <v>1993</v>
      </c>
      <c r="W1868" t="s">
        <v>187</v>
      </c>
      <c r="Y1868" t="s">
        <v>51</v>
      </c>
      <c r="Z1868">
        <v>815</v>
      </c>
      <c r="AH1868">
        <v>0</v>
      </c>
      <c r="AI1868">
        <v>202505</v>
      </c>
      <c r="AJ1868" t="s">
        <v>86</v>
      </c>
      <c r="AK1868">
        <v>1</v>
      </c>
      <c r="AL1868">
        <v>1</v>
      </c>
      <c r="AO1868">
        <v>0</v>
      </c>
      <c r="AP1868" t="s">
        <v>3015</v>
      </c>
      <c r="AQ1868" t="s">
        <v>3044</v>
      </c>
      <c r="AR1868" t="s">
        <v>3045</v>
      </c>
      <c r="AS1868" t="s">
        <v>3046</v>
      </c>
      <c r="AU1868" t="s">
        <v>3046</v>
      </c>
    </row>
    <row r="1869" spans="1:47" x14ac:dyDescent="0.35">
      <c r="A1869">
        <v>337971</v>
      </c>
      <c r="B1869" t="s">
        <v>178</v>
      </c>
      <c r="C1869" t="s">
        <v>179</v>
      </c>
      <c r="D1869" s="2">
        <v>45786</v>
      </c>
      <c r="E1869">
        <v>53850</v>
      </c>
      <c r="F1869">
        <v>282</v>
      </c>
      <c r="G1869" t="s">
        <v>433</v>
      </c>
      <c r="H1869" t="s">
        <v>167</v>
      </c>
      <c r="I1869" t="s">
        <v>45</v>
      </c>
      <c r="K1869">
        <v>202505087961431</v>
      </c>
      <c r="L1869">
        <v>2823300000688</v>
      </c>
      <c r="M1869">
        <v>20250508</v>
      </c>
      <c r="N1869" t="s">
        <v>258</v>
      </c>
      <c r="Q1869" t="s">
        <v>170</v>
      </c>
      <c r="R1869">
        <v>100000</v>
      </c>
      <c r="S1869">
        <v>0</v>
      </c>
      <c r="T1869">
        <v>1624874</v>
      </c>
      <c r="U1869" t="s">
        <v>1994</v>
      </c>
      <c r="V1869" t="s">
        <v>1995</v>
      </c>
      <c r="W1869" t="s">
        <v>69</v>
      </c>
      <c r="X1869" t="s">
        <v>131</v>
      </c>
      <c r="Y1869" t="s">
        <v>51</v>
      </c>
      <c r="Z1869">
        <v>1829</v>
      </c>
      <c r="AH1869">
        <v>0</v>
      </c>
      <c r="AI1869">
        <v>202505</v>
      </c>
      <c r="AJ1869" t="s">
        <v>52</v>
      </c>
      <c r="AK1869">
        <v>0</v>
      </c>
      <c r="AL1869">
        <v>1</v>
      </c>
      <c r="AO1869">
        <v>0</v>
      </c>
      <c r="AP1869" t="s">
        <v>3033</v>
      </c>
      <c r="AQ1869" t="s">
        <v>3021</v>
      </c>
      <c r="AR1869" t="s">
        <v>3054</v>
      </c>
      <c r="AS1869" t="s">
        <v>3055</v>
      </c>
      <c r="AU1869" t="s">
        <v>3055</v>
      </c>
    </row>
    <row r="1870" spans="1:47" x14ac:dyDescent="0.35">
      <c r="A1870">
        <v>337970</v>
      </c>
      <c r="B1870" t="s">
        <v>178</v>
      </c>
      <c r="C1870" t="s">
        <v>179</v>
      </c>
      <c r="D1870" s="2">
        <v>45786</v>
      </c>
      <c r="E1870">
        <v>53850</v>
      </c>
      <c r="F1870">
        <v>181</v>
      </c>
      <c r="G1870" t="s">
        <v>180</v>
      </c>
      <c r="H1870" t="s">
        <v>167</v>
      </c>
      <c r="I1870" t="s">
        <v>45</v>
      </c>
      <c r="K1870" t="s">
        <v>1996</v>
      </c>
      <c r="L1870">
        <v>1813301028722</v>
      </c>
      <c r="M1870">
        <v>20250508</v>
      </c>
      <c r="N1870" t="s">
        <v>3136</v>
      </c>
      <c r="Q1870" t="s">
        <v>170</v>
      </c>
      <c r="R1870">
        <v>3844.78</v>
      </c>
      <c r="S1870">
        <v>0</v>
      </c>
      <c r="T1870">
        <v>4542975</v>
      </c>
      <c r="U1870" t="s">
        <v>1997</v>
      </c>
      <c r="V1870" t="s">
        <v>1998</v>
      </c>
      <c r="W1870" t="s">
        <v>187</v>
      </c>
      <c r="Y1870" t="s">
        <v>51</v>
      </c>
      <c r="Z1870">
        <v>859</v>
      </c>
      <c r="AH1870">
        <v>0</v>
      </c>
      <c r="AI1870">
        <v>202505</v>
      </c>
      <c r="AJ1870" t="s">
        <v>86</v>
      </c>
      <c r="AK1870">
        <v>1</v>
      </c>
      <c r="AL1870">
        <v>1</v>
      </c>
      <c r="AO1870">
        <v>1</v>
      </c>
      <c r="AP1870" t="s">
        <v>3015</v>
      </c>
      <c r="AQ1870" t="s">
        <v>3044</v>
      </c>
      <c r="AR1870" t="s">
        <v>3045</v>
      </c>
      <c r="AS1870" t="s">
        <v>3046</v>
      </c>
      <c r="AU1870" t="s">
        <v>3046</v>
      </c>
    </row>
    <row r="1871" spans="1:47" x14ac:dyDescent="0.35">
      <c r="A1871">
        <v>337969</v>
      </c>
      <c r="B1871" t="s">
        <v>178</v>
      </c>
      <c r="C1871" t="s">
        <v>179</v>
      </c>
      <c r="D1871" s="2">
        <v>45786</v>
      </c>
      <c r="E1871">
        <v>53850</v>
      </c>
      <c r="F1871">
        <v>268</v>
      </c>
      <c r="G1871" t="s">
        <v>83</v>
      </c>
      <c r="H1871" t="s">
        <v>167</v>
      </c>
      <c r="I1871" t="s">
        <v>45</v>
      </c>
      <c r="K1871" t="s">
        <v>1999</v>
      </c>
      <c r="L1871">
        <v>2683300005043</v>
      </c>
      <c r="M1871">
        <v>20250508</v>
      </c>
      <c r="N1871" t="s">
        <v>3136</v>
      </c>
      <c r="Q1871" t="s">
        <v>170</v>
      </c>
      <c r="R1871">
        <v>2115.94</v>
      </c>
      <c r="S1871">
        <v>0</v>
      </c>
      <c r="T1871">
        <v>1687990</v>
      </c>
      <c r="U1871">
        <v>3703970792</v>
      </c>
      <c r="V1871" t="s">
        <v>1114</v>
      </c>
      <c r="W1871" t="s">
        <v>49</v>
      </c>
      <c r="X1871" t="s">
        <v>200</v>
      </c>
      <c r="Y1871" t="s">
        <v>51</v>
      </c>
      <c r="Z1871">
        <v>1891</v>
      </c>
      <c r="AH1871">
        <v>0</v>
      </c>
      <c r="AI1871">
        <v>202505</v>
      </c>
      <c r="AJ1871" t="s">
        <v>86</v>
      </c>
      <c r="AK1871">
        <v>1</v>
      </c>
      <c r="AL1871">
        <v>1</v>
      </c>
      <c r="AM1871">
        <v>1687990</v>
      </c>
      <c r="AN1871">
        <v>1</v>
      </c>
      <c r="AO1871">
        <v>1</v>
      </c>
      <c r="AP1871" t="s">
        <v>3015</v>
      </c>
      <c r="AQ1871" t="s">
        <v>3012</v>
      </c>
      <c r="AR1871" t="s">
        <v>3016</v>
      </c>
      <c r="AT1871" t="s">
        <v>3017</v>
      </c>
      <c r="AU1871" t="s">
        <v>3018</v>
      </c>
    </row>
    <row r="1872" spans="1:47" x14ac:dyDescent="0.35">
      <c r="A1872">
        <v>337968</v>
      </c>
      <c r="B1872" t="s">
        <v>172</v>
      </c>
      <c r="C1872" t="s">
        <v>173</v>
      </c>
      <c r="D1872" s="2">
        <v>45786</v>
      </c>
      <c r="E1872">
        <v>53850</v>
      </c>
      <c r="F1872">
        <v>111</v>
      </c>
      <c r="G1872" t="s">
        <v>458</v>
      </c>
      <c r="H1872" t="s">
        <v>167</v>
      </c>
      <c r="I1872" t="s">
        <v>45</v>
      </c>
      <c r="K1872">
        <v>202505087961554</v>
      </c>
      <c r="L1872">
        <v>1113302814205</v>
      </c>
      <c r="M1872">
        <v>20250508</v>
      </c>
      <c r="N1872" t="s">
        <v>231</v>
      </c>
      <c r="Q1872" t="s">
        <v>47</v>
      </c>
      <c r="R1872">
        <v>97000</v>
      </c>
      <c r="S1872">
        <v>0</v>
      </c>
      <c r="T1872">
        <v>4449666</v>
      </c>
      <c r="U1872" t="s">
        <v>2000</v>
      </c>
      <c r="V1872" t="s">
        <v>2001</v>
      </c>
      <c r="W1872" t="s">
        <v>69</v>
      </c>
      <c r="X1872" t="s">
        <v>1262</v>
      </c>
      <c r="Y1872" t="s">
        <v>51</v>
      </c>
      <c r="Z1872">
        <v>593</v>
      </c>
      <c r="AH1872">
        <v>0</v>
      </c>
      <c r="AI1872">
        <v>202505</v>
      </c>
      <c r="AJ1872" t="s">
        <v>86</v>
      </c>
      <c r="AK1872">
        <v>1</v>
      </c>
      <c r="AL1872">
        <v>1</v>
      </c>
      <c r="AO1872">
        <v>0</v>
      </c>
      <c r="AP1872" t="s">
        <v>3015</v>
      </c>
      <c r="AQ1872" t="s">
        <v>3021</v>
      </c>
      <c r="AR1872" t="s">
        <v>3022</v>
      </c>
      <c r="AT1872" t="s">
        <v>3017</v>
      </c>
      <c r="AU1872" t="s">
        <v>3014</v>
      </c>
    </row>
    <row r="1873" spans="1:47" x14ac:dyDescent="0.35">
      <c r="A1873">
        <v>337967</v>
      </c>
      <c r="B1873" t="s">
        <v>172</v>
      </c>
      <c r="C1873" t="s">
        <v>173</v>
      </c>
      <c r="D1873" s="2">
        <v>45786</v>
      </c>
      <c r="E1873">
        <v>53850</v>
      </c>
      <c r="F1873">
        <v>181</v>
      </c>
      <c r="G1873" t="s">
        <v>180</v>
      </c>
      <c r="H1873" t="s">
        <v>167</v>
      </c>
      <c r="I1873" t="s">
        <v>45</v>
      </c>
      <c r="K1873">
        <v>202505087961753</v>
      </c>
      <c r="L1873">
        <v>1813301035227</v>
      </c>
      <c r="M1873">
        <v>20250508</v>
      </c>
      <c r="N1873" t="s">
        <v>231</v>
      </c>
      <c r="Q1873" t="s">
        <v>47</v>
      </c>
      <c r="R1873">
        <v>110500</v>
      </c>
      <c r="S1873">
        <v>0</v>
      </c>
      <c r="T1873">
        <v>4591614</v>
      </c>
      <c r="U1873" t="s">
        <v>2002</v>
      </c>
      <c r="V1873" t="s">
        <v>2003</v>
      </c>
      <c r="W1873" t="s">
        <v>187</v>
      </c>
      <c r="Y1873" t="s">
        <v>51</v>
      </c>
      <c r="Z1873">
        <v>859</v>
      </c>
      <c r="AH1873">
        <v>0</v>
      </c>
      <c r="AI1873">
        <v>202505</v>
      </c>
      <c r="AJ1873" t="s">
        <v>86</v>
      </c>
      <c r="AK1873">
        <v>1</v>
      </c>
      <c r="AL1873">
        <v>1</v>
      </c>
      <c r="AO1873">
        <v>0</v>
      </c>
      <c r="AP1873" t="s">
        <v>3015</v>
      </c>
      <c r="AQ1873" t="s">
        <v>3044</v>
      </c>
      <c r="AR1873" t="s">
        <v>3045</v>
      </c>
      <c r="AS1873" t="s">
        <v>3046</v>
      </c>
      <c r="AU1873" t="s">
        <v>3046</v>
      </c>
    </row>
    <row r="1874" spans="1:47" x14ac:dyDescent="0.35">
      <c r="A1874">
        <v>337966</v>
      </c>
      <c r="B1874" t="s">
        <v>172</v>
      </c>
      <c r="C1874" t="s">
        <v>173</v>
      </c>
      <c r="D1874" s="2">
        <v>45786</v>
      </c>
      <c r="E1874">
        <v>53850</v>
      </c>
      <c r="F1874">
        <v>105</v>
      </c>
      <c r="G1874" t="s">
        <v>60</v>
      </c>
      <c r="H1874" t="s">
        <v>167</v>
      </c>
      <c r="I1874" t="s">
        <v>45</v>
      </c>
      <c r="K1874">
        <v>202505087961521</v>
      </c>
      <c r="L1874">
        <v>1053306291585</v>
      </c>
      <c r="M1874">
        <v>20250508</v>
      </c>
      <c r="N1874" t="s">
        <v>325</v>
      </c>
      <c r="Q1874" t="s">
        <v>47</v>
      </c>
      <c r="R1874">
        <v>145000</v>
      </c>
      <c r="S1874">
        <v>0</v>
      </c>
      <c r="T1874">
        <v>107495</v>
      </c>
      <c r="U1874" t="s">
        <v>2004</v>
      </c>
      <c r="V1874" t="s">
        <v>2005</v>
      </c>
      <c r="W1874" t="s">
        <v>187</v>
      </c>
      <c r="Y1874" t="s">
        <v>51</v>
      </c>
      <c r="Z1874">
        <v>1471</v>
      </c>
      <c r="AH1874">
        <v>0</v>
      </c>
      <c r="AI1874">
        <v>202505</v>
      </c>
      <c r="AJ1874" t="s">
        <v>56</v>
      </c>
      <c r="AK1874">
        <v>0</v>
      </c>
      <c r="AL1874">
        <v>1</v>
      </c>
      <c r="AO1874">
        <v>0</v>
      </c>
      <c r="AP1874" t="s">
        <v>3015</v>
      </c>
      <c r="AQ1874" t="s">
        <v>3044</v>
      </c>
      <c r="AR1874" t="s">
        <v>3045</v>
      </c>
      <c r="AS1874" t="s">
        <v>3046</v>
      </c>
      <c r="AU1874" t="s">
        <v>3046</v>
      </c>
    </row>
    <row r="1875" spans="1:47" x14ac:dyDescent="0.35">
      <c r="A1875">
        <v>337965</v>
      </c>
      <c r="B1875" t="s">
        <v>178</v>
      </c>
      <c r="C1875" t="s">
        <v>179</v>
      </c>
      <c r="D1875" s="2">
        <v>45786</v>
      </c>
      <c r="E1875">
        <v>53850</v>
      </c>
      <c r="F1875">
        <v>102</v>
      </c>
      <c r="G1875" t="s">
        <v>151</v>
      </c>
      <c r="H1875" t="s">
        <v>167</v>
      </c>
      <c r="I1875" t="s">
        <v>45</v>
      </c>
      <c r="K1875">
        <v>202505087959177</v>
      </c>
      <c r="L1875">
        <v>1023308719178</v>
      </c>
      <c r="M1875">
        <v>20250508</v>
      </c>
      <c r="N1875" t="s">
        <v>236</v>
      </c>
      <c r="P1875" t="s">
        <v>51</v>
      </c>
      <c r="Q1875" t="s">
        <v>170</v>
      </c>
      <c r="R1875">
        <v>1000000</v>
      </c>
      <c r="S1875">
        <v>0</v>
      </c>
      <c r="T1875">
        <v>474476</v>
      </c>
      <c r="U1875">
        <v>3470340724</v>
      </c>
      <c r="V1875" t="s">
        <v>1895</v>
      </c>
      <c r="W1875" t="s">
        <v>49</v>
      </c>
      <c r="X1875" t="s">
        <v>65</v>
      </c>
      <c r="Y1875" t="s">
        <v>51</v>
      </c>
      <c r="Z1875">
        <v>1203</v>
      </c>
      <c r="AH1875">
        <v>0</v>
      </c>
      <c r="AI1875">
        <v>202505</v>
      </c>
      <c r="AJ1875" t="s">
        <v>86</v>
      </c>
      <c r="AK1875">
        <v>1</v>
      </c>
      <c r="AL1875">
        <v>1</v>
      </c>
      <c r="AO1875">
        <v>0</v>
      </c>
      <c r="AP1875" t="s">
        <v>3019</v>
      </c>
      <c r="AQ1875" t="s">
        <v>3012</v>
      </c>
      <c r="AR1875" t="s">
        <v>3020</v>
      </c>
      <c r="AS1875" t="s">
        <v>3014</v>
      </c>
      <c r="AU1875" t="s">
        <v>3014</v>
      </c>
    </row>
    <row r="1876" spans="1:47" x14ac:dyDescent="0.35">
      <c r="A1876">
        <v>337964</v>
      </c>
      <c r="B1876" t="s">
        <v>178</v>
      </c>
      <c r="C1876" t="s">
        <v>179</v>
      </c>
      <c r="D1876" s="2">
        <v>45786</v>
      </c>
      <c r="E1876">
        <v>53850</v>
      </c>
      <c r="F1876">
        <v>116</v>
      </c>
      <c r="G1876" t="s">
        <v>126</v>
      </c>
      <c r="H1876" t="s">
        <v>167</v>
      </c>
      <c r="I1876" t="s">
        <v>45</v>
      </c>
      <c r="K1876">
        <v>202505087961576</v>
      </c>
      <c r="L1876">
        <v>1163304921400</v>
      </c>
      <c r="M1876">
        <v>20250508</v>
      </c>
      <c r="N1876" t="s">
        <v>3136</v>
      </c>
      <c r="Q1876" t="s">
        <v>170</v>
      </c>
      <c r="R1876">
        <v>41708.03</v>
      </c>
      <c r="S1876">
        <v>0</v>
      </c>
      <c r="T1876">
        <v>492140</v>
      </c>
      <c r="U1876" t="s">
        <v>2006</v>
      </c>
      <c r="V1876" t="s">
        <v>2007</v>
      </c>
      <c r="W1876" t="s">
        <v>187</v>
      </c>
      <c r="Y1876" t="s">
        <v>51</v>
      </c>
      <c r="Z1876">
        <v>808</v>
      </c>
      <c r="AH1876">
        <v>0</v>
      </c>
      <c r="AI1876">
        <v>202505</v>
      </c>
      <c r="AJ1876" t="s">
        <v>86</v>
      </c>
      <c r="AK1876">
        <v>1</v>
      </c>
      <c r="AL1876">
        <v>1</v>
      </c>
      <c r="AO1876">
        <v>1</v>
      </c>
      <c r="AP1876" t="s">
        <v>3015</v>
      </c>
      <c r="AQ1876" t="s">
        <v>3044</v>
      </c>
      <c r="AR1876" t="s">
        <v>3045</v>
      </c>
      <c r="AS1876" t="s">
        <v>3046</v>
      </c>
      <c r="AU1876" t="s">
        <v>3046</v>
      </c>
    </row>
    <row r="1877" spans="1:47" x14ac:dyDescent="0.35">
      <c r="A1877">
        <v>337963</v>
      </c>
      <c r="B1877" t="s">
        <v>178</v>
      </c>
      <c r="C1877" t="s">
        <v>179</v>
      </c>
      <c r="D1877" s="2">
        <v>45786</v>
      </c>
      <c r="E1877">
        <v>53850</v>
      </c>
      <c r="F1877">
        <v>103</v>
      </c>
      <c r="G1877" t="s">
        <v>80</v>
      </c>
      <c r="H1877" t="s">
        <v>167</v>
      </c>
      <c r="I1877" t="s">
        <v>45</v>
      </c>
      <c r="K1877">
        <v>202505087960139</v>
      </c>
      <c r="L1877">
        <v>1033301094930</v>
      </c>
      <c r="M1877">
        <v>20250508</v>
      </c>
      <c r="N1877" t="s">
        <v>46</v>
      </c>
      <c r="P1877" t="s">
        <v>51</v>
      </c>
      <c r="Q1877" t="s">
        <v>47</v>
      </c>
      <c r="R1877">
        <v>75955.149999999994</v>
      </c>
      <c r="S1877">
        <v>0</v>
      </c>
      <c r="T1877">
        <v>109493</v>
      </c>
      <c r="U1877" t="s">
        <v>2008</v>
      </c>
      <c r="V1877" t="s">
        <v>2009</v>
      </c>
      <c r="W1877" t="s">
        <v>69</v>
      </c>
      <c r="X1877" t="s">
        <v>131</v>
      </c>
      <c r="Y1877" t="s">
        <v>51</v>
      </c>
      <c r="AH1877">
        <v>0</v>
      </c>
      <c r="AI1877">
        <v>202505</v>
      </c>
      <c r="AJ1877" t="s">
        <v>56</v>
      </c>
      <c r="AK1877">
        <v>0</v>
      </c>
      <c r="AL1877">
        <v>1</v>
      </c>
      <c r="AM1877">
        <v>109493</v>
      </c>
      <c r="AN1877">
        <v>1</v>
      </c>
      <c r="AO1877">
        <v>0</v>
      </c>
      <c r="AP1877" t="s">
        <v>3033</v>
      </c>
      <c r="AQ1877" t="s">
        <v>3021</v>
      </c>
      <c r="AR1877" t="s">
        <v>3054</v>
      </c>
      <c r="AS1877" t="s">
        <v>3055</v>
      </c>
      <c r="AU1877" t="s">
        <v>3055</v>
      </c>
    </row>
    <row r="1878" spans="1:47" x14ac:dyDescent="0.35">
      <c r="A1878">
        <v>337962</v>
      </c>
      <c r="B1878" t="s">
        <v>164</v>
      </c>
      <c r="C1878" t="s">
        <v>165</v>
      </c>
      <c r="D1878" s="2">
        <v>45786</v>
      </c>
      <c r="E1878">
        <v>53850</v>
      </c>
      <c r="F1878">
        <v>118</v>
      </c>
      <c r="G1878" t="s">
        <v>254</v>
      </c>
      <c r="H1878" t="s">
        <v>167</v>
      </c>
      <c r="I1878" t="s">
        <v>45</v>
      </c>
      <c r="K1878" t="s">
        <v>2010</v>
      </c>
      <c r="L1878">
        <v>1183306279722</v>
      </c>
      <c r="M1878">
        <v>20250508</v>
      </c>
      <c r="N1878" t="s">
        <v>168</v>
      </c>
      <c r="P1878" t="s">
        <v>255</v>
      </c>
      <c r="Q1878" t="s">
        <v>170</v>
      </c>
      <c r="R1878">
        <v>1515</v>
      </c>
      <c r="S1878">
        <v>0</v>
      </c>
      <c r="T1878">
        <v>4925538</v>
      </c>
      <c r="U1878" t="s">
        <v>2011</v>
      </c>
      <c r="V1878" t="s">
        <v>2012</v>
      </c>
      <c r="W1878" t="s">
        <v>187</v>
      </c>
      <c r="Y1878" t="s">
        <v>51</v>
      </c>
      <c r="AH1878">
        <v>0</v>
      </c>
      <c r="AI1878">
        <v>202505</v>
      </c>
      <c r="AJ1878" t="s">
        <v>86</v>
      </c>
      <c r="AK1878">
        <v>1</v>
      </c>
      <c r="AL1878">
        <v>1</v>
      </c>
      <c r="AO1878">
        <v>0</v>
      </c>
      <c r="AP1878" t="s">
        <v>3015</v>
      </c>
      <c r="AQ1878" t="s">
        <v>3044</v>
      </c>
      <c r="AR1878" t="s">
        <v>3045</v>
      </c>
      <c r="AS1878" t="s">
        <v>3046</v>
      </c>
      <c r="AU1878" t="s">
        <v>3046</v>
      </c>
    </row>
    <row r="1879" spans="1:47" x14ac:dyDescent="0.35">
      <c r="A1879">
        <v>337961</v>
      </c>
      <c r="B1879" t="s">
        <v>178</v>
      </c>
      <c r="C1879" t="s">
        <v>179</v>
      </c>
      <c r="D1879" s="2">
        <v>45786</v>
      </c>
      <c r="E1879">
        <v>53850</v>
      </c>
      <c r="F1879">
        <v>102</v>
      </c>
      <c r="G1879" t="s">
        <v>151</v>
      </c>
      <c r="H1879" t="s">
        <v>167</v>
      </c>
      <c r="I1879" t="s">
        <v>45</v>
      </c>
      <c r="K1879">
        <v>202505087959108</v>
      </c>
      <c r="L1879">
        <v>1503300003188</v>
      </c>
      <c r="M1879">
        <v>20250508</v>
      </c>
      <c r="N1879" t="s">
        <v>236</v>
      </c>
      <c r="P1879" t="s">
        <v>51</v>
      </c>
      <c r="Q1879" t="s">
        <v>170</v>
      </c>
      <c r="R1879">
        <v>2400000</v>
      </c>
      <c r="S1879">
        <v>0</v>
      </c>
      <c r="T1879">
        <v>4269640</v>
      </c>
      <c r="U1879">
        <v>4797080969</v>
      </c>
      <c r="V1879" t="s">
        <v>152</v>
      </c>
      <c r="W1879" t="s">
        <v>153</v>
      </c>
      <c r="X1879" t="s">
        <v>210</v>
      </c>
      <c r="Y1879" t="s">
        <v>51</v>
      </c>
      <c r="Z1879">
        <v>1926</v>
      </c>
      <c r="AH1879">
        <v>0</v>
      </c>
      <c r="AI1879">
        <v>202505</v>
      </c>
      <c r="AJ1879" t="s">
        <v>52</v>
      </c>
      <c r="AK1879">
        <v>0</v>
      </c>
      <c r="AL1879">
        <v>1</v>
      </c>
      <c r="AO1879">
        <v>0</v>
      </c>
      <c r="AP1879" t="s">
        <v>3015</v>
      </c>
      <c r="AQ1879" t="s">
        <v>3035</v>
      </c>
      <c r="AR1879" t="s">
        <v>3036</v>
      </c>
      <c r="AT1879" t="s">
        <v>3017</v>
      </c>
      <c r="AU1879" t="s">
        <v>3037</v>
      </c>
    </row>
    <row r="1880" spans="1:47" x14ac:dyDescent="0.35">
      <c r="A1880">
        <v>337960</v>
      </c>
      <c r="B1880" t="s">
        <v>178</v>
      </c>
      <c r="C1880" t="s">
        <v>179</v>
      </c>
      <c r="D1880" s="2">
        <v>45786</v>
      </c>
      <c r="E1880">
        <v>53850</v>
      </c>
      <c r="F1880">
        <v>109</v>
      </c>
      <c r="G1880" t="s">
        <v>89</v>
      </c>
      <c r="H1880" t="s">
        <v>167</v>
      </c>
      <c r="I1880" t="s">
        <v>45</v>
      </c>
      <c r="K1880" t="s">
        <v>2013</v>
      </c>
      <c r="L1880">
        <v>1093306674566</v>
      </c>
      <c r="M1880">
        <v>20250508</v>
      </c>
      <c r="N1880" t="s">
        <v>3136</v>
      </c>
      <c r="Q1880" t="s">
        <v>170</v>
      </c>
      <c r="R1880">
        <v>1517.41</v>
      </c>
      <c r="S1880">
        <v>0</v>
      </c>
      <c r="T1880">
        <v>4931444</v>
      </c>
      <c r="U1880">
        <v>7632590720</v>
      </c>
      <c r="V1880" t="s">
        <v>2014</v>
      </c>
      <c r="W1880" t="s">
        <v>49</v>
      </c>
      <c r="X1880" t="s">
        <v>590</v>
      </c>
      <c r="Y1880" t="s">
        <v>51</v>
      </c>
      <c r="Z1880">
        <v>502</v>
      </c>
      <c r="AH1880">
        <v>0</v>
      </c>
      <c r="AI1880">
        <v>202505</v>
      </c>
      <c r="AJ1880" t="s">
        <v>86</v>
      </c>
      <c r="AK1880">
        <v>1</v>
      </c>
      <c r="AL1880">
        <v>1</v>
      </c>
      <c r="AO1880">
        <v>1</v>
      </c>
      <c r="AP1880" t="s">
        <v>3015</v>
      </c>
      <c r="AQ1880" t="s">
        <v>3012</v>
      </c>
      <c r="AR1880" t="s">
        <v>3016</v>
      </c>
      <c r="AT1880" t="s">
        <v>3017</v>
      </c>
      <c r="AU1880" t="s">
        <v>3018</v>
      </c>
    </row>
    <row r="1881" spans="1:47" x14ac:dyDescent="0.35">
      <c r="A1881">
        <v>337959</v>
      </c>
      <c r="B1881" t="s">
        <v>193</v>
      </c>
      <c r="C1881" t="s">
        <v>194</v>
      </c>
      <c r="D1881" s="2">
        <v>45786</v>
      </c>
      <c r="E1881">
        <v>53850</v>
      </c>
      <c r="F1881">
        <v>268</v>
      </c>
      <c r="G1881" t="s">
        <v>83</v>
      </c>
      <c r="H1881" t="s">
        <v>167</v>
      </c>
      <c r="I1881" t="s">
        <v>45</v>
      </c>
      <c r="K1881">
        <v>202505087961409</v>
      </c>
      <c r="L1881">
        <v>2683300010030</v>
      </c>
      <c r="M1881">
        <v>20250508</v>
      </c>
      <c r="N1881" t="s">
        <v>195</v>
      </c>
      <c r="Q1881" t="s">
        <v>47</v>
      </c>
      <c r="R1881">
        <v>30240</v>
      </c>
      <c r="S1881">
        <v>30240</v>
      </c>
      <c r="T1881">
        <v>4966939</v>
      </c>
      <c r="U1881" t="s">
        <v>221</v>
      </c>
      <c r="V1881" t="s">
        <v>222</v>
      </c>
      <c r="W1881" t="s">
        <v>69</v>
      </c>
      <c r="X1881" t="s">
        <v>55</v>
      </c>
      <c r="Y1881" t="s">
        <v>51</v>
      </c>
      <c r="Z1881">
        <v>1870</v>
      </c>
      <c r="AH1881">
        <v>0</v>
      </c>
      <c r="AI1881">
        <v>202505</v>
      </c>
      <c r="AJ1881" t="s">
        <v>56</v>
      </c>
      <c r="AK1881">
        <v>0</v>
      </c>
      <c r="AL1881">
        <v>1</v>
      </c>
      <c r="AM1881">
        <v>4966939</v>
      </c>
      <c r="AN1881">
        <v>1</v>
      </c>
      <c r="AO1881">
        <v>0</v>
      </c>
      <c r="AP1881" t="s">
        <v>3015</v>
      </c>
      <c r="AQ1881" t="s">
        <v>3021</v>
      </c>
      <c r="AR1881" t="s">
        <v>3022</v>
      </c>
      <c r="AT1881" t="s">
        <v>3017</v>
      </c>
      <c r="AU1881" t="s">
        <v>3014</v>
      </c>
    </row>
    <row r="1882" spans="1:47" x14ac:dyDescent="0.35">
      <c r="A1882">
        <v>337958</v>
      </c>
      <c r="B1882" t="s">
        <v>193</v>
      </c>
      <c r="C1882" t="s">
        <v>194</v>
      </c>
      <c r="D1882" s="2">
        <v>45786</v>
      </c>
      <c r="E1882">
        <v>53850</v>
      </c>
      <c r="F1882">
        <v>102</v>
      </c>
      <c r="G1882" t="s">
        <v>151</v>
      </c>
      <c r="H1882" t="s">
        <v>167</v>
      </c>
      <c r="I1882" t="s">
        <v>45</v>
      </c>
      <c r="K1882" t="s">
        <v>2015</v>
      </c>
      <c r="L1882">
        <v>1023308722503</v>
      </c>
      <c r="M1882">
        <v>20250508</v>
      </c>
      <c r="N1882" t="s">
        <v>195</v>
      </c>
      <c r="Q1882" t="s">
        <v>47</v>
      </c>
      <c r="R1882">
        <v>34000</v>
      </c>
      <c r="S1882">
        <v>34000</v>
      </c>
      <c r="T1882">
        <v>413650</v>
      </c>
      <c r="U1882">
        <v>3657230722</v>
      </c>
      <c r="V1882" t="s">
        <v>196</v>
      </c>
      <c r="W1882" t="s">
        <v>190</v>
      </c>
      <c r="X1882" t="s">
        <v>197</v>
      </c>
      <c r="Y1882" t="s">
        <v>51</v>
      </c>
      <c r="Z1882">
        <v>1306</v>
      </c>
      <c r="AH1882">
        <v>0</v>
      </c>
      <c r="AI1882">
        <v>202505</v>
      </c>
      <c r="AJ1882" t="s">
        <v>56</v>
      </c>
      <c r="AK1882">
        <v>0</v>
      </c>
      <c r="AL1882">
        <v>1</v>
      </c>
      <c r="AM1882">
        <v>413650</v>
      </c>
      <c r="AN1882">
        <v>1</v>
      </c>
      <c r="AO1882">
        <v>0</v>
      </c>
      <c r="AP1882" t="s">
        <v>3050</v>
      </c>
      <c r="AQ1882" t="s">
        <v>3047</v>
      </c>
      <c r="AR1882" t="s">
        <v>3051</v>
      </c>
      <c r="AS1882" t="s">
        <v>3049</v>
      </c>
      <c r="AU1882" t="s">
        <v>3049</v>
      </c>
    </row>
    <row r="1883" spans="1:47" x14ac:dyDescent="0.35">
      <c r="A1883">
        <v>337957</v>
      </c>
      <c r="B1883" t="s">
        <v>164</v>
      </c>
      <c r="C1883" t="s">
        <v>165</v>
      </c>
      <c r="D1883" s="2">
        <v>45786</v>
      </c>
      <c r="E1883">
        <v>53850</v>
      </c>
      <c r="F1883">
        <v>267</v>
      </c>
      <c r="G1883" t="s">
        <v>349</v>
      </c>
      <c r="H1883" t="s">
        <v>167</v>
      </c>
      <c r="I1883" t="s">
        <v>45</v>
      </c>
      <c r="K1883" t="s">
        <v>2016</v>
      </c>
      <c r="L1883">
        <v>2673300001756</v>
      </c>
      <c r="M1883">
        <v>20250508</v>
      </c>
      <c r="N1883" t="s">
        <v>168</v>
      </c>
      <c r="P1883" t="s">
        <v>435</v>
      </c>
      <c r="Q1883" t="s">
        <v>47</v>
      </c>
      <c r="R1883">
        <v>1775</v>
      </c>
      <c r="S1883">
        <v>0</v>
      </c>
      <c r="T1883">
        <v>1646323</v>
      </c>
      <c r="U1883" t="s">
        <v>2017</v>
      </c>
      <c r="V1883" t="s">
        <v>2018</v>
      </c>
      <c r="W1883" t="s">
        <v>69</v>
      </c>
      <c r="X1883" t="s">
        <v>113</v>
      </c>
      <c r="Y1883" t="s">
        <v>51</v>
      </c>
      <c r="Z1883">
        <v>1878</v>
      </c>
      <c r="AH1883">
        <v>0</v>
      </c>
      <c r="AI1883">
        <v>202505</v>
      </c>
      <c r="AJ1883" t="s">
        <v>119</v>
      </c>
      <c r="AK1883">
        <v>1</v>
      </c>
      <c r="AL1883">
        <v>1</v>
      </c>
      <c r="AO1883">
        <v>0</v>
      </c>
      <c r="AP1883" t="s">
        <v>3015</v>
      </c>
      <c r="AQ1883" t="s">
        <v>3021</v>
      </c>
      <c r="AR1883" t="s">
        <v>3022</v>
      </c>
      <c r="AT1883" t="s">
        <v>3017</v>
      </c>
      <c r="AU1883" t="s">
        <v>3014</v>
      </c>
    </row>
    <row r="1884" spans="1:47" x14ac:dyDescent="0.35">
      <c r="A1884">
        <v>337956</v>
      </c>
      <c r="B1884" t="s">
        <v>178</v>
      </c>
      <c r="C1884" t="s">
        <v>179</v>
      </c>
      <c r="D1884" s="2">
        <v>45786</v>
      </c>
      <c r="E1884">
        <v>53850</v>
      </c>
      <c r="F1884">
        <v>109</v>
      </c>
      <c r="G1884" t="s">
        <v>89</v>
      </c>
      <c r="H1884" t="s">
        <v>167</v>
      </c>
      <c r="I1884" t="s">
        <v>45</v>
      </c>
      <c r="K1884" t="s">
        <v>2019</v>
      </c>
      <c r="L1884">
        <v>1093300221090</v>
      </c>
      <c r="M1884">
        <v>20250508</v>
      </c>
      <c r="N1884" t="s">
        <v>3136</v>
      </c>
      <c r="Q1884" t="s">
        <v>170</v>
      </c>
      <c r="R1884">
        <v>1225.33</v>
      </c>
      <c r="S1884">
        <v>0</v>
      </c>
      <c r="T1884">
        <v>4861802</v>
      </c>
      <c r="U1884">
        <v>3811090723</v>
      </c>
      <c r="V1884" t="s">
        <v>2020</v>
      </c>
      <c r="W1884" t="s">
        <v>49</v>
      </c>
      <c r="X1884" t="s">
        <v>421</v>
      </c>
      <c r="Y1884" t="s">
        <v>51</v>
      </c>
      <c r="Z1884">
        <v>1919</v>
      </c>
      <c r="AH1884">
        <v>0</v>
      </c>
      <c r="AI1884">
        <v>202505</v>
      </c>
      <c r="AJ1884" t="s">
        <v>56</v>
      </c>
      <c r="AK1884">
        <v>0</v>
      </c>
      <c r="AL1884">
        <v>1</v>
      </c>
      <c r="AO1884">
        <v>1</v>
      </c>
      <c r="AP1884" t="s">
        <v>3015</v>
      </c>
      <c r="AQ1884" t="s">
        <v>3012</v>
      </c>
      <c r="AR1884" t="s">
        <v>3016</v>
      </c>
      <c r="AT1884" t="s">
        <v>3017</v>
      </c>
      <c r="AU1884" t="s">
        <v>3018</v>
      </c>
    </row>
    <row r="1885" spans="1:47" x14ac:dyDescent="0.35">
      <c r="A1885">
        <v>337955</v>
      </c>
      <c r="B1885" t="s">
        <v>178</v>
      </c>
      <c r="C1885" t="s">
        <v>179</v>
      </c>
      <c r="D1885" s="2">
        <v>45786</v>
      </c>
      <c r="E1885">
        <v>53850</v>
      </c>
      <c r="F1885">
        <v>102</v>
      </c>
      <c r="G1885" t="s">
        <v>151</v>
      </c>
      <c r="H1885" t="s">
        <v>167</v>
      </c>
      <c r="I1885" t="s">
        <v>45</v>
      </c>
      <c r="K1885" t="s">
        <v>2021</v>
      </c>
      <c r="L1885">
        <v>1023308722071</v>
      </c>
      <c r="M1885">
        <v>20250508</v>
      </c>
      <c r="N1885" t="s">
        <v>3136</v>
      </c>
      <c r="Q1885" t="s">
        <v>170</v>
      </c>
      <c r="R1885">
        <v>1384.66</v>
      </c>
      <c r="S1885">
        <v>0</v>
      </c>
      <c r="T1885">
        <v>194802</v>
      </c>
      <c r="U1885">
        <v>3151820721</v>
      </c>
      <c r="V1885" t="s">
        <v>586</v>
      </c>
      <c r="W1885" t="s">
        <v>49</v>
      </c>
      <c r="X1885" t="s">
        <v>131</v>
      </c>
      <c r="Y1885" t="s">
        <v>51</v>
      </c>
      <c r="Z1885">
        <v>1203</v>
      </c>
      <c r="AH1885">
        <v>0</v>
      </c>
      <c r="AI1885">
        <v>202505</v>
      </c>
      <c r="AJ1885" t="s">
        <v>86</v>
      </c>
      <c r="AK1885">
        <v>1</v>
      </c>
      <c r="AL1885">
        <v>1</v>
      </c>
      <c r="AO1885">
        <v>1</v>
      </c>
      <c r="AP1885" t="s">
        <v>3033</v>
      </c>
      <c r="AQ1885" t="s">
        <v>3012</v>
      </c>
      <c r="AR1885" t="s">
        <v>3034</v>
      </c>
      <c r="AS1885" t="s">
        <v>3014</v>
      </c>
      <c r="AU1885" t="s">
        <v>3014</v>
      </c>
    </row>
    <row r="1886" spans="1:47" x14ac:dyDescent="0.35">
      <c r="A1886">
        <v>337954</v>
      </c>
      <c r="B1886" t="s">
        <v>178</v>
      </c>
      <c r="C1886" t="s">
        <v>179</v>
      </c>
      <c r="D1886" s="2">
        <v>45786</v>
      </c>
      <c r="E1886">
        <v>53850</v>
      </c>
      <c r="F1886">
        <v>196</v>
      </c>
      <c r="G1886" t="s">
        <v>567</v>
      </c>
      <c r="H1886" t="s">
        <v>167</v>
      </c>
      <c r="I1886" t="s">
        <v>45</v>
      </c>
      <c r="K1886" t="s">
        <v>2022</v>
      </c>
      <c r="L1886">
        <v>1963302354339</v>
      </c>
      <c r="M1886">
        <v>20250508</v>
      </c>
      <c r="N1886" t="s">
        <v>3136</v>
      </c>
      <c r="Q1886" t="s">
        <v>170</v>
      </c>
      <c r="R1886">
        <v>1112.33</v>
      </c>
      <c r="S1886">
        <v>0</v>
      </c>
      <c r="T1886">
        <v>4943315</v>
      </c>
      <c r="U1886">
        <v>1578810713</v>
      </c>
      <c r="V1886" t="s">
        <v>1108</v>
      </c>
      <c r="W1886" t="s">
        <v>580</v>
      </c>
      <c r="X1886" t="s">
        <v>200</v>
      </c>
      <c r="Y1886" t="s">
        <v>51</v>
      </c>
      <c r="Z1886">
        <v>1453</v>
      </c>
      <c r="AH1886">
        <v>0</v>
      </c>
      <c r="AI1886">
        <v>202505</v>
      </c>
      <c r="AJ1886" t="s">
        <v>86</v>
      </c>
      <c r="AK1886">
        <v>1</v>
      </c>
      <c r="AL1886">
        <v>1</v>
      </c>
      <c r="AO1886">
        <v>1</v>
      </c>
      <c r="AP1886" t="s">
        <v>3015</v>
      </c>
      <c r="AQ1886" t="s">
        <v>3078</v>
      </c>
      <c r="AR1886" t="s">
        <v>3102</v>
      </c>
      <c r="AT1886" t="s">
        <v>3017</v>
      </c>
      <c r="AU1886" t="s">
        <v>3057</v>
      </c>
    </row>
    <row r="1887" spans="1:47" x14ac:dyDescent="0.35">
      <c r="A1887">
        <v>337953</v>
      </c>
      <c r="B1887" t="s">
        <v>164</v>
      </c>
      <c r="C1887" t="s">
        <v>165</v>
      </c>
      <c r="D1887" s="2">
        <v>45786</v>
      </c>
      <c r="E1887">
        <v>53850</v>
      </c>
      <c r="F1887">
        <v>261</v>
      </c>
      <c r="G1887" t="s">
        <v>136</v>
      </c>
      <c r="H1887" t="s">
        <v>167</v>
      </c>
      <c r="I1887" t="s">
        <v>45</v>
      </c>
      <c r="K1887" t="s">
        <v>2023</v>
      </c>
      <c r="L1887">
        <v>2613300001265</v>
      </c>
      <c r="M1887">
        <v>20250508</v>
      </c>
      <c r="N1887" t="s">
        <v>168</v>
      </c>
      <c r="P1887" t="s">
        <v>203</v>
      </c>
      <c r="Q1887" t="s">
        <v>47</v>
      </c>
      <c r="R1887">
        <v>1700</v>
      </c>
      <c r="S1887">
        <v>0</v>
      </c>
      <c r="T1887">
        <v>1625403</v>
      </c>
      <c r="U1887" t="s">
        <v>870</v>
      </c>
      <c r="V1887" t="s">
        <v>871</v>
      </c>
      <c r="W1887" t="s">
        <v>187</v>
      </c>
      <c r="Y1887" t="s">
        <v>51</v>
      </c>
      <c r="Z1887">
        <v>1755</v>
      </c>
      <c r="AH1887">
        <v>0</v>
      </c>
      <c r="AI1887">
        <v>202505</v>
      </c>
      <c r="AJ1887" t="s">
        <v>56</v>
      </c>
      <c r="AK1887">
        <v>0</v>
      </c>
      <c r="AL1887">
        <v>1</v>
      </c>
      <c r="AO1887">
        <v>0</v>
      </c>
      <c r="AP1887" t="s">
        <v>3015</v>
      </c>
      <c r="AQ1887" t="s">
        <v>3044</v>
      </c>
      <c r="AR1887" t="s">
        <v>3045</v>
      </c>
      <c r="AS1887" t="s">
        <v>3046</v>
      </c>
      <c r="AU1887" t="s">
        <v>3046</v>
      </c>
    </row>
    <row r="1888" spans="1:47" x14ac:dyDescent="0.35">
      <c r="A1888">
        <v>337952</v>
      </c>
      <c r="B1888" t="s">
        <v>178</v>
      </c>
      <c r="C1888" t="s">
        <v>179</v>
      </c>
      <c r="D1888" s="2">
        <v>45786</v>
      </c>
      <c r="E1888">
        <v>53850</v>
      </c>
      <c r="F1888">
        <v>181</v>
      </c>
      <c r="G1888" t="s">
        <v>180</v>
      </c>
      <c r="H1888" t="s">
        <v>167</v>
      </c>
      <c r="I1888" t="s">
        <v>45</v>
      </c>
      <c r="K1888" t="s">
        <v>1996</v>
      </c>
      <c r="L1888">
        <v>1813301028722</v>
      </c>
      <c r="M1888">
        <v>20250508</v>
      </c>
      <c r="N1888" t="s">
        <v>3136</v>
      </c>
      <c r="Q1888" t="s">
        <v>170</v>
      </c>
      <c r="R1888">
        <v>3844.78</v>
      </c>
      <c r="S1888">
        <v>0</v>
      </c>
      <c r="T1888">
        <v>4542977</v>
      </c>
      <c r="U1888" t="s">
        <v>2024</v>
      </c>
      <c r="V1888" t="s">
        <v>2025</v>
      </c>
      <c r="W1888" t="s">
        <v>187</v>
      </c>
      <c r="Y1888" t="s">
        <v>51</v>
      </c>
      <c r="AH1888">
        <v>0</v>
      </c>
      <c r="AI1888">
        <v>202505</v>
      </c>
      <c r="AJ1888" t="s">
        <v>86</v>
      </c>
      <c r="AK1888">
        <v>1</v>
      </c>
      <c r="AL1888">
        <v>1</v>
      </c>
      <c r="AO1888">
        <v>1</v>
      </c>
      <c r="AP1888" t="s">
        <v>3015</v>
      </c>
      <c r="AQ1888" t="s">
        <v>3044</v>
      </c>
      <c r="AR1888" t="s">
        <v>3045</v>
      </c>
      <c r="AS1888" t="s">
        <v>3046</v>
      </c>
      <c r="AU1888" t="s">
        <v>3046</v>
      </c>
    </row>
    <row r="1889" spans="1:47" x14ac:dyDescent="0.35">
      <c r="A1889">
        <v>337951</v>
      </c>
      <c r="B1889" t="s">
        <v>178</v>
      </c>
      <c r="C1889" t="s">
        <v>179</v>
      </c>
      <c r="D1889" s="2">
        <v>45786</v>
      </c>
      <c r="E1889">
        <v>53850</v>
      </c>
      <c r="F1889">
        <v>102</v>
      </c>
      <c r="G1889" t="s">
        <v>151</v>
      </c>
      <c r="H1889" t="s">
        <v>167</v>
      </c>
      <c r="I1889" t="s">
        <v>45</v>
      </c>
      <c r="K1889">
        <v>202505087959178</v>
      </c>
      <c r="L1889">
        <v>1023308719178</v>
      </c>
      <c r="M1889">
        <v>20250508</v>
      </c>
      <c r="N1889" t="s">
        <v>236</v>
      </c>
      <c r="P1889" t="s">
        <v>51</v>
      </c>
      <c r="Q1889" t="s">
        <v>170</v>
      </c>
      <c r="R1889">
        <v>1887600</v>
      </c>
      <c r="S1889">
        <v>0</v>
      </c>
      <c r="T1889">
        <v>474476</v>
      </c>
      <c r="U1889">
        <v>3470340724</v>
      </c>
      <c r="V1889" t="s">
        <v>1895</v>
      </c>
      <c r="W1889" t="s">
        <v>49</v>
      </c>
      <c r="X1889" t="s">
        <v>65</v>
      </c>
      <c r="Y1889" t="s">
        <v>51</v>
      </c>
      <c r="Z1889">
        <v>1203</v>
      </c>
      <c r="AH1889">
        <v>0</v>
      </c>
      <c r="AI1889">
        <v>202505</v>
      </c>
      <c r="AJ1889" t="s">
        <v>86</v>
      </c>
      <c r="AK1889">
        <v>1</v>
      </c>
      <c r="AL1889">
        <v>1</v>
      </c>
      <c r="AO1889">
        <v>0</v>
      </c>
      <c r="AP1889" t="s">
        <v>3019</v>
      </c>
      <c r="AQ1889" t="s">
        <v>3012</v>
      </c>
      <c r="AR1889" t="s">
        <v>3020</v>
      </c>
      <c r="AS1889" t="s">
        <v>3014</v>
      </c>
      <c r="AU1889" t="s">
        <v>3014</v>
      </c>
    </row>
    <row r="1890" spans="1:47" x14ac:dyDescent="0.35">
      <c r="A1890">
        <v>337950</v>
      </c>
      <c r="B1890" t="s">
        <v>193</v>
      </c>
      <c r="C1890" t="s">
        <v>194</v>
      </c>
      <c r="D1890" s="2">
        <v>45786</v>
      </c>
      <c r="E1890">
        <v>53850</v>
      </c>
      <c r="F1890">
        <v>268</v>
      </c>
      <c r="G1890" t="s">
        <v>83</v>
      </c>
      <c r="H1890" t="s">
        <v>167</v>
      </c>
      <c r="I1890" t="s">
        <v>45</v>
      </c>
      <c r="K1890" t="s">
        <v>2015</v>
      </c>
      <c r="L1890">
        <v>2683300006671</v>
      </c>
      <c r="M1890">
        <v>20250508</v>
      </c>
      <c r="N1890" t="s">
        <v>195</v>
      </c>
      <c r="Q1890" t="s">
        <v>47</v>
      </c>
      <c r="R1890">
        <v>30850</v>
      </c>
      <c r="S1890">
        <v>30850</v>
      </c>
      <c r="T1890">
        <v>1704716</v>
      </c>
      <c r="U1890">
        <v>3109600795</v>
      </c>
      <c r="V1890" t="s">
        <v>1256</v>
      </c>
      <c r="W1890" t="s">
        <v>580</v>
      </c>
      <c r="X1890" t="s">
        <v>131</v>
      </c>
      <c r="Y1890" t="s">
        <v>51</v>
      </c>
      <c r="Z1890">
        <v>1891</v>
      </c>
      <c r="AH1890">
        <v>0</v>
      </c>
      <c r="AI1890">
        <v>202505</v>
      </c>
      <c r="AJ1890" t="s">
        <v>52</v>
      </c>
      <c r="AK1890">
        <v>0</v>
      </c>
      <c r="AL1890">
        <v>1</v>
      </c>
      <c r="AM1890">
        <v>1704716</v>
      </c>
      <c r="AN1890">
        <v>1</v>
      </c>
      <c r="AO1890">
        <v>0</v>
      </c>
      <c r="AP1890" t="s">
        <v>3033</v>
      </c>
      <c r="AQ1890" t="s">
        <v>3078</v>
      </c>
      <c r="AR1890" t="s">
        <v>3079</v>
      </c>
      <c r="AS1890" t="s">
        <v>3049</v>
      </c>
      <c r="AU1890" t="s">
        <v>3049</v>
      </c>
    </row>
    <row r="1891" spans="1:47" x14ac:dyDescent="0.35">
      <c r="A1891">
        <v>337949</v>
      </c>
      <c r="B1891" t="s">
        <v>172</v>
      </c>
      <c r="C1891" t="s">
        <v>173</v>
      </c>
      <c r="D1891" s="2">
        <v>45786</v>
      </c>
      <c r="E1891">
        <v>53850</v>
      </c>
      <c r="F1891">
        <v>169</v>
      </c>
      <c r="G1891" t="s">
        <v>57</v>
      </c>
      <c r="H1891" t="s">
        <v>167</v>
      </c>
      <c r="I1891" t="s">
        <v>45</v>
      </c>
      <c r="K1891">
        <v>202505087961711</v>
      </c>
      <c r="L1891">
        <v>1693302224752</v>
      </c>
      <c r="M1891">
        <v>20250508</v>
      </c>
      <c r="N1891" t="s">
        <v>81</v>
      </c>
      <c r="Q1891" t="s">
        <v>47</v>
      </c>
      <c r="R1891">
        <v>110000</v>
      </c>
      <c r="S1891">
        <v>0</v>
      </c>
      <c r="T1891">
        <v>4137454</v>
      </c>
      <c r="U1891" t="s">
        <v>2026</v>
      </c>
      <c r="V1891" t="s">
        <v>2027</v>
      </c>
      <c r="W1891" t="s">
        <v>187</v>
      </c>
      <c r="Y1891" t="s">
        <v>51</v>
      </c>
      <c r="Z1891">
        <v>1261</v>
      </c>
      <c r="AH1891">
        <v>0</v>
      </c>
      <c r="AI1891">
        <v>202505</v>
      </c>
      <c r="AJ1891" t="s">
        <v>86</v>
      </c>
      <c r="AK1891">
        <v>1</v>
      </c>
      <c r="AL1891">
        <v>1</v>
      </c>
      <c r="AO1891">
        <v>0</v>
      </c>
      <c r="AP1891" t="s">
        <v>3015</v>
      </c>
      <c r="AQ1891" t="s">
        <v>3044</v>
      </c>
      <c r="AR1891" t="s">
        <v>3045</v>
      </c>
      <c r="AS1891" t="s">
        <v>3046</v>
      </c>
      <c r="AU1891" t="s">
        <v>3046</v>
      </c>
    </row>
    <row r="1892" spans="1:47" x14ac:dyDescent="0.35">
      <c r="A1892">
        <v>337948</v>
      </c>
      <c r="B1892" t="s">
        <v>178</v>
      </c>
      <c r="C1892" t="s">
        <v>179</v>
      </c>
      <c r="D1892" s="2">
        <v>45786</v>
      </c>
      <c r="E1892">
        <v>53850</v>
      </c>
      <c r="F1892">
        <v>109</v>
      </c>
      <c r="G1892" t="s">
        <v>89</v>
      </c>
      <c r="H1892" t="s">
        <v>167</v>
      </c>
      <c r="I1892" t="s">
        <v>45</v>
      </c>
      <c r="K1892" t="s">
        <v>2028</v>
      </c>
      <c r="L1892">
        <v>1093306674566</v>
      </c>
      <c r="M1892">
        <v>20250508</v>
      </c>
      <c r="N1892" t="s">
        <v>3136</v>
      </c>
      <c r="Q1892" t="s">
        <v>170</v>
      </c>
      <c r="R1892">
        <v>1080.93</v>
      </c>
      <c r="S1892">
        <v>0</v>
      </c>
      <c r="T1892">
        <v>4931444</v>
      </c>
      <c r="U1892">
        <v>7632590720</v>
      </c>
      <c r="V1892" t="s">
        <v>2014</v>
      </c>
      <c r="W1892" t="s">
        <v>49</v>
      </c>
      <c r="X1892" t="s">
        <v>590</v>
      </c>
      <c r="Y1892" t="s">
        <v>51</v>
      </c>
      <c r="Z1892">
        <v>502</v>
      </c>
      <c r="AH1892">
        <v>0</v>
      </c>
      <c r="AI1892">
        <v>202505</v>
      </c>
      <c r="AJ1892" t="s">
        <v>86</v>
      </c>
      <c r="AK1892">
        <v>1</v>
      </c>
      <c r="AL1892">
        <v>1</v>
      </c>
      <c r="AO1892">
        <v>1</v>
      </c>
      <c r="AP1892" t="s">
        <v>3015</v>
      </c>
      <c r="AQ1892" t="s">
        <v>3012</v>
      </c>
      <c r="AR1892" t="s">
        <v>3016</v>
      </c>
      <c r="AT1892" t="s">
        <v>3017</v>
      </c>
      <c r="AU1892" t="s">
        <v>3018</v>
      </c>
    </row>
    <row r="1893" spans="1:47" x14ac:dyDescent="0.35">
      <c r="A1893">
        <v>337947</v>
      </c>
      <c r="B1893" t="s">
        <v>164</v>
      </c>
      <c r="C1893" t="s">
        <v>165</v>
      </c>
      <c r="D1893" s="2">
        <v>45786</v>
      </c>
      <c r="E1893">
        <v>53850</v>
      </c>
      <c r="F1893">
        <v>192</v>
      </c>
      <c r="G1893" t="s">
        <v>66</v>
      </c>
      <c r="H1893" t="s">
        <v>167</v>
      </c>
      <c r="I1893" t="s">
        <v>45</v>
      </c>
      <c r="K1893">
        <v>202505087960417</v>
      </c>
      <c r="L1893">
        <v>1923300185011</v>
      </c>
      <c r="M1893">
        <v>20250508</v>
      </c>
      <c r="N1893" t="s">
        <v>168</v>
      </c>
      <c r="P1893" t="s">
        <v>255</v>
      </c>
      <c r="Q1893" t="s">
        <v>47</v>
      </c>
      <c r="R1893">
        <v>5948</v>
      </c>
      <c r="S1893">
        <v>0</v>
      </c>
      <c r="T1893">
        <v>3710704</v>
      </c>
      <c r="U1893" t="s">
        <v>1187</v>
      </c>
      <c r="V1893" t="s">
        <v>1188</v>
      </c>
      <c r="W1893" t="s">
        <v>69</v>
      </c>
      <c r="X1893" t="s">
        <v>686</v>
      </c>
      <c r="Y1893" t="s">
        <v>51</v>
      </c>
      <c r="Z1893">
        <v>1907</v>
      </c>
      <c r="AH1893">
        <v>0</v>
      </c>
      <c r="AI1893">
        <v>202505</v>
      </c>
      <c r="AJ1893" t="s">
        <v>86</v>
      </c>
      <c r="AK1893">
        <v>1</v>
      </c>
      <c r="AL1893">
        <v>1</v>
      </c>
      <c r="AO1893">
        <v>0</v>
      </c>
      <c r="AP1893" t="s">
        <v>3015</v>
      </c>
      <c r="AQ1893" t="s">
        <v>3021</v>
      </c>
      <c r="AR1893" t="s">
        <v>3022</v>
      </c>
      <c r="AT1893" t="s">
        <v>3017</v>
      </c>
      <c r="AU1893" t="s">
        <v>3014</v>
      </c>
    </row>
    <row r="1894" spans="1:47" x14ac:dyDescent="0.35">
      <c r="A1894">
        <v>337946</v>
      </c>
      <c r="B1894" t="s">
        <v>178</v>
      </c>
      <c r="C1894" t="s">
        <v>179</v>
      </c>
      <c r="D1894" s="2">
        <v>45786</v>
      </c>
      <c r="E1894">
        <v>53850</v>
      </c>
      <c r="F1894">
        <v>109</v>
      </c>
      <c r="G1894" t="s">
        <v>89</v>
      </c>
      <c r="H1894" t="s">
        <v>167</v>
      </c>
      <c r="I1894" t="s">
        <v>45</v>
      </c>
      <c r="K1894" t="s">
        <v>2029</v>
      </c>
      <c r="L1894">
        <v>1093306672791</v>
      </c>
      <c r="M1894">
        <v>20250508</v>
      </c>
      <c r="N1894" t="s">
        <v>3136</v>
      </c>
      <c r="Q1894" t="s">
        <v>170</v>
      </c>
      <c r="R1894">
        <v>1042.1600000000001</v>
      </c>
      <c r="S1894">
        <v>0</v>
      </c>
      <c r="T1894">
        <v>4711527</v>
      </c>
      <c r="U1894">
        <v>6286800724</v>
      </c>
      <c r="V1894" t="s">
        <v>2030</v>
      </c>
      <c r="W1894" t="s">
        <v>49</v>
      </c>
      <c r="X1894" t="s">
        <v>432</v>
      </c>
      <c r="Y1894" t="s">
        <v>51</v>
      </c>
      <c r="Z1894">
        <v>502</v>
      </c>
      <c r="AH1894">
        <v>0</v>
      </c>
      <c r="AI1894">
        <v>202505</v>
      </c>
      <c r="AJ1894" t="s">
        <v>86</v>
      </c>
      <c r="AK1894">
        <v>1</v>
      </c>
      <c r="AL1894">
        <v>1</v>
      </c>
      <c r="AO1894">
        <v>1</v>
      </c>
      <c r="AP1894" t="s">
        <v>3015</v>
      </c>
      <c r="AQ1894" t="s">
        <v>3012</v>
      </c>
      <c r="AR1894" t="s">
        <v>3016</v>
      </c>
      <c r="AT1894" t="s">
        <v>3017</v>
      </c>
      <c r="AU1894" t="s">
        <v>3018</v>
      </c>
    </row>
    <row r="1895" spans="1:47" x14ac:dyDescent="0.35">
      <c r="A1895">
        <v>337945</v>
      </c>
      <c r="B1895" t="s">
        <v>178</v>
      </c>
      <c r="C1895" t="s">
        <v>179</v>
      </c>
      <c r="D1895" s="2">
        <v>45786</v>
      </c>
      <c r="E1895">
        <v>53850</v>
      </c>
      <c r="F1895">
        <v>261</v>
      </c>
      <c r="G1895" t="s">
        <v>136</v>
      </c>
      <c r="H1895" t="s">
        <v>167</v>
      </c>
      <c r="I1895" t="s">
        <v>45</v>
      </c>
      <c r="K1895">
        <v>202505087961821</v>
      </c>
      <c r="L1895">
        <v>2613300000312</v>
      </c>
      <c r="M1895">
        <v>20250508</v>
      </c>
      <c r="N1895" t="s">
        <v>46</v>
      </c>
      <c r="P1895" t="s">
        <v>51</v>
      </c>
      <c r="Q1895" t="s">
        <v>47</v>
      </c>
      <c r="R1895">
        <v>200900.69</v>
      </c>
      <c r="S1895">
        <v>0</v>
      </c>
      <c r="T1895">
        <v>1605075</v>
      </c>
      <c r="U1895" t="s">
        <v>1439</v>
      </c>
      <c r="V1895" t="s">
        <v>1440</v>
      </c>
      <c r="W1895" t="s">
        <v>187</v>
      </c>
      <c r="Y1895" t="s">
        <v>51</v>
      </c>
      <c r="Z1895">
        <v>1776</v>
      </c>
      <c r="AH1895">
        <v>0</v>
      </c>
      <c r="AI1895">
        <v>202505</v>
      </c>
      <c r="AJ1895" t="s">
        <v>52</v>
      </c>
      <c r="AK1895">
        <v>0</v>
      </c>
      <c r="AL1895">
        <v>1</v>
      </c>
      <c r="AO1895">
        <v>0</v>
      </c>
      <c r="AP1895" t="s">
        <v>3015</v>
      </c>
      <c r="AQ1895" t="s">
        <v>3044</v>
      </c>
      <c r="AR1895" t="s">
        <v>3045</v>
      </c>
      <c r="AS1895" t="s">
        <v>3046</v>
      </c>
      <c r="AU1895" t="s">
        <v>3046</v>
      </c>
    </row>
    <row r="1896" spans="1:47" x14ac:dyDescent="0.35">
      <c r="A1896">
        <v>337944</v>
      </c>
      <c r="B1896" t="s">
        <v>178</v>
      </c>
      <c r="C1896" t="s">
        <v>179</v>
      </c>
      <c r="D1896" s="2">
        <v>45786</v>
      </c>
      <c r="E1896">
        <v>53850</v>
      </c>
      <c r="F1896">
        <v>102</v>
      </c>
      <c r="G1896" t="s">
        <v>151</v>
      </c>
      <c r="H1896" t="s">
        <v>167</v>
      </c>
      <c r="I1896" t="s">
        <v>45</v>
      </c>
      <c r="K1896" t="s">
        <v>2031</v>
      </c>
      <c r="L1896">
        <v>1023308717200</v>
      </c>
      <c r="M1896">
        <v>20250508</v>
      </c>
      <c r="N1896" t="s">
        <v>3136</v>
      </c>
      <c r="Q1896" t="s">
        <v>170</v>
      </c>
      <c r="R1896">
        <v>1112.98</v>
      </c>
      <c r="S1896">
        <v>0</v>
      </c>
      <c r="T1896">
        <v>4140619</v>
      </c>
      <c r="U1896">
        <v>5799380729</v>
      </c>
      <c r="V1896" t="s">
        <v>2032</v>
      </c>
      <c r="W1896" t="s">
        <v>49</v>
      </c>
      <c r="X1896" t="s">
        <v>597</v>
      </c>
      <c r="Y1896" t="s">
        <v>51</v>
      </c>
      <c r="Z1896">
        <v>1203</v>
      </c>
      <c r="AH1896">
        <v>0</v>
      </c>
      <c r="AI1896">
        <v>202505</v>
      </c>
      <c r="AJ1896" t="s">
        <v>119</v>
      </c>
      <c r="AK1896">
        <v>1</v>
      </c>
      <c r="AL1896">
        <v>1</v>
      </c>
      <c r="AM1896">
        <v>4140619</v>
      </c>
      <c r="AN1896">
        <v>1</v>
      </c>
      <c r="AO1896">
        <v>1</v>
      </c>
      <c r="AP1896" t="s">
        <v>3015</v>
      </c>
      <c r="AQ1896" t="s">
        <v>3012</v>
      </c>
      <c r="AR1896" t="s">
        <v>3016</v>
      </c>
      <c r="AT1896" t="s">
        <v>3017</v>
      </c>
      <c r="AU1896" t="s">
        <v>3018</v>
      </c>
    </row>
    <row r="1897" spans="1:47" x14ac:dyDescent="0.35">
      <c r="A1897">
        <v>337943</v>
      </c>
      <c r="B1897" t="s">
        <v>178</v>
      </c>
      <c r="C1897" t="s">
        <v>179</v>
      </c>
      <c r="D1897" s="2">
        <v>45786</v>
      </c>
      <c r="E1897">
        <v>53850</v>
      </c>
      <c r="F1897">
        <v>103</v>
      </c>
      <c r="G1897" t="s">
        <v>80</v>
      </c>
      <c r="H1897" t="s">
        <v>167</v>
      </c>
      <c r="I1897" t="s">
        <v>45</v>
      </c>
      <c r="K1897">
        <v>202505087960462</v>
      </c>
      <c r="L1897">
        <v>1033306985959</v>
      </c>
      <c r="M1897">
        <v>20250508</v>
      </c>
      <c r="N1897" t="s">
        <v>46</v>
      </c>
      <c r="P1897" t="s">
        <v>51</v>
      </c>
      <c r="Q1897" t="s">
        <v>47</v>
      </c>
      <c r="R1897">
        <v>245000</v>
      </c>
      <c r="S1897">
        <v>0</v>
      </c>
      <c r="T1897">
        <v>3740317</v>
      </c>
      <c r="U1897" t="s">
        <v>1747</v>
      </c>
      <c r="V1897" t="s">
        <v>1748</v>
      </c>
      <c r="W1897" t="s">
        <v>187</v>
      </c>
      <c r="Y1897" t="s">
        <v>51</v>
      </c>
      <c r="AH1897">
        <v>0</v>
      </c>
      <c r="AI1897">
        <v>202505</v>
      </c>
      <c r="AJ1897" t="s">
        <v>86</v>
      </c>
      <c r="AK1897">
        <v>1</v>
      </c>
      <c r="AL1897">
        <v>1</v>
      </c>
      <c r="AO1897">
        <v>0</v>
      </c>
      <c r="AP1897" t="s">
        <v>3015</v>
      </c>
      <c r="AQ1897" t="s">
        <v>3044</v>
      </c>
      <c r="AR1897" t="s">
        <v>3045</v>
      </c>
      <c r="AS1897" t="s">
        <v>3046</v>
      </c>
      <c r="AU1897" t="s">
        <v>3046</v>
      </c>
    </row>
    <row r="1898" spans="1:47" x14ac:dyDescent="0.35">
      <c r="A1898">
        <v>337942</v>
      </c>
      <c r="B1898" t="s">
        <v>164</v>
      </c>
      <c r="C1898" t="s">
        <v>165</v>
      </c>
      <c r="D1898" s="2">
        <v>45786</v>
      </c>
      <c r="E1898">
        <v>53850</v>
      </c>
      <c r="F1898">
        <v>118</v>
      </c>
      <c r="G1898" t="s">
        <v>254</v>
      </c>
      <c r="H1898" t="s">
        <v>167</v>
      </c>
      <c r="I1898" t="s">
        <v>45</v>
      </c>
      <c r="K1898" t="s">
        <v>2010</v>
      </c>
      <c r="L1898">
        <v>1183306279722</v>
      </c>
      <c r="M1898">
        <v>20250508</v>
      </c>
      <c r="N1898" t="s">
        <v>168</v>
      </c>
      <c r="P1898" t="s">
        <v>255</v>
      </c>
      <c r="Q1898" t="s">
        <v>170</v>
      </c>
      <c r="R1898">
        <v>1515</v>
      </c>
      <c r="S1898">
        <v>0</v>
      </c>
      <c r="T1898">
        <v>4925537</v>
      </c>
      <c r="U1898" t="s">
        <v>2033</v>
      </c>
      <c r="V1898" t="s">
        <v>2034</v>
      </c>
      <c r="W1898" t="s">
        <v>187</v>
      </c>
      <c r="Y1898" t="s">
        <v>51</v>
      </c>
      <c r="Z1898">
        <v>632</v>
      </c>
      <c r="AH1898">
        <v>0</v>
      </c>
      <c r="AI1898">
        <v>202505</v>
      </c>
      <c r="AJ1898" t="s">
        <v>86</v>
      </c>
      <c r="AK1898">
        <v>1</v>
      </c>
      <c r="AL1898">
        <v>1</v>
      </c>
      <c r="AO1898">
        <v>0</v>
      </c>
      <c r="AP1898" t="s">
        <v>3015</v>
      </c>
      <c r="AQ1898" t="s">
        <v>3044</v>
      </c>
      <c r="AR1898" t="s">
        <v>3045</v>
      </c>
      <c r="AS1898" t="s">
        <v>3046</v>
      </c>
      <c r="AU1898" t="s">
        <v>3046</v>
      </c>
    </row>
    <row r="1899" spans="1:47" x14ac:dyDescent="0.35">
      <c r="A1899">
        <v>337941</v>
      </c>
      <c r="B1899" t="s">
        <v>164</v>
      </c>
      <c r="C1899" t="s">
        <v>165</v>
      </c>
      <c r="D1899" s="2">
        <v>45786</v>
      </c>
      <c r="E1899">
        <v>53850</v>
      </c>
      <c r="F1899">
        <v>171</v>
      </c>
      <c r="G1899" t="s">
        <v>198</v>
      </c>
      <c r="H1899" t="s">
        <v>167</v>
      </c>
      <c r="I1899" t="s">
        <v>45</v>
      </c>
      <c r="K1899">
        <v>202505087960444</v>
      </c>
      <c r="L1899">
        <v>1713302217392</v>
      </c>
      <c r="M1899">
        <v>20250508</v>
      </c>
      <c r="N1899" t="s">
        <v>168</v>
      </c>
      <c r="P1899" t="s">
        <v>255</v>
      </c>
      <c r="Q1899" t="s">
        <v>47</v>
      </c>
      <c r="R1899">
        <v>7000</v>
      </c>
      <c r="S1899">
        <v>0</v>
      </c>
      <c r="T1899">
        <v>4926340</v>
      </c>
      <c r="U1899" t="s">
        <v>2035</v>
      </c>
      <c r="V1899" t="s">
        <v>2036</v>
      </c>
      <c r="W1899" t="s">
        <v>69</v>
      </c>
      <c r="X1899" t="s">
        <v>590</v>
      </c>
      <c r="Y1899" t="s">
        <v>51</v>
      </c>
      <c r="Z1899">
        <v>732</v>
      </c>
      <c r="AH1899">
        <v>0</v>
      </c>
      <c r="AI1899">
        <v>202505</v>
      </c>
      <c r="AJ1899" t="s">
        <v>86</v>
      </c>
      <c r="AK1899">
        <v>1</v>
      </c>
      <c r="AL1899">
        <v>1</v>
      </c>
      <c r="AO1899">
        <v>0</v>
      </c>
      <c r="AP1899" t="s">
        <v>3015</v>
      </c>
      <c r="AQ1899" t="s">
        <v>3021</v>
      </c>
      <c r="AR1899" t="s">
        <v>3022</v>
      </c>
      <c r="AT1899" t="s">
        <v>3017</v>
      </c>
      <c r="AU1899" t="s">
        <v>3014</v>
      </c>
    </row>
    <row r="1900" spans="1:47" x14ac:dyDescent="0.35">
      <c r="A1900">
        <v>337940</v>
      </c>
      <c r="B1900" t="s">
        <v>178</v>
      </c>
      <c r="C1900" t="s">
        <v>179</v>
      </c>
      <c r="D1900" s="2">
        <v>45786</v>
      </c>
      <c r="E1900">
        <v>53850</v>
      </c>
      <c r="F1900">
        <v>120</v>
      </c>
      <c r="G1900" t="s">
        <v>411</v>
      </c>
      <c r="H1900" t="s">
        <v>167</v>
      </c>
      <c r="I1900" t="s">
        <v>45</v>
      </c>
      <c r="K1900" t="s">
        <v>2037</v>
      </c>
      <c r="L1900">
        <v>1203300002401</v>
      </c>
      <c r="M1900">
        <v>20250508</v>
      </c>
      <c r="N1900" t="s">
        <v>3136</v>
      </c>
      <c r="Q1900" t="s">
        <v>170</v>
      </c>
      <c r="R1900">
        <v>1425.34</v>
      </c>
      <c r="S1900">
        <v>0</v>
      </c>
      <c r="T1900">
        <v>613876</v>
      </c>
      <c r="U1900">
        <v>574290722</v>
      </c>
      <c r="V1900" t="s">
        <v>545</v>
      </c>
      <c r="W1900" t="s">
        <v>546</v>
      </c>
      <c r="X1900" t="s">
        <v>421</v>
      </c>
      <c r="Y1900" t="s">
        <v>51</v>
      </c>
      <c r="Z1900">
        <v>1058</v>
      </c>
      <c r="AH1900">
        <v>0</v>
      </c>
      <c r="AI1900">
        <v>202505</v>
      </c>
      <c r="AJ1900" t="s">
        <v>56</v>
      </c>
      <c r="AK1900">
        <v>0</v>
      </c>
      <c r="AL1900">
        <v>1</v>
      </c>
      <c r="AM1900">
        <v>613876</v>
      </c>
      <c r="AN1900">
        <v>1</v>
      </c>
      <c r="AO1900">
        <v>1</v>
      </c>
      <c r="AP1900" t="s">
        <v>3015</v>
      </c>
      <c r="AQ1900" t="s">
        <v>3076</v>
      </c>
      <c r="AR1900" t="s">
        <v>3077</v>
      </c>
      <c r="AT1900" t="s">
        <v>3017</v>
      </c>
      <c r="AU1900" t="s">
        <v>3014</v>
      </c>
    </row>
    <row r="1901" spans="1:47" x14ac:dyDescent="0.35">
      <c r="A1901">
        <v>337939</v>
      </c>
      <c r="B1901" t="s">
        <v>214</v>
      </c>
      <c r="C1901" t="s">
        <v>215</v>
      </c>
      <c r="D1901" s="2">
        <v>45786</v>
      </c>
      <c r="E1901">
        <v>53850</v>
      </c>
      <c r="F1901">
        <v>171</v>
      </c>
      <c r="G1901" t="s">
        <v>198</v>
      </c>
      <c r="H1901" t="s">
        <v>167</v>
      </c>
      <c r="I1901" t="s">
        <v>45</v>
      </c>
      <c r="K1901">
        <v>202505087960767</v>
      </c>
      <c r="L1901">
        <v>1713302215963</v>
      </c>
      <c r="M1901">
        <v>20250508</v>
      </c>
      <c r="N1901" t="s">
        <v>168</v>
      </c>
      <c r="P1901" t="s">
        <v>217</v>
      </c>
      <c r="Q1901" t="s">
        <v>47</v>
      </c>
      <c r="R1901">
        <v>252000</v>
      </c>
      <c r="S1901">
        <v>0</v>
      </c>
      <c r="T1901">
        <v>610969</v>
      </c>
      <c r="U1901" t="s">
        <v>2038</v>
      </c>
      <c r="V1901" t="s">
        <v>2039</v>
      </c>
      <c r="W1901" t="s">
        <v>187</v>
      </c>
      <c r="Y1901" t="s">
        <v>51</v>
      </c>
      <c r="Z1901">
        <v>662</v>
      </c>
      <c r="AH1901">
        <v>0</v>
      </c>
      <c r="AI1901">
        <v>202505</v>
      </c>
      <c r="AJ1901" t="s">
        <v>119</v>
      </c>
      <c r="AK1901">
        <v>1</v>
      </c>
      <c r="AL1901">
        <v>1</v>
      </c>
      <c r="AO1901">
        <v>0</v>
      </c>
      <c r="AP1901" t="s">
        <v>3015</v>
      </c>
      <c r="AQ1901" t="s">
        <v>3044</v>
      </c>
      <c r="AR1901" t="s">
        <v>3045</v>
      </c>
      <c r="AS1901" t="s">
        <v>3046</v>
      </c>
      <c r="AU1901" t="s">
        <v>3046</v>
      </c>
    </row>
    <row r="1902" spans="1:47" x14ac:dyDescent="0.35">
      <c r="A1902">
        <v>337938</v>
      </c>
      <c r="B1902" t="s">
        <v>178</v>
      </c>
      <c r="C1902" t="s">
        <v>179</v>
      </c>
      <c r="D1902" s="2">
        <v>45786</v>
      </c>
      <c r="E1902">
        <v>53850</v>
      </c>
      <c r="F1902">
        <v>259</v>
      </c>
      <c r="G1902" t="s">
        <v>361</v>
      </c>
      <c r="H1902" t="s">
        <v>167</v>
      </c>
      <c r="I1902" t="s">
        <v>45</v>
      </c>
      <c r="K1902">
        <v>202505087960713</v>
      </c>
      <c r="L1902">
        <v>2593300002769</v>
      </c>
      <c r="M1902">
        <v>20250508</v>
      </c>
      <c r="N1902" t="s">
        <v>633</v>
      </c>
      <c r="P1902" t="s">
        <v>51</v>
      </c>
      <c r="Q1902" t="s">
        <v>47</v>
      </c>
      <c r="R1902">
        <v>550000</v>
      </c>
      <c r="S1902">
        <v>0</v>
      </c>
      <c r="T1902">
        <v>4731246</v>
      </c>
      <c r="U1902" t="s">
        <v>2040</v>
      </c>
      <c r="V1902" t="s">
        <v>2041</v>
      </c>
      <c r="W1902" t="s">
        <v>187</v>
      </c>
      <c r="Y1902" t="s">
        <v>51</v>
      </c>
      <c r="Z1902">
        <v>1609</v>
      </c>
      <c r="AH1902">
        <v>0</v>
      </c>
      <c r="AI1902">
        <v>202505</v>
      </c>
      <c r="AJ1902" t="s">
        <v>52</v>
      </c>
      <c r="AK1902">
        <v>0</v>
      </c>
      <c r="AL1902">
        <v>1</v>
      </c>
      <c r="AO1902">
        <v>0</v>
      </c>
      <c r="AP1902" t="s">
        <v>3015</v>
      </c>
      <c r="AQ1902" t="s">
        <v>3044</v>
      </c>
      <c r="AR1902" t="s">
        <v>3045</v>
      </c>
      <c r="AS1902" t="s">
        <v>3046</v>
      </c>
      <c r="AU1902" t="s">
        <v>3046</v>
      </c>
    </row>
    <row r="1903" spans="1:47" x14ac:dyDescent="0.35">
      <c r="A1903">
        <v>337937</v>
      </c>
      <c r="B1903" t="s">
        <v>193</v>
      </c>
      <c r="C1903" t="s">
        <v>194</v>
      </c>
      <c r="D1903" s="2">
        <v>45786</v>
      </c>
      <c r="E1903">
        <v>53850</v>
      </c>
      <c r="F1903">
        <v>284</v>
      </c>
      <c r="G1903" t="s">
        <v>184</v>
      </c>
      <c r="H1903" t="s">
        <v>167</v>
      </c>
      <c r="I1903" t="s">
        <v>45</v>
      </c>
      <c r="K1903" t="s">
        <v>2015</v>
      </c>
      <c r="L1903">
        <v>2843300001336</v>
      </c>
      <c r="M1903">
        <v>20250508</v>
      </c>
      <c r="N1903" t="s">
        <v>175</v>
      </c>
      <c r="Q1903" t="s">
        <v>47</v>
      </c>
      <c r="R1903">
        <v>65409.05</v>
      </c>
      <c r="S1903">
        <v>58000</v>
      </c>
      <c r="T1903">
        <v>1684901</v>
      </c>
      <c r="U1903">
        <v>2403010693</v>
      </c>
      <c r="V1903" t="s">
        <v>557</v>
      </c>
      <c r="W1903" t="s">
        <v>49</v>
      </c>
      <c r="X1903" t="s">
        <v>299</v>
      </c>
      <c r="Y1903" t="s">
        <v>51</v>
      </c>
      <c r="Z1903">
        <v>1767</v>
      </c>
      <c r="AH1903">
        <v>0</v>
      </c>
      <c r="AI1903">
        <v>202505</v>
      </c>
      <c r="AJ1903" t="s">
        <v>52</v>
      </c>
      <c r="AK1903">
        <v>0</v>
      </c>
      <c r="AL1903">
        <v>1</v>
      </c>
      <c r="AO1903">
        <v>1</v>
      </c>
      <c r="AP1903" t="s">
        <v>3015</v>
      </c>
      <c r="AQ1903" t="s">
        <v>3012</v>
      </c>
      <c r="AR1903" t="s">
        <v>3016</v>
      </c>
      <c r="AT1903" t="s">
        <v>3017</v>
      </c>
      <c r="AU1903" t="s">
        <v>3018</v>
      </c>
    </row>
    <row r="1904" spans="1:47" x14ac:dyDescent="0.35">
      <c r="A1904">
        <v>337936</v>
      </c>
      <c r="B1904" t="s">
        <v>193</v>
      </c>
      <c r="C1904" t="s">
        <v>194</v>
      </c>
      <c r="D1904" s="2">
        <v>45786</v>
      </c>
      <c r="E1904">
        <v>53850</v>
      </c>
      <c r="F1904">
        <v>287</v>
      </c>
      <c r="G1904" t="s">
        <v>707</v>
      </c>
      <c r="H1904" t="s">
        <v>167</v>
      </c>
      <c r="I1904" t="s">
        <v>45</v>
      </c>
      <c r="K1904" t="s">
        <v>2015</v>
      </c>
      <c r="L1904">
        <v>2873300001853</v>
      </c>
      <c r="M1904">
        <v>20250508</v>
      </c>
      <c r="N1904" t="s">
        <v>175</v>
      </c>
      <c r="Q1904" t="s">
        <v>47</v>
      </c>
      <c r="R1904">
        <v>74046.81</v>
      </c>
      <c r="S1904">
        <v>49945</v>
      </c>
      <c r="T1904">
        <v>3722213</v>
      </c>
      <c r="U1904">
        <v>2021570698</v>
      </c>
      <c r="V1904" t="s">
        <v>708</v>
      </c>
      <c r="W1904" t="s">
        <v>49</v>
      </c>
      <c r="X1904" t="s">
        <v>117</v>
      </c>
      <c r="Y1904" t="s">
        <v>51</v>
      </c>
      <c r="Z1904">
        <v>1877</v>
      </c>
      <c r="AH1904">
        <v>0</v>
      </c>
      <c r="AI1904">
        <v>202505</v>
      </c>
      <c r="AJ1904" t="s">
        <v>52</v>
      </c>
      <c r="AK1904">
        <v>0</v>
      </c>
      <c r="AL1904">
        <v>1</v>
      </c>
      <c r="AM1904">
        <v>3722213</v>
      </c>
      <c r="AN1904">
        <v>1</v>
      </c>
      <c r="AO1904">
        <v>1</v>
      </c>
      <c r="AP1904" t="s">
        <v>3029</v>
      </c>
      <c r="AQ1904" t="s">
        <v>3012</v>
      </c>
      <c r="AR1904" t="s">
        <v>3030</v>
      </c>
      <c r="AS1904" t="s">
        <v>3014</v>
      </c>
      <c r="AU1904" t="s">
        <v>3014</v>
      </c>
    </row>
    <row r="1905" spans="1:47" x14ac:dyDescent="0.35">
      <c r="A1905">
        <v>337935</v>
      </c>
      <c r="B1905" t="s">
        <v>193</v>
      </c>
      <c r="C1905" t="s">
        <v>194</v>
      </c>
      <c r="D1905" s="2">
        <v>45786</v>
      </c>
      <c r="E1905">
        <v>53850</v>
      </c>
      <c r="F1905">
        <v>116</v>
      </c>
      <c r="G1905" t="s">
        <v>126</v>
      </c>
      <c r="H1905" t="s">
        <v>167</v>
      </c>
      <c r="I1905" t="s">
        <v>45</v>
      </c>
      <c r="K1905">
        <v>202505087961370</v>
      </c>
      <c r="L1905">
        <v>2343300010453</v>
      </c>
      <c r="M1905">
        <v>20250508</v>
      </c>
      <c r="N1905" t="s">
        <v>195</v>
      </c>
      <c r="Q1905" t="s">
        <v>47</v>
      </c>
      <c r="R1905">
        <v>66230</v>
      </c>
      <c r="S1905">
        <v>66230</v>
      </c>
      <c r="T1905">
        <v>4247777</v>
      </c>
      <c r="U1905">
        <v>233470236</v>
      </c>
      <c r="V1905" t="s">
        <v>206</v>
      </c>
      <c r="W1905" t="s">
        <v>49</v>
      </c>
      <c r="X1905" t="s">
        <v>117</v>
      </c>
      <c r="Y1905" t="s">
        <v>51</v>
      </c>
      <c r="Z1905">
        <v>1696</v>
      </c>
      <c r="AH1905">
        <v>0</v>
      </c>
      <c r="AI1905">
        <v>202505</v>
      </c>
      <c r="AJ1905" t="s">
        <v>114</v>
      </c>
      <c r="AK1905">
        <v>1</v>
      </c>
      <c r="AL1905">
        <v>1</v>
      </c>
      <c r="AM1905">
        <v>4247777</v>
      </c>
      <c r="AN1905">
        <v>1</v>
      </c>
      <c r="AO1905">
        <v>0</v>
      </c>
      <c r="AP1905" t="s">
        <v>3029</v>
      </c>
      <c r="AQ1905" t="s">
        <v>3012</v>
      </c>
      <c r="AR1905" t="s">
        <v>3030</v>
      </c>
      <c r="AS1905" t="s">
        <v>3014</v>
      </c>
      <c r="AU1905" t="s">
        <v>3014</v>
      </c>
    </row>
    <row r="1906" spans="1:47" x14ac:dyDescent="0.35">
      <c r="A1906">
        <v>337934</v>
      </c>
      <c r="B1906" t="s">
        <v>172</v>
      </c>
      <c r="C1906" t="s">
        <v>173</v>
      </c>
      <c r="D1906" s="2">
        <v>45786</v>
      </c>
      <c r="E1906">
        <v>53850</v>
      </c>
      <c r="F1906">
        <v>103</v>
      </c>
      <c r="G1906" t="s">
        <v>80</v>
      </c>
      <c r="H1906" t="s">
        <v>167</v>
      </c>
      <c r="I1906" t="s">
        <v>45</v>
      </c>
      <c r="K1906">
        <v>202505087961475</v>
      </c>
      <c r="L1906">
        <v>1033306978389</v>
      </c>
      <c r="M1906">
        <v>20250508</v>
      </c>
      <c r="N1906" t="s">
        <v>81</v>
      </c>
      <c r="Q1906" t="s">
        <v>47</v>
      </c>
      <c r="R1906">
        <v>400000</v>
      </c>
      <c r="S1906">
        <v>0</v>
      </c>
      <c r="T1906">
        <v>4912146</v>
      </c>
      <c r="U1906">
        <v>8078930727</v>
      </c>
      <c r="V1906" t="s">
        <v>1124</v>
      </c>
      <c r="W1906" t="s">
        <v>49</v>
      </c>
      <c r="X1906" t="s">
        <v>364</v>
      </c>
      <c r="Y1906" t="s">
        <v>51</v>
      </c>
      <c r="Z1906">
        <v>739</v>
      </c>
      <c r="AH1906">
        <v>0</v>
      </c>
      <c r="AI1906">
        <v>202505</v>
      </c>
      <c r="AJ1906" t="s">
        <v>86</v>
      </c>
      <c r="AK1906">
        <v>1</v>
      </c>
      <c r="AL1906">
        <v>1</v>
      </c>
      <c r="AO1906">
        <v>0</v>
      </c>
      <c r="AP1906" t="s">
        <v>3062</v>
      </c>
      <c r="AQ1906" t="s">
        <v>3012</v>
      </c>
      <c r="AR1906" t="s">
        <v>3063</v>
      </c>
      <c r="AS1906" t="s">
        <v>3014</v>
      </c>
      <c r="AU1906" t="s">
        <v>3014</v>
      </c>
    </row>
    <row r="1907" spans="1:47" x14ac:dyDescent="0.35">
      <c r="A1907">
        <v>337933</v>
      </c>
      <c r="B1907" t="s">
        <v>214</v>
      </c>
      <c r="C1907" t="s">
        <v>215</v>
      </c>
      <c r="D1907" s="2">
        <v>45786</v>
      </c>
      <c r="E1907">
        <v>53850</v>
      </c>
      <c r="F1907">
        <v>175</v>
      </c>
      <c r="G1907" t="s">
        <v>99</v>
      </c>
      <c r="H1907" t="s">
        <v>167</v>
      </c>
      <c r="I1907" t="s">
        <v>45</v>
      </c>
      <c r="K1907">
        <v>202505087960870</v>
      </c>
      <c r="L1907">
        <v>1753302203813</v>
      </c>
      <c r="M1907">
        <v>20250508</v>
      </c>
      <c r="N1907" t="s">
        <v>168</v>
      </c>
      <c r="P1907" t="s">
        <v>511</v>
      </c>
      <c r="Q1907" t="s">
        <v>170</v>
      </c>
      <c r="R1907">
        <v>91731.43</v>
      </c>
      <c r="S1907">
        <v>0</v>
      </c>
      <c r="T1907">
        <v>4907691</v>
      </c>
      <c r="U1907">
        <v>1146400773</v>
      </c>
      <c r="V1907" t="s">
        <v>1034</v>
      </c>
      <c r="W1907" t="s">
        <v>49</v>
      </c>
      <c r="X1907" t="s">
        <v>257</v>
      </c>
      <c r="Y1907" t="s">
        <v>51</v>
      </c>
      <c r="Z1907">
        <v>1926</v>
      </c>
      <c r="AH1907">
        <v>0</v>
      </c>
      <c r="AI1907">
        <v>202505</v>
      </c>
      <c r="AJ1907" t="s">
        <v>86</v>
      </c>
      <c r="AK1907">
        <v>1</v>
      </c>
      <c r="AL1907">
        <v>1</v>
      </c>
      <c r="AO1907">
        <v>0</v>
      </c>
      <c r="AP1907" t="s">
        <v>3015</v>
      </c>
      <c r="AQ1907" t="s">
        <v>3012</v>
      </c>
      <c r="AR1907" t="s">
        <v>3016</v>
      </c>
      <c r="AT1907" t="s">
        <v>3017</v>
      </c>
      <c r="AU1907" t="s">
        <v>3018</v>
      </c>
    </row>
    <row r="1908" spans="1:47" x14ac:dyDescent="0.35">
      <c r="A1908">
        <v>337932</v>
      </c>
      <c r="B1908" t="s">
        <v>178</v>
      </c>
      <c r="C1908" t="s">
        <v>179</v>
      </c>
      <c r="D1908" s="2">
        <v>45786</v>
      </c>
      <c r="E1908">
        <v>53850</v>
      </c>
      <c r="F1908">
        <v>171</v>
      </c>
      <c r="G1908" t="s">
        <v>198</v>
      </c>
      <c r="H1908" t="s">
        <v>167</v>
      </c>
      <c r="I1908" t="s">
        <v>45</v>
      </c>
      <c r="K1908" t="s">
        <v>2042</v>
      </c>
      <c r="L1908">
        <v>1713302216097</v>
      </c>
      <c r="M1908">
        <v>20250508</v>
      </c>
      <c r="N1908" t="s">
        <v>3136</v>
      </c>
      <c r="Q1908" t="s">
        <v>170</v>
      </c>
      <c r="R1908">
        <v>1087.93</v>
      </c>
      <c r="S1908">
        <v>0</v>
      </c>
      <c r="T1908">
        <v>4780929</v>
      </c>
      <c r="U1908">
        <v>7472640726</v>
      </c>
      <c r="V1908" t="s">
        <v>2043</v>
      </c>
      <c r="W1908" t="s">
        <v>49</v>
      </c>
      <c r="X1908" t="s">
        <v>432</v>
      </c>
      <c r="Y1908" t="s">
        <v>51</v>
      </c>
      <c r="Z1908">
        <v>1118</v>
      </c>
      <c r="AH1908">
        <v>0</v>
      </c>
      <c r="AI1908">
        <v>202505</v>
      </c>
      <c r="AJ1908" t="s">
        <v>86</v>
      </c>
      <c r="AK1908">
        <v>1</v>
      </c>
      <c r="AL1908">
        <v>1</v>
      </c>
      <c r="AO1908">
        <v>1</v>
      </c>
      <c r="AP1908" t="s">
        <v>3015</v>
      </c>
      <c r="AQ1908" t="s">
        <v>3012</v>
      </c>
      <c r="AR1908" t="s">
        <v>3016</v>
      </c>
      <c r="AT1908" t="s">
        <v>3017</v>
      </c>
      <c r="AU1908" t="s">
        <v>3018</v>
      </c>
    </row>
    <row r="1909" spans="1:47" x14ac:dyDescent="0.35">
      <c r="A1909">
        <v>337931</v>
      </c>
      <c r="B1909" t="s">
        <v>172</v>
      </c>
      <c r="C1909" t="s">
        <v>173</v>
      </c>
      <c r="D1909" s="2">
        <v>45786</v>
      </c>
      <c r="E1909">
        <v>53850</v>
      </c>
      <c r="F1909">
        <v>108</v>
      </c>
      <c r="G1909" t="s">
        <v>124</v>
      </c>
      <c r="H1909" t="s">
        <v>167</v>
      </c>
      <c r="I1909" t="s">
        <v>45</v>
      </c>
      <c r="K1909" t="s">
        <v>2015</v>
      </c>
      <c r="L1909">
        <v>1083306290559</v>
      </c>
      <c r="M1909">
        <v>20250508</v>
      </c>
      <c r="N1909" t="s">
        <v>175</v>
      </c>
      <c r="Q1909" t="s">
        <v>47</v>
      </c>
      <c r="R1909">
        <v>106569.77</v>
      </c>
      <c r="S1909">
        <v>2000</v>
      </c>
      <c r="T1909">
        <v>4902977</v>
      </c>
      <c r="U1909">
        <v>8081970728</v>
      </c>
      <c r="V1909" t="s">
        <v>2044</v>
      </c>
      <c r="W1909" t="s">
        <v>49</v>
      </c>
      <c r="X1909" t="s">
        <v>397</v>
      </c>
      <c r="Y1909" t="s">
        <v>51</v>
      </c>
      <c r="Z1909">
        <v>1058</v>
      </c>
      <c r="AH1909">
        <v>0</v>
      </c>
      <c r="AI1909">
        <v>202505</v>
      </c>
      <c r="AJ1909" t="s">
        <v>86</v>
      </c>
      <c r="AK1909">
        <v>1</v>
      </c>
      <c r="AL1909">
        <v>1</v>
      </c>
      <c r="AO1909">
        <v>1</v>
      </c>
      <c r="AP1909" t="s">
        <v>3015</v>
      </c>
      <c r="AQ1909" t="s">
        <v>3012</v>
      </c>
      <c r="AR1909" t="s">
        <v>3016</v>
      </c>
      <c r="AT1909" t="s">
        <v>3017</v>
      </c>
      <c r="AU1909" t="s">
        <v>3018</v>
      </c>
    </row>
    <row r="1910" spans="1:47" x14ac:dyDescent="0.35">
      <c r="A1910">
        <v>337930</v>
      </c>
      <c r="B1910" t="s">
        <v>178</v>
      </c>
      <c r="C1910" t="s">
        <v>179</v>
      </c>
      <c r="D1910" s="2">
        <v>45786</v>
      </c>
      <c r="E1910">
        <v>53850</v>
      </c>
      <c r="F1910">
        <v>216</v>
      </c>
      <c r="G1910" t="s">
        <v>817</v>
      </c>
      <c r="H1910" t="s">
        <v>167</v>
      </c>
      <c r="I1910" t="s">
        <v>45</v>
      </c>
      <c r="K1910" t="s">
        <v>2045</v>
      </c>
      <c r="L1910">
        <v>2163300012270</v>
      </c>
      <c r="M1910">
        <v>20250508</v>
      </c>
      <c r="N1910" t="s">
        <v>3136</v>
      </c>
      <c r="Q1910" t="s">
        <v>170</v>
      </c>
      <c r="R1910">
        <v>2430.1</v>
      </c>
      <c r="S1910">
        <v>0</v>
      </c>
      <c r="T1910">
        <v>3723660</v>
      </c>
      <c r="U1910">
        <v>1453600676</v>
      </c>
      <c r="V1910" t="s">
        <v>1126</v>
      </c>
      <c r="W1910" t="s">
        <v>49</v>
      </c>
      <c r="X1910" t="s">
        <v>241</v>
      </c>
      <c r="Y1910" t="s">
        <v>51</v>
      </c>
      <c r="Z1910">
        <v>1595</v>
      </c>
      <c r="AH1910">
        <v>0</v>
      </c>
      <c r="AI1910">
        <v>202505</v>
      </c>
      <c r="AJ1910" t="s">
        <v>52</v>
      </c>
      <c r="AK1910">
        <v>0</v>
      </c>
      <c r="AL1910">
        <v>1</v>
      </c>
      <c r="AO1910">
        <v>1</v>
      </c>
      <c r="AP1910" t="s">
        <v>3015</v>
      </c>
      <c r="AQ1910" t="s">
        <v>3012</v>
      </c>
      <c r="AR1910" t="s">
        <v>3016</v>
      </c>
      <c r="AT1910" t="s">
        <v>3017</v>
      </c>
      <c r="AU1910" t="s">
        <v>3018</v>
      </c>
    </row>
    <row r="1911" spans="1:47" x14ac:dyDescent="0.35">
      <c r="A1911">
        <v>337929</v>
      </c>
      <c r="B1911" t="s">
        <v>178</v>
      </c>
      <c r="C1911" t="s">
        <v>179</v>
      </c>
      <c r="D1911" s="2">
        <v>45786</v>
      </c>
      <c r="E1911">
        <v>53850</v>
      </c>
      <c r="F1911">
        <v>120</v>
      </c>
      <c r="G1911" t="s">
        <v>411</v>
      </c>
      <c r="H1911" t="s">
        <v>167</v>
      </c>
      <c r="I1911" t="s">
        <v>45</v>
      </c>
      <c r="K1911" t="s">
        <v>2046</v>
      </c>
      <c r="L1911">
        <v>1203300002401</v>
      </c>
      <c r="M1911">
        <v>20250508</v>
      </c>
      <c r="N1911" t="s">
        <v>3136</v>
      </c>
      <c r="Q1911" t="s">
        <v>170</v>
      </c>
      <c r="R1911">
        <v>1024.83</v>
      </c>
      <c r="S1911">
        <v>0</v>
      </c>
      <c r="T1911">
        <v>613876</v>
      </c>
      <c r="U1911">
        <v>574290722</v>
      </c>
      <c r="V1911" t="s">
        <v>545</v>
      </c>
      <c r="W1911" t="s">
        <v>546</v>
      </c>
      <c r="X1911" t="s">
        <v>421</v>
      </c>
      <c r="Y1911" t="s">
        <v>51</v>
      </c>
      <c r="Z1911">
        <v>1058</v>
      </c>
      <c r="AH1911">
        <v>0</v>
      </c>
      <c r="AI1911">
        <v>202505</v>
      </c>
      <c r="AJ1911" t="s">
        <v>56</v>
      </c>
      <c r="AK1911">
        <v>0</v>
      </c>
      <c r="AL1911">
        <v>1</v>
      </c>
      <c r="AM1911">
        <v>613876</v>
      </c>
      <c r="AN1911">
        <v>1</v>
      </c>
      <c r="AO1911">
        <v>1</v>
      </c>
      <c r="AP1911" t="s">
        <v>3015</v>
      </c>
      <c r="AQ1911" t="s">
        <v>3076</v>
      </c>
      <c r="AR1911" t="s">
        <v>3077</v>
      </c>
      <c r="AT1911" t="s">
        <v>3017</v>
      </c>
      <c r="AU1911" t="s">
        <v>3014</v>
      </c>
    </row>
    <row r="1912" spans="1:47" x14ac:dyDescent="0.35">
      <c r="A1912">
        <v>337928</v>
      </c>
      <c r="B1912" t="s">
        <v>178</v>
      </c>
      <c r="C1912" t="s">
        <v>179</v>
      </c>
      <c r="D1912" s="2">
        <v>45786</v>
      </c>
      <c r="E1912">
        <v>53850</v>
      </c>
      <c r="F1912">
        <v>137</v>
      </c>
      <c r="G1912" t="s">
        <v>166</v>
      </c>
      <c r="H1912" t="s">
        <v>167</v>
      </c>
      <c r="I1912" t="s">
        <v>45</v>
      </c>
      <c r="K1912" t="s">
        <v>2047</v>
      </c>
      <c r="L1912">
        <v>1373300005221</v>
      </c>
      <c r="M1912">
        <v>20250508</v>
      </c>
      <c r="N1912" t="s">
        <v>3136</v>
      </c>
      <c r="Q1912" t="s">
        <v>170</v>
      </c>
      <c r="R1912">
        <v>1064.56</v>
      </c>
      <c r="S1912">
        <v>0</v>
      </c>
      <c r="T1912">
        <v>4896820</v>
      </c>
      <c r="U1912">
        <v>1790220709</v>
      </c>
      <c r="V1912" t="s">
        <v>2048</v>
      </c>
      <c r="W1912" t="s">
        <v>49</v>
      </c>
      <c r="X1912" t="s">
        <v>451</v>
      </c>
      <c r="Y1912" t="s">
        <v>51</v>
      </c>
      <c r="Z1912">
        <v>1856</v>
      </c>
      <c r="AH1912">
        <v>0</v>
      </c>
      <c r="AI1912">
        <v>202505</v>
      </c>
      <c r="AJ1912" t="s">
        <v>56</v>
      </c>
      <c r="AK1912">
        <v>0</v>
      </c>
      <c r="AL1912">
        <v>1</v>
      </c>
      <c r="AM1912">
        <v>4896820</v>
      </c>
      <c r="AN1912">
        <v>1</v>
      </c>
      <c r="AO1912">
        <v>1</v>
      </c>
      <c r="AP1912" t="s">
        <v>3015</v>
      </c>
      <c r="AQ1912" t="s">
        <v>3012</v>
      </c>
      <c r="AR1912" t="s">
        <v>3016</v>
      </c>
      <c r="AT1912" t="s">
        <v>3017</v>
      </c>
      <c r="AU1912" t="s">
        <v>3018</v>
      </c>
    </row>
    <row r="1913" spans="1:47" x14ac:dyDescent="0.35">
      <c r="A1913">
        <v>337927</v>
      </c>
      <c r="B1913" t="s">
        <v>214</v>
      </c>
      <c r="C1913" t="s">
        <v>215</v>
      </c>
      <c r="D1913" s="2">
        <v>45786</v>
      </c>
      <c r="E1913">
        <v>53850</v>
      </c>
      <c r="F1913">
        <v>180</v>
      </c>
      <c r="G1913" t="s">
        <v>2049</v>
      </c>
      <c r="H1913" t="s">
        <v>167</v>
      </c>
      <c r="I1913" t="s">
        <v>45</v>
      </c>
      <c r="K1913">
        <v>202505087960875</v>
      </c>
      <c r="L1913">
        <v>1803300005080</v>
      </c>
      <c r="M1913">
        <v>20250508</v>
      </c>
      <c r="N1913" t="s">
        <v>168</v>
      </c>
      <c r="P1913" t="s">
        <v>2050</v>
      </c>
      <c r="Q1913" t="s">
        <v>47</v>
      </c>
      <c r="R1913">
        <v>44050</v>
      </c>
      <c r="S1913">
        <v>0</v>
      </c>
      <c r="T1913">
        <v>3052182</v>
      </c>
      <c r="U1913">
        <v>845500735</v>
      </c>
      <c r="V1913" t="s">
        <v>2051</v>
      </c>
      <c r="W1913" t="s">
        <v>49</v>
      </c>
      <c r="X1913" t="s">
        <v>1165</v>
      </c>
      <c r="Y1913" t="s">
        <v>51</v>
      </c>
      <c r="Z1913">
        <v>1627</v>
      </c>
      <c r="AH1913">
        <v>0</v>
      </c>
      <c r="AI1913">
        <v>202505</v>
      </c>
      <c r="AJ1913" t="s">
        <v>52</v>
      </c>
      <c r="AK1913">
        <v>0</v>
      </c>
      <c r="AL1913">
        <v>1</v>
      </c>
      <c r="AO1913">
        <v>0</v>
      </c>
      <c r="AP1913" t="s">
        <v>3015</v>
      </c>
      <c r="AQ1913" t="s">
        <v>3012</v>
      </c>
      <c r="AR1913" t="s">
        <v>3016</v>
      </c>
      <c r="AT1913" t="s">
        <v>3017</v>
      </c>
      <c r="AU1913" t="s">
        <v>3018</v>
      </c>
    </row>
    <row r="1914" spans="1:47" x14ac:dyDescent="0.35">
      <c r="A1914">
        <v>337926</v>
      </c>
      <c r="B1914" t="s">
        <v>178</v>
      </c>
      <c r="C1914" t="s">
        <v>179</v>
      </c>
      <c r="D1914" s="2">
        <v>45786</v>
      </c>
      <c r="E1914">
        <v>53850</v>
      </c>
      <c r="F1914">
        <v>114</v>
      </c>
      <c r="G1914" t="s">
        <v>188</v>
      </c>
      <c r="H1914" t="s">
        <v>167</v>
      </c>
      <c r="I1914" t="s">
        <v>45</v>
      </c>
      <c r="K1914" t="s">
        <v>2052</v>
      </c>
      <c r="L1914">
        <v>1143306282464</v>
      </c>
      <c r="M1914">
        <v>20250508</v>
      </c>
      <c r="N1914" t="s">
        <v>3136</v>
      </c>
      <c r="Q1914" t="s">
        <v>170</v>
      </c>
      <c r="R1914">
        <v>2094.9</v>
      </c>
      <c r="S1914">
        <v>0</v>
      </c>
      <c r="T1914">
        <v>516687</v>
      </c>
      <c r="U1914" t="s">
        <v>2053</v>
      </c>
      <c r="V1914" t="s">
        <v>2054</v>
      </c>
      <c r="W1914" t="s">
        <v>187</v>
      </c>
      <c r="Y1914" t="s">
        <v>51</v>
      </c>
      <c r="Z1914">
        <v>1115</v>
      </c>
      <c r="AH1914">
        <v>0</v>
      </c>
      <c r="AI1914">
        <v>202505</v>
      </c>
      <c r="AJ1914" t="s">
        <v>52</v>
      </c>
      <c r="AK1914">
        <v>0</v>
      </c>
      <c r="AL1914">
        <v>1</v>
      </c>
      <c r="AO1914">
        <v>1</v>
      </c>
      <c r="AP1914" t="s">
        <v>3015</v>
      </c>
      <c r="AQ1914" t="s">
        <v>3044</v>
      </c>
      <c r="AR1914" t="s">
        <v>3045</v>
      </c>
      <c r="AS1914" t="s">
        <v>3046</v>
      </c>
      <c r="AU1914" t="s">
        <v>3046</v>
      </c>
    </row>
    <row r="1915" spans="1:47" x14ac:dyDescent="0.35">
      <c r="A1915">
        <v>337925</v>
      </c>
      <c r="B1915" t="s">
        <v>178</v>
      </c>
      <c r="C1915" t="s">
        <v>179</v>
      </c>
      <c r="D1915" s="2">
        <v>45786</v>
      </c>
      <c r="E1915">
        <v>53850</v>
      </c>
      <c r="F1915">
        <v>287</v>
      </c>
      <c r="G1915" t="s">
        <v>707</v>
      </c>
      <c r="H1915" t="s">
        <v>167</v>
      </c>
      <c r="I1915" t="s">
        <v>45</v>
      </c>
      <c r="K1915" t="s">
        <v>1984</v>
      </c>
      <c r="L1915">
        <v>2873300000387</v>
      </c>
      <c r="M1915">
        <v>20250508</v>
      </c>
      <c r="N1915" t="s">
        <v>3136</v>
      </c>
      <c r="Q1915" t="s">
        <v>170</v>
      </c>
      <c r="R1915">
        <v>2569.71</v>
      </c>
      <c r="S1915">
        <v>0</v>
      </c>
      <c r="T1915">
        <v>1659546</v>
      </c>
      <c r="U1915" t="s">
        <v>2055</v>
      </c>
      <c r="V1915" t="s">
        <v>2056</v>
      </c>
      <c r="W1915" t="s">
        <v>187</v>
      </c>
      <c r="Y1915" t="s">
        <v>51</v>
      </c>
      <c r="AH1915">
        <v>0</v>
      </c>
      <c r="AI1915">
        <v>202505</v>
      </c>
      <c r="AJ1915" t="s">
        <v>52</v>
      </c>
      <c r="AK1915">
        <v>0</v>
      </c>
      <c r="AL1915">
        <v>1</v>
      </c>
      <c r="AO1915">
        <v>1</v>
      </c>
      <c r="AP1915" t="s">
        <v>3015</v>
      </c>
      <c r="AQ1915" t="s">
        <v>3044</v>
      </c>
      <c r="AR1915" t="s">
        <v>3045</v>
      </c>
      <c r="AS1915" t="s">
        <v>3046</v>
      </c>
      <c r="AU1915" t="s">
        <v>3046</v>
      </c>
    </row>
    <row r="1916" spans="1:47" x14ac:dyDescent="0.35">
      <c r="A1916">
        <v>337924</v>
      </c>
      <c r="B1916" t="s">
        <v>178</v>
      </c>
      <c r="C1916" t="s">
        <v>179</v>
      </c>
      <c r="D1916" s="2">
        <v>45786</v>
      </c>
      <c r="E1916">
        <v>53850</v>
      </c>
      <c r="F1916">
        <v>268</v>
      </c>
      <c r="G1916" t="s">
        <v>83</v>
      </c>
      <c r="H1916" t="s">
        <v>167</v>
      </c>
      <c r="I1916" t="s">
        <v>45</v>
      </c>
      <c r="K1916" t="s">
        <v>2057</v>
      </c>
      <c r="L1916">
        <v>2683300003973</v>
      </c>
      <c r="M1916">
        <v>20250508</v>
      </c>
      <c r="N1916" t="s">
        <v>3136</v>
      </c>
      <c r="Q1916" t="s">
        <v>170</v>
      </c>
      <c r="R1916">
        <v>4396.18</v>
      </c>
      <c r="S1916">
        <v>0</v>
      </c>
      <c r="T1916">
        <v>1645933</v>
      </c>
      <c r="U1916" t="s">
        <v>2058</v>
      </c>
      <c r="V1916" t="s">
        <v>2059</v>
      </c>
      <c r="W1916" t="s">
        <v>187</v>
      </c>
      <c r="Y1916" t="s">
        <v>51</v>
      </c>
      <c r="Z1916">
        <v>1830</v>
      </c>
      <c r="AH1916">
        <v>0</v>
      </c>
      <c r="AI1916">
        <v>202505</v>
      </c>
      <c r="AJ1916" t="s">
        <v>86</v>
      </c>
      <c r="AK1916">
        <v>1</v>
      </c>
      <c r="AL1916">
        <v>1</v>
      </c>
      <c r="AO1916">
        <v>1</v>
      </c>
      <c r="AP1916" t="s">
        <v>3015</v>
      </c>
      <c r="AQ1916" t="s">
        <v>3044</v>
      </c>
      <c r="AR1916" t="s">
        <v>3045</v>
      </c>
      <c r="AS1916" t="s">
        <v>3046</v>
      </c>
      <c r="AU1916" t="s">
        <v>3046</v>
      </c>
    </row>
    <row r="1917" spans="1:47" x14ac:dyDescent="0.35">
      <c r="A1917">
        <v>337923</v>
      </c>
      <c r="B1917" t="s">
        <v>178</v>
      </c>
      <c r="C1917" t="s">
        <v>179</v>
      </c>
      <c r="D1917" s="2">
        <v>45786</v>
      </c>
      <c r="E1917">
        <v>53850</v>
      </c>
      <c r="F1917">
        <v>167</v>
      </c>
      <c r="G1917" t="s">
        <v>278</v>
      </c>
      <c r="H1917" t="s">
        <v>167</v>
      </c>
      <c r="I1917" t="s">
        <v>45</v>
      </c>
      <c r="K1917" t="s">
        <v>2060</v>
      </c>
      <c r="L1917">
        <v>1673301674288</v>
      </c>
      <c r="M1917">
        <v>20250508</v>
      </c>
      <c r="N1917" t="s">
        <v>3136</v>
      </c>
      <c r="Q1917" t="s">
        <v>170</v>
      </c>
      <c r="R1917">
        <v>1340.28</v>
      </c>
      <c r="S1917">
        <v>0</v>
      </c>
      <c r="T1917">
        <v>562079</v>
      </c>
      <c r="U1917">
        <v>4629890726</v>
      </c>
      <c r="V1917" t="s">
        <v>2061</v>
      </c>
      <c r="W1917" t="s">
        <v>49</v>
      </c>
      <c r="X1917" t="s">
        <v>597</v>
      </c>
      <c r="Y1917" t="s">
        <v>51</v>
      </c>
      <c r="Z1917">
        <v>1175</v>
      </c>
      <c r="AH1917">
        <v>0</v>
      </c>
      <c r="AI1917">
        <v>202505</v>
      </c>
      <c r="AJ1917" t="s">
        <v>52</v>
      </c>
      <c r="AK1917">
        <v>0</v>
      </c>
      <c r="AL1917">
        <v>1</v>
      </c>
      <c r="AM1917">
        <v>562079</v>
      </c>
      <c r="AN1917">
        <v>1</v>
      </c>
      <c r="AO1917">
        <v>1</v>
      </c>
      <c r="AP1917" t="s">
        <v>3015</v>
      </c>
      <c r="AQ1917" t="s">
        <v>3012</v>
      </c>
      <c r="AR1917" t="s">
        <v>3016</v>
      </c>
      <c r="AT1917" t="s">
        <v>3017</v>
      </c>
      <c r="AU1917" t="s">
        <v>3018</v>
      </c>
    </row>
    <row r="1918" spans="1:47" x14ac:dyDescent="0.35">
      <c r="A1918">
        <v>337922</v>
      </c>
      <c r="B1918" t="s">
        <v>178</v>
      </c>
      <c r="C1918" t="s">
        <v>179</v>
      </c>
      <c r="D1918" s="2">
        <v>45786</v>
      </c>
      <c r="E1918">
        <v>53850</v>
      </c>
      <c r="F1918">
        <v>125</v>
      </c>
      <c r="G1918" t="s">
        <v>75</v>
      </c>
      <c r="H1918" t="s">
        <v>167</v>
      </c>
      <c r="I1918" t="s">
        <v>45</v>
      </c>
      <c r="K1918" t="s">
        <v>2062</v>
      </c>
      <c r="L1918">
        <v>1253300002492</v>
      </c>
      <c r="M1918">
        <v>20250508</v>
      </c>
      <c r="N1918" t="s">
        <v>3136</v>
      </c>
      <c r="Q1918" t="s">
        <v>170</v>
      </c>
      <c r="R1918">
        <v>2145.09</v>
      </c>
      <c r="S1918">
        <v>0</v>
      </c>
      <c r="T1918">
        <v>4930799</v>
      </c>
      <c r="U1918">
        <v>5212370638</v>
      </c>
      <c r="V1918" t="s">
        <v>1094</v>
      </c>
      <c r="W1918" t="s">
        <v>49</v>
      </c>
      <c r="X1918" t="s">
        <v>241</v>
      </c>
      <c r="Y1918" t="s">
        <v>51</v>
      </c>
      <c r="Z1918">
        <v>982</v>
      </c>
      <c r="AH1918">
        <v>0</v>
      </c>
      <c r="AI1918">
        <v>202505</v>
      </c>
      <c r="AJ1918" t="s">
        <v>52</v>
      </c>
      <c r="AK1918">
        <v>0</v>
      </c>
      <c r="AL1918">
        <v>1</v>
      </c>
      <c r="AO1918">
        <v>1</v>
      </c>
      <c r="AP1918" t="s">
        <v>3015</v>
      </c>
      <c r="AQ1918" t="s">
        <v>3012</v>
      </c>
      <c r="AR1918" t="s">
        <v>3016</v>
      </c>
      <c r="AT1918" t="s">
        <v>3017</v>
      </c>
      <c r="AU1918" t="s">
        <v>3018</v>
      </c>
    </row>
    <row r="1919" spans="1:47" x14ac:dyDescent="0.35">
      <c r="A1919">
        <v>337921</v>
      </c>
      <c r="B1919" t="s">
        <v>178</v>
      </c>
      <c r="C1919" t="s">
        <v>179</v>
      </c>
      <c r="D1919" s="2">
        <v>45786</v>
      </c>
      <c r="E1919">
        <v>53850</v>
      </c>
      <c r="F1919">
        <v>103</v>
      </c>
      <c r="G1919" t="s">
        <v>80</v>
      </c>
      <c r="H1919" t="s">
        <v>167</v>
      </c>
      <c r="I1919" t="s">
        <v>45</v>
      </c>
      <c r="K1919" t="s">
        <v>2063</v>
      </c>
      <c r="L1919">
        <v>1033306979232</v>
      </c>
      <c r="M1919">
        <v>20250508</v>
      </c>
      <c r="N1919" t="s">
        <v>3136</v>
      </c>
      <c r="Q1919" t="s">
        <v>170</v>
      </c>
      <c r="R1919">
        <v>1249.29</v>
      </c>
      <c r="S1919">
        <v>0</v>
      </c>
      <c r="T1919">
        <v>4947000</v>
      </c>
      <c r="U1919">
        <v>8226640723</v>
      </c>
      <c r="V1919" t="s">
        <v>2064</v>
      </c>
      <c r="W1919" t="s">
        <v>49</v>
      </c>
      <c r="X1919" t="s">
        <v>1741</v>
      </c>
      <c r="Y1919" t="s">
        <v>51</v>
      </c>
      <c r="Z1919">
        <v>1912</v>
      </c>
      <c r="AH1919">
        <v>0</v>
      </c>
      <c r="AI1919">
        <v>202505</v>
      </c>
      <c r="AJ1919" t="s">
        <v>86</v>
      </c>
      <c r="AK1919">
        <v>1</v>
      </c>
      <c r="AL1919">
        <v>1</v>
      </c>
      <c r="AO1919">
        <v>1</v>
      </c>
      <c r="AP1919" t="s">
        <v>3015</v>
      </c>
      <c r="AQ1919" t="s">
        <v>3012</v>
      </c>
      <c r="AR1919" t="s">
        <v>3016</v>
      </c>
      <c r="AT1919" t="s">
        <v>3017</v>
      </c>
      <c r="AU1919" t="s">
        <v>3018</v>
      </c>
    </row>
    <row r="1920" spans="1:47" x14ac:dyDescent="0.35">
      <c r="A1920">
        <v>337920</v>
      </c>
      <c r="B1920" t="s">
        <v>178</v>
      </c>
      <c r="C1920" t="s">
        <v>179</v>
      </c>
      <c r="D1920" s="2">
        <v>45786</v>
      </c>
      <c r="E1920">
        <v>53850</v>
      </c>
      <c r="F1920">
        <v>204</v>
      </c>
      <c r="G1920" t="s">
        <v>329</v>
      </c>
      <c r="H1920" t="s">
        <v>167</v>
      </c>
      <c r="I1920" t="s">
        <v>45</v>
      </c>
      <c r="K1920" t="s">
        <v>2065</v>
      </c>
      <c r="L1920">
        <v>2043300012553</v>
      </c>
      <c r="M1920">
        <v>20250508</v>
      </c>
      <c r="N1920" t="s">
        <v>3136</v>
      </c>
      <c r="Q1920" t="s">
        <v>170</v>
      </c>
      <c r="R1920">
        <v>1182.6600000000001</v>
      </c>
      <c r="S1920">
        <v>0</v>
      </c>
      <c r="T1920">
        <v>4902092</v>
      </c>
      <c r="U1920">
        <v>14374361005</v>
      </c>
      <c r="V1920" t="s">
        <v>1104</v>
      </c>
      <c r="W1920" t="s">
        <v>49</v>
      </c>
      <c r="X1920" t="s">
        <v>200</v>
      </c>
      <c r="Y1920" t="s">
        <v>51</v>
      </c>
      <c r="Z1920">
        <v>1810</v>
      </c>
      <c r="AH1920">
        <v>0</v>
      </c>
      <c r="AI1920">
        <v>202505</v>
      </c>
      <c r="AJ1920" t="s">
        <v>52</v>
      </c>
      <c r="AK1920">
        <v>0</v>
      </c>
      <c r="AL1920">
        <v>1</v>
      </c>
      <c r="AM1920">
        <v>4902092</v>
      </c>
      <c r="AN1920">
        <v>1</v>
      </c>
      <c r="AO1920">
        <v>1</v>
      </c>
      <c r="AP1920" t="s">
        <v>3015</v>
      </c>
      <c r="AQ1920" t="s">
        <v>3012</v>
      </c>
      <c r="AR1920" t="s">
        <v>3016</v>
      </c>
      <c r="AT1920" t="s">
        <v>3017</v>
      </c>
      <c r="AU1920" t="s">
        <v>3018</v>
      </c>
    </row>
    <row r="1921" spans="1:47" x14ac:dyDescent="0.35">
      <c r="A1921">
        <v>337919</v>
      </c>
      <c r="B1921" t="s">
        <v>178</v>
      </c>
      <c r="C1921" t="s">
        <v>179</v>
      </c>
      <c r="D1921" s="2">
        <v>45786</v>
      </c>
      <c r="E1921">
        <v>53850</v>
      </c>
      <c r="F1921">
        <v>137</v>
      </c>
      <c r="G1921" t="s">
        <v>166</v>
      </c>
      <c r="H1921" t="s">
        <v>167</v>
      </c>
      <c r="I1921" t="s">
        <v>45</v>
      </c>
      <c r="K1921">
        <v>202505087961208</v>
      </c>
      <c r="L1921">
        <v>1373304102457</v>
      </c>
      <c r="M1921">
        <v>20250508</v>
      </c>
      <c r="N1921" t="s">
        <v>258</v>
      </c>
      <c r="Q1921" t="s">
        <v>170</v>
      </c>
      <c r="R1921">
        <v>400000</v>
      </c>
      <c r="S1921">
        <v>0</v>
      </c>
      <c r="T1921">
        <v>1003291</v>
      </c>
      <c r="U1921" t="s">
        <v>614</v>
      </c>
      <c r="V1921" t="s">
        <v>615</v>
      </c>
      <c r="W1921" t="s">
        <v>187</v>
      </c>
      <c r="Y1921" t="s">
        <v>51</v>
      </c>
      <c r="Z1921">
        <v>1867</v>
      </c>
      <c r="AH1921">
        <v>0</v>
      </c>
      <c r="AI1921">
        <v>202505</v>
      </c>
      <c r="AJ1921" t="s">
        <v>56</v>
      </c>
      <c r="AK1921">
        <v>0</v>
      </c>
      <c r="AL1921">
        <v>1</v>
      </c>
      <c r="AO1921">
        <v>0</v>
      </c>
      <c r="AP1921" t="s">
        <v>3015</v>
      </c>
      <c r="AQ1921" t="s">
        <v>3044</v>
      </c>
      <c r="AR1921" t="s">
        <v>3045</v>
      </c>
      <c r="AS1921" t="s">
        <v>3046</v>
      </c>
      <c r="AU1921" t="s">
        <v>3046</v>
      </c>
    </row>
    <row r="1922" spans="1:47" x14ac:dyDescent="0.35">
      <c r="A1922">
        <v>337918</v>
      </c>
      <c r="B1922" t="s">
        <v>193</v>
      </c>
      <c r="C1922" t="s">
        <v>194</v>
      </c>
      <c r="D1922" s="2">
        <v>45786</v>
      </c>
      <c r="E1922">
        <v>53850</v>
      </c>
      <c r="F1922">
        <v>108</v>
      </c>
      <c r="G1922" t="s">
        <v>124</v>
      </c>
      <c r="H1922" t="s">
        <v>167</v>
      </c>
      <c r="I1922" t="s">
        <v>45</v>
      </c>
      <c r="K1922">
        <v>202505087961528</v>
      </c>
      <c r="L1922">
        <v>1083306291105</v>
      </c>
      <c r="M1922">
        <v>20250508</v>
      </c>
      <c r="N1922" t="s">
        <v>266</v>
      </c>
      <c r="Q1922" t="s">
        <v>47</v>
      </c>
      <c r="R1922">
        <v>49488.35</v>
      </c>
      <c r="S1922">
        <v>49488.35</v>
      </c>
      <c r="T1922">
        <v>4227057</v>
      </c>
      <c r="U1922">
        <v>4874620729</v>
      </c>
      <c r="V1922" t="s">
        <v>250</v>
      </c>
      <c r="W1922" t="s">
        <v>49</v>
      </c>
      <c r="X1922" t="s">
        <v>62</v>
      </c>
      <c r="Y1922" t="s">
        <v>51</v>
      </c>
      <c r="Z1922">
        <v>1058</v>
      </c>
      <c r="AH1922">
        <v>0</v>
      </c>
      <c r="AI1922">
        <v>202505</v>
      </c>
      <c r="AJ1922" t="s">
        <v>56</v>
      </c>
      <c r="AK1922">
        <v>0</v>
      </c>
      <c r="AL1922">
        <v>1</v>
      </c>
      <c r="AM1922">
        <v>4227057</v>
      </c>
      <c r="AN1922">
        <v>1</v>
      </c>
      <c r="AO1922">
        <v>0</v>
      </c>
      <c r="AP1922" t="s">
        <v>3015</v>
      </c>
      <c r="AQ1922" t="s">
        <v>3012</v>
      </c>
      <c r="AR1922" t="s">
        <v>3016</v>
      </c>
      <c r="AT1922" t="s">
        <v>3017</v>
      </c>
      <c r="AU1922" t="s">
        <v>3018</v>
      </c>
    </row>
    <row r="1923" spans="1:47" x14ac:dyDescent="0.35">
      <c r="A1923">
        <v>337917</v>
      </c>
      <c r="B1923" t="s">
        <v>164</v>
      </c>
      <c r="C1923" t="s">
        <v>165</v>
      </c>
      <c r="D1923" s="2">
        <v>45786</v>
      </c>
      <c r="E1923">
        <v>53850</v>
      </c>
      <c r="F1923">
        <v>187</v>
      </c>
      <c r="G1923" t="s">
        <v>251</v>
      </c>
      <c r="H1923" t="s">
        <v>167</v>
      </c>
      <c r="I1923" t="s">
        <v>45</v>
      </c>
      <c r="K1923" t="s">
        <v>2066</v>
      </c>
      <c r="L1923">
        <v>1873300102696</v>
      </c>
      <c r="M1923">
        <v>20250508</v>
      </c>
      <c r="N1923" t="s">
        <v>168</v>
      </c>
      <c r="P1923" t="s">
        <v>255</v>
      </c>
      <c r="Q1923" t="s">
        <v>47</v>
      </c>
      <c r="R1923">
        <v>4682.99</v>
      </c>
      <c r="S1923">
        <v>0</v>
      </c>
      <c r="T1923">
        <v>4000559</v>
      </c>
      <c r="U1923">
        <v>2099160737</v>
      </c>
      <c r="V1923" t="s">
        <v>528</v>
      </c>
      <c r="W1923" t="s">
        <v>49</v>
      </c>
      <c r="X1923" t="s">
        <v>117</v>
      </c>
      <c r="Y1923" t="s">
        <v>51</v>
      </c>
      <c r="Z1923">
        <v>1627</v>
      </c>
      <c r="AH1923">
        <v>0</v>
      </c>
      <c r="AI1923">
        <v>202505</v>
      </c>
      <c r="AJ1923" t="s">
        <v>56</v>
      </c>
      <c r="AK1923">
        <v>0</v>
      </c>
      <c r="AL1923">
        <v>1</v>
      </c>
      <c r="AO1923">
        <v>0</v>
      </c>
      <c r="AP1923" t="s">
        <v>3029</v>
      </c>
      <c r="AQ1923" t="s">
        <v>3012</v>
      </c>
      <c r="AR1923" t="s">
        <v>3030</v>
      </c>
      <c r="AS1923" t="s">
        <v>3014</v>
      </c>
      <c r="AU1923" t="s">
        <v>3014</v>
      </c>
    </row>
    <row r="1924" spans="1:47" x14ac:dyDescent="0.35">
      <c r="A1924">
        <v>337916</v>
      </c>
      <c r="B1924" t="s">
        <v>178</v>
      </c>
      <c r="C1924" t="s">
        <v>179</v>
      </c>
      <c r="D1924" s="2">
        <v>45786</v>
      </c>
      <c r="E1924">
        <v>53850</v>
      </c>
      <c r="F1924">
        <v>109</v>
      </c>
      <c r="G1924" t="s">
        <v>89</v>
      </c>
      <c r="H1924" t="s">
        <v>167</v>
      </c>
      <c r="I1924" t="s">
        <v>45</v>
      </c>
      <c r="K1924" t="s">
        <v>2067</v>
      </c>
      <c r="L1924">
        <v>1093306677028</v>
      </c>
      <c r="M1924">
        <v>20250508</v>
      </c>
      <c r="N1924" t="s">
        <v>3136</v>
      </c>
      <c r="Q1924" t="s">
        <v>170</v>
      </c>
      <c r="R1924">
        <v>2370.46</v>
      </c>
      <c r="S1924">
        <v>0</v>
      </c>
      <c r="T1924">
        <v>3711845</v>
      </c>
      <c r="U1924">
        <v>8604300726</v>
      </c>
      <c r="V1924" t="s">
        <v>1128</v>
      </c>
      <c r="W1924" t="s">
        <v>49</v>
      </c>
      <c r="X1924" t="s">
        <v>432</v>
      </c>
      <c r="Y1924" t="s">
        <v>51</v>
      </c>
      <c r="Z1924">
        <v>502</v>
      </c>
      <c r="AH1924">
        <v>0</v>
      </c>
      <c r="AI1924">
        <v>202505</v>
      </c>
      <c r="AJ1924" t="s">
        <v>86</v>
      </c>
      <c r="AK1924">
        <v>1</v>
      </c>
      <c r="AL1924">
        <v>1</v>
      </c>
      <c r="AO1924">
        <v>1</v>
      </c>
      <c r="AP1924" t="s">
        <v>3015</v>
      </c>
      <c r="AQ1924" t="s">
        <v>3012</v>
      </c>
      <c r="AR1924" t="s">
        <v>3016</v>
      </c>
      <c r="AT1924" t="s">
        <v>3017</v>
      </c>
      <c r="AU1924" t="s">
        <v>3018</v>
      </c>
    </row>
    <row r="1925" spans="1:47" x14ac:dyDescent="0.35">
      <c r="A1925">
        <v>337915</v>
      </c>
      <c r="B1925" t="s">
        <v>193</v>
      </c>
      <c r="C1925" t="s">
        <v>194</v>
      </c>
      <c r="D1925" s="2">
        <v>45786</v>
      </c>
      <c r="E1925">
        <v>53850</v>
      </c>
      <c r="F1925">
        <v>114</v>
      </c>
      <c r="G1925" t="s">
        <v>188</v>
      </c>
      <c r="H1925" t="s">
        <v>167</v>
      </c>
      <c r="I1925" t="s">
        <v>45</v>
      </c>
      <c r="K1925">
        <v>202505087961565</v>
      </c>
      <c r="L1925">
        <v>1143306280621</v>
      </c>
      <c r="M1925">
        <v>20250508</v>
      </c>
      <c r="N1925" t="s">
        <v>266</v>
      </c>
      <c r="Q1925" t="s">
        <v>47</v>
      </c>
      <c r="R1925">
        <v>53750</v>
      </c>
      <c r="S1925">
        <v>53750</v>
      </c>
      <c r="T1925">
        <v>4658875</v>
      </c>
      <c r="U1925">
        <v>3230890711</v>
      </c>
      <c r="V1925" t="s">
        <v>1363</v>
      </c>
      <c r="W1925" t="s">
        <v>49</v>
      </c>
      <c r="X1925" t="s">
        <v>131</v>
      </c>
      <c r="Y1925" t="s">
        <v>51</v>
      </c>
      <c r="Z1925">
        <v>870</v>
      </c>
      <c r="AH1925">
        <v>0</v>
      </c>
      <c r="AI1925">
        <v>202505</v>
      </c>
      <c r="AJ1925" t="s">
        <v>56</v>
      </c>
      <c r="AK1925">
        <v>0</v>
      </c>
      <c r="AL1925">
        <v>1</v>
      </c>
      <c r="AM1925">
        <v>4658875</v>
      </c>
      <c r="AN1925">
        <v>1</v>
      </c>
      <c r="AO1925">
        <v>0</v>
      </c>
      <c r="AP1925" t="s">
        <v>3033</v>
      </c>
      <c r="AQ1925" t="s">
        <v>3012</v>
      </c>
      <c r="AR1925" t="s">
        <v>3034</v>
      </c>
      <c r="AS1925" t="s">
        <v>3014</v>
      </c>
      <c r="AU1925" t="s">
        <v>3014</v>
      </c>
    </row>
    <row r="1926" spans="1:47" x14ac:dyDescent="0.35">
      <c r="A1926">
        <v>337914</v>
      </c>
      <c r="B1926" t="s">
        <v>178</v>
      </c>
      <c r="C1926" t="s">
        <v>179</v>
      </c>
      <c r="D1926" s="2">
        <v>45786</v>
      </c>
      <c r="E1926">
        <v>53850</v>
      </c>
      <c r="F1926">
        <v>161</v>
      </c>
      <c r="G1926" t="s">
        <v>111</v>
      </c>
      <c r="H1926" t="s">
        <v>167</v>
      </c>
      <c r="I1926" t="s">
        <v>45</v>
      </c>
      <c r="K1926">
        <v>202505087959087</v>
      </c>
      <c r="L1926">
        <v>1613300029653</v>
      </c>
      <c r="M1926">
        <v>20250508</v>
      </c>
      <c r="N1926" t="s">
        <v>236</v>
      </c>
      <c r="P1926" t="s">
        <v>51</v>
      </c>
      <c r="Q1926" t="s">
        <v>170</v>
      </c>
      <c r="R1926">
        <v>700000</v>
      </c>
      <c r="S1926">
        <v>0</v>
      </c>
      <c r="T1926">
        <v>4088769</v>
      </c>
      <c r="U1926">
        <v>5150120722</v>
      </c>
      <c r="V1926" t="s">
        <v>270</v>
      </c>
      <c r="W1926" t="s">
        <v>49</v>
      </c>
      <c r="X1926" t="s">
        <v>110</v>
      </c>
      <c r="Y1926" t="s">
        <v>51</v>
      </c>
      <c r="Z1926">
        <v>1903</v>
      </c>
      <c r="AH1926">
        <v>0</v>
      </c>
      <c r="AI1926">
        <v>202505</v>
      </c>
      <c r="AJ1926" t="s">
        <v>56</v>
      </c>
      <c r="AK1926">
        <v>0</v>
      </c>
      <c r="AL1926">
        <v>1</v>
      </c>
      <c r="AM1926">
        <v>4088769</v>
      </c>
      <c r="AN1926">
        <v>1</v>
      </c>
      <c r="AO1926">
        <v>0</v>
      </c>
      <c r="AP1926" t="s">
        <v>3026</v>
      </c>
      <c r="AQ1926" t="s">
        <v>3012</v>
      </c>
      <c r="AR1926" t="s">
        <v>3027</v>
      </c>
      <c r="AS1926" t="s">
        <v>3028</v>
      </c>
      <c r="AU1926" t="s">
        <v>3028</v>
      </c>
    </row>
    <row r="1927" spans="1:47" x14ac:dyDescent="0.35">
      <c r="A1927">
        <v>337913</v>
      </c>
      <c r="B1927" t="s">
        <v>178</v>
      </c>
      <c r="C1927" t="s">
        <v>179</v>
      </c>
      <c r="D1927" s="2">
        <v>45786</v>
      </c>
      <c r="E1927">
        <v>53850</v>
      </c>
      <c r="F1927">
        <v>109</v>
      </c>
      <c r="G1927" t="s">
        <v>89</v>
      </c>
      <c r="H1927" t="s">
        <v>167</v>
      </c>
      <c r="I1927" t="s">
        <v>45</v>
      </c>
      <c r="K1927" t="s">
        <v>2068</v>
      </c>
      <c r="L1927">
        <v>1093306674452</v>
      </c>
      <c r="M1927">
        <v>20250508</v>
      </c>
      <c r="N1927" t="s">
        <v>3136</v>
      </c>
      <c r="Q1927" t="s">
        <v>170</v>
      </c>
      <c r="R1927">
        <v>1860.59</v>
      </c>
      <c r="S1927">
        <v>0</v>
      </c>
      <c r="T1927">
        <v>4924753</v>
      </c>
      <c r="U1927">
        <v>7222270725</v>
      </c>
      <c r="V1927" t="s">
        <v>1118</v>
      </c>
      <c r="W1927" t="s">
        <v>49</v>
      </c>
      <c r="X1927" t="s">
        <v>713</v>
      </c>
      <c r="Y1927" t="s">
        <v>51</v>
      </c>
      <c r="Z1927">
        <v>1903</v>
      </c>
      <c r="AH1927">
        <v>0</v>
      </c>
      <c r="AI1927">
        <v>202505</v>
      </c>
      <c r="AJ1927" t="s">
        <v>56</v>
      </c>
      <c r="AK1927">
        <v>0</v>
      </c>
      <c r="AL1927">
        <v>1</v>
      </c>
      <c r="AO1927">
        <v>1</v>
      </c>
      <c r="AP1927" t="s">
        <v>3015</v>
      </c>
      <c r="AQ1927" t="s">
        <v>3012</v>
      </c>
      <c r="AR1927" t="s">
        <v>3016</v>
      </c>
      <c r="AT1927" t="s">
        <v>3017</v>
      </c>
      <c r="AU1927" t="s">
        <v>3018</v>
      </c>
    </row>
    <row r="1928" spans="1:47" x14ac:dyDescent="0.35">
      <c r="A1928">
        <v>337912</v>
      </c>
      <c r="B1928" t="s">
        <v>178</v>
      </c>
      <c r="C1928" t="s">
        <v>179</v>
      </c>
      <c r="D1928" s="2">
        <v>45786</v>
      </c>
      <c r="E1928">
        <v>53850</v>
      </c>
      <c r="F1928">
        <v>120</v>
      </c>
      <c r="G1928" t="s">
        <v>411</v>
      </c>
      <c r="H1928" t="s">
        <v>167</v>
      </c>
      <c r="I1928" t="s">
        <v>45</v>
      </c>
      <c r="K1928">
        <v>202505087959505</v>
      </c>
      <c r="L1928">
        <v>1203300002401</v>
      </c>
      <c r="M1928">
        <v>20250508</v>
      </c>
      <c r="N1928" t="s">
        <v>236</v>
      </c>
      <c r="P1928" t="s">
        <v>51</v>
      </c>
      <c r="Q1928" t="s">
        <v>170</v>
      </c>
      <c r="R1928">
        <v>660907.43000000005</v>
      </c>
      <c r="S1928">
        <v>0</v>
      </c>
      <c r="T1928">
        <v>613876</v>
      </c>
      <c r="U1928">
        <v>574290722</v>
      </c>
      <c r="V1928" t="s">
        <v>545</v>
      </c>
      <c r="W1928" t="s">
        <v>546</v>
      </c>
      <c r="X1928" t="s">
        <v>421</v>
      </c>
      <c r="Y1928" t="s">
        <v>51</v>
      </c>
      <c r="Z1928">
        <v>1058</v>
      </c>
      <c r="AH1928">
        <v>0</v>
      </c>
      <c r="AI1928">
        <v>202505</v>
      </c>
      <c r="AJ1928" t="s">
        <v>56</v>
      </c>
      <c r="AK1928">
        <v>0</v>
      </c>
      <c r="AL1928">
        <v>1</v>
      </c>
      <c r="AM1928">
        <v>613876</v>
      </c>
      <c r="AN1928">
        <v>1</v>
      </c>
      <c r="AO1928">
        <v>0</v>
      </c>
      <c r="AP1928" t="s">
        <v>3015</v>
      </c>
      <c r="AQ1928" t="s">
        <v>3076</v>
      </c>
      <c r="AR1928" t="s">
        <v>3077</v>
      </c>
      <c r="AT1928" t="s">
        <v>3017</v>
      </c>
      <c r="AU1928" t="s">
        <v>3014</v>
      </c>
    </row>
    <row r="1929" spans="1:47" x14ac:dyDescent="0.35">
      <c r="A1929">
        <v>337911</v>
      </c>
      <c r="B1929" t="s">
        <v>193</v>
      </c>
      <c r="C1929" t="s">
        <v>194</v>
      </c>
      <c r="D1929" s="2">
        <v>45786</v>
      </c>
      <c r="E1929">
        <v>53850</v>
      </c>
      <c r="F1929">
        <v>269</v>
      </c>
      <c r="G1929" t="s">
        <v>265</v>
      </c>
      <c r="H1929" t="s">
        <v>167</v>
      </c>
      <c r="I1929" t="s">
        <v>45</v>
      </c>
      <c r="K1929" t="s">
        <v>2015</v>
      </c>
      <c r="L1929">
        <v>2693300001614</v>
      </c>
      <c r="M1929">
        <v>20250508</v>
      </c>
      <c r="N1929" t="s">
        <v>266</v>
      </c>
      <c r="Q1929" t="s">
        <v>47</v>
      </c>
      <c r="R1929">
        <v>45590</v>
      </c>
      <c r="S1929">
        <v>45590</v>
      </c>
      <c r="T1929">
        <v>1695085</v>
      </c>
      <c r="U1929" t="s">
        <v>267</v>
      </c>
      <c r="V1929" t="s">
        <v>268</v>
      </c>
      <c r="W1929" t="s">
        <v>69</v>
      </c>
      <c r="X1929" t="s">
        <v>55</v>
      </c>
      <c r="Y1929" t="s">
        <v>51</v>
      </c>
      <c r="Z1929">
        <v>1805</v>
      </c>
      <c r="AH1929">
        <v>0</v>
      </c>
      <c r="AI1929">
        <v>202505</v>
      </c>
      <c r="AJ1929" t="s">
        <v>56</v>
      </c>
      <c r="AK1929">
        <v>0</v>
      </c>
      <c r="AL1929">
        <v>1</v>
      </c>
      <c r="AM1929">
        <v>1695085</v>
      </c>
      <c r="AN1929">
        <v>1</v>
      </c>
      <c r="AO1929">
        <v>0</v>
      </c>
      <c r="AP1929" t="s">
        <v>3015</v>
      </c>
      <c r="AQ1929" t="s">
        <v>3021</v>
      </c>
      <c r="AR1929" t="s">
        <v>3022</v>
      </c>
      <c r="AT1929" t="s">
        <v>3017</v>
      </c>
      <c r="AU1929" t="s">
        <v>3014</v>
      </c>
    </row>
    <row r="1930" spans="1:47" x14ac:dyDescent="0.35">
      <c r="A1930">
        <v>337910</v>
      </c>
      <c r="B1930" t="s">
        <v>164</v>
      </c>
      <c r="C1930" t="s">
        <v>165</v>
      </c>
      <c r="D1930" s="2">
        <v>45786</v>
      </c>
      <c r="E1930">
        <v>53850</v>
      </c>
      <c r="F1930">
        <v>118</v>
      </c>
      <c r="G1930" t="s">
        <v>254</v>
      </c>
      <c r="H1930" t="s">
        <v>167</v>
      </c>
      <c r="I1930" t="s">
        <v>45</v>
      </c>
      <c r="K1930" t="s">
        <v>2010</v>
      </c>
      <c r="L1930">
        <v>1183306279722</v>
      </c>
      <c r="M1930">
        <v>20250508</v>
      </c>
      <c r="N1930" t="s">
        <v>168</v>
      </c>
      <c r="P1930" t="s">
        <v>255</v>
      </c>
      <c r="Q1930" t="s">
        <v>170</v>
      </c>
      <c r="R1930">
        <v>1515</v>
      </c>
      <c r="S1930">
        <v>0</v>
      </c>
      <c r="T1930">
        <v>4144657</v>
      </c>
      <c r="U1930" t="s">
        <v>2069</v>
      </c>
      <c r="V1930" t="s">
        <v>2070</v>
      </c>
      <c r="W1930" t="s">
        <v>187</v>
      </c>
      <c r="Y1930" t="s">
        <v>51</v>
      </c>
      <c r="Z1930">
        <v>632</v>
      </c>
      <c r="AH1930">
        <v>0</v>
      </c>
      <c r="AI1930">
        <v>202505</v>
      </c>
      <c r="AJ1930" t="s">
        <v>86</v>
      </c>
      <c r="AK1930">
        <v>1</v>
      </c>
      <c r="AL1930">
        <v>1</v>
      </c>
      <c r="AO1930">
        <v>0</v>
      </c>
      <c r="AP1930" t="s">
        <v>3015</v>
      </c>
      <c r="AQ1930" t="s">
        <v>3044</v>
      </c>
      <c r="AR1930" t="s">
        <v>3045</v>
      </c>
      <c r="AS1930" t="s">
        <v>3046</v>
      </c>
      <c r="AU1930" t="s">
        <v>3046</v>
      </c>
    </row>
    <row r="1931" spans="1:47" x14ac:dyDescent="0.35">
      <c r="A1931">
        <v>337909</v>
      </c>
      <c r="B1931" t="s">
        <v>178</v>
      </c>
      <c r="C1931" t="s">
        <v>179</v>
      </c>
      <c r="D1931" s="2">
        <v>45786</v>
      </c>
      <c r="E1931">
        <v>53850</v>
      </c>
      <c r="F1931">
        <v>267</v>
      </c>
      <c r="G1931" t="s">
        <v>349</v>
      </c>
      <c r="H1931" t="s">
        <v>167</v>
      </c>
      <c r="I1931" t="s">
        <v>45</v>
      </c>
      <c r="K1931" t="s">
        <v>2071</v>
      </c>
      <c r="L1931">
        <v>2673300000258</v>
      </c>
      <c r="M1931">
        <v>20250508</v>
      </c>
      <c r="N1931" t="s">
        <v>3136</v>
      </c>
      <c r="Q1931" t="s">
        <v>170</v>
      </c>
      <c r="R1931">
        <v>1433.15</v>
      </c>
      <c r="S1931">
        <v>0</v>
      </c>
      <c r="T1931">
        <v>1616725</v>
      </c>
      <c r="U1931">
        <v>2694030798</v>
      </c>
      <c r="V1931" t="s">
        <v>641</v>
      </c>
      <c r="W1931" t="s">
        <v>49</v>
      </c>
      <c r="X1931" t="s">
        <v>200</v>
      </c>
      <c r="Y1931" t="s">
        <v>51</v>
      </c>
      <c r="Z1931">
        <v>1878</v>
      </c>
      <c r="AH1931">
        <v>0</v>
      </c>
      <c r="AI1931">
        <v>202505</v>
      </c>
      <c r="AJ1931" t="s">
        <v>56</v>
      </c>
      <c r="AK1931">
        <v>0</v>
      </c>
      <c r="AL1931">
        <v>1</v>
      </c>
      <c r="AM1931">
        <v>1616725</v>
      </c>
      <c r="AN1931">
        <v>1</v>
      </c>
      <c r="AO1931">
        <v>1</v>
      </c>
      <c r="AP1931" t="s">
        <v>3015</v>
      </c>
      <c r="AQ1931" t="s">
        <v>3012</v>
      </c>
      <c r="AR1931" t="s">
        <v>3016</v>
      </c>
      <c r="AT1931" t="s">
        <v>3017</v>
      </c>
      <c r="AU1931" t="s">
        <v>3018</v>
      </c>
    </row>
    <row r="1932" spans="1:47" x14ac:dyDescent="0.35">
      <c r="A1932">
        <v>337908</v>
      </c>
      <c r="B1932" t="s">
        <v>164</v>
      </c>
      <c r="C1932" t="s">
        <v>165</v>
      </c>
      <c r="D1932" s="2">
        <v>45786</v>
      </c>
      <c r="E1932">
        <v>53850</v>
      </c>
      <c r="F1932">
        <v>104</v>
      </c>
      <c r="G1932" t="s">
        <v>108</v>
      </c>
      <c r="H1932" t="s">
        <v>167</v>
      </c>
      <c r="I1932" t="s">
        <v>45</v>
      </c>
      <c r="K1932" t="s">
        <v>2072</v>
      </c>
      <c r="L1932">
        <v>1043309506207</v>
      </c>
      <c r="M1932">
        <v>20250506</v>
      </c>
      <c r="N1932" t="s">
        <v>168</v>
      </c>
      <c r="P1932" t="s">
        <v>255</v>
      </c>
      <c r="Q1932" t="s">
        <v>170</v>
      </c>
      <c r="R1932">
        <v>1583</v>
      </c>
      <c r="S1932">
        <v>0</v>
      </c>
      <c r="T1932">
        <v>420391</v>
      </c>
      <c r="U1932" t="s">
        <v>1060</v>
      </c>
      <c r="V1932" t="s">
        <v>1061</v>
      </c>
      <c r="W1932" t="s">
        <v>69</v>
      </c>
      <c r="X1932" t="s">
        <v>1062</v>
      </c>
      <c r="Y1932" t="s">
        <v>51</v>
      </c>
      <c r="Z1932">
        <v>1902</v>
      </c>
      <c r="AH1932">
        <v>0</v>
      </c>
      <c r="AI1932">
        <v>202505</v>
      </c>
      <c r="AJ1932" t="s">
        <v>52</v>
      </c>
      <c r="AK1932">
        <v>0</v>
      </c>
      <c r="AL1932">
        <v>1</v>
      </c>
      <c r="AO1932">
        <v>0</v>
      </c>
      <c r="AP1932" t="s">
        <v>3015</v>
      </c>
      <c r="AQ1932" t="s">
        <v>3021</v>
      </c>
      <c r="AR1932" t="s">
        <v>3022</v>
      </c>
      <c r="AT1932" t="s">
        <v>3017</v>
      </c>
      <c r="AU1932" t="s">
        <v>3014</v>
      </c>
    </row>
    <row r="1933" spans="1:47" x14ac:dyDescent="0.35">
      <c r="A1933">
        <v>337907</v>
      </c>
      <c r="B1933" t="s">
        <v>178</v>
      </c>
      <c r="C1933" t="s">
        <v>179</v>
      </c>
      <c r="D1933" s="2">
        <v>45785</v>
      </c>
      <c r="E1933">
        <v>53850</v>
      </c>
      <c r="F1933">
        <v>182</v>
      </c>
      <c r="G1933" t="s">
        <v>318</v>
      </c>
      <c r="H1933" t="s">
        <v>167</v>
      </c>
      <c r="I1933" t="s">
        <v>45</v>
      </c>
      <c r="K1933">
        <v>202505077958798</v>
      </c>
      <c r="L1933">
        <v>1823300167781</v>
      </c>
      <c r="M1933">
        <v>20250507</v>
      </c>
      <c r="N1933" t="s">
        <v>3136</v>
      </c>
      <c r="Q1933" t="s">
        <v>170</v>
      </c>
      <c r="R1933">
        <v>9856.8799999999992</v>
      </c>
      <c r="S1933">
        <v>0</v>
      </c>
      <c r="T1933">
        <v>3028782</v>
      </c>
      <c r="U1933" t="s">
        <v>2073</v>
      </c>
      <c r="V1933" t="s">
        <v>2074</v>
      </c>
      <c r="W1933" t="s">
        <v>187</v>
      </c>
      <c r="Y1933" t="s">
        <v>51</v>
      </c>
      <c r="Z1933">
        <v>616</v>
      </c>
      <c r="AH1933">
        <v>0</v>
      </c>
      <c r="AI1933">
        <v>202505</v>
      </c>
      <c r="AJ1933" t="s">
        <v>86</v>
      </c>
      <c r="AK1933">
        <v>1</v>
      </c>
      <c r="AL1933">
        <v>1</v>
      </c>
      <c r="AO1933">
        <v>1</v>
      </c>
      <c r="AP1933" t="s">
        <v>3015</v>
      </c>
      <c r="AQ1933" t="s">
        <v>3044</v>
      </c>
      <c r="AR1933" t="s">
        <v>3045</v>
      </c>
      <c r="AS1933" t="s">
        <v>3046</v>
      </c>
      <c r="AU1933" t="s">
        <v>3046</v>
      </c>
    </row>
    <row r="1934" spans="1:47" x14ac:dyDescent="0.35">
      <c r="A1934">
        <v>337906</v>
      </c>
      <c r="B1934" t="s">
        <v>193</v>
      </c>
      <c r="C1934" t="s">
        <v>194</v>
      </c>
      <c r="D1934" s="2">
        <v>45785</v>
      </c>
      <c r="E1934">
        <v>53850</v>
      </c>
      <c r="F1934">
        <v>189</v>
      </c>
      <c r="G1934" t="s">
        <v>286</v>
      </c>
      <c r="H1934" t="s">
        <v>167</v>
      </c>
      <c r="I1934" t="s">
        <v>45</v>
      </c>
      <c r="K1934" t="s">
        <v>2075</v>
      </c>
      <c r="L1934">
        <v>1893300023546</v>
      </c>
      <c r="M1934">
        <v>20250507</v>
      </c>
      <c r="N1934" t="s">
        <v>175</v>
      </c>
      <c r="Q1934" t="s">
        <v>47</v>
      </c>
      <c r="R1934">
        <v>67910</v>
      </c>
      <c r="S1934">
        <v>66310</v>
      </c>
      <c r="T1934">
        <v>3064562</v>
      </c>
      <c r="U1934" t="s">
        <v>287</v>
      </c>
      <c r="V1934" t="s">
        <v>288</v>
      </c>
      <c r="W1934" t="s">
        <v>69</v>
      </c>
      <c r="X1934" t="s">
        <v>55</v>
      </c>
      <c r="Y1934" t="s">
        <v>51</v>
      </c>
      <c r="Z1934">
        <v>1620</v>
      </c>
      <c r="AH1934">
        <v>0</v>
      </c>
      <c r="AI1934">
        <v>202505</v>
      </c>
      <c r="AJ1934" t="s">
        <v>56</v>
      </c>
      <c r="AK1934">
        <v>0</v>
      </c>
      <c r="AL1934">
        <v>1</v>
      </c>
      <c r="AM1934">
        <v>3064562</v>
      </c>
      <c r="AN1934">
        <v>1</v>
      </c>
      <c r="AO1934">
        <v>1</v>
      </c>
      <c r="AP1934" t="s">
        <v>3015</v>
      </c>
      <c r="AQ1934" t="s">
        <v>3021</v>
      </c>
      <c r="AR1934" t="s">
        <v>3022</v>
      </c>
      <c r="AT1934" t="s">
        <v>3017</v>
      </c>
      <c r="AU1934" t="s">
        <v>3014</v>
      </c>
    </row>
    <row r="1935" spans="1:47" x14ac:dyDescent="0.35">
      <c r="A1935">
        <v>337905</v>
      </c>
      <c r="B1935" t="s">
        <v>178</v>
      </c>
      <c r="C1935" t="s">
        <v>179</v>
      </c>
      <c r="D1935" s="2">
        <v>45785</v>
      </c>
      <c r="E1935">
        <v>53850</v>
      </c>
      <c r="F1935">
        <v>185</v>
      </c>
      <c r="G1935" t="s">
        <v>235</v>
      </c>
      <c r="H1935" t="s">
        <v>167</v>
      </c>
      <c r="I1935" t="s">
        <v>45</v>
      </c>
      <c r="K1935">
        <v>202505077957174</v>
      </c>
      <c r="L1935">
        <v>1853300028940</v>
      </c>
      <c r="M1935">
        <v>20250507</v>
      </c>
      <c r="N1935" t="s">
        <v>46</v>
      </c>
      <c r="P1935" t="s">
        <v>51</v>
      </c>
      <c r="Q1935" t="s">
        <v>47</v>
      </c>
      <c r="R1935">
        <v>250362.33</v>
      </c>
      <c r="S1935">
        <v>0</v>
      </c>
      <c r="T1935">
        <v>3060168</v>
      </c>
      <c r="U1935" t="s">
        <v>2076</v>
      </c>
      <c r="V1935" t="s">
        <v>2077</v>
      </c>
      <c r="W1935" t="s">
        <v>187</v>
      </c>
      <c r="Y1935" t="s">
        <v>51</v>
      </c>
      <c r="AH1935">
        <v>0</v>
      </c>
      <c r="AI1935">
        <v>202505</v>
      </c>
      <c r="AJ1935" t="s">
        <v>86</v>
      </c>
      <c r="AK1935">
        <v>1</v>
      </c>
      <c r="AL1935">
        <v>1</v>
      </c>
      <c r="AO1935">
        <v>0</v>
      </c>
      <c r="AP1935" t="s">
        <v>3015</v>
      </c>
      <c r="AQ1935" t="s">
        <v>3044</v>
      </c>
      <c r="AR1935" t="s">
        <v>3045</v>
      </c>
      <c r="AS1935" t="s">
        <v>3046</v>
      </c>
      <c r="AU1935" t="s">
        <v>3046</v>
      </c>
    </row>
    <row r="1936" spans="1:47" x14ac:dyDescent="0.35">
      <c r="A1936">
        <v>337904</v>
      </c>
      <c r="B1936" t="s">
        <v>178</v>
      </c>
      <c r="C1936" t="s">
        <v>179</v>
      </c>
      <c r="D1936" s="2">
        <v>45785</v>
      </c>
      <c r="E1936">
        <v>53850</v>
      </c>
      <c r="F1936">
        <v>117</v>
      </c>
      <c r="G1936" t="s">
        <v>490</v>
      </c>
      <c r="H1936" t="s">
        <v>167</v>
      </c>
      <c r="I1936" t="s">
        <v>45</v>
      </c>
      <c r="K1936" t="s">
        <v>2078</v>
      </c>
      <c r="L1936">
        <v>1173300538726</v>
      </c>
      <c r="M1936">
        <v>20250507</v>
      </c>
      <c r="N1936" t="s">
        <v>3136</v>
      </c>
      <c r="Q1936" t="s">
        <v>170</v>
      </c>
      <c r="R1936">
        <v>1688.02</v>
      </c>
      <c r="S1936">
        <v>0</v>
      </c>
      <c r="T1936">
        <v>4784989</v>
      </c>
      <c r="U1936">
        <v>1269590772</v>
      </c>
      <c r="V1936" t="s">
        <v>492</v>
      </c>
      <c r="W1936" t="s">
        <v>49</v>
      </c>
      <c r="X1936" t="s">
        <v>413</v>
      </c>
      <c r="Y1936" t="s">
        <v>51</v>
      </c>
      <c r="Z1936">
        <v>1926</v>
      </c>
      <c r="AH1936">
        <v>0</v>
      </c>
      <c r="AI1936">
        <v>202505</v>
      </c>
      <c r="AJ1936" t="s">
        <v>56</v>
      </c>
      <c r="AK1936">
        <v>0</v>
      </c>
      <c r="AL1936">
        <v>1</v>
      </c>
      <c r="AM1936">
        <v>4784989</v>
      </c>
      <c r="AN1936">
        <v>1</v>
      </c>
      <c r="AO1936">
        <v>1</v>
      </c>
      <c r="AP1936" t="s">
        <v>3015</v>
      </c>
      <c r="AQ1936" t="s">
        <v>3012</v>
      </c>
      <c r="AR1936" t="s">
        <v>3016</v>
      </c>
      <c r="AT1936" t="s">
        <v>3017</v>
      </c>
      <c r="AU1936" t="s">
        <v>3018</v>
      </c>
    </row>
    <row r="1937" spans="1:47" x14ac:dyDescent="0.35">
      <c r="A1937">
        <v>337903</v>
      </c>
      <c r="B1937" t="s">
        <v>172</v>
      </c>
      <c r="C1937" t="s">
        <v>173</v>
      </c>
      <c r="D1937" s="2">
        <v>45785</v>
      </c>
      <c r="E1937">
        <v>53850</v>
      </c>
      <c r="F1937">
        <v>104</v>
      </c>
      <c r="G1937" t="s">
        <v>108</v>
      </c>
      <c r="H1937" t="s">
        <v>167</v>
      </c>
      <c r="I1937" t="s">
        <v>45</v>
      </c>
      <c r="K1937" t="s">
        <v>2075</v>
      </c>
      <c r="L1937">
        <v>1043309505756</v>
      </c>
      <c r="M1937">
        <v>20250507</v>
      </c>
      <c r="N1937" t="s">
        <v>175</v>
      </c>
      <c r="Q1937" t="s">
        <v>47</v>
      </c>
      <c r="R1937">
        <v>234603.63</v>
      </c>
      <c r="S1937">
        <v>10000</v>
      </c>
      <c r="T1937">
        <v>4287383</v>
      </c>
      <c r="U1937">
        <v>6390440722</v>
      </c>
      <c r="V1937" t="s">
        <v>2079</v>
      </c>
      <c r="W1937" t="s">
        <v>49</v>
      </c>
      <c r="X1937" t="s">
        <v>2080</v>
      </c>
      <c r="Y1937" t="s">
        <v>51</v>
      </c>
      <c r="Z1937">
        <v>1696</v>
      </c>
      <c r="AH1937">
        <v>0</v>
      </c>
      <c r="AI1937">
        <v>202505</v>
      </c>
      <c r="AJ1937" t="s">
        <v>52</v>
      </c>
      <c r="AK1937">
        <v>0</v>
      </c>
      <c r="AL1937">
        <v>1</v>
      </c>
      <c r="AM1937">
        <v>4287383</v>
      </c>
      <c r="AN1937">
        <v>1</v>
      </c>
      <c r="AO1937">
        <v>1</v>
      </c>
      <c r="AP1937" t="s">
        <v>3015</v>
      </c>
      <c r="AQ1937" t="s">
        <v>3012</v>
      </c>
      <c r="AR1937" t="s">
        <v>3016</v>
      </c>
      <c r="AT1937" t="s">
        <v>3017</v>
      </c>
      <c r="AU1937" t="s">
        <v>3018</v>
      </c>
    </row>
    <row r="1938" spans="1:47" x14ac:dyDescent="0.35">
      <c r="A1938">
        <v>337902</v>
      </c>
      <c r="B1938" t="s">
        <v>178</v>
      </c>
      <c r="C1938" t="s">
        <v>179</v>
      </c>
      <c r="D1938" s="2">
        <v>45785</v>
      </c>
      <c r="E1938">
        <v>53850</v>
      </c>
      <c r="F1938">
        <v>131</v>
      </c>
      <c r="G1938" t="s">
        <v>216</v>
      </c>
      <c r="H1938" t="s">
        <v>167</v>
      </c>
      <c r="I1938" t="s">
        <v>45</v>
      </c>
      <c r="K1938">
        <v>202505077958655</v>
      </c>
      <c r="L1938">
        <v>1313300003339</v>
      </c>
      <c r="M1938">
        <v>20250507</v>
      </c>
      <c r="N1938" t="s">
        <v>3136</v>
      </c>
      <c r="Q1938" t="s">
        <v>170</v>
      </c>
      <c r="R1938">
        <v>16546.03</v>
      </c>
      <c r="S1938">
        <v>0</v>
      </c>
      <c r="T1938">
        <v>4053353</v>
      </c>
      <c r="U1938" t="s">
        <v>2081</v>
      </c>
      <c r="V1938" t="s">
        <v>2082</v>
      </c>
      <c r="W1938" t="s">
        <v>187</v>
      </c>
      <c r="Y1938" t="s">
        <v>51</v>
      </c>
      <c r="Z1938">
        <v>1345</v>
      </c>
      <c r="AH1938">
        <v>0</v>
      </c>
      <c r="AI1938">
        <v>202505</v>
      </c>
      <c r="AJ1938" t="s">
        <v>86</v>
      </c>
      <c r="AK1938">
        <v>1</v>
      </c>
      <c r="AL1938">
        <v>1</v>
      </c>
      <c r="AO1938">
        <v>1</v>
      </c>
      <c r="AP1938" t="s">
        <v>3015</v>
      </c>
      <c r="AQ1938" t="s">
        <v>3044</v>
      </c>
      <c r="AR1938" t="s">
        <v>3045</v>
      </c>
      <c r="AS1938" t="s">
        <v>3046</v>
      </c>
      <c r="AU1938" t="s">
        <v>3046</v>
      </c>
    </row>
    <row r="1939" spans="1:47" x14ac:dyDescent="0.35">
      <c r="A1939">
        <v>337901</v>
      </c>
      <c r="B1939" t="s">
        <v>193</v>
      </c>
      <c r="C1939" t="s">
        <v>194</v>
      </c>
      <c r="D1939" s="2">
        <v>45785</v>
      </c>
      <c r="E1939">
        <v>53850</v>
      </c>
      <c r="F1939">
        <v>171</v>
      </c>
      <c r="G1939" t="s">
        <v>198</v>
      </c>
      <c r="H1939" t="s">
        <v>167</v>
      </c>
      <c r="I1939" t="s">
        <v>45</v>
      </c>
      <c r="K1939" t="s">
        <v>2075</v>
      </c>
      <c r="L1939">
        <v>1713302214147</v>
      </c>
      <c r="M1939">
        <v>20250507</v>
      </c>
      <c r="N1939" t="s">
        <v>195</v>
      </c>
      <c r="Q1939" t="s">
        <v>47</v>
      </c>
      <c r="R1939">
        <v>178955</v>
      </c>
      <c r="S1939">
        <v>178955</v>
      </c>
      <c r="T1939">
        <v>4199319</v>
      </c>
      <c r="U1939">
        <v>6037810725</v>
      </c>
      <c r="V1939" t="s">
        <v>1144</v>
      </c>
      <c r="W1939" t="s">
        <v>49</v>
      </c>
      <c r="X1939" t="s">
        <v>200</v>
      </c>
      <c r="Y1939" t="s">
        <v>51</v>
      </c>
      <c r="Z1939">
        <v>1903</v>
      </c>
      <c r="AH1939">
        <v>0</v>
      </c>
      <c r="AI1939">
        <v>202505</v>
      </c>
      <c r="AJ1939" t="s">
        <v>86</v>
      </c>
      <c r="AK1939">
        <v>1</v>
      </c>
      <c r="AL1939">
        <v>1</v>
      </c>
      <c r="AM1939">
        <v>4199319</v>
      </c>
      <c r="AN1939">
        <v>1</v>
      </c>
      <c r="AO1939">
        <v>0</v>
      </c>
      <c r="AP1939" t="s">
        <v>3015</v>
      </c>
      <c r="AQ1939" t="s">
        <v>3012</v>
      </c>
      <c r="AR1939" t="s">
        <v>3016</v>
      </c>
      <c r="AT1939" t="s">
        <v>3017</v>
      </c>
      <c r="AU1939" t="s">
        <v>3018</v>
      </c>
    </row>
    <row r="1940" spans="1:47" x14ac:dyDescent="0.35">
      <c r="A1940">
        <v>337900</v>
      </c>
      <c r="B1940" t="s">
        <v>172</v>
      </c>
      <c r="C1940" t="s">
        <v>173</v>
      </c>
      <c r="D1940" s="2">
        <v>45785</v>
      </c>
      <c r="E1940">
        <v>53850</v>
      </c>
      <c r="F1940">
        <v>171</v>
      </c>
      <c r="G1940" t="s">
        <v>198</v>
      </c>
      <c r="H1940" t="s">
        <v>167</v>
      </c>
      <c r="I1940" t="s">
        <v>45</v>
      </c>
      <c r="K1940" t="s">
        <v>2075</v>
      </c>
      <c r="L1940">
        <v>1713302214147</v>
      </c>
      <c r="M1940">
        <v>20250507</v>
      </c>
      <c r="N1940" t="s">
        <v>195</v>
      </c>
      <c r="Q1940" t="s">
        <v>47</v>
      </c>
      <c r="R1940">
        <v>178955</v>
      </c>
      <c r="S1940">
        <v>178955</v>
      </c>
      <c r="T1940">
        <v>4199319</v>
      </c>
      <c r="U1940">
        <v>6037810725</v>
      </c>
      <c r="V1940" t="s">
        <v>1144</v>
      </c>
      <c r="W1940" t="s">
        <v>49</v>
      </c>
      <c r="X1940" t="s">
        <v>200</v>
      </c>
      <c r="Y1940" t="s">
        <v>51</v>
      </c>
      <c r="Z1940">
        <v>1903</v>
      </c>
      <c r="AH1940">
        <v>0</v>
      </c>
      <c r="AI1940">
        <v>202505</v>
      </c>
      <c r="AJ1940" t="s">
        <v>86</v>
      </c>
      <c r="AK1940">
        <v>1</v>
      </c>
      <c r="AL1940">
        <v>1</v>
      </c>
      <c r="AM1940">
        <v>4199319</v>
      </c>
      <c r="AN1940">
        <v>1</v>
      </c>
      <c r="AO1940">
        <v>0</v>
      </c>
      <c r="AP1940" t="s">
        <v>3015</v>
      </c>
      <c r="AQ1940" t="s">
        <v>3012</v>
      </c>
      <c r="AR1940" t="s">
        <v>3016</v>
      </c>
      <c r="AT1940" t="s">
        <v>3017</v>
      </c>
      <c r="AU1940" t="s">
        <v>3018</v>
      </c>
    </row>
    <row r="1941" spans="1:47" x14ac:dyDescent="0.35">
      <c r="A1941">
        <v>337899</v>
      </c>
      <c r="B1941" t="s">
        <v>164</v>
      </c>
      <c r="C1941" t="s">
        <v>165</v>
      </c>
      <c r="D1941" s="2">
        <v>45785</v>
      </c>
      <c r="E1941">
        <v>53850</v>
      </c>
      <c r="F1941">
        <v>102</v>
      </c>
      <c r="G1941" t="s">
        <v>151</v>
      </c>
      <c r="H1941" t="s">
        <v>167</v>
      </c>
      <c r="I1941" t="s">
        <v>45</v>
      </c>
      <c r="K1941" t="s">
        <v>2083</v>
      </c>
      <c r="L1941">
        <v>2583300001294</v>
      </c>
      <c r="M1941">
        <v>20250507</v>
      </c>
      <c r="N1941" t="s">
        <v>168</v>
      </c>
      <c r="P1941" t="s">
        <v>169</v>
      </c>
      <c r="Q1941" t="s">
        <v>47</v>
      </c>
      <c r="R1941">
        <v>3465</v>
      </c>
      <c r="S1941">
        <v>0</v>
      </c>
      <c r="T1941">
        <v>4923983</v>
      </c>
      <c r="U1941">
        <v>8254330726</v>
      </c>
      <c r="V1941" t="s">
        <v>2084</v>
      </c>
      <c r="W1941" t="s">
        <v>49</v>
      </c>
      <c r="X1941" t="s">
        <v>257</v>
      </c>
      <c r="Y1941" t="s">
        <v>51</v>
      </c>
      <c r="Z1941">
        <v>1949</v>
      </c>
      <c r="AH1941">
        <v>0</v>
      </c>
      <c r="AI1941">
        <v>202505</v>
      </c>
      <c r="AJ1941" t="s">
        <v>86</v>
      </c>
      <c r="AK1941">
        <v>1</v>
      </c>
      <c r="AL1941">
        <v>1</v>
      </c>
      <c r="AO1941">
        <v>0</v>
      </c>
      <c r="AP1941" t="s">
        <v>3015</v>
      </c>
      <c r="AQ1941" t="s">
        <v>3012</v>
      </c>
      <c r="AR1941" t="s">
        <v>3016</v>
      </c>
      <c r="AT1941" t="s">
        <v>3017</v>
      </c>
      <c r="AU1941" t="s">
        <v>3018</v>
      </c>
    </row>
    <row r="1942" spans="1:47" x14ac:dyDescent="0.35">
      <c r="A1942">
        <v>337898</v>
      </c>
      <c r="B1942" t="s">
        <v>178</v>
      </c>
      <c r="C1942" t="s">
        <v>179</v>
      </c>
      <c r="D1942" s="2">
        <v>45785</v>
      </c>
      <c r="E1942">
        <v>53850</v>
      </c>
      <c r="F1942">
        <v>125</v>
      </c>
      <c r="G1942" t="s">
        <v>75</v>
      </c>
      <c r="H1942" t="s">
        <v>167</v>
      </c>
      <c r="I1942" t="s">
        <v>45</v>
      </c>
      <c r="K1942">
        <v>202505077958640</v>
      </c>
      <c r="L1942">
        <v>1253300002202</v>
      </c>
      <c r="M1942">
        <v>20250507</v>
      </c>
      <c r="N1942" t="s">
        <v>3136</v>
      </c>
      <c r="Q1942" t="s">
        <v>170</v>
      </c>
      <c r="R1942">
        <v>105733.24</v>
      </c>
      <c r="S1942">
        <v>0</v>
      </c>
      <c r="T1942">
        <v>4885518</v>
      </c>
      <c r="U1942" t="s">
        <v>2085</v>
      </c>
      <c r="V1942" t="s">
        <v>2086</v>
      </c>
      <c r="W1942" t="s">
        <v>187</v>
      </c>
      <c r="Y1942" t="s">
        <v>51</v>
      </c>
      <c r="Z1942">
        <v>1346</v>
      </c>
      <c r="AH1942">
        <v>0</v>
      </c>
      <c r="AI1942">
        <v>202505</v>
      </c>
      <c r="AJ1942" t="s">
        <v>52</v>
      </c>
      <c r="AK1942">
        <v>0</v>
      </c>
      <c r="AL1942">
        <v>1</v>
      </c>
      <c r="AO1942">
        <v>1</v>
      </c>
      <c r="AP1942" t="s">
        <v>3015</v>
      </c>
      <c r="AQ1942" t="s">
        <v>3044</v>
      </c>
      <c r="AR1942" t="s">
        <v>3045</v>
      </c>
      <c r="AS1942" t="s">
        <v>3046</v>
      </c>
      <c r="AU1942" t="s">
        <v>3046</v>
      </c>
    </row>
    <row r="1943" spans="1:47" x14ac:dyDescent="0.35">
      <c r="A1943">
        <v>337897</v>
      </c>
      <c r="B1943" t="s">
        <v>178</v>
      </c>
      <c r="C1943" t="s">
        <v>179</v>
      </c>
      <c r="D1943" s="2">
        <v>45785</v>
      </c>
      <c r="E1943">
        <v>53850</v>
      </c>
      <c r="F1943">
        <v>267</v>
      </c>
      <c r="G1943" t="s">
        <v>349</v>
      </c>
      <c r="H1943" t="s">
        <v>167</v>
      </c>
      <c r="I1943" t="s">
        <v>45</v>
      </c>
      <c r="K1943">
        <v>202505077958504</v>
      </c>
      <c r="L1943">
        <v>2673300001343</v>
      </c>
      <c r="M1943">
        <v>20250507</v>
      </c>
      <c r="N1943" t="s">
        <v>3136</v>
      </c>
      <c r="Q1943" t="s">
        <v>170</v>
      </c>
      <c r="R1943">
        <v>11874.46</v>
      </c>
      <c r="S1943">
        <v>0</v>
      </c>
      <c r="T1943">
        <v>1643523</v>
      </c>
      <c r="U1943" t="s">
        <v>2087</v>
      </c>
      <c r="V1943" t="s">
        <v>2088</v>
      </c>
      <c r="W1943" t="s">
        <v>187</v>
      </c>
      <c r="Y1943" t="s">
        <v>51</v>
      </c>
      <c r="Z1943">
        <v>1832</v>
      </c>
      <c r="AH1943">
        <v>0</v>
      </c>
      <c r="AI1943">
        <v>202505</v>
      </c>
      <c r="AJ1943" t="s">
        <v>86</v>
      </c>
      <c r="AK1943">
        <v>1</v>
      </c>
      <c r="AL1943">
        <v>1</v>
      </c>
      <c r="AO1943">
        <v>1</v>
      </c>
      <c r="AP1943" t="s">
        <v>3015</v>
      </c>
      <c r="AQ1943" t="s">
        <v>3044</v>
      </c>
      <c r="AR1943" t="s">
        <v>3045</v>
      </c>
      <c r="AS1943" t="s">
        <v>3046</v>
      </c>
      <c r="AU1943" t="s">
        <v>3046</v>
      </c>
    </row>
    <row r="1944" spans="1:47" x14ac:dyDescent="0.35">
      <c r="A1944">
        <v>337896</v>
      </c>
      <c r="B1944" t="s">
        <v>172</v>
      </c>
      <c r="C1944" t="s">
        <v>173</v>
      </c>
      <c r="D1944" s="2">
        <v>45785</v>
      </c>
      <c r="E1944">
        <v>53850</v>
      </c>
      <c r="F1944">
        <v>171</v>
      </c>
      <c r="G1944" t="s">
        <v>198</v>
      </c>
      <c r="H1944" t="s">
        <v>167</v>
      </c>
      <c r="I1944" t="s">
        <v>45</v>
      </c>
      <c r="K1944" t="s">
        <v>2075</v>
      </c>
      <c r="L1944">
        <v>1713305728950</v>
      </c>
      <c r="M1944">
        <v>20250507</v>
      </c>
      <c r="N1944" t="s">
        <v>195</v>
      </c>
      <c r="Q1944" t="s">
        <v>47</v>
      </c>
      <c r="R1944">
        <v>493451.85</v>
      </c>
      <c r="S1944">
        <v>493451.85</v>
      </c>
      <c r="T1944">
        <v>572895</v>
      </c>
      <c r="U1944">
        <v>4161600723</v>
      </c>
      <c r="V1944" t="s">
        <v>199</v>
      </c>
      <c r="W1944" t="s">
        <v>49</v>
      </c>
      <c r="X1944" t="s">
        <v>200</v>
      </c>
      <c r="Y1944" t="s">
        <v>51</v>
      </c>
      <c r="Z1944">
        <v>1903</v>
      </c>
      <c r="AH1944">
        <v>0</v>
      </c>
      <c r="AI1944">
        <v>202505</v>
      </c>
      <c r="AJ1944" t="s">
        <v>86</v>
      </c>
      <c r="AK1944">
        <v>1</v>
      </c>
      <c r="AL1944">
        <v>1</v>
      </c>
      <c r="AM1944">
        <v>572895</v>
      </c>
      <c r="AN1944">
        <v>1</v>
      </c>
      <c r="AO1944">
        <v>0</v>
      </c>
      <c r="AP1944" t="s">
        <v>3015</v>
      </c>
      <c r="AQ1944" t="s">
        <v>3012</v>
      </c>
      <c r="AR1944" t="s">
        <v>3016</v>
      </c>
      <c r="AT1944" t="s">
        <v>3017</v>
      </c>
      <c r="AU1944" t="s">
        <v>3018</v>
      </c>
    </row>
    <row r="1945" spans="1:47" x14ac:dyDescent="0.35">
      <c r="A1945">
        <v>337895</v>
      </c>
      <c r="B1945" t="s">
        <v>333</v>
      </c>
      <c r="C1945" t="s">
        <v>334</v>
      </c>
      <c r="D1945" s="2">
        <v>45785</v>
      </c>
      <c r="E1945">
        <v>53850</v>
      </c>
      <c r="F1945">
        <v>99</v>
      </c>
      <c r="G1945" t="s">
        <v>335</v>
      </c>
      <c r="H1945" t="s">
        <v>167</v>
      </c>
      <c r="I1945" t="s">
        <v>45</v>
      </c>
      <c r="K1945">
        <v>202505077958505</v>
      </c>
      <c r="M1945">
        <v>20250507</v>
      </c>
      <c r="N1945" t="s">
        <v>3136</v>
      </c>
      <c r="Q1945" t="s">
        <v>170</v>
      </c>
      <c r="R1945">
        <v>11874.46</v>
      </c>
      <c r="S1945">
        <v>0</v>
      </c>
      <c r="T1945">
        <v>1643523</v>
      </c>
      <c r="U1945" t="s">
        <v>2087</v>
      </c>
      <c r="V1945" t="s">
        <v>2088</v>
      </c>
      <c r="W1945" t="s">
        <v>187</v>
      </c>
      <c r="Y1945" t="s">
        <v>51</v>
      </c>
      <c r="Z1945">
        <v>1832</v>
      </c>
      <c r="AH1945">
        <v>0</v>
      </c>
      <c r="AI1945">
        <v>202505</v>
      </c>
      <c r="AJ1945" t="s">
        <v>86</v>
      </c>
      <c r="AK1945">
        <v>1</v>
      </c>
      <c r="AL1945">
        <v>0</v>
      </c>
      <c r="AO1945">
        <v>1</v>
      </c>
      <c r="AP1945" t="s">
        <v>3015</v>
      </c>
      <c r="AQ1945" t="s">
        <v>3044</v>
      </c>
      <c r="AR1945" t="s">
        <v>3045</v>
      </c>
      <c r="AS1945" t="s">
        <v>3046</v>
      </c>
      <c r="AU1945" t="s">
        <v>3046</v>
      </c>
    </row>
    <row r="1946" spans="1:47" x14ac:dyDescent="0.35">
      <c r="A1946">
        <v>337894</v>
      </c>
      <c r="B1946" t="s">
        <v>178</v>
      </c>
      <c r="C1946" t="s">
        <v>179</v>
      </c>
      <c r="D1946" s="2">
        <v>45785</v>
      </c>
      <c r="E1946">
        <v>53850</v>
      </c>
      <c r="F1946">
        <v>114</v>
      </c>
      <c r="G1946" t="s">
        <v>188</v>
      </c>
      <c r="H1946" t="s">
        <v>167</v>
      </c>
      <c r="I1946" t="s">
        <v>45</v>
      </c>
      <c r="K1946">
        <v>202505077958605</v>
      </c>
      <c r="L1946">
        <v>1143306281918</v>
      </c>
      <c r="M1946">
        <v>20250507</v>
      </c>
      <c r="N1946" t="s">
        <v>3136</v>
      </c>
      <c r="Q1946" t="s">
        <v>170</v>
      </c>
      <c r="R1946">
        <v>26635.58</v>
      </c>
      <c r="S1946">
        <v>0</v>
      </c>
      <c r="T1946">
        <v>554252</v>
      </c>
      <c r="U1946" t="s">
        <v>2089</v>
      </c>
      <c r="V1946" t="s">
        <v>2090</v>
      </c>
      <c r="W1946" t="s">
        <v>187</v>
      </c>
      <c r="Y1946" t="s">
        <v>51</v>
      </c>
      <c r="Z1946">
        <v>642</v>
      </c>
      <c r="AH1946">
        <v>0</v>
      </c>
      <c r="AI1946">
        <v>202505</v>
      </c>
      <c r="AJ1946" t="s">
        <v>56</v>
      </c>
      <c r="AK1946">
        <v>0</v>
      </c>
      <c r="AL1946">
        <v>1</v>
      </c>
      <c r="AO1946">
        <v>1</v>
      </c>
      <c r="AP1946" t="s">
        <v>3015</v>
      </c>
      <c r="AQ1946" t="s">
        <v>3044</v>
      </c>
      <c r="AR1946" t="s">
        <v>3045</v>
      </c>
      <c r="AS1946" t="s">
        <v>3046</v>
      </c>
      <c r="AU1946" t="s">
        <v>3046</v>
      </c>
    </row>
    <row r="1947" spans="1:47" x14ac:dyDescent="0.35">
      <c r="A1947">
        <v>337893</v>
      </c>
      <c r="B1947" t="s">
        <v>178</v>
      </c>
      <c r="C1947" t="s">
        <v>179</v>
      </c>
      <c r="D1947" s="2">
        <v>45785</v>
      </c>
      <c r="E1947">
        <v>53850</v>
      </c>
      <c r="F1947">
        <v>182</v>
      </c>
      <c r="G1947" t="s">
        <v>318</v>
      </c>
      <c r="H1947" t="s">
        <v>167</v>
      </c>
      <c r="I1947" t="s">
        <v>45</v>
      </c>
      <c r="K1947">
        <v>202505077958333</v>
      </c>
      <c r="L1947">
        <v>1823300072312</v>
      </c>
      <c r="M1947">
        <v>20250507</v>
      </c>
      <c r="N1947" t="s">
        <v>258</v>
      </c>
      <c r="Q1947" t="s">
        <v>170</v>
      </c>
      <c r="R1947">
        <v>990000</v>
      </c>
      <c r="S1947">
        <v>0</v>
      </c>
      <c r="T1947">
        <v>3072878</v>
      </c>
      <c r="U1947">
        <v>333580736</v>
      </c>
      <c r="V1947" t="s">
        <v>454</v>
      </c>
      <c r="W1947" t="s">
        <v>49</v>
      </c>
      <c r="X1947" t="s">
        <v>421</v>
      </c>
      <c r="Y1947" t="s">
        <v>51</v>
      </c>
      <c r="Z1947">
        <v>1627</v>
      </c>
      <c r="AH1947">
        <v>0</v>
      </c>
      <c r="AI1947">
        <v>202505</v>
      </c>
      <c r="AJ1947" t="s">
        <v>52</v>
      </c>
      <c r="AK1947">
        <v>0</v>
      </c>
      <c r="AL1947">
        <v>1</v>
      </c>
      <c r="AO1947">
        <v>0</v>
      </c>
      <c r="AP1947" t="s">
        <v>3015</v>
      </c>
      <c r="AQ1947" t="s">
        <v>3012</v>
      </c>
      <c r="AR1947" t="s">
        <v>3016</v>
      </c>
      <c r="AT1947" t="s">
        <v>3017</v>
      </c>
      <c r="AU1947" t="s">
        <v>3018</v>
      </c>
    </row>
    <row r="1948" spans="1:47" x14ac:dyDescent="0.35">
      <c r="A1948">
        <v>337892</v>
      </c>
      <c r="B1948" t="s">
        <v>178</v>
      </c>
      <c r="C1948" t="s">
        <v>179</v>
      </c>
      <c r="D1948" s="2">
        <v>45785</v>
      </c>
      <c r="E1948">
        <v>53850</v>
      </c>
      <c r="F1948">
        <v>104</v>
      </c>
      <c r="G1948" t="s">
        <v>108</v>
      </c>
      <c r="H1948" t="s">
        <v>167</v>
      </c>
      <c r="I1948" t="s">
        <v>45</v>
      </c>
      <c r="K1948">
        <v>202505077956107</v>
      </c>
      <c r="L1948">
        <v>1043304173550</v>
      </c>
      <c r="M1948">
        <v>20250507</v>
      </c>
      <c r="N1948" t="s">
        <v>236</v>
      </c>
      <c r="P1948" t="s">
        <v>51</v>
      </c>
      <c r="Q1948" t="s">
        <v>170</v>
      </c>
      <c r="R1948">
        <v>452125.92</v>
      </c>
      <c r="S1948">
        <v>0</v>
      </c>
      <c r="T1948">
        <v>417355</v>
      </c>
      <c r="U1948">
        <v>374690725</v>
      </c>
      <c r="V1948" t="s">
        <v>109</v>
      </c>
      <c r="W1948" t="s">
        <v>49</v>
      </c>
      <c r="X1948" t="s">
        <v>110</v>
      </c>
      <c r="Y1948" t="s">
        <v>51</v>
      </c>
      <c r="Z1948">
        <v>1919</v>
      </c>
      <c r="AH1948">
        <v>0</v>
      </c>
      <c r="AI1948">
        <v>202505</v>
      </c>
      <c r="AJ1948" t="s">
        <v>52</v>
      </c>
      <c r="AK1948">
        <v>0</v>
      </c>
      <c r="AL1948">
        <v>1</v>
      </c>
      <c r="AM1948">
        <v>417355</v>
      </c>
      <c r="AN1948">
        <v>1</v>
      </c>
      <c r="AO1948">
        <v>0</v>
      </c>
      <c r="AP1948" t="s">
        <v>3026</v>
      </c>
      <c r="AQ1948" t="s">
        <v>3012</v>
      </c>
      <c r="AR1948" t="s">
        <v>3027</v>
      </c>
      <c r="AS1948" t="s">
        <v>3028</v>
      </c>
      <c r="AU1948" t="s">
        <v>3028</v>
      </c>
    </row>
    <row r="1949" spans="1:47" x14ac:dyDescent="0.35">
      <c r="A1949">
        <v>337891</v>
      </c>
      <c r="B1949" t="s">
        <v>178</v>
      </c>
      <c r="C1949" t="s">
        <v>179</v>
      </c>
      <c r="D1949" s="2">
        <v>45785</v>
      </c>
      <c r="E1949">
        <v>53850</v>
      </c>
      <c r="F1949">
        <v>267</v>
      </c>
      <c r="G1949" t="s">
        <v>349</v>
      </c>
      <c r="H1949" t="s">
        <v>167</v>
      </c>
      <c r="I1949" t="s">
        <v>45</v>
      </c>
      <c r="K1949" t="s">
        <v>2091</v>
      </c>
      <c r="L1949">
        <v>2673300010262</v>
      </c>
      <c r="M1949">
        <v>20250507</v>
      </c>
      <c r="N1949" t="s">
        <v>3136</v>
      </c>
      <c r="Q1949" t="s">
        <v>170</v>
      </c>
      <c r="R1949">
        <v>1100.17</v>
      </c>
      <c r="S1949">
        <v>0</v>
      </c>
      <c r="T1949">
        <v>1616725</v>
      </c>
      <c r="U1949">
        <v>2694030798</v>
      </c>
      <c r="V1949" t="s">
        <v>641</v>
      </c>
      <c r="W1949" t="s">
        <v>49</v>
      </c>
      <c r="X1949" t="s">
        <v>200</v>
      </c>
      <c r="Y1949" t="s">
        <v>51</v>
      </c>
      <c r="Z1949">
        <v>1878</v>
      </c>
      <c r="AH1949">
        <v>0</v>
      </c>
      <c r="AI1949">
        <v>202505</v>
      </c>
      <c r="AJ1949" t="s">
        <v>56</v>
      </c>
      <c r="AK1949">
        <v>0</v>
      </c>
      <c r="AL1949">
        <v>1</v>
      </c>
      <c r="AM1949">
        <v>1616725</v>
      </c>
      <c r="AN1949">
        <v>1</v>
      </c>
      <c r="AO1949">
        <v>1</v>
      </c>
      <c r="AP1949" t="s">
        <v>3015</v>
      </c>
      <c r="AQ1949" t="s">
        <v>3012</v>
      </c>
      <c r="AR1949" t="s">
        <v>3016</v>
      </c>
      <c r="AT1949" t="s">
        <v>3017</v>
      </c>
      <c r="AU1949" t="s">
        <v>3018</v>
      </c>
    </row>
    <row r="1950" spans="1:47" x14ac:dyDescent="0.35">
      <c r="A1950">
        <v>337890</v>
      </c>
      <c r="B1950" t="s">
        <v>172</v>
      </c>
      <c r="C1950" t="s">
        <v>173</v>
      </c>
      <c r="D1950" s="2">
        <v>45785</v>
      </c>
      <c r="E1950">
        <v>53850</v>
      </c>
      <c r="F1950">
        <v>116</v>
      </c>
      <c r="G1950" t="s">
        <v>126</v>
      </c>
      <c r="H1950" t="s">
        <v>167</v>
      </c>
      <c r="I1950" t="s">
        <v>45</v>
      </c>
      <c r="K1950">
        <v>202505077958620</v>
      </c>
      <c r="L1950">
        <v>1163307623465</v>
      </c>
      <c r="M1950">
        <v>20250507</v>
      </c>
      <c r="N1950" t="s">
        <v>81</v>
      </c>
      <c r="Q1950" t="s">
        <v>47</v>
      </c>
      <c r="R1950">
        <v>120000</v>
      </c>
      <c r="S1950">
        <v>0</v>
      </c>
      <c r="T1950">
        <v>3738297</v>
      </c>
      <c r="U1950">
        <v>8684570727</v>
      </c>
      <c r="V1950" t="s">
        <v>469</v>
      </c>
      <c r="W1950" t="s">
        <v>49</v>
      </c>
      <c r="X1950" t="s">
        <v>364</v>
      </c>
      <c r="Y1950" t="s">
        <v>51</v>
      </c>
      <c r="Z1950">
        <v>739</v>
      </c>
      <c r="AH1950">
        <v>0</v>
      </c>
      <c r="AI1950">
        <v>202505</v>
      </c>
      <c r="AJ1950" t="s">
        <v>86</v>
      </c>
      <c r="AK1950">
        <v>1</v>
      </c>
      <c r="AL1950">
        <v>1</v>
      </c>
      <c r="AO1950">
        <v>0</v>
      </c>
      <c r="AP1950" t="s">
        <v>3062</v>
      </c>
      <c r="AQ1950" t="s">
        <v>3012</v>
      </c>
      <c r="AR1950" t="s">
        <v>3063</v>
      </c>
      <c r="AS1950" t="s">
        <v>3014</v>
      </c>
      <c r="AU1950" t="s">
        <v>3014</v>
      </c>
    </row>
    <row r="1951" spans="1:47" x14ac:dyDescent="0.35">
      <c r="A1951">
        <v>337889</v>
      </c>
      <c r="B1951" t="s">
        <v>172</v>
      </c>
      <c r="C1951" t="s">
        <v>173</v>
      </c>
      <c r="D1951" s="2">
        <v>45785</v>
      </c>
      <c r="E1951">
        <v>53850</v>
      </c>
      <c r="F1951">
        <v>161</v>
      </c>
      <c r="G1951" t="s">
        <v>111</v>
      </c>
      <c r="H1951" t="s">
        <v>167</v>
      </c>
      <c r="I1951" t="s">
        <v>45</v>
      </c>
      <c r="K1951" t="s">
        <v>2075</v>
      </c>
      <c r="L1951">
        <v>1613300029653</v>
      </c>
      <c r="M1951">
        <v>20250507</v>
      </c>
      <c r="N1951" t="s">
        <v>175</v>
      </c>
      <c r="Q1951" t="s">
        <v>47</v>
      </c>
      <c r="R1951">
        <v>118009.65</v>
      </c>
      <c r="S1951">
        <v>5500</v>
      </c>
      <c r="T1951">
        <v>4088769</v>
      </c>
      <c r="U1951">
        <v>5150120722</v>
      </c>
      <c r="V1951" t="s">
        <v>270</v>
      </c>
      <c r="W1951" t="s">
        <v>49</v>
      </c>
      <c r="X1951" t="s">
        <v>110</v>
      </c>
      <c r="Y1951" t="s">
        <v>51</v>
      </c>
      <c r="Z1951">
        <v>1903</v>
      </c>
      <c r="AH1951">
        <v>0</v>
      </c>
      <c r="AI1951">
        <v>202505</v>
      </c>
      <c r="AJ1951" t="s">
        <v>56</v>
      </c>
      <c r="AK1951">
        <v>0</v>
      </c>
      <c r="AL1951">
        <v>1</v>
      </c>
      <c r="AM1951">
        <v>4088769</v>
      </c>
      <c r="AN1951">
        <v>1</v>
      </c>
      <c r="AO1951">
        <v>1</v>
      </c>
      <c r="AP1951" t="s">
        <v>3026</v>
      </c>
      <c r="AQ1951" t="s">
        <v>3012</v>
      </c>
      <c r="AR1951" t="s">
        <v>3027</v>
      </c>
      <c r="AS1951" t="s">
        <v>3028</v>
      </c>
      <c r="AU1951" t="s">
        <v>3028</v>
      </c>
    </row>
    <row r="1952" spans="1:47" x14ac:dyDescent="0.35">
      <c r="A1952">
        <v>337888</v>
      </c>
      <c r="B1952" t="s">
        <v>172</v>
      </c>
      <c r="C1952" t="s">
        <v>173</v>
      </c>
      <c r="D1952" s="2">
        <v>45785</v>
      </c>
      <c r="E1952">
        <v>53850</v>
      </c>
      <c r="F1952">
        <v>282</v>
      </c>
      <c r="G1952" t="s">
        <v>433</v>
      </c>
      <c r="H1952" t="s">
        <v>167</v>
      </c>
      <c r="I1952" t="s">
        <v>45</v>
      </c>
      <c r="K1952">
        <v>202505077958968</v>
      </c>
      <c r="L1952">
        <v>2823300002892</v>
      </c>
      <c r="M1952">
        <v>20250507</v>
      </c>
      <c r="N1952" t="s">
        <v>81</v>
      </c>
      <c r="Q1952" t="s">
        <v>47</v>
      </c>
      <c r="R1952">
        <v>101552.46</v>
      </c>
      <c r="S1952">
        <v>0</v>
      </c>
      <c r="T1952">
        <v>1706728</v>
      </c>
      <c r="U1952">
        <v>2018990693</v>
      </c>
      <c r="V1952" t="s">
        <v>2092</v>
      </c>
      <c r="W1952" t="s">
        <v>49</v>
      </c>
      <c r="X1952" t="s">
        <v>59</v>
      </c>
      <c r="Y1952" t="s">
        <v>51</v>
      </c>
      <c r="Z1952">
        <v>1877</v>
      </c>
      <c r="AH1952">
        <v>0</v>
      </c>
      <c r="AI1952">
        <v>202505</v>
      </c>
      <c r="AJ1952" t="s">
        <v>56</v>
      </c>
      <c r="AK1952">
        <v>0</v>
      </c>
      <c r="AL1952">
        <v>1</v>
      </c>
      <c r="AO1952">
        <v>0</v>
      </c>
      <c r="AP1952" t="s">
        <v>3015</v>
      </c>
      <c r="AQ1952" t="s">
        <v>3012</v>
      </c>
      <c r="AR1952" t="s">
        <v>3016</v>
      </c>
      <c r="AT1952" t="s">
        <v>3017</v>
      </c>
      <c r="AU1952" t="s">
        <v>3018</v>
      </c>
    </row>
    <row r="1953" spans="1:47" x14ac:dyDescent="0.35">
      <c r="A1953">
        <v>337887</v>
      </c>
      <c r="B1953" t="s">
        <v>178</v>
      </c>
      <c r="C1953" t="s">
        <v>179</v>
      </c>
      <c r="D1953" s="2">
        <v>45785</v>
      </c>
      <c r="E1953">
        <v>53850</v>
      </c>
      <c r="F1953">
        <v>187</v>
      </c>
      <c r="G1953" t="s">
        <v>251</v>
      </c>
      <c r="H1953" t="s">
        <v>167</v>
      </c>
      <c r="I1953" t="s">
        <v>45</v>
      </c>
      <c r="K1953" t="s">
        <v>2093</v>
      </c>
      <c r="L1953">
        <v>1873300126632</v>
      </c>
      <c r="M1953">
        <v>20250507</v>
      </c>
      <c r="N1953" t="s">
        <v>3136</v>
      </c>
      <c r="Q1953" t="s">
        <v>170</v>
      </c>
      <c r="R1953">
        <v>4618.8100000000004</v>
      </c>
      <c r="S1953">
        <v>0</v>
      </c>
      <c r="T1953">
        <v>4057538</v>
      </c>
      <c r="U1953" t="s">
        <v>2094</v>
      </c>
      <c r="V1953" t="s">
        <v>2095</v>
      </c>
      <c r="W1953" t="s">
        <v>187</v>
      </c>
      <c r="Y1953" t="s">
        <v>51</v>
      </c>
      <c r="Z1953">
        <v>1162</v>
      </c>
      <c r="AH1953">
        <v>0</v>
      </c>
      <c r="AI1953">
        <v>202505</v>
      </c>
      <c r="AJ1953" t="s">
        <v>86</v>
      </c>
      <c r="AK1953">
        <v>1</v>
      </c>
      <c r="AL1953">
        <v>1</v>
      </c>
      <c r="AO1953">
        <v>1</v>
      </c>
      <c r="AP1953" t="s">
        <v>3015</v>
      </c>
      <c r="AQ1953" t="s">
        <v>3044</v>
      </c>
      <c r="AR1953" t="s">
        <v>3045</v>
      </c>
      <c r="AS1953" t="s">
        <v>3046</v>
      </c>
      <c r="AU1953" t="s">
        <v>3046</v>
      </c>
    </row>
    <row r="1954" spans="1:47" x14ac:dyDescent="0.35">
      <c r="A1954">
        <v>337886</v>
      </c>
      <c r="B1954" t="s">
        <v>178</v>
      </c>
      <c r="C1954" t="s">
        <v>179</v>
      </c>
      <c r="D1954" s="2">
        <v>45785</v>
      </c>
      <c r="E1954">
        <v>53850</v>
      </c>
      <c r="F1954">
        <v>129</v>
      </c>
      <c r="G1954" t="s">
        <v>227</v>
      </c>
      <c r="H1954" t="s">
        <v>167</v>
      </c>
      <c r="I1954" t="s">
        <v>45</v>
      </c>
      <c r="K1954">
        <v>202505077958161</v>
      </c>
      <c r="L1954">
        <v>1293300002160</v>
      </c>
      <c r="M1954">
        <v>20250507</v>
      </c>
      <c r="N1954" t="s">
        <v>258</v>
      </c>
      <c r="Q1954" t="s">
        <v>170</v>
      </c>
      <c r="R1954">
        <v>720000</v>
      </c>
      <c r="S1954">
        <v>0</v>
      </c>
      <c r="T1954">
        <v>4162937</v>
      </c>
      <c r="U1954">
        <v>4879190728</v>
      </c>
      <c r="V1954" t="s">
        <v>2096</v>
      </c>
      <c r="W1954" t="s">
        <v>49</v>
      </c>
      <c r="X1954" t="s">
        <v>621</v>
      </c>
      <c r="Y1954" t="s">
        <v>51</v>
      </c>
      <c r="Z1954">
        <v>1058</v>
      </c>
      <c r="AH1954">
        <v>0</v>
      </c>
      <c r="AI1954">
        <v>202505</v>
      </c>
      <c r="AJ1954" t="s">
        <v>86</v>
      </c>
      <c r="AK1954">
        <v>1</v>
      </c>
      <c r="AL1954">
        <v>1</v>
      </c>
      <c r="AO1954">
        <v>0</v>
      </c>
      <c r="AP1954" t="s">
        <v>3015</v>
      </c>
      <c r="AQ1954" t="s">
        <v>3012</v>
      </c>
      <c r="AR1954" t="s">
        <v>3016</v>
      </c>
      <c r="AT1954" t="s">
        <v>3017</v>
      </c>
      <c r="AU1954" t="s">
        <v>3018</v>
      </c>
    </row>
    <row r="1955" spans="1:47" x14ac:dyDescent="0.35">
      <c r="A1955">
        <v>337885</v>
      </c>
      <c r="B1955" t="s">
        <v>193</v>
      </c>
      <c r="C1955" t="s">
        <v>194</v>
      </c>
      <c r="D1955" s="2">
        <v>45785</v>
      </c>
      <c r="E1955">
        <v>53850</v>
      </c>
      <c r="F1955">
        <v>108</v>
      </c>
      <c r="G1955" t="s">
        <v>124</v>
      </c>
      <c r="H1955" t="s">
        <v>167</v>
      </c>
      <c r="I1955" t="s">
        <v>45</v>
      </c>
      <c r="K1955" t="s">
        <v>2075</v>
      </c>
      <c r="L1955">
        <v>1083306291105</v>
      </c>
      <c r="M1955">
        <v>20250507</v>
      </c>
      <c r="N1955" t="s">
        <v>175</v>
      </c>
      <c r="Q1955" t="s">
        <v>47</v>
      </c>
      <c r="R1955">
        <v>181643.69</v>
      </c>
      <c r="S1955">
        <v>85265.95</v>
      </c>
      <c r="T1955">
        <v>4227057</v>
      </c>
      <c r="U1955">
        <v>4874620729</v>
      </c>
      <c r="V1955" t="s">
        <v>250</v>
      </c>
      <c r="W1955" t="s">
        <v>49</v>
      </c>
      <c r="X1955" t="s">
        <v>62</v>
      </c>
      <c r="Y1955" t="s">
        <v>51</v>
      </c>
      <c r="Z1955">
        <v>1058</v>
      </c>
      <c r="AH1955">
        <v>0</v>
      </c>
      <c r="AI1955">
        <v>202505</v>
      </c>
      <c r="AJ1955" t="s">
        <v>56</v>
      </c>
      <c r="AK1955">
        <v>0</v>
      </c>
      <c r="AL1955">
        <v>1</v>
      </c>
      <c r="AM1955">
        <v>4227057</v>
      </c>
      <c r="AN1955">
        <v>1</v>
      </c>
      <c r="AO1955">
        <v>1</v>
      </c>
      <c r="AP1955" t="s">
        <v>3015</v>
      </c>
      <c r="AQ1955" t="s">
        <v>3012</v>
      </c>
      <c r="AR1955" t="s">
        <v>3016</v>
      </c>
      <c r="AT1955" t="s">
        <v>3017</v>
      </c>
      <c r="AU1955" t="s">
        <v>3018</v>
      </c>
    </row>
    <row r="1956" spans="1:47" x14ac:dyDescent="0.35">
      <c r="A1956">
        <v>337884</v>
      </c>
      <c r="B1956" t="s">
        <v>178</v>
      </c>
      <c r="C1956" t="s">
        <v>179</v>
      </c>
      <c r="D1956" s="2">
        <v>45785</v>
      </c>
      <c r="E1956">
        <v>53850</v>
      </c>
      <c r="F1956">
        <v>102</v>
      </c>
      <c r="G1956" t="s">
        <v>151</v>
      </c>
      <c r="H1956" t="s">
        <v>167</v>
      </c>
      <c r="I1956" t="s">
        <v>45</v>
      </c>
      <c r="K1956">
        <v>202505077957322</v>
      </c>
      <c r="L1956">
        <v>1023308726073</v>
      </c>
      <c r="M1956">
        <v>20250507</v>
      </c>
      <c r="N1956" t="s">
        <v>46</v>
      </c>
      <c r="P1956" t="s">
        <v>51</v>
      </c>
      <c r="Q1956" t="s">
        <v>47</v>
      </c>
      <c r="R1956">
        <v>803359.51</v>
      </c>
      <c r="S1956">
        <v>0</v>
      </c>
      <c r="T1956">
        <v>4972446</v>
      </c>
      <c r="U1956">
        <v>8406920721</v>
      </c>
      <c r="V1956" t="s">
        <v>824</v>
      </c>
      <c r="W1956" t="s">
        <v>49</v>
      </c>
      <c r="X1956" t="s">
        <v>364</v>
      </c>
      <c r="Y1956" t="s">
        <v>51</v>
      </c>
      <c r="Z1956">
        <v>739</v>
      </c>
      <c r="AH1956">
        <v>0</v>
      </c>
      <c r="AI1956">
        <v>202505</v>
      </c>
      <c r="AJ1956" t="s">
        <v>86</v>
      </c>
      <c r="AK1956">
        <v>1</v>
      </c>
      <c r="AL1956">
        <v>1</v>
      </c>
      <c r="AO1956">
        <v>0</v>
      </c>
      <c r="AP1956" t="s">
        <v>3062</v>
      </c>
      <c r="AQ1956" t="s">
        <v>3012</v>
      </c>
      <c r="AR1956" t="s">
        <v>3063</v>
      </c>
      <c r="AS1956" t="s">
        <v>3014</v>
      </c>
      <c r="AU1956" t="s">
        <v>3014</v>
      </c>
    </row>
    <row r="1957" spans="1:47" x14ac:dyDescent="0.35">
      <c r="A1957">
        <v>337883</v>
      </c>
      <c r="B1957" t="s">
        <v>178</v>
      </c>
      <c r="C1957" t="s">
        <v>179</v>
      </c>
      <c r="D1957" s="2">
        <v>45785</v>
      </c>
      <c r="E1957">
        <v>53850</v>
      </c>
      <c r="F1957">
        <v>185</v>
      </c>
      <c r="G1957" t="s">
        <v>235</v>
      </c>
      <c r="H1957" t="s">
        <v>167</v>
      </c>
      <c r="I1957" t="s">
        <v>45</v>
      </c>
      <c r="K1957">
        <v>202505077957174</v>
      </c>
      <c r="L1957">
        <v>1853300028940</v>
      </c>
      <c r="M1957">
        <v>20250507</v>
      </c>
      <c r="N1957" t="s">
        <v>46</v>
      </c>
      <c r="P1957" t="s">
        <v>51</v>
      </c>
      <c r="Q1957" t="s">
        <v>47</v>
      </c>
      <c r="R1957">
        <v>250362.33</v>
      </c>
      <c r="S1957">
        <v>0</v>
      </c>
      <c r="T1957">
        <v>3060089</v>
      </c>
      <c r="U1957" t="s">
        <v>2097</v>
      </c>
      <c r="V1957" t="s">
        <v>2098</v>
      </c>
      <c r="W1957" t="s">
        <v>187</v>
      </c>
      <c r="Y1957" t="s">
        <v>51</v>
      </c>
      <c r="Z1957">
        <v>610</v>
      </c>
      <c r="AH1957">
        <v>0</v>
      </c>
      <c r="AI1957">
        <v>202505</v>
      </c>
      <c r="AJ1957" t="s">
        <v>86</v>
      </c>
      <c r="AK1957">
        <v>1</v>
      </c>
      <c r="AL1957">
        <v>1</v>
      </c>
      <c r="AO1957">
        <v>0</v>
      </c>
      <c r="AP1957" t="s">
        <v>3015</v>
      </c>
      <c r="AQ1957" t="s">
        <v>3044</v>
      </c>
      <c r="AR1957" t="s">
        <v>3045</v>
      </c>
      <c r="AS1957" t="s">
        <v>3046</v>
      </c>
      <c r="AU1957" t="s">
        <v>3046</v>
      </c>
    </row>
    <row r="1958" spans="1:47" x14ac:dyDescent="0.35">
      <c r="A1958">
        <v>337882</v>
      </c>
      <c r="B1958" t="s">
        <v>193</v>
      </c>
      <c r="C1958" t="s">
        <v>194</v>
      </c>
      <c r="D1958" s="2">
        <v>45785</v>
      </c>
      <c r="E1958">
        <v>53850</v>
      </c>
      <c r="F1958">
        <v>116</v>
      </c>
      <c r="G1958" t="s">
        <v>126</v>
      </c>
      <c r="H1958" t="s">
        <v>167</v>
      </c>
      <c r="I1958" t="s">
        <v>45</v>
      </c>
      <c r="K1958">
        <v>202505077958418</v>
      </c>
      <c r="L1958">
        <v>2343300010453</v>
      </c>
      <c r="M1958">
        <v>20250507</v>
      </c>
      <c r="N1958" t="s">
        <v>195</v>
      </c>
      <c r="Q1958" t="s">
        <v>47</v>
      </c>
      <c r="R1958">
        <v>82623</v>
      </c>
      <c r="S1958">
        <v>82623</v>
      </c>
      <c r="T1958">
        <v>4247777</v>
      </c>
      <c r="U1958">
        <v>233470236</v>
      </c>
      <c r="V1958" t="s">
        <v>206</v>
      </c>
      <c r="W1958" t="s">
        <v>49</v>
      </c>
      <c r="X1958" t="s">
        <v>117</v>
      </c>
      <c r="Y1958" t="s">
        <v>51</v>
      </c>
      <c r="Z1958">
        <v>1696</v>
      </c>
      <c r="AH1958">
        <v>0</v>
      </c>
      <c r="AI1958">
        <v>202505</v>
      </c>
      <c r="AJ1958" t="s">
        <v>114</v>
      </c>
      <c r="AK1958">
        <v>1</v>
      </c>
      <c r="AL1958">
        <v>1</v>
      </c>
      <c r="AM1958">
        <v>4247777</v>
      </c>
      <c r="AN1958">
        <v>1</v>
      </c>
      <c r="AO1958">
        <v>0</v>
      </c>
      <c r="AP1958" t="s">
        <v>3029</v>
      </c>
      <c r="AQ1958" t="s">
        <v>3012</v>
      </c>
      <c r="AR1958" t="s">
        <v>3030</v>
      </c>
      <c r="AS1958" t="s">
        <v>3014</v>
      </c>
      <c r="AU1958" t="s">
        <v>3014</v>
      </c>
    </row>
    <row r="1959" spans="1:47" x14ac:dyDescent="0.35">
      <c r="A1959">
        <v>337881</v>
      </c>
      <c r="B1959" t="s">
        <v>172</v>
      </c>
      <c r="C1959" t="s">
        <v>173</v>
      </c>
      <c r="D1959" s="2">
        <v>45785</v>
      </c>
      <c r="E1959">
        <v>53850</v>
      </c>
      <c r="F1959">
        <v>121</v>
      </c>
      <c r="G1959" t="s">
        <v>140</v>
      </c>
      <c r="H1959" t="s">
        <v>167</v>
      </c>
      <c r="I1959" t="s">
        <v>45</v>
      </c>
      <c r="K1959">
        <v>202505077958635</v>
      </c>
      <c r="L1959">
        <v>1213300002971</v>
      </c>
      <c r="M1959">
        <v>20250507</v>
      </c>
      <c r="N1959" t="s">
        <v>81</v>
      </c>
      <c r="Q1959" t="s">
        <v>47</v>
      </c>
      <c r="R1959">
        <v>200000</v>
      </c>
      <c r="S1959">
        <v>0</v>
      </c>
      <c r="T1959">
        <v>4859756</v>
      </c>
      <c r="U1959">
        <v>7229510727</v>
      </c>
      <c r="V1959" t="s">
        <v>1564</v>
      </c>
      <c r="W1959" t="s">
        <v>49</v>
      </c>
      <c r="X1959" t="s">
        <v>381</v>
      </c>
      <c r="Y1959" t="s">
        <v>51</v>
      </c>
      <c r="Z1959">
        <v>1058</v>
      </c>
      <c r="AH1959">
        <v>0</v>
      </c>
      <c r="AI1959">
        <v>202505</v>
      </c>
      <c r="AJ1959" t="s">
        <v>52</v>
      </c>
      <c r="AK1959">
        <v>0</v>
      </c>
      <c r="AL1959">
        <v>1</v>
      </c>
      <c r="AO1959">
        <v>0</v>
      </c>
      <c r="AP1959" t="s">
        <v>3015</v>
      </c>
      <c r="AQ1959" t="s">
        <v>3012</v>
      </c>
      <c r="AR1959" t="s">
        <v>3016</v>
      </c>
      <c r="AT1959" t="s">
        <v>3017</v>
      </c>
      <c r="AU1959" t="s">
        <v>3018</v>
      </c>
    </row>
    <row r="1960" spans="1:47" x14ac:dyDescent="0.35">
      <c r="A1960">
        <v>337880</v>
      </c>
      <c r="B1960" t="s">
        <v>178</v>
      </c>
      <c r="C1960" t="s">
        <v>179</v>
      </c>
      <c r="D1960" s="2">
        <v>45785</v>
      </c>
      <c r="E1960">
        <v>53850</v>
      </c>
      <c r="F1960">
        <v>169</v>
      </c>
      <c r="G1960" t="s">
        <v>57</v>
      </c>
      <c r="H1960" t="s">
        <v>167</v>
      </c>
      <c r="I1960" t="s">
        <v>45</v>
      </c>
      <c r="K1960">
        <v>202505077958736</v>
      </c>
      <c r="L1960">
        <v>1693302223212</v>
      </c>
      <c r="M1960">
        <v>20250507</v>
      </c>
      <c r="N1960" t="s">
        <v>3136</v>
      </c>
      <c r="Q1960" t="s">
        <v>170</v>
      </c>
      <c r="R1960">
        <v>15253.79</v>
      </c>
      <c r="S1960">
        <v>0</v>
      </c>
      <c r="T1960">
        <v>548505</v>
      </c>
      <c r="U1960" t="s">
        <v>2099</v>
      </c>
      <c r="V1960" t="s">
        <v>2100</v>
      </c>
      <c r="W1960" t="s">
        <v>187</v>
      </c>
      <c r="Y1960" t="s">
        <v>51</v>
      </c>
      <c r="Z1960">
        <v>905</v>
      </c>
      <c r="AH1960">
        <v>0</v>
      </c>
      <c r="AI1960">
        <v>202505</v>
      </c>
      <c r="AJ1960" t="s">
        <v>86</v>
      </c>
      <c r="AK1960">
        <v>1</v>
      </c>
      <c r="AL1960">
        <v>1</v>
      </c>
      <c r="AO1960">
        <v>1</v>
      </c>
      <c r="AP1960" t="s">
        <v>3015</v>
      </c>
      <c r="AQ1960" t="s">
        <v>3044</v>
      </c>
      <c r="AR1960" t="s">
        <v>3045</v>
      </c>
      <c r="AS1960" t="s">
        <v>3046</v>
      </c>
      <c r="AU1960" t="s">
        <v>3046</v>
      </c>
    </row>
    <row r="1961" spans="1:47" x14ac:dyDescent="0.35">
      <c r="A1961">
        <v>337879</v>
      </c>
      <c r="B1961" t="s">
        <v>178</v>
      </c>
      <c r="C1961" t="s">
        <v>179</v>
      </c>
      <c r="D1961" s="2">
        <v>45785</v>
      </c>
      <c r="E1961">
        <v>53850</v>
      </c>
      <c r="F1961">
        <v>109</v>
      </c>
      <c r="G1961" t="s">
        <v>89</v>
      </c>
      <c r="H1961" t="s">
        <v>167</v>
      </c>
      <c r="I1961" t="s">
        <v>45</v>
      </c>
      <c r="K1961" t="s">
        <v>2101</v>
      </c>
      <c r="L1961">
        <v>1093304818240</v>
      </c>
      <c r="M1961">
        <v>20250507</v>
      </c>
      <c r="N1961" t="s">
        <v>3136</v>
      </c>
      <c r="Q1961" t="s">
        <v>170</v>
      </c>
      <c r="R1961">
        <v>1224.77</v>
      </c>
      <c r="S1961">
        <v>0</v>
      </c>
      <c r="T1961">
        <v>481824</v>
      </c>
      <c r="U1961" t="s">
        <v>2102</v>
      </c>
      <c r="V1961" t="s">
        <v>2103</v>
      </c>
      <c r="W1961" t="s">
        <v>187</v>
      </c>
      <c r="Y1961" t="s">
        <v>51</v>
      </c>
      <c r="Z1961">
        <v>507</v>
      </c>
      <c r="AH1961">
        <v>0</v>
      </c>
      <c r="AI1961">
        <v>202505</v>
      </c>
      <c r="AJ1961" t="s">
        <v>86</v>
      </c>
      <c r="AK1961">
        <v>1</v>
      </c>
      <c r="AL1961">
        <v>1</v>
      </c>
      <c r="AO1961">
        <v>1</v>
      </c>
      <c r="AP1961" t="s">
        <v>3015</v>
      </c>
      <c r="AQ1961" t="s">
        <v>3044</v>
      </c>
      <c r="AR1961" t="s">
        <v>3045</v>
      </c>
      <c r="AS1961" t="s">
        <v>3046</v>
      </c>
      <c r="AU1961" t="s">
        <v>3046</v>
      </c>
    </row>
    <row r="1962" spans="1:47" x14ac:dyDescent="0.35">
      <c r="A1962">
        <v>337878</v>
      </c>
      <c r="B1962" t="s">
        <v>172</v>
      </c>
      <c r="C1962" t="s">
        <v>173</v>
      </c>
      <c r="D1962" s="2">
        <v>45785</v>
      </c>
      <c r="E1962">
        <v>53850</v>
      </c>
      <c r="F1962">
        <v>216</v>
      </c>
      <c r="G1962" t="s">
        <v>817</v>
      </c>
      <c r="H1962" t="s">
        <v>167</v>
      </c>
      <c r="I1962" t="s">
        <v>45</v>
      </c>
      <c r="K1962">
        <v>202505077958868</v>
      </c>
      <c r="L1962">
        <v>2163300011466</v>
      </c>
      <c r="M1962">
        <v>20250507</v>
      </c>
      <c r="N1962" t="s">
        <v>325</v>
      </c>
      <c r="Q1962" t="s">
        <v>47</v>
      </c>
      <c r="R1962">
        <v>145000</v>
      </c>
      <c r="S1962">
        <v>0</v>
      </c>
      <c r="T1962">
        <v>4512115</v>
      </c>
      <c r="U1962">
        <v>916690670</v>
      </c>
      <c r="V1962" t="s">
        <v>2104</v>
      </c>
      <c r="W1962" t="s">
        <v>49</v>
      </c>
      <c r="X1962" t="s">
        <v>2105</v>
      </c>
      <c r="Y1962" t="s">
        <v>51</v>
      </c>
      <c r="Z1962">
        <v>1595</v>
      </c>
      <c r="AH1962">
        <v>0</v>
      </c>
      <c r="AI1962">
        <v>202505</v>
      </c>
      <c r="AJ1962" t="s">
        <v>56</v>
      </c>
      <c r="AK1962">
        <v>0</v>
      </c>
      <c r="AL1962">
        <v>1</v>
      </c>
      <c r="AO1962">
        <v>0</v>
      </c>
      <c r="AP1962" t="s">
        <v>3015</v>
      </c>
      <c r="AQ1962" t="s">
        <v>3012</v>
      </c>
      <c r="AR1962" t="s">
        <v>3016</v>
      </c>
      <c r="AT1962" t="s">
        <v>3017</v>
      </c>
      <c r="AU1962" t="s">
        <v>3018</v>
      </c>
    </row>
    <row r="1963" spans="1:47" x14ac:dyDescent="0.35">
      <c r="A1963">
        <v>337877</v>
      </c>
      <c r="B1963" t="s">
        <v>333</v>
      </c>
      <c r="C1963" t="s">
        <v>334</v>
      </c>
      <c r="D1963" s="2">
        <v>45785</v>
      </c>
      <c r="E1963">
        <v>53850</v>
      </c>
      <c r="F1963">
        <v>99</v>
      </c>
      <c r="G1963" t="s">
        <v>335</v>
      </c>
      <c r="H1963" t="s">
        <v>167</v>
      </c>
      <c r="I1963" t="s">
        <v>45</v>
      </c>
      <c r="K1963" t="s">
        <v>2106</v>
      </c>
      <c r="M1963">
        <v>20250507</v>
      </c>
      <c r="N1963" t="s">
        <v>3136</v>
      </c>
      <c r="Q1963" t="s">
        <v>170</v>
      </c>
      <c r="R1963">
        <v>1224.77</v>
      </c>
      <c r="S1963">
        <v>0</v>
      </c>
      <c r="T1963">
        <v>481824</v>
      </c>
      <c r="U1963" t="s">
        <v>2102</v>
      </c>
      <c r="V1963" t="s">
        <v>2103</v>
      </c>
      <c r="W1963" t="s">
        <v>187</v>
      </c>
      <c r="Y1963" t="s">
        <v>51</v>
      </c>
      <c r="Z1963">
        <v>507</v>
      </c>
      <c r="AH1963">
        <v>0</v>
      </c>
      <c r="AI1963">
        <v>202505</v>
      </c>
      <c r="AJ1963" t="s">
        <v>86</v>
      </c>
      <c r="AK1963">
        <v>1</v>
      </c>
      <c r="AL1963">
        <v>0</v>
      </c>
      <c r="AO1963">
        <v>1</v>
      </c>
      <c r="AP1963" t="s">
        <v>3015</v>
      </c>
      <c r="AQ1963" t="s">
        <v>3044</v>
      </c>
      <c r="AR1963" t="s">
        <v>3045</v>
      </c>
      <c r="AS1963" t="s">
        <v>3046</v>
      </c>
      <c r="AU1963" t="s">
        <v>3046</v>
      </c>
    </row>
    <row r="1964" spans="1:47" x14ac:dyDescent="0.35">
      <c r="A1964">
        <v>337876</v>
      </c>
      <c r="B1964" t="s">
        <v>178</v>
      </c>
      <c r="C1964" t="s">
        <v>179</v>
      </c>
      <c r="D1964" s="2">
        <v>45785</v>
      </c>
      <c r="E1964">
        <v>53850</v>
      </c>
      <c r="F1964">
        <v>259</v>
      </c>
      <c r="G1964" t="s">
        <v>361</v>
      </c>
      <c r="H1964" t="s">
        <v>167</v>
      </c>
      <c r="I1964" t="s">
        <v>45</v>
      </c>
      <c r="K1964">
        <v>202505077957549</v>
      </c>
      <c r="L1964">
        <v>2593300001020</v>
      </c>
      <c r="M1964">
        <v>20250507</v>
      </c>
      <c r="N1964" t="s">
        <v>46</v>
      </c>
      <c r="P1964" t="s">
        <v>51</v>
      </c>
      <c r="Q1964" t="s">
        <v>47</v>
      </c>
      <c r="R1964">
        <v>700000</v>
      </c>
      <c r="S1964">
        <v>0</v>
      </c>
      <c r="T1964">
        <v>4983845</v>
      </c>
      <c r="U1964">
        <v>8480620726</v>
      </c>
      <c r="V1964" t="s">
        <v>362</v>
      </c>
      <c r="W1964" t="s">
        <v>49</v>
      </c>
      <c r="X1964" t="s">
        <v>50</v>
      </c>
      <c r="Y1964" t="s">
        <v>51</v>
      </c>
      <c r="Z1964">
        <v>1058</v>
      </c>
      <c r="AH1964">
        <v>0</v>
      </c>
      <c r="AI1964">
        <v>202505</v>
      </c>
      <c r="AJ1964" t="s">
        <v>119</v>
      </c>
      <c r="AK1964">
        <v>1</v>
      </c>
      <c r="AL1964">
        <v>1</v>
      </c>
      <c r="AO1964">
        <v>0</v>
      </c>
      <c r="AP1964" t="s">
        <v>3011</v>
      </c>
      <c r="AQ1964" t="s">
        <v>3012</v>
      </c>
      <c r="AR1964" t="s">
        <v>3013</v>
      </c>
      <c r="AS1964" t="s">
        <v>3014</v>
      </c>
      <c r="AU1964" t="s">
        <v>3014</v>
      </c>
    </row>
    <row r="1965" spans="1:47" x14ac:dyDescent="0.35">
      <c r="A1965">
        <v>337875</v>
      </c>
      <c r="B1965" t="s">
        <v>193</v>
      </c>
      <c r="C1965" t="s">
        <v>194</v>
      </c>
      <c r="D1965" s="2">
        <v>45785</v>
      </c>
      <c r="E1965">
        <v>53850</v>
      </c>
      <c r="F1965">
        <v>148</v>
      </c>
      <c r="G1965" t="s">
        <v>78</v>
      </c>
      <c r="H1965" t="s">
        <v>167</v>
      </c>
      <c r="I1965" t="s">
        <v>45</v>
      </c>
      <c r="K1965">
        <v>202505077958691</v>
      </c>
      <c r="L1965">
        <v>1483300010620</v>
      </c>
      <c r="M1965">
        <v>20250507</v>
      </c>
      <c r="N1965" t="s">
        <v>266</v>
      </c>
      <c r="Q1965" t="s">
        <v>47</v>
      </c>
      <c r="R1965">
        <v>23170</v>
      </c>
      <c r="S1965">
        <v>23170</v>
      </c>
      <c r="T1965">
        <v>4247284</v>
      </c>
      <c r="U1965" t="s">
        <v>537</v>
      </c>
      <c r="V1965" t="s">
        <v>538</v>
      </c>
      <c r="W1965" t="s">
        <v>69</v>
      </c>
      <c r="X1965" t="s">
        <v>131</v>
      </c>
      <c r="Y1965" t="s">
        <v>51</v>
      </c>
      <c r="Z1965">
        <v>1063</v>
      </c>
      <c r="AH1965">
        <v>0</v>
      </c>
      <c r="AI1965">
        <v>202505</v>
      </c>
      <c r="AJ1965" t="s">
        <v>56</v>
      </c>
      <c r="AK1965">
        <v>0</v>
      </c>
      <c r="AL1965">
        <v>1</v>
      </c>
      <c r="AM1965">
        <v>4247284</v>
      </c>
      <c r="AN1965">
        <v>1</v>
      </c>
      <c r="AO1965">
        <v>0</v>
      </c>
      <c r="AP1965" t="s">
        <v>3033</v>
      </c>
      <c r="AQ1965" t="s">
        <v>3021</v>
      </c>
      <c r="AR1965" t="s">
        <v>3054</v>
      </c>
      <c r="AS1965" t="s">
        <v>3055</v>
      </c>
      <c r="AU1965" t="s">
        <v>3055</v>
      </c>
    </row>
    <row r="1966" spans="1:47" x14ac:dyDescent="0.35">
      <c r="A1966">
        <v>337874</v>
      </c>
      <c r="B1966" t="s">
        <v>178</v>
      </c>
      <c r="C1966" t="s">
        <v>179</v>
      </c>
      <c r="D1966" s="2">
        <v>45785</v>
      </c>
      <c r="E1966">
        <v>53850</v>
      </c>
      <c r="F1966">
        <v>169</v>
      </c>
      <c r="G1966" t="s">
        <v>57</v>
      </c>
      <c r="H1966" t="s">
        <v>167</v>
      </c>
      <c r="I1966" t="s">
        <v>45</v>
      </c>
      <c r="K1966">
        <v>202505077958736</v>
      </c>
      <c r="L1966">
        <v>1693302223212</v>
      </c>
      <c r="M1966">
        <v>20250507</v>
      </c>
      <c r="N1966" t="s">
        <v>3136</v>
      </c>
      <c r="Q1966" t="s">
        <v>170</v>
      </c>
      <c r="R1966">
        <v>15253.79</v>
      </c>
      <c r="S1966">
        <v>0</v>
      </c>
      <c r="T1966">
        <v>548508</v>
      </c>
      <c r="U1966" t="s">
        <v>2107</v>
      </c>
      <c r="V1966" t="s">
        <v>2108</v>
      </c>
      <c r="W1966" t="s">
        <v>187</v>
      </c>
      <c r="Y1966" t="s">
        <v>51</v>
      </c>
      <c r="Z1966">
        <v>1261</v>
      </c>
      <c r="AH1966">
        <v>0</v>
      </c>
      <c r="AI1966">
        <v>202505</v>
      </c>
      <c r="AJ1966" t="s">
        <v>86</v>
      </c>
      <c r="AK1966">
        <v>1</v>
      </c>
      <c r="AL1966">
        <v>1</v>
      </c>
      <c r="AO1966">
        <v>1</v>
      </c>
      <c r="AP1966" t="s">
        <v>3015</v>
      </c>
      <c r="AQ1966" t="s">
        <v>3044</v>
      </c>
      <c r="AR1966" t="s">
        <v>3045</v>
      </c>
      <c r="AS1966" t="s">
        <v>3046</v>
      </c>
      <c r="AU1966" t="s">
        <v>3046</v>
      </c>
    </row>
    <row r="1967" spans="1:47" x14ac:dyDescent="0.35">
      <c r="A1967">
        <v>337873</v>
      </c>
      <c r="B1967" t="s">
        <v>172</v>
      </c>
      <c r="C1967" t="s">
        <v>173</v>
      </c>
      <c r="D1967" s="2">
        <v>45785</v>
      </c>
      <c r="E1967">
        <v>53850</v>
      </c>
      <c r="F1967">
        <v>108</v>
      </c>
      <c r="G1967" t="s">
        <v>124</v>
      </c>
      <c r="H1967" t="s">
        <v>167</v>
      </c>
      <c r="I1967" t="s">
        <v>45</v>
      </c>
      <c r="K1967" t="s">
        <v>2075</v>
      </c>
      <c r="L1967">
        <v>1083306291105</v>
      </c>
      <c r="M1967">
        <v>20250507</v>
      </c>
      <c r="N1967" t="s">
        <v>175</v>
      </c>
      <c r="Q1967" t="s">
        <v>47</v>
      </c>
      <c r="R1967">
        <v>181643.69</v>
      </c>
      <c r="S1967">
        <v>85265.95</v>
      </c>
      <c r="T1967">
        <v>4227057</v>
      </c>
      <c r="U1967">
        <v>4874620729</v>
      </c>
      <c r="V1967" t="s">
        <v>250</v>
      </c>
      <c r="W1967" t="s">
        <v>49</v>
      </c>
      <c r="X1967" t="s">
        <v>62</v>
      </c>
      <c r="Y1967" t="s">
        <v>51</v>
      </c>
      <c r="Z1967">
        <v>1058</v>
      </c>
      <c r="AH1967">
        <v>0</v>
      </c>
      <c r="AI1967">
        <v>202505</v>
      </c>
      <c r="AJ1967" t="s">
        <v>56</v>
      </c>
      <c r="AK1967">
        <v>0</v>
      </c>
      <c r="AL1967">
        <v>1</v>
      </c>
      <c r="AM1967">
        <v>4227057</v>
      </c>
      <c r="AN1967">
        <v>1</v>
      </c>
      <c r="AO1967">
        <v>1</v>
      </c>
      <c r="AP1967" t="s">
        <v>3015</v>
      </c>
      <c r="AQ1967" t="s">
        <v>3012</v>
      </c>
      <c r="AR1967" t="s">
        <v>3016</v>
      </c>
      <c r="AT1967" t="s">
        <v>3017</v>
      </c>
      <c r="AU1967" t="s">
        <v>3018</v>
      </c>
    </row>
    <row r="1968" spans="1:47" x14ac:dyDescent="0.35">
      <c r="A1968">
        <v>337872</v>
      </c>
      <c r="B1968" t="s">
        <v>178</v>
      </c>
      <c r="C1968" t="s">
        <v>179</v>
      </c>
      <c r="D1968" s="2">
        <v>45785</v>
      </c>
      <c r="E1968">
        <v>53850</v>
      </c>
      <c r="F1968">
        <v>126</v>
      </c>
      <c r="G1968" t="s">
        <v>1148</v>
      </c>
      <c r="H1968" t="s">
        <v>167</v>
      </c>
      <c r="I1968" t="s">
        <v>45</v>
      </c>
      <c r="K1968" t="s">
        <v>2109</v>
      </c>
      <c r="L1968">
        <v>1263300003423</v>
      </c>
      <c r="M1968">
        <v>20250507</v>
      </c>
      <c r="N1968" t="s">
        <v>3136</v>
      </c>
      <c r="Q1968" t="s">
        <v>170</v>
      </c>
      <c r="R1968">
        <v>3048.32</v>
      </c>
      <c r="S1968">
        <v>0</v>
      </c>
      <c r="T1968">
        <v>4670196</v>
      </c>
      <c r="U1968" t="s">
        <v>2110</v>
      </c>
      <c r="V1968" t="s">
        <v>2111</v>
      </c>
      <c r="W1968" t="s">
        <v>187</v>
      </c>
      <c r="Y1968" t="s">
        <v>51</v>
      </c>
      <c r="Z1968">
        <v>1423</v>
      </c>
      <c r="AH1968">
        <v>0</v>
      </c>
      <c r="AI1968">
        <v>202505</v>
      </c>
      <c r="AJ1968" t="s">
        <v>86</v>
      </c>
      <c r="AK1968">
        <v>1</v>
      </c>
      <c r="AL1968">
        <v>1</v>
      </c>
      <c r="AO1968">
        <v>1</v>
      </c>
      <c r="AP1968" t="s">
        <v>3015</v>
      </c>
      <c r="AQ1968" t="s">
        <v>3044</v>
      </c>
      <c r="AR1968" t="s">
        <v>3045</v>
      </c>
      <c r="AS1968" t="s">
        <v>3046</v>
      </c>
      <c r="AU1968" t="s">
        <v>3046</v>
      </c>
    </row>
    <row r="1969" spans="1:47" x14ac:dyDescent="0.35">
      <c r="A1969">
        <v>337871</v>
      </c>
      <c r="B1969" t="s">
        <v>178</v>
      </c>
      <c r="C1969" t="s">
        <v>179</v>
      </c>
      <c r="D1969" s="2">
        <v>45785</v>
      </c>
      <c r="E1969">
        <v>53850</v>
      </c>
      <c r="F1969">
        <v>102</v>
      </c>
      <c r="G1969" t="s">
        <v>151</v>
      </c>
      <c r="H1969" t="s">
        <v>167</v>
      </c>
      <c r="I1969" t="s">
        <v>45</v>
      </c>
      <c r="K1969">
        <v>202505077958520</v>
      </c>
      <c r="L1969">
        <v>1503300003188</v>
      </c>
      <c r="M1969">
        <v>20250507</v>
      </c>
      <c r="N1969" t="s">
        <v>633</v>
      </c>
      <c r="P1969" t="s">
        <v>51</v>
      </c>
      <c r="Q1969" t="s">
        <v>47</v>
      </c>
      <c r="R1969">
        <v>2082871.68</v>
      </c>
      <c r="S1969">
        <v>0</v>
      </c>
      <c r="T1969">
        <v>4269640</v>
      </c>
      <c r="U1969">
        <v>4797080969</v>
      </c>
      <c r="V1969" t="s">
        <v>152</v>
      </c>
      <c r="W1969" t="s">
        <v>153</v>
      </c>
      <c r="X1969" t="s">
        <v>210</v>
      </c>
      <c r="Y1969" t="s">
        <v>51</v>
      </c>
      <c r="Z1969">
        <v>1926</v>
      </c>
      <c r="AH1969">
        <v>0</v>
      </c>
      <c r="AI1969">
        <v>202505</v>
      </c>
      <c r="AJ1969" t="s">
        <v>52</v>
      </c>
      <c r="AK1969">
        <v>0</v>
      </c>
      <c r="AL1969">
        <v>1</v>
      </c>
      <c r="AO1969">
        <v>0</v>
      </c>
      <c r="AP1969" t="s">
        <v>3015</v>
      </c>
      <c r="AQ1969" t="s">
        <v>3035</v>
      </c>
      <c r="AR1969" t="s">
        <v>3036</v>
      </c>
      <c r="AT1969" t="s">
        <v>3017</v>
      </c>
      <c r="AU1969" t="s">
        <v>3037</v>
      </c>
    </row>
    <row r="1970" spans="1:47" x14ac:dyDescent="0.35">
      <c r="A1970">
        <v>337870</v>
      </c>
      <c r="B1970" t="s">
        <v>172</v>
      </c>
      <c r="C1970" t="s">
        <v>173</v>
      </c>
      <c r="D1970" s="2">
        <v>45785</v>
      </c>
      <c r="E1970">
        <v>53850</v>
      </c>
      <c r="F1970">
        <v>170</v>
      </c>
      <c r="G1970" t="s">
        <v>211</v>
      </c>
      <c r="H1970" t="s">
        <v>167</v>
      </c>
      <c r="I1970" t="s">
        <v>45</v>
      </c>
      <c r="K1970">
        <v>202505077958749</v>
      </c>
      <c r="L1970">
        <v>1703306290965</v>
      </c>
      <c r="M1970">
        <v>20250507</v>
      </c>
      <c r="N1970" t="s">
        <v>231</v>
      </c>
      <c r="Q1970" t="s">
        <v>47</v>
      </c>
      <c r="R1970">
        <v>224400</v>
      </c>
      <c r="S1970">
        <v>0</v>
      </c>
      <c r="T1970">
        <v>3734846</v>
      </c>
      <c r="U1970">
        <v>8512530729</v>
      </c>
      <c r="V1970" t="s">
        <v>489</v>
      </c>
      <c r="W1970" t="s">
        <v>49</v>
      </c>
      <c r="X1970" t="s">
        <v>364</v>
      </c>
      <c r="Y1970" t="s">
        <v>51</v>
      </c>
      <c r="Z1970">
        <v>1920</v>
      </c>
      <c r="AH1970">
        <v>0</v>
      </c>
      <c r="AI1970">
        <v>202505</v>
      </c>
      <c r="AJ1970" t="s">
        <v>86</v>
      </c>
      <c r="AK1970">
        <v>1</v>
      </c>
      <c r="AL1970">
        <v>1</v>
      </c>
      <c r="AO1970">
        <v>0</v>
      </c>
      <c r="AP1970" t="s">
        <v>3062</v>
      </c>
      <c r="AQ1970" t="s">
        <v>3012</v>
      </c>
      <c r="AR1970" t="s">
        <v>3063</v>
      </c>
      <c r="AS1970" t="s">
        <v>3014</v>
      </c>
      <c r="AU1970" t="s">
        <v>3014</v>
      </c>
    </row>
    <row r="1971" spans="1:47" x14ac:dyDescent="0.35">
      <c r="A1971">
        <v>337869</v>
      </c>
      <c r="B1971" t="s">
        <v>172</v>
      </c>
      <c r="C1971" t="s">
        <v>173</v>
      </c>
      <c r="D1971" s="2">
        <v>45785</v>
      </c>
      <c r="E1971">
        <v>53850</v>
      </c>
      <c r="F1971">
        <v>145</v>
      </c>
      <c r="G1971" t="s">
        <v>115</v>
      </c>
      <c r="H1971" t="s">
        <v>167</v>
      </c>
      <c r="I1971" t="s">
        <v>45</v>
      </c>
      <c r="K1971" t="s">
        <v>2075</v>
      </c>
      <c r="L1971">
        <v>1453300003229</v>
      </c>
      <c r="M1971">
        <v>20250507</v>
      </c>
      <c r="N1971" t="s">
        <v>175</v>
      </c>
      <c r="Q1971" t="s">
        <v>47</v>
      </c>
      <c r="R1971">
        <v>135000</v>
      </c>
      <c r="S1971">
        <v>0</v>
      </c>
      <c r="T1971">
        <v>4933594</v>
      </c>
      <c r="U1971">
        <v>7990761210</v>
      </c>
      <c r="V1971" t="s">
        <v>2112</v>
      </c>
      <c r="W1971" t="s">
        <v>49</v>
      </c>
      <c r="X1971" t="s">
        <v>1186</v>
      </c>
      <c r="Y1971" t="s">
        <v>51</v>
      </c>
      <c r="Z1971">
        <v>1222</v>
      </c>
      <c r="AH1971">
        <v>0</v>
      </c>
      <c r="AI1971">
        <v>202505</v>
      </c>
      <c r="AJ1971" t="s">
        <v>119</v>
      </c>
      <c r="AK1971">
        <v>1</v>
      </c>
      <c r="AL1971">
        <v>1</v>
      </c>
      <c r="AO1971">
        <v>1</v>
      </c>
      <c r="AP1971" t="s">
        <v>3015</v>
      </c>
      <c r="AQ1971" t="s">
        <v>3012</v>
      </c>
      <c r="AR1971" t="s">
        <v>3016</v>
      </c>
      <c r="AT1971" t="s">
        <v>3017</v>
      </c>
      <c r="AU1971" t="s">
        <v>3018</v>
      </c>
    </row>
    <row r="1972" spans="1:47" x14ac:dyDescent="0.35">
      <c r="A1972">
        <v>337868</v>
      </c>
      <c r="B1972" t="s">
        <v>164</v>
      </c>
      <c r="C1972" t="s">
        <v>165</v>
      </c>
      <c r="D1972" s="2">
        <v>45785</v>
      </c>
      <c r="E1972">
        <v>53850</v>
      </c>
      <c r="F1972">
        <v>136</v>
      </c>
      <c r="G1972" t="s">
        <v>551</v>
      </c>
      <c r="H1972" t="s">
        <v>167</v>
      </c>
      <c r="I1972" t="s">
        <v>45</v>
      </c>
      <c r="K1972">
        <v>202505077957636</v>
      </c>
      <c r="L1972">
        <v>1361147800126</v>
      </c>
      <c r="M1972">
        <v>20250507</v>
      </c>
      <c r="N1972" t="s">
        <v>168</v>
      </c>
      <c r="P1972" t="s">
        <v>435</v>
      </c>
      <c r="Q1972" t="s">
        <v>170</v>
      </c>
      <c r="R1972">
        <v>716657.07</v>
      </c>
      <c r="S1972">
        <v>0</v>
      </c>
      <c r="T1972">
        <v>4395683</v>
      </c>
      <c r="U1972">
        <v>2036760037</v>
      </c>
      <c r="V1972" t="s">
        <v>553</v>
      </c>
      <c r="W1972" t="s">
        <v>49</v>
      </c>
      <c r="X1972" t="s">
        <v>554</v>
      </c>
      <c r="Y1972" t="s">
        <v>51</v>
      </c>
      <c r="Z1972">
        <v>1627</v>
      </c>
      <c r="AH1972">
        <v>0</v>
      </c>
      <c r="AI1972">
        <v>202505</v>
      </c>
      <c r="AJ1972" t="s">
        <v>56</v>
      </c>
      <c r="AK1972">
        <v>0</v>
      </c>
      <c r="AL1972">
        <v>1</v>
      </c>
      <c r="AO1972">
        <v>0</v>
      </c>
      <c r="AP1972" t="s">
        <v>3015</v>
      </c>
      <c r="AQ1972" t="s">
        <v>3012</v>
      </c>
      <c r="AR1972" t="s">
        <v>3016</v>
      </c>
      <c r="AT1972" t="s">
        <v>3017</v>
      </c>
      <c r="AU1972" t="s">
        <v>3018</v>
      </c>
    </row>
    <row r="1973" spans="1:47" x14ac:dyDescent="0.35">
      <c r="A1973">
        <v>337867</v>
      </c>
      <c r="B1973" t="s">
        <v>193</v>
      </c>
      <c r="C1973" t="s">
        <v>194</v>
      </c>
      <c r="D1973" s="2">
        <v>45785</v>
      </c>
      <c r="E1973">
        <v>53850</v>
      </c>
      <c r="F1973">
        <v>171</v>
      </c>
      <c r="G1973" t="s">
        <v>198</v>
      </c>
      <c r="H1973" t="s">
        <v>167</v>
      </c>
      <c r="I1973" t="s">
        <v>45</v>
      </c>
      <c r="K1973" t="s">
        <v>2075</v>
      </c>
      <c r="L1973">
        <v>1713305728950</v>
      </c>
      <c r="M1973">
        <v>20250507</v>
      </c>
      <c r="N1973" t="s">
        <v>195</v>
      </c>
      <c r="Q1973" t="s">
        <v>47</v>
      </c>
      <c r="R1973">
        <v>493451.85</v>
      </c>
      <c r="S1973">
        <v>493451.85</v>
      </c>
      <c r="T1973">
        <v>572895</v>
      </c>
      <c r="U1973">
        <v>4161600723</v>
      </c>
      <c r="V1973" t="s">
        <v>199</v>
      </c>
      <c r="W1973" t="s">
        <v>49</v>
      </c>
      <c r="X1973" t="s">
        <v>200</v>
      </c>
      <c r="Y1973" t="s">
        <v>51</v>
      </c>
      <c r="Z1973">
        <v>1903</v>
      </c>
      <c r="AH1973">
        <v>0</v>
      </c>
      <c r="AI1973">
        <v>202505</v>
      </c>
      <c r="AJ1973" t="s">
        <v>86</v>
      </c>
      <c r="AK1973">
        <v>1</v>
      </c>
      <c r="AL1973">
        <v>1</v>
      </c>
      <c r="AM1973">
        <v>572895</v>
      </c>
      <c r="AN1973">
        <v>1</v>
      </c>
      <c r="AO1973">
        <v>0</v>
      </c>
      <c r="AP1973" t="s">
        <v>3015</v>
      </c>
      <c r="AQ1973" t="s">
        <v>3012</v>
      </c>
      <c r="AR1973" t="s">
        <v>3016</v>
      </c>
      <c r="AT1973" t="s">
        <v>3017</v>
      </c>
      <c r="AU1973" t="s">
        <v>3018</v>
      </c>
    </row>
    <row r="1974" spans="1:47" x14ac:dyDescent="0.35">
      <c r="A1974">
        <v>337866</v>
      </c>
      <c r="B1974" t="s">
        <v>193</v>
      </c>
      <c r="C1974" t="s">
        <v>194</v>
      </c>
      <c r="D1974" s="2">
        <v>45785</v>
      </c>
      <c r="E1974">
        <v>53850</v>
      </c>
      <c r="F1974">
        <v>118</v>
      </c>
      <c r="G1974" t="s">
        <v>254</v>
      </c>
      <c r="H1974" t="s">
        <v>167</v>
      </c>
      <c r="I1974" t="s">
        <v>45</v>
      </c>
      <c r="K1974">
        <v>202505077958043</v>
      </c>
      <c r="L1974">
        <v>1023308722503</v>
      </c>
      <c r="M1974">
        <v>20250507</v>
      </c>
      <c r="N1974" t="s">
        <v>195</v>
      </c>
      <c r="Q1974" t="s">
        <v>47</v>
      </c>
      <c r="R1974">
        <v>15050</v>
      </c>
      <c r="S1974">
        <v>15050</v>
      </c>
      <c r="T1974">
        <v>413650</v>
      </c>
      <c r="U1974">
        <v>3657230722</v>
      </c>
      <c r="V1974" t="s">
        <v>196</v>
      </c>
      <c r="W1974" t="s">
        <v>190</v>
      </c>
      <c r="X1974" t="s">
        <v>197</v>
      </c>
      <c r="Y1974" t="s">
        <v>51</v>
      </c>
      <c r="Z1974">
        <v>1306</v>
      </c>
      <c r="AH1974">
        <v>0</v>
      </c>
      <c r="AI1974">
        <v>202505</v>
      </c>
      <c r="AJ1974" t="s">
        <v>56</v>
      </c>
      <c r="AK1974">
        <v>0</v>
      </c>
      <c r="AL1974">
        <v>1</v>
      </c>
      <c r="AM1974">
        <v>413650</v>
      </c>
      <c r="AN1974">
        <v>1</v>
      </c>
      <c r="AO1974">
        <v>0</v>
      </c>
      <c r="AP1974" t="s">
        <v>3050</v>
      </c>
      <c r="AQ1974" t="s">
        <v>3047</v>
      </c>
      <c r="AR1974" t="s">
        <v>3051</v>
      </c>
      <c r="AS1974" t="s">
        <v>3049</v>
      </c>
      <c r="AU1974" t="s">
        <v>3049</v>
      </c>
    </row>
    <row r="1975" spans="1:47" x14ac:dyDescent="0.35">
      <c r="A1975">
        <v>337865</v>
      </c>
      <c r="B1975" t="s">
        <v>214</v>
      </c>
      <c r="C1975" t="s">
        <v>215</v>
      </c>
      <c r="D1975" s="2">
        <v>45785</v>
      </c>
      <c r="E1975">
        <v>53850</v>
      </c>
      <c r="F1975">
        <v>226</v>
      </c>
      <c r="G1975" t="s">
        <v>129</v>
      </c>
      <c r="H1975" t="s">
        <v>167</v>
      </c>
      <c r="I1975" t="s">
        <v>45</v>
      </c>
      <c r="K1975">
        <v>202505077957180</v>
      </c>
      <c r="L1975">
        <v>1453300003928</v>
      </c>
      <c r="M1975">
        <v>20250507</v>
      </c>
      <c r="N1975" t="s">
        <v>168</v>
      </c>
      <c r="P1975" t="s">
        <v>217</v>
      </c>
      <c r="Q1975" t="s">
        <v>47</v>
      </c>
      <c r="R1975">
        <v>22000</v>
      </c>
      <c r="S1975">
        <v>0</v>
      </c>
      <c r="T1975">
        <v>3726295</v>
      </c>
      <c r="U1975">
        <v>10503411216</v>
      </c>
      <c r="V1975" t="s">
        <v>1172</v>
      </c>
      <c r="W1975" t="s">
        <v>49</v>
      </c>
      <c r="X1975" t="s">
        <v>1173</v>
      </c>
      <c r="Y1975" t="s">
        <v>51</v>
      </c>
      <c r="Z1975">
        <v>1932</v>
      </c>
      <c r="AH1975">
        <v>0</v>
      </c>
      <c r="AI1975">
        <v>202505</v>
      </c>
      <c r="AJ1975" t="s">
        <v>114</v>
      </c>
      <c r="AK1975">
        <v>1</v>
      </c>
      <c r="AL1975">
        <v>1</v>
      </c>
      <c r="AO1975">
        <v>0</v>
      </c>
      <c r="AP1975" t="s">
        <v>3015</v>
      </c>
      <c r="AQ1975" t="s">
        <v>3012</v>
      </c>
      <c r="AR1975" t="s">
        <v>3016</v>
      </c>
      <c r="AT1975" t="s">
        <v>3017</v>
      </c>
      <c r="AU1975" t="s">
        <v>3018</v>
      </c>
    </row>
    <row r="1976" spans="1:47" x14ac:dyDescent="0.35">
      <c r="A1976">
        <v>337864</v>
      </c>
      <c r="B1976" t="s">
        <v>193</v>
      </c>
      <c r="C1976" t="s">
        <v>194</v>
      </c>
      <c r="D1976" s="2">
        <v>45785</v>
      </c>
      <c r="E1976">
        <v>53850</v>
      </c>
      <c r="F1976">
        <v>287</v>
      </c>
      <c r="G1976" t="s">
        <v>707</v>
      </c>
      <c r="H1976" t="s">
        <v>167</v>
      </c>
      <c r="I1976" t="s">
        <v>45</v>
      </c>
      <c r="K1976" t="s">
        <v>2075</v>
      </c>
      <c r="L1976">
        <v>2873300001853</v>
      </c>
      <c r="M1976">
        <v>20250507</v>
      </c>
      <c r="N1976" t="s">
        <v>175</v>
      </c>
      <c r="Q1976" t="s">
        <v>47</v>
      </c>
      <c r="R1976">
        <v>59803.34</v>
      </c>
      <c r="S1976">
        <v>39610</v>
      </c>
      <c r="T1976">
        <v>3722213</v>
      </c>
      <c r="U1976">
        <v>2021570698</v>
      </c>
      <c r="V1976" t="s">
        <v>708</v>
      </c>
      <c r="W1976" t="s">
        <v>49</v>
      </c>
      <c r="X1976" t="s">
        <v>117</v>
      </c>
      <c r="Y1976" t="s">
        <v>51</v>
      </c>
      <c r="Z1976">
        <v>1877</v>
      </c>
      <c r="AH1976">
        <v>0</v>
      </c>
      <c r="AI1976">
        <v>202505</v>
      </c>
      <c r="AJ1976" t="s">
        <v>52</v>
      </c>
      <c r="AK1976">
        <v>0</v>
      </c>
      <c r="AL1976">
        <v>1</v>
      </c>
      <c r="AM1976">
        <v>3722213</v>
      </c>
      <c r="AN1976">
        <v>1</v>
      </c>
      <c r="AO1976">
        <v>1</v>
      </c>
      <c r="AP1976" t="s">
        <v>3029</v>
      </c>
      <c r="AQ1976" t="s">
        <v>3012</v>
      </c>
      <c r="AR1976" t="s">
        <v>3030</v>
      </c>
      <c r="AS1976" t="s">
        <v>3014</v>
      </c>
      <c r="AU1976" t="s">
        <v>3014</v>
      </c>
    </row>
    <row r="1977" spans="1:47" x14ac:dyDescent="0.35">
      <c r="A1977">
        <v>337863</v>
      </c>
      <c r="B1977" t="s">
        <v>178</v>
      </c>
      <c r="C1977" t="s">
        <v>179</v>
      </c>
      <c r="D1977" s="2">
        <v>45785</v>
      </c>
      <c r="E1977">
        <v>53850</v>
      </c>
      <c r="F1977">
        <v>131</v>
      </c>
      <c r="G1977" t="s">
        <v>216</v>
      </c>
      <c r="H1977" t="s">
        <v>167</v>
      </c>
      <c r="I1977" t="s">
        <v>45</v>
      </c>
      <c r="K1977">
        <v>202505077958655</v>
      </c>
      <c r="L1977">
        <v>1313300003339</v>
      </c>
      <c r="M1977">
        <v>20250507</v>
      </c>
      <c r="N1977" t="s">
        <v>3136</v>
      </c>
      <c r="Q1977" t="s">
        <v>170</v>
      </c>
      <c r="R1977">
        <v>16546.03</v>
      </c>
      <c r="S1977">
        <v>0</v>
      </c>
      <c r="T1977">
        <v>4054276</v>
      </c>
      <c r="U1977" t="s">
        <v>2113</v>
      </c>
      <c r="V1977" t="s">
        <v>2114</v>
      </c>
      <c r="W1977" t="s">
        <v>187</v>
      </c>
      <c r="Y1977" t="s">
        <v>51</v>
      </c>
      <c r="Z1977">
        <v>1345</v>
      </c>
      <c r="AH1977">
        <v>0</v>
      </c>
      <c r="AI1977">
        <v>202505</v>
      </c>
      <c r="AJ1977" t="s">
        <v>86</v>
      </c>
      <c r="AK1977">
        <v>1</v>
      </c>
      <c r="AL1977">
        <v>1</v>
      </c>
      <c r="AO1977">
        <v>1</v>
      </c>
      <c r="AP1977" t="s">
        <v>3015</v>
      </c>
      <c r="AQ1977" t="s">
        <v>3044</v>
      </c>
      <c r="AR1977" t="s">
        <v>3045</v>
      </c>
      <c r="AS1977" t="s">
        <v>3046</v>
      </c>
      <c r="AU1977" t="s">
        <v>3046</v>
      </c>
    </row>
    <row r="1978" spans="1:47" x14ac:dyDescent="0.35">
      <c r="A1978">
        <v>337862</v>
      </c>
      <c r="B1978" t="s">
        <v>178</v>
      </c>
      <c r="C1978" t="s">
        <v>179</v>
      </c>
      <c r="D1978" s="2">
        <v>45785</v>
      </c>
      <c r="E1978">
        <v>53850</v>
      </c>
      <c r="F1978">
        <v>174</v>
      </c>
      <c r="G1978" t="s">
        <v>224</v>
      </c>
      <c r="H1978" t="s">
        <v>167</v>
      </c>
      <c r="I1978" t="s">
        <v>45</v>
      </c>
      <c r="K1978" t="s">
        <v>2115</v>
      </c>
      <c r="L1978">
        <v>1743302878738</v>
      </c>
      <c r="M1978">
        <v>20250507</v>
      </c>
      <c r="N1978" t="s">
        <v>3136</v>
      </c>
      <c r="Q1978" t="s">
        <v>170</v>
      </c>
      <c r="R1978">
        <v>1548.53</v>
      </c>
      <c r="S1978">
        <v>0</v>
      </c>
      <c r="T1978">
        <v>4502107</v>
      </c>
      <c r="U1978" t="s">
        <v>2116</v>
      </c>
      <c r="V1978" t="s">
        <v>2117</v>
      </c>
      <c r="W1978" t="s">
        <v>187</v>
      </c>
      <c r="Y1978" t="s">
        <v>51</v>
      </c>
      <c r="Z1978">
        <v>1106</v>
      </c>
      <c r="AH1978">
        <v>0</v>
      </c>
      <c r="AI1978">
        <v>202505</v>
      </c>
      <c r="AJ1978" t="s">
        <v>86</v>
      </c>
      <c r="AK1978">
        <v>1</v>
      </c>
      <c r="AL1978">
        <v>1</v>
      </c>
      <c r="AO1978">
        <v>1</v>
      </c>
      <c r="AP1978" t="s">
        <v>3015</v>
      </c>
      <c r="AQ1978" t="s">
        <v>3044</v>
      </c>
      <c r="AR1978" t="s">
        <v>3045</v>
      </c>
      <c r="AS1978" t="s">
        <v>3046</v>
      </c>
      <c r="AU1978" t="s">
        <v>3046</v>
      </c>
    </row>
    <row r="1979" spans="1:47" x14ac:dyDescent="0.35">
      <c r="A1979">
        <v>337861</v>
      </c>
      <c r="B1979" t="s">
        <v>178</v>
      </c>
      <c r="C1979" t="s">
        <v>179</v>
      </c>
      <c r="D1979" s="2">
        <v>45785</v>
      </c>
      <c r="E1979">
        <v>53850</v>
      </c>
      <c r="F1979">
        <v>182</v>
      </c>
      <c r="G1979" t="s">
        <v>318</v>
      </c>
      <c r="H1979" t="s">
        <v>167</v>
      </c>
      <c r="I1979" t="s">
        <v>45</v>
      </c>
      <c r="K1979">
        <v>202505077958798</v>
      </c>
      <c r="L1979">
        <v>1823300167781</v>
      </c>
      <c r="M1979">
        <v>20250507</v>
      </c>
      <c r="N1979" t="s">
        <v>3136</v>
      </c>
      <c r="Q1979" t="s">
        <v>170</v>
      </c>
      <c r="R1979">
        <v>9856.8799999999992</v>
      </c>
      <c r="S1979">
        <v>0</v>
      </c>
      <c r="T1979">
        <v>3030646</v>
      </c>
      <c r="U1979" t="s">
        <v>2118</v>
      </c>
      <c r="V1979" t="s">
        <v>2119</v>
      </c>
      <c r="W1979" t="s">
        <v>187</v>
      </c>
      <c r="Y1979" t="s">
        <v>51</v>
      </c>
      <c r="Z1979">
        <v>616</v>
      </c>
      <c r="AH1979">
        <v>0</v>
      </c>
      <c r="AI1979">
        <v>202505</v>
      </c>
      <c r="AJ1979" t="s">
        <v>86</v>
      </c>
      <c r="AK1979">
        <v>1</v>
      </c>
      <c r="AL1979">
        <v>1</v>
      </c>
      <c r="AO1979">
        <v>1</v>
      </c>
      <c r="AP1979" t="s">
        <v>3015</v>
      </c>
      <c r="AQ1979" t="s">
        <v>3044</v>
      </c>
      <c r="AR1979" t="s">
        <v>3045</v>
      </c>
      <c r="AS1979" t="s">
        <v>3046</v>
      </c>
      <c r="AU1979" t="s">
        <v>3046</v>
      </c>
    </row>
    <row r="1980" spans="1:47" x14ac:dyDescent="0.35">
      <c r="A1980">
        <v>337860</v>
      </c>
      <c r="B1980" t="s">
        <v>178</v>
      </c>
      <c r="C1980" t="s">
        <v>179</v>
      </c>
      <c r="D1980" s="2">
        <v>45785</v>
      </c>
      <c r="E1980">
        <v>53850</v>
      </c>
      <c r="F1980">
        <v>102</v>
      </c>
      <c r="G1980" t="s">
        <v>151</v>
      </c>
      <c r="H1980" t="s">
        <v>167</v>
      </c>
      <c r="I1980" t="s">
        <v>45</v>
      </c>
      <c r="K1980">
        <v>202505077957172</v>
      </c>
      <c r="L1980">
        <v>1023308728148</v>
      </c>
      <c r="M1980">
        <v>20250507</v>
      </c>
      <c r="N1980" t="s">
        <v>46</v>
      </c>
      <c r="P1980" t="s">
        <v>51</v>
      </c>
      <c r="Q1980" t="s">
        <v>47</v>
      </c>
      <c r="R1980">
        <v>333911.57</v>
      </c>
      <c r="S1980">
        <v>0</v>
      </c>
      <c r="T1980">
        <v>153952</v>
      </c>
      <c r="U1980" t="s">
        <v>2120</v>
      </c>
      <c r="V1980" t="s">
        <v>2121</v>
      </c>
      <c r="W1980" t="s">
        <v>187</v>
      </c>
      <c r="Y1980" t="s">
        <v>51</v>
      </c>
      <c r="Z1980">
        <v>1335</v>
      </c>
      <c r="AH1980">
        <v>0</v>
      </c>
      <c r="AI1980">
        <v>202505</v>
      </c>
      <c r="AJ1980" t="s">
        <v>52</v>
      </c>
      <c r="AK1980">
        <v>0</v>
      </c>
      <c r="AL1980">
        <v>1</v>
      </c>
      <c r="AO1980">
        <v>0</v>
      </c>
      <c r="AP1980" t="s">
        <v>3015</v>
      </c>
      <c r="AQ1980" t="s">
        <v>3044</v>
      </c>
      <c r="AR1980" t="s">
        <v>3045</v>
      </c>
      <c r="AS1980" t="s">
        <v>3046</v>
      </c>
      <c r="AU1980" t="s">
        <v>3046</v>
      </c>
    </row>
    <row r="1981" spans="1:47" x14ac:dyDescent="0.35">
      <c r="A1981">
        <v>337859</v>
      </c>
      <c r="B1981" t="s">
        <v>178</v>
      </c>
      <c r="C1981" t="s">
        <v>179</v>
      </c>
      <c r="D1981" s="2">
        <v>45784</v>
      </c>
      <c r="E1981">
        <v>53850</v>
      </c>
      <c r="F1981">
        <v>268</v>
      </c>
      <c r="G1981" t="s">
        <v>83</v>
      </c>
      <c r="H1981" t="s">
        <v>167</v>
      </c>
      <c r="I1981" t="s">
        <v>45</v>
      </c>
      <c r="K1981">
        <v>202505067953815</v>
      </c>
      <c r="L1981">
        <v>2683300005621</v>
      </c>
      <c r="M1981">
        <v>20250506</v>
      </c>
      <c r="N1981" t="s">
        <v>46</v>
      </c>
      <c r="P1981" t="s">
        <v>51</v>
      </c>
      <c r="Q1981" t="s">
        <v>47</v>
      </c>
      <c r="R1981">
        <v>249820.54</v>
      </c>
      <c r="S1981">
        <v>0</v>
      </c>
      <c r="T1981">
        <v>1695313</v>
      </c>
      <c r="U1981" t="s">
        <v>2122</v>
      </c>
      <c r="V1981" t="s">
        <v>2123</v>
      </c>
      <c r="W1981" t="s">
        <v>187</v>
      </c>
      <c r="Y1981" t="s">
        <v>51</v>
      </c>
      <c r="Z1981">
        <v>1887</v>
      </c>
      <c r="AH1981">
        <v>0</v>
      </c>
      <c r="AI1981">
        <v>202505</v>
      </c>
      <c r="AJ1981" t="s">
        <v>86</v>
      </c>
      <c r="AK1981">
        <v>1</v>
      </c>
      <c r="AL1981">
        <v>1</v>
      </c>
      <c r="AO1981">
        <v>0</v>
      </c>
      <c r="AP1981" t="s">
        <v>3015</v>
      </c>
      <c r="AQ1981" t="s">
        <v>3044</v>
      </c>
      <c r="AR1981" t="s">
        <v>3045</v>
      </c>
      <c r="AS1981" t="s">
        <v>3046</v>
      </c>
      <c r="AU1981" t="s">
        <v>3046</v>
      </c>
    </row>
    <row r="1982" spans="1:47" x14ac:dyDescent="0.35">
      <c r="A1982">
        <v>337858</v>
      </c>
      <c r="B1982" t="s">
        <v>164</v>
      </c>
      <c r="C1982" t="s">
        <v>165</v>
      </c>
      <c r="D1982" s="2">
        <v>45784</v>
      </c>
      <c r="E1982">
        <v>53850</v>
      </c>
      <c r="F1982">
        <v>148</v>
      </c>
      <c r="G1982" t="s">
        <v>78</v>
      </c>
      <c r="H1982" t="s">
        <v>167</v>
      </c>
      <c r="I1982" t="s">
        <v>45</v>
      </c>
      <c r="K1982">
        <v>202505067953863</v>
      </c>
      <c r="L1982">
        <v>1483300003872</v>
      </c>
      <c r="M1982">
        <v>20250506</v>
      </c>
      <c r="N1982" t="s">
        <v>168</v>
      </c>
      <c r="P1982" t="s">
        <v>169</v>
      </c>
      <c r="Q1982" t="s">
        <v>47</v>
      </c>
      <c r="R1982">
        <v>28963.49</v>
      </c>
      <c r="S1982">
        <v>0</v>
      </c>
      <c r="T1982">
        <v>4602337</v>
      </c>
      <c r="U1982">
        <v>1418030621</v>
      </c>
      <c r="V1982" t="s">
        <v>1203</v>
      </c>
      <c r="W1982" t="s">
        <v>49</v>
      </c>
      <c r="X1982" t="s">
        <v>698</v>
      </c>
      <c r="Y1982" t="s">
        <v>51</v>
      </c>
      <c r="Z1982">
        <v>982</v>
      </c>
      <c r="AH1982">
        <v>0</v>
      </c>
      <c r="AI1982">
        <v>202505</v>
      </c>
      <c r="AJ1982" t="s">
        <v>56</v>
      </c>
      <c r="AK1982">
        <v>0</v>
      </c>
      <c r="AL1982">
        <v>1</v>
      </c>
      <c r="AO1982">
        <v>0</v>
      </c>
      <c r="AP1982" t="s">
        <v>3015</v>
      </c>
      <c r="AQ1982" t="s">
        <v>3012</v>
      </c>
      <c r="AR1982" t="s">
        <v>3016</v>
      </c>
      <c r="AT1982" t="s">
        <v>3017</v>
      </c>
      <c r="AU1982" t="s">
        <v>3018</v>
      </c>
    </row>
    <row r="1983" spans="1:47" x14ac:dyDescent="0.35">
      <c r="A1983">
        <v>337857</v>
      </c>
      <c r="B1983" t="s">
        <v>193</v>
      </c>
      <c r="C1983" t="s">
        <v>194</v>
      </c>
      <c r="D1983" s="2">
        <v>45784</v>
      </c>
      <c r="E1983">
        <v>53850</v>
      </c>
      <c r="F1983">
        <v>161</v>
      </c>
      <c r="G1983" t="s">
        <v>111</v>
      </c>
      <c r="H1983" t="s">
        <v>167</v>
      </c>
      <c r="I1983" t="s">
        <v>45</v>
      </c>
      <c r="K1983" t="s">
        <v>2124</v>
      </c>
      <c r="L1983">
        <v>1613300031333</v>
      </c>
      <c r="M1983">
        <v>20250506</v>
      </c>
      <c r="N1983" t="s">
        <v>175</v>
      </c>
      <c r="Q1983" t="s">
        <v>47</v>
      </c>
      <c r="R1983">
        <v>45502.15</v>
      </c>
      <c r="S1983">
        <v>41530</v>
      </c>
      <c r="T1983">
        <v>511904</v>
      </c>
      <c r="U1983" t="s">
        <v>388</v>
      </c>
      <c r="V1983" t="s">
        <v>389</v>
      </c>
      <c r="W1983" t="s">
        <v>69</v>
      </c>
      <c r="X1983" t="s">
        <v>55</v>
      </c>
      <c r="Y1983" t="s">
        <v>51</v>
      </c>
      <c r="Z1983">
        <v>857</v>
      </c>
      <c r="AH1983">
        <v>0</v>
      </c>
      <c r="AI1983">
        <v>202505</v>
      </c>
      <c r="AJ1983" t="s">
        <v>56</v>
      </c>
      <c r="AK1983">
        <v>0</v>
      </c>
      <c r="AL1983">
        <v>1</v>
      </c>
      <c r="AM1983">
        <v>511904</v>
      </c>
      <c r="AN1983">
        <v>1</v>
      </c>
      <c r="AO1983">
        <v>1</v>
      </c>
      <c r="AP1983" t="s">
        <v>3015</v>
      </c>
      <c r="AQ1983" t="s">
        <v>3021</v>
      </c>
      <c r="AR1983" t="s">
        <v>3022</v>
      </c>
      <c r="AT1983" t="s">
        <v>3017</v>
      </c>
      <c r="AU1983" t="s">
        <v>3014</v>
      </c>
    </row>
    <row r="1984" spans="1:47" x14ac:dyDescent="0.35">
      <c r="A1984">
        <v>337856</v>
      </c>
      <c r="B1984" t="s">
        <v>193</v>
      </c>
      <c r="C1984" t="s">
        <v>194</v>
      </c>
      <c r="D1984" s="2">
        <v>45784</v>
      </c>
      <c r="E1984">
        <v>53850</v>
      </c>
      <c r="F1984">
        <v>156</v>
      </c>
      <c r="G1984" t="s">
        <v>1584</v>
      </c>
      <c r="H1984" t="s">
        <v>167</v>
      </c>
      <c r="I1984" t="s">
        <v>45</v>
      </c>
      <c r="K1984">
        <v>202505067955502</v>
      </c>
      <c r="L1984">
        <v>1923300181861</v>
      </c>
      <c r="M1984">
        <v>20250506</v>
      </c>
      <c r="N1984" t="s">
        <v>266</v>
      </c>
      <c r="Q1984" t="s">
        <v>47</v>
      </c>
      <c r="R1984">
        <v>16500</v>
      </c>
      <c r="S1984">
        <v>16500</v>
      </c>
      <c r="T1984">
        <v>4114433</v>
      </c>
      <c r="U1984" t="s">
        <v>1610</v>
      </c>
      <c r="V1984" t="s">
        <v>1611</v>
      </c>
      <c r="W1984" t="s">
        <v>187</v>
      </c>
      <c r="Y1984" t="s">
        <v>51</v>
      </c>
      <c r="Z1984">
        <v>1962</v>
      </c>
      <c r="AH1984">
        <v>0</v>
      </c>
      <c r="AI1984">
        <v>202505</v>
      </c>
      <c r="AJ1984" t="s">
        <v>56</v>
      </c>
      <c r="AK1984">
        <v>0</v>
      </c>
      <c r="AL1984">
        <v>1</v>
      </c>
      <c r="AM1984">
        <v>4114433</v>
      </c>
      <c r="AN1984">
        <v>1</v>
      </c>
      <c r="AO1984">
        <v>0</v>
      </c>
      <c r="AP1984" t="s">
        <v>3015</v>
      </c>
      <c r="AQ1984" t="s">
        <v>3044</v>
      </c>
      <c r="AR1984" t="s">
        <v>3045</v>
      </c>
      <c r="AS1984" t="s">
        <v>3046</v>
      </c>
      <c r="AU1984" t="s">
        <v>3046</v>
      </c>
    </row>
    <row r="1985" spans="1:47" x14ac:dyDescent="0.35">
      <c r="A1985">
        <v>337855</v>
      </c>
      <c r="B1985" t="s">
        <v>193</v>
      </c>
      <c r="C1985" t="s">
        <v>194</v>
      </c>
      <c r="D1985" s="2">
        <v>45784</v>
      </c>
      <c r="E1985">
        <v>53850</v>
      </c>
      <c r="F1985">
        <v>167</v>
      </c>
      <c r="G1985" t="s">
        <v>278</v>
      </c>
      <c r="H1985" t="s">
        <v>167</v>
      </c>
      <c r="I1985" t="s">
        <v>45</v>
      </c>
      <c r="K1985">
        <v>202505067955540</v>
      </c>
      <c r="L1985">
        <v>1673301672576</v>
      </c>
      <c r="M1985">
        <v>20250506</v>
      </c>
      <c r="N1985" t="s">
        <v>266</v>
      </c>
      <c r="Q1985" t="s">
        <v>47</v>
      </c>
      <c r="R1985">
        <v>17000</v>
      </c>
      <c r="S1985">
        <v>17000</v>
      </c>
      <c r="T1985">
        <v>4639937</v>
      </c>
      <c r="U1985">
        <v>7129090721</v>
      </c>
      <c r="V1985" t="s">
        <v>2125</v>
      </c>
      <c r="W1985" t="s">
        <v>190</v>
      </c>
      <c r="X1985" t="s">
        <v>131</v>
      </c>
      <c r="Y1985" t="s">
        <v>51</v>
      </c>
      <c r="Z1985">
        <v>1175</v>
      </c>
      <c r="AH1985">
        <v>0</v>
      </c>
      <c r="AI1985">
        <v>202505</v>
      </c>
      <c r="AJ1985" t="s">
        <v>56</v>
      </c>
      <c r="AK1985">
        <v>0</v>
      </c>
      <c r="AL1985">
        <v>1</v>
      </c>
      <c r="AO1985">
        <v>0</v>
      </c>
      <c r="AP1985" t="s">
        <v>3033</v>
      </c>
      <c r="AQ1985" t="s">
        <v>3047</v>
      </c>
      <c r="AR1985" t="s">
        <v>3048</v>
      </c>
      <c r="AS1985" t="s">
        <v>3049</v>
      </c>
      <c r="AU1985" t="s">
        <v>3049</v>
      </c>
    </row>
    <row r="1986" spans="1:47" x14ac:dyDescent="0.35">
      <c r="A1986">
        <v>337854</v>
      </c>
      <c r="B1986" t="s">
        <v>756</v>
      </c>
      <c r="C1986" t="s">
        <v>757</v>
      </c>
      <c r="D1986" s="2">
        <v>45784</v>
      </c>
      <c r="E1986">
        <v>53850</v>
      </c>
      <c r="F1986">
        <v>156</v>
      </c>
      <c r="G1986" t="s">
        <v>1584</v>
      </c>
      <c r="H1986" t="s">
        <v>167</v>
      </c>
      <c r="I1986" t="s">
        <v>45</v>
      </c>
      <c r="K1986">
        <v>202505067955503</v>
      </c>
      <c r="L1986">
        <v>1825500227410</v>
      </c>
      <c r="M1986">
        <v>20250506</v>
      </c>
      <c r="N1986" t="s">
        <v>794</v>
      </c>
      <c r="Q1986" t="s">
        <v>170</v>
      </c>
      <c r="R1986">
        <v>16500</v>
      </c>
      <c r="S1986">
        <v>16500</v>
      </c>
      <c r="T1986">
        <v>3001369</v>
      </c>
      <c r="U1986" t="s">
        <v>1601</v>
      </c>
      <c r="V1986" t="s">
        <v>1602</v>
      </c>
      <c r="W1986" t="s">
        <v>187</v>
      </c>
      <c r="Y1986" t="s">
        <v>51</v>
      </c>
      <c r="Z1986">
        <v>481</v>
      </c>
      <c r="AH1986">
        <v>0</v>
      </c>
      <c r="AI1986">
        <v>202505</v>
      </c>
      <c r="AJ1986" t="s">
        <v>52</v>
      </c>
      <c r="AK1986">
        <v>0</v>
      </c>
      <c r="AL1986">
        <v>0</v>
      </c>
      <c r="AO1986">
        <v>0</v>
      </c>
      <c r="AP1986" t="s">
        <v>3015</v>
      </c>
      <c r="AQ1986" t="s">
        <v>3044</v>
      </c>
      <c r="AR1986" t="s">
        <v>3045</v>
      </c>
      <c r="AS1986" t="s">
        <v>3046</v>
      </c>
      <c r="AU1986" t="s">
        <v>3046</v>
      </c>
    </row>
    <row r="1987" spans="1:47" x14ac:dyDescent="0.35">
      <c r="A1987">
        <v>337853</v>
      </c>
      <c r="B1987" t="s">
        <v>193</v>
      </c>
      <c r="C1987" t="s">
        <v>194</v>
      </c>
      <c r="D1987" s="2">
        <v>45784</v>
      </c>
      <c r="E1987">
        <v>53850</v>
      </c>
      <c r="F1987">
        <v>156</v>
      </c>
      <c r="G1987" t="s">
        <v>1584</v>
      </c>
      <c r="H1987" t="s">
        <v>167</v>
      </c>
      <c r="I1987" t="s">
        <v>45</v>
      </c>
      <c r="K1987">
        <v>202505067955502</v>
      </c>
      <c r="L1987">
        <v>1923300181861</v>
      </c>
      <c r="M1987">
        <v>20250506</v>
      </c>
      <c r="N1987" t="s">
        <v>266</v>
      </c>
      <c r="Q1987" t="s">
        <v>47</v>
      </c>
      <c r="R1987">
        <v>16500</v>
      </c>
      <c r="S1987">
        <v>16500</v>
      </c>
      <c r="T1987">
        <v>3001369</v>
      </c>
      <c r="U1987" t="s">
        <v>1601</v>
      </c>
      <c r="V1987" t="s">
        <v>1602</v>
      </c>
      <c r="W1987" t="s">
        <v>187</v>
      </c>
      <c r="Y1987" t="s">
        <v>51</v>
      </c>
      <c r="Z1987">
        <v>481</v>
      </c>
      <c r="AH1987">
        <v>0</v>
      </c>
      <c r="AI1987">
        <v>202505</v>
      </c>
      <c r="AJ1987" t="s">
        <v>52</v>
      </c>
      <c r="AK1987">
        <v>0</v>
      </c>
      <c r="AL1987">
        <v>1</v>
      </c>
      <c r="AO1987">
        <v>0</v>
      </c>
      <c r="AP1987" t="s">
        <v>3015</v>
      </c>
      <c r="AQ1987" t="s">
        <v>3044</v>
      </c>
      <c r="AR1987" t="s">
        <v>3045</v>
      </c>
      <c r="AS1987" t="s">
        <v>3046</v>
      </c>
      <c r="AU1987" t="s">
        <v>3046</v>
      </c>
    </row>
    <row r="1988" spans="1:47" x14ac:dyDescent="0.35">
      <c r="A1988">
        <v>337852</v>
      </c>
      <c r="B1988" t="s">
        <v>178</v>
      </c>
      <c r="C1988" t="s">
        <v>179</v>
      </c>
      <c r="D1988" s="2">
        <v>45784</v>
      </c>
      <c r="E1988">
        <v>53850</v>
      </c>
      <c r="F1988">
        <v>271</v>
      </c>
      <c r="G1988" t="s">
        <v>275</v>
      </c>
      <c r="H1988" t="s">
        <v>167</v>
      </c>
      <c r="I1988" t="s">
        <v>45</v>
      </c>
      <c r="K1988">
        <v>202505067955749</v>
      </c>
      <c r="L1988">
        <v>2713300010802</v>
      </c>
      <c r="M1988">
        <v>20250506</v>
      </c>
      <c r="N1988" t="s">
        <v>236</v>
      </c>
      <c r="P1988" t="s">
        <v>51</v>
      </c>
      <c r="Q1988" t="s">
        <v>170</v>
      </c>
      <c r="R1988">
        <v>83067.360000000001</v>
      </c>
      <c r="S1988">
        <v>0</v>
      </c>
      <c r="T1988">
        <v>1629309</v>
      </c>
      <c r="U1988" t="s">
        <v>2126</v>
      </c>
      <c r="V1988" t="s">
        <v>2127</v>
      </c>
      <c r="W1988" t="s">
        <v>69</v>
      </c>
      <c r="X1988" t="s">
        <v>131</v>
      </c>
      <c r="Y1988" t="s">
        <v>51</v>
      </c>
      <c r="Z1988">
        <v>1387</v>
      </c>
      <c r="AH1988">
        <v>0</v>
      </c>
      <c r="AI1988">
        <v>202505</v>
      </c>
      <c r="AJ1988" t="s">
        <v>56</v>
      </c>
      <c r="AK1988">
        <v>0</v>
      </c>
      <c r="AL1988">
        <v>1</v>
      </c>
      <c r="AM1988">
        <v>1629309</v>
      </c>
      <c r="AN1988">
        <v>1</v>
      </c>
      <c r="AO1988">
        <v>0</v>
      </c>
      <c r="AP1988" t="s">
        <v>3033</v>
      </c>
      <c r="AQ1988" t="s">
        <v>3021</v>
      </c>
      <c r="AR1988" t="s">
        <v>3054</v>
      </c>
      <c r="AS1988" t="s">
        <v>3055</v>
      </c>
      <c r="AU1988" t="s">
        <v>3055</v>
      </c>
    </row>
    <row r="1989" spans="1:47" x14ac:dyDescent="0.35">
      <c r="A1989">
        <v>337851</v>
      </c>
      <c r="B1989" t="s">
        <v>172</v>
      </c>
      <c r="C1989" t="s">
        <v>173</v>
      </c>
      <c r="D1989" s="2">
        <v>45784</v>
      </c>
      <c r="E1989">
        <v>53850</v>
      </c>
      <c r="F1989">
        <v>121</v>
      </c>
      <c r="G1989" t="s">
        <v>140</v>
      </c>
      <c r="H1989" t="s">
        <v>167</v>
      </c>
      <c r="I1989" t="s">
        <v>45</v>
      </c>
      <c r="K1989">
        <v>202505067955388</v>
      </c>
      <c r="L1989">
        <v>1213300003598</v>
      </c>
      <c r="M1989">
        <v>20250506</v>
      </c>
      <c r="N1989" t="s">
        <v>231</v>
      </c>
      <c r="Q1989" t="s">
        <v>47</v>
      </c>
      <c r="R1989">
        <v>400000</v>
      </c>
      <c r="S1989">
        <v>0</v>
      </c>
      <c r="T1989">
        <v>4822605</v>
      </c>
      <c r="U1989" t="s">
        <v>2128</v>
      </c>
      <c r="V1989" t="s">
        <v>2129</v>
      </c>
      <c r="W1989" t="s">
        <v>187</v>
      </c>
      <c r="Y1989" t="s">
        <v>51</v>
      </c>
      <c r="Z1989">
        <v>1054</v>
      </c>
      <c r="AH1989">
        <v>0</v>
      </c>
      <c r="AI1989">
        <v>202505</v>
      </c>
      <c r="AJ1989" t="s">
        <v>119</v>
      </c>
      <c r="AK1989">
        <v>1</v>
      </c>
      <c r="AL1989">
        <v>1</v>
      </c>
      <c r="AO1989">
        <v>0</v>
      </c>
      <c r="AP1989" t="s">
        <v>3015</v>
      </c>
      <c r="AQ1989" t="s">
        <v>3044</v>
      </c>
      <c r="AR1989" t="s">
        <v>3045</v>
      </c>
      <c r="AS1989" t="s">
        <v>3046</v>
      </c>
      <c r="AU1989" t="s">
        <v>3046</v>
      </c>
    </row>
    <row r="1990" spans="1:47" x14ac:dyDescent="0.35">
      <c r="A1990">
        <v>337850</v>
      </c>
      <c r="B1990" t="s">
        <v>178</v>
      </c>
      <c r="C1990" t="s">
        <v>179</v>
      </c>
      <c r="D1990" s="2">
        <v>45784</v>
      </c>
      <c r="E1990">
        <v>53850</v>
      </c>
      <c r="F1990">
        <v>271</v>
      </c>
      <c r="G1990" t="s">
        <v>275</v>
      </c>
      <c r="H1990" t="s">
        <v>167</v>
      </c>
      <c r="I1990" t="s">
        <v>45</v>
      </c>
      <c r="K1990">
        <v>202505067955751</v>
      </c>
      <c r="L1990">
        <v>2713300002002</v>
      </c>
      <c r="M1990">
        <v>20250506</v>
      </c>
      <c r="N1990" t="s">
        <v>3136</v>
      </c>
      <c r="Q1990" t="s">
        <v>170</v>
      </c>
      <c r="R1990">
        <v>5662.14</v>
      </c>
      <c r="S1990">
        <v>0</v>
      </c>
      <c r="T1990">
        <v>1630114</v>
      </c>
      <c r="U1990" t="s">
        <v>2130</v>
      </c>
      <c r="V1990" t="s">
        <v>2131</v>
      </c>
      <c r="W1990" t="s">
        <v>187</v>
      </c>
      <c r="Y1990" t="s">
        <v>51</v>
      </c>
      <c r="Z1990">
        <v>1791</v>
      </c>
      <c r="AH1990">
        <v>0</v>
      </c>
      <c r="AI1990">
        <v>202505</v>
      </c>
      <c r="AJ1990" t="s">
        <v>52</v>
      </c>
      <c r="AK1990">
        <v>0</v>
      </c>
      <c r="AL1990">
        <v>1</v>
      </c>
      <c r="AO1990">
        <v>1</v>
      </c>
      <c r="AP1990" t="s">
        <v>3015</v>
      </c>
      <c r="AQ1990" t="s">
        <v>3044</v>
      </c>
      <c r="AR1990" t="s">
        <v>3045</v>
      </c>
      <c r="AS1990" t="s">
        <v>3046</v>
      </c>
      <c r="AU1990" t="s">
        <v>3046</v>
      </c>
    </row>
    <row r="1991" spans="1:47" x14ac:dyDescent="0.35">
      <c r="A1991">
        <v>337849</v>
      </c>
      <c r="B1991" t="s">
        <v>178</v>
      </c>
      <c r="C1991" t="s">
        <v>179</v>
      </c>
      <c r="D1991" s="2">
        <v>45784</v>
      </c>
      <c r="E1991">
        <v>53850</v>
      </c>
      <c r="F1991">
        <v>109</v>
      </c>
      <c r="G1991" t="s">
        <v>89</v>
      </c>
      <c r="H1991" t="s">
        <v>167</v>
      </c>
      <c r="I1991" t="s">
        <v>45</v>
      </c>
      <c r="K1991">
        <v>202505067954693</v>
      </c>
      <c r="L1991">
        <v>1093306673999</v>
      </c>
      <c r="M1991">
        <v>20250506</v>
      </c>
      <c r="N1991" t="s">
        <v>416</v>
      </c>
      <c r="Q1991" t="s">
        <v>170</v>
      </c>
      <c r="R1991">
        <v>969486</v>
      </c>
      <c r="S1991">
        <v>0</v>
      </c>
      <c r="T1991">
        <v>4843798</v>
      </c>
      <c r="U1991">
        <v>267480721</v>
      </c>
      <c r="V1991" t="s">
        <v>1712</v>
      </c>
      <c r="W1991" t="s">
        <v>49</v>
      </c>
      <c r="X1991" t="s">
        <v>213</v>
      </c>
      <c r="Y1991" t="s">
        <v>51</v>
      </c>
      <c r="Z1991">
        <v>1903</v>
      </c>
      <c r="AH1991">
        <v>0</v>
      </c>
      <c r="AI1991">
        <v>202505</v>
      </c>
      <c r="AJ1991" t="s">
        <v>86</v>
      </c>
      <c r="AK1991">
        <v>1</v>
      </c>
      <c r="AL1991">
        <v>1</v>
      </c>
      <c r="AO1991">
        <v>0</v>
      </c>
      <c r="AP1991" t="s">
        <v>3015</v>
      </c>
      <c r="AQ1991" t="s">
        <v>3012</v>
      </c>
      <c r="AR1991" t="s">
        <v>3016</v>
      </c>
      <c r="AT1991" t="s">
        <v>3017</v>
      </c>
      <c r="AU1991" t="s">
        <v>3018</v>
      </c>
    </row>
    <row r="1992" spans="1:47" x14ac:dyDescent="0.35">
      <c r="A1992">
        <v>337848</v>
      </c>
      <c r="B1992" t="s">
        <v>178</v>
      </c>
      <c r="C1992" t="s">
        <v>179</v>
      </c>
      <c r="D1992" s="2">
        <v>45784</v>
      </c>
      <c r="E1992">
        <v>53850</v>
      </c>
      <c r="F1992">
        <v>271</v>
      </c>
      <c r="G1992" t="s">
        <v>275</v>
      </c>
      <c r="H1992" t="s">
        <v>167</v>
      </c>
      <c r="I1992" t="s">
        <v>45</v>
      </c>
      <c r="K1992">
        <v>202505067955751</v>
      </c>
      <c r="L1992">
        <v>2713300002002</v>
      </c>
      <c r="M1992">
        <v>20250506</v>
      </c>
      <c r="N1992" t="s">
        <v>3136</v>
      </c>
      <c r="Q1992" t="s">
        <v>170</v>
      </c>
      <c r="R1992">
        <v>5662.14</v>
      </c>
      <c r="S1992">
        <v>0</v>
      </c>
      <c r="T1992">
        <v>1697336</v>
      </c>
      <c r="U1992" t="s">
        <v>2132</v>
      </c>
      <c r="V1992" t="s">
        <v>2133</v>
      </c>
      <c r="W1992" t="s">
        <v>187</v>
      </c>
      <c r="Y1992" t="s">
        <v>51</v>
      </c>
      <c r="Z1992">
        <v>1781</v>
      </c>
      <c r="AH1992">
        <v>0</v>
      </c>
      <c r="AI1992">
        <v>202505</v>
      </c>
      <c r="AJ1992" t="s">
        <v>56</v>
      </c>
      <c r="AK1992">
        <v>0</v>
      </c>
      <c r="AL1992">
        <v>1</v>
      </c>
      <c r="AO1992">
        <v>1</v>
      </c>
      <c r="AP1992" t="s">
        <v>3015</v>
      </c>
      <c r="AQ1992" t="s">
        <v>3044</v>
      </c>
      <c r="AR1992" t="s">
        <v>3045</v>
      </c>
      <c r="AS1992" t="s">
        <v>3046</v>
      </c>
      <c r="AU1992" t="s">
        <v>3046</v>
      </c>
    </row>
    <row r="1993" spans="1:47" x14ac:dyDescent="0.35">
      <c r="A1993">
        <v>337847</v>
      </c>
      <c r="B1993" t="s">
        <v>172</v>
      </c>
      <c r="C1993" t="s">
        <v>173</v>
      </c>
      <c r="D1993" s="2">
        <v>45784</v>
      </c>
      <c r="E1993">
        <v>53850</v>
      </c>
      <c r="F1993">
        <v>171</v>
      </c>
      <c r="G1993" t="s">
        <v>198</v>
      </c>
      <c r="H1993" t="s">
        <v>167</v>
      </c>
      <c r="I1993" t="s">
        <v>45</v>
      </c>
      <c r="K1993" t="s">
        <v>2124</v>
      </c>
      <c r="L1993">
        <v>1713305728950</v>
      </c>
      <c r="M1993">
        <v>20250506</v>
      </c>
      <c r="N1993" t="s">
        <v>195</v>
      </c>
      <c r="Q1993" t="s">
        <v>47</v>
      </c>
      <c r="R1993">
        <v>108941.55</v>
      </c>
      <c r="S1993">
        <v>108941.55</v>
      </c>
      <c r="T1993">
        <v>572895</v>
      </c>
      <c r="U1993">
        <v>4161600723</v>
      </c>
      <c r="V1993" t="s">
        <v>199</v>
      </c>
      <c r="W1993" t="s">
        <v>49</v>
      </c>
      <c r="X1993" t="s">
        <v>200</v>
      </c>
      <c r="Y1993" t="s">
        <v>51</v>
      </c>
      <c r="Z1993">
        <v>1903</v>
      </c>
      <c r="AH1993">
        <v>0</v>
      </c>
      <c r="AI1993">
        <v>202505</v>
      </c>
      <c r="AJ1993" t="s">
        <v>86</v>
      </c>
      <c r="AK1993">
        <v>1</v>
      </c>
      <c r="AL1993">
        <v>1</v>
      </c>
      <c r="AM1993">
        <v>572895</v>
      </c>
      <c r="AN1993">
        <v>1</v>
      </c>
      <c r="AO1993">
        <v>0</v>
      </c>
      <c r="AP1993" t="s">
        <v>3015</v>
      </c>
      <c r="AQ1993" t="s">
        <v>3012</v>
      </c>
      <c r="AR1993" t="s">
        <v>3016</v>
      </c>
      <c r="AT1993" t="s">
        <v>3017</v>
      </c>
      <c r="AU1993" t="s">
        <v>3018</v>
      </c>
    </row>
    <row r="1994" spans="1:47" x14ac:dyDescent="0.35">
      <c r="A1994">
        <v>337846</v>
      </c>
      <c r="B1994" t="s">
        <v>178</v>
      </c>
      <c r="C1994" t="s">
        <v>179</v>
      </c>
      <c r="D1994" s="2">
        <v>45784</v>
      </c>
      <c r="E1994">
        <v>53850</v>
      </c>
      <c r="F1994">
        <v>102</v>
      </c>
      <c r="G1994" t="s">
        <v>151</v>
      </c>
      <c r="H1994" t="s">
        <v>167</v>
      </c>
      <c r="I1994" t="s">
        <v>45</v>
      </c>
      <c r="K1994">
        <v>202505067955218</v>
      </c>
      <c r="L1994">
        <v>1023300113820</v>
      </c>
      <c r="M1994">
        <v>20250506</v>
      </c>
      <c r="N1994" t="s">
        <v>236</v>
      </c>
      <c r="P1994" t="s">
        <v>51</v>
      </c>
      <c r="Q1994" t="s">
        <v>170</v>
      </c>
      <c r="R1994">
        <v>1650000</v>
      </c>
      <c r="S1994">
        <v>0</v>
      </c>
      <c r="T1994">
        <v>11382</v>
      </c>
      <c r="U1994">
        <v>252420724</v>
      </c>
      <c r="V1994" t="s">
        <v>1010</v>
      </c>
      <c r="W1994" t="s">
        <v>49</v>
      </c>
      <c r="X1994" t="s">
        <v>597</v>
      </c>
      <c r="Y1994" t="s">
        <v>51</v>
      </c>
      <c r="Z1994">
        <v>1203</v>
      </c>
      <c r="AH1994">
        <v>0</v>
      </c>
      <c r="AI1994">
        <v>202505</v>
      </c>
      <c r="AJ1994" t="s">
        <v>86</v>
      </c>
      <c r="AK1994">
        <v>1</v>
      </c>
      <c r="AL1994">
        <v>1</v>
      </c>
      <c r="AO1994">
        <v>0</v>
      </c>
      <c r="AP1994" t="s">
        <v>3015</v>
      </c>
      <c r="AQ1994" t="s">
        <v>3012</v>
      </c>
      <c r="AR1994" t="s">
        <v>3016</v>
      </c>
      <c r="AT1994" t="s">
        <v>3017</v>
      </c>
      <c r="AU1994" t="s">
        <v>3018</v>
      </c>
    </row>
    <row r="1995" spans="1:47" x14ac:dyDescent="0.35">
      <c r="A1995">
        <v>337845</v>
      </c>
      <c r="B1995" t="s">
        <v>193</v>
      </c>
      <c r="C1995" t="s">
        <v>194</v>
      </c>
      <c r="D1995" s="2">
        <v>45784</v>
      </c>
      <c r="E1995">
        <v>53850</v>
      </c>
      <c r="F1995">
        <v>118</v>
      </c>
      <c r="G1995" t="s">
        <v>254</v>
      </c>
      <c r="H1995" t="s">
        <v>167</v>
      </c>
      <c r="I1995" t="s">
        <v>45</v>
      </c>
      <c r="K1995" t="s">
        <v>2124</v>
      </c>
      <c r="L1995">
        <v>1183306276748</v>
      </c>
      <c r="M1995">
        <v>20250506</v>
      </c>
      <c r="N1995" t="s">
        <v>175</v>
      </c>
      <c r="Q1995" t="s">
        <v>47</v>
      </c>
      <c r="R1995">
        <v>33993.800000000003</v>
      </c>
      <c r="S1995">
        <v>32220</v>
      </c>
      <c r="T1995">
        <v>490902</v>
      </c>
      <c r="U1995" t="s">
        <v>371</v>
      </c>
      <c r="V1995" t="s">
        <v>372</v>
      </c>
      <c r="W1995" t="s">
        <v>69</v>
      </c>
      <c r="X1995" t="s">
        <v>55</v>
      </c>
      <c r="Y1995" t="s">
        <v>51</v>
      </c>
      <c r="Z1995">
        <v>979</v>
      </c>
      <c r="AH1995">
        <v>0</v>
      </c>
      <c r="AI1995">
        <v>202505</v>
      </c>
      <c r="AJ1995" t="s">
        <v>56</v>
      </c>
      <c r="AK1995">
        <v>0</v>
      </c>
      <c r="AL1995">
        <v>1</v>
      </c>
      <c r="AM1995">
        <v>490902</v>
      </c>
      <c r="AN1995">
        <v>1</v>
      </c>
      <c r="AO1995">
        <v>1</v>
      </c>
      <c r="AP1995" t="s">
        <v>3015</v>
      </c>
      <c r="AQ1995" t="s">
        <v>3021</v>
      </c>
      <c r="AR1995" t="s">
        <v>3022</v>
      </c>
      <c r="AT1995" t="s">
        <v>3017</v>
      </c>
      <c r="AU1995" t="s">
        <v>3014</v>
      </c>
    </row>
    <row r="1996" spans="1:47" x14ac:dyDescent="0.35">
      <c r="A1996">
        <v>337844</v>
      </c>
      <c r="B1996" t="s">
        <v>178</v>
      </c>
      <c r="C1996" t="s">
        <v>179</v>
      </c>
      <c r="D1996" s="2">
        <v>45784</v>
      </c>
      <c r="E1996">
        <v>53850</v>
      </c>
      <c r="F1996">
        <v>271</v>
      </c>
      <c r="G1996" t="s">
        <v>275</v>
      </c>
      <c r="H1996" t="s">
        <v>167</v>
      </c>
      <c r="I1996" t="s">
        <v>45</v>
      </c>
      <c r="K1996">
        <v>202505067955752</v>
      </c>
      <c r="L1996">
        <v>2713300003798</v>
      </c>
      <c r="M1996">
        <v>20250506</v>
      </c>
      <c r="N1996" t="s">
        <v>3136</v>
      </c>
      <c r="Q1996" t="s">
        <v>170</v>
      </c>
      <c r="R1996">
        <v>13499.9</v>
      </c>
      <c r="S1996">
        <v>0</v>
      </c>
      <c r="T1996">
        <v>1695775</v>
      </c>
      <c r="U1996" t="s">
        <v>2134</v>
      </c>
      <c r="V1996" t="s">
        <v>2135</v>
      </c>
      <c r="W1996" t="s">
        <v>187</v>
      </c>
      <c r="Y1996" t="s">
        <v>51</v>
      </c>
      <c r="Z1996">
        <v>1781</v>
      </c>
      <c r="AH1996">
        <v>0</v>
      </c>
      <c r="AI1996">
        <v>202505</v>
      </c>
      <c r="AJ1996" t="s">
        <v>52</v>
      </c>
      <c r="AK1996">
        <v>0</v>
      </c>
      <c r="AL1996">
        <v>1</v>
      </c>
      <c r="AO1996">
        <v>1</v>
      </c>
      <c r="AP1996" t="s">
        <v>3015</v>
      </c>
      <c r="AQ1996" t="s">
        <v>3044</v>
      </c>
      <c r="AR1996" t="s">
        <v>3045</v>
      </c>
      <c r="AS1996" t="s">
        <v>3046</v>
      </c>
      <c r="AU1996" t="s">
        <v>3046</v>
      </c>
    </row>
    <row r="1997" spans="1:47" x14ac:dyDescent="0.35">
      <c r="A1997">
        <v>337843</v>
      </c>
      <c r="B1997" t="s">
        <v>178</v>
      </c>
      <c r="C1997" t="s">
        <v>179</v>
      </c>
      <c r="D1997" s="2">
        <v>45784</v>
      </c>
      <c r="E1997">
        <v>53850</v>
      </c>
      <c r="F1997">
        <v>271</v>
      </c>
      <c r="G1997" t="s">
        <v>275</v>
      </c>
      <c r="H1997" t="s">
        <v>167</v>
      </c>
      <c r="I1997" t="s">
        <v>45</v>
      </c>
      <c r="K1997">
        <v>202505067955752</v>
      </c>
      <c r="L1997">
        <v>2713300003798</v>
      </c>
      <c r="M1997">
        <v>20250506</v>
      </c>
      <c r="N1997" t="s">
        <v>3136</v>
      </c>
      <c r="Q1997" t="s">
        <v>170</v>
      </c>
      <c r="R1997">
        <v>13499.9</v>
      </c>
      <c r="S1997">
        <v>0</v>
      </c>
      <c r="T1997">
        <v>1705998</v>
      </c>
      <c r="U1997" t="s">
        <v>2136</v>
      </c>
      <c r="V1997" t="s">
        <v>2137</v>
      </c>
      <c r="W1997" t="s">
        <v>187</v>
      </c>
      <c r="Y1997" t="s">
        <v>51</v>
      </c>
      <c r="Z1997">
        <v>1781</v>
      </c>
      <c r="AH1997">
        <v>0</v>
      </c>
      <c r="AI1997">
        <v>202505</v>
      </c>
      <c r="AJ1997" t="s">
        <v>52</v>
      </c>
      <c r="AK1997">
        <v>0</v>
      </c>
      <c r="AL1997">
        <v>1</v>
      </c>
      <c r="AO1997">
        <v>1</v>
      </c>
      <c r="AP1997" t="s">
        <v>3015</v>
      </c>
      <c r="AQ1997" t="s">
        <v>3044</v>
      </c>
      <c r="AR1997" t="s">
        <v>3045</v>
      </c>
      <c r="AS1997" t="s">
        <v>3046</v>
      </c>
      <c r="AU1997" t="s">
        <v>3046</v>
      </c>
    </row>
    <row r="1998" spans="1:47" x14ac:dyDescent="0.35">
      <c r="A1998">
        <v>337842</v>
      </c>
      <c r="B1998" t="s">
        <v>178</v>
      </c>
      <c r="C1998" t="s">
        <v>179</v>
      </c>
      <c r="D1998" s="2">
        <v>45784</v>
      </c>
      <c r="E1998">
        <v>53850</v>
      </c>
      <c r="F1998">
        <v>204</v>
      </c>
      <c r="G1998" t="s">
        <v>329</v>
      </c>
      <c r="H1998" t="s">
        <v>167</v>
      </c>
      <c r="I1998" t="s">
        <v>45</v>
      </c>
      <c r="K1998" t="s">
        <v>2138</v>
      </c>
      <c r="L1998">
        <v>2043300012553</v>
      </c>
      <c r="M1998">
        <v>20250506</v>
      </c>
      <c r="N1998" t="s">
        <v>3136</v>
      </c>
      <c r="Q1998" t="s">
        <v>170</v>
      </c>
      <c r="R1998">
        <v>1562.63</v>
      </c>
      <c r="S1998">
        <v>0</v>
      </c>
      <c r="T1998">
        <v>4902092</v>
      </c>
      <c r="U1998">
        <v>14374361005</v>
      </c>
      <c r="V1998" t="s">
        <v>1104</v>
      </c>
      <c r="W1998" t="s">
        <v>49</v>
      </c>
      <c r="X1998" t="s">
        <v>200</v>
      </c>
      <c r="Y1998" t="s">
        <v>51</v>
      </c>
      <c r="Z1998">
        <v>1810</v>
      </c>
      <c r="AH1998">
        <v>0</v>
      </c>
      <c r="AI1998">
        <v>202505</v>
      </c>
      <c r="AJ1998" t="s">
        <v>52</v>
      </c>
      <c r="AK1998">
        <v>0</v>
      </c>
      <c r="AL1998">
        <v>1</v>
      </c>
      <c r="AM1998">
        <v>4902092</v>
      </c>
      <c r="AN1998">
        <v>1</v>
      </c>
      <c r="AO1998">
        <v>1</v>
      </c>
      <c r="AP1998" t="s">
        <v>3015</v>
      </c>
      <c r="AQ1998" t="s">
        <v>3012</v>
      </c>
      <c r="AR1998" t="s">
        <v>3016</v>
      </c>
      <c r="AT1998" t="s">
        <v>3017</v>
      </c>
      <c r="AU1998" t="s">
        <v>3018</v>
      </c>
    </row>
    <row r="1999" spans="1:47" x14ac:dyDescent="0.35">
      <c r="A1999">
        <v>337841</v>
      </c>
      <c r="B1999" t="s">
        <v>756</v>
      </c>
      <c r="C1999" t="s">
        <v>757</v>
      </c>
      <c r="D1999" s="2">
        <v>45784</v>
      </c>
      <c r="E1999">
        <v>53850</v>
      </c>
      <c r="F1999">
        <v>156</v>
      </c>
      <c r="G1999" t="s">
        <v>1584</v>
      </c>
      <c r="H1999" t="s">
        <v>167</v>
      </c>
      <c r="I1999" t="s">
        <v>45</v>
      </c>
      <c r="K1999">
        <v>202505067955503</v>
      </c>
      <c r="L1999">
        <v>1825500227410</v>
      </c>
      <c r="M1999">
        <v>20250506</v>
      </c>
      <c r="N1999" t="s">
        <v>794</v>
      </c>
      <c r="Q1999" t="s">
        <v>170</v>
      </c>
      <c r="R1999">
        <v>16500</v>
      </c>
      <c r="S1999">
        <v>16500</v>
      </c>
      <c r="T1999">
        <v>3001368</v>
      </c>
      <c r="U1999" t="s">
        <v>1585</v>
      </c>
      <c r="V1999" t="s">
        <v>1586</v>
      </c>
      <c r="W1999" t="s">
        <v>187</v>
      </c>
      <c r="Y1999" t="s">
        <v>51</v>
      </c>
      <c r="Z1999">
        <v>880</v>
      </c>
      <c r="AH1999">
        <v>0</v>
      </c>
      <c r="AI1999">
        <v>202505</v>
      </c>
      <c r="AJ1999" t="s">
        <v>119</v>
      </c>
      <c r="AK1999">
        <v>1</v>
      </c>
      <c r="AL1999">
        <v>0</v>
      </c>
      <c r="AM1999">
        <v>3001368</v>
      </c>
      <c r="AN1999">
        <v>1</v>
      </c>
      <c r="AO1999">
        <v>0</v>
      </c>
      <c r="AP1999" t="s">
        <v>3015</v>
      </c>
      <c r="AQ1999" t="s">
        <v>3044</v>
      </c>
      <c r="AR1999" t="s">
        <v>3045</v>
      </c>
      <c r="AS1999" t="s">
        <v>3046</v>
      </c>
      <c r="AU1999" t="s">
        <v>3046</v>
      </c>
    </row>
    <row r="2000" spans="1:47" x14ac:dyDescent="0.35">
      <c r="A2000">
        <v>337840</v>
      </c>
      <c r="B2000" t="s">
        <v>172</v>
      </c>
      <c r="C2000" t="s">
        <v>173</v>
      </c>
      <c r="D2000" s="2">
        <v>45784</v>
      </c>
      <c r="E2000">
        <v>53850</v>
      </c>
      <c r="F2000">
        <v>116</v>
      </c>
      <c r="G2000" t="s">
        <v>126</v>
      </c>
      <c r="H2000" t="s">
        <v>167</v>
      </c>
      <c r="I2000" t="s">
        <v>45</v>
      </c>
      <c r="K2000">
        <v>202505067955087</v>
      </c>
      <c r="L2000">
        <v>2343300010453</v>
      </c>
      <c r="M2000">
        <v>20250506</v>
      </c>
      <c r="N2000" t="s">
        <v>195</v>
      </c>
      <c r="Q2000" t="s">
        <v>47</v>
      </c>
      <c r="R2000">
        <v>204011.11</v>
      </c>
      <c r="S2000">
        <v>204011.11</v>
      </c>
      <c r="T2000">
        <v>4247777</v>
      </c>
      <c r="U2000">
        <v>233470236</v>
      </c>
      <c r="V2000" t="s">
        <v>206</v>
      </c>
      <c r="W2000" t="s">
        <v>49</v>
      </c>
      <c r="X2000" t="s">
        <v>117</v>
      </c>
      <c r="Y2000" t="s">
        <v>51</v>
      </c>
      <c r="Z2000">
        <v>1696</v>
      </c>
      <c r="AH2000">
        <v>0</v>
      </c>
      <c r="AI2000">
        <v>202505</v>
      </c>
      <c r="AJ2000" t="s">
        <v>114</v>
      </c>
      <c r="AK2000">
        <v>1</v>
      </c>
      <c r="AL2000">
        <v>1</v>
      </c>
      <c r="AM2000">
        <v>4247777</v>
      </c>
      <c r="AN2000">
        <v>1</v>
      </c>
      <c r="AO2000">
        <v>0</v>
      </c>
      <c r="AP2000" t="s">
        <v>3029</v>
      </c>
      <c r="AQ2000" t="s">
        <v>3012</v>
      </c>
      <c r="AR2000" t="s">
        <v>3030</v>
      </c>
      <c r="AS2000" t="s">
        <v>3014</v>
      </c>
      <c r="AU2000" t="s">
        <v>3014</v>
      </c>
    </row>
    <row r="2001" spans="1:47" x14ac:dyDescent="0.35">
      <c r="A2001">
        <v>337839</v>
      </c>
      <c r="B2001" t="s">
        <v>193</v>
      </c>
      <c r="C2001" t="s">
        <v>194</v>
      </c>
      <c r="D2001" s="2">
        <v>45784</v>
      </c>
      <c r="E2001">
        <v>53850</v>
      </c>
      <c r="F2001">
        <v>266</v>
      </c>
      <c r="G2001" t="s">
        <v>1248</v>
      </c>
      <c r="H2001" t="s">
        <v>167</v>
      </c>
      <c r="I2001" t="s">
        <v>45</v>
      </c>
      <c r="K2001">
        <v>202505067955709</v>
      </c>
      <c r="L2001">
        <v>2663300001822</v>
      </c>
      <c r="M2001">
        <v>20250506</v>
      </c>
      <c r="N2001" t="s">
        <v>266</v>
      </c>
      <c r="Q2001" t="s">
        <v>47</v>
      </c>
      <c r="R2001">
        <v>39000</v>
      </c>
      <c r="S2001">
        <v>39000</v>
      </c>
      <c r="T2001">
        <v>1626200</v>
      </c>
      <c r="U2001" t="s">
        <v>1251</v>
      </c>
      <c r="V2001" t="s">
        <v>1252</v>
      </c>
      <c r="W2001" t="s">
        <v>69</v>
      </c>
      <c r="X2001" t="s">
        <v>55</v>
      </c>
      <c r="Y2001" t="s">
        <v>51</v>
      </c>
      <c r="Z2001">
        <v>1785</v>
      </c>
      <c r="AH2001">
        <v>0</v>
      </c>
      <c r="AI2001">
        <v>202505</v>
      </c>
      <c r="AJ2001" t="s">
        <v>119</v>
      </c>
      <c r="AK2001">
        <v>1</v>
      </c>
      <c r="AL2001">
        <v>1</v>
      </c>
      <c r="AM2001">
        <v>1626200</v>
      </c>
      <c r="AN2001">
        <v>1</v>
      </c>
      <c r="AO2001">
        <v>0</v>
      </c>
      <c r="AP2001" t="s">
        <v>3015</v>
      </c>
      <c r="AQ2001" t="s">
        <v>3021</v>
      </c>
      <c r="AR2001" t="s">
        <v>3022</v>
      </c>
      <c r="AT2001" t="s">
        <v>3017</v>
      </c>
      <c r="AU2001" t="s">
        <v>3014</v>
      </c>
    </row>
    <row r="2002" spans="1:47" x14ac:dyDescent="0.35">
      <c r="A2002">
        <v>337838</v>
      </c>
      <c r="B2002" t="s">
        <v>193</v>
      </c>
      <c r="C2002" t="s">
        <v>194</v>
      </c>
      <c r="D2002" s="2">
        <v>45784</v>
      </c>
      <c r="E2002">
        <v>53850</v>
      </c>
      <c r="F2002">
        <v>114</v>
      </c>
      <c r="G2002" t="s">
        <v>188</v>
      </c>
      <c r="H2002" t="s">
        <v>167</v>
      </c>
      <c r="I2002" t="s">
        <v>45</v>
      </c>
      <c r="K2002">
        <v>202505067955324</v>
      </c>
      <c r="L2002">
        <v>1143306280621</v>
      </c>
      <c r="M2002">
        <v>20250506</v>
      </c>
      <c r="N2002" t="s">
        <v>266</v>
      </c>
      <c r="Q2002" t="s">
        <v>47</v>
      </c>
      <c r="R2002">
        <v>29480</v>
      </c>
      <c r="S2002">
        <v>29480</v>
      </c>
      <c r="T2002">
        <v>4658875</v>
      </c>
      <c r="U2002">
        <v>3230890711</v>
      </c>
      <c r="V2002" t="s">
        <v>189</v>
      </c>
      <c r="W2002" t="s">
        <v>190</v>
      </c>
      <c r="X2002" t="s">
        <v>131</v>
      </c>
      <c r="Y2002" t="s">
        <v>51</v>
      </c>
      <c r="Z2002">
        <v>870</v>
      </c>
      <c r="AH2002">
        <v>0</v>
      </c>
      <c r="AI2002">
        <v>202505</v>
      </c>
      <c r="AJ2002" t="s">
        <v>56</v>
      </c>
      <c r="AK2002">
        <v>0</v>
      </c>
      <c r="AL2002">
        <v>1</v>
      </c>
      <c r="AM2002">
        <v>4658875</v>
      </c>
      <c r="AN2002">
        <v>1</v>
      </c>
      <c r="AO2002">
        <v>0</v>
      </c>
      <c r="AP2002" t="s">
        <v>3033</v>
      </c>
      <c r="AQ2002" t="s">
        <v>3047</v>
      </c>
      <c r="AR2002" t="s">
        <v>3048</v>
      </c>
      <c r="AS2002" t="s">
        <v>3049</v>
      </c>
      <c r="AU2002" t="s">
        <v>3049</v>
      </c>
    </row>
    <row r="2003" spans="1:47" x14ac:dyDescent="0.35">
      <c r="A2003">
        <v>337837</v>
      </c>
      <c r="B2003" t="s">
        <v>178</v>
      </c>
      <c r="C2003" t="s">
        <v>179</v>
      </c>
      <c r="D2003" s="2">
        <v>45784</v>
      </c>
      <c r="E2003">
        <v>53850</v>
      </c>
      <c r="F2003">
        <v>271</v>
      </c>
      <c r="G2003" t="s">
        <v>275</v>
      </c>
      <c r="H2003" t="s">
        <v>167</v>
      </c>
      <c r="I2003" t="s">
        <v>45</v>
      </c>
      <c r="K2003" t="s">
        <v>2139</v>
      </c>
      <c r="L2003">
        <v>2713300002801</v>
      </c>
      <c r="M2003">
        <v>20250506</v>
      </c>
      <c r="N2003" t="s">
        <v>3136</v>
      </c>
      <c r="Q2003" t="s">
        <v>170</v>
      </c>
      <c r="R2003">
        <v>1070.5899999999999</v>
      </c>
      <c r="S2003">
        <v>0</v>
      </c>
      <c r="T2003">
        <v>1680953</v>
      </c>
      <c r="U2003" t="s">
        <v>2140</v>
      </c>
      <c r="V2003" t="s">
        <v>2141</v>
      </c>
      <c r="W2003" t="s">
        <v>187</v>
      </c>
      <c r="Y2003" t="s">
        <v>51</v>
      </c>
      <c r="Z2003">
        <v>1787</v>
      </c>
      <c r="AH2003">
        <v>0</v>
      </c>
      <c r="AI2003">
        <v>202505</v>
      </c>
      <c r="AJ2003" t="s">
        <v>52</v>
      </c>
      <c r="AK2003">
        <v>0</v>
      </c>
      <c r="AL2003">
        <v>1</v>
      </c>
      <c r="AO2003">
        <v>1</v>
      </c>
      <c r="AP2003" t="s">
        <v>3015</v>
      </c>
      <c r="AQ2003" t="s">
        <v>3044</v>
      </c>
      <c r="AR2003" t="s">
        <v>3045</v>
      </c>
      <c r="AS2003" t="s">
        <v>3046</v>
      </c>
      <c r="AU2003" t="s">
        <v>3046</v>
      </c>
    </row>
    <row r="2004" spans="1:47" x14ac:dyDescent="0.35">
      <c r="A2004">
        <v>337836</v>
      </c>
      <c r="B2004" t="s">
        <v>353</v>
      </c>
      <c r="C2004" t="s">
        <v>354</v>
      </c>
      <c r="D2004" s="2">
        <v>45784</v>
      </c>
      <c r="E2004">
        <v>53850</v>
      </c>
      <c r="F2004">
        <v>271</v>
      </c>
      <c r="G2004" t="s">
        <v>275</v>
      </c>
      <c r="H2004" t="s">
        <v>167</v>
      </c>
      <c r="I2004" t="s">
        <v>45</v>
      </c>
      <c r="K2004">
        <v>202505067954355</v>
      </c>
      <c r="L2004">
        <v>2713300003615</v>
      </c>
      <c r="M2004">
        <v>20250506</v>
      </c>
      <c r="N2004" t="s">
        <v>168</v>
      </c>
      <c r="P2004" t="s">
        <v>1028</v>
      </c>
      <c r="Q2004" t="s">
        <v>47</v>
      </c>
      <c r="R2004">
        <v>17462.060000000001</v>
      </c>
      <c r="S2004">
        <v>0</v>
      </c>
      <c r="T2004">
        <v>1698784</v>
      </c>
      <c r="U2004" t="s">
        <v>2142</v>
      </c>
      <c r="V2004" t="s">
        <v>2143</v>
      </c>
      <c r="W2004" t="s">
        <v>187</v>
      </c>
      <c r="Y2004" t="s">
        <v>51</v>
      </c>
      <c r="Z2004">
        <v>1869</v>
      </c>
      <c r="AH2004">
        <v>0</v>
      </c>
      <c r="AI2004">
        <v>202505</v>
      </c>
      <c r="AJ2004" t="s">
        <v>119</v>
      </c>
      <c r="AK2004">
        <v>1</v>
      </c>
      <c r="AL2004">
        <v>1</v>
      </c>
      <c r="AO2004">
        <v>0</v>
      </c>
      <c r="AP2004" t="s">
        <v>3015</v>
      </c>
      <c r="AQ2004" t="s">
        <v>3044</v>
      </c>
      <c r="AR2004" t="s">
        <v>3045</v>
      </c>
      <c r="AS2004" t="s">
        <v>3046</v>
      </c>
      <c r="AU2004" t="s">
        <v>3046</v>
      </c>
    </row>
    <row r="2005" spans="1:47" x14ac:dyDescent="0.35">
      <c r="A2005">
        <v>337835</v>
      </c>
      <c r="B2005" t="s">
        <v>178</v>
      </c>
      <c r="C2005" t="s">
        <v>179</v>
      </c>
      <c r="D2005" s="2">
        <v>45784</v>
      </c>
      <c r="E2005">
        <v>53850</v>
      </c>
      <c r="F2005">
        <v>271</v>
      </c>
      <c r="G2005" t="s">
        <v>275</v>
      </c>
      <c r="H2005" t="s">
        <v>167</v>
      </c>
      <c r="I2005" t="s">
        <v>45</v>
      </c>
      <c r="K2005" t="s">
        <v>2144</v>
      </c>
      <c r="L2005">
        <v>2713300001484</v>
      </c>
      <c r="M2005">
        <v>20250506</v>
      </c>
      <c r="N2005" t="s">
        <v>3136</v>
      </c>
      <c r="Q2005" t="s">
        <v>170</v>
      </c>
      <c r="R2005">
        <v>1209.73</v>
      </c>
      <c r="S2005">
        <v>0</v>
      </c>
      <c r="T2005">
        <v>1651006</v>
      </c>
      <c r="U2005" t="s">
        <v>2145</v>
      </c>
      <c r="V2005" t="s">
        <v>2146</v>
      </c>
      <c r="W2005" t="s">
        <v>696</v>
      </c>
      <c r="Y2005" t="s">
        <v>2147</v>
      </c>
      <c r="Z2005">
        <v>1787</v>
      </c>
      <c r="AH2005">
        <v>0</v>
      </c>
      <c r="AI2005">
        <v>202505</v>
      </c>
      <c r="AJ2005" t="s">
        <v>56</v>
      </c>
      <c r="AK2005">
        <v>0</v>
      </c>
      <c r="AL2005">
        <v>1</v>
      </c>
      <c r="AO2005">
        <v>1</v>
      </c>
      <c r="AP2005" t="s">
        <v>3015</v>
      </c>
      <c r="AQ2005" t="s">
        <v>3084</v>
      </c>
      <c r="AR2005" t="s">
        <v>3085</v>
      </c>
      <c r="AS2005" t="s">
        <v>3046</v>
      </c>
      <c r="AU2005" t="s">
        <v>3046</v>
      </c>
    </row>
    <row r="2006" spans="1:47" x14ac:dyDescent="0.35">
      <c r="A2006">
        <v>337834</v>
      </c>
      <c r="B2006" t="s">
        <v>178</v>
      </c>
      <c r="C2006" t="s">
        <v>179</v>
      </c>
      <c r="D2006" s="2">
        <v>45784</v>
      </c>
      <c r="E2006">
        <v>53850</v>
      </c>
      <c r="F2006">
        <v>102</v>
      </c>
      <c r="G2006" t="s">
        <v>151</v>
      </c>
      <c r="H2006" t="s">
        <v>167</v>
      </c>
      <c r="I2006" t="s">
        <v>45</v>
      </c>
      <c r="K2006">
        <v>202505067953521</v>
      </c>
      <c r="L2006">
        <v>1023308719178</v>
      </c>
      <c r="M2006">
        <v>20250506</v>
      </c>
      <c r="N2006" t="s">
        <v>46</v>
      </c>
      <c r="P2006" t="s">
        <v>51</v>
      </c>
      <c r="Q2006" t="s">
        <v>47</v>
      </c>
      <c r="R2006">
        <v>4999692</v>
      </c>
      <c r="S2006">
        <v>0</v>
      </c>
      <c r="T2006">
        <v>474476</v>
      </c>
      <c r="U2006">
        <v>3470340724</v>
      </c>
      <c r="V2006" t="s">
        <v>2148</v>
      </c>
      <c r="W2006" t="s">
        <v>49</v>
      </c>
      <c r="X2006" t="s">
        <v>65</v>
      </c>
      <c r="Y2006" t="s">
        <v>51</v>
      </c>
      <c r="Z2006">
        <v>1203</v>
      </c>
      <c r="AH2006">
        <v>0</v>
      </c>
      <c r="AI2006">
        <v>202505</v>
      </c>
      <c r="AJ2006" t="s">
        <v>86</v>
      </c>
      <c r="AK2006">
        <v>1</v>
      </c>
      <c r="AL2006">
        <v>1</v>
      </c>
      <c r="AO2006">
        <v>0</v>
      </c>
      <c r="AP2006" t="s">
        <v>3019</v>
      </c>
      <c r="AQ2006" t="s">
        <v>3012</v>
      </c>
      <c r="AR2006" t="s">
        <v>3020</v>
      </c>
      <c r="AS2006" t="s">
        <v>3014</v>
      </c>
      <c r="AU2006" t="s">
        <v>3014</v>
      </c>
    </row>
    <row r="2007" spans="1:47" x14ac:dyDescent="0.35">
      <c r="A2007">
        <v>337833</v>
      </c>
      <c r="B2007" t="s">
        <v>193</v>
      </c>
      <c r="C2007" t="s">
        <v>194</v>
      </c>
      <c r="D2007" s="2">
        <v>45784</v>
      </c>
      <c r="E2007">
        <v>53850</v>
      </c>
      <c r="F2007">
        <v>181</v>
      </c>
      <c r="G2007" t="s">
        <v>180</v>
      </c>
      <c r="H2007" t="s">
        <v>167</v>
      </c>
      <c r="I2007" t="s">
        <v>45</v>
      </c>
      <c r="K2007">
        <v>202505067955605</v>
      </c>
      <c r="L2007">
        <v>1813301028560</v>
      </c>
      <c r="M2007">
        <v>20250506</v>
      </c>
      <c r="N2007" t="s">
        <v>266</v>
      </c>
      <c r="Q2007" t="s">
        <v>47</v>
      </c>
      <c r="R2007">
        <v>60000</v>
      </c>
      <c r="S2007">
        <v>60000</v>
      </c>
      <c r="T2007">
        <v>454268</v>
      </c>
      <c r="U2007" t="s">
        <v>1209</v>
      </c>
      <c r="V2007" t="s">
        <v>1210</v>
      </c>
      <c r="W2007" t="s">
        <v>69</v>
      </c>
      <c r="X2007" t="s">
        <v>131</v>
      </c>
      <c r="Y2007" t="s">
        <v>51</v>
      </c>
      <c r="Z2007">
        <v>727</v>
      </c>
      <c r="AH2007">
        <v>0</v>
      </c>
      <c r="AI2007">
        <v>202505</v>
      </c>
      <c r="AJ2007" t="s">
        <v>56</v>
      </c>
      <c r="AK2007">
        <v>0</v>
      </c>
      <c r="AL2007">
        <v>1</v>
      </c>
      <c r="AM2007">
        <v>454268</v>
      </c>
      <c r="AN2007">
        <v>1</v>
      </c>
      <c r="AO2007">
        <v>0</v>
      </c>
      <c r="AP2007" t="s">
        <v>3033</v>
      </c>
      <c r="AQ2007" t="s">
        <v>3021</v>
      </c>
      <c r="AR2007" t="s">
        <v>3054</v>
      </c>
      <c r="AS2007" t="s">
        <v>3055</v>
      </c>
      <c r="AU2007" t="s">
        <v>3055</v>
      </c>
    </row>
    <row r="2008" spans="1:47" x14ac:dyDescent="0.35">
      <c r="A2008">
        <v>337832</v>
      </c>
      <c r="B2008" t="s">
        <v>172</v>
      </c>
      <c r="C2008" t="s">
        <v>173</v>
      </c>
      <c r="D2008" s="2">
        <v>45784</v>
      </c>
      <c r="E2008">
        <v>53850</v>
      </c>
      <c r="F2008">
        <v>181</v>
      </c>
      <c r="G2008" t="s">
        <v>180</v>
      </c>
      <c r="H2008" t="s">
        <v>167</v>
      </c>
      <c r="I2008" t="s">
        <v>45</v>
      </c>
      <c r="K2008">
        <v>202505067955605</v>
      </c>
      <c r="L2008">
        <v>1813301028560</v>
      </c>
      <c r="M2008">
        <v>20250506</v>
      </c>
      <c r="N2008" t="s">
        <v>266</v>
      </c>
      <c r="Q2008" t="s">
        <v>47</v>
      </c>
      <c r="R2008">
        <v>60000</v>
      </c>
      <c r="S2008">
        <v>60000</v>
      </c>
      <c r="T2008">
        <v>454268</v>
      </c>
      <c r="U2008" t="s">
        <v>1209</v>
      </c>
      <c r="V2008" t="s">
        <v>1210</v>
      </c>
      <c r="W2008" t="s">
        <v>69</v>
      </c>
      <c r="X2008" t="s">
        <v>131</v>
      </c>
      <c r="Y2008" t="s">
        <v>51</v>
      </c>
      <c r="Z2008">
        <v>727</v>
      </c>
      <c r="AH2008">
        <v>0</v>
      </c>
      <c r="AI2008">
        <v>202505</v>
      </c>
      <c r="AJ2008" t="s">
        <v>56</v>
      </c>
      <c r="AK2008">
        <v>0</v>
      </c>
      <c r="AL2008">
        <v>1</v>
      </c>
      <c r="AM2008">
        <v>454268</v>
      </c>
      <c r="AN2008">
        <v>1</v>
      </c>
      <c r="AO2008">
        <v>0</v>
      </c>
      <c r="AP2008" t="s">
        <v>3033</v>
      </c>
      <c r="AQ2008" t="s">
        <v>3021</v>
      </c>
      <c r="AR2008" t="s">
        <v>3054</v>
      </c>
      <c r="AS2008" t="s">
        <v>3055</v>
      </c>
      <c r="AU2008" t="s">
        <v>3055</v>
      </c>
    </row>
    <row r="2009" spans="1:47" x14ac:dyDescent="0.35">
      <c r="A2009">
        <v>337831</v>
      </c>
      <c r="B2009" t="s">
        <v>193</v>
      </c>
      <c r="C2009" t="s">
        <v>194</v>
      </c>
      <c r="D2009" s="2">
        <v>45784</v>
      </c>
      <c r="E2009">
        <v>53850</v>
      </c>
      <c r="F2009">
        <v>116</v>
      </c>
      <c r="G2009" t="s">
        <v>126</v>
      </c>
      <c r="H2009" t="s">
        <v>167</v>
      </c>
      <c r="I2009" t="s">
        <v>45</v>
      </c>
      <c r="K2009">
        <v>202505067955087</v>
      </c>
      <c r="L2009">
        <v>2343300010453</v>
      </c>
      <c r="M2009">
        <v>20250506</v>
      </c>
      <c r="N2009" t="s">
        <v>195</v>
      </c>
      <c r="Q2009" t="s">
        <v>47</v>
      </c>
      <c r="R2009">
        <v>204011.11</v>
      </c>
      <c r="S2009">
        <v>204011.11</v>
      </c>
      <c r="T2009">
        <v>4247777</v>
      </c>
      <c r="U2009">
        <v>233470236</v>
      </c>
      <c r="V2009" t="s">
        <v>206</v>
      </c>
      <c r="W2009" t="s">
        <v>49</v>
      </c>
      <c r="X2009" t="s">
        <v>117</v>
      </c>
      <c r="Y2009" t="s">
        <v>51</v>
      </c>
      <c r="Z2009">
        <v>1696</v>
      </c>
      <c r="AH2009">
        <v>0</v>
      </c>
      <c r="AI2009">
        <v>202505</v>
      </c>
      <c r="AJ2009" t="s">
        <v>114</v>
      </c>
      <c r="AK2009">
        <v>1</v>
      </c>
      <c r="AL2009">
        <v>1</v>
      </c>
      <c r="AM2009">
        <v>4247777</v>
      </c>
      <c r="AN2009">
        <v>1</v>
      </c>
      <c r="AO2009">
        <v>0</v>
      </c>
      <c r="AP2009" t="s">
        <v>3029</v>
      </c>
      <c r="AQ2009" t="s">
        <v>3012</v>
      </c>
      <c r="AR2009" t="s">
        <v>3030</v>
      </c>
      <c r="AS2009" t="s">
        <v>3014</v>
      </c>
      <c r="AU2009" t="s">
        <v>3014</v>
      </c>
    </row>
    <row r="2010" spans="1:47" x14ac:dyDescent="0.35">
      <c r="A2010">
        <v>337830</v>
      </c>
      <c r="B2010" t="s">
        <v>193</v>
      </c>
      <c r="C2010" t="s">
        <v>194</v>
      </c>
      <c r="D2010" s="2">
        <v>45784</v>
      </c>
      <c r="E2010">
        <v>53850</v>
      </c>
      <c r="F2010">
        <v>102</v>
      </c>
      <c r="G2010" t="s">
        <v>151</v>
      </c>
      <c r="H2010" t="s">
        <v>167</v>
      </c>
      <c r="I2010" t="s">
        <v>45</v>
      </c>
      <c r="K2010">
        <v>202505067954602</v>
      </c>
      <c r="L2010">
        <v>1023308722503</v>
      </c>
      <c r="M2010">
        <v>20250506</v>
      </c>
      <c r="N2010" t="s">
        <v>195</v>
      </c>
      <c r="Q2010" t="s">
        <v>47</v>
      </c>
      <c r="R2010">
        <v>25000</v>
      </c>
      <c r="S2010">
        <v>25000</v>
      </c>
      <c r="T2010">
        <v>413650</v>
      </c>
      <c r="U2010">
        <v>3657230722</v>
      </c>
      <c r="V2010" t="s">
        <v>196</v>
      </c>
      <c r="W2010" t="s">
        <v>190</v>
      </c>
      <c r="X2010" t="s">
        <v>197</v>
      </c>
      <c r="Y2010" t="s">
        <v>51</v>
      </c>
      <c r="Z2010">
        <v>1306</v>
      </c>
      <c r="AH2010">
        <v>0</v>
      </c>
      <c r="AI2010">
        <v>202505</v>
      </c>
      <c r="AJ2010" t="s">
        <v>56</v>
      </c>
      <c r="AK2010">
        <v>0</v>
      </c>
      <c r="AL2010">
        <v>1</v>
      </c>
      <c r="AM2010">
        <v>413650</v>
      </c>
      <c r="AN2010">
        <v>1</v>
      </c>
      <c r="AO2010">
        <v>0</v>
      </c>
      <c r="AP2010" t="s">
        <v>3050</v>
      </c>
      <c r="AQ2010" t="s">
        <v>3047</v>
      </c>
      <c r="AR2010" t="s">
        <v>3051</v>
      </c>
      <c r="AS2010" t="s">
        <v>3049</v>
      </c>
      <c r="AU2010" t="s">
        <v>3049</v>
      </c>
    </row>
    <row r="2011" spans="1:47" x14ac:dyDescent="0.35">
      <c r="A2011">
        <v>337829</v>
      </c>
      <c r="B2011" t="s">
        <v>193</v>
      </c>
      <c r="C2011" t="s">
        <v>194</v>
      </c>
      <c r="D2011" s="2">
        <v>45784</v>
      </c>
      <c r="E2011">
        <v>53850</v>
      </c>
      <c r="F2011">
        <v>175</v>
      </c>
      <c r="G2011" t="s">
        <v>99</v>
      </c>
      <c r="H2011" t="s">
        <v>167</v>
      </c>
      <c r="I2011" t="s">
        <v>45</v>
      </c>
      <c r="K2011" t="s">
        <v>2124</v>
      </c>
      <c r="L2011">
        <v>1753302203965</v>
      </c>
      <c r="M2011">
        <v>20250506</v>
      </c>
      <c r="N2011" t="s">
        <v>195</v>
      </c>
      <c r="Q2011" t="s">
        <v>47</v>
      </c>
      <c r="R2011">
        <v>30770</v>
      </c>
      <c r="S2011">
        <v>30770</v>
      </c>
      <c r="T2011">
        <v>4932268</v>
      </c>
      <c r="U2011">
        <v>1360580771</v>
      </c>
      <c r="V2011" t="s">
        <v>470</v>
      </c>
      <c r="W2011" t="s">
        <v>49</v>
      </c>
      <c r="X2011" t="s">
        <v>197</v>
      </c>
      <c r="Y2011" t="s">
        <v>51</v>
      </c>
      <c r="Z2011">
        <v>1110</v>
      </c>
      <c r="AH2011">
        <v>0</v>
      </c>
      <c r="AI2011">
        <v>202505</v>
      </c>
      <c r="AJ2011" t="s">
        <v>114</v>
      </c>
      <c r="AK2011">
        <v>1</v>
      </c>
      <c r="AL2011">
        <v>1</v>
      </c>
      <c r="AM2011">
        <v>4932268</v>
      </c>
      <c r="AN2011">
        <v>1</v>
      </c>
      <c r="AO2011">
        <v>0</v>
      </c>
      <c r="AP2011" t="s">
        <v>3050</v>
      </c>
      <c r="AQ2011" t="s">
        <v>3012</v>
      </c>
      <c r="AR2011" t="s">
        <v>3071</v>
      </c>
      <c r="AS2011" t="s">
        <v>3028</v>
      </c>
      <c r="AU2011" t="s">
        <v>3028</v>
      </c>
    </row>
    <row r="2012" spans="1:47" x14ac:dyDescent="0.35">
      <c r="A2012">
        <v>337828</v>
      </c>
      <c r="B2012" t="s">
        <v>164</v>
      </c>
      <c r="C2012" t="s">
        <v>165</v>
      </c>
      <c r="D2012" s="2">
        <v>45784</v>
      </c>
      <c r="E2012">
        <v>53850</v>
      </c>
      <c r="F2012">
        <v>153</v>
      </c>
      <c r="G2012" t="s">
        <v>63</v>
      </c>
      <c r="H2012" t="s">
        <v>167</v>
      </c>
      <c r="I2012" t="s">
        <v>45</v>
      </c>
      <c r="K2012" t="s">
        <v>2149</v>
      </c>
      <c r="L2012">
        <v>1533300662357</v>
      </c>
      <c r="M2012">
        <v>20250506</v>
      </c>
      <c r="N2012" t="s">
        <v>168</v>
      </c>
      <c r="P2012" t="s">
        <v>2150</v>
      </c>
      <c r="Q2012" t="s">
        <v>170</v>
      </c>
      <c r="R2012">
        <v>1965</v>
      </c>
      <c r="S2012">
        <v>0</v>
      </c>
      <c r="T2012">
        <v>4735568</v>
      </c>
      <c r="U2012">
        <v>92086070643</v>
      </c>
      <c r="V2012" t="s">
        <v>2151</v>
      </c>
      <c r="W2012" t="s">
        <v>332</v>
      </c>
      <c r="X2012" t="s">
        <v>905</v>
      </c>
      <c r="Y2012" t="s">
        <v>51</v>
      </c>
      <c r="Z2012">
        <v>1055</v>
      </c>
      <c r="AH2012">
        <v>0</v>
      </c>
      <c r="AI2012">
        <v>202505</v>
      </c>
      <c r="AJ2012" t="s">
        <v>52</v>
      </c>
      <c r="AK2012">
        <v>0</v>
      </c>
      <c r="AL2012">
        <v>1</v>
      </c>
      <c r="AO2012">
        <v>0</v>
      </c>
      <c r="AP2012" t="s">
        <v>3015</v>
      </c>
      <c r="AQ2012" t="s">
        <v>3058</v>
      </c>
      <c r="AR2012" t="s">
        <v>3059</v>
      </c>
      <c r="AT2012" t="s">
        <v>3017</v>
      </c>
      <c r="AU2012" t="s">
        <v>3014</v>
      </c>
    </row>
    <row r="2013" spans="1:47" x14ac:dyDescent="0.35">
      <c r="A2013">
        <v>337827</v>
      </c>
      <c r="B2013" t="s">
        <v>178</v>
      </c>
      <c r="C2013" t="s">
        <v>179</v>
      </c>
      <c r="D2013" s="2">
        <v>45784</v>
      </c>
      <c r="E2013">
        <v>53850</v>
      </c>
      <c r="F2013">
        <v>271</v>
      </c>
      <c r="G2013" t="s">
        <v>275</v>
      </c>
      <c r="H2013" t="s">
        <v>167</v>
      </c>
      <c r="I2013" t="s">
        <v>45</v>
      </c>
      <c r="K2013" t="s">
        <v>2152</v>
      </c>
      <c r="L2013">
        <v>2713300001866</v>
      </c>
      <c r="M2013">
        <v>20250506</v>
      </c>
      <c r="N2013" t="s">
        <v>3136</v>
      </c>
      <c r="Q2013" t="s">
        <v>170</v>
      </c>
      <c r="R2013">
        <v>4129.6000000000004</v>
      </c>
      <c r="S2013">
        <v>0</v>
      </c>
      <c r="T2013">
        <v>1665085</v>
      </c>
      <c r="U2013" t="s">
        <v>2153</v>
      </c>
      <c r="V2013" t="s">
        <v>2154</v>
      </c>
      <c r="W2013" t="s">
        <v>187</v>
      </c>
      <c r="Y2013" t="s">
        <v>51</v>
      </c>
      <c r="AH2013">
        <v>0</v>
      </c>
      <c r="AI2013">
        <v>202505</v>
      </c>
      <c r="AJ2013" t="s">
        <v>52</v>
      </c>
      <c r="AK2013">
        <v>0</v>
      </c>
      <c r="AL2013">
        <v>1</v>
      </c>
      <c r="AO2013">
        <v>1</v>
      </c>
      <c r="AP2013" t="s">
        <v>3015</v>
      </c>
      <c r="AQ2013" t="s">
        <v>3044</v>
      </c>
      <c r="AR2013" t="s">
        <v>3045</v>
      </c>
      <c r="AS2013" t="s">
        <v>3046</v>
      </c>
      <c r="AU2013" t="s">
        <v>3046</v>
      </c>
    </row>
    <row r="2014" spans="1:47" x14ac:dyDescent="0.35">
      <c r="A2014">
        <v>337826</v>
      </c>
      <c r="B2014" t="s">
        <v>178</v>
      </c>
      <c r="C2014" t="s">
        <v>179</v>
      </c>
      <c r="D2014" s="2">
        <v>45784</v>
      </c>
      <c r="E2014">
        <v>53850</v>
      </c>
      <c r="F2014">
        <v>188</v>
      </c>
      <c r="G2014" t="s">
        <v>419</v>
      </c>
      <c r="H2014" t="s">
        <v>167</v>
      </c>
      <c r="I2014" t="s">
        <v>45</v>
      </c>
      <c r="K2014">
        <v>202505067952501</v>
      </c>
      <c r="L2014">
        <v>1883300028081</v>
      </c>
      <c r="M2014">
        <v>20250506</v>
      </c>
      <c r="N2014" t="s">
        <v>310</v>
      </c>
      <c r="Q2014" t="s">
        <v>170</v>
      </c>
      <c r="R2014">
        <v>679018.89</v>
      </c>
      <c r="S2014">
        <v>0</v>
      </c>
      <c r="T2014">
        <v>3001543</v>
      </c>
      <c r="U2014">
        <v>943900738</v>
      </c>
      <c r="V2014" t="s">
        <v>420</v>
      </c>
      <c r="W2014" t="s">
        <v>49</v>
      </c>
      <c r="X2014" t="s">
        <v>421</v>
      </c>
      <c r="Y2014" t="s">
        <v>51</v>
      </c>
      <c r="Z2014">
        <v>1627</v>
      </c>
      <c r="AH2014">
        <v>0</v>
      </c>
      <c r="AI2014">
        <v>202505</v>
      </c>
      <c r="AJ2014" t="s">
        <v>52</v>
      </c>
      <c r="AK2014">
        <v>0</v>
      </c>
      <c r="AL2014">
        <v>1</v>
      </c>
      <c r="AM2014">
        <v>3001543</v>
      </c>
      <c r="AN2014">
        <v>1</v>
      </c>
      <c r="AO2014">
        <v>0</v>
      </c>
      <c r="AP2014" t="s">
        <v>3015</v>
      </c>
      <c r="AQ2014" t="s">
        <v>3012</v>
      </c>
      <c r="AR2014" t="s">
        <v>3016</v>
      </c>
      <c r="AT2014" t="s">
        <v>3017</v>
      </c>
      <c r="AU2014" t="s">
        <v>3018</v>
      </c>
    </row>
    <row r="2015" spans="1:47" x14ac:dyDescent="0.35">
      <c r="A2015">
        <v>337825</v>
      </c>
      <c r="B2015" t="s">
        <v>193</v>
      </c>
      <c r="C2015" t="s">
        <v>194</v>
      </c>
      <c r="D2015" s="2">
        <v>45784</v>
      </c>
      <c r="E2015">
        <v>53850</v>
      </c>
      <c r="F2015">
        <v>171</v>
      </c>
      <c r="G2015" t="s">
        <v>198</v>
      </c>
      <c r="H2015" t="s">
        <v>167</v>
      </c>
      <c r="I2015" t="s">
        <v>45</v>
      </c>
      <c r="K2015" t="s">
        <v>2124</v>
      </c>
      <c r="L2015">
        <v>1713305728950</v>
      </c>
      <c r="M2015">
        <v>20250506</v>
      </c>
      <c r="N2015" t="s">
        <v>195</v>
      </c>
      <c r="Q2015" t="s">
        <v>47</v>
      </c>
      <c r="R2015">
        <v>108941.55</v>
      </c>
      <c r="S2015">
        <v>108941.55</v>
      </c>
      <c r="T2015">
        <v>572895</v>
      </c>
      <c r="U2015">
        <v>4161600723</v>
      </c>
      <c r="V2015" t="s">
        <v>199</v>
      </c>
      <c r="W2015" t="s">
        <v>49</v>
      </c>
      <c r="X2015" t="s">
        <v>200</v>
      </c>
      <c r="Y2015" t="s">
        <v>51</v>
      </c>
      <c r="Z2015">
        <v>1903</v>
      </c>
      <c r="AH2015">
        <v>0</v>
      </c>
      <c r="AI2015">
        <v>202505</v>
      </c>
      <c r="AJ2015" t="s">
        <v>86</v>
      </c>
      <c r="AK2015">
        <v>1</v>
      </c>
      <c r="AL2015">
        <v>1</v>
      </c>
      <c r="AM2015">
        <v>572895</v>
      </c>
      <c r="AN2015">
        <v>1</v>
      </c>
      <c r="AO2015">
        <v>0</v>
      </c>
      <c r="AP2015" t="s">
        <v>3015</v>
      </c>
      <c r="AQ2015" t="s">
        <v>3012</v>
      </c>
      <c r="AR2015" t="s">
        <v>3016</v>
      </c>
      <c r="AT2015" t="s">
        <v>3017</v>
      </c>
      <c r="AU2015" t="s">
        <v>3018</v>
      </c>
    </row>
    <row r="2016" spans="1:47" x14ac:dyDescent="0.35">
      <c r="A2016">
        <v>337824</v>
      </c>
      <c r="B2016" t="s">
        <v>178</v>
      </c>
      <c r="C2016" t="s">
        <v>179</v>
      </c>
      <c r="D2016" s="2">
        <v>45784</v>
      </c>
      <c r="E2016">
        <v>53850</v>
      </c>
      <c r="F2016">
        <v>120</v>
      </c>
      <c r="G2016" t="s">
        <v>411</v>
      </c>
      <c r="H2016" t="s">
        <v>167</v>
      </c>
      <c r="I2016" t="s">
        <v>45</v>
      </c>
      <c r="K2016">
        <v>202505067952923</v>
      </c>
      <c r="L2016">
        <v>1203300002762</v>
      </c>
      <c r="M2016">
        <v>20250506</v>
      </c>
      <c r="N2016" t="s">
        <v>633</v>
      </c>
      <c r="P2016" t="s">
        <v>51</v>
      </c>
      <c r="Q2016" t="s">
        <v>170</v>
      </c>
      <c r="R2016">
        <v>1500000</v>
      </c>
      <c r="S2016">
        <v>0</v>
      </c>
      <c r="T2016">
        <v>613876</v>
      </c>
      <c r="U2016">
        <v>574290722</v>
      </c>
      <c r="V2016" t="s">
        <v>545</v>
      </c>
      <c r="W2016" t="s">
        <v>546</v>
      </c>
      <c r="X2016" t="s">
        <v>421</v>
      </c>
      <c r="Y2016" t="s">
        <v>51</v>
      </c>
      <c r="Z2016">
        <v>1058</v>
      </c>
      <c r="AH2016">
        <v>0</v>
      </c>
      <c r="AI2016">
        <v>202505</v>
      </c>
      <c r="AJ2016" t="s">
        <v>56</v>
      </c>
      <c r="AK2016">
        <v>0</v>
      </c>
      <c r="AL2016">
        <v>1</v>
      </c>
      <c r="AM2016">
        <v>613876</v>
      </c>
      <c r="AN2016">
        <v>1</v>
      </c>
      <c r="AO2016">
        <v>0</v>
      </c>
      <c r="AP2016" t="s">
        <v>3015</v>
      </c>
      <c r="AQ2016" t="s">
        <v>3076</v>
      </c>
      <c r="AR2016" t="s">
        <v>3077</v>
      </c>
      <c r="AT2016" t="s">
        <v>3017</v>
      </c>
      <c r="AU2016" t="s">
        <v>3014</v>
      </c>
    </row>
    <row r="2017" spans="1:47" x14ac:dyDescent="0.35">
      <c r="A2017">
        <v>337823</v>
      </c>
      <c r="B2017" t="s">
        <v>193</v>
      </c>
      <c r="C2017" t="s">
        <v>194</v>
      </c>
      <c r="D2017" s="2">
        <v>45784</v>
      </c>
      <c r="E2017">
        <v>53850</v>
      </c>
      <c r="F2017">
        <v>156</v>
      </c>
      <c r="G2017" t="s">
        <v>1584</v>
      </c>
      <c r="H2017" t="s">
        <v>167</v>
      </c>
      <c r="I2017" t="s">
        <v>45</v>
      </c>
      <c r="K2017">
        <v>202505067955502</v>
      </c>
      <c r="L2017">
        <v>1923300181861</v>
      </c>
      <c r="M2017">
        <v>20250506</v>
      </c>
      <c r="N2017" t="s">
        <v>266</v>
      </c>
      <c r="Q2017" t="s">
        <v>47</v>
      </c>
      <c r="R2017">
        <v>16500</v>
      </c>
      <c r="S2017">
        <v>16500</v>
      </c>
      <c r="T2017">
        <v>3001368</v>
      </c>
      <c r="U2017" t="s">
        <v>1585</v>
      </c>
      <c r="V2017" t="s">
        <v>1586</v>
      </c>
      <c r="W2017" t="s">
        <v>187</v>
      </c>
      <c r="Y2017" t="s">
        <v>51</v>
      </c>
      <c r="Z2017">
        <v>880</v>
      </c>
      <c r="AH2017">
        <v>0</v>
      </c>
      <c r="AI2017">
        <v>202505</v>
      </c>
      <c r="AJ2017" t="s">
        <v>119</v>
      </c>
      <c r="AK2017">
        <v>1</v>
      </c>
      <c r="AL2017">
        <v>1</v>
      </c>
      <c r="AM2017">
        <v>3001368</v>
      </c>
      <c r="AN2017">
        <v>1</v>
      </c>
      <c r="AO2017">
        <v>0</v>
      </c>
      <c r="AP2017" t="s">
        <v>3015</v>
      </c>
      <c r="AQ2017" t="s">
        <v>3044</v>
      </c>
      <c r="AR2017" t="s">
        <v>3045</v>
      </c>
      <c r="AS2017" t="s">
        <v>3046</v>
      </c>
      <c r="AU2017" t="s">
        <v>3046</v>
      </c>
    </row>
    <row r="2018" spans="1:47" x14ac:dyDescent="0.35">
      <c r="A2018">
        <v>337822</v>
      </c>
      <c r="B2018" t="s">
        <v>193</v>
      </c>
      <c r="C2018" t="s">
        <v>194</v>
      </c>
      <c r="D2018" s="2">
        <v>45784</v>
      </c>
      <c r="E2018">
        <v>53850</v>
      </c>
      <c r="F2018">
        <v>106</v>
      </c>
      <c r="G2018" t="s">
        <v>291</v>
      </c>
      <c r="H2018" t="s">
        <v>167</v>
      </c>
      <c r="I2018" t="s">
        <v>45</v>
      </c>
      <c r="K2018">
        <v>202505067955290</v>
      </c>
      <c r="L2018">
        <v>1063302770535</v>
      </c>
      <c r="M2018">
        <v>20250506</v>
      </c>
      <c r="N2018" t="s">
        <v>266</v>
      </c>
      <c r="Q2018" t="s">
        <v>47</v>
      </c>
      <c r="R2018">
        <v>33450</v>
      </c>
      <c r="S2018">
        <v>33450</v>
      </c>
      <c r="T2018">
        <v>4839029</v>
      </c>
      <c r="U2018" t="s">
        <v>2155</v>
      </c>
      <c r="V2018" t="s">
        <v>2156</v>
      </c>
      <c r="W2018" t="s">
        <v>187</v>
      </c>
      <c r="Y2018" t="s">
        <v>51</v>
      </c>
      <c r="Z2018">
        <v>1666</v>
      </c>
      <c r="AH2018">
        <v>0</v>
      </c>
      <c r="AI2018">
        <v>202505</v>
      </c>
      <c r="AJ2018" t="s">
        <v>52</v>
      </c>
      <c r="AK2018">
        <v>0</v>
      </c>
      <c r="AL2018">
        <v>1</v>
      </c>
      <c r="AO2018">
        <v>0</v>
      </c>
      <c r="AP2018" t="s">
        <v>3015</v>
      </c>
      <c r="AQ2018" t="s">
        <v>3044</v>
      </c>
      <c r="AR2018" t="s">
        <v>3045</v>
      </c>
      <c r="AS2018" t="s">
        <v>3046</v>
      </c>
      <c r="AU2018" t="s">
        <v>3046</v>
      </c>
    </row>
    <row r="2019" spans="1:47" x14ac:dyDescent="0.35">
      <c r="A2019">
        <v>337821</v>
      </c>
      <c r="B2019" t="s">
        <v>178</v>
      </c>
      <c r="C2019" t="s">
        <v>179</v>
      </c>
      <c r="D2019" s="2">
        <v>45784</v>
      </c>
      <c r="E2019">
        <v>53850</v>
      </c>
      <c r="F2019">
        <v>271</v>
      </c>
      <c r="G2019" t="s">
        <v>275</v>
      </c>
      <c r="H2019" t="s">
        <v>167</v>
      </c>
      <c r="I2019" t="s">
        <v>45</v>
      </c>
      <c r="K2019" t="s">
        <v>2157</v>
      </c>
      <c r="L2019">
        <v>2713300001848</v>
      </c>
      <c r="M2019">
        <v>20250506</v>
      </c>
      <c r="N2019" t="s">
        <v>3136</v>
      </c>
      <c r="Q2019" t="s">
        <v>170</v>
      </c>
      <c r="R2019">
        <v>1828.42</v>
      </c>
      <c r="S2019">
        <v>0</v>
      </c>
      <c r="T2019">
        <v>1665043</v>
      </c>
      <c r="U2019" t="s">
        <v>2158</v>
      </c>
      <c r="V2019" t="s">
        <v>2159</v>
      </c>
      <c r="W2019" t="s">
        <v>187</v>
      </c>
      <c r="Y2019" t="s">
        <v>51</v>
      </c>
      <c r="Z2019">
        <v>1781</v>
      </c>
      <c r="AH2019">
        <v>0</v>
      </c>
      <c r="AI2019">
        <v>202505</v>
      </c>
      <c r="AJ2019" t="s">
        <v>52</v>
      </c>
      <c r="AK2019">
        <v>0</v>
      </c>
      <c r="AL2019">
        <v>1</v>
      </c>
      <c r="AO2019">
        <v>1</v>
      </c>
      <c r="AP2019" t="s">
        <v>3015</v>
      </c>
      <c r="AQ2019" t="s">
        <v>3044</v>
      </c>
      <c r="AR2019" t="s">
        <v>3045</v>
      </c>
      <c r="AS2019" t="s">
        <v>3046</v>
      </c>
      <c r="AU2019" t="s">
        <v>3046</v>
      </c>
    </row>
    <row r="2020" spans="1:47" x14ac:dyDescent="0.35">
      <c r="A2020">
        <v>337820</v>
      </c>
      <c r="B2020" t="s">
        <v>178</v>
      </c>
      <c r="C2020" t="s">
        <v>179</v>
      </c>
      <c r="D2020" s="2">
        <v>45784</v>
      </c>
      <c r="E2020">
        <v>53850</v>
      </c>
      <c r="F2020">
        <v>271</v>
      </c>
      <c r="G2020" t="s">
        <v>275</v>
      </c>
      <c r="H2020" t="s">
        <v>167</v>
      </c>
      <c r="I2020" t="s">
        <v>45</v>
      </c>
      <c r="K2020" t="s">
        <v>2152</v>
      </c>
      <c r="L2020">
        <v>2713300001866</v>
      </c>
      <c r="M2020">
        <v>20250506</v>
      </c>
      <c r="N2020" t="s">
        <v>3136</v>
      </c>
      <c r="Q2020" t="s">
        <v>170</v>
      </c>
      <c r="R2020">
        <v>4129.6000000000004</v>
      </c>
      <c r="S2020">
        <v>0</v>
      </c>
      <c r="T2020">
        <v>1665086</v>
      </c>
      <c r="U2020" t="s">
        <v>2160</v>
      </c>
      <c r="V2020" t="s">
        <v>2161</v>
      </c>
      <c r="W2020" t="s">
        <v>187</v>
      </c>
      <c r="Y2020" t="s">
        <v>51</v>
      </c>
      <c r="AH2020">
        <v>0</v>
      </c>
      <c r="AI2020">
        <v>202505</v>
      </c>
      <c r="AJ2020" t="s">
        <v>52</v>
      </c>
      <c r="AK2020">
        <v>0</v>
      </c>
      <c r="AL2020">
        <v>1</v>
      </c>
      <c r="AO2020">
        <v>1</v>
      </c>
      <c r="AP2020" t="s">
        <v>3015</v>
      </c>
      <c r="AQ2020" t="s">
        <v>3044</v>
      </c>
      <c r="AR2020" t="s">
        <v>3045</v>
      </c>
      <c r="AS2020" t="s">
        <v>3046</v>
      </c>
      <c r="AU2020" t="s">
        <v>3046</v>
      </c>
    </row>
    <row r="2021" spans="1:47" x14ac:dyDescent="0.35">
      <c r="A2021">
        <v>337819</v>
      </c>
      <c r="B2021" t="s">
        <v>214</v>
      </c>
      <c r="C2021" t="s">
        <v>215</v>
      </c>
      <c r="D2021" s="2">
        <v>45784</v>
      </c>
      <c r="E2021">
        <v>53850</v>
      </c>
      <c r="F2021">
        <v>170</v>
      </c>
      <c r="G2021" t="s">
        <v>211</v>
      </c>
      <c r="H2021" t="s">
        <v>167</v>
      </c>
      <c r="I2021" t="s">
        <v>45</v>
      </c>
      <c r="K2021">
        <v>202505067954325</v>
      </c>
      <c r="L2021">
        <v>1703306288195</v>
      </c>
      <c r="M2021">
        <v>20250506</v>
      </c>
      <c r="N2021" t="s">
        <v>168</v>
      </c>
      <c r="P2021" t="s">
        <v>339</v>
      </c>
      <c r="Q2021" t="s">
        <v>170</v>
      </c>
      <c r="R2021">
        <v>21563.52</v>
      </c>
      <c r="S2021">
        <v>0</v>
      </c>
      <c r="T2021">
        <v>4401631</v>
      </c>
      <c r="U2021">
        <v>4724350725</v>
      </c>
      <c r="V2021" t="s">
        <v>949</v>
      </c>
      <c r="W2021" t="s">
        <v>49</v>
      </c>
      <c r="X2021" t="s">
        <v>241</v>
      </c>
      <c r="Y2021" t="s">
        <v>51</v>
      </c>
      <c r="Z2021">
        <v>1919</v>
      </c>
      <c r="AH2021">
        <v>0</v>
      </c>
      <c r="AI2021">
        <v>202505</v>
      </c>
      <c r="AJ2021" t="s">
        <v>86</v>
      </c>
      <c r="AK2021">
        <v>1</v>
      </c>
      <c r="AL2021">
        <v>1</v>
      </c>
      <c r="AO2021">
        <v>0</v>
      </c>
      <c r="AP2021" t="s">
        <v>3015</v>
      </c>
      <c r="AQ2021" t="s">
        <v>3012</v>
      </c>
      <c r="AR2021" t="s">
        <v>3016</v>
      </c>
      <c r="AT2021" t="s">
        <v>3017</v>
      </c>
      <c r="AU2021" t="s">
        <v>3018</v>
      </c>
    </row>
    <row r="2022" spans="1:47" x14ac:dyDescent="0.35">
      <c r="A2022">
        <v>337818</v>
      </c>
      <c r="B2022" t="s">
        <v>214</v>
      </c>
      <c r="C2022" t="s">
        <v>215</v>
      </c>
      <c r="D2022" s="2">
        <v>45784</v>
      </c>
      <c r="E2022">
        <v>53850</v>
      </c>
      <c r="F2022">
        <v>170</v>
      </c>
      <c r="G2022" t="s">
        <v>211</v>
      </c>
      <c r="H2022" t="s">
        <v>167</v>
      </c>
      <c r="I2022" t="s">
        <v>45</v>
      </c>
      <c r="K2022">
        <v>202505067954326</v>
      </c>
      <c r="L2022">
        <v>1703306288195</v>
      </c>
      <c r="M2022">
        <v>20250506</v>
      </c>
      <c r="N2022" t="s">
        <v>168</v>
      </c>
      <c r="P2022" t="s">
        <v>339</v>
      </c>
      <c r="Q2022" t="s">
        <v>170</v>
      </c>
      <c r="R2022">
        <v>652786.66</v>
      </c>
      <c r="S2022">
        <v>0</v>
      </c>
      <c r="T2022">
        <v>4401631</v>
      </c>
      <c r="U2022">
        <v>4724350725</v>
      </c>
      <c r="V2022" t="s">
        <v>949</v>
      </c>
      <c r="W2022" t="s">
        <v>49</v>
      </c>
      <c r="X2022" t="s">
        <v>241</v>
      </c>
      <c r="Y2022" t="s">
        <v>51</v>
      </c>
      <c r="Z2022">
        <v>1919</v>
      </c>
      <c r="AH2022">
        <v>0</v>
      </c>
      <c r="AI2022">
        <v>202505</v>
      </c>
      <c r="AJ2022" t="s">
        <v>86</v>
      </c>
      <c r="AK2022">
        <v>1</v>
      </c>
      <c r="AL2022">
        <v>1</v>
      </c>
      <c r="AO2022">
        <v>0</v>
      </c>
      <c r="AP2022" t="s">
        <v>3015</v>
      </c>
      <c r="AQ2022" t="s">
        <v>3012</v>
      </c>
      <c r="AR2022" t="s">
        <v>3016</v>
      </c>
      <c r="AT2022" t="s">
        <v>3017</v>
      </c>
      <c r="AU2022" t="s">
        <v>3018</v>
      </c>
    </row>
    <row r="2023" spans="1:47" x14ac:dyDescent="0.35">
      <c r="A2023">
        <v>337817</v>
      </c>
      <c r="B2023" t="s">
        <v>178</v>
      </c>
      <c r="C2023" t="s">
        <v>179</v>
      </c>
      <c r="D2023" s="2">
        <v>45784</v>
      </c>
      <c r="E2023">
        <v>53850</v>
      </c>
      <c r="F2023">
        <v>105</v>
      </c>
      <c r="G2023" t="s">
        <v>60</v>
      </c>
      <c r="H2023" t="s">
        <v>167</v>
      </c>
      <c r="I2023" t="s">
        <v>45</v>
      </c>
      <c r="K2023">
        <v>202505067955271</v>
      </c>
      <c r="L2023">
        <v>1053300336450</v>
      </c>
      <c r="M2023">
        <v>20250506</v>
      </c>
      <c r="N2023" t="s">
        <v>1002</v>
      </c>
      <c r="Q2023" t="s">
        <v>47</v>
      </c>
      <c r="R2023">
        <v>200000</v>
      </c>
      <c r="S2023">
        <v>0</v>
      </c>
      <c r="T2023">
        <v>33645</v>
      </c>
      <c r="U2023" t="s">
        <v>1793</v>
      </c>
      <c r="V2023" t="s">
        <v>1794</v>
      </c>
      <c r="W2023" t="s">
        <v>187</v>
      </c>
      <c r="Y2023" t="s">
        <v>51</v>
      </c>
      <c r="Z2023">
        <v>833</v>
      </c>
      <c r="AH2023">
        <v>0</v>
      </c>
      <c r="AI2023">
        <v>202505</v>
      </c>
      <c r="AJ2023" t="s">
        <v>56</v>
      </c>
      <c r="AK2023">
        <v>0</v>
      </c>
      <c r="AL2023">
        <v>1</v>
      </c>
      <c r="AO2023">
        <v>0</v>
      </c>
      <c r="AP2023" t="s">
        <v>3015</v>
      </c>
      <c r="AQ2023" t="s">
        <v>3044</v>
      </c>
      <c r="AR2023" t="s">
        <v>3045</v>
      </c>
      <c r="AS2023" t="s">
        <v>3046</v>
      </c>
      <c r="AU2023" t="s">
        <v>3046</v>
      </c>
    </row>
    <row r="2024" spans="1:47" x14ac:dyDescent="0.35">
      <c r="A2024">
        <v>337816</v>
      </c>
      <c r="B2024" t="s">
        <v>193</v>
      </c>
      <c r="C2024" t="s">
        <v>194</v>
      </c>
      <c r="D2024" s="2">
        <v>45784</v>
      </c>
      <c r="E2024">
        <v>53850</v>
      </c>
      <c r="F2024">
        <v>128</v>
      </c>
      <c r="G2024" t="s">
        <v>94</v>
      </c>
      <c r="H2024" t="s">
        <v>167</v>
      </c>
      <c r="I2024" t="s">
        <v>45</v>
      </c>
      <c r="K2024">
        <v>202505067954786</v>
      </c>
      <c r="L2024">
        <v>1283300003941</v>
      </c>
      <c r="M2024">
        <v>20250506</v>
      </c>
      <c r="N2024" t="s">
        <v>195</v>
      </c>
      <c r="Q2024" t="s">
        <v>47</v>
      </c>
      <c r="R2024">
        <v>31000</v>
      </c>
      <c r="S2024">
        <v>31000</v>
      </c>
      <c r="T2024">
        <v>4916499</v>
      </c>
      <c r="U2024" t="s">
        <v>382</v>
      </c>
      <c r="V2024" t="s">
        <v>383</v>
      </c>
      <c r="W2024" t="s">
        <v>69</v>
      </c>
      <c r="X2024" t="s">
        <v>55</v>
      </c>
      <c r="Y2024" t="s">
        <v>51</v>
      </c>
      <c r="Z2024">
        <v>1166</v>
      </c>
      <c r="AH2024">
        <v>0</v>
      </c>
      <c r="AI2024">
        <v>202505</v>
      </c>
      <c r="AJ2024" t="s">
        <v>56</v>
      </c>
      <c r="AK2024">
        <v>0</v>
      </c>
      <c r="AL2024">
        <v>1</v>
      </c>
      <c r="AM2024">
        <v>4916499</v>
      </c>
      <c r="AN2024">
        <v>1</v>
      </c>
      <c r="AO2024">
        <v>0</v>
      </c>
      <c r="AP2024" t="s">
        <v>3015</v>
      </c>
      <c r="AQ2024" t="s">
        <v>3021</v>
      </c>
      <c r="AR2024" t="s">
        <v>3022</v>
      </c>
      <c r="AT2024" t="s">
        <v>3017</v>
      </c>
      <c r="AU2024" t="s">
        <v>3014</v>
      </c>
    </row>
    <row r="2025" spans="1:47" x14ac:dyDescent="0.35">
      <c r="A2025">
        <v>337815</v>
      </c>
      <c r="B2025" t="s">
        <v>164</v>
      </c>
      <c r="C2025" t="s">
        <v>165</v>
      </c>
      <c r="D2025" s="2">
        <v>45784</v>
      </c>
      <c r="E2025">
        <v>53850</v>
      </c>
      <c r="F2025">
        <v>153</v>
      </c>
      <c r="G2025" t="s">
        <v>63</v>
      </c>
      <c r="H2025" t="s">
        <v>167</v>
      </c>
      <c r="I2025" t="s">
        <v>45</v>
      </c>
      <c r="K2025" t="s">
        <v>2162</v>
      </c>
      <c r="L2025">
        <v>1533300662357</v>
      </c>
      <c r="M2025">
        <v>20250506</v>
      </c>
      <c r="N2025" t="s">
        <v>168</v>
      </c>
      <c r="P2025" t="s">
        <v>2150</v>
      </c>
      <c r="Q2025" t="s">
        <v>170</v>
      </c>
      <c r="R2025">
        <v>1379</v>
      </c>
      <c r="S2025">
        <v>0</v>
      </c>
      <c r="T2025">
        <v>4735568</v>
      </c>
      <c r="U2025">
        <v>92086070643</v>
      </c>
      <c r="V2025" t="s">
        <v>2151</v>
      </c>
      <c r="W2025" t="s">
        <v>332</v>
      </c>
      <c r="X2025" t="s">
        <v>905</v>
      </c>
      <c r="Y2025" t="s">
        <v>51</v>
      </c>
      <c r="Z2025">
        <v>1055</v>
      </c>
      <c r="AH2025">
        <v>0</v>
      </c>
      <c r="AI2025">
        <v>202505</v>
      </c>
      <c r="AJ2025" t="s">
        <v>52</v>
      </c>
      <c r="AK2025">
        <v>0</v>
      </c>
      <c r="AL2025">
        <v>1</v>
      </c>
      <c r="AO2025">
        <v>0</v>
      </c>
      <c r="AP2025" t="s">
        <v>3015</v>
      </c>
      <c r="AQ2025" t="s">
        <v>3058</v>
      </c>
      <c r="AR2025" t="s">
        <v>3059</v>
      </c>
      <c r="AT2025" t="s">
        <v>3017</v>
      </c>
      <c r="AU2025" t="s">
        <v>3014</v>
      </c>
    </row>
    <row r="2026" spans="1:47" x14ac:dyDescent="0.35">
      <c r="A2026">
        <v>337814</v>
      </c>
      <c r="B2026" t="s">
        <v>164</v>
      </c>
      <c r="C2026" t="s">
        <v>165</v>
      </c>
      <c r="D2026" s="2">
        <v>45784</v>
      </c>
      <c r="E2026">
        <v>53850</v>
      </c>
      <c r="F2026">
        <v>102</v>
      </c>
      <c r="G2026" t="s">
        <v>151</v>
      </c>
      <c r="H2026" t="s">
        <v>167</v>
      </c>
      <c r="I2026" t="s">
        <v>45</v>
      </c>
      <c r="K2026" t="s">
        <v>2163</v>
      </c>
      <c r="L2026">
        <v>1023308724471</v>
      </c>
      <c r="M2026">
        <v>20250506</v>
      </c>
      <c r="N2026" t="s">
        <v>168</v>
      </c>
      <c r="P2026" t="s">
        <v>435</v>
      </c>
      <c r="Q2026" t="s">
        <v>47</v>
      </c>
      <c r="R2026">
        <v>3000</v>
      </c>
      <c r="S2026">
        <v>0</v>
      </c>
      <c r="T2026">
        <v>4926972</v>
      </c>
      <c r="U2026">
        <v>8178330729</v>
      </c>
      <c r="V2026" t="s">
        <v>2164</v>
      </c>
      <c r="W2026" t="s">
        <v>49</v>
      </c>
      <c r="X2026" t="s">
        <v>131</v>
      </c>
      <c r="Y2026" t="s">
        <v>51</v>
      </c>
      <c r="Z2026">
        <v>1443</v>
      </c>
      <c r="AH2026">
        <v>0</v>
      </c>
      <c r="AI2026">
        <v>202505</v>
      </c>
      <c r="AJ2026" t="s">
        <v>86</v>
      </c>
      <c r="AK2026">
        <v>1</v>
      </c>
      <c r="AL2026">
        <v>1</v>
      </c>
      <c r="AO2026">
        <v>0</v>
      </c>
      <c r="AP2026" t="s">
        <v>3033</v>
      </c>
      <c r="AQ2026" t="s">
        <v>3012</v>
      </c>
      <c r="AR2026" t="s">
        <v>3034</v>
      </c>
      <c r="AS2026" t="s">
        <v>3014</v>
      </c>
      <c r="AU2026" t="s">
        <v>3014</v>
      </c>
    </row>
    <row r="2027" spans="1:47" x14ac:dyDescent="0.35">
      <c r="A2027">
        <v>337813</v>
      </c>
      <c r="B2027" t="s">
        <v>178</v>
      </c>
      <c r="C2027" t="s">
        <v>179</v>
      </c>
      <c r="D2027" s="2">
        <v>45784</v>
      </c>
      <c r="E2027">
        <v>53850</v>
      </c>
      <c r="F2027">
        <v>120</v>
      </c>
      <c r="G2027" t="s">
        <v>411</v>
      </c>
      <c r="H2027" t="s">
        <v>167</v>
      </c>
      <c r="I2027" t="s">
        <v>45</v>
      </c>
      <c r="K2027">
        <v>202505067953522</v>
      </c>
      <c r="L2027">
        <v>1203300002401</v>
      </c>
      <c r="M2027">
        <v>20250506</v>
      </c>
      <c r="N2027" t="s">
        <v>46</v>
      </c>
      <c r="P2027" t="s">
        <v>51</v>
      </c>
      <c r="Q2027" t="s">
        <v>47</v>
      </c>
      <c r="R2027">
        <v>11747000</v>
      </c>
      <c r="S2027">
        <v>0</v>
      </c>
      <c r="T2027">
        <v>613876</v>
      </c>
      <c r="U2027">
        <v>574290722</v>
      </c>
      <c r="V2027" t="s">
        <v>545</v>
      </c>
      <c r="W2027" t="s">
        <v>546</v>
      </c>
      <c r="X2027" t="s">
        <v>421</v>
      </c>
      <c r="Y2027" t="s">
        <v>51</v>
      </c>
      <c r="Z2027">
        <v>1058</v>
      </c>
      <c r="AH2027">
        <v>0</v>
      </c>
      <c r="AI2027">
        <v>202505</v>
      </c>
      <c r="AJ2027" t="s">
        <v>56</v>
      </c>
      <c r="AK2027">
        <v>0</v>
      </c>
      <c r="AL2027">
        <v>1</v>
      </c>
      <c r="AM2027">
        <v>613876</v>
      </c>
      <c r="AN2027">
        <v>1</v>
      </c>
      <c r="AO2027">
        <v>0</v>
      </c>
      <c r="AP2027" t="s">
        <v>3015</v>
      </c>
      <c r="AQ2027" t="s">
        <v>3076</v>
      </c>
      <c r="AR2027" t="s">
        <v>3077</v>
      </c>
      <c r="AT2027" t="s">
        <v>3017</v>
      </c>
      <c r="AU2027" t="s">
        <v>3014</v>
      </c>
    </row>
    <row r="2028" spans="1:47" x14ac:dyDescent="0.35">
      <c r="A2028">
        <v>337812</v>
      </c>
      <c r="B2028" t="s">
        <v>178</v>
      </c>
      <c r="C2028" t="s">
        <v>179</v>
      </c>
      <c r="D2028" s="2">
        <v>45784</v>
      </c>
      <c r="E2028">
        <v>53850</v>
      </c>
      <c r="F2028">
        <v>175</v>
      </c>
      <c r="G2028" t="s">
        <v>99</v>
      </c>
      <c r="H2028" t="s">
        <v>167</v>
      </c>
      <c r="I2028" t="s">
        <v>45</v>
      </c>
      <c r="K2028">
        <v>202505057955582</v>
      </c>
      <c r="L2028">
        <v>1753302202252</v>
      </c>
      <c r="M2028">
        <v>20250505</v>
      </c>
      <c r="N2028" t="s">
        <v>236</v>
      </c>
      <c r="P2028" t="s">
        <v>51</v>
      </c>
      <c r="Q2028" t="s">
        <v>170</v>
      </c>
      <c r="R2028">
        <v>1000000</v>
      </c>
      <c r="S2028">
        <v>0</v>
      </c>
      <c r="T2028">
        <v>611756</v>
      </c>
      <c r="U2028" t="s">
        <v>395</v>
      </c>
      <c r="V2028" t="s">
        <v>396</v>
      </c>
      <c r="W2028" t="s">
        <v>69</v>
      </c>
      <c r="X2028" t="s">
        <v>397</v>
      </c>
      <c r="Y2028" t="s">
        <v>51</v>
      </c>
      <c r="Z2028">
        <v>1110</v>
      </c>
      <c r="AH2028">
        <v>0</v>
      </c>
      <c r="AI2028">
        <v>202505</v>
      </c>
      <c r="AJ2028" t="s">
        <v>56</v>
      </c>
      <c r="AK2028">
        <v>0</v>
      </c>
      <c r="AL2028">
        <v>1</v>
      </c>
      <c r="AO2028">
        <v>0</v>
      </c>
      <c r="AP2028" t="s">
        <v>3015</v>
      </c>
      <c r="AQ2028" t="s">
        <v>3021</v>
      </c>
      <c r="AR2028" t="s">
        <v>3022</v>
      </c>
      <c r="AT2028" t="s">
        <v>3017</v>
      </c>
      <c r="AU2028" t="s">
        <v>3014</v>
      </c>
    </row>
    <row r="2029" spans="1:47" x14ac:dyDescent="0.35">
      <c r="A2029">
        <v>337811</v>
      </c>
      <c r="B2029" t="s">
        <v>193</v>
      </c>
      <c r="C2029" t="s">
        <v>194</v>
      </c>
      <c r="D2029" s="2">
        <v>45783</v>
      </c>
      <c r="E2029">
        <v>53850</v>
      </c>
      <c r="F2029">
        <v>267</v>
      </c>
      <c r="G2029" t="s">
        <v>349</v>
      </c>
      <c r="H2029" t="s">
        <v>167</v>
      </c>
      <c r="I2029" t="s">
        <v>45</v>
      </c>
      <c r="K2029" t="s">
        <v>2165</v>
      </c>
      <c r="L2029">
        <v>2673300003600</v>
      </c>
      <c r="M2029">
        <v>20250505</v>
      </c>
      <c r="N2029" t="s">
        <v>175</v>
      </c>
      <c r="Q2029" t="s">
        <v>47</v>
      </c>
      <c r="R2029">
        <v>99229</v>
      </c>
      <c r="S2029">
        <v>98000</v>
      </c>
      <c r="T2029">
        <v>1705101</v>
      </c>
      <c r="U2029">
        <v>2896870793</v>
      </c>
      <c r="V2029" t="s">
        <v>439</v>
      </c>
      <c r="W2029" t="s">
        <v>190</v>
      </c>
      <c r="X2029" t="s">
        <v>200</v>
      </c>
      <c r="Y2029" t="s">
        <v>51</v>
      </c>
      <c r="Z2029">
        <v>1878</v>
      </c>
      <c r="AH2029">
        <v>0</v>
      </c>
      <c r="AI2029">
        <v>202505</v>
      </c>
      <c r="AJ2029" t="s">
        <v>56</v>
      </c>
      <c r="AK2029">
        <v>0</v>
      </c>
      <c r="AL2029">
        <v>1</v>
      </c>
      <c r="AM2029">
        <v>1705101</v>
      </c>
      <c r="AN2029">
        <v>1</v>
      </c>
      <c r="AO2029">
        <v>1</v>
      </c>
      <c r="AP2029" t="s">
        <v>3015</v>
      </c>
      <c r="AQ2029" t="s">
        <v>3047</v>
      </c>
      <c r="AR2029" t="s">
        <v>3056</v>
      </c>
      <c r="AT2029" t="s">
        <v>3017</v>
      </c>
      <c r="AU2029" t="s">
        <v>3057</v>
      </c>
    </row>
    <row r="2030" spans="1:47" x14ac:dyDescent="0.35">
      <c r="A2030">
        <v>337810</v>
      </c>
      <c r="B2030" t="s">
        <v>193</v>
      </c>
      <c r="C2030" t="s">
        <v>194</v>
      </c>
      <c r="D2030" s="2">
        <v>45783</v>
      </c>
      <c r="E2030">
        <v>53850</v>
      </c>
      <c r="F2030">
        <v>102</v>
      </c>
      <c r="G2030" t="s">
        <v>151</v>
      </c>
      <c r="H2030" t="s">
        <v>167</v>
      </c>
      <c r="I2030" t="s">
        <v>45</v>
      </c>
      <c r="K2030">
        <v>202505057950918</v>
      </c>
      <c r="L2030">
        <v>1023308722503</v>
      </c>
      <c r="M2030">
        <v>20250505</v>
      </c>
      <c r="N2030" t="s">
        <v>195</v>
      </c>
      <c r="Q2030" t="s">
        <v>47</v>
      </c>
      <c r="R2030">
        <v>24980</v>
      </c>
      <c r="S2030">
        <v>24980</v>
      </c>
      <c r="T2030">
        <v>413650</v>
      </c>
      <c r="U2030">
        <v>3657230722</v>
      </c>
      <c r="V2030" t="s">
        <v>196</v>
      </c>
      <c r="W2030" t="s">
        <v>190</v>
      </c>
      <c r="X2030" t="s">
        <v>197</v>
      </c>
      <c r="Y2030" t="s">
        <v>51</v>
      </c>
      <c r="Z2030">
        <v>1306</v>
      </c>
      <c r="AH2030">
        <v>0</v>
      </c>
      <c r="AI2030">
        <v>202505</v>
      </c>
      <c r="AJ2030" t="s">
        <v>56</v>
      </c>
      <c r="AK2030">
        <v>0</v>
      </c>
      <c r="AL2030">
        <v>1</v>
      </c>
      <c r="AM2030">
        <v>413650</v>
      </c>
      <c r="AN2030">
        <v>1</v>
      </c>
      <c r="AO2030">
        <v>0</v>
      </c>
      <c r="AP2030" t="s">
        <v>3050</v>
      </c>
      <c r="AQ2030" t="s">
        <v>3047</v>
      </c>
      <c r="AR2030" t="s">
        <v>3051</v>
      </c>
      <c r="AS2030" t="s">
        <v>3049</v>
      </c>
      <c r="AU2030" t="s">
        <v>3049</v>
      </c>
    </row>
    <row r="2031" spans="1:47" x14ac:dyDescent="0.35">
      <c r="A2031">
        <v>337809</v>
      </c>
      <c r="B2031" t="s">
        <v>178</v>
      </c>
      <c r="C2031" t="s">
        <v>179</v>
      </c>
      <c r="D2031" s="2">
        <v>45783</v>
      </c>
      <c r="E2031">
        <v>53850</v>
      </c>
      <c r="F2031">
        <v>161</v>
      </c>
      <c r="G2031" t="s">
        <v>111</v>
      </c>
      <c r="H2031" t="s">
        <v>167</v>
      </c>
      <c r="I2031" t="s">
        <v>45</v>
      </c>
      <c r="K2031" t="s">
        <v>2166</v>
      </c>
      <c r="L2031">
        <v>1283300004011</v>
      </c>
      <c r="M2031">
        <v>20250505</v>
      </c>
      <c r="N2031" t="s">
        <v>3136</v>
      </c>
      <c r="Q2031" t="s">
        <v>170</v>
      </c>
      <c r="R2031">
        <v>1006.5</v>
      </c>
      <c r="S2031">
        <v>0</v>
      </c>
      <c r="T2031">
        <v>4925367</v>
      </c>
      <c r="U2031" t="s">
        <v>2167</v>
      </c>
      <c r="V2031" t="s">
        <v>2168</v>
      </c>
      <c r="W2031" t="s">
        <v>187</v>
      </c>
      <c r="Y2031" t="s">
        <v>51</v>
      </c>
      <c r="Z2031">
        <v>1662</v>
      </c>
      <c r="AH2031">
        <v>0</v>
      </c>
      <c r="AI2031">
        <v>202505</v>
      </c>
      <c r="AJ2031" t="s">
        <v>52</v>
      </c>
      <c r="AK2031">
        <v>0</v>
      </c>
      <c r="AL2031">
        <v>1</v>
      </c>
      <c r="AO2031">
        <v>1</v>
      </c>
      <c r="AP2031" t="s">
        <v>3015</v>
      </c>
      <c r="AQ2031" t="s">
        <v>3044</v>
      </c>
      <c r="AR2031" t="s">
        <v>3045</v>
      </c>
      <c r="AS2031" t="s">
        <v>3046</v>
      </c>
      <c r="AU2031" t="s">
        <v>3046</v>
      </c>
    </row>
    <row r="2032" spans="1:47" x14ac:dyDescent="0.35">
      <c r="A2032">
        <v>337808</v>
      </c>
      <c r="B2032" t="s">
        <v>164</v>
      </c>
      <c r="C2032" t="s">
        <v>165</v>
      </c>
      <c r="D2032" s="2">
        <v>45783</v>
      </c>
      <c r="E2032">
        <v>53850</v>
      </c>
      <c r="F2032">
        <v>170</v>
      </c>
      <c r="G2032" t="s">
        <v>211</v>
      </c>
      <c r="H2032" t="s">
        <v>167</v>
      </c>
      <c r="I2032" t="s">
        <v>45</v>
      </c>
      <c r="K2032" t="s">
        <v>2169</v>
      </c>
      <c r="L2032">
        <v>1703306287258</v>
      </c>
      <c r="M2032">
        <v>20250505</v>
      </c>
      <c r="N2032" t="s">
        <v>168</v>
      </c>
      <c r="P2032" t="s">
        <v>2170</v>
      </c>
      <c r="Q2032" t="s">
        <v>170</v>
      </c>
      <c r="R2032">
        <v>4193.34</v>
      </c>
      <c r="S2032">
        <v>0</v>
      </c>
      <c r="T2032">
        <v>4209961</v>
      </c>
      <c r="U2032" t="s">
        <v>2171</v>
      </c>
      <c r="V2032" t="s">
        <v>2172</v>
      </c>
      <c r="W2032" t="s">
        <v>187</v>
      </c>
      <c r="Y2032" t="s">
        <v>51</v>
      </c>
      <c r="Z2032">
        <v>1954</v>
      </c>
      <c r="AH2032">
        <v>0</v>
      </c>
      <c r="AI2032">
        <v>202505</v>
      </c>
      <c r="AJ2032" t="s">
        <v>86</v>
      </c>
      <c r="AK2032">
        <v>1</v>
      </c>
      <c r="AL2032">
        <v>1</v>
      </c>
      <c r="AO2032">
        <v>0</v>
      </c>
      <c r="AP2032" t="s">
        <v>3015</v>
      </c>
      <c r="AQ2032" t="s">
        <v>3044</v>
      </c>
      <c r="AR2032" t="s">
        <v>3045</v>
      </c>
      <c r="AS2032" t="s">
        <v>3046</v>
      </c>
      <c r="AU2032" t="s">
        <v>3046</v>
      </c>
    </row>
    <row r="2033" spans="1:47" x14ac:dyDescent="0.35">
      <c r="A2033">
        <v>337807</v>
      </c>
      <c r="B2033" t="s">
        <v>178</v>
      </c>
      <c r="C2033" t="s">
        <v>179</v>
      </c>
      <c r="D2033" s="2">
        <v>45783</v>
      </c>
      <c r="E2033">
        <v>53850</v>
      </c>
      <c r="F2033">
        <v>114</v>
      </c>
      <c r="G2033" t="s">
        <v>188</v>
      </c>
      <c r="H2033" t="s">
        <v>167</v>
      </c>
      <c r="I2033" t="s">
        <v>45</v>
      </c>
      <c r="K2033">
        <v>202505057951074</v>
      </c>
      <c r="L2033">
        <v>1143306280636</v>
      </c>
      <c r="M2033">
        <v>20250505</v>
      </c>
      <c r="N2033" t="s">
        <v>220</v>
      </c>
      <c r="Q2033" t="s">
        <v>170</v>
      </c>
      <c r="R2033">
        <v>168826.42</v>
      </c>
      <c r="S2033">
        <v>0</v>
      </c>
      <c r="T2033">
        <v>4658875</v>
      </c>
      <c r="U2033">
        <v>3230890711</v>
      </c>
      <c r="V2033" t="s">
        <v>189</v>
      </c>
      <c r="W2033" t="s">
        <v>190</v>
      </c>
      <c r="X2033" t="s">
        <v>131</v>
      </c>
      <c r="Y2033" t="s">
        <v>51</v>
      </c>
      <c r="Z2033">
        <v>870</v>
      </c>
      <c r="AH2033">
        <v>0</v>
      </c>
      <c r="AI2033">
        <v>202505</v>
      </c>
      <c r="AJ2033" t="s">
        <v>56</v>
      </c>
      <c r="AK2033">
        <v>0</v>
      </c>
      <c r="AL2033">
        <v>1</v>
      </c>
      <c r="AM2033">
        <v>4658875</v>
      </c>
      <c r="AN2033">
        <v>1</v>
      </c>
      <c r="AO2033">
        <v>0</v>
      </c>
      <c r="AP2033" t="s">
        <v>3033</v>
      </c>
      <c r="AQ2033" t="s">
        <v>3047</v>
      </c>
      <c r="AR2033" t="s">
        <v>3048</v>
      </c>
      <c r="AS2033" t="s">
        <v>3049</v>
      </c>
      <c r="AU2033" t="s">
        <v>3049</v>
      </c>
    </row>
    <row r="2034" spans="1:47" x14ac:dyDescent="0.35">
      <c r="A2034">
        <v>337806</v>
      </c>
      <c r="B2034" t="s">
        <v>193</v>
      </c>
      <c r="C2034" t="s">
        <v>194</v>
      </c>
      <c r="D2034" s="2">
        <v>45783</v>
      </c>
      <c r="E2034">
        <v>53850</v>
      </c>
      <c r="F2034">
        <v>196</v>
      </c>
      <c r="G2034" t="s">
        <v>567</v>
      </c>
      <c r="H2034" t="s">
        <v>167</v>
      </c>
      <c r="I2034" t="s">
        <v>45</v>
      </c>
      <c r="K2034">
        <v>202505057951610</v>
      </c>
      <c r="L2034">
        <v>1963302353452</v>
      </c>
      <c r="M2034">
        <v>20250505</v>
      </c>
      <c r="N2034" t="s">
        <v>195</v>
      </c>
      <c r="Q2034" t="s">
        <v>47</v>
      </c>
      <c r="R2034">
        <v>32000</v>
      </c>
      <c r="S2034">
        <v>32000</v>
      </c>
      <c r="T2034">
        <v>4084962</v>
      </c>
      <c r="U2034" t="s">
        <v>1512</v>
      </c>
      <c r="V2034" t="s">
        <v>1513</v>
      </c>
      <c r="W2034" t="s">
        <v>342</v>
      </c>
      <c r="X2034" t="s">
        <v>590</v>
      </c>
      <c r="Y2034" t="s">
        <v>51</v>
      </c>
      <c r="Z2034">
        <v>1945</v>
      </c>
      <c r="AH2034">
        <v>0</v>
      </c>
      <c r="AI2034">
        <v>202505</v>
      </c>
      <c r="AJ2034" t="s">
        <v>56</v>
      </c>
      <c r="AK2034">
        <v>0</v>
      </c>
      <c r="AL2034">
        <v>1</v>
      </c>
      <c r="AM2034">
        <v>4084962</v>
      </c>
      <c r="AN2034">
        <v>1</v>
      </c>
      <c r="AO2034">
        <v>0</v>
      </c>
      <c r="AP2034" t="s">
        <v>3015</v>
      </c>
      <c r="AQ2034" t="s">
        <v>3060</v>
      </c>
      <c r="AR2034" t="s">
        <v>3061</v>
      </c>
      <c r="AT2034" t="s">
        <v>3017</v>
      </c>
      <c r="AU2034" t="s">
        <v>3014</v>
      </c>
    </row>
    <row r="2035" spans="1:47" x14ac:dyDescent="0.35">
      <c r="A2035">
        <v>337805</v>
      </c>
      <c r="B2035" t="s">
        <v>193</v>
      </c>
      <c r="C2035" t="s">
        <v>194</v>
      </c>
      <c r="D2035" s="2">
        <v>45783</v>
      </c>
      <c r="E2035">
        <v>53850</v>
      </c>
      <c r="F2035">
        <v>199</v>
      </c>
      <c r="G2035" t="s">
        <v>473</v>
      </c>
      <c r="H2035" t="s">
        <v>167</v>
      </c>
      <c r="I2035" t="s">
        <v>45</v>
      </c>
      <c r="K2035">
        <v>202505057952298</v>
      </c>
      <c r="L2035">
        <v>1993300002890</v>
      </c>
      <c r="M2035">
        <v>20250505</v>
      </c>
      <c r="N2035" t="s">
        <v>266</v>
      </c>
      <c r="Q2035" t="s">
        <v>47</v>
      </c>
      <c r="R2035">
        <v>38155</v>
      </c>
      <c r="S2035">
        <v>38155</v>
      </c>
      <c r="T2035">
        <v>4917498</v>
      </c>
      <c r="U2035">
        <v>2566490740</v>
      </c>
      <c r="V2035" t="s">
        <v>1619</v>
      </c>
      <c r="W2035" t="s">
        <v>49</v>
      </c>
      <c r="X2035" t="s">
        <v>131</v>
      </c>
      <c r="Y2035" t="s">
        <v>51</v>
      </c>
      <c r="Z2035">
        <v>881</v>
      </c>
      <c r="AH2035">
        <v>0</v>
      </c>
      <c r="AI2035">
        <v>202505</v>
      </c>
      <c r="AJ2035" t="s">
        <v>86</v>
      </c>
      <c r="AK2035">
        <v>1</v>
      </c>
      <c r="AL2035">
        <v>1</v>
      </c>
      <c r="AO2035">
        <v>0</v>
      </c>
      <c r="AP2035" t="s">
        <v>3033</v>
      </c>
      <c r="AQ2035" t="s">
        <v>3012</v>
      </c>
      <c r="AR2035" t="s">
        <v>3034</v>
      </c>
      <c r="AS2035" t="s">
        <v>3014</v>
      </c>
      <c r="AU2035" t="s">
        <v>3014</v>
      </c>
    </row>
    <row r="2036" spans="1:47" x14ac:dyDescent="0.35">
      <c r="A2036">
        <v>337804</v>
      </c>
      <c r="B2036" t="s">
        <v>172</v>
      </c>
      <c r="C2036" t="s">
        <v>173</v>
      </c>
      <c r="D2036" s="2">
        <v>45783</v>
      </c>
      <c r="E2036">
        <v>53850</v>
      </c>
      <c r="F2036">
        <v>182</v>
      </c>
      <c r="G2036" t="s">
        <v>318</v>
      </c>
      <c r="H2036" t="s">
        <v>167</v>
      </c>
      <c r="I2036" t="s">
        <v>45</v>
      </c>
      <c r="K2036" t="s">
        <v>2165</v>
      </c>
      <c r="L2036">
        <v>1823300169301</v>
      </c>
      <c r="M2036">
        <v>20250505</v>
      </c>
      <c r="N2036" t="s">
        <v>195</v>
      </c>
      <c r="Q2036" t="s">
        <v>47</v>
      </c>
      <c r="R2036">
        <v>54345</v>
      </c>
      <c r="S2036">
        <v>54345</v>
      </c>
      <c r="T2036">
        <v>4284957</v>
      </c>
      <c r="U2036" t="s">
        <v>455</v>
      </c>
      <c r="V2036" t="s">
        <v>456</v>
      </c>
      <c r="W2036" t="s">
        <v>69</v>
      </c>
      <c r="X2036" t="s">
        <v>197</v>
      </c>
      <c r="Y2036" t="s">
        <v>51</v>
      </c>
      <c r="Z2036">
        <v>1656</v>
      </c>
      <c r="AH2036">
        <v>0</v>
      </c>
      <c r="AI2036">
        <v>202505</v>
      </c>
      <c r="AJ2036" t="s">
        <v>56</v>
      </c>
      <c r="AK2036">
        <v>0</v>
      </c>
      <c r="AL2036">
        <v>1</v>
      </c>
      <c r="AM2036">
        <v>4284957</v>
      </c>
      <c r="AN2036">
        <v>1</v>
      </c>
      <c r="AO2036">
        <v>0</v>
      </c>
      <c r="AP2036" t="s">
        <v>3050</v>
      </c>
      <c r="AQ2036" t="s">
        <v>3021</v>
      </c>
      <c r="AR2036" t="s">
        <v>3070</v>
      </c>
      <c r="AS2036" t="s">
        <v>3055</v>
      </c>
      <c r="AU2036" t="s">
        <v>3055</v>
      </c>
    </row>
    <row r="2037" spans="1:47" x14ac:dyDescent="0.35">
      <c r="A2037">
        <v>337803</v>
      </c>
      <c r="B2037" t="s">
        <v>178</v>
      </c>
      <c r="C2037" t="s">
        <v>179</v>
      </c>
      <c r="D2037" s="2">
        <v>45783</v>
      </c>
      <c r="E2037">
        <v>53850</v>
      </c>
      <c r="F2037">
        <v>109</v>
      </c>
      <c r="G2037" t="s">
        <v>89</v>
      </c>
      <c r="H2037" t="s">
        <v>167</v>
      </c>
      <c r="I2037" t="s">
        <v>45</v>
      </c>
      <c r="K2037">
        <v>202505057950486</v>
      </c>
      <c r="L2037">
        <v>1093306673999</v>
      </c>
      <c r="M2037">
        <v>20250505</v>
      </c>
      <c r="N2037" t="s">
        <v>46</v>
      </c>
      <c r="P2037" t="s">
        <v>51</v>
      </c>
      <c r="Q2037" t="s">
        <v>47</v>
      </c>
      <c r="R2037">
        <v>1182772.92</v>
      </c>
      <c r="S2037">
        <v>0</v>
      </c>
      <c r="T2037">
        <v>4843798</v>
      </c>
      <c r="U2037">
        <v>267480721</v>
      </c>
      <c r="V2037" t="s">
        <v>1712</v>
      </c>
      <c r="W2037" t="s">
        <v>49</v>
      </c>
      <c r="X2037" t="s">
        <v>213</v>
      </c>
      <c r="Y2037" t="s">
        <v>51</v>
      </c>
      <c r="Z2037">
        <v>1903</v>
      </c>
      <c r="AH2037">
        <v>0</v>
      </c>
      <c r="AI2037">
        <v>202505</v>
      </c>
      <c r="AJ2037" t="s">
        <v>86</v>
      </c>
      <c r="AK2037">
        <v>1</v>
      </c>
      <c r="AL2037">
        <v>1</v>
      </c>
      <c r="AO2037">
        <v>0</v>
      </c>
      <c r="AP2037" t="s">
        <v>3015</v>
      </c>
      <c r="AQ2037" t="s">
        <v>3012</v>
      </c>
      <c r="AR2037" t="s">
        <v>3016</v>
      </c>
      <c r="AT2037" t="s">
        <v>3017</v>
      </c>
      <c r="AU2037" t="s">
        <v>3018</v>
      </c>
    </row>
    <row r="2038" spans="1:47" x14ac:dyDescent="0.35">
      <c r="A2038">
        <v>337802</v>
      </c>
      <c r="B2038" t="s">
        <v>193</v>
      </c>
      <c r="C2038" t="s">
        <v>194</v>
      </c>
      <c r="D2038" s="2">
        <v>45783</v>
      </c>
      <c r="E2038">
        <v>53850</v>
      </c>
      <c r="F2038">
        <v>171</v>
      </c>
      <c r="G2038" t="s">
        <v>198</v>
      </c>
      <c r="H2038" t="s">
        <v>167</v>
      </c>
      <c r="I2038" t="s">
        <v>45</v>
      </c>
      <c r="K2038" t="s">
        <v>2165</v>
      </c>
      <c r="L2038">
        <v>1713302214147</v>
      </c>
      <c r="M2038">
        <v>20250505</v>
      </c>
      <c r="N2038" t="s">
        <v>195</v>
      </c>
      <c r="Q2038" t="s">
        <v>47</v>
      </c>
      <c r="R2038">
        <v>141511.4</v>
      </c>
      <c r="S2038">
        <v>141511.4</v>
      </c>
      <c r="T2038">
        <v>4199319</v>
      </c>
      <c r="U2038">
        <v>6037810725</v>
      </c>
      <c r="V2038" t="s">
        <v>285</v>
      </c>
      <c r="W2038" t="s">
        <v>49</v>
      </c>
      <c r="X2038" t="s">
        <v>200</v>
      </c>
      <c r="Y2038" t="s">
        <v>51</v>
      </c>
      <c r="Z2038">
        <v>1903</v>
      </c>
      <c r="AH2038">
        <v>0</v>
      </c>
      <c r="AI2038">
        <v>202505</v>
      </c>
      <c r="AJ2038" t="s">
        <v>86</v>
      </c>
      <c r="AK2038">
        <v>1</v>
      </c>
      <c r="AL2038">
        <v>1</v>
      </c>
      <c r="AM2038">
        <v>4199319</v>
      </c>
      <c r="AN2038">
        <v>1</v>
      </c>
      <c r="AO2038">
        <v>0</v>
      </c>
      <c r="AP2038" t="s">
        <v>3015</v>
      </c>
      <c r="AQ2038" t="s">
        <v>3012</v>
      </c>
      <c r="AR2038" t="s">
        <v>3016</v>
      </c>
      <c r="AT2038" t="s">
        <v>3017</v>
      </c>
      <c r="AU2038" t="s">
        <v>3018</v>
      </c>
    </row>
    <row r="2039" spans="1:47" x14ac:dyDescent="0.35">
      <c r="A2039">
        <v>337801</v>
      </c>
      <c r="B2039" t="s">
        <v>178</v>
      </c>
      <c r="C2039" t="s">
        <v>179</v>
      </c>
      <c r="D2039" s="2">
        <v>45783</v>
      </c>
      <c r="E2039">
        <v>53850</v>
      </c>
      <c r="F2039">
        <v>110</v>
      </c>
      <c r="G2039" t="s">
        <v>230</v>
      </c>
      <c r="H2039" t="s">
        <v>167</v>
      </c>
      <c r="I2039" t="s">
        <v>45</v>
      </c>
      <c r="K2039">
        <v>202505057951941</v>
      </c>
      <c r="L2039">
        <v>1103304311370</v>
      </c>
      <c r="M2039">
        <v>20250505</v>
      </c>
      <c r="N2039" t="s">
        <v>1002</v>
      </c>
      <c r="Q2039" t="s">
        <v>47</v>
      </c>
      <c r="R2039">
        <v>168000</v>
      </c>
      <c r="S2039">
        <v>0</v>
      </c>
      <c r="T2039">
        <v>431136</v>
      </c>
      <c r="U2039" t="s">
        <v>2173</v>
      </c>
      <c r="V2039" t="s">
        <v>2174</v>
      </c>
      <c r="W2039" t="s">
        <v>187</v>
      </c>
      <c r="Y2039" t="s">
        <v>51</v>
      </c>
      <c r="Z2039">
        <v>458</v>
      </c>
      <c r="AH2039">
        <v>0</v>
      </c>
      <c r="AI2039">
        <v>202505</v>
      </c>
      <c r="AJ2039" t="s">
        <v>86</v>
      </c>
      <c r="AK2039">
        <v>1</v>
      </c>
      <c r="AL2039">
        <v>1</v>
      </c>
      <c r="AO2039">
        <v>0</v>
      </c>
      <c r="AP2039" t="s">
        <v>3015</v>
      </c>
      <c r="AQ2039" t="s">
        <v>3044</v>
      </c>
      <c r="AR2039" t="s">
        <v>3045</v>
      </c>
      <c r="AS2039" t="s">
        <v>3046</v>
      </c>
      <c r="AU2039" t="s">
        <v>3046</v>
      </c>
    </row>
    <row r="2040" spans="1:47" x14ac:dyDescent="0.35">
      <c r="A2040">
        <v>337800</v>
      </c>
      <c r="B2040" t="s">
        <v>193</v>
      </c>
      <c r="C2040" t="s">
        <v>194</v>
      </c>
      <c r="D2040" s="2">
        <v>45783</v>
      </c>
      <c r="E2040">
        <v>53850</v>
      </c>
      <c r="F2040">
        <v>120</v>
      </c>
      <c r="G2040" t="s">
        <v>411</v>
      </c>
      <c r="H2040" t="s">
        <v>167</v>
      </c>
      <c r="I2040" t="s">
        <v>45</v>
      </c>
      <c r="K2040">
        <v>202505057951152</v>
      </c>
      <c r="L2040">
        <v>1203300002401</v>
      </c>
      <c r="M2040">
        <v>20250505</v>
      </c>
      <c r="N2040" t="s">
        <v>195</v>
      </c>
      <c r="Q2040" t="s">
        <v>47</v>
      </c>
      <c r="R2040">
        <v>34610</v>
      </c>
      <c r="S2040">
        <v>34610</v>
      </c>
      <c r="T2040">
        <v>613876</v>
      </c>
      <c r="U2040">
        <v>574290722</v>
      </c>
      <c r="V2040" t="s">
        <v>545</v>
      </c>
      <c r="W2040" t="s">
        <v>546</v>
      </c>
      <c r="X2040" t="s">
        <v>421</v>
      </c>
      <c r="Y2040" t="s">
        <v>51</v>
      </c>
      <c r="Z2040">
        <v>1058</v>
      </c>
      <c r="AH2040">
        <v>0</v>
      </c>
      <c r="AI2040">
        <v>202505</v>
      </c>
      <c r="AJ2040" t="s">
        <v>56</v>
      </c>
      <c r="AK2040">
        <v>0</v>
      </c>
      <c r="AL2040">
        <v>1</v>
      </c>
      <c r="AM2040">
        <v>613876</v>
      </c>
      <c r="AN2040">
        <v>1</v>
      </c>
      <c r="AO2040">
        <v>0</v>
      </c>
      <c r="AP2040" t="s">
        <v>3015</v>
      </c>
      <c r="AQ2040" t="s">
        <v>3076</v>
      </c>
      <c r="AR2040" t="s">
        <v>3077</v>
      </c>
      <c r="AT2040" t="s">
        <v>3017</v>
      </c>
      <c r="AU2040" t="s">
        <v>3014</v>
      </c>
    </row>
    <row r="2041" spans="1:47" x14ac:dyDescent="0.35">
      <c r="A2041">
        <v>337799</v>
      </c>
      <c r="B2041" t="s">
        <v>193</v>
      </c>
      <c r="C2041" t="s">
        <v>194</v>
      </c>
      <c r="D2041" s="2">
        <v>45783</v>
      </c>
      <c r="E2041">
        <v>53850</v>
      </c>
      <c r="F2041">
        <v>108</v>
      </c>
      <c r="G2041" t="s">
        <v>124</v>
      </c>
      <c r="H2041" t="s">
        <v>167</v>
      </c>
      <c r="I2041" t="s">
        <v>45</v>
      </c>
      <c r="K2041" t="s">
        <v>2165</v>
      </c>
      <c r="L2041">
        <v>1083306291105</v>
      </c>
      <c r="M2041">
        <v>20250505</v>
      </c>
      <c r="N2041" t="s">
        <v>175</v>
      </c>
      <c r="Q2041" t="s">
        <v>47</v>
      </c>
      <c r="R2041">
        <v>186459.07</v>
      </c>
      <c r="S2041">
        <v>171340</v>
      </c>
      <c r="T2041">
        <v>4227057</v>
      </c>
      <c r="U2041">
        <v>4874620729</v>
      </c>
      <c r="V2041" t="s">
        <v>250</v>
      </c>
      <c r="W2041" t="s">
        <v>49</v>
      </c>
      <c r="X2041" t="s">
        <v>62</v>
      </c>
      <c r="Y2041" t="s">
        <v>51</v>
      </c>
      <c r="Z2041">
        <v>1058</v>
      </c>
      <c r="AH2041">
        <v>0</v>
      </c>
      <c r="AI2041">
        <v>202505</v>
      </c>
      <c r="AJ2041" t="s">
        <v>56</v>
      </c>
      <c r="AK2041">
        <v>0</v>
      </c>
      <c r="AL2041">
        <v>1</v>
      </c>
      <c r="AM2041">
        <v>4227057</v>
      </c>
      <c r="AN2041">
        <v>1</v>
      </c>
      <c r="AO2041">
        <v>1</v>
      </c>
      <c r="AP2041" t="s">
        <v>3015</v>
      </c>
      <c r="AQ2041" t="s">
        <v>3012</v>
      </c>
      <c r="AR2041" t="s">
        <v>3016</v>
      </c>
      <c r="AT2041" t="s">
        <v>3017</v>
      </c>
      <c r="AU2041" t="s">
        <v>3018</v>
      </c>
    </row>
    <row r="2042" spans="1:47" x14ac:dyDescent="0.35">
      <c r="A2042">
        <v>337798</v>
      </c>
      <c r="B2042" t="s">
        <v>172</v>
      </c>
      <c r="C2042" t="s">
        <v>173</v>
      </c>
      <c r="D2042" s="2">
        <v>45783</v>
      </c>
      <c r="E2042">
        <v>53850</v>
      </c>
      <c r="F2042">
        <v>121</v>
      </c>
      <c r="G2042" t="s">
        <v>140</v>
      </c>
      <c r="H2042" t="s">
        <v>167</v>
      </c>
      <c r="I2042" t="s">
        <v>45</v>
      </c>
      <c r="K2042" t="s">
        <v>2165</v>
      </c>
      <c r="L2042">
        <v>1213300002600</v>
      </c>
      <c r="M2042">
        <v>20250505</v>
      </c>
      <c r="N2042" t="s">
        <v>175</v>
      </c>
      <c r="Q2042" t="s">
        <v>47</v>
      </c>
      <c r="R2042">
        <v>999774.94</v>
      </c>
      <c r="S2042">
        <v>0</v>
      </c>
      <c r="T2042">
        <v>4939345</v>
      </c>
      <c r="U2042">
        <v>5754810728</v>
      </c>
      <c r="V2042" t="s">
        <v>570</v>
      </c>
      <c r="W2042" t="s">
        <v>49</v>
      </c>
      <c r="X2042" t="s">
        <v>117</v>
      </c>
      <c r="Y2042" t="s">
        <v>51</v>
      </c>
      <c r="Z2042">
        <v>1058</v>
      </c>
      <c r="AH2042">
        <v>0</v>
      </c>
      <c r="AI2042">
        <v>202505</v>
      </c>
      <c r="AJ2042" t="s">
        <v>114</v>
      </c>
      <c r="AK2042">
        <v>1</v>
      </c>
      <c r="AL2042">
        <v>1</v>
      </c>
      <c r="AO2042">
        <v>1</v>
      </c>
      <c r="AP2042" t="s">
        <v>3029</v>
      </c>
      <c r="AQ2042" t="s">
        <v>3012</v>
      </c>
      <c r="AR2042" t="s">
        <v>3030</v>
      </c>
      <c r="AS2042" t="s">
        <v>3014</v>
      </c>
      <c r="AU2042" t="s">
        <v>3014</v>
      </c>
    </row>
    <row r="2043" spans="1:47" x14ac:dyDescent="0.35">
      <c r="A2043">
        <v>337797</v>
      </c>
      <c r="B2043" t="s">
        <v>172</v>
      </c>
      <c r="C2043" t="s">
        <v>173</v>
      </c>
      <c r="D2043" s="2">
        <v>45783</v>
      </c>
      <c r="E2043">
        <v>53850</v>
      </c>
      <c r="F2043">
        <v>114</v>
      </c>
      <c r="G2043" t="s">
        <v>188</v>
      </c>
      <c r="H2043" t="s">
        <v>167</v>
      </c>
      <c r="I2043" t="s">
        <v>45</v>
      </c>
      <c r="K2043" t="s">
        <v>2165</v>
      </c>
      <c r="L2043">
        <v>1143306280621</v>
      </c>
      <c r="M2043">
        <v>20250505</v>
      </c>
      <c r="N2043" t="s">
        <v>266</v>
      </c>
      <c r="Q2043" t="s">
        <v>47</v>
      </c>
      <c r="R2043">
        <v>70460</v>
      </c>
      <c r="S2043">
        <v>70460</v>
      </c>
      <c r="T2043">
        <v>4658875</v>
      </c>
      <c r="U2043">
        <v>3230890711</v>
      </c>
      <c r="V2043" t="s">
        <v>189</v>
      </c>
      <c r="W2043" t="s">
        <v>190</v>
      </c>
      <c r="X2043" t="s">
        <v>131</v>
      </c>
      <c r="Y2043" t="s">
        <v>51</v>
      </c>
      <c r="Z2043">
        <v>870</v>
      </c>
      <c r="AH2043">
        <v>0</v>
      </c>
      <c r="AI2043">
        <v>202505</v>
      </c>
      <c r="AJ2043" t="s">
        <v>56</v>
      </c>
      <c r="AK2043">
        <v>0</v>
      </c>
      <c r="AL2043">
        <v>1</v>
      </c>
      <c r="AM2043">
        <v>4658875</v>
      </c>
      <c r="AN2043">
        <v>1</v>
      </c>
      <c r="AO2043">
        <v>0</v>
      </c>
      <c r="AP2043" t="s">
        <v>3033</v>
      </c>
      <c r="AQ2043" t="s">
        <v>3047</v>
      </c>
      <c r="AR2043" t="s">
        <v>3048</v>
      </c>
      <c r="AS2043" t="s">
        <v>3049</v>
      </c>
      <c r="AU2043" t="s">
        <v>3049</v>
      </c>
    </row>
    <row r="2044" spans="1:47" x14ac:dyDescent="0.35">
      <c r="A2044">
        <v>337796</v>
      </c>
      <c r="B2044" t="s">
        <v>178</v>
      </c>
      <c r="C2044" t="s">
        <v>179</v>
      </c>
      <c r="D2044" s="2">
        <v>45783</v>
      </c>
      <c r="E2044">
        <v>53850</v>
      </c>
      <c r="F2044">
        <v>136</v>
      </c>
      <c r="G2044" t="s">
        <v>551</v>
      </c>
      <c r="H2044" t="s">
        <v>167</v>
      </c>
      <c r="I2044" t="s">
        <v>45</v>
      </c>
      <c r="K2044">
        <v>202505057950628</v>
      </c>
      <c r="L2044">
        <v>1363300003325</v>
      </c>
      <c r="M2044">
        <v>20250505</v>
      </c>
      <c r="N2044" t="s">
        <v>699</v>
      </c>
      <c r="Q2044" t="s">
        <v>170</v>
      </c>
      <c r="R2044">
        <v>715933.74</v>
      </c>
      <c r="S2044">
        <v>0</v>
      </c>
      <c r="T2044">
        <v>4395683</v>
      </c>
      <c r="U2044">
        <v>2036760037</v>
      </c>
      <c r="V2044" t="s">
        <v>553</v>
      </c>
      <c r="W2044" t="s">
        <v>49</v>
      </c>
      <c r="X2044" t="s">
        <v>554</v>
      </c>
      <c r="Y2044" t="s">
        <v>51</v>
      </c>
      <c r="Z2044">
        <v>1627</v>
      </c>
      <c r="AH2044">
        <v>0</v>
      </c>
      <c r="AI2044">
        <v>202505</v>
      </c>
      <c r="AJ2044" t="s">
        <v>56</v>
      </c>
      <c r="AK2044">
        <v>0</v>
      </c>
      <c r="AL2044">
        <v>1</v>
      </c>
      <c r="AO2044">
        <v>0</v>
      </c>
      <c r="AP2044" t="s">
        <v>3015</v>
      </c>
      <c r="AQ2044" t="s">
        <v>3012</v>
      </c>
      <c r="AR2044" t="s">
        <v>3016</v>
      </c>
      <c r="AT2044" t="s">
        <v>3017</v>
      </c>
      <c r="AU2044" t="s">
        <v>3018</v>
      </c>
    </row>
    <row r="2045" spans="1:47" x14ac:dyDescent="0.35">
      <c r="A2045">
        <v>337795</v>
      </c>
      <c r="B2045" t="s">
        <v>193</v>
      </c>
      <c r="C2045" t="s">
        <v>194</v>
      </c>
      <c r="D2045" s="2">
        <v>45783</v>
      </c>
      <c r="E2045">
        <v>53850</v>
      </c>
      <c r="F2045">
        <v>268</v>
      </c>
      <c r="G2045" t="s">
        <v>83</v>
      </c>
      <c r="H2045" t="s">
        <v>167</v>
      </c>
      <c r="I2045" t="s">
        <v>45</v>
      </c>
      <c r="K2045" t="s">
        <v>2165</v>
      </c>
      <c r="L2045">
        <v>2683300010030</v>
      </c>
      <c r="M2045">
        <v>20250505</v>
      </c>
      <c r="N2045" t="s">
        <v>195</v>
      </c>
      <c r="Q2045" t="s">
        <v>47</v>
      </c>
      <c r="R2045">
        <v>48965</v>
      </c>
      <c r="S2045">
        <v>48965</v>
      </c>
      <c r="T2045">
        <v>4966939</v>
      </c>
      <c r="U2045" t="s">
        <v>221</v>
      </c>
      <c r="V2045" t="s">
        <v>222</v>
      </c>
      <c r="W2045" t="s">
        <v>69</v>
      </c>
      <c r="X2045" t="s">
        <v>55</v>
      </c>
      <c r="Y2045" t="s">
        <v>51</v>
      </c>
      <c r="Z2045">
        <v>1870</v>
      </c>
      <c r="AH2045">
        <v>0</v>
      </c>
      <c r="AI2045">
        <v>202505</v>
      </c>
      <c r="AJ2045" t="s">
        <v>56</v>
      </c>
      <c r="AK2045">
        <v>0</v>
      </c>
      <c r="AL2045">
        <v>1</v>
      </c>
      <c r="AM2045">
        <v>4966939</v>
      </c>
      <c r="AN2045">
        <v>1</v>
      </c>
      <c r="AO2045">
        <v>0</v>
      </c>
      <c r="AP2045" t="s">
        <v>3015</v>
      </c>
      <c r="AQ2045" t="s">
        <v>3021</v>
      </c>
      <c r="AR2045" t="s">
        <v>3022</v>
      </c>
      <c r="AT2045" t="s">
        <v>3017</v>
      </c>
      <c r="AU2045" t="s">
        <v>3014</v>
      </c>
    </row>
    <row r="2046" spans="1:47" x14ac:dyDescent="0.35">
      <c r="A2046">
        <v>337794</v>
      </c>
      <c r="B2046" t="s">
        <v>178</v>
      </c>
      <c r="C2046" t="s">
        <v>179</v>
      </c>
      <c r="D2046" s="2">
        <v>45783</v>
      </c>
      <c r="E2046">
        <v>53850</v>
      </c>
      <c r="F2046">
        <v>136</v>
      </c>
      <c r="G2046" t="s">
        <v>551</v>
      </c>
      <c r="H2046" t="s">
        <v>167</v>
      </c>
      <c r="I2046" t="s">
        <v>45</v>
      </c>
      <c r="K2046">
        <v>202505057950627</v>
      </c>
      <c r="L2046">
        <v>1361147800126</v>
      </c>
      <c r="M2046">
        <v>20250505</v>
      </c>
      <c r="N2046" t="s">
        <v>731</v>
      </c>
      <c r="Q2046" t="s">
        <v>47</v>
      </c>
      <c r="R2046">
        <v>715933.74</v>
      </c>
      <c r="S2046">
        <v>0</v>
      </c>
      <c r="T2046">
        <v>4395683</v>
      </c>
      <c r="U2046">
        <v>2036760037</v>
      </c>
      <c r="V2046" t="s">
        <v>553</v>
      </c>
      <c r="W2046" t="s">
        <v>49</v>
      </c>
      <c r="X2046" t="s">
        <v>554</v>
      </c>
      <c r="Y2046" t="s">
        <v>51</v>
      </c>
      <c r="Z2046">
        <v>1627</v>
      </c>
      <c r="AH2046">
        <v>0</v>
      </c>
      <c r="AI2046">
        <v>202505</v>
      </c>
      <c r="AJ2046" t="s">
        <v>56</v>
      </c>
      <c r="AK2046">
        <v>0</v>
      </c>
      <c r="AL2046">
        <v>1</v>
      </c>
      <c r="AO2046">
        <v>0</v>
      </c>
      <c r="AP2046" t="s">
        <v>3015</v>
      </c>
      <c r="AQ2046" t="s">
        <v>3012</v>
      </c>
      <c r="AR2046" t="s">
        <v>3016</v>
      </c>
      <c r="AT2046" t="s">
        <v>3017</v>
      </c>
      <c r="AU2046" t="s">
        <v>3018</v>
      </c>
    </row>
    <row r="2047" spans="1:47" x14ac:dyDescent="0.35">
      <c r="A2047">
        <v>337793</v>
      </c>
      <c r="B2047" t="s">
        <v>193</v>
      </c>
      <c r="C2047" t="s">
        <v>194</v>
      </c>
      <c r="D2047" s="2">
        <v>45783</v>
      </c>
      <c r="E2047">
        <v>53850</v>
      </c>
      <c r="F2047">
        <v>171</v>
      </c>
      <c r="G2047" t="s">
        <v>198</v>
      </c>
      <c r="H2047" t="s">
        <v>167</v>
      </c>
      <c r="I2047" t="s">
        <v>45</v>
      </c>
      <c r="K2047" t="s">
        <v>2165</v>
      </c>
      <c r="L2047">
        <v>1713305728950</v>
      </c>
      <c r="M2047">
        <v>20250505</v>
      </c>
      <c r="N2047" t="s">
        <v>195</v>
      </c>
      <c r="Q2047" t="s">
        <v>47</v>
      </c>
      <c r="R2047">
        <v>326087.23</v>
      </c>
      <c r="S2047">
        <v>326087.23</v>
      </c>
      <c r="T2047">
        <v>572895</v>
      </c>
      <c r="U2047">
        <v>4161600723</v>
      </c>
      <c r="V2047" t="s">
        <v>199</v>
      </c>
      <c r="W2047" t="s">
        <v>49</v>
      </c>
      <c r="X2047" t="s">
        <v>200</v>
      </c>
      <c r="Y2047" t="s">
        <v>51</v>
      </c>
      <c r="Z2047">
        <v>1903</v>
      </c>
      <c r="AH2047">
        <v>0</v>
      </c>
      <c r="AI2047">
        <v>202505</v>
      </c>
      <c r="AJ2047" t="s">
        <v>86</v>
      </c>
      <c r="AK2047">
        <v>1</v>
      </c>
      <c r="AL2047">
        <v>1</v>
      </c>
      <c r="AM2047">
        <v>572895</v>
      </c>
      <c r="AN2047">
        <v>1</v>
      </c>
      <c r="AO2047">
        <v>0</v>
      </c>
      <c r="AP2047" t="s">
        <v>3015</v>
      </c>
      <c r="AQ2047" t="s">
        <v>3012</v>
      </c>
      <c r="AR2047" t="s">
        <v>3016</v>
      </c>
      <c r="AT2047" t="s">
        <v>3017</v>
      </c>
      <c r="AU2047" t="s">
        <v>3018</v>
      </c>
    </row>
    <row r="2048" spans="1:47" x14ac:dyDescent="0.35">
      <c r="A2048">
        <v>337792</v>
      </c>
      <c r="B2048" t="s">
        <v>193</v>
      </c>
      <c r="C2048" t="s">
        <v>194</v>
      </c>
      <c r="D2048" s="2">
        <v>45783</v>
      </c>
      <c r="E2048">
        <v>53850</v>
      </c>
      <c r="F2048">
        <v>181</v>
      </c>
      <c r="G2048" t="s">
        <v>180</v>
      </c>
      <c r="H2048" t="s">
        <v>167</v>
      </c>
      <c r="I2048" t="s">
        <v>45</v>
      </c>
      <c r="K2048">
        <v>202505057952240</v>
      </c>
      <c r="L2048">
        <v>1813301029924</v>
      </c>
      <c r="M2048">
        <v>20250505</v>
      </c>
      <c r="N2048" t="s">
        <v>266</v>
      </c>
      <c r="Q2048" t="s">
        <v>47</v>
      </c>
      <c r="R2048">
        <v>30960</v>
      </c>
      <c r="S2048">
        <v>30960</v>
      </c>
      <c r="T2048">
        <v>4948468</v>
      </c>
      <c r="U2048" t="s">
        <v>422</v>
      </c>
      <c r="V2048" t="s">
        <v>423</v>
      </c>
      <c r="W2048" t="s">
        <v>69</v>
      </c>
      <c r="X2048" t="s">
        <v>55</v>
      </c>
      <c r="Y2048" t="s">
        <v>51</v>
      </c>
      <c r="Z2048">
        <v>1943</v>
      </c>
      <c r="AH2048">
        <v>0</v>
      </c>
      <c r="AI2048">
        <v>202505</v>
      </c>
      <c r="AJ2048" t="s">
        <v>119</v>
      </c>
      <c r="AK2048">
        <v>1</v>
      </c>
      <c r="AL2048">
        <v>1</v>
      </c>
      <c r="AM2048">
        <v>4948468</v>
      </c>
      <c r="AN2048">
        <v>1</v>
      </c>
      <c r="AO2048">
        <v>0</v>
      </c>
      <c r="AP2048" t="s">
        <v>3015</v>
      </c>
      <c r="AQ2048" t="s">
        <v>3021</v>
      </c>
      <c r="AR2048" t="s">
        <v>3022</v>
      </c>
      <c r="AT2048" t="s">
        <v>3017</v>
      </c>
      <c r="AU2048" t="s">
        <v>3014</v>
      </c>
    </row>
    <row r="2049" spans="1:47" x14ac:dyDescent="0.35">
      <c r="A2049">
        <v>337791</v>
      </c>
      <c r="B2049" t="s">
        <v>214</v>
      </c>
      <c r="C2049" t="s">
        <v>215</v>
      </c>
      <c r="D2049" s="2">
        <v>45783</v>
      </c>
      <c r="E2049">
        <v>53850</v>
      </c>
      <c r="F2049">
        <v>110</v>
      </c>
      <c r="G2049" t="s">
        <v>230</v>
      </c>
      <c r="H2049" t="s">
        <v>167</v>
      </c>
      <c r="I2049" t="s">
        <v>45</v>
      </c>
      <c r="K2049">
        <v>202505057950608</v>
      </c>
      <c r="L2049">
        <v>1103306288240</v>
      </c>
      <c r="M2049">
        <v>20250505</v>
      </c>
      <c r="N2049" t="s">
        <v>168</v>
      </c>
      <c r="P2049" t="s">
        <v>752</v>
      </c>
      <c r="Q2049" t="s">
        <v>47</v>
      </c>
      <c r="R2049">
        <v>62646.03</v>
      </c>
      <c r="S2049">
        <v>0</v>
      </c>
      <c r="T2049">
        <v>4960705</v>
      </c>
      <c r="U2049">
        <v>8520490726</v>
      </c>
      <c r="V2049" t="s">
        <v>753</v>
      </c>
      <c r="W2049" t="s">
        <v>49</v>
      </c>
      <c r="X2049" t="s">
        <v>110</v>
      </c>
      <c r="Y2049" t="s">
        <v>51</v>
      </c>
      <c r="Z2049">
        <v>1696</v>
      </c>
      <c r="AH2049">
        <v>0</v>
      </c>
      <c r="AI2049">
        <v>202505</v>
      </c>
      <c r="AJ2049" t="s">
        <v>52</v>
      </c>
      <c r="AK2049">
        <v>0</v>
      </c>
      <c r="AL2049">
        <v>1</v>
      </c>
      <c r="AO2049">
        <v>0</v>
      </c>
      <c r="AP2049" t="s">
        <v>3026</v>
      </c>
      <c r="AQ2049" t="s">
        <v>3012</v>
      </c>
      <c r="AR2049" t="s">
        <v>3027</v>
      </c>
      <c r="AS2049" t="s">
        <v>3028</v>
      </c>
      <c r="AU2049" t="s">
        <v>3028</v>
      </c>
    </row>
    <row r="2050" spans="1:47" x14ac:dyDescent="0.35">
      <c r="A2050">
        <v>337790</v>
      </c>
      <c r="B2050" t="s">
        <v>193</v>
      </c>
      <c r="C2050" t="s">
        <v>194</v>
      </c>
      <c r="D2050" s="2">
        <v>45783</v>
      </c>
      <c r="E2050">
        <v>53850</v>
      </c>
      <c r="F2050">
        <v>193</v>
      </c>
      <c r="G2050" t="s">
        <v>811</v>
      </c>
      <c r="H2050" t="s">
        <v>167</v>
      </c>
      <c r="I2050" t="s">
        <v>45</v>
      </c>
      <c r="K2050" t="s">
        <v>2165</v>
      </c>
      <c r="L2050">
        <v>1943300004921</v>
      </c>
      <c r="M2050">
        <v>20250505</v>
      </c>
      <c r="N2050" t="s">
        <v>266</v>
      </c>
      <c r="Q2050" t="s">
        <v>47</v>
      </c>
      <c r="R2050">
        <v>36960</v>
      </c>
      <c r="S2050">
        <v>36960</v>
      </c>
      <c r="T2050">
        <v>3004583</v>
      </c>
      <c r="U2050" t="s">
        <v>2175</v>
      </c>
      <c r="V2050" t="s">
        <v>2176</v>
      </c>
      <c r="W2050" t="s">
        <v>69</v>
      </c>
      <c r="X2050" t="s">
        <v>55</v>
      </c>
      <c r="Y2050" t="s">
        <v>51</v>
      </c>
      <c r="Z2050">
        <v>1450</v>
      </c>
      <c r="AH2050">
        <v>0</v>
      </c>
      <c r="AI2050">
        <v>202505</v>
      </c>
      <c r="AJ2050" t="s">
        <v>56</v>
      </c>
      <c r="AK2050">
        <v>0</v>
      </c>
      <c r="AL2050">
        <v>1</v>
      </c>
      <c r="AM2050">
        <v>3004583</v>
      </c>
      <c r="AN2050">
        <v>1</v>
      </c>
      <c r="AO2050">
        <v>0</v>
      </c>
      <c r="AP2050" t="s">
        <v>3015</v>
      </c>
      <c r="AQ2050" t="s">
        <v>3021</v>
      </c>
      <c r="AR2050" t="s">
        <v>3022</v>
      </c>
      <c r="AT2050" t="s">
        <v>3017</v>
      </c>
      <c r="AU2050" t="s">
        <v>3014</v>
      </c>
    </row>
    <row r="2051" spans="1:47" x14ac:dyDescent="0.35">
      <c r="A2051">
        <v>337789</v>
      </c>
      <c r="B2051" t="s">
        <v>193</v>
      </c>
      <c r="C2051" t="s">
        <v>194</v>
      </c>
      <c r="D2051" s="2">
        <v>45783</v>
      </c>
      <c r="E2051">
        <v>53850</v>
      </c>
      <c r="F2051">
        <v>167</v>
      </c>
      <c r="G2051" t="s">
        <v>278</v>
      </c>
      <c r="H2051" t="s">
        <v>167</v>
      </c>
      <c r="I2051" t="s">
        <v>45</v>
      </c>
      <c r="K2051" t="s">
        <v>2165</v>
      </c>
      <c r="L2051">
        <v>1673300000982</v>
      </c>
      <c r="M2051">
        <v>20250505</v>
      </c>
      <c r="N2051" t="s">
        <v>195</v>
      </c>
      <c r="Q2051" t="s">
        <v>47</v>
      </c>
      <c r="R2051">
        <v>32350</v>
      </c>
      <c r="S2051">
        <v>32350</v>
      </c>
      <c r="T2051">
        <v>4274951</v>
      </c>
      <c r="U2051" t="s">
        <v>2177</v>
      </c>
      <c r="V2051" t="s">
        <v>2178</v>
      </c>
      <c r="W2051" t="s">
        <v>187</v>
      </c>
      <c r="Y2051" t="s">
        <v>51</v>
      </c>
      <c r="Z2051">
        <v>451</v>
      </c>
      <c r="AH2051">
        <v>0</v>
      </c>
      <c r="AI2051">
        <v>202505</v>
      </c>
      <c r="AJ2051" t="s">
        <v>86</v>
      </c>
      <c r="AK2051">
        <v>1</v>
      </c>
      <c r="AL2051">
        <v>1</v>
      </c>
      <c r="AO2051">
        <v>0</v>
      </c>
      <c r="AP2051" t="s">
        <v>3015</v>
      </c>
      <c r="AQ2051" t="s">
        <v>3044</v>
      </c>
      <c r="AR2051" t="s">
        <v>3045</v>
      </c>
      <c r="AS2051" t="s">
        <v>3046</v>
      </c>
      <c r="AU2051" t="s">
        <v>3046</v>
      </c>
    </row>
    <row r="2052" spans="1:47" x14ac:dyDescent="0.35">
      <c r="A2052">
        <v>337788</v>
      </c>
      <c r="B2052" t="s">
        <v>178</v>
      </c>
      <c r="C2052" t="s">
        <v>179</v>
      </c>
      <c r="D2052" s="2">
        <v>45783</v>
      </c>
      <c r="E2052">
        <v>53850</v>
      </c>
      <c r="F2052">
        <v>161</v>
      </c>
      <c r="G2052" t="s">
        <v>111</v>
      </c>
      <c r="H2052" t="s">
        <v>167</v>
      </c>
      <c r="I2052" t="s">
        <v>45</v>
      </c>
      <c r="K2052" t="s">
        <v>2166</v>
      </c>
      <c r="L2052">
        <v>1283300004011</v>
      </c>
      <c r="M2052">
        <v>20250505</v>
      </c>
      <c r="N2052" t="s">
        <v>3136</v>
      </c>
      <c r="Q2052" t="s">
        <v>170</v>
      </c>
      <c r="R2052">
        <v>1006.5</v>
      </c>
      <c r="S2052">
        <v>0</v>
      </c>
      <c r="T2052">
        <v>4925377</v>
      </c>
      <c r="U2052" t="s">
        <v>2179</v>
      </c>
      <c r="V2052" t="s">
        <v>2180</v>
      </c>
      <c r="W2052" t="s">
        <v>187</v>
      </c>
      <c r="Y2052" t="s">
        <v>51</v>
      </c>
      <c r="Z2052">
        <v>1662</v>
      </c>
      <c r="AH2052">
        <v>0</v>
      </c>
      <c r="AI2052">
        <v>202505</v>
      </c>
      <c r="AJ2052" t="s">
        <v>52</v>
      </c>
      <c r="AK2052">
        <v>0</v>
      </c>
      <c r="AL2052">
        <v>1</v>
      </c>
      <c r="AO2052">
        <v>1</v>
      </c>
      <c r="AP2052" t="s">
        <v>3015</v>
      </c>
      <c r="AQ2052" t="s">
        <v>3044</v>
      </c>
      <c r="AR2052" t="s">
        <v>3045</v>
      </c>
      <c r="AS2052" t="s">
        <v>3046</v>
      </c>
      <c r="AU2052" t="s">
        <v>3046</v>
      </c>
    </row>
    <row r="2053" spans="1:47" x14ac:dyDescent="0.35">
      <c r="A2053">
        <v>337787</v>
      </c>
      <c r="B2053" t="s">
        <v>193</v>
      </c>
      <c r="C2053" t="s">
        <v>194</v>
      </c>
      <c r="D2053" s="2">
        <v>45783</v>
      </c>
      <c r="E2053">
        <v>53850</v>
      </c>
      <c r="F2053">
        <v>170</v>
      </c>
      <c r="G2053" t="s">
        <v>211</v>
      </c>
      <c r="H2053" t="s">
        <v>167</v>
      </c>
      <c r="I2053" t="s">
        <v>45</v>
      </c>
      <c r="K2053" t="s">
        <v>2165</v>
      </c>
      <c r="L2053">
        <v>1703300000428</v>
      </c>
      <c r="M2053">
        <v>20250505</v>
      </c>
      <c r="N2053" t="s">
        <v>195</v>
      </c>
      <c r="Q2053" t="s">
        <v>47</v>
      </c>
      <c r="R2053">
        <v>50000</v>
      </c>
      <c r="S2053">
        <v>50000</v>
      </c>
      <c r="T2053">
        <v>4833134</v>
      </c>
      <c r="U2053">
        <v>7323170725</v>
      </c>
      <c r="V2053" t="s">
        <v>425</v>
      </c>
      <c r="W2053" t="s">
        <v>49</v>
      </c>
      <c r="X2053" t="s">
        <v>413</v>
      </c>
      <c r="Y2053" t="s">
        <v>51</v>
      </c>
      <c r="Z2053">
        <v>694</v>
      </c>
      <c r="AH2053">
        <v>0</v>
      </c>
      <c r="AI2053">
        <v>202505</v>
      </c>
      <c r="AJ2053" t="s">
        <v>56</v>
      </c>
      <c r="AK2053">
        <v>0</v>
      </c>
      <c r="AL2053">
        <v>1</v>
      </c>
      <c r="AM2053">
        <v>4833134</v>
      </c>
      <c r="AN2053">
        <v>1</v>
      </c>
      <c r="AO2053">
        <v>0</v>
      </c>
      <c r="AP2053" t="s">
        <v>3015</v>
      </c>
      <c r="AQ2053" t="s">
        <v>3012</v>
      </c>
      <c r="AR2053" t="s">
        <v>3016</v>
      </c>
      <c r="AT2053" t="s">
        <v>3017</v>
      </c>
      <c r="AU2053" t="s">
        <v>3018</v>
      </c>
    </row>
    <row r="2054" spans="1:47" x14ac:dyDescent="0.35">
      <c r="A2054">
        <v>337786</v>
      </c>
      <c r="B2054" t="s">
        <v>172</v>
      </c>
      <c r="C2054" t="s">
        <v>173</v>
      </c>
      <c r="D2054" s="2">
        <v>45783</v>
      </c>
      <c r="E2054">
        <v>53850</v>
      </c>
      <c r="F2054">
        <v>108</v>
      </c>
      <c r="G2054" t="s">
        <v>124</v>
      </c>
      <c r="H2054" t="s">
        <v>167</v>
      </c>
      <c r="I2054" t="s">
        <v>45</v>
      </c>
      <c r="K2054" t="s">
        <v>2165</v>
      </c>
      <c r="L2054">
        <v>1083306291105</v>
      </c>
      <c r="M2054">
        <v>20250505</v>
      </c>
      <c r="N2054" t="s">
        <v>175</v>
      </c>
      <c r="Q2054" t="s">
        <v>47</v>
      </c>
      <c r="R2054">
        <v>186459.07</v>
      </c>
      <c r="S2054">
        <v>171340</v>
      </c>
      <c r="T2054">
        <v>4227057</v>
      </c>
      <c r="U2054">
        <v>4874620729</v>
      </c>
      <c r="V2054" t="s">
        <v>250</v>
      </c>
      <c r="W2054" t="s">
        <v>49</v>
      </c>
      <c r="X2054" t="s">
        <v>62</v>
      </c>
      <c r="Y2054" t="s">
        <v>51</v>
      </c>
      <c r="Z2054">
        <v>1058</v>
      </c>
      <c r="AH2054">
        <v>0</v>
      </c>
      <c r="AI2054">
        <v>202505</v>
      </c>
      <c r="AJ2054" t="s">
        <v>56</v>
      </c>
      <c r="AK2054">
        <v>0</v>
      </c>
      <c r="AL2054">
        <v>1</v>
      </c>
      <c r="AM2054">
        <v>4227057</v>
      </c>
      <c r="AN2054">
        <v>1</v>
      </c>
      <c r="AO2054">
        <v>1</v>
      </c>
      <c r="AP2054" t="s">
        <v>3015</v>
      </c>
      <c r="AQ2054" t="s">
        <v>3012</v>
      </c>
      <c r="AR2054" t="s">
        <v>3016</v>
      </c>
      <c r="AT2054" t="s">
        <v>3017</v>
      </c>
      <c r="AU2054" t="s">
        <v>3018</v>
      </c>
    </row>
    <row r="2055" spans="1:47" x14ac:dyDescent="0.35">
      <c r="A2055">
        <v>337785</v>
      </c>
      <c r="B2055" t="s">
        <v>193</v>
      </c>
      <c r="C2055" t="s">
        <v>194</v>
      </c>
      <c r="D2055" s="2">
        <v>45783</v>
      </c>
      <c r="E2055">
        <v>53850</v>
      </c>
      <c r="F2055">
        <v>102</v>
      </c>
      <c r="G2055" t="s">
        <v>151</v>
      </c>
      <c r="H2055" t="s">
        <v>167</v>
      </c>
      <c r="I2055" t="s">
        <v>45</v>
      </c>
      <c r="K2055" t="s">
        <v>2165</v>
      </c>
      <c r="L2055">
        <v>1023308720537</v>
      </c>
      <c r="M2055">
        <v>20250505</v>
      </c>
      <c r="N2055" t="s">
        <v>266</v>
      </c>
      <c r="Q2055" t="s">
        <v>47</v>
      </c>
      <c r="R2055">
        <v>40590</v>
      </c>
      <c r="S2055">
        <v>40590</v>
      </c>
      <c r="T2055">
        <v>4653840</v>
      </c>
      <c r="U2055">
        <v>7052850729</v>
      </c>
      <c r="V2055" t="s">
        <v>485</v>
      </c>
      <c r="W2055" t="s">
        <v>49</v>
      </c>
      <c r="X2055" t="s">
        <v>200</v>
      </c>
      <c r="Y2055" t="s">
        <v>51</v>
      </c>
      <c r="Z2055">
        <v>979</v>
      </c>
      <c r="AH2055">
        <v>0</v>
      </c>
      <c r="AI2055">
        <v>202505</v>
      </c>
      <c r="AJ2055" t="s">
        <v>56</v>
      </c>
      <c r="AK2055">
        <v>0</v>
      </c>
      <c r="AL2055">
        <v>1</v>
      </c>
      <c r="AM2055">
        <v>4653840</v>
      </c>
      <c r="AN2055">
        <v>1</v>
      </c>
      <c r="AO2055">
        <v>0</v>
      </c>
      <c r="AP2055" t="s">
        <v>3015</v>
      </c>
      <c r="AQ2055" t="s">
        <v>3012</v>
      </c>
      <c r="AR2055" t="s">
        <v>3016</v>
      </c>
      <c r="AT2055" t="s">
        <v>3017</v>
      </c>
      <c r="AU2055" t="s">
        <v>3018</v>
      </c>
    </row>
    <row r="2056" spans="1:47" x14ac:dyDescent="0.35">
      <c r="A2056">
        <v>337784</v>
      </c>
      <c r="B2056" t="s">
        <v>178</v>
      </c>
      <c r="C2056" t="s">
        <v>179</v>
      </c>
      <c r="D2056" s="2">
        <v>45783</v>
      </c>
      <c r="E2056">
        <v>53850</v>
      </c>
      <c r="F2056">
        <v>268</v>
      </c>
      <c r="G2056" t="s">
        <v>83</v>
      </c>
      <c r="H2056" t="s">
        <v>167</v>
      </c>
      <c r="I2056" t="s">
        <v>45</v>
      </c>
      <c r="K2056">
        <v>202505057951715</v>
      </c>
      <c r="L2056">
        <v>2683300000078</v>
      </c>
      <c r="M2056">
        <v>20250505</v>
      </c>
      <c r="N2056" t="s">
        <v>659</v>
      </c>
      <c r="Q2056" t="s">
        <v>170</v>
      </c>
      <c r="R2056">
        <v>523869.41</v>
      </c>
      <c r="S2056">
        <v>0</v>
      </c>
      <c r="T2056">
        <v>1604221</v>
      </c>
      <c r="U2056">
        <v>2061460792</v>
      </c>
      <c r="V2056" t="s">
        <v>2181</v>
      </c>
      <c r="W2056" t="s">
        <v>49</v>
      </c>
      <c r="X2056" t="s">
        <v>91</v>
      </c>
      <c r="Y2056" t="s">
        <v>51</v>
      </c>
      <c r="Z2056">
        <v>1627</v>
      </c>
      <c r="AH2056">
        <v>0</v>
      </c>
      <c r="AI2056">
        <v>202505</v>
      </c>
      <c r="AJ2056" t="s">
        <v>86</v>
      </c>
      <c r="AK2056">
        <v>1</v>
      </c>
      <c r="AL2056">
        <v>1</v>
      </c>
      <c r="AM2056">
        <v>1604221</v>
      </c>
      <c r="AN2056">
        <v>1</v>
      </c>
      <c r="AO2056">
        <v>0</v>
      </c>
      <c r="AP2056" t="s">
        <v>1100</v>
      </c>
      <c r="AQ2056" t="s">
        <v>3012</v>
      </c>
      <c r="AR2056" t="s">
        <v>3023</v>
      </c>
      <c r="AS2056" t="s">
        <v>3014</v>
      </c>
      <c r="AU2056" t="s">
        <v>3014</v>
      </c>
    </row>
    <row r="2057" spans="1:47" x14ac:dyDescent="0.35">
      <c r="A2057">
        <v>337783</v>
      </c>
      <c r="B2057" t="s">
        <v>164</v>
      </c>
      <c r="C2057" t="s">
        <v>165</v>
      </c>
      <c r="D2057" s="2">
        <v>45783</v>
      </c>
      <c r="E2057">
        <v>53850</v>
      </c>
      <c r="F2057">
        <v>129</v>
      </c>
      <c r="G2057" t="s">
        <v>227</v>
      </c>
      <c r="H2057" t="s">
        <v>167</v>
      </c>
      <c r="I2057" t="s">
        <v>45</v>
      </c>
      <c r="K2057">
        <v>202505057950167</v>
      </c>
      <c r="L2057">
        <v>1293300002811</v>
      </c>
      <c r="M2057">
        <v>20250505</v>
      </c>
      <c r="N2057" t="s">
        <v>168</v>
      </c>
      <c r="P2057" t="s">
        <v>169</v>
      </c>
      <c r="Q2057" t="s">
        <v>47</v>
      </c>
      <c r="R2057">
        <v>13836.71</v>
      </c>
      <c r="S2057">
        <v>0</v>
      </c>
      <c r="T2057">
        <v>4972184</v>
      </c>
      <c r="U2057">
        <v>7780290727</v>
      </c>
      <c r="V2057" t="s">
        <v>720</v>
      </c>
      <c r="W2057" t="s">
        <v>49</v>
      </c>
      <c r="X2057" t="s">
        <v>721</v>
      </c>
      <c r="Y2057" t="s">
        <v>51</v>
      </c>
      <c r="Z2057">
        <v>1058</v>
      </c>
      <c r="AH2057">
        <v>0</v>
      </c>
      <c r="AI2057">
        <v>202505</v>
      </c>
      <c r="AJ2057" t="s">
        <v>52</v>
      </c>
      <c r="AK2057">
        <v>0</v>
      </c>
      <c r="AL2057">
        <v>1</v>
      </c>
      <c r="AO2057">
        <v>0</v>
      </c>
      <c r="AP2057" t="s">
        <v>3015</v>
      </c>
      <c r="AQ2057" t="s">
        <v>3012</v>
      </c>
      <c r="AR2057" t="s">
        <v>3016</v>
      </c>
      <c r="AT2057" t="s">
        <v>3017</v>
      </c>
      <c r="AU2057" t="s">
        <v>3018</v>
      </c>
    </row>
    <row r="2058" spans="1:47" x14ac:dyDescent="0.35">
      <c r="A2058">
        <v>337782</v>
      </c>
      <c r="B2058" t="s">
        <v>193</v>
      </c>
      <c r="C2058" t="s">
        <v>194</v>
      </c>
      <c r="D2058" s="2">
        <v>45783</v>
      </c>
      <c r="E2058">
        <v>53850</v>
      </c>
      <c r="F2058">
        <v>102</v>
      </c>
      <c r="G2058" t="s">
        <v>151</v>
      </c>
      <c r="H2058" t="s">
        <v>167</v>
      </c>
      <c r="I2058" t="s">
        <v>45</v>
      </c>
      <c r="K2058" t="s">
        <v>2165</v>
      </c>
      <c r="L2058">
        <v>1023308722071</v>
      </c>
      <c r="M2058">
        <v>20250505</v>
      </c>
      <c r="N2058" t="s">
        <v>195</v>
      </c>
      <c r="Q2058" t="s">
        <v>47</v>
      </c>
      <c r="R2058">
        <v>42625</v>
      </c>
      <c r="S2058">
        <v>42625</v>
      </c>
      <c r="T2058">
        <v>194802</v>
      </c>
      <c r="U2058">
        <v>3151820721</v>
      </c>
      <c r="V2058" t="s">
        <v>586</v>
      </c>
      <c r="W2058" t="s">
        <v>49</v>
      </c>
      <c r="X2058" t="s">
        <v>131</v>
      </c>
      <c r="Y2058" t="s">
        <v>51</v>
      </c>
      <c r="Z2058">
        <v>1203</v>
      </c>
      <c r="AH2058">
        <v>0</v>
      </c>
      <c r="AI2058">
        <v>202505</v>
      </c>
      <c r="AJ2058" t="s">
        <v>86</v>
      </c>
      <c r="AK2058">
        <v>1</v>
      </c>
      <c r="AL2058">
        <v>1</v>
      </c>
      <c r="AO2058">
        <v>0</v>
      </c>
      <c r="AP2058" t="s">
        <v>3033</v>
      </c>
      <c r="AQ2058" t="s">
        <v>3012</v>
      </c>
      <c r="AR2058" t="s">
        <v>3034</v>
      </c>
      <c r="AS2058" t="s">
        <v>3014</v>
      </c>
      <c r="AU2058" t="s">
        <v>3014</v>
      </c>
    </row>
    <row r="2059" spans="1:47" x14ac:dyDescent="0.35">
      <c r="A2059">
        <v>337781</v>
      </c>
      <c r="B2059" t="s">
        <v>178</v>
      </c>
      <c r="C2059" t="s">
        <v>179</v>
      </c>
      <c r="D2059" s="2">
        <v>45783</v>
      </c>
      <c r="E2059">
        <v>53850</v>
      </c>
      <c r="F2059">
        <v>269</v>
      </c>
      <c r="G2059" t="s">
        <v>265</v>
      </c>
      <c r="H2059" t="s">
        <v>167</v>
      </c>
      <c r="I2059" t="s">
        <v>45</v>
      </c>
      <c r="K2059" t="s">
        <v>2182</v>
      </c>
      <c r="L2059">
        <v>2693300000909</v>
      </c>
      <c r="M2059">
        <v>20250505</v>
      </c>
      <c r="N2059" t="s">
        <v>3136</v>
      </c>
      <c r="Q2059" t="s">
        <v>170</v>
      </c>
      <c r="R2059">
        <v>1027.8</v>
      </c>
      <c r="S2059">
        <v>0</v>
      </c>
      <c r="T2059">
        <v>1662042</v>
      </c>
      <c r="U2059" t="s">
        <v>2183</v>
      </c>
      <c r="V2059" t="s">
        <v>2184</v>
      </c>
      <c r="W2059" t="s">
        <v>187</v>
      </c>
      <c r="Y2059" t="s">
        <v>51</v>
      </c>
      <c r="Z2059">
        <v>1879</v>
      </c>
      <c r="AH2059">
        <v>0</v>
      </c>
      <c r="AI2059">
        <v>202505</v>
      </c>
      <c r="AJ2059" t="s">
        <v>52</v>
      </c>
      <c r="AK2059">
        <v>0</v>
      </c>
      <c r="AL2059">
        <v>1</v>
      </c>
      <c r="AO2059">
        <v>1</v>
      </c>
      <c r="AP2059" t="s">
        <v>3015</v>
      </c>
      <c r="AQ2059" t="s">
        <v>3044</v>
      </c>
      <c r="AR2059" t="s">
        <v>3045</v>
      </c>
      <c r="AS2059" t="s">
        <v>3046</v>
      </c>
      <c r="AU2059" t="s">
        <v>3046</v>
      </c>
    </row>
    <row r="2060" spans="1:47" x14ac:dyDescent="0.35">
      <c r="A2060">
        <v>337780</v>
      </c>
      <c r="B2060" t="s">
        <v>164</v>
      </c>
      <c r="C2060" t="s">
        <v>165</v>
      </c>
      <c r="D2060" s="2">
        <v>45783</v>
      </c>
      <c r="E2060">
        <v>53850</v>
      </c>
      <c r="F2060">
        <v>154</v>
      </c>
      <c r="G2060" t="s">
        <v>53</v>
      </c>
      <c r="H2060" t="s">
        <v>167</v>
      </c>
      <c r="I2060" t="s">
        <v>45</v>
      </c>
      <c r="K2060">
        <v>202505057950614</v>
      </c>
      <c r="L2060">
        <v>1543300004605</v>
      </c>
      <c r="M2060">
        <v>20250505</v>
      </c>
      <c r="N2060" t="s">
        <v>168</v>
      </c>
      <c r="P2060" t="s">
        <v>741</v>
      </c>
      <c r="Q2060" t="s">
        <v>47</v>
      </c>
      <c r="R2060">
        <v>8112</v>
      </c>
      <c r="S2060">
        <v>0</v>
      </c>
      <c r="T2060">
        <v>4973543</v>
      </c>
      <c r="U2060" t="s">
        <v>1213</v>
      </c>
      <c r="V2060" t="s">
        <v>1214</v>
      </c>
      <c r="W2060" t="s">
        <v>69</v>
      </c>
      <c r="X2060" t="s">
        <v>1215</v>
      </c>
      <c r="Y2060" t="s">
        <v>51</v>
      </c>
      <c r="Z2060">
        <v>741</v>
      </c>
      <c r="AH2060">
        <v>0</v>
      </c>
      <c r="AI2060">
        <v>202505</v>
      </c>
      <c r="AJ2060" t="s">
        <v>119</v>
      </c>
      <c r="AK2060">
        <v>1</v>
      </c>
      <c r="AL2060">
        <v>1</v>
      </c>
      <c r="AO2060">
        <v>0</v>
      </c>
      <c r="AP2060" t="s">
        <v>3015</v>
      </c>
      <c r="AQ2060" t="s">
        <v>3021</v>
      </c>
      <c r="AR2060" t="s">
        <v>3022</v>
      </c>
      <c r="AT2060" t="s">
        <v>3017</v>
      </c>
      <c r="AU2060" t="s">
        <v>3014</v>
      </c>
    </row>
    <row r="2061" spans="1:47" x14ac:dyDescent="0.35">
      <c r="A2061">
        <v>337779</v>
      </c>
      <c r="B2061" t="s">
        <v>193</v>
      </c>
      <c r="C2061" t="s">
        <v>194</v>
      </c>
      <c r="D2061" s="2">
        <v>45783</v>
      </c>
      <c r="E2061">
        <v>53850</v>
      </c>
      <c r="F2061">
        <v>167</v>
      </c>
      <c r="G2061" t="s">
        <v>278</v>
      </c>
      <c r="H2061" t="s">
        <v>167</v>
      </c>
      <c r="I2061" t="s">
        <v>45</v>
      </c>
      <c r="K2061" t="s">
        <v>2165</v>
      </c>
      <c r="L2061">
        <v>1673300000982</v>
      </c>
      <c r="M2061">
        <v>20250505</v>
      </c>
      <c r="N2061" t="s">
        <v>195</v>
      </c>
      <c r="Q2061" t="s">
        <v>47</v>
      </c>
      <c r="R2061">
        <v>32350</v>
      </c>
      <c r="S2061">
        <v>32350</v>
      </c>
      <c r="T2061">
        <v>4780189</v>
      </c>
      <c r="U2061" t="s">
        <v>2185</v>
      </c>
      <c r="V2061" t="s">
        <v>2186</v>
      </c>
      <c r="W2061" t="s">
        <v>187</v>
      </c>
      <c r="Y2061" t="s">
        <v>51</v>
      </c>
      <c r="Z2061">
        <v>451</v>
      </c>
      <c r="AH2061">
        <v>0</v>
      </c>
      <c r="AI2061">
        <v>202505</v>
      </c>
      <c r="AJ2061" t="s">
        <v>86</v>
      </c>
      <c r="AK2061">
        <v>1</v>
      </c>
      <c r="AL2061">
        <v>1</v>
      </c>
      <c r="AO2061">
        <v>0</v>
      </c>
      <c r="AP2061" t="s">
        <v>3015</v>
      </c>
      <c r="AQ2061" t="s">
        <v>3044</v>
      </c>
      <c r="AR2061" t="s">
        <v>3045</v>
      </c>
      <c r="AS2061" t="s">
        <v>3046</v>
      </c>
      <c r="AU2061" t="s">
        <v>3046</v>
      </c>
    </row>
    <row r="2062" spans="1:47" x14ac:dyDescent="0.35">
      <c r="A2062">
        <v>337778</v>
      </c>
      <c r="B2062" t="s">
        <v>172</v>
      </c>
      <c r="C2062" t="s">
        <v>173</v>
      </c>
      <c r="D2062" s="2">
        <v>45783</v>
      </c>
      <c r="E2062">
        <v>53850</v>
      </c>
      <c r="F2062">
        <v>171</v>
      </c>
      <c r="G2062" t="s">
        <v>198</v>
      </c>
      <c r="H2062" t="s">
        <v>167</v>
      </c>
      <c r="I2062" t="s">
        <v>45</v>
      </c>
      <c r="K2062" t="s">
        <v>2165</v>
      </c>
      <c r="L2062">
        <v>1713305728950</v>
      </c>
      <c r="M2062">
        <v>20250505</v>
      </c>
      <c r="N2062" t="s">
        <v>195</v>
      </c>
      <c r="Q2062" t="s">
        <v>47</v>
      </c>
      <c r="R2062">
        <v>326087.23</v>
      </c>
      <c r="S2062">
        <v>326087.23</v>
      </c>
      <c r="T2062">
        <v>572895</v>
      </c>
      <c r="U2062">
        <v>4161600723</v>
      </c>
      <c r="V2062" t="s">
        <v>199</v>
      </c>
      <c r="W2062" t="s">
        <v>49</v>
      </c>
      <c r="X2062" t="s">
        <v>200</v>
      </c>
      <c r="Y2062" t="s">
        <v>51</v>
      </c>
      <c r="Z2062">
        <v>1903</v>
      </c>
      <c r="AH2062">
        <v>0</v>
      </c>
      <c r="AI2062">
        <v>202505</v>
      </c>
      <c r="AJ2062" t="s">
        <v>86</v>
      </c>
      <c r="AK2062">
        <v>1</v>
      </c>
      <c r="AL2062">
        <v>1</v>
      </c>
      <c r="AM2062">
        <v>572895</v>
      </c>
      <c r="AN2062">
        <v>1</v>
      </c>
      <c r="AO2062">
        <v>0</v>
      </c>
      <c r="AP2062" t="s">
        <v>3015</v>
      </c>
      <c r="AQ2062" t="s">
        <v>3012</v>
      </c>
      <c r="AR2062" t="s">
        <v>3016</v>
      </c>
      <c r="AT2062" t="s">
        <v>3017</v>
      </c>
      <c r="AU2062" t="s">
        <v>3018</v>
      </c>
    </row>
    <row r="2063" spans="1:47" x14ac:dyDescent="0.35">
      <c r="A2063">
        <v>337777</v>
      </c>
      <c r="B2063" t="s">
        <v>178</v>
      </c>
      <c r="C2063" t="s">
        <v>179</v>
      </c>
      <c r="D2063" s="2">
        <v>45783</v>
      </c>
      <c r="E2063">
        <v>53850</v>
      </c>
      <c r="F2063">
        <v>110</v>
      </c>
      <c r="G2063" t="s">
        <v>230</v>
      </c>
      <c r="H2063" t="s">
        <v>167</v>
      </c>
      <c r="I2063" t="s">
        <v>45</v>
      </c>
      <c r="K2063">
        <v>202505057951941</v>
      </c>
      <c r="L2063">
        <v>1103304311370</v>
      </c>
      <c r="M2063">
        <v>20250505</v>
      </c>
      <c r="N2063" t="s">
        <v>1002</v>
      </c>
      <c r="Q2063" t="s">
        <v>47</v>
      </c>
      <c r="R2063">
        <v>168000</v>
      </c>
      <c r="S2063">
        <v>0</v>
      </c>
      <c r="T2063">
        <v>431134</v>
      </c>
      <c r="U2063" t="s">
        <v>2187</v>
      </c>
      <c r="V2063" t="s">
        <v>2188</v>
      </c>
      <c r="W2063" t="s">
        <v>187</v>
      </c>
      <c r="Y2063" t="s">
        <v>51</v>
      </c>
      <c r="Z2063">
        <v>458</v>
      </c>
      <c r="AH2063">
        <v>0</v>
      </c>
      <c r="AI2063">
        <v>202505</v>
      </c>
      <c r="AJ2063" t="s">
        <v>86</v>
      </c>
      <c r="AK2063">
        <v>1</v>
      </c>
      <c r="AL2063">
        <v>1</v>
      </c>
      <c r="AO2063">
        <v>0</v>
      </c>
      <c r="AP2063" t="s">
        <v>3015</v>
      </c>
      <c r="AQ2063" t="s">
        <v>3044</v>
      </c>
      <c r="AR2063" t="s">
        <v>3045</v>
      </c>
      <c r="AS2063" t="s">
        <v>3046</v>
      </c>
      <c r="AU2063" t="s">
        <v>3046</v>
      </c>
    </row>
    <row r="2064" spans="1:47" x14ac:dyDescent="0.35">
      <c r="A2064">
        <v>337776</v>
      </c>
      <c r="B2064" t="s">
        <v>164</v>
      </c>
      <c r="C2064" t="s">
        <v>165</v>
      </c>
      <c r="D2064" s="2">
        <v>45783</v>
      </c>
      <c r="E2064">
        <v>53850</v>
      </c>
      <c r="F2064">
        <v>170</v>
      </c>
      <c r="G2064" t="s">
        <v>211</v>
      </c>
      <c r="H2064" t="s">
        <v>167</v>
      </c>
      <c r="I2064" t="s">
        <v>45</v>
      </c>
      <c r="K2064" t="s">
        <v>2189</v>
      </c>
      <c r="L2064">
        <v>1703306289399</v>
      </c>
      <c r="M2064">
        <v>20250505</v>
      </c>
      <c r="N2064" t="s">
        <v>168</v>
      </c>
      <c r="P2064" t="s">
        <v>203</v>
      </c>
      <c r="Q2064" t="s">
        <v>47</v>
      </c>
      <c r="R2064">
        <v>2900</v>
      </c>
      <c r="S2064">
        <v>0</v>
      </c>
      <c r="T2064">
        <v>4926611</v>
      </c>
      <c r="U2064" t="s">
        <v>2190</v>
      </c>
      <c r="V2064" t="s">
        <v>2191</v>
      </c>
      <c r="W2064" t="s">
        <v>69</v>
      </c>
      <c r="X2064" t="s">
        <v>123</v>
      </c>
      <c r="Y2064" t="s">
        <v>51</v>
      </c>
      <c r="Z2064">
        <v>1330</v>
      </c>
      <c r="AH2064">
        <v>0</v>
      </c>
      <c r="AI2064">
        <v>202505</v>
      </c>
      <c r="AJ2064" t="s">
        <v>86</v>
      </c>
      <c r="AK2064">
        <v>1</v>
      </c>
      <c r="AL2064">
        <v>1</v>
      </c>
      <c r="AO2064">
        <v>0</v>
      </c>
      <c r="AP2064" t="s">
        <v>3015</v>
      </c>
      <c r="AQ2064" t="s">
        <v>3021</v>
      </c>
      <c r="AR2064" t="s">
        <v>3022</v>
      </c>
      <c r="AT2064" t="s">
        <v>3017</v>
      </c>
      <c r="AU2064" t="s">
        <v>3014</v>
      </c>
    </row>
    <row r="2065" spans="1:47" x14ac:dyDescent="0.35">
      <c r="A2065">
        <v>337775</v>
      </c>
      <c r="B2065" t="s">
        <v>178</v>
      </c>
      <c r="C2065" t="s">
        <v>179</v>
      </c>
      <c r="D2065" s="2">
        <v>45783</v>
      </c>
      <c r="E2065">
        <v>53850</v>
      </c>
      <c r="F2065">
        <v>136</v>
      </c>
      <c r="G2065" t="s">
        <v>551</v>
      </c>
      <c r="H2065" t="s">
        <v>167</v>
      </c>
      <c r="I2065" t="s">
        <v>45</v>
      </c>
      <c r="K2065">
        <v>202505057950629</v>
      </c>
      <c r="L2065">
        <v>1363300003325</v>
      </c>
      <c r="M2065">
        <v>20250505</v>
      </c>
      <c r="N2065" t="s">
        <v>1047</v>
      </c>
      <c r="Q2065" t="s">
        <v>47</v>
      </c>
      <c r="R2065">
        <v>699996.13</v>
      </c>
      <c r="S2065">
        <v>0</v>
      </c>
      <c r="T2065">
        <v>4395683</v>
      </c>
      <c r="U2065">
        <v>2036760037</v>
      </c>
      <c r="V2065" t="s">
        <v>553</v>
      </c>
      <c r="W2065" t="s">
        <v>49</v>
      </c>
      <c r="X2065" t="s">
        <v>554</v>
      </c>
      <c r="Y2065" t="s">
        <v>51</v>
      </c>
      <c r="Z2065">
        <v>1627</v>
      </c>
      <c r="AH2065">
        <v>0</v>
      </c>
      <c r="AI2065">
        <v>202505</v>
      </c>
      <c r="AJ2065" t="s">
        <v>56</v>
      </c>
      <c r="AK2065">
        <v>0</v>
      </c>
      <c r="AL2065">
        <v>1</v>
      </c>
      <c r="AO2065">
        <v>0</v>
      </c>
      <c r="AP2065" t="s">
        <v>3015</v>
      </c>
      <c r="AQ2065" t="s">
        <v>3012</v>
      </c>
      <c r="AR2065" t="s">
        <v>3016</v>
      </c>
      <c r="AT2065" t="s">
        <v>3017</v>
      </c>
      <c r="AU2065" t="s">
        <v>3018</v>
      </c>
    </row>
    <row r="2066" spans="1:47" x14ac:dyDescent="0.35">
      <c r="A2066">
        <v>337774</v>
      </c>
      <c r="B2066" t="s">
        <v>172</v>
      </c>
      <c r="C2066" t="s">
        <v>173</v>
      </c>
      <c r="D2066" s="2">
        <v>45783</v>
      </c>
      <c r="E2066">
        <v>53850</v>
      </c>
      <c r="F2066">
        <v>121</v>
      </c>
      <c r="G2066" t="s">
        <v>140</v>
      </c>
      <c r="H2066" t="s">
        <v>167</v>
      </c>
      <c r="I2066" t="s">
        <v>45</v>
      </c>
      <c r="K2066">
        <v>202505057951992</v>
      </c>
      <c r="L2066">
        <v>1213300003599</v>
      </c>
      <c r="M2066">
        <v>20250505</v>
      </c>
      <c r="N2066" t="s">
        <v>231</v>
      </c>
      <c r="Q2066" t="s">
        <v>47</v>
      </c>
      <c r="R2066">
        <v>400000</v>
      </c>
      <c r="S2066">
        <v>0</v>
      </c>
      <c r="T2066">
        <v>4874257</v>
      </c>
      <c r="U2066" t="s">
        <v>2192</v>
      </c>
      <c r="V2066" t="s">
        <v>2193</v>
      </c>
      <c r="W2066" t="s">
        <v>187</v>
      </c>
      <c r="Y2066" t="s">
        <v>51</v>
      </c>
      <c r="Z2066">
        <v>1054</v>
      </c>
      <c r="AH2066">
        <v>0</v>
      </c>
      <c r="AI2066">
        <v>202505</v>
      </c>
      <c r="AJ2066" t="s">
        <v>86</v>
      </c>
      <c r="AK2066">
        <v>1</v>
      </c>
      <c r="AL2066">
        <v>1</v>
      </c>
      <c r="AO2066">
        <v>0</v>
      </c>
      <c r="AP2066" t="s">
        <v>3015</v>
      </c>
      <c r="AQ2066" t="s">
        <v>3044</v>
      </c>
      <c r="AR2066" t="s">
        <v>3045</v>
      </c>
      <c r="AS2066" t="s">
        <v>3046</v>
      </c>
      <c r="AU2066" t="s">
        <v>3046</v>
      </c>
    </row>
    <row r="2067" spans="1:47" x14ac:dyDescent="0.35">
      <c r="A2067">
        <v>337773</v>
      </c>
      <c r="B2067" t="s">
        <v>172</v>
      </c>
      <c r="C2067" t="s">
        <v>173</v>
      </c>
      <c r="D2067" s="2">
        <v>45783</v>
      </c>
      <c r="E2067">
        <v>53850</v>
      </c>
      <c r="F2067">
        <v>267</v>
      </c>
      <c r="G2067" t="s">
        <v>349</v>
      </c>
      <c r="H2067" t="s">
        <v>167</v>
      </c>
      <c r="I2067" t="s">
        <v>45</v>
      </c>
      <c r="K2067" t="s">
        <v>2165</v>
      </c>
      <c r="L2067">
        <v>2673300003600</v>
      </c>
      <c r="M2067">
        <v>20250505</v>
      </c>
      <c r="N2067" t="s">
        <v>175</v>
      </c>
      <c r="Q2067" t="s">
        <v>47</v>
      </c>
      <c r="R2067">
        <v>99229</v>
      </c>
      <c r="S2067">
        <v>98000</v>
      </c>
      <c r="T2067">
        <v>1705101</v>
      </c>
      <c r="U2067">
        <v>2896870793</v>
      </c>
      <c r="V2067" t="s">
        <v>439</v>
      </c>
      <c r="W2067" t="s">
        <v>190</v>
      </c>
      <c r="X2067" t="s">
        <v>200</v>
      </c>
      <c r="Y2067" t="s">
        <v>51</v>
      </c>
      <c r="Z2067">
        <v>1878</v>
      </c>
      <c r="AH2067">
        <v>0</v>
      </c>
      <c r="AI2067">
        <v>202505</v>
      </c>
      <c r="AJ2067" t="s">
        <v>56</v>
      </c>
      <c r="AK2067">
        <v>0</v>
      </c>
      <c r="AL2067">
        <v>1</v>
      </c>
      <c r="AM2067">
        <v>1705101</v>
      </c>
      <c r="AN2067">
        <v>1</v>
      </c>
      <c r="AO2067">
        <v>1</v>
      </c>
      <c r="AP2067" t="s">
        <v>3015</v>
      </c>
      <c r="AQ2067" t="s">
        <v>3047</v>
      </c>
      <c r="AR2067" t="s">
        <v>3056</v>
      </c>
      <c r="AT2067" t="s">
        <v>3017</v>
      </c>
      <c r="AU2067" t="s">
        <v>3057</v>
      </c>
    </row>
    <row r="2068" spans="1:47" x14ac:dyDescent="0.35">
      <c r="A2068">
        <v>337772</v>
      </c>
      <c r="B2068" t="s">
        <v>193</v>
      </c>
      <c r="C2068" t="s">
        <v>194</v>
      </c>
      <c r="D2068" s="2">
        <v>45783</v>
      </c>
      <c r="E2068">
        <v>53850</v>
      </c>
      <c r="F2068">
        <v>114</v>
      </c>
      <c r="G2068" t="s">
        <v>188</v>
      </c>
      <c r="H2068" t="s">
        <v>167</v>
      </c>
      <c r="I2068" t="s">
        <v>45</v>
      </c>
      <c r="K2068" t="s">
        <v>2165</v>
      </c>
      <c r="L2068">
        <v>1143306280621</v>
      </c>
      <c r="M2068">
        <v>20250505</v>
      </c>
      <c r="N2068" t="s">
        <v>266</v>
      </c>
      <c r="Q2068" t="s">
        <v>47</v>
      </c>
      <c r="R2068">
        <v>70460</v>
      </c>
      <c r="S2068">
        <v>70460</v>
      </c>
      <c r="T2068">
        <v>4658875</v>
      </c>
      <c r="U2068">
        <v>3230890711</v>
      </c>
      <c r="V2068" t="s">
        <v>189</v>
      </c>
      <c r="W2068" t="s">
        <v>190</v>
      </c>
      <c r="X2068" t="s">
        <v>131</v>
      </c>
      <c r="Y2068" t="s">
        <v>51</v>
      </c>
      <c r="Z2068">
        <v>870</v>
      </c>
      <c r="AH2068">
        <v>0</v>
      </c>
      <c r="AI2068">
        <v>202505</v>
      </c>
      <c r="AJ2068" t="s">
        <v>56</v>
      </c>
      <c r="AK2068">
        <v>0</v>
      </c>
      <c r="AL2068">
        <v>1</v>
      </c>
      <c r="AM2068">
        <v>4658875</v>
      </c>
      <c r="AN2068">
        <v>1</v>
      </c>
      <c r="AO2068">
        <v>0</v>
      </c>
      <c r="AP2068" t="s">
        <v>3033</v>
      </c>
      <c r="AQ2068" t="s">
        <v>3047</v>
      </c>
      <c r="AR2068" t="s">
        <v>3048</v>
      </c>
      <c r="AS2068" t="s">
        <v>3049</v>
      </c>
      <c r="AU2068" t="s">
        <v>3049</v>
      </c>
    </row>
    <row r="2069" spans="1:47" x14ac:dyDescent="0.35">
      <c r="A2069">
        <v>337771</v>
      </c>
      <c r="B2069" t="s">
        <v>172</v>
      </c>
      <c r="C2069" t="s">
        <v>173</v>
      </c>
      <c r="D2069" s="2">
        <v>45783</v>
      </c>
      <c r="E2069">
        <v>53850</v>
      </c>
      <c r="F2069">
        <v>128</v>
      </c>
      <c r="G2069" t="s">
        <v>94</v>
      </c>
      <c r="H2069" t="s">
        <v>167</v>
      </c>
      <c r="I2069" t="s">
        <v>45</v>
      </c>
      <c r="K2069" t="s">
        <v>2165</v>
      </c>
      <c r="L2069">
        <v>1283300001665</v>
      </c>
      <c r="M2069">
        <v>20250505</v>
      </c>
      <c r="N2069" t="s">
        <v>175</v>
      </c>
      <c r="Q2069" t="s">
        <v>47</v>
      </c>
      <c r="R2069">
        <v>129402.07</v>
      </c>
      <c r="S2069">
        <v>1970</v>
      </c>
      <c r="T2069">
        <v>4254896</v>
      </c>
      <c r="U2069">
        <v>6234730726</v>
      </c>
      <c r="V2069" t="s">
        <v>95</v>
      </c>
      <c r="W2069" t="s">
        <v>49</v>
      </c>
      <c r="X2069" t="s">
        <v>96</v>
      </c>
      <c r="Y2069" t="s">
        <v>51</v>
      </c>
      <c r="Z2069">
        <v>1919</v>
      </c>
      <c r="AH2069">
        <v>0</v>
      </c>
      <c r="AI2069">
        <v>202505</v>
      </c>
      <c r="AJ2069" t="s">
        <v>56</v>
      </c>
      <c r="AK2069">
        <v>0</v>
      </c>
      <c r="AL2069">
        <v>1</v>
      </c>
      <c r="AO2069">
        <v>1</v>
      </c>
      <c r="AP2069" t="s">
        <v>3015</v>
      </c>
      <c r="AQ2069" t="s">
        <v>3012</v>
      </c>
      <c r="AR2069" t="s">
        <v>3016</v>
      </c>
      <c r="AT2069" t="s">
        <v>3017</v>
      </c>
      <c r="AU2069" t="s">
        <v>3018</v>
      </c>
    </row>
    <row r="2070" spans="1:47" x14ac:dyDescent="0.35">
      <c r="A2070">
        <v>337770</v>
      </c>
      <c r="B2070" t="s">
        <v>172</v>
      </c>
      <c r="C2070" t="s">
        <v>173</v>
      </c>
      <c r="D2070" s="2">
        <v>45783</v>
      </c>
      <c r="E2070">
        <v>53850</v>
      </c>
      <c r="F2070">
        <v>102</v>
      </c>
      <c r="G2070" t="s">
        <v>151</v>
      </c>
      <c r="H2070" t="s">
        <v>167</v>
      </c>
      <c r="I2070" t="s">
        <v>45</v>
      </c>
      <c r="K2070">
        <v>202505057951819</v>
      </c>
      <c r="L2070">
        <v>1023308719048</v>
      </c>
      <c r="M2070">
        <v>20250505</v>
      </c>
      <c r="N2070" t="s">
        <v>81</v>
      </c>
      <c r="Q2070" t="s">
        <v>47</v>
      </c>
      <c r="R2070">
        <v>172000</v>
      </c>
      <c r="S2070">
        <v>0</v>
      </c>
      <c r="T2070">
        <v>467015</v>
      </c>
      <c r="U2070" t="s">
        <v>2194</v>
      </c>
      <c r="V2070" t="s">
        <v>2195</v>
      </c>
      <c r="W2070" t="s">
        <v>69</v>
      </c>
      <c r="X2070" t="s">
        <v>595</v>
      </c>
      <c r="Y2070" t="s">
        <v>51</v>
      </c>
      <c r="Z2070">
        <v>1949</v>
      </c>
      <c r="AH2070">
        <v>0</v>
      </c>
      <c r="AI2070">
        <v>202505</v>
      </c>
      <c r="AJ2070" t="s">
        <v>86</v>
      </c>
      <c r="AK2070">
        <v>1</v>
      </c>
      <c r="AL2070">
        <v>1</v>
      </c>
      <c r="AO2070">
        <v>0</v>
      </c>
      <c r="AP2070" t="s">
        <v>3015</v>
      </c>
      <c r="AQ2070" t="s">
        <v>3021</v>
      </c>
      <c r="AR2070" t="s">
        <v>3022</v>
      </c>
      <c r="AT2070" t="s">
        <v>3017</v>
      </c>
      <c r="AU2070" t="s">
        <v>3014</v>
      </c>
    </row>
    <row r="2071" spans="1:47" x14ac:dyDescent="0.35">
      <c r="A2071">
        <v>337769</v>
      </c>
      <c r="B2071" t="s">
        <v>172</v>
      </c>
      <c r="C2071" t="s">
        <v>173</v>
      </c>
      <c r="D2071" s="2">
        <v>45783</v>
      </c>
      <c r="E2071">
        <v>53850</v>
      </c>
      <c r="F2071">
        <v>171</v>
      </c>
      <c r="G2071" t="s">
        <v>198</v>
      </c>
      <c r="H2071" t="s">
        <v>167</v>
      </c>
      <c r="I2071" t="s">
        <v>45</v>
      </c>
      <c r="K2071" t="s">
        <v>2165</v>
      </c>
      <c r="L2071">
        <v>1713302214147</v>
      </c>
      <c r="M2071">
        <v>20250505</v>
      </c>
      <c r="N2071" t="s">
        <v>195</v>
      </c>
      <c r="Q2071" t="s">
        <v>47</v>
      </c>
      <c r="R2071">
        <v>141511.4</v>
      </c>
      <c r="S2071">
        <v>141511.4</v>
      </c>
      <c r="T2071">
        <v>4199319</v>
      </c>
      <c r="U2071">
        <v>6037810725</v>
      </c>
      <c r="V2071" t="s">
        <v>285</v>
      </c>
      <c r="W2071" t="s">
        <v>49</v>
      </c>
      <c r="X2071" t="s">
        <v>200</v>
      </c>
      <c r="Y2071" t="s">
        <v>51</v>
      </c>
      <c r="Z2071">
        <v>1903</v>
      </c>
      <c r="AH2071">
        <v>0</v>
      </c>
      <c r="AI2071">
        <v>202505</v>
      </c>
      <c r="AJ2071" t="s">
        <v>86</v>
      </c>
      <c r="AK2071">
        <v>1</v>
      </c>
      <c r="AL2071">
        <v>1</v>
      </c>
      <c r="AM2071">
        <v>4199319</v>
      </c>
      <c r="AN2071">
        <v>1</v>
      </c>
      <c r="AO2071">
        <v>0</v>
      </c>
      <c r="AP2071" t="s">
        <v>3015</v>
      </c>
      <c r="AQ2071" t="s">
        <v>3012</v>
      </c>
      <c r="AR2071" t="s">
        <v>3016</v>
      </c>
      <c r="AT2071" t="s">
        <v>3017</v>
      </c>
      <c r="AU2071" t="s">
        <v>3018</v>
      </c>
    </row>
    <row r="2072" spans="1:47" x14ac:dyDescent="0.35">
      <c r="A2072">
        <v>337768</v>
      </c>
      <c r="B2072" t="s">
        <v>178</v>
      </c>
      <c r="C2072" t="s">
        <v>179</v>
      </c>
      <c r="D2072" s="2">
        <v>45783</v>
      </c>
      <c r="E2072">
        <v>53850</v>
      </c>
      <c r="F2072">
        <v>102</v>
      </c>
      <c r="G2072" t="s">
        <v>151</v>
      </c>
      <c r="H2072" t="s">
        <v>167</v>
      </c>
      <c r="I2072" t="s">
        <v>45</v>
      </c>
      <c r="K2072">
        <v>202505057950258</v>
      </c>
      <c r="L2072">
        <v>1503300003188</v>
      </c>
      <c r="M2072">
        <v>20250505</v>
      </c>
      <c r="N2072" t="s">
        <v>46</v>
      </c>
      <c r="P2072" t="s">
        <v>51</v>
      </c>
      <c r="Q2072" t="s">
        <v>47</v>
      </c>
      <c r="R2072">
        <v>1430000</v>
      </c>
      <c r="S2072">
        <v>0</v>
      </c>
      <c r="T2072">
        <v>4269640</v>
      </c>
      <c r="U2072">
        <v>4797080969</v>
      </c>
      <c r="V2072" t="s">
        <v>152</v>
      </c>
      <c r="W2072" t="s">
        <v>153</v>
      </c>
      <c r="X2072" t="s">
        <v>210</v>
      </c>
      <c r="Y2072" t="s">
        <v>51</v>
      </c>
      <c r="Z2072">
        <v>1926</v>
      </c>
      <c r="AH2072">
        <v>0</v>
      </c>
      <c r="AI2072">
        <v>202505</v>
      </c>
      <c r="AJ2072" t="s">
        <v>52</v>
      </c>
      <c r="AK2072">
        <v>0</v>
      </c>
      <c r="AL2072">
        <v>1</v>
      </c>
      <c r="AO2072">
        <v>0</v>
      </c>
      <c r="AP2072" t="s">
        <v>3015</v>
      </c>
      <c r="AQ2072" t="s">
        <v>3035</v>
      </c>
      <c r="AR2072" t="s">
        <v>3036</v>
      </c>
      <c r="AT2072" t="s">
        <v>3017</v>
      </c>
      <c r="AU2072" t="s">
        <v>3037</v>
      </c>
    </row>
    <row r="2073" spans="1:47" x14ac:dyDescent="0.35">
      <c r="A2073">
        <v>337767</v>
      </c>
      <c r="B2073" t="s">
        <v>172</v>
      </c>
      <c r="C2073" t="s">
        <v>173</v>
      </c>
      <c r="D2073" s="2">
        <v>45783</v>
      </c>
      <c r="E2073">
        <v>53850</v>
      </c>
      <c r="F2073">
        <v>102</v>
      </c>
      <c r="G2073" t="s">
        <v>151</v>
      </c>
      <c r="H2073" t="s">
        <v>167</v>
      </c>
      <c r="I2073" t="s">
        <v>45</v>
      </c>
      <c r="K2073" t="s">
        <v>2165</v>
      </c>
      <c r="L2073">
        <v>1023300660520</v>
      </c>
      <c r="M2073">
        <v>20250505</v>
      </c>
      <c r="N2073" t="s">
        <v>175</v>
      </c>
      <c r="Q2073" t="s">
        <v>47</v>
      </c>
      <c r="R2073">
        <v>174738.75</v>
      </c>
      <c r="S2073">
        <v>30040</v>
      </c>
      <c r="T2073">
        <v>66052</v>
      </c>
      <c r="U2073">
        <v>398110726</v>
      </c>
      <c r="V2073" t="s">
        <v>426</v>
      </c>
      <c r="W2073" t="s">
        <v>49</v>
      </c>
      <c r="X2073" t="s">
        <v>59</v>
      </c>
      <c r="Y2073" t="s">
        <v>51</v>
      </c>
      <c r="Z2073">
        <v>1203</v>
      </c>
      <c r="AH2073">
        <v>0</v>
      </c>
      <c r="AI2073">
        <v>202505</v>
      </c>
      <c r="AJ2073" t="s">
        <v>119</v>
      </c>
      <c r="AK2073">
        <v>1</v>
      </c>
      <c r="AL2073">
        <v>1</v>
      </c>
      <c r="AM2073">
        <v>66052</v>
      </c>
      <c r="AN2073">
        <v>1</v>
      </c>
      <c r="AO2073">
        <v>1</v>
      </c>
      <c r="AP2073" t="s">
        <v>3015</v>
      </c>
      <c r="AQ2073" t="s">
        <v>3012</v>
      </c>
      <c r="AR2073" t="s">
        <v>3016</v>
      </c>
      <c r="AT2073" t="s">
        <v>3017</v>
      </c>
      <c r="AU2073" t="s">
        <v>3018</v>
      </c>
    </row>
    <row r="2074" spans="1:47" x14ac:dyDescent="0.35">
      <c r="A2074">
        <v>337766</v>
      </c>
      <c r="B2074" t="s">
        <v>164</v>
      </c>
      <c r="C2074" t="s">
        <v>165</v>
      </c>
      <c r="D2074" s="2">
        <v>45783</v>
      </c>
      <c r="E2074">
        <v>53850</v>
      </c>
      <c r="F2074">
        <v>103</v>
      </c>
      <c r="G2074" t="s">
        <v>80</v>
      </c>
      <c r="H2074" t="s">
        <v>167</v>
      </c>
      <c r="I2074" t="s">
        <v>45</v>
      </c>
      <c r="K2074" t="s">
        <v>2196</v>
      </c>
      <c r="L2074">
        <v>1033304289290</v>
      </c>
      <c r="M2074">
        <v>20250505</v>
      </c>
      <c r="N2074" t="s">
        <v>168</v>
      </c>
      <c r="P2074" t="s">
        <v>255</v>
      </c>
      <c r="Q2074" t="s">
        <v>170</v>
      </c>
      <c r="R2074">
        <v>3000</v>
      </c>
      <c r="S2074">
        <v>0</v>
      </c>
      <c r="T2074">
        <v>428929</v>
      </c>
      <c r="U2074">
        <v>3895840720</v>
      </c>
      <c r="V2074" t="s">
        <v>684</v>
      </c>
      <c r="W2074" t="s">
        <v>685</v>
      </c>
      <c r="X2074" t="s">
        <v>686</v>
      </c>
      <c r="Y2074" t="s">
        <v>51</v>
      </c>
      <c r="Z2074">
        <v>1274</v>
      </c>
      <c r="AH2074">
        <v>0</v>
      </c>
      <c r="AI2074">
        <v>202505</v>
      </c>
      <c r="AJ2074" t="s">
        <v>86</v>
      </c>
      <c r="AK2074">
        <v>1</v>
      </c>
      <c r="AL2074">
        <v>1</v>
      </c>
      <c r="AO2074">
        <v>0</v>
      </c>
      <c r="AP2074" t="s">
        <v>3015</v>
      </c>
      <c r="AQ2074" t="s">
        <v>3082</v>
      </c>
      <c r="AR2074" t="s">
        <v>3083</v>
      </c>
      <c r="AT2074" t="s">
        <v>3017</v>
      </c>
      <c r="AU2074" t="s">
        <v>3018</v>
      </c>
    </row>
    <row r="2075" spans="1:47" x14ac:dyDescent="0.35">
      <c r="A2075">
        <v>337765</v>
      </c>
      <c r="B2075" t="s">
        <v>214</v>
      </c>
      <c r="C2075" t="s">
        <v>215</v>
      </c>
      <c r="D2075" s="2">
        <v>45783</v>
      </c>
      <c r="E2075">
        <v>53850</v>
      </c>
      <c r="F2075">
        <v>105</v>
      </c>
      <c r="G2075" t="s">
        <v>60</v>
      </c>
      <c r="H2075" t="s">
        <v>167</v>
      </c>
      <c r="I2075" t="s">
        <v>45</v>
      </c>
      <c r="K2075">
        <v>202505057950606</v>
      </c>
      <c r="L2075">
        <v>1053306295089</v>
      </c>
      <c r="M2075">
        <v>20250505</v>
      </c>
      <c r="N2075" t="s">
        <v>168</v>
      </c>
      <c r="P2075" t="s">
        <v>520</v>
      </c>
      <c r="Q2075" t="s">
        <v>170</v>
      </c>
      <c r="R2075">
        <v>42057.45</v>
      </c>
      <c r="S2075">
        <v>0</v>
      </c>
      <c r="T2075">
        <v>3716148</v>
      </c>
      <c r="U2075">
        <v>6264740728</v>
      </c>
      <c r="V2075" t="s">
        <v>1607</v>
      </c>
      <c r="W2075" t="s">
        <v>49</v>
      </c>
      <c r="X2075" t="s">
        <v>59</v>
      </c>
      <c r="Y2075" t="s">
        <v>51</v>
      </c>
      <c r="Z2075">
        <v>462</v>
      </c>
      <c r="AH2075">
        <v>0</v>
      </c>
      <c r="AI2075">
        <v>202505</v>
      </c>
      <c r="AJ2075" t="s">
        <v>119</v>
      </c>
      <c r="AK2075">
        <v>1</v>
      </c>
      <c r="AL2075">
        <v>1</v>
      </c>
      <c r="AO2075">
        <v>0</v>
      </c>
      <c r="AP2075" t="s">
        <v>3015</v>
      </c>
      <c r="AQ2075" t="s">
        <v>3012</v>
      </c>
      <c r="AR2075" t="s">
        <v>3016</v>
      </c>
      <c r="AT2075" t="s">
        <v>3017</v>
      </c>
      <c r="AU2075" t="s">
        <v>3018</v>
      </c>
    </row>
    <row r="2076" spans="1:47" x14ac:dyDescent="0.35">
      <c r="A2076">
        <v>337764</v>
      </c>
      <c r="B2076" t="s">
        <v>193</v>
      </c>
      <c r="C2076" t="s">
        <v>194</v>
      </c>
      <c r="D2076" s="2">
        <v>45783</v>
      </c>
      <c r="E2076">
        <v>53850</v>
      </c>
      <c r="F2076">
        <v>182</v>
      </c>
      <c r="G2076" t="s">
        <v>318</v>
      </c>
      <c r="H2076" t="s">
        <v>167</v>
      </c>
      <c r="I2076" t="s">
        <v>45</v>
      </c>
      <c r="K2076" t="s">
        <v>2165</v>
      </c>
      <c r="L2076">
        <v>1823300169301</v>
      </c>
      <c r="M2076">
        <v>20250505</v>
      </c>
      <c r="N2076" t="s">
        <v>195</v>
      </c>
      <c r="Q2076" t="s">
        <v>47</v>
      </c>
      <c r="R2076">
        <v>54345</v>
      </c>
      <c r="S2076">
        <v>54345</v>
      </c>
      <c r="T2076">
        <v>4284957</v>
      </c>
      <c r="U2076" t="s">
        <v>455</v>
      </c>
      <c r="V2076" t="s">
        <v>456</v>
      </c>
      <c r="W2076" t="s">
        <v>69</v>
      </c>
      <c r="X2076" t="s">
        <v>197</v>
      </c>
      <c r="Y2076" t="s">
        <v>51</v>
      </c>
      <c r="Z2076">
        <v>1656</v>
      </c>
      <c r="AH2076">
        <v>0</v>
      </c>
      <c r="AI2076">
        <v>202505</v>
      </c>
      <c r="AJ2076" t="s">
        <v>56</v>
      </c>
      <c r="AK2076">
        <v>0</v>
      </c>
      <c r="AL2076">
        <v>1</v>
      </c>
      <c r="AM2076">
        <v>4284957</v>
      </c>
      <c r="AN2076">
        <v>1</v>
      </c>
      <c r="AO2076">
        <v>0</v>
      </c>
      <c r="AP2076" t="s">
        <v>3050</v>
      </c>
      <c r="AQ2076" t="s">
        <v>3021</v>
      </c>
      <c r="AR2076" t="s">
        <v>3070</v>
      </c>
      <c r="AS2076" t="s">
        <v>3055</v>
      </c>
      <c r="AU2076" t="s">
        <v>3055</v>
      </c>
    </row>
    <row r="2077" spans="1:47" x14ac:dyDescent="0.35">
      <c r="A2077">
        <v>337763</v>
      </c>
      <c r="B2077" t="s">
        <v>164</v>
      </c>
      <c r="C2077" t="s">
        <v>165</v>
      </c>
      <c r="D2077" s="2">
        <v>45783</v>
      </c>
      <c r="E2077">
        <v>53850</v>
      </c>
      <c r="F2077">
        <v>114</v>
      </c>
      <c r="G2077" t="s">
        <v>188</v>
      </c>
      <c r="H2077" t="s">
        <v>167</v>
      </c>
      <c r="I2077" t="s">
        <v>45</v>
      </c>
      <c r="K2077" t="s">
        <v>2197</v>
      </c>
      <c r="L2077">
        <v>1143306281139</v>
      </c>
      <c r="M2077">
        <v>20250502</v>
      </c>
      <c r="N2077" t="s">
        <v>168</v>
      </c>
      <c r="P2077" t="s">
        <v>255</v>
      </c>
      <c r="Q2077" t="s">
        <v>170</v>
      </c>
      <c r="R2077">
        <v>1000</v>
      </c>
      <c r="S2077">
        <v>0</v>
      </c>
      <c r="T2077">
        <v>4269365</v>
      </c>
      <c r="U2077" t="s">
        <v>2198</v>
      </c>
      <c r="V2077" t="s">
        <v>2199</v>
      </c>
      <c r="W2077" t="s">
        <v>187</v>
      </c>
      <c r="Y2077" t="s">
        <v>51</v>
      </c>
      <c r="Z2077">
        <v>642</v>
      </c>
      <c r="AH2077">
        <v>0</v>
      </c>
      <c r="AI2077">
        <v>202505</v>
      </c>
      <c r="AJ2077" t="s">
        <v>56</v>
      </c>
      <c r="AK2077">
        <v>0</v>
      </c>
      <c r="AL2077">
        <v>1</v>
      </c>
      <c r="AO2077">
        <v>0</v>
      </c>
      <c r="AP2077" t="s">
        <v>3015</v>
      </c>
      <c r="AQ2077" t="s">
        <v>3044</v>
      </c>
      <c r="AR2077" t="s">
        <v>3045</v>
      </c>
      <c r="AS2077" t="s">
        <v>3046</v>
      </c>
      <c r="AU2077" t="s">
        <v>3046</v>
      </c>
    </row>
    <row r="2078" spans="1:47" x14ac:dyDescent="0.35">
      <c r="A2078">
        <v>337762</v>
      </c>
      <c r="B2078" t="s">
        <v>178</v>
      </c>
      <c r="C2078" t="s">
        <v>179</v>
      </c>
      <c r="D2078" s="2">
        <v>45780</v>
      </c>
      <c r="E2078">
        <v>53850</v>
      </c>
      <c r="F2078">
        <v>103</v>
      </c>
      <c r="G2078" t="s">
        <v>80</v>
      </c>
      <c r="H2078" t="s">
        <v>167</v>
      </c>
      <c r="I2078" t="s">
        <v>45</v>
      </c>
      <c r="K2078">
        <v>202505057942705</v>
      </c>
      <c r="L2078">
        <v>1033306974105</v>
      </c>
      <c r="M2078">
        <v>20250505</v>
      </c>
      <c r="N2078" t="s">
        <v>1587</v>
      </c>
      <c r="Q2078" t="s">
        <v>47</v>
      </c>
      <c r="R2078">
        <v>396362.6</v>
      </c>
      <c r="S2078">
        <v>0</v>
      </c>
      <c r="T2078">
        <v>158903</v>
      </c>
      <c r="U2078" t="s">
        <v>2200</v>
      </c>
      <c r="V2078" t="s">
        <v>2201</v>
      </c>
      <c r="W2078" t="s">
        <v>187</v>
      </c>
      <c r="Y2078" t="s">
        <v>51</v>
      </c>
      <c r="Z2078">
        <v>1657</v>
      </c>
      <c r="AH2078">
        <v>0</v>
      </c>
      <c r="AI2078">
        <v>202505</v>
      </c>
      <c r="AJ2078" t="s">
        <v>86</v>
      </c>
      <c r="AK2078">
        <v>1</v>
      </c>
      <c r="AL2078">
        <v>1</v>
      </c>
      <c r="AO2078">
        <v>0</v>
      </c>
      <c r="AP2078" t="s">
        <v>3015</v>
      </c>
      <c r="AQ2078" t="s">
        <v>3044</v>
      </c>
      <c r="AR2078" t="s">
        <v>3045</v>
      </c>
      <c r="AS2078" t="s">
        <v>3046</v>
      </c>
      <c r="AU2078" t="s">
        <v>3046</v>
      </c>
    </row>
    <row r="2079" spans="1:47" x14ac:dyDescent="0.35">
      <c r="A2079">
        <v>337761</v>
      </c>
      <c r="B2079" t="s">
        <v>178</v>
      </c>
      <c r="C2079" t="s">
        <v>179</v>
      </c>
      <c r="D2079" s="2">
        <v>45780</v>
      </c>
      <c r="E2079">
        <v>53850</v>
      </c>
      <c r="F2079">
        <v>103</v>
      </c>
      <c r="G2079" t="s">
        <v>80</v>
      </c>
      <c r="H2079" t="s">
        <v>167</v>
      </c>
      <c r="I2079" t="s">
        <v>45</v>
      </c>
      <c r="K2079">
        <v>202505057942705</v>
      </c>
      <c r="L2079">
        <v>1033306974105</v>
      </c>
      <c r="M2079">
        <v>20250505</v>
      </c>
      <c r="N2079" t="s">
        <v>1587</v>
      </c>
      <c r="Q2079" t="s">
        <v>47</v>
      </c>
      <c r="R2079">
        <v>396362.6</v>
      </c>
      <c r="S2079">
        <v>0</v>
      </c>
      <c r="T2079">
        <v>461958</v>
      </c>
      <c r="U2079" t="s">
        <v>1668</v>
      </c>
      <c r="V2079" t="s">
        <v>1669</v>
      </c>
      <c r="W2079" t="s">
        <v>187</v>
      </c>
      <c r="Y2079" t="s">
        <v>51</v>
      </c>
      <c r="Z2079">
        <v>1912</v>
      </c>
      <c r="AH2079">
        <v>0</v>
      </c>
      <c r="AI2079">
        <v>202505</v>
      </c>
      <c r="AJ2079" t="s">
        <v>86</v>
      </c>
      <c r="AK2079">
        <v>1</v>
      </c>
      <c r="AL2079">
        <v>1</v>
      </c>
      <c r="AO2079">
        <v>0</v>
      </c>
      <c r="AP2079" t="s">
        <v>3015</v>
      </c>
      <c r="AQ2079" t="s">
        <v>3044</v>
      </c>
      <c r="AR2079" t="s">
        <v>3045</v>
      </c>
      <c r="AS2079" t="s">
        <v>3046</v>
      </c>
      <c r="AU2079" t="s">
        <v>3046</v>
      </c>
    </row>
    <row r="2080" spans="1:47" x14ac:dyDescent="0.35">
      <c r="A2080">
        <v>337760</v>
      </c>
      <c r="B2080" t="s">
        <v>178</v>
      </c>
      <c r="C2080" t="s">
        <v>179</v>
      </c>
      <c r="D2080" s="2">
        <v>45780</v>
      </c>
      <c r="E2080">
        <v>53850</v>
      </c>
      <c r="F2080">
        <v>164</v>
      </c>
      <c r="G2080" t="s">
        <v>651</v>
      </c>
      <c r="H2080" t="s">
        <v>167</v>
      </c>
      <c r="I2080" t="s">
        <v>45</v>
      </c>
      <c r="K2080">
        <v>202505027944626</v>
      </c>
      <c r="L2080">
        <v>1643300369759</v>
      </c>
      <c r="M2080">
        <v>20250502</v>
      </c>
      <c r="N2080" t="s">
        <v>3136</v>
      </c>
      <c r="Q2080" t="s">
        <v>170</v>
      </c>
      <c r="R2080">
        <v>7955.45</v>
      </c>
      <c r="S2080">
        <v>0</v>
      </c>
      <c r="T2080">
        <v>4356533</v>
      </c>
      <c r="U2080" t="s">
        <v>2202</v>
      </c>
      <c r="V2080" t="s">
        <v>2203</v>
      </c>
      <c r="W2080" t="s">
        <v>187</v>
      </c>
      <c r="Y2080" t="s">
        <v>51</v>
      </c>
      <c r="Z2080">
        <v>787</v>
      </c>
      <c r="AH2080">
        <v>0</v>
      </c>
      <c r="AI2080">
        <v>202505</v>
      </c>
      <c r="AJ2080" t="s">
        <v>56</v>
      </c>
      <c r="AK2080">
        <v>0</v>
      </c>
      <c r="AL2080">
        <v>1</v>
      </c>
      <c r="AO2080">
        <v>1</v>
      </c>
      <c r="AP2080" t="s">
        <v>3015</v>
      </c>
      <c r="AQ2080" t="s">
        <v>3044</v>
      </c>
      <c r="AR2080" t="s">
        <v>3045</v>
      </c>
      <c r="AS2080" t="s">
        <v>3046</v>
      </c>
      <c r="AU2080" t="s">
        <v>3046</v>
      </c>
    </row>
    <row r="2081" spans="1:47" x14ac:dyDescent="0.35">
      <c r="A2081">
        <v>337759</v>
      </c>
      <c r="B2081" t="s">
        <v>727</v>
      </c>
      <c r="C2081" t="s">
        <v>728</v>
      </c>
      <c r="D2081" s="2">
        <v>45780</v>
      </c>
      <c r="E2081">
        <v>53850</v>
      </c>
      <c r="F2081">
        <v>103</v>
      </c>
      <c r="G2081" t="s">
        <v>80</v>
      </c>
      <c r="H2081" t="s">
        <v>167</v>
      </c>
      <c r="I2081" t="s">
        <v>45</v>
      </c>
      <c r="K2081">
        <v>202505027944390</v>
      </c>
      <c r="M2081">
        <v>20250502</v>
      </c>
      <c r="N2081" t="s">
        <v>2204</v>
      </c>
      <c r="Q2081" t="s">
        <v>47</v>
      </c>
      <c r="R2081">
        <v>45791.5</v>
      </c>
      <c r="S2081">
        <v>45791.5</v>
      </c>
      <c r="T2081">
        <v>416796</v>
      </c>
      <c r="U2081" t="s">
        <v>2205</v>
      </c>
      <c r="V2081" t="s">
        <v>2206</v>
      </c>
      <c r="W2081" t="s">
        <v>187</v>
      </c>
      <c r="Y2081" t="s">
        <v>51</v>
      </c>
      <c r="AH2081">
        <v>0</v>
      </c>
      <c r="AI2081">
        <v>202505</v>
      </c>
      <c r="AL2081">
        <v>0</v>
      </c>
      <c r="AO2081">
        <v>0</v>
      </c>
      <c r="AP2081" t="s">
        <v>3015</v>
      </c>
      <c r="AQ2081" t="s">
        <v>3044</v>
      </c>
      <c r="AR2081" t="s">
        <v>3045</v>
      </c>
      <c r="AS2081" t="s">
        <v>3046</v>
      </c>
      <c r="AU2081" t="s">
        <v>3046</v>
      </c>
    </row>
    <row r="2082" spans="1:47" x14ac:dyDescent="0.35">
      <c r="A2082">
        <v>337758</v>
      </c>
      <c r="B2082" t="s">
        <v>214</v>
      </c>
      <c r="C2082" t="s">
        <v>215</v>
      </c>
      <c r="D2082" s="2">
        <v>45780</v>
      </c>
      <c r="E2082">
        <v>53850</v>
      </c>
      <c r="F2082">
        <v>170</v>
      </c>
      <c r="G2082" t="s">
        <v>211</v>
      </c>
      <c r="H2082" t="s">
        <v>167</v>
      </c>
      <c r="I2082" t="s">
        <v>45</v>
      </c>
      <c r="K2082">
        <v>202505027942239</v>
      </c>
      <c r="L2082">
        <v>1703306288978</v>
      </c>
      <c r="M2082">
        <v>20250502</v>
      </c>
      <c r="N2082" t="s">
        <v>168</v>
      </c>
      <c r="P2082" t="s">
        <v>217</v>
      </c>
      <c r="Q2082" t="s">
        <v>47</v>
      </c>
      <c r="R2082">
        <v>15205.86</v>
      </c>
      <c r="S2082">
        <v>0</v>
      </c>
      <c r="T2082">
        <v>4886461</v>
      </c>
      <c r="U2082" t="s">
        <v>2207</v>
      </c>
      <c r="V2082" t="s">
        <v>2208</v>
      </c>
      <c r="W2082" t="s">
        <v>187</v>
      </c>
      <c r="Y2082" t="s">
        <v>51</v>
      </c>
      <c r="Z2082">
        <v>1667</v>
      </c>
      <c r="AH2082">
        <v>0</v>
      </c>
      <c r="AI2082">
        <v>202505</v>
      </c>
      <c r="AJ2082" t="s">
        <v>86</v>
      </c>
      <c r="AK2082">
        <v>1</v>
      </c>
      <c r="AL2082">
        <v>1</v>
      </c>
      <c r="AO2082">
        <v>0</v>
      </c>
      <c r="AP2082" t="s">
        <v>3015</v>
      </c>
      <c r="AQ2082" t="s">
        <v>3044</v>
      </c>
      <c r="AR2082" t="s">
        <v>3045</v>
      </c>
      <c r="AS2082" t="s">
        <v>3046</v>
      </c>
      <c r="AU2082" t="s">
        <v>3046</v>
      </c>
    </row>
    <row r="2083" spans="1:47" x14ac:dyDescent="0.35">
      <c r="A2083">
        <v>337757</v>
      </c>
      <c r="B2083" t="s">
        <v>178</v>
      </c>
      <c r="C2083" t="s">
        <v>179</v>
      </c>
      <c r="D2083" s="2">
        <v>45780</v>
      </c>
      <c r="E2083">
        <v>53850</v>
      </c>
      <c r="F2083">
        <v>175</v>
      </c>
      <c r="G2083" t="s">
        <v>99</v>
      </c>
      <c r="H2083" t="s">
        <v>167</v>
      </c>
      <c r="I2083" t="s">
        <v>45</v>
      </c>
      <c r="K2083">
        <v>202505027943813</v>
      </c>
      <c r="L2083">
        <v>1753305636160</v>
      </c>
      <c r="M2083">
        <v>20250502</v>
      </c>
      <c r="N2083" t="s">
        <v>1263</v>
      </c>
      <c r="Q2083" t="s">
        <v>47</v>
      </c>
      <c r="R2083">
        <v>2696970.87</v>
      </c>
      <c r="S2083">
        <v>0</v>
      </c>
      <c r="T2083">
        <v>563616</v>
      </c>
      <c r="U2083">
        <v>55560775</v>
      </c>
      <c r="V2083" t="s">
        <v>856</v>
      </c>
      <c r="W2083" t="s">
        <v>49</v>
      </c>
      <c r="X2083" t="s">
        <v>110</v>
      </c>
      <c r="Y2083" t="s">
        <v>51</v>
      </c>
      <c r="Z2083">
        <v>739</v>
      </c>
      <c r="AH2083">
        <v>0</v>
      </c>
      <c r="AI2083">
        <v>202505</v>
      </c>
      <c r="AJ2083" t="s">
        <v>56</v>
      </c>
      <c r="AK2083">
        <v>0</v>
      </c>
      <c r="AL2083">
        <v>1</v>
      </c>
      <c r="AO2083">
        <v>0</v>
      </c>
      <c r="AP2083" t="s">
        <v>3026</v>
      </c>
      <c r="AQ2083" t="s">
        <v>3012</v>
      </c>
      <c r="AR2083" t="s">
        <v>3027</v>
      </c>
      <c r="AS2083" t="s">
        <v>3028</v>
      </c>
      <c r="AU2083" t="s">
        <v>3028</v>
      </c>
    </row>
    <row r="2084" spans="1:47" x14ac:dyDescent="0.35">
      <c r="A2084">
        <v>337756</v>
      </c>
      <c r="B2084" t="s">
        <v>193</v>
      </c>
      <c r="C2084" t="s">
        <v>194</v>
      </c>
      <c r="D2084" s="2">
        <v>45780</v>
      </c>
      <c r="E2084">
        <v>53850</v>
      </c>
      <c r="F2084">
        <v>114</v>
      </c>
      <c r="G2084" t="s">
        <v>188</v>
      </c>
      <c r="H2084" t="s">
        <v>167</v>
      </c>
      <c r="I2084" t="s">
        <v>45</v>
      </c>
      <c r="K2084">
        <v>202505027944485</v>
      </c>
      <c r="L2084">
        <v>1143306280621</v>
      </c>
      <c r="M2084">
        <v>20250502</v>
      </c>
      <c r="N2084" t="s">
        <v>266</v>
      </c>
      <c r="Q2084" t="s">
        <v>47</v>
      </c>
      <c r="R2084">
        <v>34600</v>
      </c>
      <c r="S2084">
        <v>34600</v>
      </c>
      <c r="T2084">
        <v>4658875</v>
      </c>
      <c r="U2084">
        <v>3230890711</v>
      </c>
      <c r="V2084" t="s">
        <v>189</v>
      </c>
      <c r="W2084" t="s">
        <v>190</v>
      </c>
      <c r="X2084" t="s">
        <v>131</v>
      </c>
      <c r="Y2084" t="s">
        <v>51</v>
      </c>
      <c r="Z2084">
        <v>870</v>
      </c>
      <c r="AH2084">
        <v>0</v>
      </c>
      <c r="AI2084">
        <v>202505</v>
      </c>
      <c r="AJ2084" t="s">
        <v>56</v>
      </c>
      <c r="AK2084">
        <v>0</v>
      </c>
      <c r="AL2084">
        <v>1</v>
      </c>
      <c r="AM2084">
        <v>4658875</v>
      </c>
      <c r="AN2084">
        <v>1</v>
      </c>
      <c r="AO2084">
        <v>0</v>
      </c>
      <c r="AP2084" t="s">
        <v>3033</v>
      </c>
      <c r="AQ2084" t="s">
        <v>3047</v>
      </c>
      <c r="AR2084" t="s">
        <v>3048</v>
      </c>
      <c r="AS2084" t="s">
        <v>3049</v>
      </c>
      <c r="AU2084" t="s">
        <v>3049</v>
      </c>
    </row>
    <row r="2085" spans="1:47" x14ac:dyDescent="0.35">
      <c r="A2085">
        <v>337755</v>
      </c>
      <c r="B2085" t="s">
        <v>178</v>
      </c>
      <c r="C2085" t="s">
        <v>179</v>
      </c>
      <c r="D2085" s="2">
        <v>45780</v>
      </c>
      <c r="E2085">
        <v>53850</v>
      </c>
      <c r="F2085">
        <v>148</v>
      </c>
      <c r="G2085" t="s">
        <v>78</v>
      </c>
      <c r="H2085" t="s">
        <v>167</v>
      </c>
      <c r="I2085" t="s">
        <v>45</v>
      </c>
      <c r="K2085">
        <v>202505027944592</v>
      </c>
      <c r="L2085">
        <v>1483300003460</v>
      </c>
      <c r="M2085">
        <v>20250502</v>
      </c>
      <c r="N2085" t="s">
        <v>344</v>
      </c>
      <c r="Q2085" t="s">
        <v>170</v>
      </c>
      <c r="R2085">
        <v>500000</v>
      </c>
      <c r="S2085">
        <v>0</v>
      </c>
      <c r="T2085">
        <v>4743708</v>
      </c>
      <c r="U2085" t="s">
        <v>2209</v>
      </c>
      <c r="V2085" t="s">
        <v>2210</v>
      </c>
      <c r="W2085" t="s">
        <v>187</v>
      </c>
      <c r="Y2085" t="s">
        <v>51</v>
      </c>
      <c r="Z2085">
        <v>1636</v>
      </c>
      <c r="AH2085">
        <v>0</v>
      </c>
      <c r="AI2085">
        <v>202505</v>
      </c>
      <c r="AJ2085" t="s">
        <v>56</v>
      </c>
      <c r="AK2085">
        <v>0</v>
      </c>
      <c r="AL2085">
        <v>1</v>
      </c>
      <c r="AO2085">
        <v>0</v>
      </c>
      <c r="AP2085" t="s">
        <v>3015</v>
      </c>
      <c r="AQ2085" t="s">
        <v>3044</v>
      </c>
      <c r="AR2085" t="s">
        <v>3045</v>
      </c>
      <c r="AS2085" t="s">
        <v>3046</v>
      </c>
      <c r="AU2085" t="s">
        <v>3046</v>
      </c>
    </row>
    <row r="2086" spans="1:47" x14ac:dyDescent="0.35">
      <c r="A2086">
        <v>337754</v>
      </c>
      <c r="B2086" t="s">
        <v>178</v>
      </c>
      <c r="C2086" t="s">
        <v>179</v>
      </c>
      <c r="D2086" s="2">
        <v>45780</v>
      </c>
      <c r="E2086">
        <v>53850</v>
      </c>
      <c r="F2086">
        <v>164</v>
      </c>
      <c r="G2086" t="s">
        <v>651</v>
      </c>
      <c r="H2086" t="s">
        <v>167</v>
      </c>
      <c r="I2086" t="s">
        <v>45</v>
      </c>
      <c r="K2086">
        <v>202505027944626</v>
      </c>
      <c r="L2086">
        <v>1643300369759</v>
      </c>
      <c r="M2086">
        <v>20250502</v>
      </c>
      <c r="N2086" t="s">
        <v>3136</v>
      </c>
      <c r="Q2086" t="s">
        <v>170</v>
      </c>
      <c r="R2086">
        <v>7955.45</v>
      </c>
      <c r="S2086">
        <v>0</v>
      </c>
      <c r="T2086">
        <v>4356531</v>
      </c>
      <c r="U2086" t="s">
        <v>2211</v>
      </c>
      <c r="V2086" t="s">
        <v>2212</v>
      </c>
      <c r="W2086" t="s">
        <v>187</v>
      </c>
      <c r="Y2086" t="s">
        <v>51</v>
      </c>
      <c r="Z2086">
        <v>787</v>
      </c>
      <c r="AH2086">
        <v>0</v>
      </c>
      <c r="AI2086">
        <v>202505</v>
      </c>
      <c r="AJ2086" t="s">
        <v>56</v>
      </c>
      <c r="AK2086">
        <v>0</v>
      </c>
      <c r="AL2086">
        <v>1</v>
      </c>
      <c r="AO2086">
        <v>1</v>
      </c>
      <c r="AP2086" t="s">
        <v>3015</v>
      </c>
      <c r="AQ2086" t="s">
        <v>3044</v>
      </c>
      <c r="AR2086" t="s">
        <v>3045</v>
      </c>
      <c r="AS2086" t="s">
        <v>3046</v>
      </c>
      <c r="AU2086" t="s">
        <v>3046</v>
      </c>
    </row>
    <row r="2087" spans="1:47" x14ac:dyDescent="0.35">
      <c r="A2087">
        <v>337753</v>
      </c>
      <c r="B2087" t="s">
        <v>164</v>
      </c>
      <c r="C2087" t="s">
        <v>165</v>
      </c>
      <c r="D2087" s="2">
        <v>45780</v>
      </c>
      <c r="E2087">
        <v>53850</v>
      </c>
      <c r="F2087">
        <v>129</v>
      </c>
      <c r="G2087" t="s">
        <v>227</v>
      </c>
      <c r="H2087" t="s">
        <v>167</v>
      </c>
      <c r="I2087" t="s">
        <v>45</v>
      </c>
      <c r="K2087">
        <v>202505027942484</v>
      </c>
      <c r="L2087">
        <v>1293300002811</v>
      </c>
      <c r="M2087">
        <v>20250502</v>
      </c>
      <c r="N2087" t="s">
        <v>168</v>
      </c>
      <c r="P2087" t="s">
        <v>169</v>
      </c>
      <c r="Q2087" t="s">
        <v>47</v>
      </c>
      <c r="R2087">
        <v>20412.22</v>
      </c>
      <c r="S2087">
        <v>0</v>
      </c>
      <c r="T2087">
        <v>4972184</v>
      </c>
      <c r="U2087">
        <v>7780290727</v>
      </c>
      <c r="V2087" t="s">
        <v>720</v>
      </c>
      <c r="W2087" t="s">
        <v>49</v>
      </c>
      <c r="X2087" t="s">
        <v>721</v>
      </c>
      <c r="Y2087" t="s">
        <v>51</v>
      </c>
      <c r="Z2087">
        <v>1058</v>
      </c>
      <c r="AH2087">
        <v>0</v>
      </c>
      <c r="AI2087">
        <v>202505</v>
      </c>
      <c r="AJ2087" t="s">
        <v>52</v>
      </c>
      <c r="AK2087">
        <v>0</v>
      </c>
      <c r="AL2087">
        <v>1</v>
      </c>
      <c r="AO2087">
        <v>0</v>
      </c>
      <c r="AP2087" t="s">
        <v>3015</v>
      </c>
      <c r="AQ2087" t="s">
        <v>3012</v>
      </c>
      <c r="AR2087" t="s">
        <v>3016</v>
      </c>
      <c r="AT2087" t="s">
        <v>3017</v>
      </c>
      <c r="AU2087" t="s">
        <v>3018</v>
      </c>
    </row>
    <row r="2088" spans="1:47" x14ac:dyDescent="0.35">
      <c r="A2088">
        <v>337752</v>
      </c>
      <c r="B2088" t="s">
        <v>178</v>
      </c>
      <c r="C2088" t="s">
        <v>179</v>
      </c>
      <c r="D2088" s="2">
        <v>45780</v>
      </c>
      <c r="E2088">
        <v>53850</v>
      </c>
      <c r="F2088">
        <v>284</v>
      </c>
      <c r="G2088" t="s">
        <v>184</v>
      </c>
      <c r="H2088" t="s">
        <v>167</v>
      </c>
      <c r="I2088" t="s">
        <v>45</v>
      </c>
      <c r="K2088">
        <v>202505027944882</v>
      </c>
      <c r="L2088">
        <v>2843300000478</v>
      </c>
      <c r="M2088">
        <v>20250502</v>
      </c>
      <c r="N2088" t="s">
        <v>3136</v>
      </c>
      <c r="Q2088" t="s">
        <v>170</v>
      </c>
      <c r="R2088">
        <v>5641.99</v>
      </c>
      <c r="S2088">
        <v>0</v>
      </c>
      <c r="T2088">
        <v>1656709</v>
      </c>
      <c r="U2088" t="s">
        <v>2213</v>
      </c>
      <c r="V2088" t="s">
        <v>2214</v>
      </c>
      <c r="W2088" t="s">
        <v>187</v>
      </c>
      <c r="Y2088" t="s">
        <v>51</v>
      </c>
      <c r="Z2088">
        <v>1860</v>
      </c>
      <c r="AH2088">
        <v>0</v>
      </c>
      <c r="AI2088">
        <v>202505</v>
      </c>
      <c r="AJ2088" t="s">
        <v>52</v>
      </c>
      <c r="AK2088">
        <v>0</v>
      </c>
      <c r="AL2088">
        <v>1</v>
      </c>
      <c r="AO2088">
        <v>1</v>
      </c>
      <c r="AP2088" t="s">
        <v>3015</v>
      </c>
      <c r="AQ2088" t="s">
        <v>3044</v>
      </c>
      <c r="AR2088" t="s">
        <v>3045</v>
      </c>
      <c r="AS2088" t="s">
        <v>3046</v>
      </c>
      <c r="AU2088" t="s">
        <v>3046</v>
      </c>
    </row>
    <row r="2089" spans="1:47" x14ac:dyDescent="0.35">
      <c r="A2089">
        <v>337751</v>
      </c>
      <c r="B2089" t="s">
        <v>178</v>
      </c>
      <c r="C2089" t="s">
        <v>179</v>
      </c>
      <c r="D2089" s="2">
        <v>45780</v>
      </c>
      <c r="E2089">
        <v>53850</v>
      </c>
      <c r="F2089">
        <v>170</v>
      </c>
      <c r="G2089" t="s">
        <v>211</v>
      </c>
      <c r="H2089" t="s">
        <v>167</v>
      </c>
      <c r="I2089" t="s">
        <v>45</v>
      </c>
      <c r="K2089">
        <v>202505027943714</v>
      </c>
      <c r="L2089">
        <v>1703306288195</v>
      </c>
      <c r="M2089">
        <v>20250502</v>
      </c>
      <c r="N2089" t="s">
        <v>1263</v>
      </c>
      <c r="Q2089" t="s">
        <v>47</v>
      </c>
      <c r="R2089">
        <v>2554771.59</v>
      </c>
      <c r="S2089">
        <v>0</v>
      </c>
      <c r="T2089">
        <v>4401631</v>
      </c>
      <c r="U2089">
        <v>4724350725</v>
      </c>
      <c r="V2089" t="s">
        <v>949</v>
      </c>
      <c r="W2089" t="s">
        <v>49</v>
      </c>
      <c r="X2089" t="s">
        <v>241</v>
      </c>
      <c r="Y2089" t="s">
        <v>51</v>
      </c>
      <c r="Z2089">
        <v>1919</v>
      </c>
      <c r="AH2089">
        <v>0</v>
      </c>
      <c r="AI2089">
        <v>202505</v>
      </c>
      <c r="AJ2089" t="s">
        <v>86</v>
      </c>
      <c r="AK2089">
        <v>1</v>
      </c>
      <c r="AL2089">
        <v>1</v>
      </c>
      <c r="AO2089">
        <v>0</v>
      </c>
      <c r="AP2089" t="s">
        <v>3015</v>
      </c>
      <c r="AQ2089" t="s">
        <v>3012</v>
      </c>
      <c r="AR2089" t="s">
        <v>3016</v>
      </c>
      <c r="AT2089" t="s">
        <v>3017</v>
      </c>
      <c r="AU2089" t="s">
        <v>3018</v>
      </c>
    </row>
    <row r="2090" spans="1:47" x14ac:dyDescent="0.35">
      <c r="A2090">
        <v>337750</v>
      </c>
      <c r="B2090" t="s">
        <v>172</v>
      </c>
      <c r="C2090" t="s">
        <v>173</v>
      </c>
      <c r="D2090" s="2">
        <v>45780</v>
      </c>
      <c r="E2090">
        <v>53850</v>
      </c>
      <c r="F2090">
        <v>102</v>
      </c>
      <c r="G2090" t="s">
        <v>151</v>
      </c>
      <c r="H2090" t="s">
        <v>167</v>
      </c>
      <c r="I2090" t="s">
        <v>45</v>
      </c>
      <c r="K2090" t="s">
        <v>2215</v>
      </c>
      <c r="L2090">
        <v>1023308722503</v>
      </c>
      <c r="M2090">
        <v>20250502</v>
      </c>
      <c r="N2090" t="s">
        <v>195</v>
      </c>
      <c r="Q2090" t="s">
        <v>47</v>
      </c>
      <c r="R2090">
        <v>70770</v>
      </c>
      <c r="S2090">
        <v>70770</v>
      </c>
      <c r="T2090">
        <v>413650</v>
      </c>
      <c r="U2090">
        <v>3657230722</v>
      </c>
      <c r="V2090" t="s">
        <v>196</v>
      </c>
      <c r="W2090" t="s">
        <v>190</v>
      </c>
      <c r="X2090" t="s">
        <v>197</v>
      </c>
      <c r="Y2090" t="s">
        <v>51</v>
      </c>
      <c r="Z2090">
        <v>1306</v>
      </c>
      <c r="AH2090">
        <v>0</v>
      </c>
      <c r="AI2090">
        <v>202505</v>
      </c>
      <c r="AJ2090" t="s">
        <v>56</v>
      </c>
      <c r="AK2090">
        <v>0</v>
      </c>
      <c r="AL2090">
        <v>1</v>
      </c>
      <c r="AM2090">
        <v>413650</v>
      </c>
      <c r="AN2090">
        <v>1</v>
      </c>
      <c r="AO2090">
        <v>0</v>
      </c>
      <c r="AP2090" t="s">
        <v>3050</v>
      </c>
      <c r="AQ2090" t="s">
        <v>3047</v>
      </c>
      <c r="AR2090" t="s">
        <v>3051</v>
      </c>
      <c r="AS2090" t="s">
        <v>3049</v>
      </c>
      <c r="AU2090" t="s">
        <v>3049</v>
      </c>
    </row>
    <row r="2091" spans="1:47" x14ac:dyDescent="0.35">
      <c r="A2091">
        <v>337749</v>
      </c>
      <c r="B2091" t="s">
        <v>178</v>
      </c>
      <c r="C2091" t="s">
        <v>179</v>
      </c>
      <c r="D2091" s="2">
        <v>45780</v>
      </c>
      <c r="E2091">
        <v>53850</v>
      </c>
      <c r="F2091">
        <v>171</v>
      </c>
      <c r="G2091" t="s">
        <v>198</v>
      </c>
      <c r="H2091" t="s">
        <v>167</v>
      </c>
      <c r="I2091" t="s">
        <v>45</v>
      </c>
      <c r="K2091">
        <v>202505027943751</v>
      </c>
      <c r="L2091">
        <v>1713302213842</v>
      </c>
      <c r="M2091">
        <v>20250502</v>
      </c>
      <c r="N2091" t="s">
        <v>258</v>
      </c>
      <c r="Q2091" t="s">
        <v>170</v>
      </c>
      <c r="R2091">
        <v>1368468.75</v>
      </c>
      <c r="S2091">
        <v>0</v>
      </c>
      <c r="T2091">
        <v>4148505</v>
      </c>
      <c r="U2091">
        <v>5848860721</v>
      </c>
      <c r="V2091" t="s">
        <v>259</v>
      </c>
      <c r="W2091" t="s">
        <v>49</v>
      </c>
      <c r="X2091" t="s">
        <v>260</v>
      </c>
      <c r="Y2091" t="s">
        <v>51</v>
      </c>
      <c r="Z2091">
        <v>1903</v>
      </c>
      <c r="AH2091">
        <v>0</v>
      </c>
      <c r="AI2091">
        <v>202505</v>
      </c>
      <c r="AJ2091" t="s">
        <v>114</v>
      </c>
      <c r="AK2091">
        <v>1</v>
      </c>
      <c r="AL2091">
        <v>1</v>
      </c>
      <c r="AO2091">
        <v>0</v>
      </c>
      <c r="AP2091" t="s">
        <v>3015</v>
      </c>
      <c r="AQ2091" t="s">
        <v>3012</v>
      </c>
      <c r="AR2091" t="s">
        <v>3016</v>
      </c>
      <c r="AT2091" t="s">
        <v>3017</v>
      </c>
      <c r="AU2091" t="s">
        <v>3018</v>
      </c>
    </row>
    <row r="2092" spans="1:47" x14ac:dyDescent="0.35">
      <c r="A2092">
        <v>337748</v>
      </c>
      <c r="B2092" t="s">
        <v>172</v>
      </c>
      <c r="C2092" t="s">
        <v>173</v>
      </c>
      <c r="D2092" s="2">
        <v>45780</v>
      </c>
      <c r="E2092">
        <v>53850</v>
      </c>
      <c r="F2092">
        <v>195</v>
      </c>
      <c r="G2092" t="s">
        <v>498</v>
      </c>
      <c r="H2092" t="s">
        <v>167</v>
      </c>
      <c r="I2092" t="s">
        <v>45</v>
      </c>
      <c r="K2092">
        <v>202505027944756</v>
      </c>
      <c r="L2092">
        <v>1953300029029</v>
      </c>
      <c r="M2092">
        <v>20250502</v>
      </c>
      <c r="N2092" t="s">
        <v>81</v>
      </c>
      <c r="Q2092" t="s">
        <v>47</v>
      </c>
      <c r="R2092">
        <v>105000</v>
      </c>
      <c r="S2092">
        <v>0</v>
      </c>
      <c r="T2092">
        <v>3033332</v>
      </c>
      <c r="U2092" t="s">
        <v>2216</v>
      </c>
      <c r="V2092" t="s">
        <v>2217</v>
      </c>
      <c r="W2092" t="s">
        <v>187</v>
      </c>
      <c r="Y2092" t="s">
        <v>51</v>
      </c>
      <c r="Z2092">
        <v>1914</v>
      </c>
      <c r="AH2092">
        <v>0</v>
      </c>
      <c r="AI2092">
        <v>202505</v>
      </c>
      <c r="AJ2092" t="s">
        <v>86</v>
      </c>
      <c r="AK2092">
        <v>1</v>
      </c>
      <c r="AL2092">
        <v>1</v>
      </c>
      <c r="AO2092">
        <v>0</v>
      </c>
      <c r="AP2092" t="s">
        <v>3015</v>
      </c>
      <c r="AQ2092" t="s">
        <v>3044</v>
      </c>
      <c r="AR2092" t="s">
        <v>3045</v>
      </c>
      <c r="AS2092" t="s">
        <v>3046</v>
      </c>
      <c r="AU2092" t="s">
        <v>3046</v>
      </c>
    </row>
    <row r="2093" spans="1:47" x14ac:dyDescent="0.35">
      <c r="A2093">
        <v>337747</v>
      </c>
      <c r="B2093" t="s">
        <v>214</v>
      </c>
      <c r="C2093" t="s">
        <v>215</v>
      </c>
      <c r="D2093" s="2">
        <v>45780</v>
      </c>
      <c r="E2093">
        <v>53850</v>
      </c>
      <c r="F2093">
        <v>192</v>
      </c>
      <c r="G2093" t="s">
        <v>66</v>
      </c>
      <c r="H2093" t="s">
        <v>167</v>
      </c>
      <c r="I2093" t="s">
        <v>45</v>
      </c>
      <c r="K2093">
        <v>202505027942328</v>
      </c>
      <c r="L2093">
        <v>1923300182371</v>
      </c>
      <c r="M2093">
        <v>20250502</v>
      </c>
      <c r="N2093" t="s">
        <v>168</v>
      </c>
      <c r="P2093" t="s">
        <v>217</v>
      </c>
      <c r="Q2093" t="s">
        <v>47</v>
      </c>
      <c r="R2093">
        <v>320000</v>
      </c>
      <c r="S2093">
        <v>0</v>
      </c>
      <c r="T2093">
        <v>4813278</v>
      </c>
      <c r="U2093">
        <v>3017410733</v>
      </c>
      <c r="V2093" t="s">
        <v>2218</v>
      </c>
      <c r="W2093" t="s">
        <v>49</v>
      </c>
      <c r="X2093" t="s">
        <v>59</v>
      </c>
      <c r="Y2093" t="s">
        <v>51</v>
      </c>
      <c r="Z2093">
        <v>1066</v>
      </c>
      <c r="AH2093">
        <v>0</v>
      </c>
      <c r="AI2093">
        <v>202505</v>
      </c>
      <c r="AJ2093" t="s">
        <v>86</v>
      </c>
      <c r="AK2093">
        <v>1</v>
      </c>
      <c r="AL2093">
        <v>1</v>
      </c>
      <c r="AO2093">
        <v>0</v>
      </c>
      <c r="AP2093" t="s">
        <v>3015</v>
      </c>
      <c r="AQ2093" t="s">
        <v>3012</v>
      </c>
      <c r="AR2093" t="s">
        <v>3016</v>
      </c>
      <c r="AT2093" t="s">
        <v>3017</v>
      </c>
      <c r="AU2093" t="s">
        <v>3018</v>
      </c>
    </row>
    <row r="2094" spans="1:47" x14ac:dyDescent="0.35">
      <c r="A2094">
        <v>337746</v>
      </c>
      <c r="B2094" t="s">
        <v>193</v>
      </c>
      <c r="C2094" t="s">
        <v>194</v>
      </c>
      <c r="D2094" s="2">
        <v>45780</v>
      </c>
      <c r="E2094">
        <v>53850</v>
      </c>
      <c r="F2094">
        <v>126</v>
      </c>
      <c r="G2094" t="s">
        <v>1148</v>
      </c>
      <c r="H2094" t="s">
        <v>167</v>
      </c>
      <c r="I2094" t="s">
        <v>45</v>
      </c>
      <c r="K2094" t="s">
        <v>2215</v>
      </c>
      <c r="L2094">
        <v>1263300003878</v>
      </c>
      <c r="M2094">
        <v>20250502</v>
      </c>
      <c r="N2094" t="s">
        <v>175</v>
      </c>
      <c r="Q2094" t="s">
        <v>47</v>
      </c>
      <c r="R2094">
        <v>40300</v>
      </c>
      <c r="S2094">
        <v>39000</v>
      </c>
      <c r="T2094">
        <v>4960592</v>
      </c>
      <c r="U2094" t="s">
        <v>2219</v>
      </c>
      <c r="V2094" t="s">
        <v>2220</v>
      </c>
      <c r="W2094" t="s">
        <v>187</v>
      </c>
      <c r="Y2094" t="s">
        <v>51</v>
      </c>
      <c r="Z2094">
        <v>1423</v>
      </c>
      <c r="AH2094">
        <v>0</v>
      </c>
      <c r="AI2094">
        <v>202505</v>
      </c>
      <c r="AJ2094" t="s">
        <v>86</v>
      </c>
      <c r="AK2094">
        <v>1</v>
      </c>
      <c r="AL2094">
        <v>1</v>
      </c>
      <c r="AO2094">
        <v>1</v>
      </c>
      <c r="AP2094" t="s">
        <v>3015</v>
      </c>
      <c r="AQ2094" t="s">
        <v>3044</v>
      </c>
      <c r="AR2094" t="s">
        <v>3045</v>
      </c>
      <c r="AS2094" t="s">
        <v>3046</v>
      </c>
      <c r="AU2094" t="s">
        <v>3046</v>
      </c>
    </row>
    <row r="2095" spans="1:47" x14ac:dyDescent="0.35">
      <c r="A2095">
        <v>337745</v>
      </c>
      <c r="B2095" t="s">
        <v>172</v>
      </c>
      <c r="C2095" t="s">
        <v>173</v>
      </c>
      <c r="D2095" s="2">
        <v>45780</v>
      </c>
      <c r="E2095">
        <v>53850</v>
      </c>
      <c r="F2095">
        <v>116</v>
      </c>
      <c r="G2095" t="s">
        <v>126</v>
      </c>
      <c r="H2095" t="s">
        <v>167</v>
      </c>
      <c r="I2095" t="s">
        <v>45</v>
      </c>
      <c r="K2095" t="s">
        <v>2215</v>
      </c>
      <c r="L2095">
        <v>1163305431040</v>
      </c>
      <c r="M2095">
        <v>20250502</v>
      </c>
      <c r="N2095" t="s">
        <v>81</v>
      </c>
      <c r="Q2095" t="s">
        <v>47</v>
      </c>
      <c r="R2095">
        <v>108504.23</v>
      </c>
      <c r="S2095">
        <v>0</v>
      </c>
      <c r="T2095">
        <v>543104</v>
      </c>
      <c r="U2095">
        <v>4393640729</v>
      </c>
      <c r="V2095" t="s">
        <v>127</v>
      </c>
      <c r="W2095" t="s">
        <v>49</v>
      </c>
      <c r="X2095" t="s">
        <v>128</v>
      </c>
      <c r="Y2095" t="s">
        <v>51</v>
      </c>
      <c r="Z2095">
        <v>1696</v>
      </c>
      <c r="AH2095">
        <v>0</v>
      </c>
      <c r="AI2095">
        <v>202505</v>
      </c>
      <c r="AJ2095" t="s">
        <v>114</v>
      </c>
      <c r="AK2095">
        <v>1</v>
      </c>
      <c r="AL2095">
        <v>1</v>
      </c>
      <c r="AO2095">
        <v>0</v>
      </c>
      <c r="AP2095" t="s">
        <v>3015</v>
      </c>
      <c r="AQ2095" t="s">
        <v>3012</v>
      </c>
      <c r="AR2095" t="s">
        <v>3016</v>
      </c>
      <c r="AT2095" t="s">
        <v>3017</v>
      </c>
      <c r="AU2095" t="s">
        <v>3018</v>
      </c>
    </row>
    <row r="2096" spans="1:47" x14ac:dyDescent="0.35">
      <c r="A2096">
        <v>337744</v>
      </c>
      <c r="B2096" t="s">
        <v>193</v>
      </c>
      <c r="C2096" t="s">
        <v>194</v>
      </c>
      <c r="D2096" s="2">
        <v>45780</v>
      </c>
      <c r="E2096">
        <v>53850</v>
      </c>
      <c r="F2096">
        <v>126</v>
      </c>
      <c r="G2096" t="s">
        <v>1148</v>
      </c>
      <c r="H2096" t="s">
        <v>167</v>
      </c>
      <c r="I2096" t="s">
        <v>45</v>
      </c>
      <c r="K2096" t="s">
        <v>2215</v>
      </c>
      <c r="L2096">
        <v>1263300003878</v>
      </c>
      <c r="M2096">
        <v>20250502</v>
      </c>
      <c r="N2096" t="s">
        <v>175</v>
      </c>
      <c r="Q2096" t="s">
        <v>47</v>
      </c>
      <c r="R2096">
        <v>40300</v>
      </c>
      <c r="S2096">
        <v>39000</v>
      </c>
      <c r="T2096">
        <v>3743864</v>
      </c>
      <c r="U2096" t="s">
        <v>2221</v>
      </c>
      <c r="V2096" t="s">
        <v>2222</v>
      </c>
      <c r="W2096" t="s">
        <v>187</v>
      </c>
      <c r="Y2096" t="s">
        <v>51</v>
      </c>
      <c r="AH2096">
        <v>0</v>
      </c>
      <c r="AI2096">
        <v>202505</v>
      </c>
      <c r="AJ2096" t="s">
        <v>86</v>
      </c>
      <c r="AK2096">
        <v>1</v>
      </c>
      <c r="AL2096">
        <v>1</v>
      </c>
      <c r="AO2096">
        <v>1</v>
      </c>
      <c r="AP2096" t="s">
        <v>3015</v>
      </c>
      <c r="AQ2096" t="s">
        <v>3044</v>
      </c>
      <c r="AR2096" t="s">
        <v>3045</v>
      </c>
      <c r="AS2096" t="s">
        <v>3046</v>
      </c>
      <c r="AU2096" t="s">
        <v>3046</v>
      </c>
    </row>
    <row r="2097" spans="1:47" x14ac:dyDescent="0.35">
      <c r="A2097">
        <v>337743</v>
      </c>
      <c r="B2097" t="s">
        <v>172</v>
      </c>
      <c r="C2097" t="s">
        <v>173</v>
      </c>
      <c r="D2097" s="2">
        <v>45780</v>
      </c>
      <c r="E2097">
        <v>53850</v>
      </c>
      <c r="F2097">
        <v>102</v>
      </c>
      <c r="G2097" t="s">
        <v>151</v>
      </c>
      <c r="H2097" t="s">
        <v>167</v>
      </c>
      <c r="I2097" t="s">
        <v>45</v>
      </c>
      <c r="K2097" t="s">
        <v>2215</v>
      </c>
      <c r="L2097">
        <v>1023300660520</v>
      </c>
      <c r="M2097">
        <v>20250502</v>
      </c>
      <c r="N2097" t="s">
        <v>175</v>
      </c>
      <c r="Q2097" t="s">
        <v>47</v>
      </c>
      <c r="R2097">
        <v>102114.57</v>
      </c>
      <c r="S2097">
        <v>8740</v>
      </c>
      <c r="T2097">
        <v>66052</v>
      </c>
      <c r="U2097">
        <v>398110726</v>
      </c>
      <c r="V2097" t="s">
        <v>426</v>
      </c>
      <c r="W2097" t="s">
        <v>49</v>
      </c>
      <c r="X2097" t="s">
        <v>59</v>
      </c>
      <c r="Y2097" t="s">
        <v>51</v>
      </c>
      <c r="Z2097">
        <v>1203</v>
      </c>
      <c r="AH2097">
        <v>0</v>
      </c>
      <c r="AI2097">
        <v>202505</v>
      </c>
      <c r="AJ2097" t="s">
        <v>119</v>
      </c>
      <c r="AK2097">
        <v>1</v>
      </c>
      <c r="AL2097">
        <v>1</v>
      </c>
      <c r="AM2097">
        <v>66052</v>
      </c>
      <c r="AN2097">
        <v>1</v>
      </c>
      <c r="AO2097">
        <v>1</v>
      </c>
      <c r="AP2097" t="s">
        <v>3015</v>
      </c>
      <c r="AQ2097" t="s">
        <v>3012</v>
      </c>
      <c r="AR2097" t="s">
        <v>3016</v>
      </c>
      <c r="AT2097" t="s">
        <v>3017</v>
      </c>
      <c r="AU2097" t="s">
        <v>3018</v>
      </c>
    </row>
    <row r="2098" spans="1:47" x14ac:dyDescent="0.35">
      <c r="A2098">
        <v>337742</v>
      </c>
      <c r="B2098" t="s">
        <v>193</v>
      </c>
      <c r="C2098" t="s">
        <v>194</v>
      </c>
      <c r="D2098" s="2">
        <v>45780</v>
      </c>
      <c r="E2098">
        <v>53850</v>
      </c>
      <c r="F2098">
        <v>174</v>
      </c>
      <c r="G2098" t="s">
        <v>224</v>
      </c>
      <c r="H2098" t="s">
        <v>167</v>
      </c>
      <c r="I2098" t="s">
        <v>45</v>
      </c>
      <c r="K2098" t="s">
        <v>2215</v>
      </c>
      <c r="L2098">
        <v>1743302879903</v>
      </c>
      <c r="M2098">
        <v>20250502</v>
      </c>
      <c r="N2098" t="s">
        <v>175</v>
      </c>
      <c r="Q2098" t="s">
        <v>47</v>
      </c>
      <c r="R2098">
        <v>67855.56</v>
      </c>
      <c r="S2098">
        <v>52000</v>
      </c>
      <c r="T2098">
        <v>4928259</v>
      </c>
      <c r="U2098">
        <v>8287320728</v>
      </c>
      <c r="V2098" t="s">
        <v>534</v>
      </c>
      <c r="W2098" t="s">
        <v>49</v>
      </c>
      <c r="X2098" t="s">
        <v>117</v>
      </c>
      <c r="Y2098" t="s">
        <v>51</v>
      </c>
      <c r="Z2098">
        <v>448</v>
      </c>
      <c r="AH2098">
        <v>0</v>
      </c>
      <c r="AI2098">
        <v>202505</v>
      </c>
      <c r="AJ2098" t="s">
        <v>52</v>
      </c>
      <c r="AK2098">
        <v>0</v>
      </c>
      <c r="AL2098">
        <v>1</v>
      </c>
      <c r="AM2098">
        <v>4928259</v>
      </c>
      <c r="AN2098">
        <v>1</v>
      </c>
      <c r="AO2098">
        <v>1</v>
      </c>
      <c r="AP2098" t="s">
        <v>3029</v>
      </c>
      <c r="AQ2098" t="s">
        <v>3012</v>
      </c>
      <c r="AR2098" t="s">
        <v>3030</v>
      </c>
      <c r="AS2098" t="s">
        <v>3014</v>
      </c>
      <c r="AU2098" t="s">
        <v>3014</v>
      </c>
    </row>
    <row r="2099" spans="1:47" x14ac:dyDescent="0.35">
      <c r="A2099">
        <v>337741</v>
      </c>
      <c r="B2099" t="s">
        <v>214</v>
      </c>
      <c r="C2099" t="s">
        <v>215</v>
      </c>
      <c r="D2099" s="2">
        <v>45780</v>
      </c>
      <c r="E2099">
        <v>53850</v>
      </c>
      <c r="F2099">
        <v>131</v>
      </c>
      <c r="G2099" t="s">
        <v>216</v>
      </c>
      <c r="H2099" t="s">
        <v>167</v>
      </c>
      <c r="I2099" t="s">
        <v>45</v>
      </c>
      <c r="K2099">
        <v>202505027942655</v>
      </c>
      <c r="L2099">
        <v>1313300001588</v>
      </c>
      <c r="M2099">
        <v>20250502</v>
      </c>
      <c r="N2099" t="s">
        <v>168</v>
      </c>
      <c r="P2099" t="s">
        <v>2223</v>
      </c>
      <c r="Q2099" t="s">
        <v>47</v>
      </c>
      <c r="R2099">
        <v>57850.2</v>
      </c>
      <c r="S2099">
        <v>0</v>
      </c>
      <c r="T2099">
        <v>4121868</v>
      </c>
      <c r="U2099">
        <v>5913290630</v>
      </c>
      <c r="V2099" t="s">
        <v>1164</v>
      </c>
      <c r="W2099" t="s">
        <v>49</v>
      </c>
      <c r="X2099" t="s">
        <v>1165</v>
      </c>
      <c r="Y2099" t="s">
        <v>51</v>
      </c>
      <c r="Z2099">
        <v>739</v>
      </c>
      <c r="AH2099">
        <v>0</v>
      </c>
      <c r="AI2099">
        <v>202505</v>
      </c>
      <c r="AJ2099" t="s">
        <v>56</v>
      </c>
      <c r="AK2099">
        <v>0</v>
      </c>
      <c r="AL2099">
        <v>1</v>
      </c>
      <c r="AO2099">
        <v>0</v>
      </c>
      <c r="AP2099" t="s">
        <v>3015</v>
      </c>
      <c r="AQ2099" t="s">
        <v>3012</v>
      </c>
      <c r="AR2099" t="s">
        <v>3016</v>
      </c>
      <c r="AT2099" t="s">
        <v>3017</v>
      </c>
      <c r="AU2099" t="s">
        <v>3018</v>
      </c>
    </row>
    <row r="2100" spans="1:47" x14ac:dyDescent="0.35">
      <c r="A2100">
        <v>337740</v>
      </c>
      <c r="B2100" t="s">
        <v>178</v>
      </c>
      <c r="C2100" t="s">
        <v>179</v>
      </c>
      <c r="D2100" s="2">
        <v>45780</v>
      </c>
      <c r="E2100">
        <v>53850</v>
      </c>
      <c r="F2100">
        <v>181</v>
      </c>
      <c r="G2100" t="s">
        <v>180</v>
      </c>
      <c r="H2100" t="s">
        <v>167</v>
      </c>
      <c r="I2100" t="s">
        <v>45</v>
      </c>
      <c r="K2100">
        <v>202505027944705</v>
      </c>
      <c r="L2100">
        <v>1813300010027</v>
      </c>
      <c r="M2100">
        <v>20250502</v>
      </c>
      <c r="N2100" t="s">
        <v>3136</v>
      </c>
      <c r="Q2100" t="s">
        <v>170</v>
      </c>
      <c r="R2100">
        <v>41382.71</v>
      </c>
      <c r="S2100">
        <v>0</v>
      </c>
      <c r="T2100">
        <v>49014</v>
      </c>
      <c r="U2100" t="s">
        <v>2224</v>
      </c>
      <c r="V2100" t="s">
        <v>2225</v>
      </c>
      <c r="W2100" t="s">
        <v>187</v>
      </c>
      <c r="Y2100" t="s">
        <v>51</v>
      </c>
      <c r="Z2100">
        <v>692</v>
      </c>
      <c r="AH2100">
        <v>0</v>
      </c>
      <c r="AI2100">
        <v>202505</v>
      </c>
      <c r="AJ2100" t="s">
        <v>86</v>
      </c>
      <c r="AK2100">
        <v>1</v>
      </c>
      <c r="AL2100">
        <v>1</v>
      </c>
      <c r="AO2100">
        <v>1</v>
      </c>
      <c r="AP2100" t="s">
        <v>3015</v>
      </c>
      <c r="AQ2100" t="s">
        <v>3044</v>
      </c>
      <c r="AR2100" t="s">
        <v>3045</v>
      </c>
      <c r="AS2100" t="s">
        <v>3046</v>
      </c>
      <c r="AU2100" t="s">
        <v>3046</v>
      </c>
    </row>
    <row r="2101" spans="1:47" x14ac:dyDescent="0.35">
      <c r="A2101">
        <v>337739</v>
      </c>
      <c r="B2101" t="s">
        <v>193</v>
      </c>
      <c r="C2101" t="s">
        <v>194</v>
      </c>
      <c r="D2101" s="2">
        <v>45780</v>
      </c>
      <c r="E2101">
        <v>53850</v>
      </c>
      <c r="F2101">
        <v>273</v>
      </c>
      <c r="G2101" t="s">
        <v>133</v>
      </c>
      <c r="H2101" t="s">
        <v>167</v>
      </c>
      <c r="I2101" t="s">
        <v>45</v>
      </c>
      <c r="K2101" t="s">
        <v>2215</v>
      </c>
      <c r="L2101">
        <v>2733300000498</v>
      </c>
      <c r="M2101">
        <v>20250502</v>
      </c>
      <c r="N2101" t="s">
        <v>195</v>
      </c>
      <c r="Q2101" t="s">
        <v>47</v>
      </c>
      <c r="R2101">
        <v>62175</v>
      </c>
      <c r="S2101">
        <v>62175</v>
      </c>
      <c r="T2101">
        <v>1617415</v>
      </c>
      <c r="U2101">
        <v>2262360692</v>
      </c>
      <c r="V2101" t="s">
        <v>691</v>
      </c>
      <c r="W2101" t="s">
        <v>49</v>
      </c>
      <c r="X2101" t="s">
        <v>197</v>
      </c>
      <c r="Y2101" t="s">
        <v>51</v>
      </c>
      <c r="Z2101">
        <v>1765</v>
      </c>
      <c r="AH2101">
        <v>0</v>
      </c>
      <c r="AI2101">
        <v>202505</v>
      </c>
      <c r="AJ2101" t="s">
        <v>56</v>
      </c>
      <c r="AK2101">
        <v>0</v>
      </c>
      <c r="AL2101">
        <v>1</v>
      </c>
      <c r="AM2101">
        <v>1617415</v>
      </c>
      <c r="AN2101">
        <v>1</v>
      </c>
      <c r="AO2101">
        <v>0</v>
      </c>
      <c r="AP2101" t="s">
        <v>3050</v>
      </c>
      <c r="AQ2101" t="s">
        <v>3012</v>
      </c>
      <c r="AR2101" t="s">
        <v>3071</v>
      </c>
      <c r="AS2101" t="s">
        <v>3028</v>
      </c>
      <c r="AU2101" t="s">
        <v>3028</v>
      </c>
    </row>
    <row r="2102" spans="1:47" x14ac:dyDescent="0.35">
      <c r="A2102">
        <v>337738</v>
      </c>
      <c r="B2102" t="s">
        <v>172</v>
      </c>
      <c r="C2102" t="s">
        <v>173</v>
      </c>
      <c r="D2102" s="2">
        <v>45780</v>
      </c>
      <c r="E2102">
        <v>53850</v>
      </c>
      <c r="F2102">
        <v>121</v>
      </c>
      <c r="G2102" t="s">
        <v>140</v>
      </c>
      <c r="H2102" t="s">
        <v>167</v>
      </c>
      <c r="I2102" t="s">
        <v>45</v>
      </c>
      <c r="K2102" t="s">
        <v>2215</v>
      </c>
      <c r="L2102">
        <v>1213300002600</v>
      </c>
      <c r="M2102">
        <v>20250502</v>
      </c>
      <c r="N2102" t="s">
        <v>175</v>
      </c>
      <c r="Q2102" t="s">
        <v>47</v>
      </c>
      <c r="R2102">
        <v>1165788.52</v>
      </c>
      <c r="S2102">
        <v>0</v>
      </c>
      <c r="T2102">
        <v>4939345</v>
      </c>
      <c r="U2102">
        <v>5754810728</v>
      </c>
      <c r="V2102" t="s">
        <v>570</v>
      </c>
      <c r="W2102" t="s">
        <v>49</v>
      </c>
      <c r="X2102" t="s">
        <v>117</v>
      </c>
      <c r="Y2102" t="s">
        <v>51</v>
      </c>
      <c r="Z2102">
        <v>1058</v>
      </c>
      <c r="AH2102">
        <v>0</v>
      </c>
      <c r="AI2102">
        <v>202505</v>
      </c>
      <c r="AJ2102" t="s">
        <v>114</v>
      </c>
      <c r="AK2102">
        <v>1</v>
      </c>
      <c r="AL2102">
        <v>1</v>
      </c>
      <c r="AO2102">
        <v>1</v>
      </c>
      <c r="AP2102" t="s">
        <v>3029</v>
      </c>
      <c r="AQ2102" t="s">
        <v>3012</v>
      </c>
      <c r="AR2102" t="s">
        <v>3030</v>
      </c>
      <c r="AS2102" t="s">
        <v>3014</v>
      </c>
      <c r="AU2102" t="s">
        <v>3014</v>
      </c>
    </row>
    <row r="2103" spans="1:47" x14ac:dyDescent="0.35">
      <c r="A2103">
        <v>337737</v>
      </c>
      <c r="B2103" t="s">
        <v>164</v>
      </c>
      <c r="C2103" t="s">
        <v>165</v>
      </c>
      <c r="D2103" s="2">
        <v>45780</v>
      </c>
      <c r="E2103">
        <v>53850</v>
      </c>
      <c r="F2103">
        <v>164</v>
      </c>
      <c r="G2103" t="s">
        <v>651</v>
      </c>
      <c r="H2103" t="s">
        <v>167</v>
      </c>
      <c r="I2103" t="s">
        <v>45</v>
      </c>
      <c r="K2103">
        <v>202505027942312</v>
      </c>
      <c r="L2103">
        <v>1643300370610</v>
      </c>
      <c r="M2103">
        <v>20250502</v>
      </c>
      <c r="N2103" t="s">
        <v>168</v>
      </c>
      <c r="P2103" t="s">
        <v>203</v>
      </c>
      <c r="Q2103" t="s">
        <v>47</v>
      </c>
      <c r="R2103">
        <v>27633.15</v>
      </c>
      <c r="S2103">
        <v>0</v>
      </c>
      <c r="T2103">
        <v>3700118</v>
      </c>
      <c r="U2103">
        <v>4318090711</v>
      </c>
      <c r="V2103" t="s">
        <v>2226</v>
      </c>
      <c r="W2103" t="s">
        <v>49</v>
      </c>
      <c r="X2103" t="s">
        <v>77</v>
      </c>
      <c r="Y2103" t="s">
        <v>51</v>
      </c>
      <c r="Z2103">
        <v>677</v>
      </c>
      <c r="AH2103">
        <v>0</v>
      </c>
      <c r="AI2103">
        <v>202505</v>
      </c>
      <c r="AJ2103" t="s">
        <v>56</v>
      </c>
      <c r="AK2103">
        <v>0</v>
      </c>
      <c r="AL2103">
        <v>1</v>
      </c>
      <c r="AO2103">
        <v>0</v>
      </c>
      <c r="AP2103" t="s">
        <v>3015</v>
      </c>
      <c r="AQ2103" t="s">
        <v>3012</v>
      </c>
      <c r="AR2103" t="s">
        <v>3016</v>
      </c>
      <c r="AT2103" t="s">
        <v>3017</v>
      </c>
      <c r="AU2103" t="s">
        <v>3018</v>
      </c>
    </row>
    <row r="2104" spans="1:47" x14ac:dyDescent="0.35">
      <c r="A2104">
        <v>337736</v>
      </c>
      <c r="B2104" t="s">
        <v>193</v>
      </c>
      <c r="C2104" t="s">
        <v>194</v>
      </c>
      <c r="D2104" s="2">
        <v>45780</v>
      </c>
      <c r="E2104">
        <v>53850</v>
      </c>
      <c r="F2104">
        <v>268</v>
      </c>
      <c r="G2104" t="s">
        <v>83</v>
      </c>
      <c r="H2104" t="s">
        <v>167</v>
      </c>
      <c r="I2104" t="s">
        <v>45</v>
      </c>
      <c r="K2104" t="s">
        <v>2215</v>
      </c>
      <c r="L2104">
        <v>2683300010030</v>
      </c>
      <c r="M2104">
        <v>20250502</v>
      </c>
      <c r="N2104" t="s">
        <v>195</v>
      </c>
      <c r="Q2104" t="s">
        <v>47</v>
      </c>
      <c r="R2104">
        <v>36730</v>
      </c>
      <c r="S2104">
        <v>36730</v>
      </c>
      <c r="T2104">
        <v>4966939</v>
      </c>
      <c r="U2104" t="s">
        <v>221</v>
      </c>
      <c r="V2104" t="s">
        <v>222</v>
      </c>
      <c r="W2104" t="s">
        <v>69</v>
      </c>
      <c r="X2104" t="s">
        <v>55</v>
      </c>
      <c r="Y2104" t="s">
        <v>51</v>
      </c>
      <c r="Z2104">
        <v>1870</v>
      </c>
      <c r="AH2104">
        <v>0</v>
      </c>
      <c r="AI2104">
        <v>202505</v>
      </c>
      <c r="AJ2104" t="s">
        <v>56</v>
      </c>
      <c r="AK2104">
        <v>0</v>
      </c>
      <c r="AL2104">
        <v>1</v>
      </c>
      <c r="AM2104">
        <v>4966939</v>
      </c>
      <c r="AN2104">
        <v>1</v>
      </c>
      <c r="AO2104">
        <v>0</v>
      </c>
      <c r="AP2104" t="s">
        <v>3015</v>
      </c>
      <c r="AQ2104" t="s">
        <v>3021</v>
      </c>
      <c r="AR2104" t="s">
        <v>3022</v>
      </c>
      <c r="AT2104" t="s">
        <v>3017</v>
      </c>
      <c r="AU2104" t="s">
        <v>3014</v>
      </c>
    </row>
    <row r="2105" spans="1:47" x14ac:dyDescent="0.35">
      <c r="A2105">
        <v>337735</v>
      </c>
      <c r="B2105" t="s">
        <v>178</v>
      </c>
      <c r="C2105" t="s">
        <v>179</v>
      </c>
      <c r="D2105" s="2">
        <v>45780</v>
      </c>
      <c r="E2105">
        <v>53850</v>
      </c>
      <c r="F2105">
        <v>284</v>
      </c>
      <c r="G2105" t="s">
        <v>184</v>
      </c>
      <c r="H2105" t="s">
        <v>167</v>
      </c>
      <c r="I2105" t="s">
        <v>45</v>
      </c>
      <c r="K2105">
        <v>202505027944882</v>
      </c>
      <c r="L2105">
        <v>2843300000478</v>
      </c>
      <c r="M2105">
        <v>20250502</v>
      </c>
      <c r="N2105" t="s">
        <v>3136</v>
      </c>
      <c r="Q2105" t="s">
        <v>170</v>
      </c>
      <c r="R2105">
        <v>5641.99</v>
      </c>
      <c r="S2105">
        <v>0</v>
      </c>
      <c r="T2105">
        <v>1656708</v>
      </c>
      <c r="U2105" t="s">
        <v>2227</v>
      </c>
      <c r="V2105" t="s">
        <v>2228</v>
      </c>
      <c r="W2105" t="s">
        <v>187</v>
      </c>
      <c r="Y2105" t="s">
        <v>51</v>
      </c>
      <c r="Z2105">
        <v>1860</v>
      </c>
      <c r="AH2105">
        <v>0</v>
      </c>
      <c r="AI2105">
        <v>202505</v>
      </c>
      <c r="AJ2105" t="s">
        <v>52</v>
      </c>
      <c r="AK2105">
        <v>0</v>
      </c>
      <c r="AL2105">
        <v>1</v>
      </c>
      <c r="AO2105">
        <v>1</v>
      </c>
      <c r="AP2105" t="s">
        <v>3015</v>
      </c>
      <c r="AQ2105" t="s">
        <v>3044</v>
      </c>
      <c r="AR2105" t="s">
        <v>3045</v>
      </c>
      <c r="AS2105" t="s">
        <v>3046</v>
      </c>
      <c r="AU2105" t="s">
        <v>3046</v>
      </c>
    </row>
    <row r="2106" spans="1:47" x14ac:dyDescent="0.35">
      <c r="A2106">
        <v>337734</v>
      </c>
      <c r="B2106" t="s">
        <v>193</v>
      </c>
      <c r="C2106" t="s">
        <v>194</v>
      </c>
      <c r="D2106" s="2">
        <v>45780</v>
      </c>
      <c r="E2106">
        <v>53850</v>
      </c>
      <c r="F2106">
        <v>102</v>
      </c>
      <c r="G2106" t="s">
        <v>151</v>
      </c>
      <c r="H2106" t="s">
        <v>167</v>
      </c>
      <c r="I2106" t="s">
        <v>45</v>
      </c>
      <c r="K2106" t="s">
        <v>2215</v>
      </c>
      <c r="L2106">
        <v>1023308722503</v>
      </c>
      <c r="M2106">
        <v>20250502</v>
      </c>
      <c r="N2106" t="s">
        <v>195</v>
      </c>
      <c r="Q2106" t="s">
        <v>47</v>
      </c>
      <c r="R2106">
        <v>70770</v>
      </c>
      <c r="S2106">
        <v>70770</v>
      </c>
      <c r="T2106">
        <v>413650</v>
      </c>
      <c r="U2106">
        <v>3657230722</v>
      </c>
      <c r="V2106" t="s">
        <v>196</v>
      </c>
      <c r="W2106" t="s">
        <v>190</v>
      </c>
      <c r="X2106" t="s">
        <v>197</v>
      </c>
      <c r="Y2106" t="s">
        <v>51</v>
      </c>
      <c r="Z2106">
        <v>1306</v>
      </c>
      <c r="AH2106">
        <v>0</v>
      </c>
      <c r="AI2106">
        <v>202505</v>
      </c>
      <c r="AJ2106" t="s">
        <v>56</v>
      </c>
      <c r="AK2106">
        <v>0</v>
      </c>
      <c r="AL2106">
        <v>1</v>
      </c>
      <c r="AM2106">
        <v>413650</v>
      </c>
      <c r="AN2106">
        <v>1</v>
      </c>
      <c r="AO2106">
        <v>0</v>
      </c>
      <c r="AP2106" t="s">
        <v>3050</v>
      </c>
      <c r="AQ2106" t="s">
        <v>3047</v>
      </c>
      <c r="AR2106" t="s">
        <v>3051</v>
      </c>
      <c r="AS2106" t="s">
        <v>3049</v>
      </c>
      <c r="AU2106" t="s">
        <v>3049</v>
      </c>
    </row>
    <row r="2107" spans="1:47" x14ac:dyDescent="0.35">
      <c r="A2107">
        <v>337733</v>
      </c>
      <c r="B2107" t="s">
        <v>193</v>
      </c>
      <c r="C2107" t="s">
        <v>194</v>
      </c>
      <c r="D2107" s="2">
        <v>45780</v>
      </c>
      <c r="E2107">
        <v>53850</v>
      </c>
      <c r="F2107">
        <v>116</v>
      </c>
      <c r="G2107" t="s">
        <v>126</v>
      </c>
      <c r="H2107" t="s">
        <v>167</v>
      </c>
      <c r="I2107" t="s">
        <v>45</v>
      </c>
      <c r="K2107">
        <v>202505027944065</v>
      </c>
      <c r="L2107">
        <v>2343300010453</v>
      </c>
      <c r="M2107">
        <v>20250502</v>
      </c>
      <c r="N2107" t="s">
        <v>195</v>
      </c>
      <c r="Q2107" t="s">
        <v>47</v>
      </c>
      <c r="R2107">
        <v>70275</v>
      </c>
      <c r="S2107">
        <v>70275</v>
      </c>
      <c r="T2107">
        <v>4247777</v>
      </c>
      <c r="U2107">
        <v>233470236</v>
      </c>
      <c r="V2107" t="s">
        <v>206</v>
      </c>
      <c r="W2107" t="s">
        <v>49</v>
      </c>
      <c r="X2107" t="s">
        <v>117</v>
      </c>
      <c r="Y2107" t="s">
        <v>51</v>
      </c>
      <c r="Z2107">
        <v>1696</v>
      </c>
      <c r="AH2107">
        <v>0</v>
      </c>
      <c r="AI2107">
        <v>202505</v>
      </c>
      <c r="AJ2107" t="s">
        <v>114</v>
      </c>
      <c r="AK2107">
        <v>1</v>
      </c>
      <c r="AL2107">
        <v>1</v>
      </c>
      <c r="AM2107">
        <v>4247777</v>
      </c>
      <c r="AN2107">
        <v>1</v>
      </c>
      <c r="AO2107">
        <v>0</v>
      </c>
      <c r="AP2107" t="s">
        <v>3029</v>
      </c>
      <c r="AQ2107" t="s">
        <v>3012</v>
      </c>
      <c r="AR2107" t="s">
        <v>3030</v>
      </c>
      <c r="AS2107" t="s">
        <v>3014</v>
      </c>
      <c r="AU2107" t="s">
        <v>3014</v>
      </c>
    </row>
    <row r="2108" spans="1:47" x14ac:dyDescent="0.35">
      <c r="A2108">
        <v>337732</v>
      </c>
      <c r="B2108" t="s">
        <v>172</v>
      </c>
      <c r="C2108" t="s">
        <v>173</v>
      </c>
      <c r="D2108" s="2">
        <v>45780</v>
      </c>
      <c r="E2108">
        <v>53850</v>
      </c>
      <c r="F2108">
        <v>195</v>
      </c>
      <c r="G2108" t="s">
        <v>498</v>
      </c>
      <c r="H2108" t="s">
        <v>167</v>
      </c>
      <c r="I2108" t="s">
        <v>45</v>
      </c>
      <c r="K2108">
        <v>202505027944756</v>
      </c>
      <c r="L2108">
        <v>1953300029029</v>
      </c>
      <c r="M2108">
        <v>20250502</v>
      </c>
      <c r="N2108" t="s">
        <v>81</v>
      </c>
      <c r="Q2108" t="s">
        <v>47</v>
      </c>
      <c r="R2108">
        <v>105000</v>
      </c>
      <c r="S2108">
        <v>0</v>
      </c>
      <c r="T2108">
        <v>3033333</v>
      </c>
      <c r="U2108" t="s">
        <v>2229</v>
      </c>
      <c r="V2108" t="s">
        <v>2230</v>
      </c>
      <c r="W2108" t="s">
        <v>69</v>
      </c>
      <c r="X2108" t="s">
        <v>234</v>
      </c>
      <c r="Y2108" t="s">
        <v>51</v>
      </c>
      <c r="AH2108">
        <v>0</v>
      </c>
      <c r="AI2108">
        <v>202505</v>
      </c>
      <c r="AJ2108" t="s">
        <v>86</v>
      </c>
      <c r="AK2108">
        <v>1</v>
      </c>
      <c r="AL2108">
        <v>1</v>
      </c>
      <c r="AO2108">
        <v>0</v>
      </c>
      <c r="AP2108" t="s">
        <v>3015</v>
      </c>
      <c r="AQ2108" t="s">
        <v>3021</v>
      </c>
      <c r="AR2108" t="s">
        <v>3022</v>
      </c>
      <c r="AT2108" t="s">
        <v>3017</v>
      </c>
      <c r="AU2108" t="s">
        <v>3014</v>
      </c>
    </row>
    <row r="2109" spans="1:47" x14ac:dyDescent="0.35">
      <c r="A2109">
        <v>337731</v>
      </c>
      <c r="B2109" t="s">
        <v>178</v>
      </c>
      <c r="C2109" t="s">
        <v>179</v>
      </c>
      <c r="D2109" s="2">
        <v>45780</v>
      </c>
      <c r="E2109">
        <v>53850</v>
      </c>
      <c r="F2109">
        <v>181</v>
      </c>
      <c r="G2109" t="s">
        <v>180</v>
      </c>
      <c r="H2109" t="s">
        <v>167</v>
      </c>
      <c r="I2109" t="s">
        <v>45</v>
      </c>
      <c r="K2109">
        <v>202505027944705</v>
      </c>
      <c r="L2109">
        <v>1813300010027</v>
      </c>
      <c r="M2109">
        <v>20250502</v>
      </c>
      <c r="N2109" t="s">
        <v>3136</v>
      </c>
      <c r="Q2109" t="s">
        <v>170</v>
      </c>
      <c r="R2109">
        <v>41382.71</v>
      </c>
      <c r="S2109">
        <v>0</v>
      </c>
      <c r="T2109">
        <v>53154</v>
      </c>
      <c r="U2109" t="s">
        <v>2231</v>
      </c>
      <c r="V2109" t="s">
        <v>2232</v>
      </c>
      <c r="W2109" t="s">
        <v>187</v>
      </c>
      <c r="Y2109" t="s">
        <v>51</v>
      </c>
      <c r="Z2109">
        <v>692</v>
      </c>
      <c r="AH2109">
        <v>0</v>
      </c>
      <c r="AI2109">
        <v>202505</v>
      </c>
      <c r="AJ2109" t="s">
        <v>86</v>
      </c>
      <c r="AK2109">
        <v>1</v>
      </c>
      <c r="AL2109">
        <v>1</v>
      </c>
      <c r="AO2109">
        <v>1</v>
      </c>
      <c r="AP2109" t="s">
        <v>3015</v>
      </c>
      <c r="AQ2109" t="s">
        <v>3044</v>
      </c>
      <c r="AR2109" t="s">
        <v>3045</v>
      </c>
      <c r="AS2109" t="s">
        <v>3046</v>
      </c>
      <c r="AU2109" t="s">
        <v>3046</v>
      </c>
    </row>
    <row r="2110" spans="1:47" x14ac:dyDescent="0.35">
      <c r="A2110">
        <v>337730</v>
      </c>
      <c r="B2110" t="s">
        <v>172</v>
      </c>
      <c r="C2110" t="s">
        <v>173</v>
      </c>
      <c r="D2110" s="2">
        <v>45780</v>
      </c>
      <c r="E2110">
        <v>53850</v>
      </c>
      <c r="F2110">
        <v>128</v>
      </c>
      <c r="G2110" t="s">
        <v>94</v>
      </c>
      <c r="H2110" t="s">
        <v>167</v>
      </c>
      <c r="I2110" t="s">
        <v>45</v>
      </c>
      <c r="K2110" t="s">
        <v>2215</v>
      </c>
      <c r="L2110">
        <v>1283300001665</v>
      </c>
      <c r="M2110">
        <v>20250502</v>
      </c>
      <c r="N2110" t="s">
        <v>175</v>
      </c>
      <c r="Q2110" t="s">
        <v>47</v>
      </c>
      <c r="R2110">
        <v>123705.37</v>
      </c>
      <c r="S2110">
        <v>4000</v>
      </c>
      <c r="T2110">
        <v>4254896</v>
      </c>
      <c r="U2110">
        <v>6234730726</v>
      </c>
      <c r="V2110" t="s">
        <v>95</v>
      </c>
      <c r="W2110" t="s">
        <v>49</v>
      </c>
      <c r="X2110" t="s">
        <v>96</v>
      </c>
      <c r="Y2110" t="s">
        <v>51</v>
      </c>
      <c r="Z2110">
        <v>1919</v>
      </c>
      <c r="AH2110">
        <v>0</v>
      </c>
      <c r="AI2110">
        <v>202505</v>
      </c>
      <c r="AJ2110" t="s">
        <v>56</v>
      </c>
      <c r="AK2110">
        <v>0</v>
      </c>
      <c r="AL2110">
        <v>1</v>
      </c>
      <c r="AO2110">
        <v>1</v>
      </c>
      <c r="AP2110" t="s">
        <v>3015</v>
      </c>
      <c r="AQ2110" t="s">
        <v>3012</v>
      </c>
      <c r="AR2110" t="s">
        <v>3016</v>
      </c>
      <c r="AT2110" t="s">
        <v>3017</v>
      </c>
      <c r="AU2110" t="s">
        <v>3018</v>
      </c>
    </row>
    <row r="2111" spans="1:47" x14ac:dyDescent="0.35">
      <c r="A2111">
        <v>337729</v>
      </c>
      <c r="B2111" t="s">
        <v>164</v>
      </c>
      <c r="C2111" t="s">
        <v>165</v>
      </c>
      <c r="D2111" s="2">
        <v>45780</v>
      </c>
      <c r="E2111">
        <v>53850</v>
      </c>
      <c r="F2111">
        <v>105</v>
      </c>
      <c r="G2111" t="s">
        <v>60</v>
      </c>
      <c r="H2111" t="s">
        <v>167</v>
      </c>
      <c r="I2111" t="s">
        <v>45</v>
      </c>
      <c r="K2111" t="s">
        <v>2233</v>
      </c>
      <c r="L2111">
        <v>1053306295089</v>
      </c>
      <c r="M2111">
        <v>20250502</v>
      </c>
      <c r="N2111" t="s">
        <v>168</v>
      </c>
      <c r="P2111" t="s">
        <v>255</v>
      </c>
      <c r="Q2111" t="s">
        <v>47</v>
      </c>
      <c r="R2111">
        <v>1312.01</v>
      </c>
      <c r="S2111">
        <v>0</v>
      </c>
      <c r="T2111">
        <v>3716148</v>
      </c>
      <c r="U2111">
        <v>6264740728</v>
      </c>
      <c r="V2111" t="s">
        <v>1607</v>
      </c>
      <c r="W2111" t="s">
        <v>49</v>
      </c>
      <c r="X2111" t="s">
        <v>59</v>
      </c>
      <c r="Y2111" t="s">
        <v>51</v>
      </c>
      <c r="Z2111">
        <v>462</v>
      </c>
      <c r="AH2111">
        <v>0</v>
      </c>
      <c r="AI2111">
        <v>202505</v>
      </c>
      <c r="AJ2111" t="s">
        <v>119</v>
      </c>
      <c r="AK2111">
        <v>1</v>
      </c>
      <c r="AL2111">
        <v>1</v>
      </c>
      <c r="AO2111">
        <v>0</v>
      </c>
      <c r="AP2111" t="s">
        <v>3015</v>
      </c>
      <c r="AQ2111" t="s">
        <v>3012</v>
      </c>
      <c r="AR2111" t="s">
        <v>3016</v>
      </c>
      <c r="AT2111" t="s">
        <v>3017</v>
      </c>
      <c r="AU2111" t="s">
        <v>3018</v>
      </c>
    </row>
    <row r="2112" spans="1:47" x14ac:dyDescent="0.35">
      <c r="A2112">
        <v>364838</v>
      </c>
      <c r="B2112" t="s">
        <v>41</v>
      </c>
      <c r="C2112" t="s">
        <v>42</v>
      </c>
      <c r="D2112" s="2">
        <v>45850</v>
      </c>
      <c r="E2112">
        <v>53850</v>
      </c>
      <c r="F2112">
        <v>141</v>
      </c>
      <c r="G2112" t="s">
        <v>105</v>
      </c>
      <c r="H2112" t="s">
        <v>44</v>
      </c>
      <c r="I2112" t="s">
        <v>45</v>
      </c>
      <c r="L2112">
        <v>1413300003985</v>
      </c>
      <c r="M2112">
        <v>20250623</v>
      </c>
      <c r="N2112" t="s">
        <v>46</v>
      </c>
      <c r="Q2112" t="s">
        <v>47</v>
      </c>
      <c r="R2112">
        <v>8550000</v>
      </c>
      <c r="T2112">
        <v>4996689</v>
      </c>
      <c r="U2112">
        <v>80010360750</v>
      </c>
      <c r="V2112" t="s">
        <v>106</v>
      </c>
      <c r="W2112" t="s">
        <v>49</v>
      </c>
      <c r="X2112" t="s">
        <v>107</v>
      </c>
      <c r="Y2112" t="s">
        <v>51</v>
      </c>
      <c r="Z2112">
        <v>1940</v>
      </c>
      <c r="AH2112">
        <v>0</v>
      </c>
      <c r="AI2112">
        <v>202506</v>
      </c>
      <c r="AJ2112" t="s">
        <v>119</v>
      </c>
      <c r="AK2112">
        <v>1</v>
      </c>
      <c r="AL2112">
        <v>1</v>
      </c>
      <c r="AO2112">
        <v>0</v>
      </c>
      <c r="AP2112" t="s">
        <v>3024</v>
      </c>
      <c r="AQ2112" t="s">
        <v>3012</v>
      </c>
      <c r="AR2112" t="s">
        <v>3025</v>
      </c>
      <c r="AS2112" t="s">
        <v>3014</v>
      </c>
      <c r="AU2112" t="s">
        <v>3014</v>
      </c>
    </row>
    <row r="2113" spans="1:47" x14ac:dyDescent="0.35">
      <c r="A2113">
        <v>364835</v>
      </c>
      <c r="B2113" t="s">
        <v>41</v>
      </c>
      <c r="C2113" t="s">
        <v>42</v>
      </c>
      <c r="D2113" s="2">
        <v>45850</v>
      </c>
      <c r="E2113">
        <v>53850</v>
      </c>
      <c r="F2113">
        <v>171</v>
      </c>
      <c r="G2113" t="s">
        <v>198</v>
      </c>
      <c r="H2113" t="s">
        <v>44</v>
      </c>
      <c r="I2113" t="s">
        <v>45</v>
      </c>
      <c r="L2113">
        <v>1713302213842</v>
      </c>
      <c r="M2113">
        <v>20250626</v>
      </c>
      <c r="N2113" t="s">
        <v>46</v>
      </c>
      <c r="Q2113" t="s">
        <v>47</v>
      </c>
      <c r="R2113">
        <v>200000</v>
      </c>
      <c r="T2113">
        <v>4148505</v>
      </c>
      <c r="U2113">
        <v>5848860721</v>
      </c>
      <c r="V2113" t="s">
        <v>1281</v>
      </c>
      <c r="W2113" t="s">
        <v>49</v>
      </c>
      <c r="X2113" t="s">
        <v>260</v>
      </c>
      <c r="Y2113" t="s">
        <v>51</v>
      </c>
      <c r="Z2113">
        <v>1903</v>
      </c>
      <c r="AH2113">
        <v>0</v>
      </c>
      <c r="AI2113">
        <v>202506</v>
      </c>
      <c r="AJ2113" t="s">
        <v>86</v>
      </c>
      <c r="AK2113">
        <v>1</v>
      </c>
      <c r="AL2113">
        <v>1</v>
      </c>
      <c r="AO2113">
        <v>0</v>
      </c>
      <c r="AP2113" t="s">
        <v>3015</v>
      </c>
      <c r="AQ2113" t="s">
        <v>3012</v>
      </c>
      <c r="AR2113" t="s">
        <v>3016</v>
      </c>
      <c r="AT2113" t="s">
        <v>3017</v>
      </c>
      <c r="AU2113" t="s">
        <v>3018</v>
      </c>
    </row>
    <row r="2114" spans="1:47" x14ac:dyDescent="0.35">
      <c r="A2114">
        <v>364832</v>
      </c>
      <c r="B2114" t="s">
        <v>41</v>
      </c>
      <c r="C2114" t="s">
        <v>42</v>
      </c>
      <c r="D2114" s="2">
        <v>45850</v>
      </c>
      <c r="E2114">
        <v>53850</v>
      </c>
      <c r="F2114">
        <v>122</v>
      </c>
      <c r="G2114" t="s">
        <v>43</v>
      </c>
      <c r="H2114" t="s">
        <v>44</v>
      </c>
      <c r="I2114" t="s">
        <v>45</v>
      </c>
      <c r="L2114">
        <v>1223300001682</v>
      </c>
      <c r="M2114">
        <v>20250609</v>
      </c>
      <c r="N2114" t="s">
        <v>46</v>
      </c>
      <c r="Q2114" t="s">
        <v>47</v>
      </c>
      <c r="R2114">
        <v>170000</v>
      </c>
      <c r="T2114">
        <v>3711207</v>
      </c>
      <c r="U2114">
        <v>8825020723</v>
      </c>
      <c r="V2114" t="s">
        <v>48</v>
      </c>
      <c r="W2114" t="s">
        <v>49</v>
      </c>
      <c r="X2114" t="s">
        <v>50</v>
      </c>
      <c r="Y2114" t="s">
        <v>51</v>
      </c>
      <c r="Z2114">
        <v>1696</v>
      </c>
      <c r="AH2114">
        <v>0</v>
      </c>
      <c r="AI2114">
        <v>202506</v>
      </c>
      <c r="AJ2114" t="s">
        <v>86</v>
      </c>
      <c r="AK2114">
        <v>1</v>
      </c>
      <c r="AL2114">
        <v>1</v>
      </c>
      <c r="AO2114">
        <v>0</v>
      </c>
      <c r="AP2114" t="s">
        <v>3011</v>
      </c>
      <c r="AQ2114" t="s">
        <v>3012</v>
      </c>
      <c r="AR2114" t="s">
        <v>3013</v>
      </c>
      <c r="AS2114" t="s">
        <v>3014</v>
      </c>
      <c r="AU2114" t="s">
        <v>3014</v>
      </c>
    </row>
    <row r="2115" spans="1:47" x14ac:dyDescent="0.35">
      <c r="A2115">
        <v>364827</v>
      </c>
      <c r="B2115" t="s">
        <v>41</v>
      </c>
      <c r="C2115" t="s">
        <v>42</v>
      </c>
      <c r="D2115" s="2">
        <v>45850</v>
      </c>
      <c r="E2115">
        <v>53850</v>
      </c>
      <c r="F2115">
        <v>192</v>
      </c>
      <c r="G2115" t="s">
        <v>66</v>
      </c>
      <c r="H2115" t="s">
        <v>44</v>
      </c>
      <c r="I2115" t="s">
        <v>45</v>
      </c>
      <c r="L2115">
        <v>1923300183163</v>
      </c>
      <c r="M2115">
        <v>20250624</v>
      </c>
      <c r="N2115" t="s">
        <v>46</v>
      </c>
      <c r="Q2115" t="s">
        <v>47</v>
      </c>
      <c r="R2115">
        <v>51800</v>
      </c>
      <c r="T2115">
        <v>4695944</v>
      </c>
      <c r="U2115" t="s">
        <v>67</v>
      </c>
      <c r="V2115" t="s">
        <v>68</v>
      </c>
      <c r="W2115" t="s">
        <v>69</v>
      </c>
      <c r="X2115" t="s">
        <v>70</v>
      </c>
      <c r="Y2115" t="s">
        <v>51</v>
      </c>
      <c r="Z2115">
        <v>481</v>
      </c>
      <c r="AH2115">
        <v>0</v>
      </c>
      <c r="AI2115">
        <v>202506</v>
      </c>
      <c r="AJ2115" t="s">
        <v>56</v>
      </c>
      <c r="AK2115">
        <v>0</v>
      </c>
      <c r="AL2115">
        <v>1</v>
      </c>
      <c r="AM2115">
        <v>4695944</v>
      </c>
      <c r="AN2115">
        <v>1</v>
      </c>
      <c r="AO2115">
        <v>0</v>
      </c>
      <c r="AP2115" t="s">
        <v>3015</v>
      </c>
      <c r="AQ2115" t="s">
        <v>3021</v>
      </c>
      <c r="AR2115" t="s">
        <v>3022</v>
      </c>
      <c r="AT2115" t="s">
        <v>3017</v>
      </c>
      <c r="AU2115" t="s">
        <v>3014</v>
      </c>
    </row>
    <row r="2116" spans="1:47" x14ac:dyDescent="0.35">
      <c r="A2116">
        <v>364824</v>
      </c>
      <c r="B2116" t="s">
        <v>41</v>
      </c>
      <c r="C2116" t="s">
        <v>42</v>
      </c>
      <c r="D2116" s="2">
        <v>45850</v>
      </c>
      <c r="E2116">
        <v>53850</v>
      </c>
      <c r="F2116">
        <v>108</v>
      </c>
      <c r="G2116" t="s">
        <v>124</v>
      </c>
      <c r="H2116" t="s">
        <v>44</v>
      </c>
      <c r="I2116" t="s">
        <v>45</v>
      </c>
      <c r="L2116">
        <v>1083300011180</v>
      </c>
      <c r="M2116">
        <v>20250618</v>
      </c>
      <c r="N2116" t="s">
        <v>46</v>
      </c>
      <c r="Q2116" t="s">
        <v>47</v>
      </c>
      <c r="R2116">
        <v>28598.95</v>
      </c>
      <c r="T2116">
        <v>1118</v>
      </c>
      <c r="U2116">
        <v>3246700722</v>
      </c>
      <c r="V2116" t="s">
        <v>125</v>
      </c>
      <c r="W2116" t="s">
        <v>49</v>
      </c>
      <c r="X2116" t="s">
        <v>96</v>
      </c>
      <c r="Y2116" t="s">
        <v>51</v>
      </c>
      <c r="Z2116">
        <v>1058</v>
      </c>
      <c r="AH2116">
        <v>0</v>
      </c>
      <c r="AI2116">
        <v>202506</v>
      </c>
      <c r="AJ2116" t="s">
        <v>86</v>
      </c>
      <c r="AK2116">
        <v>1</v>
      </c>
      <c r="AL2116">
        <v>1</v>
      </c>
      <c r="AO2116">
        <v>0</v>
      </c>
      <c r="AP2116" t="s">
        <v>3015</v>
      </c>
      <c r="AQ2116" t="s">
        <v>3012</v>
      </c>
      <c r="AR2116" t="s">
        <v>3016</v>
      </c>
      <c r="AT2116" t="s">
        <v>3017</v>
      </c>
      <c r="AU2116" t="s">
        <v>3018</v>
      </c>
    </row>
    <row r="2117" spans="1:47" x14ac:dyDescent="0.35">
      <c r="A2117">
        <v>364819</v>
      </c>
      <c r="B2117" t="s">
        <v>41</v>
      </c>
      <c r="C2117" t="s">
        <v>42</v>
      </c>
      <c r="D2117" s="2">
        <v>45850</v>
      </c>
      <c r="E2117">
        <v>53850</v>
      </c>
      <c r="F2117">
        <v>171</v>
      </c>
      <c r="G2117" t="s">
        <v>198</v>
      </c>
      <c r="H2117" t="s">
        <v>44</v>
      </c>
      <c r="I2117" t="s">
        <v>45</v>
      </c>
      <c r="L2117">
        <v>1713302213842</v>
      </c>
      <c r="M2117">
        <v>20250625</v>
      </c>
      <c r="N2117" t="s">
        <v>46</v>
      </c>
      <c r="Q2117" t="s">
        <v>47</v>
      </c>
      <c r="R2117">
        <v>110000</v>
      </c>
      <c r="T2117">
        <v>4148505</v>
      </c>
      <c r="U2117">
        <v>5848860721</v>
      </c>
      <c r="V2117" t="s">
        <v>1281</v>
      </c>
      <c r="W2117" t="s">
        <v>49</v>
      </c>
      <c r="X2117" t="s">
        <v>260</v>
      </c>
      <c r="Y2117" t="s">
        <v>51</v>
      </c>
      <c r="Z2117">
        <v>1903</v>
      </c>
      <c r="AH2117">
        <v>0</v>
      </c>
      <c r="AI2117">
        <v>202506</v>
      </c>
      <c r="AJ2117" t="s">
        <v>86</v>
      </c>
      <c r="AK2117">
        <v>1</v>
      </c>
      <c r="AL2117">
        <v>1</v>
      </c>
      <c r="AO2117">
        <v>0</v>
      </c>
      <c r="AP2117" t="s">
        <v>3015</v>
      </c>
      <c r="AQ2117" t="s">
        <v>3012</v>
      </c>
      <c r="AR2117" t="s">
        <v>3016</v>
      </c>
      <c r="AT2117" t="s">
        <v>3017</v>
      </c>
      <c r="AU2117" t="s">
        <v>3018</v>
      </c>
    </row>
    <row r="2118" spans="1:47" x14ac:dyDescent="0.35">
      <c r="A2118">
        <v>364817</v>
      </c>
      <c r="B2118" t="s">
        <v>41</v>
      </c>
      <c r="C2118" t="s">
        <v>42</v>
      </c>
      <c r="D2118" s="2">
        <v>45850</v>
      </c>
      <c r="E2118">
        <v>53850</v>
      </c>
      <c r="F2118">
        <v>261</v>
      </c>
      <c r="G2118" t="s">
        <v>136</v>
      </c>
      <c r="H2118" t="s">
        <v>44</v>
      </c>
      <c r="I2118" t="s">
        <v>45</v>
      </c>
      <c r="L2118">
        <v>2613300000185</v>
      </c>
      <c r="M2118">
        <v>20250603</v>
      </c>
      <c r="N2118" t="s">
        <v>46</v>
      </c>
      <c r="Q2118" t="s">
        <v>47</v>
      </c>
      <c r="R2118">
        <v>80000</v>
      </c>
      <c r="T2118">
        <v>1603119</v>
      </c>
      <c r="U2118">
        <v>941080707</v>
      </c>
      <c r="V2118" t="s">
        <v>1305</v>
      </c>
      <c r="W2118" t="s">
        <v>49</v>
      </c>
      <c r="X2118" t="s">
        <v>62</v>
      </c>
      <c r="Y2118" t="s">
        <v>51</v>
      </c>
      <c r="Z2118">
        <v>1856</v>
      </c>
      <c r="AH2118">
        <v>0</v>
      </c>
      <c r="AI2118">
        <v>202506</v>
      </c>
      <c r="AL2118">
        <v>1</v>
      </c>
      <c r="AO2118">
        <v>0</v>
      </c>
      <c r="AP2118" t="s">
        <v>3015</v>
      </c>
      <c r="AQ2118" t="s">
        <v>3012</v>
      </c>
      <c r="AR2118" t="s">
        <v>3016</v>
      </c>
      <c r="AT2118" t="s">
        <v>3017</v>
      </c>
      <c r="AU2118" t="s">
        <v>3018</v>
      </c>
    </row>
    <row r="2119" spans="1:47" x14ac:dyDescent="0.35">
      <c r="A2119">
        <v>364815</v>
      </c>
      <c r="B2119" t="s">
        <v>41</v>
      </c>
      <c r="C2119" t="s">
        <v>42</v>
      </c>
      <c r="D2119" s="2">
        <v>45850</v>
      </c>
      <c r="E2119">
        <v>53850</v>
      </c>
      <c r="F2119">
        <v>175</v>
      </c>
      <c r="G2119" t="s">
        <v>99</v>
      </c>
      <c r="H2119" t="s">
        <v>44</v>
      </c>
      <c r="I2119" t="s">
        <v>45</v>
      </c>
      <c r="L2119">
        <v>1753302203127</v>
      </c>
      <c r="M2119">
        <v>20250624</v>
      </c>
      <c r="N2119" t="s">
        <v>81</v>
      </c>
      <c r="Q2119" t="s">
        <v>47</v>
      </c>
      <c r="R2119">
        <v>34128.910000000003</v>
      </c>
      <c r="T2119">
        <v>4160138</v>
      </c>
      <c r="U2119">
        <v>484200779</v>
      </c>
      <c r="V2119" t="s">
        <v>100</v>
      </c>
      <c r="W2119" t="s">
        <v>49</v>
      </c>
      <c r="X2119" t="s">
        <v>101</v>
      </c>
      <c r="Y2119" t="s">
        <v>51</v>
      </c>
      <c r="Z2119">
        <v>739</v>
      </c>
      <c r="AH2119">
        <v>0</v>
      </c>
      <c r="AI2119">
        <v>202506</v>
      </c>
      <c r="AJ2119" t="s">
        <v>86</v>
      </c>
      <c r="AK2119">
        <v>1</v>
      </c>
      <c r="AL2119">
        <v>1</v>
      </c>
      <c r="AM2119">
        <v>4160138</v>
      </c>
      <c r="AN2119">
        <v>1</v>
      </c>
      <c r="AO2119">
        <v>0</v>
      </c>
      <c r="AP2119" t="s">
        <v>3015</v>
      </c>
      <c r="AQ2119" t="s">
        <v>3012</v>
      </c>
      <c r="AR2119" t="s">
        <v>3016</v>
      </c>
      <c r="AT2119" t="s">
        <v>3017</v>
      </c>
      <c r="AU2119" t="s">
        <v>3018</v>
      </c>
    </row>
    <row r="2120" spans="1:47" x14ac:dyDescent="0.35">
      <c r="A2120">
        <v>364805</v>
      </c>
      <c r="B2120" t="s">
        <v>41</v>
      </c>
      <c r="C2120" t="s">
        <v>42</v>
      </c>
      <c r="D2120" s="2">
        <v>45850</v>
      </c>
      <c r="E2120">
        <v>53850</v>
      </c>
      <c r="F2120">
        <v>117</v>
      </c>
      <c r="G2120" t="s">
        <v>490</v>
      </c>
      <c r="H2120" t="s">
        <v>44</v>
      </c>
      <c r="I2120" t="s">
        <v>45</v>
      </c>
      <c r="L2120">
        <v>1173300537790</v>
      </c>
      <c r="M2120">
        <v>20250604</v>
      </c>
      <c r="N2120" t="s">
        <v>46</v>
      </c>
      <c r="Q2120" t="s">
        <v>47</v>
      </c>
      <c r="R2120">
        <v>96235.67</v>
      </c>
      <c r="T2120">
        <v>4385006</v>
      </c>
      <c r="U2120" t="s">
        <v>2234</v>
      </c>
      <c r="V2120" t="s">
        <v>2235</v>
      </c>
      <c r="W2120" t="s">
        <v>69</v>
      </c>
      <c r="X2120" t="s">
        <v>234</v>
      </c>
      <c r="Y2120" t="s">
        <v>51</v>
      </c>
      <c r="Z2120">
        <v>936</v>
      </c>
      <c r="AH2120">
        <v>0</v>
      </c>
      <c r="AI2120">
        <v>202506</v>
      </c>
      <c r="AL2120">
        <v>1</v>
      </c>
      <c r="AO2120">
        <v>0</v>
      </c>
      <c r="AP2120" t="s">
        <v>3015</v>
      </c>
      <c r="AQ2120" t="s">
        <v>3021</v>
      </c>
      <c r="AR2120" t="s">
        <v>3022</v>
      </c>
      <c r="AT2120" t="s">
        <v>3017</v>
      </c>
      <c r="AU2120" t="s">
        <v>3014</v>
      </c>
    </row>
    <row r="2121" spans="1:47" x14ac:dyDescent="0.35">
      <c r="A2121">
        <v>364804</v>
      </c>
      <c r="B2121" t="s">
        <v>41</v>
      </c>
      <c r="C2121" t="s">
        <v>42</v>
      </c>
      <c r="D2121" s="2">
        <v>45850</v>
      </c>
      <c r="E2121">
        <v>53850</v>
      </c>
      <c r="F2121">
        <v>149</v>
      </c>
      <c r="G2121" t="s">
        <v>449</v>
      </c>
      <c r="H2121" t="s">
        <v>44</v>
      </c>
      <c r="I2121" t="s">
        <v>45</v>
      </c>
      <c r="L2121">
        <v>1493300664676</v>
      </c>
      <c r="M2121">
        <v>20250603</v>
      </c>
      <c r="N2121" t="s">
        <v>46</v>
      </c>
      <c r="Q2121" t="s">
        <v>47</v>
      </c>
      <c r="R2121">
        <v>218517.72</v>
      </c>
      <c r="T2121">
        <v>4987076</v>
      </c>
      <c r="U2121">
        <v>10094711214</v>
      </c>
      <c r="V2121" t="s">
        <v>2236</v>
      </c>
      <c r="W2121" t="s">
        <v>49</v>
      </c>
      <c r="X2121" t="s">
        <v>2237</v>
      </c>
      <c r="Y2121" t="s">
        <v>51</v>
      </c>
      <c r="Z2121">
        <v>1910</v>
      </c>
      <c r="AH2121">
        <v>0</v>
      </c>
      <c r="AI2121">
        <v>202506</v>
      </c>
      <c r="AL2121">
        <v>1</v>
      </c>
      <c r="AO2121">
        <v>0</v>
      </c>
      <c r="AP2121" t="s">
        <v>3015</v>
      </c>
      <c r="AQ2121" t="s">
        <v>3012</v>
      </c>
      <c r="AR2121" t="s">
        <v>3016</v>
      </c>
      <c r="AT2121" t="s">
        <v>3017</v>
      </c>
      <c r="AU2121" t="s">
        <v>3018</v>
      </c>
    </row>
    <row r="2122" spans="1:47" x14ac:dyDescent="0.35">
      <c r="A2122">
        <v>364800</v>
      </c>
      <c r="B2122" t="s">
        <v>41</v>
      </c>
      <c r="C2122" t="s">
        <v>42</v>
      </c>
      <c r="D2122" s="2">
        <v>45850</v>
      </c>
      <c r="E2122">
        <v>53850</v>
      </c>
      <c r="F2122">
        <v>153</v>
      </c>
      <c r="G2122" t="s">
        <v>63</v>
      </c>
      <c r="H2122" t="s">
        <v>44</v>
      </c>
      <c r="I2122" t="s">
        <v>45</v>
      </c>
      <c r="L2122">
        <v>1533300663959</v>
      </c>
      <c r="M2122">
        <v>20250630</v>
      </c>
      <c r="N2122" t="s">
        <v>46</v>
      </c>
      <c r="Q2122" t="s">
        <v>47</v>
      </c>
      <c r="R2122">
        <v>31900.22</v>
      </c>
      <c r="T2122">
        <v>3721097</v>
      </c>
      <c r="U2122">
        <v>10391641213</v>
      </c>
      <c r="V2122" t="s">
        <v>64</v>
      </c>
      <c r="W2122" t="s">
        <v>49</v>
      </c>
      <c r="X2122" t="s">
        <v>65</v>
      </c>
      <c r="Y2122" t="s">
        <v>51</v>
      </c>
      <c r="Z2122">
        <v>1237</v>
      </c>
      <c r="AH2122">
        <v>0</v>
      </c>
      <c r="AI2122">
        <v>202506</v>
      </c>
      <c r="AL2122">
        <v>1</v>
      </c>
      <c r="AO2122">
        <v>0</v>
      </c>
      <c r="AP2122" t="s">
        <v>3019</v>
      </c>
      <c r="AQ2122" t="s">
        <v>3012</v>
      </c>
      <c r="AR2122" t="s">
        <v>3020</v>
      </c>
      <c r="AS2122" t="s">
        <v>3014</v>
      </c>
      <c r="AU2122" t="s">
        <v>3014</v>
      </c>
    </row>
    <row r="2123" spans="1:47" x14ac:dyDescent="0.35">
      <c r="A2123">
        <v>364794</v>
      </c>
      <c r="B2123" t="s">
        <v>41</v>
      </c>
      <c r="C2123" t="s">
        <v>42</v>
      </c>
      <c r="D2123" s="2">
        <v>45850</v>
      </c>
      <c r="E2123">
        <v>53850</v>
      </c>
      <c r="F2123">
        <v>105</v>
      </c>
      <c r="G2123" t="s">
        <v>60</v>
      </c>
      <c r="H2123" t="s">
        <v>44</v>
      </c>
      <c r="I2123" t="s">
        <v>45</v>
      </c>
      <c r="L2123">
        <v>1053306287103</v>
      </c>
      <c r="M2123">
        <v>20250606</v>
      </c>
      <c r="N2123" t="s">
        <v>46</v>
      </c>
      <c r="Q2123" t="s">
        <v>47</v>
      </c>
      <c r="R2123">
        <v>43484.41</v>
      </c>
      <c r="T2123">
        <v>4263360</v>
      </c>
      <c r="U2123">
        <v>5982300724</v>
      </c>
      <c r="V2123" t="s">
        <v>61</v>
      </c>
      <c r="W2123" t="s">
        <v>49</v>
      </c>
      <c r="X2123" t="s">
        <v>62</v>
      </c>
      <c r="Y2123" t="s">
        <v>51</v>
      </c>
      <c r="Z2123">
        <v>1058</v>
      </c>
      <c r="AH2123">
        <v>0</v>
      </c>
      <c r="AI2123">
        <v>202506</v>
      </c>
      <c r="AJ2123" t="s">
        <v>86</v>
      </c>
      <c r="AK2123">
        <v>1</v>
      </c>
      <c r="AL2123">
        <v>1</v>
      </c>
      <c r="AO2123">
        <v>0</v>
      </c>
      <c r="AP2123" t="s">
        <v>3015</v>
      </c>
      <c r="AQ2123" t="s">
        <v>3012</v>
      </c>
      <c r="AR2123" t="s">
        <v>3016</v>
      </c>
      <c r="AT2123" t="s">
        <v>3017</v>
      </c>
      <c r="AU2123" t="s">
        <v>3018</v>
      </c>
    </row>
    <row r="2124" spans="1:47" x14ac:dyDescent="0.35">
      <c r="A2124">
        <v>364792</v>
      </c>
      <c r="B2124" t="s">
        <v>41</v>
      </c>
      <c r="C2124" t="s">
        <v>42</v>
      </c>
      <c r="D2124" s="2">
        <v>45850</v>
      </c>
      <c r="E2124">
        <v>53850</v>
      </c>
      <c r="F2124">
        <v>141</v>
      </c>
      <c r="G2124" t="s">
        <v>105</v>
      </c>
      <c r="H2124" t="s">
        <v>44</v>
      </c>
      <c r="I2124" t="s">
        <v>45</v>
      </c>
      <c r="L2124">
        <v>1413300003985</v>
      </c>
      <c r="M2124">
        <v>20250623</v>
      </c>
      <c r="N2124" t="s">
        <v>46</v>
      </c>
      <c r="Q2124" t="s">
        <v>47</v>
      </c>
      <c r="R2124">
        <v>2756426.06</v>
      </c>
      <c r="T2124">
        <v>4996689</v>
      </c>
      <c r="U2124">
        <v>80010360750</v>
      </c>
      <c r="V2124" t="s">
        <v>106</v>
      </c>
      <c r="W2124" t="s">
        <v>49</v>
      </c>
      <c r="X2124" t="s">
        <v>107</v>
      </c>
      <c r="Y2124" t="s">
        <v>51</v>
      </c>
      <c r="Z2124">
        <v>1940</v>
      </c>
      <c r="AH2124">
        <v>0</v>
      </c>
      <c r="AI2124">
        <v>202506</v>
      </c>
      <c r="AJ2124" t="s">
        <v>119</v>
      </c>
      <c r="AK2124">
        <v>1</v>
      </c>
      <c r="AL2124">
        <v>1</v>
      </c>
      <c r="AO2124">
        <v>0</v>
      </c>
      <c r="AP2124" t="s">
        <v>3024</v>
      </c>
      <c r="AQ2124" t="s">
        <v>3012</v>
      </c>
      <c r="AR2124" t="s">
        <v>3025</v>
      </c>
      <c r="AS2124" t="s">
        <v>3014</v>
      </c>
      <c r="AU2124" t="s">
        <v>3014</v>
      </c>
    </row>
    <row r="2125" spans="1:47" x14ac:dyDescent="0.35">
      <c r="A2125">
        <v>364787</v>
      </c>
      <c r="B2125" t="s">
        <v>41</v>
      </c>
      <c r="C2125" t="s">
        <v>42</v>
      </c>
      <c r="D2125" s="2">
        <v>45850</v>
      </c>
      <c r="E2125">
        <v>53850</v>
      </c>
      <c r="F2125">
        <v>226</v>
      </c>
      <c r="G2125" t="s">
        <v>129</v>
      </c>
      <c r="H2125" t="s">
        <v>44</v>
      </c>
      <c r="I2125" t="s">
        <v>45</v>
      </c>
      <c r="L2125">
        <v>2263300011983</v>
      </c>
      <c r="M2125">
        <v>20250612</v>
      </c>
      <c r="N2125" t="s">
        <v>46</v>
      </c>
      <c r="Q2125" t="s">
        <v>47</v>
      </c>
      <c r="R2125">
        <v>14500000</v>
      </c>
      <c r="T2125">
        <v>4877514</v>
      </c>
      <c r="U2125">
        <v>1149290726</v>
      </c>
      <c r="V2125" t="s">
        <v>2238</v>
      </c>
      <c r="W2125" t="s">
        <v>1860</v>
      </c>
      <c r="X2125" t="s">
        <v>825</v>
      </c>
      <c r="Y2125" t="s">
        <v>51</v>
      </c>
      <c r="Z2125">
        <v>1696</v>
      </c>
      <c r="AH2125">
        <v>0</v>
      </c>
      <c r="AI2125">
        <v>202506</v>
      </c>
      <c r="AJ2125" t="s">
        <v>86</v>
      </c>
      <c r="AK2125">
        <v>1</v>
      </c>
      <c r="AL2125">
        <v>1</v>
      </c>
      <c r="AO2125">
        <v>0</v>
      </c>
      <c r="AP2125" t="s">
        <v>3015</v>
      </c>
      <c r="AQ2125" t="s">
        <v>3121</v>
      </c>
      <c r="AR2125" t="s">
        <v>3122</v>
      </c>
      <c r="AT2125" t="s">
        <v>3017</v>
      </c>
      <c r="AU2125" t="s">
        <v>3037</v>
      </c>
    </row>
    <row r="2126" spans="1:47" x14ac:dyDescent="0.35">
      <c r="A2126">
        <v>364785</v>
      </c>
      <c r="B2126" t="s">
        <v>41</v>
      </c>
      <c r="C2126" t="s">
        <v>42</v>
      </c>
      <c r="D2126" s="2">
        <v>45850</v>
      </c>
      <c r="E2126">
        <v>53850</v>
      </c>
      <c r="F2126">
        <v>122</v>
      </c>
      <c r="G2126" t="s">
        <v>43</v>
      </c>
      <c r="H2126" t="s">
        <v>44</v>
      </c>
      <c r="I2126" t="s">
        <v>45</v>
      </c>
      <c r="L2126">
        <v>1223300001682</v>
      </c>
      <c r="M2126">
        <v>20250619</v>
      </c>
      <c r="N2126" t="s">
        <v>46</v>
      </c>
      <c r="Q2126" t="s">
        <v>47</v>
      </c>
      <c r="R2126">
        <v>888195.89</v>
      </c>
      <c r="T2126">
        <v>3711207</v>
      </c>
      <c r="U2126">
        <v>8825020723</v>
      </c>
      <c r="V2126" t="s">
        <v>48</v>
      </c>
      <c r="W2126" t="s">
        <v>49</v>
      </c>
      <c r="X2126" t="s">
        <v>50</v>
      </c>
      <c r="Y2126" t="s">
        <v>51</v>
      </c>
      <c r="Z2126">
        <v>1696</v>
      </c>
      <c r="AH2126">
        <v>0</v>
      </c>
      <c r="AI2126">
        <v>202506</v>
      </c>
      <c r="AJ2126" t="s">
        <v>86</v>
      </c>
      <c r="AK2126">
        <v>1</v>
      </c>
      <c r="AL2126">
        <v>1</v>
      </c>
      <c r="AO2126">
        <v>0</v>
      </c>
      <c r="AP2126" t="s">
        <v>3011</v>
      </c>
      <c r="AQ2126" t="s">
        <v>3012</v>
      </c>
      <c r="AR2126" t="s">
        <v>3013</v>
      </c>
      <c r="AS2126" t="s">
        <v>3014</v>
      </c>
      <c r="AU2126" t="s">
        <v>3014</v>
      </c>
    </row>
    <row r="2127" spans="1:47" x14ac:dyDescent="0.35">
      <c r="A2127">
        <v>364784</v>
      </c>
      <c r="B2127" t="s">
        <v>41</v>
      </c>
      <c r="C2127" t="s">
        <v>42</v>
      </c>
      <c r="D2127" s="2">
        <v>45850</v>
      </c>
      <c r="E2127">
        <v>53850</v>
      </c>
      <c r="F2127">
        <v>268</v>
      </c>
      <c r="G2127" t="s">
        <v>83</v>
      </c>
      <c r="H2127" t="s">
        <v>44</v>
      </c>
      <c r="I2127" t="s">
        <v>45</v>
      </c>
      <c r="L2127">
        <v>2683300010038</v>
      </c>
      <c r="M2127">
        <v>20250612</v>
      </c>
      <c r="N2127" t="s">
        <v>46</v>
      </c>
      <c r="Q2127" t="s">
        <v>47</v>
      </c>
      <c r="R2127">
        <v>121904.64</v>
      </c>
      <c r="T2127">
        <v>1604219</v>
      </c>
      <c r="U2127">
        <v>952850790</v>
      </c>
      <c r="V2127" t="s">
        <v>84</v>
      </c>
      <c r="W2127" t="s">
        <v>49</v>
      </c>
      <c r="X2127" t="s">
        <v>85</v>
      </c>
      <c r="Y2127" t="s">
        <v>51</v>
      </c>
      <c r="Z2127">
        <v>1627</v>
      </c>
      <c r="AH2127">
        <v>0</v>
      </c>
      <c r="AI2127">
        <v>202506</v>
      </c>
      <c r="AJ2127" t="s">
        <v>86</v>
      </c>
      <c r="AK2127">
        <v>1</v>
      </c>
      <c r="AL2127">
        <v>1</v>
      </c>
      <c r="AO2127">
        <v>0</v>
      </c>
      <c r="AP2127" t="s">
        <v>3015</v>
      </c>
      <c r="AQ2127" t="s">
        <v>3012</v>
      </c>
      <c r="AR2127" t="s">
        <v>3016</v>
      </c>
      <c r="AT2127" t="s">
        <v>3017</v>
      </c>
      <c r="AU2127" t="s">
        <v>3018</v>
      </c>
    </row>
    <row r="2128" spans="1:47" x14ac:dyDescent="0.35">
      <c r="A2128">
        <v>364776</v>
      </c>
      <c r="B2128" t="s">
        <v>41</v>
      </c>
      <c r="C2128" t="s">
        <v>42</v>
      </c>
      <c r="D2128" s="2">
        <v>45850</v>
      </c>
      <c r="E2128">
        <v>53850</v>
      </c>
      <c r="F2128">
        <v>120</v>
      </c>
      <c r="G2128" t="s">
        <v>411</v>
      </c>
      <c r="H2128" t="s">
        <v>44</v>
      </c>
      <c r="I2128" t="s">
        <v>45</v>
      </c>
      <c r="L2128">
        <v>1203300002401</v>
      </c>
      <c r="M2128">
        <v>20250613</v>
      </c>
      <c r="N2128" t="s">
        <v>46</v>
      </c>
      <c r="Q2128" t="s">
        <v>47</v>
      </c>
      <c r="R2128">
        <v>9247000</v>
      </c>
      <c r="T2128">
        <v>613876</v>
      </c>
      <c r="U2128">
        <v>574290722</v>
      </c>
      <c r="V2128" t="s">
        <v>545</v>
      </c>
      <c r="W2128" t="s">
        <v>546</v>
      </c>
      <c r="X2128" t="s">
        <v>421</v>
      </c>
      <c r="Y2128" t="s">
        <v>51</v>
      </c>
      <c r="Z2128">
        <v>1058</v>
      </c>
      <c r="AH2128">
        <v>0</v>
      </c>
      <c r="AI2128">
        <v>202506</v>
      </c>
      <c r="AJ2128" t="s">
        <v>119</v>
      </c>
      <c r="AK2128">
        <v>1</v>
      </c>
      <c r="AL2128">
        <v>1</v>
      </c>
      <c r="AM2128">
        <v>613876</v>
      </c>
      <c r="AN2128">
        <v>1</v>
      </c>
      <c r="AO2128">
        <v>0</v>
      </c>
      <c r="AP2128" t="s">
        <v>3015</v>
      </c>
      <c r="AQ2128" t="s">
        <v>3076</v>
      </c>
      <c r="AR2128" t="s">
        <v>3077</v>
      </c>
      <c r="AT2128" t="s">
        <v>3017</v>
      </c>
      <c r="AU2128" t="s">
        <v>3014</v>
      </c>
    </row>
    <row r="2129" spans="1:47" x14ac:dyDescent="0.35">
      <c r="A2129">
        <v>364774</v>
      </c>
      <c r="B2129" t="s">
        <v>41</v>
      </c>
      <c r="C2129" t="s">
        <v>42</v>
      </c>
      <c r="D2129" s="2">
        <v>45850</v>
      </c>
      <c r="E2129">
        <v>53850</v>
      </c>
      <c r="F2129">
        <v>136</v>
      </c>
      <c r="G2129" t="s">
        <v>551</v>
      </c>
      <c r="H2129" t="s">
        <v>44</v>
      </c>
      <c r="I2129" t="s">
        <v>45</v>
      </c>
      <c r="L2129">
        <v>1363300003325</v>
      </c>
      <c r="M2129">
        <v>20250606</v>
      </c>
      <c r="N2129" t="s">
        <v>46</v>
      </c>
      <c r="Q2129" t="s">
        <v>47</v>
      </c>
      <c r="R2129">
        <v>51043.47</v>
      </c>
      <c r="T2129">
        <v>4395683</v>
      </c>
      <c r="U2129">
        <v>2036760037</v>
      </c>
      <c r="V2129" t="s">
        <v>553</v>
      </c>
      <c r="W2129" t="s">
        <v>49</v>
      </c>
      <c r="X2129" t="s">
        <v>554</v>
      </c>
      <c r="Y2129" t="s">
        <v>51</v>
      </c>
      <c r="Z2129">
        <v>1627</v>
      </c>
      <c r="AH2129">
        <v>0</v>
      </c>
      <c r="AI2129">
        <v>202506</v>
      </c>
      <c r="AJ2129" t="s">
        <v>56</v>
      </c>
      <c r="AK2129">
        <v>0</v>
      </c>
      <c r="AL2129">
        <v>1</v>
      </c>
      <c r="AO2129">
        <v>0</v>
      </c>
      <c r="AP2129" t="s">
        <v>3015</v>
      </c>
      <c r="AQ2129" t="s">
        <v>3012</v>
      </c>
      <c r="AR2129" t="s">
        <v>3016</v>
      </c>
      <c r="AT2129" t="s">
        <v>3017</v>
      </c>
      <c r="AU2129" t="s">
        <v>3018</v>
      </c>
    </row>
    <row r="2130" spans="1:47" x14ac:dyDescent="0.35">
      <c r="A2130">
        <v>364771</v>
      </c>
      <c r="B2130" t="s">
        <v>41</v>
      </c>
      <c r="C2130" t="s">
        <v>42</v>
      </c>
      <c r="D2130" s="2">
        <v>45850</v>
      </c>
      <c r="E2130">
        <v>53850</v>
      </c>
      <c r="F2130">
        <v>287</v>
      </c>
      <c r="G2130" t="s">
        <v>707</v>
      </c>
      <c r="H2130" t="s">
        <v>44</v>
      </c>
      <c r="I2130" t="s">
        <v>45</v>
      </c>
      <c r="L2130">
        <v>2873300001853</v>
      </c>
      <c r="M2130">
        <v>20250603</v>
      </c>
      <c r="N2130" t="s">
        <v>81</v>
      </c>
      <c r="Q2130" t="s">
        <v>47</v>
      </c>
      <c r="R2130">
        <v>49901.69</v>
      </c>
      <c r="T2130">
        <v>3722213</v>
      </c>
      <c r="U2130">
        <v>2021570698</v>
      </c>
      <c r="V2130" t="s">
        <v>708</v>
      </c>
      <c r="W2130" t="s">
        <v>49</v>
      </c>
      <c r="X2130" t="s">
        <v>117</v>
      </c>
      <c r="Y2130" t="s">
        <v>51</v>
      </c>
      <c r="Z2130">
        <v>1877</v>
      </c>
      <c r="AH2130">
        <v>0</v>
      </c>
      <c r="AI2130">
        <v>202506</v>
      </c>
      <c r="AJ2130" t="s">
        <v>86</v>
      </c>
      <c r="AK2130">
        <v>1</v>
      </c>
      <c r="AL2130">
        <v>1</v>
      </c>
      <c r="AM2130">
        <v>3722213</v>
      </c>
      <c r="AN2130">
        <v>1</v>
      </c>
      <c r="AO2130">
        <v>0</v>
      </c>
      <c r="AP2130" t="s">
        <v>3029</v>
      </c>
      <c r="AQ2130" t="s">
        <v>3012</v>
      </c>
      <c r="AR2130" t="s">
        <v>3030</v>
      </c>
      <c r="AS2130" t="s">
        <v>3014</v>
      </c>
      <c r="AU2130" t="s">
        <v>3014</v>
      </c>
    </row>
    <row r="2131" spans="1:47" x14ac:dyDescent="0.35">
      <c r="A2131">
        <v>364760</v>
      </c>
      <c r="B2131" t="s">
        <v>41</v>
      </c>
      <c r="C2131" t="s">
        <v>42</v>
      </c>
      <c r="D2131" s="2">
        <v>45850</v>
      </c>
      <c r="E2131">
        <v>53850</v>
      </c>
      <c r="F2131">
        <v>147</v>
      </c>
      <c r="G2131" t="s">
        <v>771</v>
      </c>
      <c r="H2131" t="s">
        <v>44</v>
      </c>
      <c r="I2131" t="s">
        <v>45</v>
      </c>
      <c r="L2131">
        <v>1473300002782</v>
      </c>
      <c r="M2131">
        <v>20250603</v>
      </c>
      <c r="N2131" t="s">
        <v>46</v>
      </c>
      <c r="Q2131" t="s">
        <v>47</v>
      </c>
      <c r="R2131">
        <v>70228.639999999999</v>
      </c>
      <c r="T2131">
        <v>4921138</v>
      </c>
      <c r="U2131">
        <v>92008910637</v>
      </c>
      <c r="V2131" t="s">
        <v>2239</v>
      </c>
      <c r="W2131" t="s">
        <v>183</v>
      </c>
      <c r="Y2131" t="s">
        <v>51</v>
      </c>
      <c r="Z2131">
        <v>1356</v>
      </c>
      <c r="AH2131">
        <v>0</v>
      </c>
      <c r="AI2131">
        <v>202506</v>
      </c>
      <c r="AJ2131" t="s">
        <v>86</v>
      </c>
      <c r="AK2131">
        <v>1</v>
      </c>
      <c r="AL2131">
        <v>1</v>
      </c>
      <c r="AO2131">
        <v>0</v>
      </c>
      <c r="AP2131" t="s">
        <v>3015</v>
      </c>
      <c r="AQ2131" t="s">
        <v>3042</v>
      </c>
      <c r="AR2131" t="s">
        <v>3043</v>
      </c>
      <c r="AS2131" t="s">
        <v>3037</v>
      </c>
      <c r="AU2131" t="s">
        <v>3037</v>
      </c>
    </row>
    <row r="2132" spans="1:47" x14ac:dyDescent="0.35">
      <c r="A2132">
        <v>364756</v>
      </c>
      <c r="B2132" t="s">
        <v>41</v>
      </c>
      <c r="C2132" t="s">
        <v>42</v>
      </c>
      <c r="D2132" s="2">
        <v>45850</v>
      </c>
      <c r="E2132">
        <v>53850</v>
      </c>
      <c r="F2132">
        <v>267</v>
      </c>
      <c r="G2132" t="s">
        <v>349</v>
      </c>
      <c r="H2132" t="s">
        <v>44</v>
      </c>
      <c r="I2132" t="s">
        <v>45</v>
      </c>
      <c r="L2132">
        <v>2673300010274</v>
      </c>
      <c r="M2132">
        <v>20250606</v>
      </c>
      <c r="N2132" t="s">
        <v>46</v>
      </c>
      <c r="Q2132" t="s">
        <v>47</v>
      </c>
      <c r="R2132">
        <v>63153.94</v>
      </c>
      <c r="T2132">
        <v>4992646</v>
      </c>
      <c r="U2132">
        <v>3152440792</v>
      </c>
      <c r="V2132" t="s">
        <v>2240</v>
      </c>
      <c r="W2132" t="s">
        <v>49</v>
      </c>
      <c r="X2132" t="s">
        <v>710</v>
      </c>
      <c r="Y2132" t="s">
        <v>51</v>
      </c>
      <c r="Z2132">
        <v>1627</v>
      </c>
      <c r="AH2132">
        <v>0</v>
      </c>
      <c r="AI2132">
        <v>202506</v>
      </c>
      <c r="AJ2132" t="s">
        <v>86</v>
      </c>
      <c r="AK2132">
        <v>1</v>
      </c>
      <c r="AL2132">
        <v>1</v>
      </c>
      <c r="AO2132">
        <v>0</v>
      </c>
      <c r="AP2132" t="s">
        <v>3015</v>
      </c>
      <c r="AQ2132" t="s">
        <v>3012</v>
      </c>
      <c r="AR2132" t="s">
        <v>3016</v>
      </c>
      <c r="AT2132" t="s">
        <v>3017</v>
      </c>
      <c r="AU2132" t="s">
        <v>3018</v>
      </c>
    </row>
    <row r="2133" spans="1:47" x14ac:dyDescent="0.35">
      <c r="A2133">
        <v>364753</v>
      </c>
      <c r="B2133" t="s">
        <v>41</v>
      </c>
      <c r="C2133" t="s">
        <v>42</v>
      </c>
      <c r="D2133" s="2">
        <v>45850</v>
      </c>
      <c r="E2133">
        <v>53850</v>
      </c>
      <c r="F2133">
        <v>153</v>
      </c>
      <c r="G2133" t="s">
        <v>63</v>
      </c>
      <c r="H2133" t="s">
        <v>44</v>
      </c>
      <c r="I2133" t="s">
        <v>45</v>
      </c>
      <c r="L2133">
        <v>1533300662905</v>
      </c>
      <c r="M2133">
        <v>20250606</v>
      </c>
      <c r="N2133" t="s">
        <v>46</v>
      </c>
      <c r="Q2133" t="s">
        <v>47</v>
      </c>
      <c r="R2133">
        <v>263439.96000000002</v>
      </c>
      <c r="T2133">
        <v>4165339</v>
      </c>
      <c r="U2133">
        <v>5612950633</v>
      </c>
      <c r="V2133" t="s">
        <v>1020</v>
      </c>
      <c r="W2133" t="s">
        <v>49</v>
      </c>
      <c r="X2133" t="s">
        <v>1021</v>
      </c>
      <c r="Y2133" t="s">
        <v>51</v>
      </c>
      <c r="Z2133">
        <v>982</v>
      </c>
      <c r="AH2133">
        <v>0</v>
      </c>
      <c r="AI2133">
        <v>202506</v>
      </c>
      <c r="AJ2133" t="s">
        <v>56</v>
      </c>
      <c r="AK2133">
        <v>0</v>
      </c>
      <c r="AL2133">
        <v>1</v>
      </c>
      <c r="AO2133">
        <v>0</v>
      </c>
      <c r="AP2133" t="s">
        <v>3098</v>
      </c>
      <c r="AQ2133" t="s">
        <v>3012</v>
      </c>
      <c r="AR2133" t="s">
        <v>3099</v>
      </c>
      <c r="AS2133" t="s">
        <v>3014</v>
      </c>
      <c r="AU2133" t="s">
        <v>3014</v>
      </c>
    </row>
    <row r="2134" spans="1:47" x14ac:dyDescent="0.35">
      <c r="A2134">
        <v>364743</v>
      </c>
      <c r="B2134" t="s">
        <v>41</v>
      </c>
      <c r="C2134" t="s">
        <v>42</v>
      </c>
      <c r="D2134" s="2">
        <v>45850</v>
      </c>
      <c r="E2134">
        <v>53850</v>
      </c>
      <c r="F2134">
        <v>171</v>
      </c>
      <c r="G2134" t="s">
        <v>198</v>
      </c>
      <c r="H2134" t="s">
        <v>44</v>
      </c>
      <c r="I2134" t="s">
        <v>45</v>
      </c>
      <c r="L2134">
        <v>1713302213842</v>
      </c>
      <c r="M2134">
        <v>20250625</v>
      </c>
      <c r="N2134" t="s">
        <v>46</v>
      </c>
      <c r="Q2134" t="s">
        <v>47</v>
      </c>
      <c r="R2134">
        <v>500000</v>
      </c>
      <c r="T2134">
        <v>4148505</v>
      </c>
      <c r="U2134">
        <v>5848860721</v>
      </c>
      <c r="V2134" t="s">
        <v>1281</v>
      </c>
      <c r="W2134" t="s">
        <v>49</v>
      </c>
      <c r="X2134" t="s">
        <v>260</v>
      </c>
      <c r="Y2134" t="s">
        <v>51</v>
      </c>
      <c r="Z2134">
        <v>1903</v>
      </c>
      <c r="AH2134">
        <v>0</v>
      </c>
      <c r="AI2134">
        <v>202506</v>
      </c>
      <c r="AJ2134" t="s">
        <v>86</v>
      </c>
      <c r="AK2134">
        <v>1</v>
      </c>
      <c r="AL2134">
        <v>1</v>
      </c>
      <c r="AO2134">
        <v>0</v>
      </c>
      <c r="AP2134" t="s">
        <v>3015</v>
      </c>
      <c r="AQ2134" t="s">
        <v>3012</v>
      </c>
      <c r="AR2134" t="s">
        <v>3016</v>
      </c>
      <c r="AT2134" t="s">
        <v>3017</v>
      </c>
      <c r="AU2134" t="s">
        <v>3018</v>
      </c>
    </row>
    <row r="2135" spans="1:47" x14ac:dyDescent="0.35">
      <c r="A2135">
        <v>364737</v>
      </c>
      <c r="B2135" t="s">
        <v>41</v>
      </c>
      <c r="C2135" t="s">
        <v>42</v>
      </c>
      <c r="D2135" s="2">
        <v>45850</v>
      </c>
      <c r="E2135">
        <v>53850</v>
      </c>
      <c r="F2135">
        <v>108</v>
      </c>
      <c r="G2135" t="s">
        <v>124</v>
      </c>
      <c r="H2135" t="s">
        <v>44</v>
      </c>
      <c r="I2135" t="s">
        <v>45</v>
      </c>
      <c r="L2135">
        <v>1083300011180</v>
      </c>
      <c r="M2135">
        <v>20250611</v>
      </c>
      <c r="N2135" t="s">
        <v>46</v>
      </c>
      <c r="Q2135" t="s">
        <v>47</v>
      </c>
      <c r="R2135">
        <v>88032.51</v>
      </c>
      <c r="T2135">
        <v>1118</v>
      </c>
      <c r="U2135">
        <v>3246700722</v>
      </c>
      <c r="V2135" t="s">
        <v>125</v>
      </c>
      <c r="W2135" t="s">
        <v>49</v>
      </c>
      <c r="X2135" t="s">
        <v>96</v>
      </c>
      <c r="Y2135" t="s">
        <v>51</v>
      </c>
      <c r="Z2135">
        <v>1058</v>
      </c>
      <c r="AH2135">
        <v>0</v>
      </c>
      <c r="AI2135">
        <v>202506</v>
      </c>
      <c r="AJ2135" t="s">
        <v>86</v>
      </c>
      <c r="AK2135">
        <v>1</v>
      </c>
      <c r="AL2135">
        <v>1</v>
      </c>
      <c r="AO2135">
        <v>0</v>
      </c>
      <c r="AP2135" t="s">
        <v>3015</v>
      </c>
      <c r="AQ2135" t="s">
        <v>3012</v>
      </c>
      <c r="AR2135" t="s">
        <v>3016</v>
      </c>
      <c r="AT2135" t="s">
        <v>3017</v>
      </c>
      <c r="AU2135" t="s">
        <v>3018</v>
      </c>
    </row>
    <row r="2136" spans="1:47" x14ac:dyDescent="0.35">
      <c r="A2136">
        <v>364736</v>
      </c>
      <c r="B2136" t="s">
        <v>41</v>
      </c>
      <c r="C2136" t="s">
        <v>42</v>
      </c>
      <c r="D2136" s="2">
        <v>45850</v>
      </c>
      <c r="E2136">
        <v>53850</v>
      </c>
      <c r="F2136">
        <v>120</v>
      </c>
      <c r="G2136" t="s">
        <v>411</v>
      </c>
      <c r="H2136" t="s">
        <v>44</v>
      </c>
      <c r="I2136" t="s">
        <v>45</v>
      </c>
      <c r="L2136">
        <v>1203300002401</v>
      </c>
      <c r="M2136">
        <v>20250612</v>
      </c>
      <c r="N2136" t="s">
        <v>46</v>
      </c>
      <c r="Q2136" t="s">
        <v>47</v>
      </c>
      <c r="R2136">
        <v>500000</v>
      </c>
      <c r="T2136">
        <v>613876</v>
      </c>
      <c r="U2136">
        <v>574290722</v>
      </c>
      <c r="V2136" t="s">
        <v>545</v>
      </c>
      <c r="W2136" t="s">
        <v>546</v>
      </c>
      <c r="X2136" t="s">
        <v>421</v>
      </c>
      <c r="Y2136" t="s">
        <v>51</v>
      </c>
      <c r="Z2136">
        <v>1058</v>
      </c>
      <c r="AH2136">
        <v>0</v>
      </c>
      <c r="AI2136">
        <v>202506</v>
      </c>
      <c r="AJ2136" t="s">
        <v>119</v>
      </c>
      <c r="AK2136">
        <v>1</v>
      </c>
      <c r="AL2136">
        <v>1</v>
      </c>
      <c r="AM2136">
        <v>613876</v>
      </c>
      <c r="AN2136">
        <v>1</v>
      </c>
      <c r="AO2136">
        <v>0</v>
      </c>
      <c r="AP2136" t="s">
        <v>3015</v>
      </c>
      <c r="AQ2136" t="s">
        <v>3076</v>
      </c>
      <c r="AR2136" t="s">
        <v>3077</v>
      </c>
      <c r="AT2136" t="s">
        <v>3017</v>
      </c>
      <c r="AU2136" t="s">
        <v>3014</v>
      </c>
    </row>
    <row r="2137" spans="1:47" x14ac:dyDescent="0.35">
      <c r="A2137">
        <v>364732</v>
      </c>
      <c r="B2137" t="s">
        <v>41</v>
      </c>
      <c r="C2137" t="s">
        <v>42</v>
      </c>
      <c r="D2137" s="2">
        <v>45850</v>
      </c>
      <c r="E2137">
        <v>53850</v>
      </c>
      <c r="F2137">
        <v>287</v>
      </c>
      <c r="G2137" t="s">
        <v>707</v>
      </c>
      <c r="H2137" t="s">
        <v>44</v>
      </c>
      <c r="I2137" t="s">
        <v>45</v>
      </c>
      <c r="L2137">
        <v>2873300001853</v>
      </c>
      <c r="M2137">
        <v>20250606</v>
      </c>
      <c r="N2137" t="s">
        <v>81</v>
      </c>
      <c r="Q2137" t="s">
        <v>47</v>
      </c>
      <c r="R2137">
        <v>29055.98</v>
      </c>
      <c r="T2137">
        <v>3722213</v>
      </c>
      <c r="U2137">
        <v>2021570698</v>
      </c>
      <c r="V2137" t="s">
        <v>708</v>
      </c>
      <c r="W2137" t="s">
        <v>49</v>
      </c>
      <c r="X2137" t="s">
        <v>117</v>
      </c>
      <c r="Y2137" t="s">
        <v>51</v>
      </c>
      <c r="Z2137">
        <v>1877</v>
      </c>
      <c r="AH2137">
        <v>0</v>
      </c>
      <c r="AI2137">
        <v>202506</v>
      </c>
      <c r="AJ2137" t="s">
        <v>86</v>
      </c>
      <c r="AK2137">
        <v>1</v>
      </c>
      <c r="AL2137">
        <v>1</v>
      </c>
      <c r="AM2137">
        <v>3722213</v>
      </c>
      <c r="AN2137">
        <v>1</v>
      </c>
      <c r="AO2137">
        <v>0</v>
      </c>
      <c r="AP2137" t="s">
        <v>3029</v>
      </c>
      <c r="AQ2137" t="s">
        <v>3012</v>
      </c>
      <c r="AR2137" t="s">
        <v>3030</v>
      </c>
      <c r="AS2137" t="s">
        <v>3014</v>
      </c>
      <c r="AU2137" t="s">
        <v>3014</v>
      </c>
    </row>
    <row r="2138" spans="1:47" x14ac:dyDescent="0.35">
      <c r="A2138">
        <v>364727</v>
      </c>
      <c r="B2138" t="s">
        <v>41</v>
      </c>
      <c r="C2138" t="s">
        <v>42</v>
      </c>
      <c r="D2138" s="2">
        <v>45850</v>
      </c>
      <c r="E2138">
        <v>53850</v>
      </c>
      <c r="F2138">
        <v>226</v>
      </c>
      <c r="G2138" t="s">
        <v>129</v>
      </c>
      <c r="H2138" t="s">
        <v>44</v>
      </c>
      <c r="I2138" t="s">
        <v>45</v>
      </c>
      <c r="L2138">
        <v>2263300010989</v>
      </c>
      <c r="M2138">
        <v>20250625</v>
      </c>
      <c r="N2138" t="s">
        <v>46</v>
      </c>
      <c r="Q2138" t="s">
        <v>47</v>
      </c>
      <c r="R2138">
        <v>59879.89</v>
      </c>
      <c r="T2138">
        <v>4804128</v>
      </c>
      <c r="U2138">
        <v>6363770725</v>
      </c>
      <c r="V2138" t="s">
        <v>130</v>
      </c>
      <c r="W2138" t="s">
        <v>49</v>
      </c>
      <c r="X2138" t="s">
        <v>131</v>
      </c>
      <c r="Y2138" t="s">
        <v>51</v>
      </c>
      <c r="Z2138">
        <v>1696</v>
      </c>
      <c r="AH2138">
        <v>0</v>
      </c>
      <c r="AI2138">
        <v>202506</v>
      </c>
      <c r="AL2138">
        <v>1</v>
      </c>
      <c r="AO2138">
        <v>0</v>
      </c>
      <c r="AP2138" t="s">
        <v>3033</v>
      </c>
      <c r="AQ2138" t="s">
        <v>3012</v>
      </c>
      <c r="AR2138" t="s">
        <v>3034</v>
      </c>
      <c r="AS2138" t="s">
        <v>3014</v>
      </c>
      <c r="AU2138" t="s">
        <v>3014</v>
      </c>
    </row>
    <row r="2139" spans="1:47" x14ac:dyDescent="0.35">
      <c r="A2139">
        <v>364726</v>
      </c>
      <c r="B2139" t="s">
        <v>41</v>
      </c>
      <c r="C2139" t="s">
        <v>42</v>
      </c>
      <c r="D2139" s="2">
        <v>45850</v>
      </c>
      <c r="E2139">
        <v>53850</v>
      </c>
      <c r="F2139">
        <v>153</v>
      </c>
      <c r="G2139" t="s">
        <v>63</v>
      </c>
      <c r="H2139" t="s">
        <v>44</v>
      </c>
      <c r="I2139" t="s">
        <v>45</v>
      </c>
      <c r="L2139">
        <v>1533300662905</v>
      </c>
      <c r="M2139">
        <v>20250604</v>
      </c>
      <c r="N2139" t="s">
        <v>46</v>
      </c>
      <c r="Q2139" t="s">
        <v>47</v>
      </c>
      <c r="R2139">
        <v>29114.86</v>
      </c>
      <c r="T2139">
        <v>4165339</v>
      </c>
      <c r="U2139">
        <v>5612950633</v>
      </c>
      <c r="V2139" t="s">
        <v>1020</v>
      </c>
      <c r="W2139" t="s">
        <v>49</v>
      </c>
      <c r="X2139" t="s">
        <v>1021</v>
      </c>
      <c r="Y2139" t="s">
        <v>51</v>
      </c>
      <c r="Z2139">
        <v>982</v>
      </c>
      <c r="AH2139">
        <v>0</v>
      </c>
      <c r="AI2139">
        <v>202506</v>
      </c>
      <c r="AJ2139" t="s">
        <v>56</v>
      </c>
      <c r="AK2139">
        <v>0</v>
      </c>
      <c r="AL2139">
        <v>1</v>
      </c>
      <c r="AO2139">
        <v>0</v>
      </c>
      <c r="AP2139" t="s">
        <v>3098</v>
      </c>
      <c r="AQ2139" t="s">
        <v>3012</v>
      </c>
      <c r="AR2139" t="s">
        <v>3099</v>
      </c>
      <c r="AS2139" t="s">
        <v>3014</v>
      </c>
      <c r="AU2139" t="s">
        <v>3014</v>
      </c>
    </row>
    <row r="2140" spans="1:47" x14ac:dyDescent="0.35">
      <c r="A2140">
        <v>364725</v>
      </c>
      <c r="B2140" t="s">
        <v>41</v>
      </c>
      <c r="C2140" t="s">
        <v>42</v>
      </c>
      <c r="D2140" s="2">
        <v>45850</v>
      </c>
      <c r="E2140">
        <v>53850</v>
      </c>
      <c r="F2140">
        <v>104</v>
      </c>
      <c r="G2140" t="s">
        <v>108</v>
      </c>
      <c r="H2140" t="s">
        <v>44</v>
      </c>
      <c r="I2140" t="s">
        <v>45</v>
      </c>
      <c r="L2140">
        <v>1043309505524</v>
      </c>
      <c r="M2140">
        <v>20250616</v>
      </c>
      <c r="N2140" t="s">
        <v>46</v>
      </c>
      <c r="Q2140" t="s">
        <v>47</v>
      </c>
      <c r="R2140">
        <v>54125</v>
      </c>
      <c r="T2140">
        <v>4255116</v>
      </c>
      <c r="U2140">
        <v>6238700725</v>
      </c>
      <c r="V2140" t="s">
        <v>2241</v>
      </c>
      <c r="W2140" t="s">
        <v>49</v>
      </c>
      <c r="X2140" t="s">
        <v>135</v>
      </c>
      <c r="Y2140" t="s">
        <v>51</v>
      </c>
      <c r="Z2140">
        <v>727</v>
      </c>
      <c r="AH2140">
        <v>0</v>
      </c>
      <c r="AI2140">
        <v>202506</v>
      </c>
      <c r="AL2140">
        <v>1</v>
      </c>
      <c r="AO2140">
        <v>0</v>
      </c>
      <c r="AP2140" t="s">
        <v>3015</v>
      </c>
      <c r="AQ2140" t="s">
        <v>3012</v>
      </c>
      <c r="AR2140" t="s">
        <v>3016</v>
      </c>
      <c r="AT2140" t="s">
        <v>3017</v>
      </c>
      <c r="AU2140" t="s">
        <v>3018</v>
      </c>
    </row>
    <row r="2141" spans="1:47" x14ac:dyDescent="0.35">
      <c r="A2141">
        <v>364703</v>
      </c>
      <c r="B2141" t="s">
        <v>41</v>
      </c>
      <c r="C2141" t="s">
        <v>42</v>
      </c>
      <c r="D2141" s="2">
        <v>45850</v>
      </c>
      <c r="E2141">
        <v>53850</v>
      </c>
      <c r="F2141">
        <v>153</v>
      </c>
      <c r="G2141" t="s">
        <v>63</v>
      </c>
      <c r="H2141" t="s">
        <v>44</v>
      </c>
      <c r="I2141" t="s">
        <v>45</v>
      </c>
      <c r="L2141">
        <v>1533300662905</v>
      </c>
      <c r="M2141">
        <v>20250606</v>
      </c>
      <c r="N2141" t="s">
        <v>81</v>
      </c>
      <c r="Q2141" t="s">
        <v>47</v>
      </c>
      <c r="R2141">
        <v>78275.320000000007</v>
      </c>
      <c r="T2141">
        <v>4165339</v>
      </c>
      <c r="U2141">
        <v>5612950633</v>
      </c>
      <c r="V2141" t="s">
        <v>1020</v>
      </c>
      <c r="W2141" t="s">
        <v>49</v>
      </c>
      <c r="X2141" t="s">
        <v>1021</v>
      </c>
      <c r="Y2141" t="s">
        <v>51</v>
      </c>
      <c r="Z2141">
        <v>982</v>
      </c>
      <c r="AH2141">
        <v>0</v>
      </c>
      <c r="AI2141">
        <v>202506</v>
      </c>
      <c r="AJ2141" t="s">
        <v>56</v>
      </c>
      <c r="AK2141">
        <v>0</v>
      </c>
      <c r="AL2141">
        <v>1</v>
      </c>
      <c r="AO2141">
        <v>0</v>
      </c>
      <c r="AP2141" t="s">
        <v>3098</v>
      </c>
      <c r="AQ2141" t="s">
        <v>3012</v>
      </c>
      <c r="AR2141" t="s">
        <v>3099</v>
      </c>
      <c r="AS2141" t="s">
        <v>3014</v>
      </c>
      <c r="AU2141" t="s">
        <v>3014</v>
      </c>
    </row>
    <row r="2142" spans="1:47" x14ac:dyDescent="0.35">
      <c r="A2142">
        <v>364690</v>
      </c>
      <c r="B2142" t="s">
        <v>41</v>
      </c>
      <c r="C2142" t="s">
        <v>42</v>
      </c>
      <c r="D2142" s="2">
        <v>45850</v>
      </c>
      <c r="E2142">
        <v>53850</v>
      </c>
      <c r="F2142">
        <v>122</v>
      </c>
      <c r="G2142" t="s">
        <v>43</v>
      </c>
      <c r="H2142" t="s">
        <v>44</v>
      </c>
      <c r="I2142" t="s">
        <v>45</v>
      </c>
      <c r="L2142">
        <v>1223300001682</v>
      </c>
      <c r="M2142">
        <v>20250619</v>
      </c>
      <c r="N2142" t="s">
        <v>46</v>
      </c>
      <c r="Q2142" t="s">
        <v>47</v>
      </c>
      <c r="R2142">
        <v>59506.05</v>
      </c>
      <c r="T2142">
        <v>3711207</v>
      </c>
      <c r="U2142">
        <v>8825020723</v>
      </c>
      <c r="V2142" t="s">
        <v>48</v>
      </c>
      <c r="W2142" t="s">
        <v>49</v>
      </c>
      <c r="X2142" t="s">
        <v>50</v>
      </c>
      <c r="Y2142" t="s">
        <v>51</v>
      </c>
      <c r="Z2142">
        <v>1696</v>
      </c>
      <c r="AH2142">
        <v>0</v>
      </c>
      <c r="AI2142">
        <v>202506</v>
      </c>
      <c r="AJ2142" t="s">
        <v>86</v>
      </c>
      <c r="AK2142">
        <v>1</v>
      </c>
      <c r="AL2142">
        <v>1</v>
      </c>
      <c r="AO2142">
        <v>0</v>
      </c>
      <c r="AP2142" t="s">
        <v>3011</v>
      </c>
      <c r="AQ2142" t="s">
        <v>3012</v>
      </c>
      <c r="AR2142" t="s">
        <v>3013</v>
      </c>
      <c r="AS2142" t="s">
        <v>3014</v>
      </c>
      <c r="AU2142" t="s">
        <v>3014</v>
      </c>
    </row>
    <row r="2143" spans="1:47" x14ac:dyDescent="0.35">
      <c r="A2143">
        <v>364679</v>
      </c>
      <c r="B2143" t="s">
        <v>41</v>
      </c>
      <c r="C2143" t="s">
        <v>42</v>
      </c>
      <c r="D2143" s="2">
        <v>45850</v>
      </c>
      <c r="E2143">
        <v>53850</v>
      </c>
      <c r="F2143">
        <v>103</v>
      </c>
      <c r="G2143" t="s">
        <v>80</v>
      </c>
      <c r="H2143" t="s">
        <v>44</v>
      </c>
      <c r="I2143" t="s">
        <v>45</v>
      </c>
      <c r="L2143">
        <v>1033306967935</v>
      </c>
      <c r="M2143">
        <v>20250603</v>
      </c>
      <c r="N2143" t="s">
        <v>81</v>
      </c>
      <c r="Q2143" t="s">
        <v>47</v>
      </c>
      <c r="R2143">
        <v>33195</v>
      </c>
      <c r="T2143">
        <v>155052</v>
      </c>
      <c r="U2143">
        <v>2563580725</v>
      </c>
      <c r="V2143" t="s">
        <v>82</v>
      </c>
      <c r="W2143" t="s">
        <v>49</v>
      </c>
      <c r="X2143" t="s">
        <v>59</v>
      </c>
      <c r="Y2143" t="s">
        <v>51</v>
      </c>
      <c r="Z2143">
        <v>1926</v>
      </c>
      <c r="AH2143">
        <v>0</v>
      </c>
      <c r="AI2143">
        <v>202506</v>
      </c>
      <c r="AJ2143" t="s">
        <v>119</v>
      </c>
      <c r="AK2143">
        <v>1</v>
      </c>
      <c r="AL2143">
        <v>1</v>
      </c>
      <c r="AM2143">
        <v>155052</v>
      </c>
      <c r="AN2143">
        <v>1</v>
      </c>
      <c r="AO2143">
        <v>0</v>
      </c>
      <c r="AP2143" t="s">
        <v>3015</v>
      </c>
      <c r="AQ2143" t="s">
        <v>3012</v>
      </c>
      <c r="AR2143" t="s">
        <v>3016</v>
      </c>
      <c r="AT2143" t="s">
        <v>3017</v>
      </c>
      <c r="AU2143" t="s">
        <v>3018</v>
      </c>
    </row>
    <row r="2144" spans="1:47" x14ac:dyDescent="0.35">
      <c r="A2144">
        <v>364654</v>
      </c>
      <c r="B2144" t="s">
        <v>41</v>
      </c>
      <c r="C2144" t="s">
        <v>42</v>
      </c>
      <c r="D2144" s="2">
        <v>45850</v>
      </c>
      <c r="E2144">
        <v>53850</v>
      </c>
      <c r="F2144">
        <v>122</v>
      </c>
      <c r="G2144" t="s">
        <v>43</v>
      </c>
      <c r="H2144" t="s">
        <v>44</v>
      </c>
      <c r="I2144" t="s">
        <v>45</v>
      </c>
      <c r="L2144">
        <v>1223300002128</v>
      </c>
      <c r="M2144">
        <v>20250625</v>
      </c>
      <c r="N2144" t="s">
        <v>46</v>
      </c>
      <c r="Q2144" t="s">
        <v>47</v>
      </c>
      <c r="R2144">
        <v>146206.01999999999</v>
      </c>
      <c r="T2144">
        <v>3711207</v>
      </c>
      <c r="U2144">
        <v>8825020723</v>
      </c>
      <c r="V2144" t="s">
        <v>48</v>
      </c>
      <c r="W2144" t="s">
        <v>49</v>
      </c>
      <c r="X2144" t="s">
        <v>50</v>
      </c>
      <c r="Y2144" t="s">
        <v>51</v>
      </c>
      <c r="Z2144">
        <v>1696</v>
      </c>
      <c r="AH2144">
        <v>0</v>
      </c>
      <c r="AI2144">
        <v>202506</v>
      </c>
      <c r="AJ2144" t="s">
        <v>86</v>
      </c>
      <c r="AK2144">
        <v>1</v>
      </c>
      <c r="AL2144">
        <v>1</v>
      </c>
      <c r="AO2144">
        <v>0</v>
      </c>
      <c r="AP2144" t="s">
        <v>3011</v>
      </c>
      <c r="AQ2144" t="s">
        <v>3012</v>
      </c>
      <c r="AR2144" t="s">
        <v>3013</v>
      </c>
      <c r="AS2144" t="s">
        <v>3014</v>
      </c>
      <c r="AU2144" t="s">
        <v>3014</v>
      </c>
    </row>
    <row r="2145" spans="1:47" x14ac:dyDescent="0.35">
      <c r="A2145">
        <v>364610</v>
      </c>
      <c r="B2145" t="s">
        <v>41</v>
      </c>
      <c r="C2145" t="s">
        <v>42</v>
      </c>
      <c r="D2145" s="2">
        <v>45850</v>
      </c>
      <c r="E2145">
        <v>53850</v>
      </c>
      <c r="F2145">
        <v>108</v>
      </c>
      <c r="G2145" t="s">
        <v>124</v>
      </c>
      <c r="H2145" t="s">
        <v>44</v>
      </c>
      <c r="I2145" t="s">
        <v>45</v>
      </c>
      <c r="L2145">
        <v>1083300011180</v>
      </c>
      <c r="M2145">
        <v>20250611</v>
      </c>
      <c r="N2145" t="s">
        <v>46</v>
      </c>
      <c r="Q2145" t="s">
        <v>47</v>
      </c>
      <c r="R2145">
        <v>58675</v>
      </c>
      <c r="T2145">
        <v>1118</v>
      </c>
      <c r="U2145">
        <v>3246700722</v>
      </c>
      <c r="V2145" t="s">
        <v>125</v>
      </c>
      <c r="W2145" t="s">
        <v>49</v>
      </c>
      <c r="X2145" t="s">
        <v>96</v>
      </c>
      <c r="Y2145" t="s">
        <v>51</v>
      </c>
      <c r="Z2145">
        <v>1058</v>
      </c>
      <c r="AH2145">
        <v>0</v>
      </c>
      <c r="AI2145">
        <v>202506</v>
      </c>
      <c r="AJ2145" t="s">
        <v>86</v>
      </c>
      <c r="AK2145">
        <v>1</v>
      </c>
      <c r="AL2145">
        <v>1</v>
      </c>
      <c r="AO2145">
        <v>0</v>
      </c>
      <c r="AP2145" t="s">
        <v>3015</v>
      </c>
      <c r="AQ2145" t="s">
        <v>3012</v>
      </c>
      <c r="AR2145" t="s">
        <v>3016</v>
      </c>
      <c r="AT2145" t="s">
        <v>3017</v>
      </c>
      <c r="AU2145" t="s">
        <v>3018</v>
      </c>
    </row>
    <row r="2146" spans="1:47" x14ac:dyDescent="0.35">
      <c r="A2146">
        <v>364602</v>
      </c>
      <c r="B2146" t="s">
        <v>41</v>
      </c>
      <c r="C2146" t="s">
        <v>42</v>
      </c>
      <c r="D2146" s="2">
        <v>45850</v>
      </c>
      <c r="E2146">
        <v>53850</v>
      </c>
      <c r="F2146">
        <v>154</v>
      </c>
      <c r="G2146" t="s">
        <v>53</v>
      </c>
      <c r="H2146" t="s">
        <v>44</v>
      </c>
      <c r="I2146" t="s">
        <v>45</v>
      </c>
      <c r="L2146">
        <v>1543300004860</v>
      </c>
      <c r="M2146">
        <v>20250610</v>
      </c>
      <c r="N2146" t="s">
        <v>46</v>
      </c>
      <c r="Q2146" t="s">
        <v>47</v>
      </c>
      <c r="R2146">
        <v>48252.13</v>
      </c>
      <c r="T2146">
        <v>3715569</v>
      </c>
      <c r="U2146">
        <v>5424970654</v>
      </c>
      <c r="V2146" t="s">
        <v>54</v>
      </c>
      <c r="W2146" t="s">
        <v>49</v>
      </c>
      <c r="X2146" t="s">
        <v>55</v>
      </c>
      <c r="Y2146" t="s">
        <v>51</v>
      </c>
      <c r="Z2146">
        <v>741</v>
      </c>
      <c r="AH2146">
        <v>0</v>
      </c>
      <c r="AI2146">
        <v>202506</v>
      </c>
      <c r="AL2146">
        <v>1</v>
      </c>
      <c r="AO2146">
        <v>0</v>
      </c>
      <c r="AP2146" t="s">
        <v>3015</v>
      </c>
      <c r="AQ2146" t="s">
        <v>3012</v>
      </c>
      <c r="AR2146" t="s">
        <v>3016</v>
      </c>
      <c r="AT2146" t="s">
        <v>3017</v>
      </c>
      <c r="AU2146" t="s">
        <v>3018</v>
      </c>
    </row>
    <row r="2147" spans="1:47" x14ac:dyDescent="0.35">
      <c r="A2147">
        <v>364583</v>
      </c>
      <c r="B2147" t="s">
        <v>41</v>
      </c>
      <c r="C2147" t="s">
        <v>42</v>
      </c>
      <c r="D2147" s="2">
        <v>45850</v>
      </c>
      <c r="E2147">
        <v>53850</v>
      </c>
      <c r="F2147">
        <v>154</v>
      </c>
      <c r="G2147" t="s">
        <v>53</v>
      </c>
      <c r="H2147" t="s">
        <v>44</v>
      </c>
      <c r="I2147" t="s">
        <v>45</v>
      </c>
      <c r="L2147">
        <v>1543300004860</v>
      </c>
      <c r="M2147">
        <v>20250618</v>
      </c>
      <c r="N2147" t="s">
        <v>46</v>
      </c>
      <c r="Q2147" t="s">
        <v>47</v>
      </c>
      <c r="R2147">
        <v>50465.8</v>
      </c>
      <c r="T2147">
        <v>3715569</v>
      </c>
      <c r="U2147">
        <v>5424970654</v>
      </c>
      <c r="V2147" t="s">
        <v>54</v>
      </c>
      <c r="W2147" t="s">
        <v>49</v>
      </c>
      <c r="X2147" t="s">
        <v>55</v>
      </c>
      <c r="Y2147" t="s">
        <v>51</v>
      </c>
      <c r="Z2147">
        <v>741</v>
      </c>
      <c r="AH2147">
        <v>0</v>
      </c>
      <c r="AI2147">
        <v>202506</v>
      </c>
      <c r="AL2147">
        <v>1</v>
      </c>
      <c r="AO2147">
        <v>0</v>
      </c>
      <c r="AP2147" t="s">
        <v>3015</v>
      </c>
      <c r="AQ2147" t="s">
        <v>3012</v>
      </c>
      <c r="AR2147" t="s">
        <v>3016</v>
      </c>
      <c r="AT2147" t="s">
        <v>3017</v>
      </c>
      <c r="AU2147" t="s">
        <v>3018</v>
      </c>
    </row>
    <row r="2148" spans="1:47" x14ac:dyDescent="0.35">
      <c r="A2148">
        <v>364573</v>
      </c>
      <c r="B2148" t="s">
        <v>41</v>
      </c>
      <c r="C2148" t="s">
        <v>42</v>
      </c>
      <c r="D2148" s="2">
        <v>45850</v>
      </c>
      <c r="E2148">
        <v>53850</v>
      </c>
      <c r="F2148">
        <v>128</v>
      </c>
      <c r="G2148" t="s">
        <v>94</v>
      </c>
      <c r="H2148" t="s">
        <v>44</v>
      </c>
      <c r="I2148" t="s">
        <v>45</v>
      </c>
      <c r="L2148">
        <v>1283300001665</v>
      </c>
      <c r="M2148">
        <v>20250620</v>
      </c>
      <c r="N2148" t="s">
        <v>81</v>
      </c>
      <c r="Q2148" t="s">
        <v>47</v>
      </c>
      <c r="R2148">
        <v>58113.66</v>
      </c>
      <c r="T2148">
        <v>4254896</v>
      </c>
      <c r="U2148">
        <v>6234730726</v>
      </c>
      <c r="V2148" t="s">
        <v>95</v>
      </c>
      <c r="W2148" t="s">
        <v>49</v>
      </c>
      <c r="X2148" t="s">
        <v>96</v>
      </c>
      <c r="Y2148" t="s">
        <v>51</v>
      </c>
      <c r="Z2148">
        <v>1919</v>
      </c>
      <c r="AH2148">
        <v>0</v>
      </c>
      <c r="AI2148">
        <v>202506</v>
      </c>
      <c r="AJ2148" t="s">
        <v>86</v>
      </c>
      <c r="AK2148">
        <v>1</v>
      </c>
      <c r="AL2148">
        <v>1</v>
      </c>
      <c r="AO2148">
        <v>0</v>
      </c>
      <c r="AP2148" t="s">
        <v>3015</v>
      </c>
      <c r="AQ2148" t="s">
        <v>3012</v>
      </c>
      <c r="AR2148" t="s">
        <v>3016</v>
      </c>
      <c r="AT2148" t="s">
        <v>3017</v>
      </c>
      <c r="AU2148" t="s">
        <v>3018</v>
      </c>
    </row>
    <row r="2149" spans="1:47" x14ac:dyDescent="0.35">
      <c r="A2149">
        <v>364565</v>
      </c>
      <c r="B2149" t="s">
        <v>41</v>
      </c>
      <c r="C2149" t="s">
        <v>42</v>
      </c>
      <c r="D2149" s="2">
        <v>45850</v>
      </c>
      <c r="E2149">
        <v>53850</v>
      </c>
      <c r="F2149">
        <v>226</v>
      </c>
      <c r="G2149" t="s">
        <v>129</v>
      </c>
      <c r="H2149" t="s">
        <v>44</v>
      </c>
      <c r="I2149" t="s">
        <v>45</v>
      </c>
      <c r="L2149">
        <v>2263300010989</v>
      </c>
      <c r="M2149">
        <v>20250623</v>
      </c>
      <c r="N2149" t="s">
        <v>46</v>
      </c>
      <c r="Q2149" t="s">
        <v>47</v>
      </c>
      <c r="R2149">
        <v>29985.13</v>
      </c>
      <c r="T2149">
        <v>4804128</v>
      </c>
      <c r="U2149">
        <v>6363770725</v>
      </c>
      <c r="V2149" t="s">
        <v>130</v>
      </c>
      <c r="W2149" t="s">
        <v>49</v>
      </c>
      <c r="X2149" t="s">
        <v>131</v>
      </c>
      <c r="Y2149" t="s">
        <v>51</v>
      </c>
      <c r="Z2149">
        <v>1696</v>
      </c>
      <c r="AH2149">
        <v>0</v>
      </c>
      <c r="AI2149">
        <v>202506</v>
      </c>
      <c r="AL2149">
        <v>1</v>
      </c>
      <c r="AO2149">
        <v>0</v>
      </c>
      <c r="AP2149" t="s">
        <v>3033</v>
      </c>
      <c r="AQ2149" t="s">
        <v>3012</v>
      </c>
      <c r="AR2149" t="s">
        <v>3034</v>
      </c>
      <c r="AS2149" t="s">
        <v>3014</v>
      </c>
      <c r="AU2149" t="s">
        <v>3014</v>
      </c>
    </row>
    <row r="2150" spans="1:47" x14ac:dyDescent="0.35">
      <c r="A2150">
        <v>364562</v>
      </c>
      <c r="B2150" t="s">
        <v>41</v>
      </c>
      <c r="C2150" t="s">
        <v>42</v>
      </c>
      <c r="D2150" s="2">
        <v>45850</v>
      </c>
      <c r="E2150">
        <v>53850</v>
      </c>
      <c r="F2150">
        <v>154</v>
      </c>
      <c r="G2150" t="s">
        <v>53</v>
      </c>
      <c r="H2150" t="s">
        <v>44</v>
      </c>
      <c r="I2150" t="s">
        <v>45</v>
      </c>
      <c r="L2150">
        <v>1543300004860</v>
      </c>
      <c r="M2150">
        <v>20250617</v>
      </c>
      <c r="N2150" t="s">
        <v>46</v>
      </c>
      <c r="Q2150" t="s">
        <v>47</v>
      </c>
      <c r="R2150">
        <v>50177.05</v>
      </c>
      <c r="T2150">
        <v>3715569</v>
      </c>
      <c r="U2150">
        <v>5424970654</v>
      </c>
      <c r="V2150" t="s">
        <v>54</v>
      </c>
      <c r="W2150" t="s">
        <v>49</v>
      </c>
      <c r="X2150" t="s">
        <v>55</v>
      </c>
      <c r="Y2150" t="s">
        <v>51</v>
      </c>
      <c r="Z2150">
        <v>741</v>
      </c>
      <c r="AH2150">
        <v>0</v>
      </c>
      <c r="AI2150">
        <v>202506</v>
      </c>
      <c r="AL2150">
        <v>1</v>
      </c>
      <c r="AO2150">
        <v>0</v>
      </c>
      <c r="AP2150" t="s">
        <v>3015</v>
      </c>
      <c r="AQ2150" t="s">
        <v>3012</v>
      </c>
      <c r="AR2150" t="s">
        <v>3016</v>
      </c>
      <c r="AT2150" t="s">
        <v>3017</v>
      </c>
      <c r="AU2150" t="s">
        <v>3018</v>
      </c>
    </row>
    <row r="2151" spans="1:47" x14ac:dyDescent="0.35">
      <c r="A2151">
        <v>364554</v>
      </c>
      <c r="B2151" t="s">
        <v>41</v>
      </c>
      <c r="C2151" t="s">
        <v>42</v>
      </c>
      <c r="D2151" s="2">
        <v>45850</v>
      </c>
      <c r="E2151">
        <v>53850</v>
      </c>
      <c r="F2151">
        <v>108</v>
      </c>
      <c r="G2151" t="s">
        <v>124</v>
      </c>
      <c r="H2151" t="s">
        <v>44</v>
      </c>
      <c r="I2151" t="s">
        <v>45</v>
      </c>
      <c r="L2151">
        <v>1083300011180</v>
      </c>
      <c r="M2151">
        <v>20250613</v>
      </c>
      <c r="N2151" t="s">
        <v>46</v>
      </c>
      <c r="Q2151" t="s">
        <v>47</v>
      </c>
      <c r="R2151">
        <v>25505.91</v>
      </c>
      <c r="T2151">
        <v>1118</v>
      </c>
      <c r="U2151">
        <v>3246700722</v>
      </c>
      <c r="V2151" t="s">
        <v>125</v>
      </c>
      <c r="W2151" t="s">
        <v>49</v>
      </c>
      <c r="X2151" t="s">
        <v>96</v>
      </c>
      <c r="Y2151" t="s">
        <v>51</v>
      </c>
      <c r="Z2151">
        <v>1058</v>
      </c>
      <c r="AH2151">
        <v>0</v>
      </c>
      <c r="AI2151">
        <v>202506</v>
      </c>
      <c r="AJ2151" t="s">
        <v>86</v>
      </c>
      <c r="AK2151">
        <v>1</v>
      </c>
      <c r="AL2151">
        <v>1</v>
      </c>
      <c r="AO2151">
        <v>0</v>
      </c>
      <c r="AP2151" t="s">
        <v>3015</v>
      </c>
      <c r="AQ2151" t="s">
        <v>3012</v>
      </c>
      <c r="AR2151" t="s">
        <v>3016</v>
      </c>
      <c r="AT2151" t="s">
        <v>3017</v>
      </c>
      <c r="AU2151" t="s">
        <v>3018</v>
      </c>
    </row>
    <row r="2152" spans="1:47" x14ac:dyDescent="0.35">
      <c r="A2152">
        <v>364543</v>
      </c>
      <c r="B2152" t="s">
        <v>41</v>
      </c>
      <c r="C2152" t="s">
        <v>42</v>
      </c>
      <c r="D2152" s="2">
        <v>45850</v>
      </c>
      <c r="E2152">
        <v>53850</v>
      </c>
      <c r="F2152">
        <v>120</v>
      </c>
      <c r="G2152" t="s">
        <v>411</v>
      </c>
      <c r="H2152" t="s">
        <v>44</v>
      </c>
      <c r="I2152" t="s">
        <v>45</v>
      </c>
      <c r="L2152">
        <v>1203300002958</v>
      </c>
      <c r="M2152">
        <v>20250627</v>
      </c>
      <c r="N2152" t="s">
        <v>46</v>
      </c>
      <c r="Q2152" t="s">
        <v>47</v>
      </c>
      <c r="R2152">
        <v>35000</v>
      </c>
      <c r="T2152">
        <v>4589937</v>
      </c>
      <c r="U2152">
        <v>503900771</v>
      </c>
      <c r="V2152" t="s">
        <v>2242</v>
      </c>
      <c r="W2152" t="s">
        <v>49</v>
      </c>
      <c r="X2152" t="s">
        <v>135</v>
      </c>
      <c r="Y2152" t="s">
        <v>51</v>
      </c>
      <c r="Z2152">
        <v>1058</v>
      </c>
      <c r="AH2152">
        <v>0</v>
      </c>
      <c r="AI2152">
        <v>202506</v>
      </c>
      <c r="AJ2152" t="s">
        <v>86</v>
      </c>
      <c r="AK2152">
        <v>1</v>
      </c>
      <c r="AL2152">
        <v>1</v>
      </c>
      <c r="AO2152">
        <v>0</v>
      </c>
      <c r="AP2152" t="s">
        <v>3015</v>
      </c>
      <c r="AQ2152" t="s">
        <v>3012</v>
      </c>
      <c r="AR2152" t="s">
        <v>3016</v>
      </c>
      <c r="AT2152" t="s">
        <v>3017</v>
      </c>
      <c r="AU2152" t="s">
        <v>3018</v>
      </c>
    </row>
    <row r="2153" spans="1:47" x14ac:dyDescent="0.35">
      <c r="A2153">
        <v>364540</v>
      </c>
      <c r="B2153" t="s">
        <v>41</v>
      </c>
      <c r="C2153" t="s">
        <v>42</v>
      </c>
      <c r="D2153" s="2">
        <v>45850</v>
      </c>
      <c r="E2153">
        <v>53850</v>
      </c>
      <c r="F2153">
        <v>116</v>
      </c>
      <c r="G2153" t="s">
        <v>126</v>
      </c>
      <c r="H2153" t="s">
        <v>44</v>
      </c>
      <c r="I2153" t="s">
        <v>45</v>
      </c>
      <c r="L2153">
        <v>1163307620827</v>
      </c>
      <c r="M2153">
        <v>20250613</v>
      </c>
      <c r="N2153" t="s">
        <v>46</v>
      </c>
      <c r="Q2153" t="s">
        <v>47</v>
      </c>
      <c r="R2153">
        <v>57500</v>
      </c>
      <c r="T2153">
        <v>4871871</v>
      </c>
      <c r="U2153">
        <v>2516140726</v>
      </c>
      <c r="V2153" t="s">
        <v>1304</v>
      </c>
      <c r="W2153" t="s">
        <v>49</v>
      </c>
      <c r="X2153" t="s">
        <v>59</v>
      </c>
      <c r="Y2153" t="s">
        <v>51</v>
      </c>
      <c r="Z2153">
        <v>1903</v>
      </c>
      <c r="AH2153">
        <v>0</v>
      </c>
      <c r="AI2153">
        <v>202506</v>
      </c>
      <c r="AJ2153" t="s">
        <v>114</v>
      </c>
      <c r="AK2153">
        <v>1</v>
      </c>
      <c r="AL2153">
        <v>1</v>
      </c>
      <c r="AO2153">
        <v>0</v>
      </c>
      <c r="AP2153" t="s">
        <v>3015</v>
      </c>
      <c r="AQ2153" t="s">
        <v>3012</v>
      </c>
      <c r="AR2153" t="s">
        <v>3016</v>
      </c>
      <c r="AT2153" t="s">
        <v>3017</v>
      </c>
      <c r="AU2153" t="s">
        <v>3018</v>
      </c>
    </row>
    <row r="2154" spans="1:47" x14ac:dyDescent="0.35">
      <c r="A2154">
        <v>364495</v>
      </c>
      <c r="B2154" t="s">
        <v>41</v>
      </c>
      <c r="C2154" t="s">
        <v>42</v>
      </c>
      <c r="D2154" s="2">
        <v>45850</v>
      </c>
      <c r="E2154">
        <v>53850</v>
      </c>
      <c r="F2154">
        <v>105</v>
      </c>
      <c r="G2154" t="s">
        <v>60</v>
      </c>
      <c r="H2154" t="s">
        <v>44</v>
      </c>
      <c r="I2154" t="s">
        <v>45</v>
      </c>
      <c r="L2154">
        <v>1053306287103</v>
      </c>
      <c r="M2154">
        <v>20250605</v>
      </c>
      <c r="N2154" t="s">
        <v>46</v>
      </c>
      <c r="Q2154" t="s">
        <v>47</v>
      </c>
      <c r="R2154">
        <v>102234.79</v>
      </c>
      <c r="T2154">
        <v>4263360</v>
      </c>
      <c r="U2154">
        <v>5982300724</v>
      </c>
      <c r="V2154" t="s">
        <v>61</v>
      </c>
      <c r="W2154" t="s">
        <v>49</v>
      </c>
      <c r="X2154" t="s">
        <v>62</v>
      </c>
      <c r="Y2154" t="s">
        <v>51</v>
      </c>
      <c r="Z2154">
        <v>1058</v>
      </c>
      <c r="AH2154">
        <v>0</v>
      </c>
      <c r="AI2154">
        <v>202506</v>
      </c>
      <c r="AJ2154" t="s">
        <v>86</v>
      </c>
      <c r="AK2154">
        <v>1</v>
      </c>
      <c r="AL2154">
        <v>1</v>
      </c>
      <c r="AO2154">
        <v>0</v>
      </c>
      <c r="AP2154" t="s">
        <v>3015</v>
      </c>
      <c r="AQ2154" t="s">
        <v>3012</v>
      </c>
      <c r="AR2154" t="s">
        <v>3016</v>
      </c>
      <c r="AT2154" t="s">
        <v>3017</v>
      </c>
      <c r="AU2154" t="s">
        <v>3018</v>
      </c>
    </row>
    <row r="2155" spans="1:47" x14ac:dyDescent="0.35">
      <c r="A2155">
        <v>364487</v>
      </c>
      <c r="B2155" t="s">
        <v>41</v>
      </c>
      <c r="C2155" t="s">
        <v>42</v>
      </c>
      <c r="D2155" s="2">
        <v>45850</v>
      </c>
      <c r="E2155">
        <v>53850</v>
      </c>
      <c r="F2155">
        <v>267</v>
      </c>
      <c r="G2155" t="s">
        <v>349</v>
      </c>
      <c r="H2155" t="s">
        <v>44</v>
      </c>
      <c r="I2155" t="s">
        <v>45</v>
      </c>
      <c r="L2155">
        <v>2673300010274</v>
      </c>
      <c r="M2155">
        <v>20250617</v>
      </c>
      <c r="N2155" t="s">
        <v>46</v>
      </c>
      <c r="Q2155" t="s">
        <v>47</v>
      </c>
      <c r="R2155">
        <v>40780.67</v>
      </c>
      <c r="T2155">
        <v>4992646</v>
      </c>
      <c r="U2155">
        <v>3152440792</v>
      </c>
      <c r="V2155" t="s">
        <v>2240</v>
      </c>
      <c r="W2155" t="s">
        <v>49</v>
      </c>
      <c r="X2155" t="s">
        <v>710</v>
      </c>
      <c r="Y2155" t="s">
        <v>51</v>
      </c>
      <c r="Z2155">
        <v>1627</v>
      </c>
      <c r="AH2155">
        <v>0</v>
      </c>
      <c r="AI2155">
        <v>202506</v>
      </c>
      <c r="AJ2155" t="s">
        <v>86</v>
      </c>
      <c r="AK2155">
        <v>1</v>
      </c>
      <c r="AL2155">
        <v>1</v>
      </c>
      <c r="AO2155">
        <v>0</v>
      </c>
      <c r="AP2155" t="s">
        <v>3015</v>
      </c>
      <c r="AQ2155" t="s">
        <v>3012</v>
      </c>
      <c r="AR2155" t="s">
        <v>3016</v>
      </c>
      <c r="AT2155" t="s">
        <v>3017</v>
      </c>
      <c r="AU2155" t="s">
        <v>3018</v>
      </c>
    </row>
    <row r="2156" spans="1:47" x14ac:dyDescent="0.35">
      <c r="A2156">
        <v>364483</v>
      </c>
      <c r="B2156" t="s">
        <v>41</v>
      </c>
      <c r="C2156" t="s">
        <v>42</v>
      </c>
      <c r="D2156" s="2">
        <v>45850</v>
      </c>
      <c r="E2156">
        <v>53850</v>
      </c>
      <c r="F2156">
        <v>122</v>
      </c>
      <c r="G2156" t="s">
        <v>43</v>
      </c>
      <c r="H2156" t="s">
        <v>44</v>
      </c>
      <c r="I2156" t="s">
        <v>45</v>
      </c>
      <c r="L2156">
        <v>1223300002128</v>
      </c>
      <c r="M2156">
        <v>20250619</v>
      </c>
      <c r="N2156" t="s">
        <v>46</v>
      </c>
      <c r="Q2156" t="s">
        <v>47</v>
      </c>
      <c r="R2156">
        <v>35147.599999999999</v>
      </c>
      <c r="T2156">
        <v>3711207</v>
      </c>
      <c r="U2156">
        <v>8825020723</v>
      </c>
      <c r="V2156" t="s">
        <v>48</v>
      </c>
      <c r="W2156" t="s">
        <v>49</v>
      </c>
      <c r="X2156" t="s">
        <v>50</v>
      </c>
      <c r="Y2156" t="s">
        <v>51</v>
      </c>
      <c r="Z2156">
        <v>1696</v>
      </c>
      <c r="AH2156">
        <v>0</v>
      </c>
      <c r="AI2156">
        <v>202506</v>
      </c>
      <c r="AJ2156" t="s">
        <v>86</v>
      </c>
      <c r="AK2156">
        <v>1</v>
      </c>
      <c r="AL2156">
        <v>1</v>
      </c>
      <c r="AO2156">
        <v>0</v>
      </c>
      <c r="AP2156" t="s">
        <v>3011</v>
      </c>
      <c r="AQ2156" t="s">
        <v>3012</v>
      </c>
      <c r="AR2156" t="s">
        <v>3013</v>
      </c>
      <c r="AS2156" t="s">
        <v>3014</v>
      </c>
      <c r="AU2156" t="s">
        <v>3014</v>
      </c>
    </row>
    <row r="2157" spans="1:47" x14ac:dyDescent="0.35">
      <c r="A2157">
        <v>364466</v>
      </c>
      <c r="B2157" t="s">
        <v>41</v>
      </c>
      <c r="C2157" t="s">
        <v>42</v>
      </c>
      <c r="D2157" s="2">
        <v>45850</v>
      </c>
      <c r="E2157">
        <v>53850</v>
      </c>
      <c r="F2157">
        <v>103</v>
      </c>
      <c r="G2157" t="s">
        <v>80</v>
      </c>
      <c r="H2157" t="s">
        <v>44</v>
      </c>
      <c r="I2157" t="s">
        <v>45</v>
      </c>
      <c r="L2157">
        <v>1033306985171</v>
      </c>
      <c r="M2157">
        <v>20250605</v>
      </c>
      <c r="N2157" t="s">
        <v>46</v>
      </c>
      <c r="Q2157" t="s">
        <v>47</v>
      </c>
      <c r="R2157">
        <v>26000</v>
      </c>
      <c r="T2157">
        <v>3713883</v>
      </c>
      <c r="U2157">
        <v>7344540724</v>
      </c>
      <c r="V2157" t="s">
        <v>2243</v>
      </c>
      <c r="W2157" t="s">
        <v>49</v>
      </c>
      <c r="X2157" t="s">
        <v>876</v>
      </c>
      <c r="Y2157" t="s">
        <v>51</v>
      </c>
      <c r="Z2157">
        <v>1916</v>
      </c>
      <c r="AH2157">
        <v>0</v>
      </c>
      <c r="AI2157">
        <v>202506</v>
      </c>
      <c r="AL2157">
        <v>1</v>
      </c>
      <c r="AO2157">
        <v>0</v>
      </c>
      <c r="AP2157" t="s">
        <v>3015</v>
      </c>
      <c r="AQ2157" t="s">
        <v>3012</v>
      </c>
      <c r="AR2157" t="s">
        <v>3016</v>
      </c>
      <c r="AT2157" t="s">
        <v>3017</v>
      </c>
      <c r="AU2157" t="s">
        <v>3018</v>
      </c>
    </row>
    <row r="2158" spans="1:47" x14ac:dyDescent="0.35">
      <c r="A2158">
        <v>364457</v>
      </c>
      <c r="B2158" t="s">
        <v>41</v>
      </c>
      <c r="C2158" t="s">
        <v>42</v>
      </c>
      <c r="D2158" s="2">
        <v>45850</v>
      </c>
      <c r="E2158">
        <v>53850</v>
      </c>
      <c r="F2158">
        <v>104</v>
      </c>
      <c r="G2158" t="s">
        <v>108</v>
      </c>
      <c r="H2158" t="s">
        <v>44</v>
      </c>
      <c r="I2158" t="s">
        <v>45</v>
      </c>
      <c r="L2158">
        <v>1043309505524</v>
      </c>
      <c r="M2158">
        <v>20250626</v>
      </c>
      <c r="N2158" t="s">
        <v>46</v>
      </c>
      <c r="Q2158" t="s">
        <v>47</v>
      </c>
      <c r="R2158">
        <v>32210.07</v>
      </c>
      <c r="T2158">
        <v>4255116</v>
      </c>
      <c r="U2158">
        <v>6238700725</v>
      </c>
      <c r="V2158" t="s">
        <v>2241</v>
      </c>
      <c r="W2158" t="s">
        <v>49</v>
      </c>
      <c r="X2158" t="s">
        <v>135</v>
      </c>
      <c r="Y2158" t="s">
        <v>51</v>
      </c>
      <c r="Z2158">
        <v>727</v>
      </c>
      <c r="AH2158">
        <v>0</v>
      </c>
      <c r="AI2158">
        <v>202506</v>
      </c>
      <c r="AL2158">
        <v>1</v>
      </c>
      <c r="AO2158">
        <v>0</v>
      </c>
      <c r="AP2158" t="s">
        <v>3015</v>
      </c>
      <c r="AQ2158" t="s">
        <v>3012</v>
      </c>
      <c r="AR2158" t="s">
        <v>3016</v>
      </c>
      <c r="AT2158" t="s">
        <v>3017</v>
      </c>
      <c r="AU2158" t="s">
        <v>3018</v>
      </c>
    </row>
    <row r="2159" spans="1:47" x14ac:dyDescent="0.35">
      <c r="A2159">
        <v>364452</v>
      </c>
      <c r="B2159" t="s">
        <v>41</v>
      </c>
      <c r="C2159" t="s">
        <v>42</v>
      </c>
      <c r="D2159" s="2">
        <v>45850</v>
      </c>
      <c r="E2159">
        <v>53850</v>
      </c>
      <c r="F2159">
        <v>122</v>
      </c>
      <c r="G2159" t="s">
        <v>43</v>
      </c>
      <c r="H2159" t="s">
        <v>44</v>
      </c>
      <c r="I2159" t="s">
        <v>45</v>
      </c>
      <c r="L2159">
        <v>1223300002128</v>
      </c>
      <c r="M2159">
        <v>20250619</v>
      </c>
      <c r="N2159" t="s">
        <v>46</v>
      </c>
      <c r="Q2159" t="s">
        <v>47</v>
      </c>
      <c r="R2159">
        <v>39150</v>
      </c>
      <c r="T2159">
        <v>3711207</v>
      </c>
      <c r="U2159">
        <v>8825020723</v>
      </c>
      <c r="V2159" t="s">
        <v>48</v>
      </c>
      <c r="W2159" t="s">
        <v>49</v>
      </c>
      <c r="X2159" t="s">
        <v>50</v>
      </c>
      <c r="Y2159" t="s">
        <v>51</v>
      </c>
      <c r="Z2159">
        <v>1696</v>
      </c>
      <c r="AH2159">
        <v>0</v>
      </c>
      <c r="AI2159">
        <v>202506</v>
      </c>
      <c r="AJ2159" t="s">
        <v>86</v>
      </c>
      <c r="AK2159">
        <v>1</v>
      </c>
      <c r="AL2159">
        <v>1</v>
      </c>
      <c r="AO2159">
        <v>0</v>
      </c>
      <c r="AP2159" t="s">
        <v>3011</v>
      </c>
      <c r="AQ2159" t="s">
        <v>3012</v>
      </c>
      <c r="AR2159" t="s">
        <v>3013</v>
      </c>
      <c r="AS2159" t="s">
        <v>3014</v>
      </c>
      <c r="AU2159" t="s">
        <v>3014</v>
      </c>
    </row>
    <row r="2160" spans="1:47" x14ac:dyDescent="0.35">
      <c r="A2160">
        <v>364441</v>
      </c>
      <c r="B2160" t="s">
        <v>41</v>
      </c>
      <c r="C2160" t="s">
        <v>42</v>
      </c>
      <c r="D2160" s="2">
        <v>45850</v>
      </c>
      <c r="E2160">
        <v>53850</v>
      </c>
      <c r="F2160">
        <v>154</v>
      </c>
      <c r="G2160" t="s">
        <v>53</v>
      </c>
      <c r="H2160" t="s">
        <v>44</v>
      </c>
      <c r="I2160" t="s">
        <v>45</v>
      </c>
      <c r="L2160">
        <v>1543300004860</v>
      </c>
      <c r="M2160">
        <v>20250623</v>
      </c>
      <c r="N2160" t="s">
        <v>46</v>
      </c>
      <c r="Q2160" t="s">
        <v>47</v>
      </c>
      <c r="R2160">
        <v>39445.730000000003</v>
      </c>
      <c r="T2160">
        <v>3715569</v>
      </c>
      <c r="U2160">
        <v>5424970654</v>
      </c>
      <c r="V2160" t="s">
        <v>54</v>
      </c>
      <c r="W2160" t="s">
        <v>49</v>
      </c>
      <c r="X2160" t="s">
        <v>55</v>
      </c>
      <c r="Y2160" t="s">
        <v>51</v>
      </c>
      <c r="Z2160">
        <v>741</v>
      </c>
      <c r="AH2160">
        <v>0</v>
      </c>
      <c r="AI2160">
        <v>202506</v>
      </c>
      <c r="AL2160">
        <v>1</v>
      </c>
      <c r="AO2160">
        <v>0</v>
      </c>
      <c r="AP2160" t="s">
        <v>3015</v>
      </c>
      <c r="AQ2160" t="s">
        <v>3012</v>
      </c>
      <c r="AR2160" t="s">
        <v>3016</v>
      </c>
      <c r="AT2160" t="s">
        <v>3017</v>
      </c>
      <c r="AU2160" t="s">
        <v>3018</v>
      </c>
    </row>
    <row r="2161" spans="1:47" x14ac:dyDescent="0.35">
      <c r="A2161">
        <v>364437</v>
      </c>
      <c r="B2161" t="s">
        <v>41</v>
      </c>
      <c r="C2161" t="s">
        <v>42</v>
      </c>
      <c r="D2161" s="2">
        <v>45850</v>
      </c>
      <c r="E2161">
        <v>53850</v>
      </c>
      <c r="F2161">
        <v>171</v>
      </c>
      <c r="G2161" t="s">
        <v>198</v>
      </c>
      <c r="H2161" t="s">
        <v>44</v>
      </c>
      <c r="I2161" t="s">
        <v>45</v>
      </c>
      <c r="L2161">
        <v>1713302213842</v>
      </c>
      <c r="M2161">
        <v>20250626</v>
      </c>
      <c r="N2161" t="s">
        <v>46</v>
      </c>
      <c r="Q2161" t="s">
        <v>47</v>
      </c>
      <c r="R2161">
        <v>330000</v>
      </c>
      <c r="T2161">
        <v>4148505</v>
      </c>
      <c r="U2161">
        <v>5848860721</v>
      </c>
      <c r="V2161" t="s">
        <v>1281</v>
      </c>
      <c r="W2161" t="s">
        <v>49</v>
      </c>
      <c r="X2161" t="s">
        <v>260</v>
      </c>
      <c r="Y2161" t="s">
        <v>51</v>
      </c>
      <c r="Z2161">
        <v>1903</v>
      </c>
      <c r="AH2161">
        <v>0</v>
      </c>
      <c r="AI2161">
        <v>202506</v>
      </c>
      <c r="AJ2161" t="s">
        <v>86</v>
      </c>
      <c r="AK2161">
        <v>1</v>
      </c>
      <c r="AL2161">
        <v>1</v>
      </c>
      <c r="AO2161">
        <v>0</v>
      </c>
      <c r="AP2161" t="s">
        <v>3015</v>
      </c>
      <c r="AQ2161" t="s">
        <v>3012</v>
      </c>
      <c r="AR2161" t="s">
        <v>3016</v>
      </c>
      <c r="AT2161" t="s">
        <v>3017</v>
      </c>
      <c r="AU2161" t="s">
        <v>3018</v>
      </c>
    </row>
    <row r="2162" spans="1:47" x14ac:dyDescent="0.35">
      <c r="A2162">
        <v>364421</v>
      </c>
      <c r="B2162" t="s">
        <v>41</v>
      </c>
      <c r="C2162" t="s">
        <v>42</v>
      </c>
      <c r="D2162" s="2">
        <v>45850</v>
      </c>
      <c r="E2162">
        <v>53850</v>
      </c>
      <c r="F2162">
        <v>128</v>
      </c>
      <c r="G2162" t="s">
        <v>94</v>
      </c>
      <c r="H2162" t="s">
        <v>44</v>
      </c>
      <c r="I2162" t="s">
        <v>45</v>
      </c>
      <c r="L2162">
        <v>1283300003276</v>
      </c>
      <c r="M2162">
        <v>20250612</v>
      </c>
      <c r="N2162" t="s">
        <v>46</v>
      </c>
      <c r="Q2162" t="s">
        <v>47</v>
      </c>
      <c r="R2162">
        <v>81740</v>
      </c>
      <c r="T2162">
        <v>4804234</v>
      </c>
      <c r="U2162">
        <v>7652810727</v>
      </c>
      <c r="V2162" t="s">
        <v>1306</v>
      </c>
      <c r="W2162" t="s">
        <v>49</v>
      </c>
      <c r="X2162" t="s">
        <v>1307</v>
      </c>
      <c r="Y2162" t="s">
        <v>51</v>
      </c>
      <c r="Z2162">
        <v>462</v>
      </c>
      <c r="AH2162">
        <v>0</v>
      </c>
      <c r="AI2162">
        <v>202506</v>
      </c>
      <c r="AL2162">
        <v>1</v>
      </c>
      <c r="AO2162">
        <v>0</v>
      </c>
      <c r="AP2162" t="s">
        <v>3015</v>
      </c>
      <c r="AQ2162" t="s">
        <v>3012</v>
      </c>
      <c r="AR2162" t="s">
        <v>3016</v>
      </c>
      <c r="AT2162" t="s">
        <v>3017</v>
      </c>
      <c r="AU2162" t="s">
        <v>3018</v>
      </c>
    </row>
    <row r="2163" spans="1:47" x14ac:dyDescent="0.35">
      <c r="A2163">
        <v>364400</v>
      </c>
      <c r="B2163" t="s">
        <v>41</v>
      </c>
      <c r="C2163" t="s">
        <v>42</v>
      </c>
      <c r="D2163" s="2">
        <v>45850</v>
      </c>
      <c r="E2163">
        <v>53850</v>
      </c>
      <c r="F2163">
        <v>105</v>
      </c>
      <c r="G2163" t="s">
        <v>60</v>
      </c>
      <c r="H2163" t="s">
        <v>44</v>
      </c>
      <c r="I2163" t="s">
        <v>45</v>
      </c>
      <c r="L2163">
        <v>1053306287103</v>
      </c>
      <c r="M2163">
        <v>20250617</v>
      </c>
      <c r="N2163" t="s">
        <v>46</v>
      </c>
      <c r="Q2163" t="s">
        <v>47</v>
      </c>
      <c r="R2163">
        <v>2704796</v>
      </c>
      <c r="T2163">
        <v>4263360</v>
      </c>
      <c r="U2163">
        <v>5982300724</v>
      </c>
      <c r="V2163" t="s">
        <v>61</v>
      </c>
      <c r="W2163" t="s">
        <v>49</v>
      </c>
      <c r="X2163" t="s">
        <v>62</v>
      </c>
      <c r="Y2163" t="s">
        <v>51</v>
      </c>
      <c r="Z2163">
        <v>1058</v>
      </c>
      <c r="AH2163">
        <v>0</v>
      </c>
      <c r="AI2163">
        <v>202506</v>
      </c>
      <c r="AJ2163" t="s">
        <v>86</v>
      </c>
      <c r="AK2163">
        <v>1</v>
      </c>
      <c r="AL2163">
        <v>1</v>
      </c>
      <c r="AO2163">
        <v>0</v>
      </c>
      <c r="AP2163" t="s">
        <v>3015</v>
      </c>
      <c r="AQ2163" t="s">
        <v>3012</v>
      </c>
      <c r="AR2163" t="s">
        <v>3016</v>
      </c>
      <c r="AT2163" t="s">
        <v>3017</v>
      </c>
      <c r="AU2163" t="s">
        <v>3018</v>
      </c>
    </row>
    <row r="2164" spans="1:47" x14ac:dyDescent="0.35">
      <c r="A2164">
        <v>364376</v>
      </c>
      <c r="B2164" t="s">
        <v>41</v>
      </c>
      <c r="C2164" t="s">
        <v>42</v>
      </c>
      <c r="D2164" s="2">
        <v>45850</v>
      </c>
      <c r="E2164">
        <v>53850</v>
      </c>
      <c r="F2164">
        <v>117</v>
      </c>
      <c r="G2164" t="s">
        <v>490</v>
      </c>
      <c r="H2164" t="s">
        <v>44</v>
      </c>
      <c r="I2164" t="s">
        <v>45</v>
      </c>
      <c r="L2164">
        <v>1173300537790</v>
      </c>
      <c r="M2164">
        <v>20250606</v>
      </c>
      <c r="N2164" t="s">
        <v>46</v>
      </c>
      <c r="Q2164" t="s">
        <v>47</v>
      </c>
      <c r="R2164">
        <v>320562.28999999998</v>
      </c>
      <c r="T2164">
        <v>4385006</v>
      </c>
      <c r="U2164" t="s">
        <v>2234</v>
      </c>
      <c r="V2164" t="s">
        <v>2235</v>
      </c>
      <c r="W2164" t="s">
        <v>69</v>
      </c>
      <c r="X2164" t="s">
        <v>234</v>
      </c>
      <c r="Y2164" t="s">
        <v>51</v>
      </c>
      <c r="Z2164">
        <v>936</v>
      </c>
      <c r="AH2164">
        <v>0</v>
      </c>
      <c r="AI2164">
        <v>202506</v>
      </c>
      <c r="AL2164">
        <v>1</v>
      </c>
      <c r="AO2164">
        <v>0</v>
      </c>
      <c r="AP2164" t="s">
        <v>3015</v>
      </c>
      <c r="AQ2164" t="s">
        <v>3021</v>
      </c>
      <c r="AR2164" t="s">
        <v>3022</v>
      </c>
      <c r="AT2164" t="s">
        <v>3017</v>
      </c>
      <c r="AU2164" t="s">
        <v>3014</v>
      </c>
    </row>
    <row r="2165" spans="1:47" x14ac:dyDescent="0.35">
      <c r="A2165">
        <v>364375</v>
      </c>
      <c r="B2165" t="s">
        <v>41</v>
      </c>
      <c r="C2165" t="s">
        <v>42</v>
      </c>
      <c r="D2165" s="2">
        <v>45850</v>
      </c>
      <c r="E2165">
        <v>53850</v>
      </c>
      <c r="F2165">
        <v>137</v>
      </c>
      <c r="G2165" t="s">
        <v>166</v>
      </c>
      <c r="H2165" t="s">
        <v>44</v>
      </c>
      <c r="I2165" t="s">
        <v>45</v>
      </c>
      <c r="L2165">
        <v>1373304102177</v>
      </c>
      <c r="M2165">
        <v>20250625</v>
      </c>
      <c r="N2165" t="s">
        <v>46</v>
      </c>
      <c r="Q2165" t="s">
        <v>47</v>
      </c>
      <c r="R2165">
        <v>63000</v>
      </c>
      <c r="T2165">
        <v>4172627</v>
      </c>
      <c r="U2165">
        <v>820790707</v>
      </c>
      <c r="V2165" t="s">
        <v>2244</v>
      </c>
      <c r="W2165" t="s">
        <v>49</v>
      </c>
      <c r="X2165" t="s">
        <v>110</v>
      </c>
      <c r="Y2165" t="s">
        <v>51</v>
      </c>
      <c r="Z2165">
        <v>1856</v>
      </c>
      <c r="AH2165">
        <v>0</v>
      </c>
      <c r="AI2165">
        <v>202506</v>
      </c>
      <c r="AJ2165" t="s">
        <v>86</v>
      </c>
      <c r="AK2165">
        <v>1</v>
      </c>
      <c r="AL2165">
        <v>1</v>
      </c>
      <c r="AO2165">
        <v>0</v>
      </c>
      <c r="AP2165" t="s">
        <v>3026</v>
      </c>
      <c r="AQ2165" t="s">
        <v>3012</v>
      </c>
      <c r="AR2165" t="s">
        <v>3027</v>
      </c>
      <c r="AS2165" t="s">
        <v>3028</v>
      </c>
      <c r="AU2165" t="s">
        <v>3028</v>
      </c>
    </row>
    <row r="2166" spans="1:47" x14ac:dyDescent="0.35">
      <c r="A2166">
        <v>364371</v>
      </c>
      <c r="B2166" t="s">
        <v>41</v>
      </c>
      <c r="C2166" t="s">
        <v>42</v>
      </c>
      <c r="D2166" s="2">
        <v>45850</v>
      </c>
      <c r="E2166">
        <v>53850</v>
      </c>
      <c r="F2166">
        <v>108</v>
      </c>
      <c r="G2166" t="s">
        <v>124</v>
      </c>
      <c r="H2166" t="s">
        <v>44</v>
      </c>
      <c r="I2166" t="s">
        <v>45</v>
      </c>
      <c r="L2166">
        <v>1083300011180</v>
      </c>
      <c r="M2166">
        <v>20250619</v>
      </c>
      <c r="N2166" t="s">
        <v>46</v>
      </c>
      <c r="Q2166" t="s">
        <v>47</v>
      </c>
      <c r="R2166">
        <v>57523.8</v>
      </c>
      <c r="T2166">
        <v>1118</v>
      </c>
      <c r="U2166">
        <v>3246700722</v>
      </c>
      <c r="V2166" t="s">
        <v>125</v>
      </c>
      <c r="W2166" t="s">
        <v>49</v>
      </c>
      <c r="X2166" t="s">
        <v>96</v>
      </c>
      <c r="Y2166" t="s">
        <v>51</v>
      </c>
      <c r="Z2166">
        <v>1058</v>
      </c>
      <c r="AH2166">
        <v>0</v>
      </c>
      <c r="AI2166">
        <v>202506</v>
      </c>
      <c r="AJ2166" t="s">
        <v>86</v>
      </c>
      <c r="AK2166">
        <v>1</v>
      </c>
      <c r="AL2166">
        <v>1</v>
      </c>
      <c r="AO2166">
        <v>0</v>
      </c>
      <c r="AP2166" t="s">
        <v>3015</v>
      </c>
      <c r="AQ2166" t="s">
        <v>3012</v>
      </c>
      <c r="AR2166" t="s">
        <v>3016</v>
      </c>
      <c r="AT2166" t="s">
        <v>3017</v>
      </c>
      <c r="AU2166" t="s">
        <v>3018</v>
      </c>
    </row>
    <row r="2167" spans="1:47" x14ac:dyDescent="0.35">
      <c r="A2167">
        <v>364341</v>
      </c>
      <c r="B2167" t="s">
        <v>41</v>
      </c>
      <c r="C2167" t="s">
        <v>42</v>
      </c>
      <c r="D2167" s="2">
        <v>45850</v>
      </c>
      <c r="E2167">
        <v>53850</v>
      </c>
      <c r="F2167">
        <v>171</v>
      </c>
      <c r="G2167" t="s">
        <v>198</v>
      </c>
      <c r="H2167" t="s">
        <v>44</v>
      </c>
      <c r="I2167" t="s">
        <v>45</v>
      </c>
      <c r="L2167">
        <v>1713302217591</v>
      </c>
      <c r="M2167">
        <v>20250603</v>
      </c>
      <c r="N2167" t="s">
        <v>46</v>
      </c>
      <c r="Q2167" t="s">
        <v>47</v>
      </c>
      <c r="R2167">
        <v>664021.56999999995</v>
      </c>
      <c r="T2167">
        <v>4805735</v>
      </c>
      <c r="U2167">
        <v>5001120723</v>
      </c>
      <c r="V2167" t="s">
        <v>2245</v>
      </c>
      <c r="W2167" t="s">
        <v>49</v>
      </c>
      <c r="X2167" t="s">
        <v>117</v>
      </c>
      <c r="Y2167" t="s">
        <v>51</v>
      </c>
      <c r="Z2167">
        <v>1903</v>
      </c>
      <c r="AH2167">
        <v>0</v>
      </c>
      <c r="AI2167">
        <v>202506</v>
      </c>
      <c r="AJ2167" t="s">
        <v>86</v>
      </c>
      <c r="AK2167">
        <v>1</v>
      </c>
      <c r="AL2167">
        <v>1</v>
      </c>
      <c r="AO2167">
        <v>0</v>
      </c>
      <c r="AP2167" t="s">
        <v>3029</v>
      </c>
      <c r="AQ2167" t="s">
        <v>3012</v>
      </c>
      <c r="AR2167" t="s">
        <v>3030</v>
      </c>
      <c r="AS2167" t="s">
        <v>3014</v>
      </c>
      <c r="AU2167" t="s">
        <v>3014</v>
      </c>
    </row>
    <row r="2168" spans="1:47" x14ac:dyDescent="0.35">
      <c r="A2168">
        <v>364324</v>
      </c>
      <c r="B2168" t="s">
        <v>41</v>
      </c>
      <c r="C2168" t="s">
        <v>42</v>
      </c>
      <c r="D2168" s="2">
        <v>45850</v>
      </c>
      <c r="E2168">
        <v>53850</v>
      </c>
      <c r="F2168">
        <v>122</v>
      </c>
      <c r="G2168" t="s">
        <v>43</v>
      </c>
      <c r="H2168" t="s">
        <v>44</v>
      </c>
      <c r="I2168" t="s">
        <v>45</v>
      </c>
      <c r="L2168">
        <v>1223300001682</v>
      </c>
      <c r="M2168">
        <v>20250625</v>
      </c>
      <c r="N2168" t="s">
        <v>46</v>
      </c>
      <c r="Q2168" t="s">
        <v>47</v>
      </c>
      <c r="R2168">
        <v>35600</v>
      </c>
      <c r="T2168">
        <v>3711207</v>
      </c>
      <c r="U2168">
        <v>8825020723</v>
      </c>
      <c r="V2168" t="s">
        <v>48</v>
      </c>
      <c r="W2168" t="s">
        <v>49</v>
      </c>
      <c r="X2168" t="s">
        <v>50</v>
      </c>
      <c r="Y2168" t="s">
        <v>51</v>
      </c>
      <c r="Z2168">
        <v>1696</v>
      </c>
      <c r="AH2168">
        <v>0</v>
      </c>
      <c r="AI2168">
        <v>202506</v>
      </c>
      <c r="AJ2168" t="s">
        <v>86</v>
      </c>
      <c r="AK2168">
        <v>1</v>
      </c>
      <c r="AL2168">
        <v>1</v>
      </c>
      <c r="AO2168">
        <v>0</v>
      </c>
      <c r="AP2168" t="s">
        <v>3011</v>
      </c>
      <c r="AQ2168" t="s">
        <v>3012</v>
      </c>
      <c r="AR2168" t="s">
        <v>3013</v>
      </c>
      <c r="AS2168" t="s">
        <v>3014</v>
      </c>
      <c r="AU2168" t="s">
        <v>3014</v>
      </c>
    </row>
    <row r="2169" spans="1:47" x14ac:dyDescent="0.35">
      <c r="A2169">
        <v>364322</v>
      </c>
      <c r="B2169" t="s">
        <v>41</v>
      </c>
      <c r="C2169" t="s">
        <v>42</v>
      </c>
      <c r="D2169" s="2">
        <v>45850</v>
      </c>
      <c r="E2169">
        <v>53850</v>
      </c>
      <c r="F2169">
        <v>154</v>
      </c>
      <c r="G2169" t="s">
        <v>53</v>
      </c>
      <c r="H2169" t="s">
        <v>44</v>
      </c>
      <c r="I2169" t="s">
        <v>45</v>
      </c>
      <c r="L2169">
        <v>1543300004860</v>
      </c>
      <c r="M2169">
        <v>20250604</v>
      </c>
      <c r="N2169" t="s">
        <v>46</v>
      </c>
      <c r="Q2169" t="s">
        <v>47</v>
      </c>
      <c r="R2169">
        <v>42500</v>
      </c>
      <c r="T2169">
        <v>3715569</v>
      </c>
      <c r="U2169">
        <v>5424970654</v>
      </c>
      <c r="V2169" t="s">
        <v>54</v>
      </c>
      <c r="W2169" t="s">
        <v>49</v>
      </c>
      <c r="X2169" t="s">
        <v>55</v>
      </c>
      <c r="Y2169" t="s">
        <v>51</v>
      </c>
      <c r="Z2169">
        <v>741</v>
      </c>
      <c r="AH2169">
        <v>0</v>
      </c>
      <c r="AI2169">
        <v>202506</v>
      </c>
      <c r="AL2169">
        <v>1</v>
      </c>
      <c r="AO2169">
        <v>0</v>
      </c>
      <c r="AP2169" t="s">
        <v>3015</v>
      </c>
      <c r="AQ2169" t="s">
        <v>3012</v>
      </c>
      <c r="AR2169" t="s">
        <v>3016</v>
      </c>
      <c r="AT2169" t="s">
        <v>3017</v>
      </c>
      <c r="AU2169" t="s">
        <v>3018</v>
      </c>
    </row>
    <row r="2170" spans="1:47" x14ac:dyDescent="0.35">
      <c r="A2170">
        <v>364305</v>
      </c>
      <c r="B2170" t="s">
        <v>41</v>
      </c>
      <c r="C2170" t="s">
        <v>42</v>
      </c>
      <c r="D2170" s="2">
        <v>45850</v>
      </c>
      <c r="E2170">
        <v>53850</v>
      </c>
      <c r="F2170">
        <v>191</v>
      </c>
      <c r="G2170" t="s">
        <v>102</v>
      </c>
      <c r="H2170" t="s">
        <v>44</v>
      </c>
      <c r="I2170" t="s">
        <v>45</v>
      </c>
      <c r="L2170">
        <v>1913300068122</v>
      </c>
      <c r="M2170">
        <v>20250611</v>
      </c>
      <c r="N2170" t="s">
        <v>46</v>
      </c>
      <c r="Q2170" t="s">
        <v>47</v>
      </c>
      <c r="R2170">
        <v>150000</v>
      </c>
      <c r="T2170">
        <v>4918280</v>
      </c>
      <c r="U2170">
        <v>3480410798</v>
      </c>
      <c r="V2170" t="s">
        <v>103</v>
      </c>
      <c r="W2170" t="s">
        <v>49</v>
      </c>
      <c r="X2170" t="s">
        <v>85</v>
      </c>
      <c r="Y2170" t="s">
        <v>51</v>
      </c>
      <c r="AH2170">
        <v>0</v>
      </c>
      <c r="AI2170">
        <v>202506</v>
      </c>
      <c r="AL2170">
        <v>1</v>
      </c>
      <c r="AO2170">
        <v>0</v>
      </c>
      <c r="AP2170" t="s">
        <v>3015</v>
      </c>
      <c r="AQ2170" t="s">
        <v>3012</v>
      </c>
      <c r="AR2170" t="s">
        <v>3016</v>
      </c>
      <c r="AT2170" t="s">
        <v>3017</v>
      </c>
      <c r="AU2170" t="s">
        <v>3018</v>
      </c>
    </row>
    <row r="2171" spans="1:47" x14ac:dyDescent="0.35">
      <c r="A2171">
        <v>364293</v>
      </c>
      <c r="B2171" t="s">
        <v>41</v>
      </c>
      <c r="C2171" t="s">
        <v>42</v>
      </c>
      <c r="D2171" s="2">
        <v>45850</v>
      </c>
      <c r="E2171">
        <v>53850</v>
      </c>
      <c r="F2171">
        <v>153</v>
      </c>
      <c r="G2171" t="s">
        <v>63</v>
      </c>
      <c r="H2171" t="s">
        <v>44</v>
      </c>
      <c r="I2171" t="s">
        <v>45</v>
      </c>
      <c r="L2171">
        <v>1533300663959</v>
      </c>
      <c r="M2171">
        <v>20250623</v>
      </c>
      <c r="N2171" t="s">
        <v>46</v>
      </c>
      <c r="Q2171" t="s">
        <v>47</v>
      </c>
      <c r="R2171">
        <v>28930.13</v>
      </c>
      <c r="T2171">
        <v>3721097</v>
      </c>
      <c r="U2171">
        <v>10391641213</v>
      </c>
      <c r="V2171" t="s">
        <v>64</v>
      </c>
      <c r="W2171" t="s">
        <v>49</v>
      </c>
      <c r="X2171" t="s">
        <v>65</v>
      </c>
      <c r="Y2171" t="s">
        <v>51</v>
      </c>
      <c r="Z2171">
        <v>1237</v>
      </c>
      <c r="AH2171">
        <v>0</v>
      </c>
      <c r="AI2171">
        <v>202506</v>
      </c>
      <c r="AL2171">
        <v>1</v>
      </c>
      <c r="AO2171">
        <v>0</v>
      </c>
      <c r="AP2171" t="s">
        <v>3019</v>
      </c>
      <c r="AQ2171" t="s">
        <v>3012</v>
      </c>
      <c r="AR2171" t="s">
        <v>3020</v>
      </c>
      <c r="AS2171" t="s">
        <v>3014</v>
      </c>
      <c r="AU2171" t="s">
        <v>3014</v>
      </c>
    </row>
    <row r="2172" spans="1:47" x14ac:dyDescent="0.35">
      <c r="A2172">
        <v>364289</v>
      </c>
      <c r="B2172" t="s">
        <v>41</v>
      </c>
      <c r="C2172" t="s">
        <v>42</v>
      </c>
      <c r="D2172" s="2">
        <v>45850</v>
      </c>
      <c r="E2172">
        <v>53850</v>
      </c>
      <c r="F2172">
        <v>153</v>
      </c>
      <c r="G2172" t="s">
        <v>63</v>
      </c>
      <c r="H2172" t="s">
        <v>44</v>
      </c>
      <c r="I2172" t="s">
        <v>45</v>
      </c>
      <c r="L2172">
        <v>1533300663959</v>
      </c>
      <c r="M2172">
        <v>20250609</v>
      </c>
      <c r="N2172" t="s">
        <v>46</v>
      </c>
      <c r="Q2172" t="s">
        <v>47</v>
      </c>
      <c r="R2172">
        <v>44161.48</v>
      </c>
      <c r="T2172">
        <v>3721097</v>
      </c>
      <c r="U2172">
        <v>10391641213</v>
      </c>
      <c r="V2172" t="s">
        <v>64</v>
      </c>
      <c r="W2172" t="s">
        <v>49</v>
      </c>
      <c r="X2172" t="s">
        <v>65</v>
      </c>
      <c r="Y2172" t="s">
        <v>51</v>
      </c>
      <c r="Z2172">
        <v>1237</v>
      </c>
      <c r="AH2172">
        <v>0</v>
      </c>
      <c r="AI2172">
        <v>202506</v>
      </c>
      <c r="AL2172">
        <v>1</v>
      </c>
      <c r="AO2172">
        <v>0</v>
      </c>
      <c r="AP2172" t="s">
        <v>3019</v>
      </c>
      <c r="AQ2172" t="s">
        <v>3012</v>
      </c>
      <c r="AR2172" t="s">
        <v>3020</v>
      </c>
      <c r="AS2172" t="s">
        <v>3014</v>
      </c>
      <c r="AU2172" t="s">
        <v>3014</v>
      </c>
    </row>
    <row r="2173" spans="1:47" x14ac:dyDescent="0.35">
      <c r="A2173">
        <v>364270</v>
      </c>
      <c r="B2173" t="s">
        <v>41</v>
      </c>
      <c r="C2173" t="s">
        <v>42</v>
      </c>
      <c r="D2173" s="2">
        <v>45850</v>
      </c>
      <c r="E2173">
        <v>53850</v>
      </c>
      <c r="F2173">
        <v>122</v>
      </c>
      <c r="G2173" t="s">
        <v>43</v>
      </c>
      <c r="H2173" t="s">
        <v>44</v>
      </c>
      <c r="I2173" t="s">
        <v>45</v>
      </c>
      <c r="L2173">
        <v>1223300002128</v>
      </c>
      <c r="M2173">
        <v>20250619</v>
      </c>
      <c r="N2173" t="s">
        <v>46</v>
      </c>
      <c r="Q2173" t="s">
        <v>47</v>
      </c>
      <c r="R2173">
        <v>56323.34</v>
      </c>
      <c r="T2173">
        <v>3711207</v>
      </c>
      <c r="U2173">
        <v>8825020723</v>
      </c>
      <c r="V2173" t="s">
        <v>48</v>
      </c>
      <c r="W2173" t="s">
        <v>49</v>
      </c>
      <c r="X2173" t="s">
        <v>50</v>
      </c>
      <c r="Y2173" t="s">
        <v>51</v>
      </c>
      <c r="Z2173">
        <v>1696</v>
      </c>
      <c r="AH2173">
        <v>0</v>
      </c>
      <c r="AI2173">
        <v>202506</v>
      </c>
      <c r="AJ2173" t="s">
        <v>86</v>
      </c>
      <c r="AK2173">
        <v>1</v>
      </c>
      <c r="AL2173">
        <v>1</v>
      </c>
      <c r="AO2173">
        <v>0</v>
      </c>
      <c r="AP2173" t="s">
        <v>3011</v>
      </c>
      <c r="AQ2173" t="s">
        <v>3012</v>
      </c>
      <c r="AR2173" t="s">
        <v>3013</v>
      </c>
      <c r="AS2173" t="s">
        <v>3014</v>
      </c>
      <c r="AU2173" t="s">
        <v>3014</v>
      </c>
    </row>
    <row r="2174" spans="1:47" x14ac:dyDescent="0.35">
      <c r="A2174">
        <v>364257</v>
      </c>
      <c r="B2174" t="s">
        <v>41</v>
      </c>
      <c r="C2174" t="s">
        <v>42</v>
      </c>
      <c r="D2174" s="2">
        <v>45850</v>
      </c>
      <c r="E2174">
        <v>53850</v>
      </c>
      <c r="F2174">
        <v>108</v>
      </c>
      <c r="G2174" t="s">
        <v>124</v>
      </c>
      <c r="H2174" t="s">
        <v>44</v>
      </c>
      <c r="I2174" t="s">
        <v>45</v>
      </c>
      <c r="L2174">
        <v>1083300011180</v>
      </c>
      <c r="M2174">
        <v>20250611</v>
      </c>
      <c r="N2174" t="s">
        <v>97</v>
      </c>
      <c r="Q2174" t="s">
        <v>47</v>
      </c>
      <c r="R2174">
        <v>38964.839999999997</v>
      </c>
      <c r="T2174">
        <v>1118</v>
      </c>
      <c r="U2174">
        <v>3246700722</v>
      </c>
      <c r="V2174" t="s">
        <v>125</v>
      </c>
      <c r="W2174" t="s">
        <v>49</v>
      </c>
      <c r="X2174" t="s">
        <v>96</v>
      </c>
      <c r="Y2174" t="s">
        <v>51</v>
      </c>
      <c r="Z2174">
        <v>1058</v>
      </c>
      <c r="AH2174">
        <v>0</v>
      </c>
      <c r="AI2174">
        <v>202506</v>
      </c>
      <c r="AJ2174" t="s">
        <v>86</v>
      </c>
      <c r="AK2174">
        <v>1</v>
      </c>
      <c r="AL2174">
        <v>1</v>
      </c>
      <c r="AO2174">
        <v>0</v>
      </c>
      <c r="AP2174" t="s">
        <v>3015</v>
      </c>
      <c r="AQ2174" t="s">
        <v>3012</v>
      </c>
      <c r="AR2174" t="s">
        <v>3016</v>
      </c>
      <c r="AT2174" t="s">
        <v>3017</v>
      </c>
      <c r="AU2174" t="s">
        <v>3018</v>
      </c>
    </row>
    <row r="2175" spans="1:47" x14ac:dyDescent="0.35">
      <c r="A2175">
        <v>364250</v>
      </c>
      <c r="B2175" t="s">
        <v>41</v>
      </c>
      <c r="C2175" t="s">
        <v>42</v>
      </c>
      <c r="D2175" s="2">
        <v>45850</v>
      </c>
      <c r="E2175">
        <v>53850</v>
      </c>
      <c r="F2175">
        <v>287</v>
      </c>
      <c r="G2175" t="s">
        <v>707</v>
      </c>
      <c r="H2175" t="s">
        <v>44</v>
      </c>
      <c r="I2175" t="s">
        <v>45</v>
      </c>
      <c r="L2175">
        <v>2873300001853</v>
      </c>
      <c r="M2175">
        <v>20250609</v>
      </c>
      <c r="N2175" t="s">
        <v>81</v>
      </c>
      <c r="Q2175" t="s">
        <v>47</v>
      </c>
      <c r="R2175">
        <v>101179.49</v>
      </c>
      <c r="T2175">
        <v>3722213</v>
      </c>
      <c r="U2175">
        <v>2021570698</v>
      </c>
      <c r="V2175" t="s">
        <v>708</v>
      </c>
      <c r="W2175" t="s">
        <v>49</v>
      </c>
      <c r="X2175" t="s">
        <v>117</v>
      </c>
      <c r="Y2175" t="s">
        <v>51</v>
      </c>
      <c r="Z2175">
        <v>1877</v>
      </c>
      <c r="AH2175">
        <v>0</v>
      </c>
      <c r="AI2175">
        <v>202506</v>
      </c>
      <c r="AJ2175" t="s">
        <v>86</v>
      </c>
      <c r="AK2175">
        <v>1</v>
      </c>
      <c r="AL2175">
        <v>1</v>
      </c>
      <c r="AM2175">
        <v>3722213</v>
      </c>
      <c r="AN2175">
        <v>1</v>
      </c>
      <c r="AO2175">
        <v>0</v>
      </c>
      <c r="AP2175" t="s">
        <v>3029</v>
      </c>
      <c r="AQ2175" t="s">
        <v>3012</v>
      </c>
      <c r="AR2175" t="s">
        <v>3030</v>
      </c>
      <c r="AS2175" t="s">
        <v>3014</v>
      </c>
      <c r="AU2175" t="s">
        <v>3014</v>
      </c>
    </row>
    <row r="2176" spans="1:47" x14ac:dyDescent="0.35">
      <c r="A2176">
        <v>364245</v>
      </c>
      <c r="B2176" t="s">
        <v>41</v>
      </c>
      <c r="C2176" t="s">
        <v>42</v>
      </c>
      <c r="D2176" s="2">
        <v>45850</v>
      </c>
      <c r="E2176">
        <v>53850</v>
      </c>
      <c r="F2176">
        <v>103</v>
      </c>
      <c r="G2176" t="s">
        <v>80</v>
      </c>
      <c r="H2176" t="s">
        <v>44</v>
      </c>
      <c r="I2176" t="s">
        <v>45</v>
      </c>
      <c r="L2176">
        <v>1033306967935</v>
      </c>
      <c r="M2176">
        <v>20250617</v>
      </c>
      <c r="N2176" t="s">
        <v>46</v>
      </c>
      <c r="Q2176" t="s">
        <v>47</v>
      </c>
      <c r="R2176">
        <v>50043.34</v>
      </c>
      <c r="T2176">
        <v>155052</v>
      </c>
      <c r="U2176">
        <v>2563580725</v>
      </c>
      <c r="V2176" t="s">
        <v>82</v>
      </c>
      <c r="W2176" t="s">
        <v>49</v>
      </c>
      <c r="X2176" t="s">
        <v>59</v>
      </c>
      <c r="Y2176" t="s">
        <v>51</v>
      </c>
      <c r="Z2176">
        <v>1926</v>
      </c>
      <c r="AH2176">
        <v>0</v>
      </c>
      <c r="AI2176">
        <v>202506</v>
      </c>
      <c r="AJ2176" t="s">
        <v>119</v>
      </c>
      <c r="AK2176">
        <v>1</v>
      </c>
      <c r="AL2176">
        <v>1</v>
      </c>
      <c r="AM2176">
        <v>155052</v>
      </c>
      <c r="AN2176">
        <v>1</v>
      </c>
      <c r="AO2176">
        <v>0</v>
      </c>
      <c r="AP2176" t="s">
        <v>3015</v>
      </c>
      <c r="AQ2176" t="s">
        <v>3012</v>
      </c>
      <c r="AR2176" t="s">
        <v>3016</v>
      </c>
      <c r="AT2176" t="s">
        <v>3017</v>
      </c>
      <c r="AU2176" t="s">
        <v>3018</v>
      </c>
    </row>
    <row r="2177" spans="1:47" x14ac:dyDescent="0.35">
      <c r="A2177">
        <v>364242</v>
      </c>
      <c r="B2177" t="s">
        <v>41</v>
      </c>
      <c r="C2177" t="s">
        <v>42</v>
      </c>
      <c r="D2177" s="2">
        <v>45850</v>
      </c>
      <c r="E2177">
        <v>53850</v>
      </c>
      <c r="F2177">
        <v>174</v>
      </c>
      <c r="G2177" t="s">
        <v>224</v>
      </c>
      <c r="H2177" t="s">
        <v>44</v>
      </c>
      <c r="I2177" t="s">
        <v>45</v>
      </c>
      <c r="L2177">
        <v>1743302881016</v>
      </c>
      <c r="M2177">
        <v>20250609</v>
      </c>
      <c r="N2177" t="s">
        <v>46</v>
      </c>
      <c r="Q2177" t="s">
        <v>47</v>
      </c>
      <c r="R2177">
        <v>35093.78</v>
      </c>
      <c r="T2177">
        <v>3710716</v>
      </c>
      <c r="U2177">
        <v>1695450740</v>
      </c>
      <c r="V2177" t="s">
        <v>2246</v>
      </c>
      <c r="W2177" t="s">
        <v>49</v>
      </c>
      <c r="X2177" t="s">
        <v>117</v>
      </c>
      <c r="Y2177" t="s">
        <v>51</v>
      </c>
      <c r="Z2177">
        <v>1058</v>
      </c>
      <c r="AH2177">
        <v>0</v>
      </c>
      <c r="AI2177">
        <v>202506</v>
      </c>
      <c r="AL2177">
        <v>1</v>
      </c>
      <c r="AO2177">
        <v>0</v>
      </c>
      <c r="AP2177" t="s">
        <v>3029</v>
      </c>
      <c r="AQ2177" t="s">
        <v>3012</v>
      </c>
      <c r="AR2177" t="s">
        <v>3030</v>
      </c>
      <c r="AS2177" t="s">
        <v>3014</v>
      </c>
      <c r="AU2177" t="s">
        <v>3014</v>
      </c>
    </row>
    <row r="2178" spans="1:47" x14ac:dyDescent="0.35">
      <c r="A2178">
        <v>364236</v>
      </c>
      <c r="B2178" t="s">
        <v>41</v>
      </c>
      <c r="C2178" t="s">
        <v>42</v>
      </c>
      <c r="D2178" s="2">
        <v>45850</v>
      </c>
      <c r="E2178">
        <v>53850</v>
      </c>
      <c r="F2178">
        <v>267</v>
      </c>
      <c r="G2178" t="s">
        <v>349</v>
      </c>
      <c r="H2178" t="s">
        <v>44</v>
      </c>
      <c r="I2178" t="s">
        <v>45</v>
      </c>
      <c r="L2178">
        <v>2673300010274</v>
      </c>
      <c r="M2178">
        <v>20250617</v>
      </c>
      <c r="N2178" t="s">
        <v>81</v>
      </c>
      <c r="Q2178" t="s">
        <v>47</v>
      </c>
      <c r="R2178">
        <v>26168.12</v>
      </c>
      <c r="T2178">
        <v>4992646</v>
      </c>
      <c r="U2178">
        <v>3152440792</v>
      </c>
      <c r="V2178" t="s">
        <v>2240</v>
      </c>
      <c r="W2178" t="s">
        <v>49</v>
      </c>
      <c r="X2178" t="s">
        <v>710</v>
      </c>
      <c r="Y2178" t="s">
        <v>51</v>
      </c>
      <c r="Z2178">
        <v>1627</v>
      </c>
      <c r="AH2178">
        <v>0</v>
      </c>
      <c r="AI2178">
        <v>202506</v>
      </c>
      <c r="AJ2178" t="s">
        <v>86</v>
      </c>
      <c r="AK2178">
        <v>1</v>
      </c>
      <c r="AL2178">
        <v>1</v>
      </c>
      <c r="AO2178">
        <v>0</v>
      </c>
      <c r="AP2178" t="s">
        <v>3015</v>
      </c>
      <c r="AQ2178" t="s">
        <v>3012</v>
      </c>
      <c r="AR2178" t="s">
        <v>3016</v>
      </c>
      <c r="AT2178" t="s">
        <v>3017</v>
      </c>
      <c r="AU2178" t="s">
        <v>3018</v>
      </c>
    </row>
    <row r="2179" spans="1:47" x14ac:dyDescent="0.35">
      <c r="A2179">
        <v>364219</v>
      </c>
      <c r="B2179" t="s">
        <v>41</v>
      </c>
      <c r="C2179" t="s">
        <v>42</v>
      </c>
      <c r="D2179" s="2">
        <v>45850</v>
      </c>
      <c r="E2179">
        <v>53850</v>
      </c>
      <c r="F2179">
        <v>261</v>
      </c>
      <c r="G2179" t="s">
        <v>136</v>
      </c>
      <c r="H2179" t="s">
        <v>44</v>
      </c>
      <c r="I2179" t="s">
        <v>45</v>
      </c>
      <c r="L2179">
        <v>2613300000185</v>
      </c>
      <c r="M2179">
        <v>20250616</v>
      </c>
      <c r="N2179" t="s">
        <v>46</v>
      </c>
      <c r="Q2179" t="s">
        <v>47</v>
      </c>
      <c r="R2179">
        <v>84000</v>
      </c>
      <c r="T2179">
        <v>1603119</v>
      </c>
      <c r="U2179">
        <v>941080707</v>
      </c>
      <c r="V2179" t="s">
        <v>1305</v>
      </c>
      <c r="W2179" t="s">
        <v>49</v>
      </c>
      <c r="X2179" t="s">
        <v>62</v>
      </c>
      <c r="Y2179" t="s">
        <v>51</v>
      </c>
      <c r="Z2179">
        <v>1856</v>
      </c>
      <c r="AH2179">
        <v>0</v>
      </c>
      <c r="AI2179">
        <v>202506</v>
      </c>
      <c r="AL2179">
        <v>1</v>
      </c>
      <c r="AO2179">
        <v>0</v>
      </c>
      <c r="AP2179" t="s">
        <v>3015</v>
      </c>
      <c r="AQ2179" t="s">
        <v>3012</v>
      </c>
      <c r="AR2179" t="s">
        <v>3016</v>
      </c>
      <c r="AT2179" t="s">
        <v>3017</v>
      </c>
      <c r="AU2179" t="s">
        <v>3018</v>
      </c>
    </row>
    <row r="2180" spans="1:47" x14ac:dyDescent="0.35">
      <c r="A2180">
        <v>364148</v>
      </c>
      <c r="B2180" t="s">
        <v>41</v>
      </c>
      <c r="C2180" t="s">
        <v>42</v>
      </c>
      <c r="D2180" s="2">
        <v>45850</v>
      </c>
      <c r="E2180">
        <v>53850</v>
      </c>
      <c r="F2180">
        <v>268</v>
      </c>
      <c r="G2180" t="s">
        <v>83</v>
      </c>
      <c r="H2180" t="s">
        <v>44</v>
      </c>
      <c r="I2180" t="s">
        <v>45</v>
      </c>
      <c r="L2180">
        <v>2683300010038</v>
      </c>
      <c r="M2180">
        <v>20250612</v>
      </c>
      <c r="N2180" t="s">
        <v>46</v>
      </c>
      <c r="Q2180" t="s">
        <v>47</v>
      </c>
      <c r="R2180">
        <v>40354.29</v>
      </c>
      <c r="T2180">
        <v>1604219</v>
      </c>
      <c r="U2180">
        <v>952850790</v>
      </c>
      <c r="V2180" t="s">
        <v>84</v>
      </c>
      <c r="W2180" t="s">
        <v>49</v>
      </c>
      <c r="X2180" t="s">
        <v>85</v>
      </c>
      <c r="Y2180" t="s">
        <v>51</v>
      </c>
      <c r="Z2180">
        <v>1627</v>
      </c>
      <c r="AH2180">
        <v>0</v>
      </c>
      <c r="AI2180">
        <v>202506</v>
      </c>
      <c r="AJ2180" t="s">
        <v>86</v>
      </c>
      <c r="AK2180">
        <v>1</v>
      </c>
      <c r="AL2180">
        <v>1</v>
      </c>
      <c r="AO2180">
        <v>0</v>
      </c>
      <c r="AP2180" t="s">
        <v>3015</v>
      </c>
      <c r="AQ2180" t="s">
        <v>3012</v>
      </c>
      <c r="AR2180" t="s">
        <v>3016</v>
      </c>
      <c r="AT2180" t="s">
        <v>3017</v>
      </c>
      <c r="AU2180" t="s">
        <v>3018</v>
      </c>
    </row>
    <row r="2181" spans="1:47" x14ac:dyDescent="0.35">
      <c r="A2181">
        <v>364106</v>
      </c>
      <c r="B2181" t="s">
        <v>41</v>
      </c>
      <c r="C2181" t="s">
        <v>42</v>
      </c>
      <c r="D2181" s="2">
        <v>45850</v>
      </c>
      <c r="E2181">
        <v>53850</v>
      </c>
      <c r="F2181">
        <v>148</v>
      </c>
      <c r="G2181" t="s">
        <v>78</v>
      </c>
      <c r="H2181" t="s">
        <v>44</v>
      </c>
      <c r="I2181" t="s">
        <v>45</v>
      </c>
      <c r="L2181">
        <v>1483300005974</v>
      </c>
      <c r="M2181">
        <v>20250626</v>
      </c>
      <c r="N2181" t="s">
        <v>46</v>
      </c>
      <c r="Q2181" t="s">
        <v>47</v>
      </c>
      <c r="R2181">
        <v>45000</v>
      </c>
      <c r="T2181">
        <v>3735908</v>
      </c>
      <c r="U2181">
        <v>3016980348</v>
      </c>
      <c r="V2181" t="s">
        <v>2247</v>
      </c>
      <c r="W2181" t="s">
        <v>49</v>
      </c>
      <c r="X2181" t="s">
        <v>2237</v>
      </c>
      <c r="Y2181" t="s">
        <v>51</v>
      </c>
      <c r="Z2181">
        <v>1340</v>
      </c>
      <c r="AH2181">
        <v>0</v>
      </c>
      <c r="AI2181">
        <v>202506</v>
      </c>
      <c r="AL2181">
        <v>1</v>
      </c>
      <c r="AO2181">
        <v>0</v>
      </c>
      <c r="AP2181" t="s">
        <v>3015</v>
      </c>
      <c r="AQ2181" t="s">
        <v>3012</v>
      </c>
      <c r="AR2181" t="s">
        <v>3016</v>
      </c>
      <c r="AT2181" t="s">
        <v>3017</v>
      </c>
      <c r="AU2181" t="s">
        <v>3018</v>
      </c>
    </row>
    <row r="2182" spans="1:47" x14ac:dyDescent="0.35">
      <c r="A2182">
        <v>364095</v>
      </c>
      <c r="B2182" t="s">
        <v>41</v>
      </c>
      <c r="C2182" t="s">
        <v>42</v>
      </c>
      <c r="D2182" s="2">
        <v>45850</v>
      </c>
      <c r="E2182">
        <v>53850</v>
      </c>
      <c r="F2182">
        <v>122</v>
      </c>
      <c r="G2182" t="s">
        <v>43</v>
      </c>
      <c r="H2182" t="s">
        <v>44</v>
      </c>
      <c r="I2182" t="s">
        <v>45</v>
      </c>
      <c r="L2182">
        <v>1223300001682</v>
      </c>
      <c r="M2182">
        <v>20250612</v>
      </c>
      <c r="N2182" t="s">
        <v>46</v>
      </c>
      <c r="Q2182" t="s">
        <v>47</v>
      </c>
      <c r="R2182">
        <v>53652.62</v>
      </c>
      <c r="T2182">
        <v>3711207</v>
      </c>
      <c r="U2182">
        <v>8825020723</v>
      </c>
      <c r="V2182" t="s">
        <v>48</v>
      </c>
      <c r="W2182" t="s">
        <v>49</v>
      </c>
      <c r="X2182" t="s">
        <v>50</v>
      </c>
      <c r="Y2182" t="s">
        <v>51</v>
      </c>
      <c r="Z2182">
        <v>1696</v>
      </c>
      <c r="AH2182">
        <v>0</v>
      </c>
      <c r="AI2182">
        <v>202506</v>
      </c>
      <c r="AJ2182" t="s">
        <v>86</v>
      </c>
      <c r="AK2182">
        <v>1</v>
      </c>
      <c r="AL2182">
        <v>1</v>
      </c>
      <c r="AO2182">
        <v>0</v>
      </c>
      <c r="AP2182" t="s">
        <v>3011</v>
      </c>
      <c r="AQ2182" t="s">
        <v>3012</v>
      </c>
      <c r="AR2182" t="s">
        <v>3013</v>
      </c>
      <c r="AS2182" t="s">
        <v>3014</v>
      </c>
      <c r="AU2182" t="s">
        <v>3014</v>
      </c>
    </row>
    <row r="2183" spans="1:47" x14ac:dyDescent="0.35">
      <c r="A2183">
        <v>364021</v>
      </c>
      <c r="B2183" t="s">
        <v>41</v>
      </c>
      <c r="C2183" t="s">
        <v>42</v>
      </c>
      <c r="D2183" s="2">
        <v>45850</v>
      </c>
      <c r="E2183">
        <v>53850</v>
      </c>
      <c r="F2183">
        <v>108</v>
      </c>
      <c r="G2183" t="s">
        <v>124</v>
      </c>
      <c r="H2183" t="s">
        <v>44</v>
      </c>
      <c r="I2183" t="s">
        <v>45</v>
      </c>
      <c r="L2183">
        <v>1083300011180</v>
      </c>
      <c r="M2183">
        <v>20250611</v>
      </c>
      <c r="N2183" t="s">
        <v>81</v>
      </c>
      <c r="Q2183" t="s">
        <v>47</v>
      </c>
      <c r="R2183">
        <v>76543.009999999995</v>
      </c>
      <c r="T2183">
        <v>1118</v>
      </c>
      <c r="U2183">
        <v>3246700722</v>
      </c>
      <c r="V2183" t="s">
        <v>125</v>
      </c>
      <c r="W2183" t="s">
        <v>49</v>
      </c>
      <c r="X2183" t="s">
        <v>96</v>
      </c>
      <c r="Y2183" t="s">
        <v>51</v>
      </c>
      <c r="Z2183">
        <v>1058</v>
      </c>
      <c r="AH2183">
        <v>0</v>
      </c>
      <c r="AI2183">
        <v>202506</v>
      </c>
      <c r="AJ2183" t="s">
        <v>86</v>
      </c>
      <c r="AK2183">
        <v>1</v>
      </c>
      <c r="AL2183">
        <v>1</v>
      </c>
      <c r="AO2183">
        <v>0</v>
      </c>
      <c r="AP2183" t="s">
        <v>3015</v>
      </c>
      <c r="AQ2183" t="s">
        <v>3012</v>
      </c>
      <c r="AR2183" t="s">
        <v>3016</v>
      </c>
      <c r="AT2183" t="s">
        <v>3017</v>
      </c>
      <c r="AU2183" t="s">
        <v>3018</v>
      </c>
    </row>
    <row r="2184" spans="1:47" x14ac:dyDescent="0.35">
      <c r="A2184">
        <v>364003</v>
      </c>
      <c r="B2184" t="s">
        <v>41</v>
      </c>
      <c r="C2184" t="s">
        <v>42</v>
      </c>
      <c r="D2184" s="2">
        <v>45850</v>
      </c>
      <c r="E2184">
        <v>53850</v>
      </c>
      <c r="F2184">
        <v>116</v>
      </c>
      <c r="G2184" t="s">
        <v>126</v>
      </c>
      <c r="H2184" t="s">
        <v>44</v>
      </c>
      <c r="I2184" t="s">
        <v>45</v>
      </c>
      <c r="L2184">
        <v>1423300307118</v>
      </c>
      <c r="M2184">
        <v>20250616</v>
      </c>
      <c r="N2184" t="s">
        <v>46</v>
      </c>
      <c r="Q2184" t="s">
        <v>47</v>
      </c>
      <c r="R2184">
        <v>45000</v>
      </c>
      <c r="T2184">
        <v>4022762</v>
      </c>
      <c r="U2184">
        <v>3407060726</v>
      </c>
      <c r="V2184" t="s">
        <v>2248</v>
      </c>
      <c r="W2184" t="s">
        <v>49</v>
      </c>
      <c r="X2184" t="s">
        <v>88</v>
      </c>
      <c r="Y2184" t="s">
        <v>51</v>
      </c>
      <c r="Z2184">
        <v>1919</v>
      </c>
      <c r="AH2184">
        <v>0</v>
      </c>
      <c r="AI2184">
        <v>202506</v>
      </c>
      <c r="AL2184">
        <v>1</v>
      </c>
      <c r="AO2184">
        <v>0</v>
      </c>
      <c r="AP2184" t="s">
        <v>3015</v>
      </c>
      <c r="AQ2184" t="s">
        <v>3012</v>
      </c>
      <c r="AR2184" t="s">
        <v>3016</v>
      </c>
      <c r="AT2184" t="s">
        <v>3017</v>
      </c>
      <c r="AU2184" t="s">
        <v>3018</v>
      </c>
    </row>
    <row r="2185" spans="1:47" x14ac:dyDescent="0.35">
      <c r="A2185">
        <v>364001</v>
      </c>
      <c r="B2185" t="s">
        <v>41</v>
      </c>
      <c r="C2185" t="s">
        <v>42</v>
      </c>
      <c r="D2185" s="2">
        <v>45850</v>
      </c>
      <c r="E2185">
        <v>53850</v>
      </c>
      <c r="F2185">
        <v>141</v>
      </c>
      <c r="G2185" t="s">
        <v>105</v>
      </c>
      <c r="H2185" t="s">
        <v>44</v>
      </c>
      <c r="I2185" t="s">
        <v>45</v>
      </c>
      <c r="L2185">
        <v>1413300004311</v>
      </c>
      <c r="M2185">
        <v>20250616</v>
      </c>
      <c r="N2185" t="s">
        <v>46</v>
      </c>
      <c r="Q2185" t="s">
        <v>47</v>
      </c>
      <c r="R2185">
        <v>300000</v>
      </c>
      <c r="T2185">
        <v>3737110</v>
      </c>
      <c r="U2185">
        <v>5366430758</v>
      </c>
      <c r="V2185" t="s">
        <v>122</v>
      </c>
      <c r="W2185" t="s">
        <v>49</v>
      </c>
      <c r="X2185" t="s">
        <v>123</v>
      </c>
      <c r="Y2185" t="s">
        <v>51</v>
      </c>
      <c r="Z2185">
        <v>1627</v>
      </c>
      <c r="AH2185">
        <v>0</v>
      </c>
      <c r="AI2185">
        <v>202506</v>
      </c>
      <c r="AL2185">
        <v>1</v>
      </c>
      <c r="AO2185">
        <v>0</v>
      </c>
      <c r="AP2185" t="s">
        <v>3031</v>
      </c>
      <c r="AQ2185" t="s">
        <v>3012</v>
      </c>
      <c r="AR2185" t="s">
        <v>3032</v>
      </c>
      <c r="AS2185" t="s">
        <v>3014</v>
      </c>
      <c r="AU2185" t="s">
        <v>3014</v>
      </c>
    </row>
    <row r="2186" spans="1:47" x14ac:dyDescent="0.35">
      <c r="A2186">
        <v>363966</v>
      </c>
      <c r="B2186" t="s">
        <v>41</v>
      </c>
      <c r="C2186" t="s">
        <v>42</v>
      </c>
      <c r="D2186" s="2">
        <v>45850</v>
      </c>
      <c r="E2186">
        <v>53850</v>
      </c>
      <c r="F2186">
        <v>128</v>
      </c>
      <c r="G2186" t="s">
        <v>94</v>
      </c>
      <c r="H2186" t="s">
        <v>44</v>
      </c>
      <c r="I2186" t="s">
        <v>45</v>
      </c>
      <c r="L2186">
        <v>1283300001665</v>
      </c>
      <c r="M2186">
        <v>20250618</v>
      </c>
      <c r="N2186" t="s">
        <v>81</v>
      </c>
      <c r="Q2186" t="s">
        <v>47</v>
      </c>
      <c r="R2186">
        <v>30887.66</v>
      </c>
      <c r="T2186">
        <v>4254896</v>
      </c>
      <c r="U2186">
        <v>6234730726</v>
      </c>
      <c r="V2186" t="s">
        <v>95</v>
      </c>
      <c r="W2186" t="s">
        <v>49</v>
      </c>
      <c r="X2186" t="s">
        <v>96</v>
      </c>
      <c r="Y2186" t="s">
        <v>51</v>
      </c>
      <c r="Z2186">
        <v>1919</v>
      </c>
      <c r="AH2186">
        <v>0</v>
      </c>
      <c r="AI2186">
        <v>202506</v>
      </c>
      <c r="AJ2186" t="s">
        <v>86</v>
      </c>
      <c r="AK2186">
        <v>1</v>
      </c>
      <c r="AL2186">
        <v>1</v>
      </c>
      <c r="AO2186">
        <v>0</v>
      </c>
      <c r="AP2186" t="s">
        <v>3015</v>
      </c>
      <c r="AQ2186" t="s">
        <v>3012</v>
      </c>
      <c r="AR2186" t="s">
        <v>3016</v>
      </c>
      <c r="AT2186" t="s">
        <v>3017</v>
      </c>
      <c r="AU2186" t="s">
        <v>3018</v>
      </c>
    </row>
    <row r="2187" spans="1:47" x14ac:dyDescent="0.35">
      <c r="A2187">
        <v>363963</v>
      </c>
      <c r="B2187" t="s">
        <v>41</v>
      </c>
      <c r="C2187" t="s">
        <v>42</v>
      </c>
      <c r="D2187" s="2">
        <v>45850</v>
      </c>
      <c r="E2187">
        <v>53850</v>
      </c>
      <c r="F2187">
        <v>108</v>
      </c>
      <c r="G2187" t="s">
        <v>124</v>
      </c>
      <c r="H2187" t="s">
        <v>44</v>
      </c>
      <c r="I2187" t="s">
        <v>45</v>
      </c>
      <c r="L2187">
        <v>1083300011180</v>
      </c>
      <c r="M2187">
        <v>20250617</v>
      </c>
      <c r="N2187" t="s">
        <v>81</v>
      </c>
      <c r="Q2187" t="s">
        <v>47</v>
      </c>
      <c r="R2187">
        <v>25061.85</v>
      </c>
      <c r="T2187">
        <v>1118</v>
      </c>
      <c r="U2187">
        <v>3246700722</v>
      </c>
      <c r="V2187" t="s">
        <v>125</v>
      </c>
      <c r="W2187" t="s">
        <v>49</v>
      </c>
      <c r="X2187" t="s">
        <v>96</v>
      </c>
      <c r="Y2187" t="s">
        <v>51</v>
      </c>
      <c r="Z2187">
        <v>1058</v>
      </c>
      <c r="AH2187">
        <v>0</v>
      </c>
      <c r="AI2187">
        <v>202506</v>
      </c>
      <c r="AJ2187" t="s">
        <v>86</v>
      </c>
      <c r="AK2187">
        <v>1</v>
      </c>
      <c r="AL2187">
        <v>1</v>
      </c>
      <c r="AO2187">
        <v>0</v>
      </c>
      <c r="AP2187" t="s">
        <v>3015</v>
      </c>
      <c r="AQ2187" t="s">
        <v>3012</v>
      </c>
      <c r="AR2187" t="s">
        <v>3016</v>
      </c>
      <c r="AT2187" t="s">
        <v>3017</v>
      </c>
      <c r="AU2187" t="s">
        <v>3018</v>
      </c>
    </row>
    <row r="2188" spans="1:47" x14ac:dyDescent="0.35">
      <c r="A2188">
        <v>363961</v>
      </c>
      <c r="B2188" t="s">
        <v>41</v>
      </c>
      <c r="C2188" t="s">
        <v>42</v>
      </c>
      <c r="D2188" s="2">
        <v>45850</v>
      </c>
      <c r="E2188">
        <v>53850</v>
      </c>
      <c r="F2188">
        <v>125</v>
      </c>
      <c r="G2188" t="s">
        <v>75</v>
      </c>
      <c r="H2188" t="s">
        <v>44</v>
      </c>
      <c r="I2188" t="s">
        <v>45</v>
      </c>
      <c r="L2188">
        <v>1253309512895</v>
      </c>
      <c r="M2188">
        <v>20250604</v>
      </c>
      <c r="N2188" t="s">
        <v>46</v>
      </c>
      <c r="Q2188" t="s">
        <v>47</v>
      </c>
      <c r="R2188">
        <v>321513.57</v>
      </c>
      <c r="T2188">
        <v>4795279</v>
      </c>
      <c r="U2188">
        <v>1020090658</v>
      </c>
      <c r="V2188" t="s">
        <v>76</v>
      </c>
      <c r="W2188" t="s">
        <v>49</v>
      </c>
      <c r="X2188" t="s">
        <v>77</v>
      </c>
      <c r="Y2188" t="s">
        <v>51</v>
      </c>
      <c r="Z2188">
        <v>982</v>
      </c>
      <c r="AH2188">
        <v>0</v>
      </c>
      <c r="AI2188">
        <v>202506</v>
      </c>
      <c r="AL2188">
        <v>1</v>
      </c>
      <c r="AO2188">
        <v>0</v>
      </c>
      <c r="AP2188" t="s">
        <v>3015</v>
      </c>
      <c r="AQ2188" t="s">
        <v>3012</v>
      </c>
      <c r="AR2188" t="s">
        <v>3016</v>
      </c>
      <c r="AT2188" t="s">
        <v>3017</v>
      </c>
      <c r="AU2188" t="s">
        <v>3018</v>
      </c>
    </row>
    <row r="2189" spans="1:47" x14ac:dyDescent="0.35">
      <c r="A2189">
        <v>363936</v>
      </c>
      <c r="B2189" t="s">
        <v>41</v>
      </c>
      <c r="C2189" t="s">
        <v>42</v>
      </c>
      <c r="D2189" s="2">
        <v>45850</v>
      </c>
      <c r="E2189">
        <v>53850</v>
      </c>
      <c r="F2189">
        <v>175</v>
      </c>
      <c r="G2189" t="s">
        <v>99</v>
      </c>
      <c r="H2189" t="s">
        <v>44</v>
      </c>
      <c r="I2189" t="s">
        <v>45</v>
      </c>
      <c r="L2189">
        <v>1753302203813</v>
      </c>
      <c r="M2189">
        <v>20250618</v>
      </c>
      <c r="N2189" t="s">
        <v>46</v>
      </c>
      <c r="Q2189" t="s">
        <v>47</v>
      </c>
      <c r="R2189">
        <v>170000</v>
      </c>
      <c r="T2189">
        <v>4907691</v>
      </c>
      <c r="U2189">
        <v>1146400773</v>
      </c>
      <c r="V2189" t="s">
        <v>2249</v>
      </c>
      <c r="W2189" t="s">
        <v>49</v>
      </c>
      <c r="X2189" t="s">
        <v>257</v>
      </c>
      <c r="Y2189" t="s">
        <v>51</v>
      </c>
      <c r="Z2189">
        <v>1926</v>
      </c>
      <c r="AH2189">
        <v>0</v>
      </c>
      <c r="AI2189">
        <v>202506</v>
      </c>
      <c r="AJ2189" t="s">
        <v>86</v>
      </c>
      <c r="AK2189">
        <v>1</v>
      </c>
      <c r="AL2189">
        <v>1</v>
      </c>
      <c r="AO2189">
        <v>0</v>
      </c>
      <c r="AP2189" t="s">
        <v>3015</v>
      </c>
      <c r="AQ2189" t="s">
        <v>3012</v>
      </c>
      <c r="AR2189" t="s">
        <v>3016</v>
      </c>
      <c r="AT2189" t="s">
        <v>3017</v>
      </c>
      <c r="AU2189" t="s">
        <v>3018</v>
      </c>
    </row>
    <row r="2190" spans="1:47" x14ac:dyDescent="0.35">
      <c r="A2190">
        <v>363919</v>
      </c>
      <c r="B2190" t="s">
        <v>41</v>
      </c>
      <c r="C2190" t="s">
        <v>42</v>
      </c>
      <c r="D2190" s="2">
        <v>45850</v>
      </c>
      <c r="E2190">
        <v>53850</v>
      </c>
      <c r="F2190">
        <v>154</v>
      </c>
      <c r="G2190" t="s">
        <v>53</v>
      </c>
      <c r="H2190" t="s">
        <v>44</v>
      </c>
      <c r="I2190" t="s">
        <v>45</v>
      </c>
      <c r="L2190">
        <v>1543300004860</v>
      </c>
      <c r="M2190">
        <v>20250605</v>
      </c>
      <c r="N2190" t="s">
        <v>46</v>
      </c>
      <c r="Q2190" t="s">
        <v>47</v>
      </c>
      <c r="R2190">
        <v>39874.68</v>
      </c>
      <c r="T2190">
        <v>3715569</v>
      </c>
      <c r="U2190">
        <v>5424970654</v>
      </c>
      <c r="V2190" t="s">
        <v>54</v>
      </c>
      <c r="W2190" t="s">
        <v>49</v>
      </c>
      <c r="X2190" t="s">
        <v>55</v>
      </c>
      <c r="Y2190" t="s">
        <v>51</v>
      </c>
      <c r="Z2190">
        <v>741</v>
      </c>
      <c r="AH2190">
        <v>0</v>
      </c>
      <c r="AI2190">
        <v>202506</v>
      </c>
      <c r="AL2190">
        <v>1</v>
      </c>
      <c r="AO2190">
        <v>0</v>
      </c>
      <c r="AP2190" t="s">
        <v>3015</v>
      </c>
      <c r="AQ2190" t="s">
        <v>3012</v>
      </c>
      <c r="AR2190" t="s">
        <v>3016</v>
      </c>
      <c r="AT2190" t="s">
        <v>3017</v>
      </c>
      <c r="AU2190" t="s">
        <v>3018</v>
      </c>
    </row>
    <row r="2191" spans="1:47" x14ac:dyDescent="0.35">
      <c r="A2191">
        <v>363915</v>
      </c>
      <c r="B2191" t="s">
        <v>41</v>
      </c>
      <c r="C2191" t="s">
        <v>42</v>
      </c>
      <c r="D2191" s="2">
        <v>45850</v>
      </c>
      <c r="E2191">
        <v>53850</v>
      </c>
      <c r="F2191">
        <v>125</v>
      </c>
      <c r="G2191" t="s">
        <v>75</v>
      </c>
      <c r="H2191" t="s">
        <v>44</v>
      </c>
      <c r="I2191" t="s">
        <v>45</v>
      </c>
      <c r="L2191">
        <v>1253309512895</v>
      </c>
      <c r="M2191">
        <v>20250604</v>
      </c>
      <c r="N2191" t="s">
        <v>46</v>
      </c>
      <c r="Q2191" t="s">
        <v>47</v>
      </c>
      <c r="R2191">
        <v>37771.17</v>
      </c>
      <c r="T2191">
        <v>4795279</v>
      </c>
      <c r="U2191">
        <v>1020090658</v>
      </c>
      <c r="V2191" t="s">
        <v>76</v>
      </c>
      <c r="W2191" t="s">
        <v>49</v>
      </c>
      <c r="X2191" t="s">
        <v>77</v>
      </c>
      <c r="Y2191" t="s">
        <v>51</v>
      </c>
      <c r="Z2191">
        <v>982</v>
      </c>
      <c r="AH2191">
        <v>0</v>
      </c>
      <c r="AI2191">
        <v>202506</v>
      </c>
      <c r="AL2191">
        <v>1</v>
      </c>
      <c r="AO2191">
        <v>0</v>
      </c>
      <c r="AP2191" t="s">
        <v>3015</v>
      </c>
      <c r="AQ2191" t="s">
        <v>3012</v>
      </c>
      <c r="AR2191" t="s">
        <v>3016</v>
      </c>
      <c r="AT2191" t="s">
        <v>3017</v>
      </c>
      <c r="AU2191" t="s">
        <v>3018</v>
      </c>
    </row>
    <row r="2192" spans="1:47" x14ac:dyDescent="0.35">
      <c r="A2192">
        <v>363895</v>
      </c>
      <c r="B2192" t="s">
        <v>41</v>
      </c>
      <c r="C2192" t="s">
        <v>42</v>
      </c>
      <c r="D2192" s="2">
        <v>45850</v>
      </c>
      <c r="E2192">
        <v>53850</v>
      </c>
      <c r="F2192">
        <v>149</v>
      </c>
      <c r="G2192" t="s">
        <v>449</v>
      </c>
      <c r="H2192" t="s">
        <v>44</v>
      </c>
      <c r="I2192" t="s">
        <v>45</v>
      </c>
      <c r="L2192">
        <v>1493300663906</v>
      </c>
      <c r="M2192">
        <v>20250620</v>
      </c>
      <c r="N2192" t="s">
        <v>81</v>
      </c>
      <c r="Q2192" t="s">
        <v>47</v>
      </c>
      <c r="R2192">
        <v>25700</v>
      </c>
      <c r="T2192">
        <v>4178286</v>
      </c>
      <c r="U2192" t="s">
        <v>2250</v>
      </c>
      <c r="V2192" t="s">
        <v>2251</v>
      </c>
      <c r="W2192" t="s">
        <v>69</v>
      </c>
      <c r="X2192" t="s">
        <v>70</v>
      </c>
      <c r="Y2192" t="s">
        <v>51</v>
      </c>
      <c r="Z2192">
        <v>1910</v>
      </c>
      <c r="AH2192">
        <v>0</v>
      </c>
      <c r="AI2192">
        <v>202506</v>
      </c>
      <c r="AJ2192" t="s">
        <v>56</v>
      </c>
      <c r="AK2192">
        <v>0</v>
      </c>
      <c r="AL2192">
        <v>1</v>
      </c>
      <c r="AM2192">
        <v>4178286</v>
      </c>
      <c r="AN2192">
        <v>1</v>
      </c>
      <c r="AO2192">
        <v>0</v>
      </c>
      <c r="AP2192" t="s">
        <v>3015</v>
      </c>
      <c r="AQ2192" t="s">
        <v>3021</v>
      </c>
      <c r="AR2192" t="s">
        <v>3022</v>
      </c>
      <c r="AT2192" t="s">
        <v>3017</v>
      </c>
      <c r="AU2192" t="s">
        <v>3014</v>
      </c>
    </row>
    <row r="2193" spans="1:47" x14ac:dyDescent="0.35">
      <c r="A2193">
        <v>363855</v>
      </c>
      <c r="B2193" t="s">
        <v>41</v>
      </c>
      <c r="C2193" t="s">
        <v>42</v>
      </c>
      <c r="D2193" s="2">
        <v>45850</v>
      </c>
      <c r="E2193">
        <v>53850</v>
      </c>
      <c r="F2193">
        <v>128</v>
      </c>
      <c r="G2193" t="s">
        <v>94</v>
      </c>
      <c r="H2193" t="s">
        <v>44</v>
      </c>
      <c r="I2193" t="s">
        <v>45</v>
      </c>
      <c r="L2193">
        <v>1283300001665</v>
      </c>
      <c r="M2193">
        <v>20250623</v>
      </c>
      <c r="N2193" t="s">
        <v>81</v>
      </c>
      <c r="Q2193" t="s">
        <v>47</v>
      </c>
      <c r="R2193">
        <v>200231.09</v>
      </c>
      <c r="T2193">
        <v>4254896</v>
      </c>
      <c r="U2193">
        <v>6234730726</v>
      </c>
      <c r="V2193" t="s">
        <v>95</v>
      </c>
      <c r="W2193" t="s">
        <v>49</v>
      </c>
      <c r="X2193" t="s">
        <v>96</v>
      </c>
      <c r="Y2193" t="s">
        <v>51</v>
      </c>
      <c r="Z2193">
        <v>1919</v>
      </c>
      <c r="AH2193">
        <v>0</v>
      </c>
      <c r="AI2193">
        <v>202506</v>
      </c>
      <c r="AJ2193" t="s">
        <v>86</v>
      </c>
      <c r="AK2193">
        <v>1</v>
      </c>
      <c r="AL2193">
        <v>1</v>
      </c>
      <c r="AO2193">
        <v>0</v>
      </c>
      <c r="AP2193" t="s">
        <v>3015</v>
      </c>
      <c r="AQ2193" t="s">
        <v>3012</v>
      </c>
      <c r="AR2193" t="s">
        <v>3016</v>
      </c>
      <c r="AT2193" t="s">
        <v>3017</v>
      </c>
      <c r="AU2193" t="s">
        <v>3018</v>
      </c>
    </row>
    <row r="2194" spans="1:47" x14ac:dyDescent="0.35">
      <c r="A2194">
        <v>363752</v>
      </c>
      <c r="B2194" t="s">
        <v>41</v>
      </c>
      <c r="C2194" t="s">
        <v>42</v>
      </c>
      <c r="D2194" s="2">
        <v>45850</v>
      </c>
      <c r="E2194">
        <v>53850</v>
      </c>
      <c r="F2194">
        <v>191</v>
      </c>
      <c r="G2194" t="s">
        <v>102</v>
      </c>
      <c r="H2194" t="s">
        <v>44</v>
      </c>
      <c r="I2194" t="s">
        <v>45</v>
      </c>
      <c r="L2194">
        <v>1913300068122</v>
      </c>
      <c r="M2194">
        <v>20250613</v>
      </c>
      <c r="N2194" t="s">
        <v>46</v>
      </c>
      <c r="Q2194" t="s">
        <v>47</v>
      </c>
      <c r="R2194">
        <v>38548.99</v>
      </c>
      <c r="T2194">
        <v>4918280</v>
      </c>
      <c r="U2194">
        <v>3480410798</v>
      </c>
      <c r="V2194" t="s">
        <v>103</v>
      </c>
      <c r="W2194" t="s">
        <v>49</v>
      </c>
      <c r="X2194" t="s">
        <v>85</v>
      </c>
      <c r="Y2194" t="s">
        <v>51</v>
      </c>
      <c r="AH2194">
        <v>0</v>
      </c>
      <c r="AI2194">
        <v>202506</v>
      </c>
      <c r="AL2194">
        <v>1</v>
      </c>
      <c r="AO2194">
        <v>0</v>
      </c>
      <c r="AP2194" t="s">
        <v>3015</v>
      </c>
      <c r="AQ2194" t="s">
        <v>3012</v>
      </c>
      <c r="AR2194" t="s">
        <v>3016</v>
      </c>
      <c r="AT2194" t="s">
        <v>3017</v>
      </c>
      <c r="AU2194" t="s">
        <v>3018</v>
      </c>
    </row>
    <row r="2195" spans="1:47" x14ac:dyDescent="0.35">
      <c r="A2195">
        <v>363740</v>
      </c>
      <c r="B2195" t="s">
        <v>41</v>
      </c>
      <c r="C2195" t="s">
        <v>42</v>
      </c>
      <c r="D2195" s="2">
        <v>45850</v>
      </c>
      <c r="E2195">
        <v>53850</v>
      </c>
      <c r="F2195">
        <v>226</v>
      </c>
      <c r="G2195" t="s">
        <v>129</v>
      </c>
      <c r="H2195" t="s">
        <v>44</v>
      </c>
      <c r="I2195" t="s">
        <v>45</v>
      </c>
      <c r="L2195">
        <v>2263300011983</v>
      </c>
      <c r="M2195">
        <v>20250620</v>
      </c>
      <c r="N2195" t="s">
        <v>46</v>
      </c>
      <c r="Q2195" t="s">
        <v>47</v>
      </c>
      <c r="R2195">
        <v>10000000</v>
      </c>
      <c r="T2195">
        <v>4877514</v>
      </c>
      <c r="U2195">
        <v>1149290726</v>
      </c>
      <c r="V2195" t="s">
        <v>2238</v>
      </c>
      <c r="W2195" t="s">
        <v>1860</v>
      </c>
      <c r="X2195" t="s">
        <v>825</v>
      </c>
      <c r="Y2195" t="s">
        <v>51</v>
      </c>
      <c r="Z2195">
        <v>1696</v>
      </c>
      <c r="AH2195">
        <v>0</v>
      </c>
      <c r="AI2195">
        <v>202506</v>
      </c>
      <c r="AJ2195" t="s">
        <v>86</v>
      </c>
      <c r="AK2195">
        <v>1</v>
      </c>
      <c r="AL2195">
        <v>1</v>
      </c>
      <c r="AO2195">
        <v>0</v>
      </c>
      <c r="AP2195" t="s">
        <v>3015</v>
      </c>
      <c r="AQ2195" t="s">
        <v>3121</v>
      </c>
      <c r="AR2195" t="s">
        <v>3122</v>
      </c>
      <c r="AT2195" t="s">
        <v>3017</v>
      </c>
      <c r="AU2195" t="s">
        <v>3037</v>
      </c>
    </row>
    <row r="2196" spans="1:47" x14ac:dyDescent="0.35">
      <c r="A2196">
        <v>363536</v>
      </c>
      <c r="B2196" t="s">
        <v>41</v>
      </c>
      <c r="C2196" t="s">
        <v>42</v>
      </c>
      <c r="D2196" s="2">
        <v>45850</v>
      </c>
      <c r="E2196">
        <v>53850</v>
      </c>
      <c r="F2196">
        <v>153</v>
      </c>
      <c r="G2196" t="s">
        <v>63</v>
      </c>
      <c r="H2196" t="s">
        <v>44</v>
      </c>
      <c r="I2196" t="s">
        <v>45</v>
      </c>
      <c r="L2196">
        <v>1533300663959</v>
      </c>
      <c r="M2196">
        <v>20250623</v>
      </c>
      <c r="N2196" t="s">
        <v>46</v>
      </c>
      <c r="Q2196" t="s">
        <v>47</v>
      </c>
      <c r="R2196">
        <v>46433.2</v>
      </c>
      <c r="T2196">
        <v>3721097</v>
      </c>
      <c r="U2196">
        <v>10391641213</v>
      </c>
      <c r="V2196" t="s">
        <v>64</v>
      </c>
      <c r="W2196" t="s">
        <v>49</v>
      </c>
      <c r="X2196" t="s">
        <v>65</v>
      </c>
      <c r="Y2196" t="s">
        <v>51</v>
      </c>
      <c r="Z2196">
        <v>1237</v>
      </c>
      <c r="AH2196">
        <v>0</v>
      </c>
      <c r="AI2196">
        <v>202506</v>
      </c>
      <c r="AL2196">
        <v>1</v>
      </c>
      <c r="AO2196">
        <v>0</v>
      </c>
      <c r="AP2196" t="s">
        <v>3019</v>
      </c>
      <c r="AQ2196" t="s">
        <v>3012</v>
      </c>
      <c r="AR2196" t="s">
        <v>3020</v>
      </c>
      <c r="AS2196" t="s">
        <v>3014</v>
      </c>
      <c r="AU2196" t="s">
        <v>3014</v>
      </c>
    </row>
    <row r="2197" spans="1:47" x14ac:dyDescent="0.35">
      <c r="A2197">
        <v>363502</v>
      </c>
      <c r="B2197" t="s">
        <v>41</v>
      </c>
      <c r="C2197" t="s">
        <v>42</v>
      </c>
      <c r="D2197" s="2">
        <v>45850</v>
      </c>
      <c r="E2197">
        <v>53850</v>
      </c>
      <c r="F2197">
        <v>104</v>
      </c>
      <c r="G2197" t="s">
        <v>108</v>
      </c>
      <c r="H2197" t="s">
        <v>44</v>
      </c>
      <c r="I2197" t="s">
        <v>45</v>
      </c>
      <c r="L2197">
        <v>1043309505524</v>
      </c>
      <c r="M2197">
        <v>20250603</v>
      </c>
      <c r="N2197" t="s">
        <v>46</v>
      </c>
      <c r="Q2197" t="s">
        <v>47</v>
      </c>
      <c r="R2197">
        <v>75640</v>
      </c>
      <c r="T2197">
        <v>4255116</v>
      </c>
      <c r="U2197">
        <v>6238700725</v>
      </c>
      <c r="V2197" t="s">
        <v>2241</v>
      </c>
      <c r="W2197" t="s">
        <v>49</v>
      </c>
      <c r="X2197" t="s">
        <v>135</v>
      </c>
      <c r="Y2197" t="s">
        <v>51</v>
      </c>
      <c r="Z2197">
        <v>727</v>
      </c>
      <c r="AH2197">
        <v>0</v>
      </c>
      <c r="AI2197">
        <v>202506</v>
      </c>
      <c r="AL2197">
        <v>1</v>
      </c>
      <c r="AO2197">
        <v>0</v>
      </c>
      <c r="AP2197" t="s">
        <v>3015</v>
      </c>
      <c r="AQ2197" t="s">
        <v>3012</v>
      </c>
      <c r="AR2197" t="s">
        <v>3016</v>
      </c>
      <c r="AT2197" t="s">
        <v>3017</v>
      </c>
      <c r="AU2197" t="s">
        <v>3018</v>
      </c>
    </row>
    <row r="2198" spans="1:47" x14ac:dyDescent="0.35">
      <c r="A2198">
        <v>363416</v>
      </c>
      <c r="B2198" t="s">
        <v>41</v>
      </c>
      <c r="C2198" t="s">
        <v>42</v>
      </c>
      <c r="D2198" s="2">
        <v>45850</v>
      </c>
      <c r="E2198">
        <v>53850</v>
      </c>
      <c r="F2198">
        <v>105</v>
      </c>
      <c r="G2198" t="s">
        <v>60</v>
      </c>
      <c r="H2198" t="s">
        <v>44</v>
      </c>
      <c r="I2198" t="s">
        <v>45</v>
      </c>
      <c r="L2198">
        <v>1053306287103</v>
      </c>
      <c r="M2198">
        <v>20250624</v>
      </c>
      <c r="N2198" t="s">
        <v>46</v>
      </c>
      <c r="Q2198" t="s">
        <v>47</v>
      </c>
      <c r="R2198">
        <v>244405.79</v>
      </c>
      <c r="T2198">
        <v>4263360</v>
      </c>
      <c r="U2198">
        <v>5982300724</v>
      </c>
      <c r="V2198" t="s">
        <v>61</v>
      </c>
      <c r="W2198" t="s">
        <v>49</v>
      </c>
      <c r="X2198" t="s">
        <v>62</v>
      </c>
      <c r="Y2198" t="s">
        <v>51</v>
      </c>
      <c r="Z2198">
        <v>1058</v>
      </c>
      <c r="AH2198">
        <v>0</v>
      </c>
      <c r="AI2198">
        <v>202506</v>
      </c>
      <c r="AJ2198" t="s">
        <v>86</v>
      </c>
      <c r="AK2198">
        <v>1</v>
      </c>
      <c r="AL2198">
        <v>1</v>
      </c>
      <c r="AO2198">
        <v>0</v>
      </c>
      <c r="AP2198" t="s">
        <v>3015</v>
      </c>
      <c r="AQ2198" t="s">
        <v>3012</v>
      </c>
      <c r="AR2198" t="s">
        <v>3016</v>
      </c>
      <c r="AT2198" t="s">
        <v>3017</v>
      </c>
      <c r="AU2198" t="s">
        <v>3018</v>
      </c>
    </row>
    <row r="2199" spans="1:47" x14ac:dyDescent="0.35">
      <c r="A2199">
        <v>363401</v>
      </c>
      <c r="B2199" t="s">
        <v>41</v>
      </c>
      <c r="C2199" t="s">
        <v>42</v>
      </c>
      <c r="D2199" s="2">
        <v>45850</v>
      </c>
      <c r="E2199">
        <v>53850</v>
      </c>
      <c r="F2199">
        <v>153</v>
      </c>
      <c r="G2199" t="s">
        <v>63</v>
      </c>
      <c r="H2199" t="s">
        <v>44</v>
      </c>
      <c r="I2199" t="s">
        <v>45</v>
      </c>
      <c r="L2199">
        <v>1533300663959</v>
      </c>
      <c r="M2199">
        <v>20250616</v>
      </c>
      <c r="N2199" t="s">
        <v>46</v>
      </c>
      <c r="Q2199" t="s">
        <v>47</v>
      </c>
      <c r="R2199">
        <v>34980.22</v>
      </c>
      <c r="T2199">
        <v>3721097</v>
      </c>
      <c r="U2199">
        <v>10391641213</v>
      </c>
      <c r="V2199" t="s">
        <v>64</v>
      </c>
      <c r="W2199" t="s">
        <v>49</v>
      </c>
      <c r="X2199" t="s">
        <v>65</v>
      </c>
      <c r="Y2199" t="s">
        <v>51</v>
      </c>
      <c r="Z2199">
        <v>1237</v>
      </c>
      <c r="AH2199">
        <v>0</v>
      </c>
      <c r="AI2199">
        <v>202506</v>
      </c>
      <c r="AL2199">
        <v>1</v>
      </c>
      <c r="AO2199">
        <v>0</v>
      </c>
      <c r="AP2199" t="s">
        <v>3019</v>
      </c>
      <c r="AQ2199" t="s">
        <v>3012</v>
      </c>
      <c r="AR2199" t="s">
        <v>3020</v>
      </c>
      <c r="AS2199" t="s">
        <v>3014</v>
      </c>
      <c r="AU2199" t="s">
        <v>3014</v>
      </c>
    </row>
    <row r="2200" spans="1:47" x14ac:dyDescent="0.35">
      <c r="A2200">
        <v>363399</v>
      </c>
      <c r="B2200" t="s">
        <v>41</v>
      </c>
      <c r="C2200" t="s">
        <v>42</v>
      </c>
      <c r="D2200" s="2">
        <v>45850</v>
      </c>
      <c r="E2200">
        <v>53850</v>
      </c>
      <c r="F2200">
        <v>121</v>
      </c>
      <c r="G2200" t="s">
        <v>140</v>
      </c>
      <c r="H2200" t="s">
        <v>44</v>
      </c>
      <c r="I2200" t="s">
        <v>45</v>
      </c>
      <c r="L2200">
        <v>1213300002968</v>
      </c>
      <c r="M2200">
        <v>20250605</v>
      </c>
      <c r="N2200" t="s">
        <v>46</v>
      </c>
      <c r="Q2200" t="s">
        <v>47</v>
      </c>
      <c r="R2200">
        <v>41267.199999999997</v>
      </c>
      <c r="T2200">
        <v>4669940</v>
      </c>
      <c r="U2200">
        <v>7216060728</v>
      </c>
      <c r="V2200" t="s">
        <v>143</v>
      </c>
      <c r="W2200" t="s">
        <v>49</v>
      </c>
      <c r="X2200" t="s">
        <v>381</v>
      </c>
      <c r="Y2200" t="s">
        <v>51</v>
      </c>
      <c r="AH2200">
        <v>0</v>
      </c>
      <c r="AI2200">
        <v>202506</v>
      </c>
      <c r="AJ2200" t="s">
        <v>114</v>
      </c>
      <c r="AK2200">
        <v>1</v>
      </c>
      <c r="AL2200">
        <v>1</v>
      </c>
      <c r="AO2200">
        <v>0</v>
      </c>
      <c r="AP2200" t="s">
        <v>3015</v>
      </c>
      <c r="AQ2200" t="s">
        <v>3012</v>
      </c>
      <c r="AR2200" t="s">
        <v>3016</v>
      </c>
      <c r="AT2200" t="s">
        <v>3017</v>
      </c>
      <c r="AU2200" t="s">
        <v>3018</v>
      </c>
    </row>
    <row r="2201" spans="1:47" x14ac:dyDescent="0.35">
      <c r="A2201">
        <v>363379</v>
      </c>
      <c r="B2201" t="s">
        <v>41</v>
      </c>
      <c r="C2201" t="s">
        <v>42</v>
      </c>
      <c r="D2201" s="2">
        <v>45850</v>
      </c>
      <c r="E2201">
        <v>53850</v>
      </c>
      <c r="F2201">
        <v>175</v>
      </c>
      <c r="G2201" t="s">
        <v>99</v>
      </c>
      <c r="H2201" t="s">
        <v>44</v>
      </c>
      <c r="I2201" t="s">
        <v>45</v>
      </c>
      <c r="L2201">
        <v>1753302203127</v>
      </c>
      <c r="M2201">
        <v>20250623</v>
      </c>
      <c r="N2201" t="s">
        <v>81</v>
      </c>
      <c r="Q2201" t="s">
        <v>47</v>
      </c>
      <c r="R2201">
        <v>38981.11</v>
      </c>
      <c r="T2201">
        <v>4160138</v>
      </c>
      <c r="U2201">
        <v>484200779</v>
      </c>
      <c r="V2201" t="s">
        <v>100</v>
      </c>
      <c r="W2201" t="s">
        <v>49</v>
      </c>
      <c r="X2201" t="s">
        <v>101</v>
      </c>
      <c r="Y2201" t="s">
        <v>51</v>
      </c>
      <c r="Z2201">
        <v>739</v>
      </c>
      <c r="AH2201">
        <v>0</v>
      </c>
      <c r="AI2201">
        <v>202506</v>
      </c>
      <c r="AJ2201" t="s">
        <v>86</v>
      </c>
      <c r="AK2201">
        <v>1</v>
      </c>
      <c r="AL2201">
        <v>1</v>
      </c>
      <c r="AM2201">
        <v>4160138</v>
      </c>
      <c r="AN2201">
        <v>1</v>
      </c>
      <c r="AO2201">
        <v>0</v>
      </c>
      <c r="AP2201" t="s">
        <v>3015</v>
      </c>
      <c r="AQ2201" t="s">
        <v>3012</v>
      </c>
      <c r="AR2201" t="s">
        <v>3016</v>
      </c>
      <c r="AT2201" t="s">
        <v>3017</v>
      </c>
      <c r="AU2201" t="s">
        <v>3018</v>
      </c>
    </row>
    <row r="2202" spans="1:47" x14ac:dyDescent="0.35">
      <c r="A2202">
        <v>363361</v>
      </c>
      <c r="B2202" t="s">
        <v>41</v>
      </c>
      <c r="C2202" t="s">
        <v>42</v>
      </c>
      <c r="D2202" s="2">
        <v>45850</v>
      </c>
      <c r="E2202">
        <v>53850</v>
      </c>
      <c r="F2202">
        <v>171</v>
      </c>
      <c r="G2202" t="s">
        <v>198</v>
      </c>
      <c r="H2202" t="s">
        <v>44</v>
      </c>
      <c r="I2202" t="s">
        <v>45</v>
      </c>
      <c r="L2202">
        <v>1713302213842</v>
      </c>
      <c r="M2202">
        <v>20250626</v>
      </c>
      <c r="N2202" t="s">
        <v>46</v>
      </c>
      <c r="Q2202" t="s">
        <v>47</v>
      </c>
      <c r="R2202">
        <v>330000</v>
      </c>
      <c r="T2202">
        <v>4148505</v>
      </c>
      <c r="U2202">
        <v>5848860721</v>
      </c>
      <c r="V2202" t="s">
        <v>1281</v>
      </c>
      <c r="W2202" t="s">
        <v>49</v>
      </c>
      <c r="X2202" t="s">
        <v>260</v>
      </c>
      <c r="Y2202" t="s">
        <v>51</v>
      </c>
      <c r="Z2202">
        <v>1903</v>
      </c>
      <c r="AH2202">
        <v>0</v>
      </c>
      <c r="AI2202">
        <v>202506</v>
      </c>
      <c r="AJ2202" t="s">
        <v>86</v>
      </c>
      <c r="AK2202">
        <v>1</v>
      </c>
      <c r="AL2202">
        <v>1</v>
      </c>
      <c r="AO2202">
        <v>0</v>
      </c>
      <c r="AP2202" t="s">
        <v>3015</v>
      </c>
      <c r="AQ2202" t="s">
        <v>3012</v>
      </c>
      <c r="AR2202" t="s">
        <v>3016</v>
      </c>
      <c r="AT2202" t="s">
        <v>3017</v>
      </c>
      <c r="AU2202" t="s">
        <v>3018</v>
      </c>
    </row>
    <row r="2203" spans="1:47" x14ac:dyDescent="0.35">
      <c r="A2203">
        <v>363286</v>
      </c>
      <c r="B2203" t="s">
        <v>41</v>
      </c>
      <c r="C2203" t="s">
        <v>42</v>
      </c>
      <c r="D2203" s="2">
        <v>45850</v>
      </c>
      <c r="E2203">
        <v>53850</v>
      </c>
      <c r="F2203">
        <v>105</v>
      </c>
      <c r="G2203" t="s">
        <v>60</v>
      </c>
      <c r="H2203" t="s">
        <v>44</v>
      </c>
      <c r="I2203" t="s">
        <v>45</v>
      </c>
      <c r="L2203">
        <v>1053306287103</v>
      </c>
      <c r="M2203">
        <v>20250609</v>
      </c>
      <c r="N2203" t="s">
        <v>46</v>
      </c>
      <c r="Q2203" t="s">
        <v>47</v>
      </c>
      <c r="R2203">
        <v>3816880.07</v>
      </c>
      <c r="T2203">
        <v>4263360</v>
      </c>
      <c r="U2203">
        <v>5982300724</v>
      </c>
      <c r="V2203" t="s">
        <v>61</v>
      </c>
      <c r="W2203" t="s">
        <v>49</v>
      </c>
      <c r="X2203" t="s">
        <v>62</v>
      </c>
      <c r="Y2203" t="s">
        <v>51</v>
      </c>
      <c r="Z2203">
        <v>1058</v>
      </c>
      <c r="AH2203">
        <v>0</v>
      </c>
      <c r="AI2203">
        <v>202506</v>
      </c>
      <c r="AJ2203" t="s">
        <v>86</v>
      </c>
      <c r="AK2203">
        <v>1</v>
      </c>
      <c r="AL2203">
        <v>1</v>
      </c>
      <c r="AO2203">
        <v>0</v>
      </c>
      <c r="AP2203" t="s">
        <v>3015</v>
      </c>
      <c r="AQ2203" t="s">
        <v>3012</v>
      </c>
      <c r="AR2203" t="s">
        <v>3016</v>
      </c>
      <c r="AT2203" t="s">
        <v>3017</v>
      </c>
      <c r="AU2203" t="s">
        <v>3018</v>
      </c>
    </row>
    <row r="2204" spans="1:47" x14ac:dyDescent="0.35">
      <c r="A2204">
        <v>363145</v>
      </c>
      <c r="B2204" t="s">
        <v>41</v>
      </c>
      <c r="C2204" t="s">
        <v>42</v>
      </c>
      <c r="D2204" s="2">
        <v>45850</v>
      </c>
      <c r="E2204">
        <v>53850</v>
      </c>
      <c r="F2204">
        <v>128</v>
      </c>
      <c r="G2204" t="s">
        <v>94</v>
      </c>
      <c r="H2204" t="s">
        <v>44</v>
      </c>
      <c r="I2204" t="s">
        <v>45</v>
      </c>
      <c r="L2204">
        <v>1283300001665</v>
      </c>
      <c r="M2204">
        <v>20250619</v>
      </c>
      <c r="N2204" t="s">
        <v>81</v>
      </c>
      <c r="Q2204" t="s">
        <v>47</v>
      </c>
      <c r="R2204">
        <v>33474.15</v>
      </c>
      <c r="T2204">
        <v>4254896</v>
      </c>
      <c r="U2204">
        <v>6234730726</v>
      </c>
      <c r="V2204" t="s">
        <v>95</v>
      </c>
      <c r="W2204" t="s">
        <v>49</v>
      </c>
      <c r="X2204" t="s">
        <v>96</v>
      </c>
      <c r="Y2204" t="s">
        <v>51</v>
      </c>
      <c r="Z2204">
        <v>1919</v>
      </c>
      <c r="AH2204">
        <v>0</v>
      </c>
      <c r="AI2204">
        <v>202506</v>
      </c>
      <c r="AJ2204" t="s">
        <v>86</v>
      </c>
      <c r="AK2204">
        <v>1</v>
      </c>
      <c r="AL2204">
        <v>1</v>
      </c>
      <c r="AO2204">
        <v>0</v>
      </c>
      <c r="AP2204" t="s">
        <v>3015</v>
      </c>
      <c r="AQ2204" t="s">
        <v>3012</v>
      </c>
      <c r="AR2204" t="s">
        <v>3016</v>
      </c>
      <c r="AT2204" t="s">
        <v>3017</v>
      </c>
      <c r="AU2204" t="s">
        <v>3018</v>
      </c>
    </row>
    <row r="2205" spans="1:47" x14ac:dyDescent="0.35">
      <c r="A2205">
        <v>363119</v>
      </c>
      <c r="B2205" t="s">
        <v>41</v>
      </c>
      <c r="C2205" t="s">
        <v>42</v>
      </c>
      <c r="D2205" s="2">
        <v>45850</v>
      </c>
      <c r="E2205">
        <v>53850</v>
      </c>
      <c r="F2205">
        <v>122</v>
      </c>
      <c r="G2205" t="s">
        <v>43</v>
      </c>
      <c r="H2205" t="s">
        <v>44</v>
      </c>
      <c r="I2205" t="s">
        <v>45</v>
      </c>
      <c r="L2205">
        <v>1223300001682</v>
      </c>
      <c r="M2205">
        <v>20250623</v>
      </c>
      <c r="N2205" t="s">
        <v>46</v>
      </c>
      <c r="Q2205" t="s">
        <v>47</v>
      </c>
      <c r="R2205">
        <v>81801</v>
      </c>
      <c r="T2205">
        <v>3711207</v>
      </c>
      <c r="U2205">
        <v>8825020723</v>
      </c>
      <c r="V2205" t="s">
        <v>48</v>
      </c>
      <c r="W2205" t="s">
        <v>49</v>
      </c>
      <c r="X2205" t="s">
        <v>50</v>
      </c>
      <c r="Y2205" t="s">
        <v>51</v>
      </c>
      <c r="Z2205">
        <v>1696</v>
      </c>
      <c r="AH2205">
        <v>0</v>
      </c>
      <c r="AI2205">
        <v>202506</v>
      </c>
      <c r="AJ2205" t="s">
        <v>86</v>
      </c>
      <c r="AK2205">
        <v>1</v>
      </c>
      <c r="AL2205">
        <v>1</v>
      </c>
      <c r="AO2205">
        <v>0</v>
      </c>
      <c r="AP2205" t="s">
        <v>3011</v>
      </c>
      <c r="AQ2205" t="s">
        <v>3012</v>
      </c>
      <c r="AR2205" t="s">
        <v>3013</v>
      </c>
      <c r="AS2205" t="s">
        <v>3014</v>
      </c>
      <c r="AU2205" t="s">
        <v>3014</v>
      </c>
    </row>
    <row r="2206" spans="1:47" x14ac:dyDescent="0.35">
      <c r="A2206">
        <v>363110</v>
      </c>
      <c r="B2206" t="s">
        <v>41</v>
      </c>
      <c r="C2206" t="s">
        <v>42</v>
      </c>
      <c r="D2206" s="2">
        <v>45850</v>
      </c>
      <c r="E2206">
        <v>53850</v>
      </c>
      <c r="F2206">
        <v>122</v>
      </c>
      <c r="G2206" t="s">
        <v>43</v>
      </c>
      <c r="H2206" t="s">
        <v>44</v>
      </c>
      <c r="I2206" t="s">
        <v>45</v>
      </c>
      <c r="L2206">
        <v>1223300002128</v>
      </c>
      <c r="M2206">
        <v>20250623</v>
      </c>
      <c r="N2206" t="s">
        <v>46</v>
      </c>
      <c r="Q2206" t="s">
        <v>47</v>
      </c>
      <c r="R2206">
        <v>39223</v>
      </c>
      <c r="T2206">
        <v>3711207</v>
      </c>
      <c r="U2206">
        <v>8825020723</v>
      </c>
      <c r="V2206" t="s">
        <v>48</v>
      </c>
      <c r="W2206" t="s">
        <v>49</v>
      </c>
      <c r="X2206" t="s">
        <v>50</v>
      </c>
      <c r="Y2206" t="s">
        <v>51</v>
      </c>
      <c r="Z2206">
        <v>1696</v>
      </c>
      <c r="AH2206">
        <v>0</v>
      </c>
      <c r="AI2206">
        <v>202506</v>
      </c>
      <c r="AJ2206" t="s">
        <v>86</v>
      </c>
      <c r="AK2206">
        <v>1</v>
      </c>
      <c r="AL2206">
        <v>1</v>
      </c>
      <c r="AO2206">
        <v>0</v>
      </c>
      <c r="AP2206" t="s">
        <v>3011</v>
      </c>
      <c r="AQ2206" t="s">
        <v>3012</v>
      </c>
      <c r="AR2206" t="s">
        <v>3013</v>
      </c>
      <c r="AS2206" t="s">
        <v>3014</v>
      </c>
      <c r="AU2206" t="s">
        <v>3014</v>
      </c>
    </row>
    <row r="2207" spans="1:47" x14ac:dyDescent="0.35">
      <c r="A2207">
        <v>363012</v>
      </c>
      <c r="B2207" t="s">
        <v>41</v>
      </c>
      <c r="C2207" t="s">
        <v>42</v>
      </c>
      <c r="D2207" s="2">
        <v>45850</v>
      </c>
      <c r="E2207">
        <v>53850</v>
      </c>
      <c r="F2207">
        <v>128</v>
      </c>
      <c r="G2207" t="s">
        <v>94</v>
      </c>
      <c r="H2207" t="s">
        <v>44</v>
      </c>
      <c r="I2207" t="s">
        <v>45</v>
      </c>
      <c r="L2207">
        <v>1283300003276</v>
      </c>
      <c r="M2207">
        <v>20250609</v>
      </c>
      <c r="N2207" t="s">
        <v>46</v>
      </c>
      <c r="Q2207" t="s">
        <v>47</v>
      </c>
      <c r="R2207">
        <v>32391</v>
      </c>
      <c r="T2207">
        <v>4804234</v>
      </c>
      <c r="U2207">
        <v>7652810727</v>
      </c>
      <c r="V2207" t="s">
        <v>1306</v>
      </c>
      <c r="W2207" t="s">
        <v>49</v>
      </c>
      <c r="X2207" t="s">
        <v>1307</v>
      </c>
      <c r="Y2207" t="s">
        <v>51</v>
      </c>
      <c r="Z2207">
        <v>462</v>
      </c>
      <c r="AH2207">
        <v>0</v>
      </c>
      <c r="AI2207">
        <v>202506</v>
      </c>
      <c r="AL2207">
        <v>1</v>
      </c>
      <c r="AO2207">
        <v>0</v>
      </c>
      <c r="AP2207" t="s">
        <v>3015</v>
      </c>
      <c r="AQ2207" t="s">
        <v>3012</v>
      </c>
      <c r="AR2207" t="s">
        <v>3016</v>
      </c>
      <c r="AT2207" t="s">
        <v>3017</v>
      </c>
      <c r="AU2207" t="s">
        <v>3018</v>
      </c>
    </row>
    <row r="2208" spans="1:47" x14ac:dyDescent="0.35">
      <c r="A2208">
        <v>363006</v>
      </c>
      <c r="B2208" t="s">
        <v>41</v>
      </c>
      <c r="C2208" t="s">
        <v>42</v>
      </c>
      <c r="D2208" s="2">
        <v>45850</v>
      </c>
      <c r="E2208">
        <v>53850</v>
      </c>
      <c r="F2208">
        <v>153</v>
      </c>
      <c r="G2208" t="s">
        <v>63</v>
      </c>
      <c r="H2208" t="s">
        <v>44</v>
      </c>
      <c r="I2208" t="s">
        <v>45</v>
      </c>
      <c r="L2208">
        <v>1533300663959</v>
      </c>
      <c r="M2208">
        <v>20250603</v>
      </c>
      <c r="N2208" t="s">
        <v>46</v>
      </c>
      <c r="Q2208" t="s">
        <v>47</v>
      </c>
      <c r="R2208">
        <v>36740.75</v>
      </c>
      <c r="T2208">
        <v>3721097</v>
      </c>
      <c r="U2208">
        <v>10391641213</v>
      </c>
      <c r="V2208" t="s">
        <v>64</v>
      </c>
      <c r="W2208" t="s">
        <v>49</v>
      </c>
      <c r="X2208" t="s">
        <v>65</v>
      </c>
      <c r="Y2208" t="s">
        <v>51</v>
      </c>
      <c r="Z2208">
        <v>1237</v>
      </c>
      <c r="AH2208">
        <v>0</v>
      </c>
      <c r="AI2208">
        <v>202506</v>
      </c>
      <c r="AL2208">
        <v>1</v>
      </c>
      <c r="AO2208">
        <v>0</v>
      </c>
      <c r="AP2208" t="s">
        <v>3019</v>
      </c>
      <c r="AQ2208" t="s">
        <v>3012</v>
      </c>
      <c r="AR2208" t="s">
        <v>3020</v>
      </c>
      <c r="AS2208" t="s">
        <v>3014</v>
      </c>
      <c r="AU2208" t="s">
        <v>3014</v>
      </c>
    </row>
    <row r="2209" spans="1:47" x14ac:dyDescent="0.35">
      <c r="A2209">
        <v>362914</v>
      </c>
      <c r="B2209" t="s">
        <v>41</v>
      </c>
      <c r="C2209" t="s">
        <v>42</v>
      </c>
      <c r="D2209" s="2">
        <v>45850</v>
      </c>
      <c r="E2209">
        <v>53850</v>
      </c>
      <c r="F2209">
        <v>267</v>
      </c>
      <c r="G2209" t="s">
        <v>349</v>
      </c>
      <c r="H2209" t="s">
        <v>44</v>
      </c>
      <c r="I2209" t="s">
        <v>45</v>
      </c>
      <c r="L2209">
        <v>2673300010274</v>
      </c>
      <c r="M2209">
        <v>20250603</v>
      </c>
      <c r="N2209" t="s">
        <v>46</v>
      </c>
      <c r="Q2209" t="s">
        <v>47</v>
      </c>
      <c r="R2209">
        <v>37781.19</v>
      </c>
      <c r="T2209">
        <v>4992646</v>
      </c>
      <c r="U2209">
        <v>3152440792</v>
      </c>
      <c r="V2209" t="s">
        <v>2240</v>
      </c>
      <c r="W2209" t="s">
        <v>49</v>
      </c>
      <c r="X2209" t="s">
        <v>710</v>
      </c>
      <c r="Y2209" t="s">
        <v>51</v>
      </c>
      <c r="Z2209">
        <v>1627</v>
      </c>
      <c r="AH2209">
        <v>0</v>
      </c>
      <c r="AI2209">
        <v>202506</v>
      </c>
      <c r="AJ2209" t="s">
        <v>86</v>
      </c>
      <c r="AK2209">
        <v>1</v>
      </c>
      <c r="AL2209">
        <v>1</v>
      </c>
      <c r="AO2209">
        <v>0</v>
      </c>
      <c r="AP2209" t="s">
        <v>3015</v>
      </c>
      <c r="AQ2209" t="s">
        <v>3012</v>
      </c>
      <c r="AR2209" t="s">
        <v>3016</v>
      </c>
      <c r="AT2209" t="s">
        <v>3017</v>
      </c>
      <c r="AU2209" t="s">
        <v>3018</v>
      </c>
    </row>
    <row r="2210" spans="1:47" x14ac:dyDescent="0.35">
      <c r="A2210">
        <v>362845</v>
      </c>
      <c r="B2210" t="s">
        <v>41</v>
      </c>
      <c r="C2210" t="s">
        <v>42</v>
      </c>
      <c r="D2210" s="2">
        <v>45850</v>
      </c>
      <c r="E2210">
        <v>53850</v>
      </c>
      <c r="F2210">
        <v>149</v>
      </c>
      <c r="G2210" t="s">
        <v>449</v>
      </c>
      <c r="H2210" t="s">
        <v>44</v>
      </c>
      <c r="I2210" t="s">
        <v>45</v>
      </c>
      <c r="L2210">
        <v>1493300663906</v>
      </c>
      <c r="M2210">
        <v>20250620</v>
      </c>
      <c r="N2210" t="s">
        <v>46</v>
      </c>
      <c r="Q2210" t="s">
        <v>47</v>
      </c>
      <c r="R2210">
        <v>120000</v>
      </c>
      <c r="T2210">
        <v>4178286</v>
      </c>
      <c r="U2210" t="s">
        <v>2250</v>
      </c>
      <c r="V2210" t="s">
        <v>2251</v>
      </c>
      <c r="W2210" t="s">
        <v>69</v>
      </c>
      <c r="X2210" t="s">
        <v>70</v>
      </c>
      <c r="Y2210" t="s">
        <v>51</v>
      </c>
      <c r="Z2210">
        <v>1910</v>
      </c>
      <c r="AH2210">
        <v>0</v>
      </c>
      <c r="AI2210">
        <v>202506</v>
      </c>
      <c r="AJ2210" t="s">
        <v>56</v>
      </c>
      <c r="AK2210">
        <v>0</v>
      </c>
      <c r="AL2210">
        <v>1</v>
      </c>
      <c r="AM2210">
        <v>4178286</v>
      </c>
      <c r="AN2210">
        <v>1</v>
      </c>
      <c r="AO2210">
        <v>0</v>
      </c>
      <c r="AP2210" t="s">
        <v>3015</v>
      </c>
      <c r="AQ2210" t="s">
        <v>3021</v>
      </c>
      <c r="AR2210" t="s">
        <v>3022</v>
      </c>
      <c r="AT2210" t="s">
        <v>3017</v>
      </c>
      <c r="AU2210" t="s">
        <v>3014</v>
      </c>
    </row>
    <row r="2211" spans="1:47" x14ac:dyDescent="0.35">
      <c r="A2211">
        <v>362615</v>
      </c>
      <c r="B2211" t="s">
        <v>41</v>
      </c>
      <c r="C2211" t="s">
        <v>42</v>
      </c>
      <c r="D2211" s="2">
        <v>45850</v>
      </c>
      <c r="E2211">
        <v>53850</v>
      </c>
      <c r="F2211">
        <v>153</v>
      </c>
      <c r="G2211" t="s">
        <v>63</v>
      </c>
      <c r="H2211" t="s">
        <v>44</v>
      </c>
      <c r="I2211" t="s">
        <v>45</v>
      </c>
      <c r="L2211">
        <v>1533300662905</v>
      </c>
      <c r="M2211">
        <v>20250609</v>
      </c>
      <c r="N2211" t="s">
        <v>81</v>
      </c>
      <c r="Q2211" t="s">
        <v>47</v>
      </c>
      <c r="R2211">
        <v>27000</v>
      </c>
      <c r="T2211">
        <v>4165339</v>
      </c>
      <c r="U2211">
        <v>5612950633</v>
      </c>
      <c r="V2211" t="s">
        <v>1020</v>
      </c>
      <c r="W2211" t="s">
        <v>49</v>
      </c>
      <c r="X2211" t="s">
        <v>1021</v>
      </c>
      <c r="Y2211" t="s">
        <v>51</v>
      </c>
      <c r="Z2211">
        <v>982</v>
      </c>
      <c r="AH2211">
        <v>0</v>
      </c>
      <c r="AI2211">
        <v>202506</v>
      </c>
      <c r="AJ2211" t="s">
        <v>56</v>
      </c>
      <c r="AK2211">
        <v>0</v>
      </c>
      <c r="AL2211">
        <v>1</v>
      </c>
      <c r="AO2211">
        <v>0</v>
      </c>
      <c r="AP2211" t="s">
        <v>3098</v>
      </c>
      <c r="AQ2211" t="s">
        <v>3012</v>
      </c>
      <c r="AR2211" t="s">
        <v>3099</v>
      </c>
      <c r="AS2211" t="s">
        <v>3014</v>
      </c>
      <c r="AU2211" t="s">
        <v>3014</v>
      </c>
    </row>
    <row r="2212" spans="1:47" x14ac:dyDescent="0.35">
      <c r="A2212">
        <v>362539</v>
      </c>
      <c r="B2212" t="s">
        <v>41</v>
      </c>
      <c r="C2212" t="s">
        <v>42</v>
      </c>
      <c r="D2212" s="2">
        <v>45850</v>
      </c>
      <c r="E2212">
        <v>53850</v>
      </c>
      <c r="F2212">
        <v>175</v>
      </c>
      <c r="G2212" t="s">
        <v>99</v>
      </c>
      <c r="H2212" t="s">
        <v>44</v>
      </c>
      <c r="I2212" t="s">
        <v>45</v>
      </c>
      <c r="L2212">
        <v>1753302203127</v>
      </c>
      <c r="M2212">
        <v>20250620</v>
      </c>
      <c r="N2212" t="s">
        <v>81</v>
      </c>
      <c r="Q2212" t="s">
        <v>47</v>
      </c>
      <c r="R2212">
        <v>42395.77</v>
      </c>
      <c r="T2212">
        <v>4160138</v>
      </c>
      <c r="U2212">
        <v>484200779</v>
      </c>
      <c r="V2212" t="s">
        <v>100</v>
      </c>
      <c r="W2212" t="s">
        <v>49</v>
      </c>
      <c r="X2212" t="s">
        <v>101</v>
      </c>
      <c r="Y2212" t="s">
        <v>51</v>
      </c>
      <c r="Z2212">
        <v>739</v>
      </c>
      <c r="AH2212">
        <v>0</v>
      </c>
      <c r="AI2212">
        <v>202506</v>
      </c>
      <c r="AJ2212" t="s">
        <v>86</v>
      </c>
      <c r="AK2212">
        <v>1</v>
      </c>
      <c r="AL2212">
        <v>1</v>
      </c>
      <c r="AM2212">
        <v>4160138</v>
      </c>
      <c r="AN2212">
        <v>1</v>
      </c>
      <c r="AO2212">
        <v>0</v>
      </c>
      <c r="AP2212" t="s">
        <v>3015</v>
      </c>
      <c r="AQ2212" t="s">
        <v>3012</v>
      </c>
      <c r="AR2212" t="s">
        <v>3016</v>
      </c>
      <c r="AT2212" t="s">
        <v>3017</v>
      </c>
      <c r="AU2212" t="s">
        <v>3018</v>
      </c>
    </row>
    <row r="2213" spans="1:47" x14ac:dyDescent="0.35">
      <c r="A2213">
        <v>362452</v>
      </c>
      <c r="B2213" t="s">
        <v>41</v>
      </c>
      <c r="C2213" t="s">
        <v>42</v>
      </c>
      <c r="D2213" s="2">
        <v>45850</v>
      </c>
      <c r="E2213">
        <v>53850</v>
      </c>
      <c r="F2213">
        <v>182</v>
      </c>
      <c r="G2213" t="s">
        <v>318</v>
      </c>
      <c r="H2213" t="s">
        <v>44</v>
      </c>
      <c r="I2213" t="s">
        <v>45</v>
      </c>
      <c r="L2213">
        <v>1823300173303</v>
      </c>
      <c r="M2213">
        <v>20250611</v>
      </c>
      <c r="N2213" t="s">
        <v>46</v>
      </c>
      <c r="Q2213" t="s">
        <v>47</v>
      </c>
      <c r="R2213">
        <v>500000</v>
      </c>
      <c r="T2213">
        <v>3024732</v>
      </c>
      <c r="U2213">
        <v>1710570738</v>
      </c>
      <c r="V2213" t="s">
        <v>2252</v>
      </c>
      <c r="W2213" t="s">
        <v>49</v>
      </c>
      <c r="X2213" t="s">
        <v>874</v>
      </c>
      <c r="Y2213" t="s">
        <v>51</v>
      </c>
      <c r="Z2213">
        <v>1627</v>
      </c>
      <c r="AH2213">
        <v>0</v>
      </c>
      <c r="AI2213">
        <v>202506</v>
      </c>
      <c r="AL2213">
        <v>1</v>
      </c>
      <c r="AO2213">
        <v>0</v>
      </c>
      <c r="AP2213" t="s">
        <v>3015</v>
      </c>
      <c r="AQ2213" t="s">
        <v>3012</v>
      </c>
      <c r="AR2213" t="s">
        <v>3016</v>
      </c>
      <c r="AT2213" t="s">
        <v>3017</v>
      </c>
      <c r="AU2213" t="s">
        <v>3018</v>
      </c>
    </row>
    <row r="2214" spans="1:47" x14ac:dyDescent="0.35">
      <c r="A2214">
        <v>362321</v>
      </c>
      <c r="B2214" t="s">
        <v>41</v>
      </c>
      <c r="C2214" t="s">
        <v>42</v>
      </c>
      <c r="D2214" s="2">
        <v>45850</v>
      </c>
      <c r="E2214">
        <v>53850</v>
      </c>
      <c r="F2214">
        <v>267</v>
      </c>
      <c r="G2214" t="s">
        <v>349</v>
      </c>
      <c r="H2214" t="s">
        <v>44</v>
      </c>
      <c r="I2214" t="s">
        <v>45</v>
      </c>
      <c r="L2214">
        <v>2673300010274</v>
      </c>
      <c r="M2214">
        <v>20250603</v>
      </c>
      <c r="N2214" t="s">
        <v>46</v>
      </c>
      <c r="Q2214" t="s">
        <v>47</v>
      </c>
      <c r="R2214">
        <v>76229.399999999994</v>
      </c>
      <c r="T2214">
        <v>4992646</v>
      </c>
      <c r="U2214">
        <v>3152440792</v>
      </c>
      <c r="V2214" t="s">
        <v>2240</v>
      </c>
      <c r="W2214" t="s">
        <v>49</v>
      </c>
      <c r="X2214" t="s">
        <v>710</v>
      </c>
      <c r="Y2214" t="s">
        <v>51</v>
      </c>
      <c r="Z2214">
        <v>1627</v>
      </c>
      <c r="AH2214">
        <v>0</v>
      </c>
      <c r="AI2214">
        <v>202506</v>
      </c>
      <c r="AJ2214" t="s">
        <v>86</v>
      </c>
      <c r="AK2214">
        <v>1</v>
      </c>
      <c r="AL2214">
        <v>1</v>
      </c>
      <c r="AO2214">
        <v>0</v>
      </c>
      <c r="AP2214" t="s">
        <v>3015</v>
      </c>
      <c r="AQ2214" t="s">
        <v>3012</v>
      </c>
      <c r="AR2214" t="s">
        <v>3016</v>
      </c>
      <c r="AT2214" t="s">
        <v>3017</v>
      </c>
      <c r="AU2214" t="s">
        <v>3018</v>
      </c>
    </row>
    <row r="2215" spans="1:47" x14ac:dyDescent="0.35">
      <c r="A2215">
        <v>361344</v>
      </c>
      <c r="B2215" t="s">
        <v>138</v>
      </c>
      <c r="C2215" t="s">
        <v>139</v>
      </c>
      <c r="D2215" s="2">
        <v>45850</v>
      </c>
      <c r="E2215">
        <v>53850</v>
      </c>
      <c r="F2215">
        <v>190</v>
      </c>
      <c r="G2215" t="s">
        <v>145</v>
      </c>
      <c r="H2215" t="s">
        <v>141</v>
      </c>
      <c r="I2215" t="s">
        <v>45</v>
      </c>
      <c r="R2215" t="s">
        <v>142</v>
      </c>
      <c r="T2215">
        <v>4884959</v>
      </c>
      <c r="U2215">
        <v>6732580722</v>
      </c>
      <c r="V2215" t="s">
        <v>146</v>
      </c>
      <c r="W2215" t="s">
        <v>49</v>
      </c>
      <c r="X2215" t="s">
        <v>147</v>
      </c>
      <c r="Z2215">
        <v>1926</v>
      </c>
      <c r="AH2215">
        <v>0</v>
      </c>
      <c r="AL2215">
        <v>1</v>
      </c>
      <c r="AO2215">
        <v>0</v>
      </c>
      <c r="AP2215" t="s">
        <v>3015</v>
      </c>
      <c r="AQ2215" t="s">
        <v>3012</v>
      </c>
      <c r="AR2215" t="s">
        <v>3016</v>
      </c>
      <c r="AT2215" t="s">
        <v>3017</v>
      </c>
      <c r="AU2215" t="s">
        <v>3018</v>
      </c>
    </row>
    <row r="2216" spans="1:47" x14ac:dyDescent="0.35">
      <c r="A2216">
        <v>361337</v>
      </c>
      <c r="B2216" t="s">
        <v>138</v>
      </c>
      <c r="C2216" t="s">
        <v>139</v>
      </c>
      <c r="D2216" s="2">
        <v>45850</v>
      </c>
      <c r="E2216">
        <v>53850</v>
      </c>
      <c r="F2216">
        <v>121</v>
      </c>
      <c r="G2216" t="s">
        <v>140</v>
      </c>
      <c r="H2216" t="s">
        <v>141</v>
      </c>
      <c r="I2216" t="s">
        <v>45</v>
      </c>
      <c r="R2216" t="s">
        <v>142</v>
      </c>
      <c r="T2216">
        <v>4596073</v>
      </c>
      <c r="U2216">
        <v>6902840724</v>
      </c>
      <c r="V2216" t="s">
        <v>2253</v>
      </c>
      <c r="W2216" t="s">
        <v>49</v>
      </c>
      <c r="X2216" t="s">
        <v>2254</v>
      </c>
      <c r="Z2216">
        <v>928</v>
      </c>
      <c r="AH2216">
        <v>0</v>
      </c>
      <c r="AL2216">
        <v>1</v>
      </c>
      <c r="AO2216">
        <v>0</v>
      </c>
      <c r="AP2216" t="s">
        <v>3015</v>
      </c>
      <c r="AQ2216" t="s">
        <v>3012</v>
      </c>
      <c r="AR2216" t="s">
        <v>3016</v>
      </c>
      <c r="AT2216" t="s">
        <v>3017</v>
      </c>
      <c r="AU2216" t="s">
        <v>3018</v>
      </c>
    </row>
    <row r="2217" spans="1:47" x14ac:dyDescent="0.35">
      <c r="A2217">
        <v>361326</v>
      </c>
      <c r="B2217" t="s">
        <v>138</v>
      </c>
      <c r="C2217" t="s">
        <v>139</v>
      </c>
      <c r="D2217" s="2">
        <v>45850</v>
      </c>
      <c r="E2217">
        <v>53850</v>
      </c>
      <c r="F2217">
        <v>121</v>
      </c>
      <c r="G2217" t="s">
        <v>140</v>
      </c>
      <c r="H2217" t="s">
        <v>141</v>
      </c>
      <c r="I2217" t="s">
        <v>45</v>
      </c>
      <c r="R2217" t="s">
        <v>142</v>
      </c>
      <c r="T2217">
        <v>4859756</v>
      </c>
      <c r="U2217">
        <v>7229510727</v>
      </c>
      <c r="V2217" t="s">
        <v>1564</v>
      </c>
      <c r="W2217" t="s">
        <v>49</v>
      </c>
      <c r="X2217" t="s">
        <v>2255</v>
      </c>
      <c r="Z2217">
        <v>1058</v>
      </c>
      <c r="AH2217">
        <v>0</v>
      </c>
      <c r="AL2217">
        <v>1</v>
      </c>
      <c r="AO2217">
        <v>0</v>
      </c>
      <c r="AP2217" t="s">
        <v>3015</v>
      </c>
      <c r="AQ2217" t="s">
        <v>3012</v>
      </c>
      <c r="AR2217" t="s">
        <v>3016</v>
      </c>
      <c r="AT2217" t="s">
        <v>3017</v>
      </c>
      <c r="AU2217" t="s">
        <v>3018</v>
      </c>
    </row>
    <row r="2218" spans="1:47" x14ac:dyDescent="0.35">
      <c r="A2218">
        <v>361314</v>
      </c>
      <c r="B2218" t="s">
        <v>138</v>
      </c>
      <c r="C2218" t="s">
        <v>139</v>
      </c>
      <c r="D2218" s="2">
        <v>45850</v>
      </c>
      <c r="E2218">
        <v>53850</v>
      </c>
      <c r="F2218">
        <v>102</v>
      </c>
      <c r="G2218" t="s">
        <v>151</v>
      </c>
      <c r="H2218" t="s">
        <v>141</v>
      </c>
      <c r="I2218" t="s">
        <v>45</v>
      </c>
      <c r="R2218" t="s">
        <v>142</v>
      </c>
      <c r="T2218">
        <v>4269640</v>
      </c>
      <c r="U2218">
        <v>4797080969</v>
      </c>
      <c r="V2218" t="s">
        <v>152</v>
      </c>
      <c r="W2218" t="s">
        <v>153</v>
      </c>
      <c r="X2218" t="s">
        <v>154</v>
      </c>
      <c r="Z2218">
        <v>1926</v>
      </c>
      <c r="AH2218">
        <v>0</v>
      </c>
      <c r="AL2218">
        <v>1</v>
      </c>
      <c r="AO2218">
        <v>0</v>
      </c>
      <c r="AP2218" t="s">
        <v>3015</v>
      </c>
      <c r="AQ2218" t="s">
        <v>3035</v>
      </c>
      <c r="AR2218" t="s">
        <v>3036</v>
      </c>
      <c r="AT2218" t="s">
        <v>3017</v>
      </c>
      <c r="AU2218" t="s">
        <v>3037</v>
      </c>
    </row>
    <row r="2219" spans="1:47" x14ac:dyDescent="0.35">
      <c r="A2219">
        <v>361312</v>
      </c>
      <c r="B2219" t="s">
        <v>138</v>
      </c>
      <c r="C2219" t="s">
        <v>139</v>
      </c>
      <c r="D2219" s="2">
        <v>45850</v>
      </c>
      <c r="E2219">
        <v>53850</v>
      </c>
      <c r="F2219">
        <v>141</v>
      </c>
      <c r="G2219" t="s">
        <v>105</v>
      </c>
      <c r="H2219" t="s">
        <v>141</v>
      </c>
      <c r="I2219" t="s">
        <v>45</v>
      </c>
      <c r="R2219" t="s">
        <v>142</v>
      </c>
      <c r="T2219">
        <v>4835947</v>
      </c>
      <c r="U2219">
        <v>3351210756</v>
      </c>
      <c r="V2219" t="s">
        <v>148</v>
      </c>
      <c r="W2219" t="s">
        <v>49</v>
      </c>
      <c r="X2219" t="s">
        <v>149</v>
      </c>
      <c r="Z2219">
        <v>1627</v>
      </c>
      <c r="AH2219">
        <v>0</v>
      </c>
      <c r="AL2219">
        <v>1</v>
      </c>
      <c r="AO2219">
        <v>0</v>
      </c>
      <c r="AP2219" t="s">
        <v>3011</v>
      </c>
      <c r="AQ2219" t="s">
        <v>3012</v>
      </c>
      <c r="AR2219" t="s">
        <v>3013</v>
      </c>
      <c r="AS2219" t="s">
        <v>3014</v>
      </c>
      <c r="AU2219" t="s">
        <v>3014</v>
      </c>
    </row>
    <row r="2220" spans="1:47" x14ac:dyDescent="0.35">
      <c r="A2220">
        <v>361304</v>
      </c>
      <c r="B2220" t="s">
        <v>138</v>
      </c>
      <c r="C2220" t="s">
        <v>139</v>
      </c>
      <c r="D2220" s="2">
        <v>45850</v>
      </c>
      <c r="E2220">
        <v>53850</v>
      </c>
      <c r="F2220">
        <v>109</v>
      </c>
      <c r="G2220" t="s">
        <v>89</v>
      </c>
      <c r="H2220" t="s">
        <v>141</v>
      </c>
      <c r="I2220" t="s">
        <v>45</v>
      </c>
      <c r="R2220" t="s">
        <v>142</v>
      </c>
      <c r="T2220">
        <v>4976336</v>
      </c>
      <c r="U2220">
        <v>8637680722</v>
      </c>
      <c r="V2220" t="s">
        <v>2256</v>
      </c>
      <c r="W2220" t="s">
        <v>49</v>
      </c>
      <c r="X2220" t="s">
        <v>2257</v>
      </c>
      <c r="Z2220">
        <v>783</v>
      </c>
      <c r="AH2220">
        <v>0</v>
      </c>
      <c r="AL2220">
        <v>1</v>
      </c>
      <c r="AO2220">
        <v>0</v>
      </c>
      <c r="AP2220" t="s">
        <v>3015</v>
      </c>
      <c r="AQ2220" t="s">
        <v>3012</v>
      </c>
      <c r="AR2220" t="s">
        <v>3016</v>
      </c>
      <c r="AT2220" t="s">
        <v>3017</v>
      </c>
      <c r="AU2220" t="s">
        <v>3018</v>
      </c>
    </row>
    <row r="2221" spans="1:47" x14ac:dyDescent="0.35">
      <c r="A2221">
        <v>361280</v>
      </c>
      <c r="B2221" t="s">
        <v>138</v>
      </c>
      <c r="C2221" t="s">
        <v>139</v>
      </c>
      <c r="D2221" s="2">
        <v>45850</v>
      </c>
      <c r="E2221">
        <v>53850</v>
      </c>
      <c r="F2221">
        <v>121</v>
      </c>
      <c r="G2221" t="s">
        <v>140</v>
      </c>
      <c r="H2221" t="s">
        <v>141</v>
      </c>
      <c r="I2221" t="s">
        <v>45</v>
      </c>
      <c r="R2221" t="s">
        <v>142</v>
      </c>
      <c r="T2221">
        <v>4859756</v>
      </c>
      <c r="U2221">
        <v>7229510727</v>
      </c>
      <c r="V2221" t="s">
        <v>1564</v>
      </c>
      <c r="W2221" t="s">
        <v>49</v>
      </c>
      <c r="X2221" t="s">
        <v>2255</v>
      </c>
      <c r="Z2221">
        <v>1058</v>
      </c>
      <c r="AH2221">
        <v>0</v>
      </c>
      <c r="AL2221">
        <v>1</v>
      </c>
      <c r="AO2221">
        <v>0</v>
      </c>
      <c r="AP2221" t="s">
        <v>3015</v>
      </c>
      <c r="AQ2221" t="s">
        <v>3012</v>
      </c>
      <c r="AR2221" t="s">
        <v>3016</v>
      </c>
      <c r="AT2221" t="s">
        <v>3017</v>
      </c>
      <c r="AU2221" t="s">
        <v>3018</v>
      </c>
    </row>
    <row r="2222" spans="1:47" x14ac:dyDescent="0.35">
      <c r="A2222">
        <v>361223</v>
      </c>
      <c r="B2222" t="s">
        <v>138</v>
      </c>
      <c r="C2222" t="s">
        <v>139</v>
      </c>
      <c r="D2222" s="2">
        <v>45850</v>
      </c>
      <c r="E2222">
        <v>53850</v>
      </c>
      <c r="F2222">
        <v>121</v>
      </c>
      <c r="G2222" t="s">
        <v>140</v>
      </c>
      <c r="H2222" t="s">
        <v>141</v>
      </c>
      <c r="I2222" t="s">
        <v>45</v>
      </c>
      <c r="R2222" t="s">
        <v>142</v>
      </c>
      <c r="T2222">
        <v>4669940</v>
      </c>
      <c r="U2222">
        <v>7216060728</v>
      </c>
      <c r="V2222" t="s">
        <v>143</v>
      </c>
      <c r="W2222" t="s">
        <v>49</v>
      </c>
      <c r="X2222" t="s">
        <v>144</v>
      </c>
      <c r="AH2222">
        <v>0</v>
      </c>
      <c r="AL2222">
        <v>1</v>
      </c>
      <c r="AO2222">
        <v>0</v>
      </c>
      <c r="AP2222" t="s">
        <v>3015</v>
      </c>
      <c r="AQ2222" t="s">
        <v>3012</v>
      </c>
      <c r="AR2222" t="s">
        <v>3016</v>
      </c>
      <c r="AT2222" t="s">
        <v>3017</v>
      </c>
      <c r="AU2222" t="s">
        <v>3018</v>
      </c>
    </row>
    <row r="2223" spans="1:47" x14ac:dyDescent="0.35">
      <c r="A2223">
        <v>361219</v>
      </c>
      <c r="B2223" t="s">
        <v>138</v>
      </c>
      <c r="C2223" t="s">
        <v>139</v>
      </c>
      <c r="D2223" s="2">
        <v>45850</v>
      </c>
      <c r="E2223">
        <v>53850</v>
      </c>
      <c r="F2223">
        <v>141</v>
      </c>
      <c r="G2223" t="s">
        <v>105</v>
      </c>
      <c r="H2223" t="s">
        <v>141</v>
      </c>
      <c r="I2223" t="s">
        <v>45</v>
      </c>
      <c r="R2223" t="s">
        <v>142</v>
      </c>
      <c r="T2223">
        <v>4968719</v>
      </c>
      <c r="U2223">
        <v>5154150758</v>
      </c>
      <c r="V2223" t="s">
        <v>2258</v>
      </c>
      <c r="W2223" t="s">
        <v>49</v>
      </c>
      <c r="X2223" t="s">
        <v>2259</v>
      </c>
      <c r="Z2223">
        <v>1627</v>
      </c>
      <c r="AH2223">
        <v>0</v>
      </c>
      <c r="AL2223">
        <v>1</v>
      </c>
      <c r="AO2223">
        <v>0</v>
      </c>
      <c r="AP2223" t="s">
        <v>3015</v>
      </c>
      <c r="AQ2223" t="s">
        <v>3012</v>
      </c>
      <c r="AR2223" t="s">
        <v>3016</v>
      </c>
      <c r="AT2223" t="s">
        <v>3017</v>
      </c>
      <c r="AU2223" t="s">
        <v>3018</v>
      </c>
    </row>
    <row r="2224" spans="1:47" x14ac:dyDescent="0.35">
      <c r="A2224">
        <v>361215</v>
      </c>
      <c r="B2224" t="s">
        <v>138</v>
      </c>
      <c r="C2224" t="s">
        <v>139</v>
      </c>
      <c r="D2224" s="2">
        <v>45850</v>
      </c>
      <c r="E2224">
        <v>53850</v>
      </c>
      <c r="F2224">
        <v>196</v>
      </c>
      <c r="G2224" t="s">
        <v>567</v>
      </c>
      <c r="H2224" t="s">
        <v>141</v>
      </c>
      <c r="I2224" t="s">
        <v>45</v>
      </c>
      <c r="R2224" t="s">
        <v>142</v>
      </c>
      <c r="T2224">
        <v>3733579</v>
      </c>
      <c r="U2224">
        <v>8609120723</v>
      </c>
      <c r="V2224" t="s">
        <v>2260</v>
      </c>
      <c r="W2224" t="s">
        <v>49</v>
      </c>
      <c r="X2224" t="s">
        <v>2261</v>
      </c>
      <c r="Z2224">
        <v>1911</v>
      </c>
      <c r="AH2224">
        <v>0</v>
      </c>
      <c r="AL2224">
        <v>1</v>
      </c>
      <c r="AO2224">
        <v>0</v>
      </c>
      <c r="AP2224" t="s">
        <v>3029</v>
      </c>
      <c r="AQ2224" t="s">
        <v>3012</v>
      </c>
      <c r="AR2224" t="s">
        <v>3030</v>
      </c>
      <c r="AS2224" t="s">
        <v>3014</v>
      </c>
      <c r="AU2224" t="s">
        <v>3014</v>
      </c>
    </row>
    <row r="2225" spans="1:47" x14ac:dyDescent="0.35">
      <c r="A2225">
        <v>361194</v>
      </c>
      <c r="B2225" t="s">
        <v>138</v>
      </c>
      <c r="C2225" t="s">
        <v>139</v>
      </c>
      <c r="D2225" s="2">
        <v>45850</v>
      </c>
      <c r="E2225">
        <v>53850</v>
      </c>
      <c r="F2225">
        <v>187</v>
      </c>
      <c r="G2225" t="s">
        <v>251</v>
      </c>
      <c r="H2225" t="s">
        <v>141</v>
      </c>
      <c r="I2225" t="s">
        <v>45</v>
      </c>
      <c r="R2225" t="s">
        <v>142</v>
      </c>
      <c r="T2225">
        <v>3004644</v>
      </c>
      <c r="U2225">
        <v>80008750731</v>
      </c>
      <c r="V2225" t="s">
        <v>252</v>
      </c>
      <c r="W2225" t="s">
        <v>253</v>
      </c>
      <c r="Z2225">
        <v>1627</v>
      </c>
      <c r="AH2225">
        <v>0</v>
      </c>
      <c r="AL2225">
        <v>1</v>
      </c>
      <c r="AO2225">
        <v>0</v>
      </c>
      <c r="AP2225" t="s">
        <v>3015</v>
      </c>
      <c r="AQ2225" t="s">
        <v>3052</v>
      </c>
      <c r="AR2225" t="s">
        <v>3053</v>
      </c>
      <c r="AS2225" t="s">
        <v>3037</v>
      </c>
      <c r="AU2225" t="s">
        <v>3037</v>
      </c>
    </row>
    <row r="2226" spans="1:47" x14ac:dyDescent="0.35">
      <c r="A2226">
        <v>361154</v>
      </c>
      <c r="B2226" t="s">
        <v>138</v>
      </c>
      <c r="C2226" t="s">
        <v>139</v>
      </c>
      <c r="D2226" s="2">
        <v>45850</v>
      </c>
      <c r="E2226">
        <v>53850</v>
      </c>
      <c r="F2226">
        <v>187</v>
      </c>
      <c r="G2226" t="s">
        <v>251</v>
      </c>
      <c r="H2226" t="s">
        <v>141</v>
      </c>
      <c r="I2226" t="s">
        <v>45</v>
      </c>
      <c r="R2226" t="s">
        <v>142</v>
      </c>
      <c r="T2226">
        <v>3004644</v>
      </c>
      <c r="U2226">
        <v>80008750731</v>
      </c>
      <c r="V2226" t="s">
        <v>252</v>
      </c>
      <c r="W2226" t="s">
        <v>253</v>
      </c>
      <c r="Z2226">
        <v>1627</v>
      </c>
      <c r="AH2226">
        <v>0</v>
      </c>
      <c r="AL2226">
        <v>1</v>
      </c>
      <c r="AO2226">
        <v>0</v>
      </c>
      <c r="AP2226" t="s">
        <v>3015</v>
      </c>
      <c r="AQ2226" t="s">
        <v>3052</v>
      </c>
      <c r="AR2226" t="s">
        <v>3053</v>
      </c>
      <c r="AS2226" t="s">
        <v>3037</v>
      </c>
      <c r="AU2226" t="s">
        <v>3037</v>
      </c>
    </row>
    <row r="2227" spans="1:47" x14ac:dyDescent="0.35">
      <c r="A2227">
        <v>361135</v>
      </c>
      <c r="B2227" t="s">
        <v>138</v>
      </c>
      <c r="C2227" t="s">
        <v>139</v>
      </c>
      <c r="D2227" s="2">
        <v>45850</v>
      </c>
      <c r="E2227">
        <v>53850</v>
      </c>
      <c r="F2227">
        <v>121</v>
      </c>
      <c r="G2227" t="s">
        <v>140</v>
      </c>
      <c r="H2227" t="s">
        <v>141</v>
      </c>
      <c r="I2227" t="s">
        <v>45</v>
      </c>
      <c r="R2227" t="s">
        <v>142</v>
      </c>
      <c r="T2227">
        <v>4859756</v>
      </c>
      <c r="U2227">
        <v>7229510727</v>
      </c>
      <c r="V2227" t="s">
        <v>1564</v>
      </c>
      <c r="W2227" t="s">
        <v>49</v>
      </c>
      <c r="X2227" t="s">
        <v>2255</v>
      </c>
      <c r="Z2227">
        <v>1058</v>
      </c>
      <c r="AH2227">
        <v>0</v>
      </c>
      <c r="AL2227">
        <v>1</v>
      </c>
      <c r="AO2227">
        <v>0</v>
      </c>
      <c r="AP2227" t="s">
        <v>3015</v>
      </c>
      <c r="AQ2227" t="s">
        <v>3012</v>
      </c>
      <c r="AR2227" t="s">
        <v>3016</v>
      </c>
      <c r="AT2227" t="s">
        <v>3017</v>
      </c>
      <c r="AU2227" t="s">
        <v>3018</v>
      </c>
    </row>
    <row r="2228" spans="1:47" x14ac:dyDescent="0.35">
      <c r="A2228">
        <v>361123</v>
      </c>
      <c r="B2228" t="s">
        <v>138</v>
      </c>
      <c r="C2228" t="s">
        <v>139</v>
      </c>
      <c r="D2228" s="2">
        <v>45850</v>
      </c>
      <c r="E2228">
        <v>53850</v>
      </c>
      <c r="F2228">
        <v>121</v>
      </c>
      <c r="G2228" t="s">
        <v>140</v>
      </c>
      <c r="H2228" t="s">
        <v>141</v>
      </c>
      <c r="I2228" t="s">
        <v>45</v>
      </c>
      <c r="R2228" t="s">
        <v>142</v>
      </c>
      <c r="T2228">
        <v>4669940</v>
      </c>
      <c r="U2228">
        <v>7216060728</v>
      </c>
      <c r="V2228" t="s">
        <v>143</v>
      </c>
      <c r="W2228" t="s">
        <v>49</v>
      </c>
      <c r="X2228" t="s">
        <v>144</v>
      </c>
      <c r="AH2228">
        <v>0</v>
      </c>
      <c r="AL2228">
        <v>1</v>
      </c>
      <c r="AO2228">
        <v>0</v>
      </c>
      <c r="AP2228" t="s">
        <v>3015</v>
      </c>
      <c r="AQ2228" t="s">
        <v>3012</v>
      </c>
      <c r="AR2228" t="s">
        <v>3016</v>
      </c>
      <c r="AT2228" t="s">
        <v>3017</v>
      </c>
      <c r="AU2228" t="s">
        <v>3018</v>
      </c>
    </row>
    <row r="2229" spans="1:47" x14ac:dyDescent="0.35">
      <c r="A2229">
        <v>361121</v>
      </c>
      <c r="B2229" t="s">
        <v>138</v>
      </c>
      <c r="C2229" t="s">
        <v>139</v>
      </c>
      <c r="D2229" s="2">
        <v>45850</v>
      </c>
      <c r="E2229">
        <v>53850</v>
      </c>
      <c r="F2229">
        <v>199</v>
      </c>
      <c r="G2229" t="s">
        <v>473</v>
      </c>
      <c r="H2229" t="s">
        <v>141</v>
      </c>
      <c r="I2229" t="s">
        <v>45</v>
      </c>
      <c r="R2229" t="s">
        <v>142</v>
      </c>
      <c r="T2229">
        <v>4862196</v>
      </c>
      <c r="U2229">
        <v>1430150746</v>
      </c>
      <c r="V2229" t="s">
        <v>1319</v>
      </c>
      <c r="W2229" t="s">
        <v>49</v>
      </c>
      <c r="X2229" t="s">
        <v>1320</v>
      </c>
      <c r="Z2229">
        <v>1627</v>
      </c>
      <c r="AH2229">
        <v>0</v>
      </c>
      <c r="AL2229">
        <v>1</v>
      </c>
      <c r="AO2229">
        <v>0</v>
      </c>
      <c r="AP2229" t="s">
        <v>3015</v>
      </c>
      <c r="AQ2229" t="s">
        <v>3012</v>
      </c>
      <c r="AR2229" t="s">
        <v>3016</v>
      </c>
      <c r="AT2229" t="s">
        <v>3017</v>
      </c>
      <c r="AU2229" t="s">
        <v>3018</v>
      </c>
    </row>
    <row r="2230" spans="1:47" x14ac:dyDescent="0.35">
      <c r="A2230">
        <v>361106</v>
      </c>
      <c r="B2230" t="s">
        <v>138</v>
      </c>
      <c r="C2230" t="s">
        <v>139</v>
      </c>
      <c r="D2230" s="2">
        <v>45850</v>
      </c>
      <c r="E2230">
        <v>53850</v>
      </c>
      <c r="F2230">
        <v>145</v>
      </c>
      <c r="G2230" t="s">
        <v>115</v>
      </c>
      <c r="H2230" t="s">
        <v>141</v>
      </c>
      <c r="I2230" t="s">
        <v>45</v>
      </c>
      <c r="R2230" t="s">
        <v>142</v>
      </c>
      <c r="T2230">
        <v>4909036</v>
      </c>
      <c r="U2230">
        <v>8716121218</v>
      </c>
      <c r="V2230" t="s">
        <v>2262</v>
      </c>
      <c r="W2230" t="s">
        <v>49</v>
      </c>
      <c r="X2230" t="s">
        <v>2263</v>
      </c>
      <c r="Z2230">
        <v>982</v>
      </c>
      <c r="AH2230">
        <v>0</v>
      </c>
      <c r="AL2230">
        <v>1</v>
      </c>
      <c r="AO2230">
        <v>0</v>
      </c>
      <c r="AP2230" t="s">
        <v>3015</v>
      </c>
      <c r="AQ2230" t="s">
        <v>3012</v>
      </c>
      <c r="AR2230" t="s">
        <v>3016</v>
      </c>
      <c r="AT2230" t="s">
        <v>3017</v>
      </c>
      <c r="AU2230" t="s">
        <v>3018</v>
      </c>
    </row>
    <row r="2231" spans="1:47" x14ac:dyDescent="0.35">
      <c r="A2231">
        <v>360667</v>
      </c>
      <c r="B2231" t="s">
        <v>172</v>
      </c>
      <c r="C2231" t="s">
        <v>173</v>
      </c>
      <c r="D2231" s="2">
        <v>45839</v>
      </c>
      <c r="E2231">
        <v>53850</v>
      </c>
      <c r="F2231">
        <v>102</v>
      </c>
      <c r="G2231" t="s">
        <v>151</v>
      </c>
      <c r="H2231" t="s">
        <v>167</v>
      </c>
      <c r="I2231" t="s">
        <v>45</v>
      </c>
      <c r="K2231">
        <v>202506308141600</v>
      </c>
      <c r="L2231">
        <v>1023306272895</v>
      </c>
      <c r="M2231">
        <v>20250630</v>
      </c>
      <c r="N2231" t="s">
        <v>231</v>
      </c>
      <c r="Q2231" t="s">
        <v>47</v>
      </c>
      <c r="R2231">
        <v>433000</v>
      </c>
      <c r="S2231">
        <v>0</v>
      </c>
      <c r="T2231">
        <v>52472</v>
      </c>
      <c r="U2231" t="s">
        <v>2264</v>
      </c>
      <c r="V2231" t="s">
        <v>2265</v>
      </c>
      <c r="W2231" t="s">
        <v>187</v>
      </c>
      <c r="Y2231" t="s">
        <v>51</v>
      </c>
      <c r="Z2231">
        <v>1431</v>
      </c>
      <c r="AH2231">
        <v>0</v>
      </c>
      <c r="AI2231">
        <v>202506</v>
      </c>
      <c r="AJ2231" t="s">
        <v>86</v>
      </c>
      <c r="AK2231">
        <v>1</v>
      </c>
      <c r="AL2231">
        <v>1</v>
      </c>
      <c r="AO2231">
        <v>0</v>
      </c>
      <c r="AP2231" t="s">
        <v>3015</v>
      </c>
      <c r="AQ2231" t="s">
        <v>3044</v>
      </c>
      <c r="AR2231" t="s">
        <v>3045</v>
      </c>
      <c r="AS2231" t="s">
        <v>3046</v>
      </c>
      <c r="AU2231" t="s">
        <v>3046</v>
      </c>
    </row>
    <row r="2232" spans="1:47" x14ac:dyDescent="0.35">
      <c r="A2232">
        <v>360666</v>
      </c>
      <c r="B2232" t="s">
        <v>164</v>
      </c>
      <c r="C2232" t="s">
        <v>165</v>
      </c>
      <c r="D2232" s="2">
        <v>45839</v>
      </c>
      <c r="E2232">
        <v>53850</v>
      </c>
      <c r="F2232">
        <v>116</v>
      </c>
      <c r="G2232" t="s">
        <v>126</v>
      </c>
      <c r="H2232" t="s">
        <v>167</v>
      </c>
      <c r="I2232" t="s">
        <v>45</v>
      </c>
      <c r="K2232" t="s">
        <v>2266</v>
      </c>
      <c r="L2232">
        <v>1423300308824</v>
      </c>
      <c r="M2232">
        <v>20250630</v>
      </c>
      <c r="N2232" t="s">
        <v>168</v>
      </c>
      <c r="P2232" t="s">
        <v>2267</v>
      </c>
      <c r="Q2232" t="s">
        <v>47</v>
      </c>
      <c r="R2232">
        <v>2500</v>
      </c>
      <c r="S2232">
        <v>0</v>
      </c>
      <c r="T2232">
        <v>526336</v>
      </c>
      <c r="U2232" t="s">
        <v>2268</v>
      </c>
      <c r="V2232" t="s">
        <v>2269</v>
      </c>
      <c r="W2232" t="s">
        <v>187</v>
      </c>
      <c r="Y2232" t="s">
        <v>51</v>
      </c>
      <c r="AH2232">
        <v>0</v>
      </c>
      <c r="AI2232">
        <v>202506</v>
      </c>
      <c r="AJ2232" t="s">
        <v>86</v>
      </c>
      <c r="AK2232">
        <v>1</v>
      </c>
      <c r="AL2232">
        <v>1</v>
      </c>
      <c r="AO2232">
        <v>0</v>
      </c>
      <c r="AP2232" t="s">
        <v>3015</v>
      </c>
      <c r="AQ2232" t="s">
        <v>3044</v>
      </c>
      <c r="AR2232" t="s">
        <v>3045</v>
      </c>
      <c r="AS2232" t="s">
        <v>3046</v>
      </c>
      <c r="AU2232" t="s">
        <v>3046</v>
      </c>
    </row>
    <row r="2233" spans="1:47" x14ac:dyDescent="0.35">
      <c r="A2233">
        <v>360665</v>
      </c>
      <c r="B2233" t="s">
        <v>178</v>
      </c>
      <c r="C2233" t="s">
        <v>179</v>
      </c>
      <c r="D2233" s="2">
        <v>45839</v>
      </c>
      <c r="E2233">
        <v>53850</v>
      </c>
      <c r="F2233">
        <v>102</v>
      </c>
      <c r="G2233" t="s">
        <v>151</v>
      </c>
      <c r="H2233" t="s">
        <v>167</v>
      </c>
      <c r="I2233" t="s">
        <v>45</v>
      </c>
      <c r="K2233">
        <v>202506308141571</v>
      </c>
      <c r="L2233">
        <v>1023308722935</v>
      </c>
      <c r="M2233">
        <v>20250630</v>
      </c>
      <c r="N2233" t="s">
        <v>236</v>
      </c>
      <c r="P2233" t="s">
        <v>51</v>
      </c>
      <c r="Q2233" t="s">
        <v>170</v>
      </c>
      <c r="R2233">
        <v>200050</v>
      </c>
      <c r="S2233">
        <v>0</v>
      </c>
      <c r="T2233">
        <v>512037</v>
      </c>
      <c r="U2233" t="s">
        <v>2270</v>
      </c>
      <c r="V2233" t="s">
        <v>2271</v>
      </c>
      <c r="W2233" t="s">
        <v>187</v>
      </c>
      <c r="Y2233" t="s">
        <v>51</v>
      </c>
      <c r="Z2233">
        <v>1335</v>
      </c>
      <c r="AH2233">
        <v>0</v>
      </c>
      <c r="AI2233">
        <v>202506</v>
      </c>
      <c r="AJ2233" t="s">
        <v>86</v>
      </c>
      <c r="AK2233">
        <v>1</v>
      </c>
      <c r="AL2233">
        <v>1</v>
      </c>
      <c r="AO2233">
        <v>0</v>
      </c>
      <c r="AP2233" t="s">
        <v>3015</v>
      </c>
      <c r="AQ2233" t="s">
        <v>3044</v>
      </c>
      <c r="AR2233" t="s">
        <v>3045</v>
      </c>
      <c r="AS2233" t="s">
        <v>3046</v>
      </c>
      <c r="AU2233" t="s">
        <v>3046</v>
      </c>
    </row>
    <row r="2234" spans="1:47" x14ac:dyDescent="0.35">
      <c r="A2234">
        <v>360664</v>
      </c>
      <c r="B2234" t="s">
        <v>193</v>
      </c>
      <c r="C2234" t="s">
        <v>194</v>
      </c>
      <c r="D2234" s="2">
        <v>45839</v>
      </c>
      <c r="E2234">
        <v>53850</v>
      </c>
      <c r="F2234">
        <v>141</v>
      </c>
      <c r="G2234" t="s">
        <v>105</v>
      </c>
      <c r="H2234" t="s">
        <v>167</v>
      </c>
      <c r="I2234" t="s">
        <v>45</v>
      </c>
      <c r="K2234" t="s">
        <v>2272</v>
      </c>
      <c r="L2234">
        <v>1413300004393</v>
      </c>
      <c r="M2234">
        <v>20250630</v>
      </c>
      <c r="N2234" t="s">
        <v>175</v>
      </c>
      <c r="Q2234" t="s">
        <v>47</v>
      </c>
      <c r="R2234">
        <v>244056.98</v>
      </c>
      <c r="S2234">
        <v>35370</v>
      </c>
      <c r="T2234">
        <v>3743595</v>
      </c>
      <c r="U2234">
        <v>5408440757</v>
      </c>
      <c r="V2234" t="s">
        <v>1334</v>
      </c>
      <c r="W2234" t="s">
        <v>332</v>
      </c>
      <c r="X2234" t="s">
        <v>70</v>
      </c>
      <c r="Y2234" t="s">
        <v>51</v>
      </c>
      <c r="Z2234">
        <v>862</v>
      </c>
      <c r="AH2234">
        <v>0</v>
      </c>
      <c r="AI2234">
        <v>202506</v>
      </c>
      <c r="AJ2234" t="s">
        <v>86</v>
      </c>
      <c r="AK2234">
        <v>1</v>
      </c>
      <c r="AL2234">
        <v>1</v>
      </c>
      <c r="AM2234">
        <v>3743595</v>
      </c>
      <c r="AN2234">
        <v>1</v>
      </c>
      <c r="AO2234">
        <v>1</v>
      </c>
      <c r="AP2234" t="s">
        <v>3015</v>
      </c>
      <c r="AQ2234" t="s">
        <v>3058</v>
      </c>
      <c r="AR2234" t="s">
        <v>3059</v>
      </c>
      <c r="AT2234" t="s">
        <v>3017</v>
      </c>
      <c r="AU2234" t="s">
        <v>3014</v>
      </c>
    </row>
    <row r="2235" spans="1:47" x14ac:dyDescent="0.35">
      <c r="A2235">
        <v>360663</v>
      </c>
      <c r="B2235" t="s">
        <v>193</v>
      </c>
      <c r="C2235" t="s">
        <v>194</v>
      </c>
      <c r="D2235" s="2">
        <v>45839</v>
      </c>
      <c r="E2235">
        <v>53850</v>
      </c>
      <c r="F2235">
        <v>102</v>
      </c>
      <c r="G2235" t="s">
        <v>151</v>
      </c>
      <c r="H2235" t="s">
        <v>167</v>
      </c>
      <c r="I2235" t="s">
        <v>45</v>
      </c>
      <c r="K2235" t="s">
        <v>2272</v>
      </c>
      <c r="L2235">
        <v>1023300660520</v>
      </c>
      <c r="M2235">
        <v>20250630</v>
      </c>
      <c r="N2235" t="s">
        <v>175</v>
      </c>
      <c r="Q2235" t="s">
        <v>47</v>
      </c>
      <c r="R2235">
        <v>110530</v>
      </c>
      <c r="S2235">
        <v>40285</v>
      </c>
      <c r="T2235">
        <v>66052</v>
      </c>
      <c r="U2235">
        <v>398110726</v>
      </c>
      <c r="V2235" t="s">
        <v>426</v>
      </c>
      <c r="W2235" t="s">
        <v>49</v>
      </c>
      <c r="X2235" t="s">
        <v>59</v>
      </c>
      <c r="Y2235" t="s">
        <v>51</v>
      </c>
      <c r="Z2235">
        <v>1203</v>
      </c>
      <c r="AH2235">
        <v>0</v>
      </c>
      <c r="AI2235">
        <v>202506</v>
      </c>
      <c r="AJ2235" t="s">
        <v>119</v>
      </c>
      <c r="AK2235">
        <v>1</v>
      </c>
      <c r="AL2235">
        <v>1</v>
      </c>
      <c r="AM2235">
        <v>66052</v>
      </c>
      <c r="AN2235">
        <v>1</v>
      </c>
      <c r="AO2235">
        <v>1</v>
      </c>
      <c r="AP2235" t="s">
        <v>3015</v>
      </c>
      <c r="AQ2235" t="s">
        <v>3012</v>
      </c>
      <c r="AR2235" t="s">
        <v>3016</v>
      </c>
      <c r="AT2235" t="s">
        <v>3017</v>
      </c>
      <c r="AU2235" t="s">
        <v>3018</v>
      </c>
    </row>
    <row r="2236" spans="1:47" x14ac:dyDescent="0.35">
      <c r="A2236">
        <v>360662</v>
      </c>
      <c r="B2236" t="s">
        <v>193</v>
      </c>
      <c r="C2236" t="s">
        <v>194</v>
      </c>
      <c r="D2236" s="2">
        <v>45839</v>
      </c>
      <c r="E2236">
        <v>53850</v>
      </c>
      <c r="F2236">
        <v>114</v>
      </c>
      <c r="G2236" t="s">
        <v>188</v>
      </c>
      <c r="H2236" t="s">
        <v>167</v>
      </c>
      <c r="I2236" t="s">
        <v>45</v>
      </c>
      <c r="K2236" t="s">
        <v>2272</v>
      </c>
      <c r="L2236">
        <v>1143306280621</v>
      </c>
      <c r="M2236">
        <v>20250630</v>
      </c>
      <c r="N2236" t="s">
        <v>266</v>
      </c>
      <c r="Q2236" t="s">
        <v>47</v>
      </c>
      <c r="R2236">
        <v>56000</v>
      </c>
      <c r="S2236">
        <v>56000</v>
      </c>
      <c r="T2236">
        <v>4658875</v>
      </c>
      <c r="U2236">
        <v>3230890711</v>
      </c>
      <c r="V2236" t="s">
        <v>1363</v>
      </c>
      <c r="W2236" t="s">
        <v>49</v>
      </c>
      <c r="X2236" t="s">
        <v>131</v>
      </c>
      <c r="Y2236" t="s">
        <v>51</v>
      </c>
      <c r="Z2236">
        <v>870</v>
      </c>
      <c r="AH2236">
        <v>0</v>
      </c>
      <c r="AI2236">
        <v>202506</v>
      </c>
      <c r="AJ2236" t="s">
        <v>56</v>
      </c>
      <c r="AK2236">
        <v>0</v>
      </c>
      <c r="AL2236">
        <v>1</v>
      </c>
      <c r="AM2236">
        <v>4658875</v>
      </c>
      <c r="AN2236">
        <v>1</v>
      </c>
      <c r="AO2236">
        <v>0</v>
      </c>
      <c r="AP2236" t="s">
        <v>3033</v>
      </c>
      <c r="AQ2236" t="s">
        <v>3012</v>
      </c>
      <c r="AR2236" t="s">
        <v>3034</v>
      </c>
      <c r="AS2236" t="s">
        <v>3014</v>
      </c>
      <c r="AU2236" t="s">
        <v>3014</v>
      </c>
    </row>
    <row r="2237" spans="1:47" x14ac:dyDescent="0.35">
      <c r="A2237">
        <v>360661</v>
      </c>
      <c r="B2237" t="s">
        <v>164</v>
      </c>
      <c r="C2237" t="s">
        <v>165</v>
      </c>
      <c r="D2237" s="2">
        <v>45839</v>
      </c>
      <c r="E2237">
        <v>53850</v>
      </c>
      <c r="F2237">
        <v>282</v>
      </c>
      <c r="G2237" t="s">
        <v>433</v>
      </c>
      <c r="H2237" t="s">
        <v>167</v>
      </c>
      <c r="I2237" t="s">
        <v>45</v>
      </c>
      <c r="K2237" t="s">
        <v>2273</v>
      </c>
      <c r="L2237">
        <v>2823300001773</v>
      </c>
      <c r="M2237">
        <v>20250630</v>
      </c>
      <c r="N2237" t="s">
        <v>168</v>
      </c>
      <c r="P2237" t="s">
        <v>435</v>
      </c>
      <c r="Q2237" t="s">
        <v>47</v>
      </c>
      <c r="R2237">
        <v>3000</v>
      </c>
      <c r="S2237">
        <v>0</v>
      </c>
      <c r="T2237">
        <v>1669726</v>
      </c>
      <c r="U2237" t="s">
        <v>436</v>
      </c>
      <c r="V2237" t="s">
        <v>437</v>
      </c>
      <c r="W2237" t="s">
        <v>187</v>
      </c>
      <c r="Y2237" t="s">
        <v>51</v>
      </c>
      <c r="Z2237">
        <v>1802</v>
      </c>
      <c r="AH2237">
        <v>0</v>
      </c>
      <c r="AI2237">
        <v>202506</v>
      </c>
      <c r="AJ2237" t="s">
        <v>86</v>
      </c>
      <c r="AK2237">
        <v>1</v>
      </c>
      <c r="AL2237">
        <v>1</v>
      </c>
      <c r="AO2237">
        <v>0</v>
      </c>
      <c r="AP2237" t="s">
        <v>3015</v>
      </c>
      <c r="AQ2237" t="s">
        <v>3044</v>
      </c>
      <c r="AR2237" t="s">
        <v>3045</v>
      </c>
      <c r="AS2237" t="s">
        <v>3046</v>
      </c>
      <c r="AU2237" t="s">
        <v>3046</v>
      </c>
    </row>
    <row r="2238" spans="1:47" x14ac:dyDescent="0.35">
      <c r="A2238">
        <v>360660</v>
      </c>
      <c r="B2238" t="s">
        <v>172</v>
      </c>
      <c r="C2238" t="s">
        <v>173</v>
      </c>
      <c r="D2238" s="2">
        <v>45839</v>
      </c>
      <c r="E2238">
        <v>53850</v>
      </c>
      <c r="F2238">
        <v>226</v>
      </c>
      <c r="G2238" t="s">
        <v>129</v>
      </c>
      <c r="H2238" t="s">
        <v>167</v>
      </c>
      <c r="I2238" t="s">
        <v>45</v>
      </c>
      <c r="K2238">
        <v>202506308142355</v>
      </c>
      <c r="L2238">
        <v>2263300012169</v>
      </c>
      <c r="M2238">
        <v>20250630</v>
      </c>
      <c r="N2238" t="s">
        <v>81</v>
      </c>
      <c r="Q2238" t="s">
        <v>47</v>
      </c>
      <c r="R2238">
        <v>500000</v>
      </c>
      <c r="S2238">
        <v>0</v>
      </c>
      <c r="T2238">
        <v>3746226</v>
      </c>
      <c r="U2238" t="s">
        <v>2274</v>
      </c>
      <c r="V2238" t="s">
        <v>2275</v>
      </c>
      <c r="W2238" t="s">
        <v>187</v>
      </c>
      <c r="Y2238" t="s">
        <v>51</v>
      </c>
      <c r="AH2238">
        <v>0</v>
      </c>
      <c r="AI2238">
        <v>202506</v>
      </c>
      <c r="AJ2238" t="s">
        <v>86</v>
      </c>
      <c r="AK2238">
        <v>1</v>
      </c>
      <c r="AL2238">
        <v>1</v>
      </c>
      <c r="AO2238">
        <v>0</v>
      </c>
      <c r="AP2238" t="s">
        <v>3015</v>
      </c>
      <c r="AQ2238" t="s">
        <v>3044</v>
      </c>
      <c r="AR2238" t="s">
        <v>3045</v>
      </c>
      <c r="AS2238" t="s">
        <v>3046</v>
      </c>
      <c r="AU2238" t="s">
        <v>3046</v>
      </c>
    </row>
    <row r="2239" spans="1:47" x14ac:dyDescent="0.35">
      <c r="A2239">
        <v>360659</v>
      </c>
      <c r="B2239" t="s">
        <v>193</v>
      </c>
      <c r="C2239" t="s">
        <v>194</v>
      </c>
      <c r="D2239" s="2">
        <v>45839</v>
      </c>
      <c r="E2239">
        <v>53850</v>
      </c>
      <c r="F2239">
        <v>264</v>
      </c>
      <c r="G2239" t="s">
        <v>71</v>
      </c>
      <c r="H2239" t="s">
        <v>167</v>
      </c>
      <c r="I2239" t="s">
        <v>45</v>
      </c>
      <c r="K2239" t="s">
        <v>2272</v>
      </c>
      <c r="L2239">
        <v>2643300002171</v>
      </c>
      <c r="M2239">
        <v>20250630</v>
      </c>
      <c r="N2239" t="s">
        <v>195</v>
      </c>
      <c r="Q2239" t="s">
        <v>47</v>
      </c>
      <c r="R2239">
        <v>31800</v>
      </c>
      <c r="S2239">
        <v>31800</v>
      </c>
      <c r="T2239">
        <v>1705273</v>
      </c>
      <c r="U2239">
        <v>1112900772</v>
      </c>
      <c r="V2239" t="s">
        <v>502</v>
      </c>
      <c r="W2239" t="s">
        <v>190</v>
      </c>
      <c r="X2239" t="s">
        <v>131</v>
      </c>
      <c r="Y2239" t="s">
        <v>51</v>
      </c>
      <c r="Z2239">
        <v>936</v>
      </c>
      <c r="AH2239">
        <v>0</v>
      </c>
      <c r="AI2239">
        <v>202506</v>
      </c>
      <c r="AJ2239" t="s">
        <v>86</v>
      </c>
      <c r="AK2239">
        <v>1</v>
      </c>
      <c r="AL2239">
        <v>1</v>
      </c>
      <c r="AM2239">
        <v>1705273</v>
      </c>
      <c r="AN2239">
        <v>1</v>
      </c>
      <c r="AO2239">
        <v>0</v>
      </c>
      <c r="AP2239" t="s">
        <v>3033</v>
      </c>
      <c r="AQ2239" t="s">
        <v>3047</v>
      </c>
      <c r="AR2239" t="s">
        <v>3048</v>
      </c>
      <c r="AS2239" t="s">
        <v>3049</v>
      </c>
      <c r="AU2239" t="s">
        <v>3049</v>
      </c>
    </row>
    <row r="2240" spans="1:47" x14ac:dyDescent="0.35">
      <c r="A2240">
        <v>360658</v>
      </c>
      <c r="B2240" t="s">
        <v>172</v>
      </c>
      <c r="C2240" t="s">
        <v>173</v>
      </c>
      <c r="D2240" s="2">
        <v>45839</v>
      </c>
      <c r="E2240">
        <v>53850</v>
      </c>
      <c r="F2240">
        <v>268</v>
      </c>
      <c r="G2240" t="s">
        <v>83</v>
      </c>
      <c r="H2240" t="s">
        <v>167</v>
      </c>
      <c r="I2240" t="s">
        <v>45</v>
      </c>
      <c r="K2240">
        <v>202506308142448</v>
      </c>
      <c r="L2240">
        <v>2683300006704</v>
      </c>
      <c r="M2240">
        <v>20250630</v>
      </c>
      <c r="N2240" t="s">
        <v>81</v>
      </c>
      <c r="Q2240" t="s">
        <v>47</v>
      </c>
      <c r="R2240">
        <v>101313.23</v>
      </c>
      <c r="S2240">
        <v>0</v>
      </c>
      <c r="T2240">
        <v>1705138</v>
      </c>
      <c r="U2240">
        <v>3015600798</v>
      </c>
      <c r="V2240" t="s">
        <v>2276</v>
      </c>
      <c r="W2240" t="s">
        <v>49</v>
      </c>
      <c r="X2240" t="s">
        <v>2277</v>
      </c>
      <c r="Y2240" t="s">
        <v>51</v>
      </c>
      <c r="Z2240">
        <v>1891</v>
      </c>
      <c r="AH2240">
        <v>0</v>
      </c>
      <c r="AI2240">
        <v>202506</v>
      </c>
      <c r="AJ2240" t="s">
        <v>86</v>
      </c>
      <c r="AK2240">
        <v>1</v>
      </c>
      <c r="AL2240">
        <v>1</v>
      </c>
      <c r="AO2240">
        <v>0</v>
      </c>
      <c r="AP2240" t="s">
        <v>3123</v>
      </c>
      <c r="AQ2240" t="s">
        <v>3012</v>
      </c>
      <c r="AR2240" t="s">
        <v>3124</v>
      </c>
      <c r="AS2240" t="s">
        <v>3014</v>
      </c>
      <c r="AU2240" t="s">
        <v>3014</v>
      </c>
    </row>
    <row r="2241" spans="1:47" x14ac:dyDescent="0.35">
      <c r="A2241">
        <v>360657</v>
      </c>
      <c r="B2241" t="s">
        <v>172</v>
      </c>
      <c r="C2241" t="s">
        <v>173</v>
      </c>
      <c r="D2241" s="2">
        <v>45839</v>
      </c>
      <c r="E2241">
        <v>53850</v>
      </c>
      <c r="F2241">
        <v>226</v>
      </c>
      <c r="G2241" t="s">
        <v>129</v>
      </c>
      <c r="H2241" t="s">
        <v>167</v>
      </c>
      <c r="I2241" t="s">
        <v>45</v>
      </c>
      <c r="K2241">
        <v>202506308142355</v>
      </c>
      <c r="L2241">
        <v>2263300012169</v>
      </c>
      <c r="M2241">
        <v>20250630</v>
      </c>
      <c r="N2241" t="s">
        <v>81</v>
      </c>
      <c r="Q2241" t="s">
        <v>47</v>
      </c>
      <c r="R2241">
        <v>500000</v>
      </c>
      <c r="S2241">
        <v>0</v>
      </c>
      <c r="T2241">
        <v>3746217</v>
      </c>
      <c r="U2241" t="s">
        <v>2278</v>
      </c>
      <c r="V2241" t="s">
        <v>2279</v>
      </c>
      <c r="W2241" t="s">
        <v>187</v>
      </c>
      <c r="Y2241" t="s">
        <v>51</v>
      </c>
      <c r="AH2241">
        <v>0</v>
      </c>
      <c r="AI2241">
        <v>202506</v>
      </c>
      <c r="AJ2241" t="s">
        <v>86</v>
      </c>
      <c r="AK2241">
        <v>1</v>
      </c>
      <c r="AL2241">
        <v>1</v>
      </c>
      <c r="AO2241">
        <v>0</v>
      </c>
      <c r="AP2241" t="s">
        <v>3015</v>
      </c>
      <c r="AQ2241" t="s">
        <v>3044</v>
      </c>
      <c r="AR2241" t="s">
        <v>3045</v>
      </c>
      <c r="AS2241" t="s">
        <v>3046</v>
      </c>
      <c r="AU2241" t="s">
        <v>3046</v>
      </c>
    </row>
    <row r="2242" spans="1:47" x14ac:dyDescent="0.35">
      <c r="A2242">
        <v>360656</v>
      </c>
      <c r="B2242" t="s">
        <v>172</v>
      </c>
      <c r="C2242" t="s">
        <v>173</v>
      </c>
      <c r="D2242" s="2">
        <v>45839</v>
      </c>
      <c r="E2242">
        <v>53850</v>
      </c>
      <c r="F2242">
        <v>103</v>
      </c>
      <c r="G2242" t="s">
        <v>80</v>
      </c>
      <c r="H2242" t="s">
        <v>167</v>
      </c>
      <c r="I2242" t="s">
        <v>45</v>
      </c>
      <c r="K2242">
        <v>202506308141649</v>
      </c>
      <c r="L2242">
        <v>1033300511030</v>
      </c>
      <c r="M2242">
        <v>20250630</v>
      </c>
      <c r="N2242" t="s">
        <v>81</v>
      </c>
      <c r="Q2242" t="s">
        <v>47</v>
      </c>
      <c r="R2242">
        <v>130000</v>
      </c>
      <c r="S2242">
        <v>0</v>
      </c>
      <c r="T2242">
        <v>51103</v>
      </c>
      <c r="U2242" t="s">
        <v>2280</v>
      </c>
      <c r="V2242" t="s">
        <v>2281</v>
      </c>
      <c r="W2242" t="s">
        <v>187</v>
      </c>
      <c r="Y2242" t="s">
        <v>51</v>
      </c>
      <c r="Z2242">
        <v>407</v>
      </c>
      <c r="AH2242">
        <v>0</v>
      </c>
      <c r="AI2242">
        <v>202506</v>
      </c>
      <c r="AJ2242" t="s">
        <v>86</v>
      </c>
      <c r="AK2242">
        <v>1</v>
      </c>
      <c r="AL2242">
        <v>1</v>
      </c>
      <c r="AO2242">
        <v>0</v>
      </c>
      <c r="AP2242" t="s">
        <v>3015</v>
      </c>
      <c r="AQ2242" t="s">
        <v>3044</v>
      </c>
      <c r="AR2242" t="s">
        <v>3045</v>
      </c>
      <c r="AS2242" t="s">
        <v>3046</v>
      </c>
      <c r="AU2242" t="s">
        <v>3046</v>
      </c>
    </row>
    <row r="2243" spans="1:47" x14ac:dyDescent="0.35">
      <c r="A2243">
        <v>360655</v>
      </c>
      <c r="B2243" t="s">
        <v>172</v>
      </c>
      <c r="C2243" t="s">
        <v>173</v>
      </c>
      <c r="D2243" s="2">
        <v>45839</v>
      </c>
      <c r="E2243">
        <v>53850</v>
      </c>
      <c r="F2243">
        <v>109</v>
      </c>
      <c r="G2243" t="s">
        <v>89</v>
      </c>
      <c r="H2243" t="s">
        <v>167</v>
      </c>
      <c r="I2243" t="s">
        <v>45</v>
      </c>
      <c r="K2243">
        <v>202506308141756</v>
      </c>
      <c r="L2243">
        <v>1093300002993</v>
      </c>
      <c r="M2243">
        <v>20250630</v>
      </c>
      <c r="N2243" t="s">
        <v>81</v>
      </c>
      <c r="Q2243" t="s">
        <v>47</v>
      </c>
      <c r="R2243">
        <v>119300</v>
      </c>
      <c r="S2243">
        <v>0</v>
      </c>
      <c r="T2243">
        <v>4035986</v>
      </c>
      <c r="U2243" t="s">
        <v>2282</v>
      </c>
      <c r="V2243" t="s">
        <v>2283</v>
      </c>
      <c r="W2243" t="s">
        <v>187</v>
      </c>
      <c r="Y2243" t="s">
        <v>51</v>
      </c>
      <c r="Z2243">
        <v>929</v>
      </c>
      <c r="AH2243">
        <v>0</v>
      </c>
      <c r="AI2243">
        <v>202506</v>
      </c>
      <c r="AJ2243" t="s">
        <v>86</v>
      </c>
      <c r="AK2243">
        <v>1</v>
      </c>
      <c r="AL2243">
        <v>1</v>
      </c>
      <c r="AO2243">
        <v>0</v>
      </c>
      <c r="AP2243" t="s">
        <v>3015</v>
      </c>
      <c r="AQ2243" t="s">
        <v>3044</v>
      </c>
      <c r="AR2243" t="s">
        <v>3045</v>
      </c>
      <c r="AS2243" t="s">
        <v>3046</v>
      </c>
      <c r="AU2243" t="s">
        <v>3046</v>
      </c>
    </row>
    <row r="2244" spans="1:47" x14ac:dyDescent="0.35">
      <c r="A2244">
        <v>360654</v>
      </c>
      <c r="B2244" t="s">
        <v>172</v>
      </c>
      <c r="C2244" t="s">
        <v>173</v>
      </c>
      <c r="D2244" s="2">
        <v>45839</v>
      </c>
      <c r="E2244">
        <v>53850</v>
      </c>
      <c r="F2244">
        <v>128</v>
      </c>
      <c r="G2244" t="s">
        <v>94</v>
      </c>
      <c r="H2244" t="s">
        <v>167</v>
      </c>
      <c r="I2244" t="s">
        <v>45</v>
      </c>
      <c r="K2244" t="s">
        <v>2272</v>
      </c>
      <c r="L2244">
        <v>1093306672844</v>
      </c>
      <c r="M2244">
        <v>20250630</v>
      </c>
      <c r="N2244" t="s">
        <v>175</v>
      </c>
      <c r="Q2244" t="s">
        <v>47</v>
      </c>
      <c r="R2244">
        <v>101400</v>
      </c>
      <c r="S2244">
        <v>1400</v>
      </c>
      <c r="T2244">
        <v>440311</v>
      </c>
      <c r="U2244">
        <v>3550290724</v>
      </c>
      <c r="V2244" t="s">
        <v>90</v>
      </c>
      <c r="W2244" t="s">
        <v>49</v>
      </c>
      <c r="X2244" t="s">
        <v>91</v>
      </c>
      <c r="Y2244" t="s">
        <v>51</v>
      </c>
      <c r="Z2244">
        <v>1903</v>
      </c>
      <c r="AH2244">
        <v>0</v>
      </c>
      <c r="AI2244">
        <v>202506</v>
      </c>
      <c r="AJ2244" t="s">
        <v>119</v>
      </c>
      <c r="AK2244">
        <v>1</v>
      </c>
      <c r="AL2244">
        <v>1</v>
      </c>
      <c r="AM2244">
        <v>440311</v>
      </c>
      <c r="AN2244">
        <v>1</v>
      </c>
      <c r="AO2244">
        <v>1</v>
      </c>
      <c r="AP2244" t="s">
        <v>1100</v>
      </c>
      <c r="AQ2244" t="s">
        <v>3012</v>
      </c>
      <c r="AR2244" t="s">
        <v>3023</v>
      </c>
      <c r="AS2244" t="s">
        <v>3014</v>
      </c>
      <c r="AU2244" t="s">
        <v>3014</v>
      </c>
    </row>
    <row r="2245" spans="1:47" x14ac:dyDescent="0.35">
      <c r="A2245">
        <v>360653</v>
      </c>
      <c r="B2245" t="s">
        <v>193</v>
      </c>
      <c r="C2245" t="s">
        <v>194</v>
      </c>
      <c r="D2245" s="2">
        <v>45839</v>
      </c>
      <c r="E2245">
        <v>53850</v>
      </c>
      <c r="F2245">
        <v>175</v>
      </c>
      <c r="G2245" t="s">
        <v>99</v>
      </c>
      <c r="H2245" t="s">
        <v>167</v>
      </c>
      <c r="I2245" t="s">
        <v>45</v>
      </c>
      <c r="K2245" t="s">
        <v>2272</v>
      </c>
      <c r="L2245">
        <v>1753302203965</v>
      </c>
      <c r="M2245">
        <v>20250630</v>
      </c>
      <c r="N2245" t="s">
        <v>195</v>
      </c>
      <c r="Q2245" t="s">
        <v>47</v>
      </c>
      <c r="R2245">
        <v>42555</v>
      </c>
      <c r="S2245">
        <v>42555</v>
      </c>
      <c r="T2245">
        <v>4932268</v>
      </c>
      <c r="U2245">
        <v>1360580771</v>
      </c>
      <c r="V2245" t="s">
        <v>470</v>
      </c>
      <c r="W2245" t="s">
        <v>49</v>
      </c>
      <c r="X2245" t="s">
        <v>197</v>
      </c>
      <c r="Y2245" t="s">
        <v>51</v>
      </c>
      <c r="Z2245">
        <v>1110</v>
      </c>
      <c r="AH2245">
        <v>0</v>
      </c>
      <c r="AI2245">
        <v>202506</v>
      </c>
      <c r="AJ2245" t="s">
        <v>119</v>
      </c>
      <c r="AK2245">
        <v>1</v>
      </c>
      <c r="AL2245">
        <v>1</v>
      </c>
      <c r="AM2245">
        <v>4932268</v>
      </c>
      <c r="AN2245">
        <v>1</v>
      </c>
      <c r="AO2245">
        <v>0</v>
      </c>
      <c r="AP2245" t="s">
        <v>3050</v>
      </c>
      <c r="AQ2245" t="s">
        <v>3012</v>
      </c>
      <c r="AR2245" t="s">
        <v>3071</v>
      </c>
      <c r="AS2245" t="s">
        <v>3028</v>
      </c>
      <c r="AU2245" t="s">
        <v>3028</v>
      </c>
    </row>
    <row r="2246" spans="1:47" x14ac:dyDescent="0.35">
      <c r="A2246">
        <v>360652</v>
      </c>
      <c r="B2246" t="s">
        <v>178</v>
      </c>
      <c r="C2246" t="s">
        <v>179</v>
      </c>
      <c r="D2246" s="2">
        <v>45839</v>
      </c>
      <c r="E2246">
        <v>53850</v>
      </c>
      <c r="F2246">
        <v>188</v>
      </c>
      <c r="G2246" t="s">
        <v>419</v>
      </c>
      <c r="H2246" t="s">
        <v>167</v>
      </c>
      <c r="I2246" t="s">
        <v>45</v>
      </c>
      <c r="K2246">
        <v>202506308137789</v>
      </c>
      <c r="L2246">
        <v>1883300059102</v>
      </c>
      <c r="M2246">
        <v>20250630</v>
      </c>
      <c r="N2246" t="s">
        <v>46</v>
      </c>
      <c r="P2246" t="s">
        <v>51</v>
      </c>
      <c r="Q2246" t="s">
        <v>47</v>
      </c>
      <c r="R2246">
        <v>580000</v>
      </c>
      <c r="S2246">
        <v>0</v>
      </c>
      <c r="T2246">
        <v>3002279</v>
      </c>
      <c r="U2246" t="s">
        <v>2284</v>
      </c>
      <c r="V2246" t="s">
        <v>2285</v>
      </c>
      <c r="W2246" t="s">
        <v>187</v>
      </c>
      <c r="Y2246" t="s">
        <v>51</v>
      </c>
      <c r="Z2246">
        <v>1112</v>
      </c>
      <c r="AH2246">
        <v>0</v>
      </c>
      <c r="AI2246">
        <v>202506</v>
      </c>
      <c r="AJ2246" t="s">
        <v>86</v>
      </c>
      <c r="AK2246">
        <v>1</v>
      </c>
      <c r="AL2246">
        <v>1</v>
      </c>
      <c r="AO2246">
        <v>0</v>
      </c>
      <c r="AP2246" t="s">
        <v>3015</v>
      </c>
      <c r="AQ2246" t="s">
        <v>3044</v>
      </c>
      <c r="AR2246" t="s">
        <v>3045</v>
      </c>
      <c r="AS2246" t="s">
        <v>3046</v>
      </c>
      <c r="AU2246" t="s">
        <v>3046</v>
      </c>
    </row>
    <row r="2247" spans="1:47" x14ac:dyDescent="0.35">
      <c r="A2247">
        <v>360651</v>
      </c>
      <c r="B2247" t="s">
        <v>164</v>
      </c>
      <c r="C2247" t="s">
        <v>165</v>
      </c>
      <c r="D2247" s="2">
        <v>45839</v>
      </c>
      <c r="E2247">
        <v>53850</v>
      </c>
      <c r="F2247">
        <v>170</v>
      </c>
      <c r="G2247" t="s">
        <v>211</v>
      </c>
      <c r="H2247" t="s">
        <v>167</v>
      </c>
      <c r="I2247" t="s">
        <v>45</v>
      </c>
      <c r="K2247">
        <v>202506308138265</v>
      </c>
      <c r="L2247">
        <v>1701200589881</v>
      </c>
      <c r="M2247">
        <v>20250630</v>
      </c>
      <c r="N2247" t="s">
        <v>168</v>
      </c>
      <c r="P2247" t="s">
        <v>169</v>
      </c>
      <c r="Q2247" t="s">
        <v>170</v>
      </c>
      <c r="R2247">
        <v>10441.91</v>
      </c>
      <c r="S2247">
        <v>0</v>
      </c>
      <c r="T2247">
        <v>589881</v>
      </c>
      <c r="U2247">
        <v>2615270721</v>
      </c>
      <c r="V2247" t="s">
        <v>2286</v>
      </c>
      <c r="W2247" t="s">
        <v>49</v>
      </c>
      <c r="X2247" t="s">
        <v>2287</v>
      </c>
      <c r="Y2247" t="s">
        <v>51</v>
      </c>
      <c r="Z2247">
        <v>1920</v>
      </c>
      <c r="AH2247">
        <v>0</v>
      </c>
      <c r="AI2247">
        <v>202506</v>
      </c>
      <c r="AJ2247" t="s">
        <v>86</v>
      </c>
      <c r="AK2247">
        <v>1</v>
      </c>
      <c r="AL2247">
        <v>1</v>
      </c>
      <c r="AO2247">
        <v>0</v>
      </c>
      <c r="AP2247" t="s">
        <v>3015</v>
      </c>
      <c r="AQ2247" t="s">
        <v>3012</v>
      </c>
      <c r="AR2247" t="s">
        <v>3016</v>
      </c>
      <c r="AT2247" t="s">
        <v>3017</v>
      </c>
      <c r="AU2247" t="s">
        <v>3018</v>
      </c>
    </row>
    <row r="2248" spans="1:47" x14ac:dyDescent="0.35">
      <c r="A2248">
        <v>360650</v>
      </c>
      <c r="B2248" t="s">
        <v>178</v>
      </c>
      <c r="C2248" t="s">
        <v>179</v>
      </c>
      <c r="D2248" s="2">
        <v>45839</v>
      </c>
      <c r="E2248">
        <v>53850</v>
      </c>
      <c r="F2248">
        <v>120</v>
      </c>
      <c r="G2248" t="s">
        <v>411</v>
      </c>
      <c r="H2248" t="s">
        <v>167</v>
      </c>
      <c r="I2248" t="s">
        <v>45</v>
      </c>
      <c r="K2248">
        <v>202506308136439</v>
      </c>
      <c r="L2248">
        <v>1203300002958</v>
      </c>
      <c r="M2248">
        <v>20250630</v>
      </c>
      <c r="N2248" t="s">
        <v>168</v>
      </c>
      <c r="P2248" t="s">
        <v>474</v>
      </c>
      <c r="Q2248" t="s">
        <v>170</v>
      </c>
      <c r="R2248">
        <v>1132211.78</v>
      </c>
      <c r="S2248">
        <v>0</v>
      </c>
      <c r="T2248">
        <v>4589937</v>
      </c>
      <c r="U2248">
        <v>503900771</v>
      </c>
      <c r="V2248" t="s">
        <v>2242</v>
      </c>
      <c r="W2248" t="s">
        <v>49</v>
      </c>
      <c r="X2248" t="s">
        <v>135</v>
      </c>
      <c r="Y2248" t="s">
        <v>51</v>
      </c>
      <c r="Z2248">
        <v>1058</v>
      </c>
      <c r="AH2248">
        <v>0</v>
      </c>
      <c r="AI2248">
        <v>202506</v>
      </c>
      <c r="AJ2248" t="s">
        <v>86</v>
      </c>
      <c r="AK2248">
        <v>1</v>
      </c>
      <c r="AL2248">
        <v>1</v>
      </c>
      <c r="AO2248">
        <v>0</v>
      </c>
      <c r="AP2248" t="s">
        <v>3015</v>
      </c>
      <c r="AQ2248" t="s">
        <v>3012</v>
      </c>
      <c r="AR2248" t="s">
        <v>3016</v>
      </c>
      <c r="AT2248" t="s">
        <v>3017</v>
      </c>
      <c r="AU2248" t="s">
        <v>3018</v>
      </c>
    </row>
    <row r="2249" spans="1:47" x14ac:dyDescent="0.35">
      <c r="A2249">
        <v>360649</v>
      </c>
      <c r="B2249" t="s">
        <v>172</v>
      </c>
      <c r="C2249" t="s">
        <v>173</v>
      </c>
      <c r="D2249" s="2">
        <v>45839</v>
      </c>
      <c r="E2249">
        <v>53850</v>
      </c>
      <c r="F2249">
        <v>161</v>
      </c>
      <c r="G2249" t="s">
        <v>111</v>
      </c>
      <c r="H2249" t="s">
        <v>167</v>
      </c>
      <c r="I2249" t="s">
        <v>45</v>
      </c>
      <c r="K2249">
        <v>202506308142034</v>
      </c>
      <c r="L2249">
        <v>1613300032598</v>
      </c>
      <c r="M2249">
        <v>20250630</v>
      </c>
      <c r="N2249" t="s">
        <v>81</v>
      </c>
      <c r="Q2249" t="s">
        <v>47</v>
      </c>
      <c r="R2249">
        <v>107146.85</v>
      </c>
      <c r="S2249">
        <v>0</v>
      </c>
      <c r="T2249">
        <v>4103078</v>
      </c>
      <c r="U2249">
        <v>272810722</v>
      </c>
      <c r="V2249" t="s">
        <v>1767</v>
      </c>
      <c r="W2249" t="s">
        <v>49</v>
      </c>
      <c r="X2249" t="s">
        <v>299</v>
      </c>
      <c r="Y2249" t="s">
        <v>51</v>
      </c>
      <c r="Z2249">
        <v>1903</v>
      </c>
      <c r="AH2249">
        <v>0</v>
      </c>
      <c r="AI2249">
        <v>202506</v>
      </c>
      <c r="AJ2249" t="s">
        <v>119</v>
      </c>
      <c r="AK2249">
        <v>1</v>
      </c>
      <c r="AL2249">
        <v>1</v>
      </c>
      <c r="AO2249">
        <v>0</v>
      </c>
      <c r="AP2249" t="s">
        <v>3015</v>
      </c>
      <c r="AQ2249" t="s">
        <v>3012</v>
      </c>
      <c r="AR2249" t="s">
        <v>3016</v>
      </c>
      <c r="AT2249" t="s">
        <v>3017</v>
      </c>
      <c r="AU2249" t="s">
        <v>3018</v>
      </c>
    </row>
    <row r="2250" spans="1:47" x14ac:dyDescent="0.35">
      <c r="A2250">
        <v>360648</v>
      </c>
      <c r="B2250" t="s">
        <v>193</v>
      </c>
      <c r="C2250" t="s">
        <v>194</v>
      </c>
      <c r="D2250" s="2">
        <v>45839</v>
      </c>
      <c r="E2250">
        <v>53850</v>
      </c>
      <c r="F2250">
        <v>189</v>
      </c>
      <c r="G2250" t="s">
        <v>286</v>
      </c>
      <c r="H2250" t="s">
        <v>167</v>
      </c>
      <c r="I2250" t="s">
        <v>45</v>
      </c>
      <c r="K2250">
        <v>202506308142272</v>
      </c>
      <c r="L2250">
        <v>1893300023546</v>
      </c>
      <c r="M2250">
        <v>20250630</v>
      </c>
      <c r="N2250" t="s">
        <v>266</v>
      </c>
      <c r="Q2250" t="s">
        <v>47</v>
      </c>
      <c r="R2250">
        <v>45030</v>
      </c>
      <c r="S2250">
        <v>45030</v>
      </c>
      <c r="T2250">
        <v>3064562</v>
      </c>
      <c r="U2250" t="s">
        <v>287</v>
      </c>
      <c r="V2250" t="s">
        <v>288</v>
      </c>
      <c r="W2250" t="s">
        <v>69</v>
      </c>
      <c r="X2250" t="s">
        <v>55</v>
      </c>
      <c r="Y2250" t="s">
        <v>51</v>
      </c>
      <c r="Z2250">
        <v>1620</v>
      </c>
      <c r="AH2250">
        <v>0</v>
      </c>
      <c r="AI2250">
        <v>202506</v>
      </c>
      <c r="AJ2250" t="s">
        <v>56</v>
      </c>
      <c r="AK2250">
        <v>0</v>
      </c>
      <c r="AL2250">
        <v>1</v>
      </c>
      <c r="AM2250">
        <v>3064562</v>
      </c>
      <c r="AN2250">
        <v>1</v>
      </c>
      <c r="AO2250">
        <v>0</v>
      </c>
      <c r="AP2250" t="s">
        <v>3015</v>
      </c>
      <c r="AQ2250" t="s">
        <v>3021</v>
      </c>
      <c r="AR2250" t="s">
        <v>3022</v>
      </c>
      <c r="AT2250" t="s">
        <v>3017</v>
      </c>
      <c r="AU2250" t="s">
        <v>3014</v>
      </c>
    </row>
    <row r="2251" spans="1:47" x14ac:dyDescent="0.35">
      <c r="A2251">
        <v>360647</v>
      </c>
      <c r="B2251" t="s">
        <v>172</v>
      </c>
      <c r="C2251" t="s">
        <v>173</v>
      </c>
      <c r="D2251" s="2">
        <v>45839</v>
      </c>
      <c r="E2251">
        <v>53850</v>
      </c>
      <c r="F2251">
        <v>102</v>
      </c>
      <c r="G2251" t="s">
        <v>151</v>
      </c>
      <c r="H2251" t="s">
        <v>167</v>
      </c>
      <c r="I2251" t="s">
        <v>45</v>
      </c>
      <c r="K2251" t="s">
        <v>2272</v>
      </c>
      <c r="L2251">
        <v>1023308717655</v>
      </c>
      <c r="M2251">
        <v>20250630</v>
      </c>
      <c r="N2251" t="s">
        <v>175</v>
      </c>
      <c r="Q2251" t="s">
        <v>47</v>
      </c>
      <c r="R2251">
        <v>189404.49</v>
      </c>
      <c r="S2251">
        <v>0</v>
      </c>
      <c r="T2251">
        <v>4226959</v>
      </c>
      <c r="U2251">
        <v>6150080726</v>
      </c>
      <c r="V2251" t="s">
        <v>176</v>
      </c>
      <c r="W2251" t="s">
        <v>49</v>
      </c>
      <c r="X2251" t="s">
        <v>177</v>
      </c>
      <c r="Y2251" t="s">
        <v>51</v>
      </c>
      <c r="Z2251">
        <v>739</v>
      </c>
      <c r="AH2251">
        <v>0</v>
      </c>
      <c r="AI2251">
        <v>202506</v>
      </c>
      <c r="AJ2251" t="s">
        <v>86</v>
      </c>
      <c r="AK2251">
        <v>1</v>
      </c>
      <c r="AL2251">
        <v>1</v>
      </c>
      <c r="AO2251">
        <v>1</v>
      </c>
      <c r="AP2251" t="s">
        <v>3015</v>
      </c>
      <c r="AQ2251" t="s">
        <v>3012</v>
      </c>
      <c r="AR2251" t="s">
        <v>3016</v>
      </c>
      <c r="AT2251" t="s">
        <v>3017</v>
      </c>
      <c r="AU2251" t="s">
        <v>3018</v>
      </c>
    </row>
    <row r="2252" spans="1:47" x14ac:dyDescent="0.35">
      <c r="A2252">
        <v>360646</v>
      </c>
      <c r="B2252" t="s">
        <v>178</v>
      </c>
      <c r="C2252" t="s">
        <v>179</v>
      </c>
      <c r="D2252" s="2">
        <v>45839</v>
      </c>
      <c r="E2252">
        <v>53850</v>
      </c>
      <c r="F2252">
        <v>273</v>
      </c>
      <c r="G2252" t="s">
        <v>133</v>
      </c>
      <c r="H2252" t="s">
        <v>167</v>
      </c>
      <c r="I2252" t="s">
        <v>45</v>
      </c>
      <c r="K2252">
        <v>202506308141311</v>
      </c>
      <c r="L2252">
        <v>2733300000919</v>
      </c>
      <c r="M2252">
        <v>20250630</v>
      </c>
      <c r="N2252" t="s">
        <v>220</v>
      </c>
      <c r="Q2252" t="s">
        <v>170</v>
      </c>
      <c r="R2252">
        <v>300267.63</v>
      </c>
      <c r="S2252">
        <v>0</v>
      </c>
      <c r="T2252">
        <v>1625053</v>
      </c>
      <c r="U2252">
        <v>2427910696</v>
      </c>
      <c r="V2252" t="s">
        <v>2288</v>
      </c>
      <c r="W2252" t="s">
        <v>49</v>
      </c>
      <c r="X2252" t="s">
        <v>364</v>
      </c>
      <c r="Y2252" t="s">
        <v>51</v>
      </c>
      <c r="Z2252">
        <v>1856</v>
      </c>
      <c r="AH2252">
        <v>0</v>
      </c>
      <c r="AI2252">
        <v>202506</v>
      </c>
      <c r="AJ2252" t="s">
        <v>86</v>
      </c>
      <c r="AK2252">
        <v>1</v>
      </c>
      <c r="AL2252">
        <v>1</v>
      </c>
      <c r="AO2252">
        <v>0</v>
      </c>
      <c r="AP2252" t="s">
        <v>3062</v>
      </c>
      <c r="AQ2252" t="s">
        <v>3012</v>
      </c>
      <c r="AR2252" t="s">
        <v>3063</v>
      </c>
      <c r="AS2252" t="s">
        <v>3014</v>
      </c>
      <c r="AU2252" t="s">
        <v>3014</v>
      </c>
    </row>
    <row r="2253" spans="1:47" x14ac:dyDescent="0.35">
      <c r="A2253">
        <v>360645</v>
      </c>
      <c r="B2253" t="s">
        <v>178</v>
      </c>
      <c r="C2253" t="s">
        <v>179</v>
      </c>
      <c r="D2253" s="2">
        <v>45839</v>
      </c>
      <c r="E2253">
        <v>53850</v>
      </c>
      <c r="F2253">
        <v>148</v>
      </c>
      <c r="G2253" t="s">
        <v>78</v>
      </c>
      <c r="H2253" t="s">
        <v>167</v>
      </c>
      <c r="I2253" t="s">
        <v>45</v>
      </c>
      <c r="K2253">
        <v>202506308141975</v>
      </c>
      <c r="L2253">
        <v>1483300003701</v>
      </c>
      <c r="M2253">
        <v>20250630</v>
      </c>
      <c r="N2253" t="s">
        <v>236</v>
      </c>
      <c r="P2253" t="s">
        <v>51</v>
      </c>
      <c r="Q2253" t="s">
        <v>170</v>
      </c>
      <c r="R2253">
        <v>1000000</v>
      </c>
      <c r="S2253">
        <v>0</v>
      </c>
      <c r="T2253">
        <v>2001293</v>
      </c>
      <c r="U2253" t="s">
        <v>2289</v>
      </c>
      <c r="V2253" t="s">
        <v>2290</v>
      </c>
      <c r="W2253" t="s">
        <v>187</v>
      </c>
      <c r="Y2253" t="s">
        <v>51</v>
      </c>
      <c r="Z2253">
        <v>1636</v>
      </c>
      <c r="AH2253">
        <v>0</v>
      </c>
      <c r="AI2253">
        <v>202506</v>
      </c>
      <c r="AJ2253" t="s">
        <v>86</v>
      </c>
      <c r="AK2253">
        <v>1</v>
      </c>
      <c r="AL2253">
        <v>1</v>
      </c>
      <c r="AO2253">
        <v>0</v>
      </c>
      <c r="AP2253" t="s">
        <v>3015</v>
      </c>
      <c r="AQ2253" t="s">
        <v>3044</v>
      </c>
      <c r="AR2253" t="s">
        <v>3045</v>
      </c>
      <c r="AS2253" t="s">
        <v>3046</v>
      </c>
      <c r="AU2253" t="s">
        <v>3046</v>
      </c>
    </row>
    <row r="2254" spans="1:47" x14ac:dyDescent="0.35">
      <c r="A2254">
        <v>360644</v>
      </c>
      <c r="B2254" t="s">
        <v>178</v>
      </c>
      <c r="C2254" t="s">
        <v>179</v>
      </c>
      <c r="D2254" s="2">
        <v>45839</v>
      </c>
      <c r="E2254">
        <v>53850</v>
      </c>
      <c r="F2254">
        <v>153</v>
      </c>
      <c r="G2254" t="s">
        <v>63</v>
      </c>
      <c r="H2254" t="s">
        <v>167</v>
      </c>
      <c r="I2254" t="s">
        <v>45</v>
      </c>
      <c r="K2254">
        <v>202506308136210</v>
      </c>
      <c r="L2254">
        <v>1533300662905</v>
      </c>
      <c r="M2254">
        <v>20250630</v>
      </c>
      <c r="N2254" t="s">
        <v>236</v>
      </c>
      <c r="P2254" t="s">
        <v>51</v>
      </c>
      <c r="Q2254" t="s">
        <v>170</v>
      </c>
      <c r="R2254">
        <v>1550000</v>
      </c>
      <c r="S2254">
        <v>0</v>
      </c>
      <c r="T2254">
        <v>4165339</v>
      </c>
      <c r="U2254">
        <v>5612950633</v>
      </c>
      <c r="V2254" t="s">
        <v>1020</v>
      </c>
      <c r="W2254" t="s">
        <v>49</v>
      </c>
      <c r="X2254" t="s">
        <v>1021</v>
      </c>
      <c r="Y2254" t="s">
        <v>51</v>
      </c>
      <c r="Z2254">
        <v>982</v>
      </c>
      <c r="AH2254">
        <v>0</v>
      </c>
      <c r="AI2254">
        <v>202506</v>
      </c>
      <c r="AJ2254" t="s">
        <v>56</v>
      </c>
      <c r="AK2254">
        <v>0</v>
      </c>
      <c r="AL2254">
        <v>1</v>
      </c>
      <c r="AO2254">
        <v>0</v>
      </c>
      <c r="AP2254" t="s">
        <v>3098</v>
      </c>
      <c r="AQ2254" t="s">
        <v>3012</v>
      </c>
      <c r="AR2254" t="s">
        <v>3099</v>
      </c>
      <c r="AS2254" t="s">
        <v>3014</v>
      </c>
      <c r="AU2254" t="s">
        <v>3014</v>
      </c>
    </row>
    <row r="2255" spans="1:47" x14ac:dyDescent="0.35">
      <c r="A2255">
        <v>360643</v>
      </c>
      <c r="B2255" t="s">
        <v>172</v>
      </c>
      <c r="C2255" t="s">
        <v>173</v>
      </c>
      <c r="D2255" s="2">
        <v>45839</v>
      </c>
      <c r="E2255">
        <v>53850</v>
      </c>
      <c r="F2255">
        <v>121</v>
      </c>
      <c r="G2255" t="s">
        <v>140</v>
      </c>
      <c r="H2255" t="s">
        <v>167</v>
      </c>
      <c r="I2255" t="s">
        <v>45</v>
      </c>
      <c r="K2255">
        <v>202506308141858</v>
      </c>
      <c r="L2255">
        <v>1213300002971</v>
      </c>
      <c r="M2255">
        <v>20250630</v>
      </c>
      <c r="N2255" t="s">
        <v>81</v>
      </c>
      <c r="Q2255" t="s">
        <v>47</v>
      </c>
      <c r="R2255">
        <v>246000</v>
      </c>
      <c r="S2255">
        <v>0</v>
      </c>
      <c r="T2255">
        <v>4859756</v>
      </c>
      <c r="U2255">
        <v>7229510727</v>
      </c>
      <c r="V2255" t="s">
        <v>1564</v>
      </c>
      <c r="W2255" t="s">
        <v>49</v>
      </c>
      <c r="X2255" t="s">
        <v>381</v>
      </c>
      <c r="Y2255" t="s">
        <v>51</v>
      </c>
      <c r="Z2255">
        <v>1058</v>
      </c>
      <c r="AH2255">
        <v>0</v>
      </c>
      <c r="AI2255">
        <v>202506</v>
      </c>
      <c r="AJ2255" t="s">
        <v>86</v>
      </c>
      <c r="AK2255">
        <v>1</v>
      </c>
      <c r="AL2255">
        <v>1</v>
      </c>
      <c r="AO2255">
        <v>0</v>
      </c>
      <c r="AP2255" t="s">
        <v>3015</v>
      </c>
      <c r="AQ2255" t="s">
        <v>3012</v>
      </c>
      <c r="AR2255" t="s">
        <v>3016</v>
      </c>
      <c r="AT2255" t="s">
        <v>3017</v>
      </c>
      <c r="AU2255" t="s">
        <v>3018</v>
      </c>
    </row>
    <row r="2256" spans="1:47" x14ac:dyDescent="0.35">
      <c r="A2256">
        <v>360642</v>
      </c>
      <c r="B2256" t="s">
        <v>172</v>
      </c>
      <c r="C2256" t="s">
        <v>173</v>
      </c>
      <c r="D2256" s="2">
        <v>45839</v>
      </c>
      <c r="E2256">
        <v>53850</v>
      </c>
      <c r="F2256">
        <v>129</v>
      </c>
      <c r="G2256" t="s">
        <v>227</v>
      </c>
      <c r="H2256" t="s">
        <v>167</v>
      </c>
      <c r="I2256" t="s">
        <v>45</v>
      </c>
      <c r="K2256" t="s">
        <v>2272</v>
      </c>
      <c r="L2256">
        <v>2343300010453</v>
      </c>
      <c r="M2256">
        <v>20250630</v>
      </c>
      <c r="N2256" t="s">
        <v>175</v>
      </c>
      <c r="Q2256" t="s">
        <v>47</v>
      </c>
      <c r="R2256">
        <v>224735.1</v>
      </c>
      <c r="S2256">
        <v>0</v>
      </c>
      <c r="T2256">
        <v>4247777</v>
      </c>
      <c r="U2256">
        <v>233470236</v>
      </c>
      <c r="V2256" t="s">
        <v>206</v>
      </c>
      <c r="W2256" t="s">
        <v>49</v>
      </c>
      <c r="X2256" t="s">
        <v>117</v>
      </c>
      <c r="Y2256" t="s">
        <v>51</v>
      </c>
      <c r="Z2256">
        <v>1696</v>
      </c>
      <c r="AH2256">
        <v>0</v>
      </c>
      <c r="AI2256">
        <v>202506</v>
      </c>
      <c r="AJ2256" t="s">
        <v>86</v>
      </c>
      <c r="AK2256">
        <v>1</v>
      </c>
      <c r="AL2256">
        <v>1</v>
      </c>
      <c r="AM2256">
        <v>4247777</v>
      </c>
      <c r="AN2256">
        <v>1</v>
      </c>
      <c r="AO2256">
        <v>1</v>
      </c>
      <c r="AP2256" t="s">
        <v>3029</v>
      </c>
      <c r="AQ2256" t="s">
        <v>3012</v>
      </c>
      <c r="AR2256" t="s">
        <v>3030</v>
      </c>
      <c r="AS2256" t="s">
        <v>3014</v>
      </c>
      <c r="AU2256" t="s">
        <v>3014</v>
      </c>
    </row>
    <row r="2257" spans="1:47" x14ac:dyDescent="0.35">
      <c r="A2257">
        <v>360641</v>
      </c>
      <c r="B2257" t="s">
        <v>164</v>
      </c>
      <c r="C2257" t="s">
        <v>165</v>
      </c>
      <c r="D2257" s="2">
        <v>45839</v>
      </c>
      <c r="E2257">
        <v>53850</v>
      </c>
      <c r="F2257">
        <v>261</v>
      </c>
      <c r="G2257" t="s">
        <v>136</v>
      </c>
      <c r="H2257" t="s">
        <v>167</v>
      </c>
      <c r="I2257" t="s">
        <v>45</v>
      </c>
      <c r="K2257">
        <v>202506308136404</v>
      </c>
      <c r="L2257">
        <v>2613300010205</v>
      </c>
      <c r="M2257">
        <v>20250630</v>
      </c>
      <c r="N2257" t="s">
        <v>168</v>
      </c>
      <c r="P2257" t="s">
        <v>255</v>
      </c>
      <c r="Q2257" t="s">
        <v>170</v>
      </c>
      <c r="R2257">
        <v>20000</v>
      </c>
      <c r="S2257">
        <v>0</v>
      </c>
      <c r="T2257">
        <v>4991786</v>
      </c>
      <c r="U2257">
        <v>993400944</v>
      </c>
      <c r="V2257" t="s">
        <v>137</v>
      </c>
      <c r="W2257" t="s">
        <v>49</v>
      </c>
      <c r="X2257" t="s">
        <v>77</v>
      </c>
      <c r="Y2257" t="s">
        <v>51</v>
      </c>
      <c r="Z2257">
        <v>1782</v>
      </c>
      <c r="AH2257">
        <v>0</v>
      </c>
      <c r="AI2257">
        <v>202506</v>
      </c>
      <c r="AJ2257" t="s">
        <v>56</v>
      </c>
      <c r="AK2257">
        <v>0</v>
      </c>
      <c r="AL2257">
        <v>1</v>
      </c>
      <c r="AM2257">
        <v>4991786</v>
      </c>
      <c r="AN2257">
        <v>1</v>
      </c>
      <c r="AO2257">
        <v>0</v>
      </c>
      <c r="AP2257" t="s">
        <v>3015</v>
      </c>
      <c r="AQ2257" t="s">
        <v>3012</v>
      </c>
      <c r="AR2257" t="s">
        <v>3016</v>
      </c>
      <c r="AT2257" t="s">
        <v>3017</v>
      </c>
      <c r="AU2257" t="s">
        <v>3018</v>
      </c>
    </row>
    <row r="2258" spans="1:47" x14ac:dyDescent="0.35">
      <c r="A2258">
        <v>360640</v>
      </c>
      <c r="B2258" t="s">
        <v>178</v>
      </c>
      <c r="C2258" t="s">
        <v>179</v>
      </c>
      <c r="D2258" s="2">
        <v>45839</v>
      </c>
      <c r="E2258">
        <v>53850</v>
      </c>
      <c r="F2258">
        <v>116</v>
      </c>
      <c r="G2258" t="s">
        <v>126</v>
      </c>
      <c r="H2258" t="s">
        <v>167</v>
      </c>
      <c r="I2258" t="s">
        <v>45</v>
      </c>
      <c r="K2258">
        <v>202506308137825</v>
      </c>
      <c r="L2258">
        <v>2343300010453</v>
      </c>
      <c r="M2258">
        <v>20250630</v>
      </c>
      <c r="N2258" t="s">
        <v>46</v>
      </c>
      <c r="P2258" t="s">
        <v>51</v>
      </c>
      <c r="Q2258" t="s">
        <v>47</v>
      </c>
      <c r="R2258">
        <v>12200000</v>
      </c>
      <c r="S2258">
        <v>0</v>
      </c>
      <c r="T2258">
        <v>4247777</v>
      </c>
      <c r="U2258">
        <v>233470236</v>
      </c>
      <c r="V2258" t="s">
        <v>206</v>
      </c>
      <c r="W2258" t="s">
        <v>49</v>
      </c>
      <c r="X2258" t="s">
        <v>117</v>
      </c>
      <c r="Y2258" t="s">
        <v>51</v>
      </c>
      <c r="Z2258">
        <v>1696</v>
      </c>
      <c r="AH2258">
        <v>0</v>
      </c>
      <c r="AI2258">
        <v>202506</v>
      </c>
      <c r="AJ2258" t="s">
        <v>86</v>
      </c>
      <c r="AK2258">
        <v>1</v>
      </c>
      <c r="AL2258">
        <v>1</v>
      </c>
      <c r="AM2258">
        <v>4247777</v>
      </c>
      <c r="AN2258">
        <v>1</v>
      </c>
      <c r="AO2258">
        <v>0</v>
      </c>
      <c r="AP2258" t="s">
        <v>3029</v>
      </c>
      <c r="AQ2258" t="s">
        <v>3012</v>
      </c>
      <c r="AR2258" t="s">
        <v>3030</v>
      </c>
      <c r="AS2258" t="s">
        <v>3014</v>
      </c>
      <c r="AU2258" t="s">
        <v>3014</v>
      </c>
    </row>
    <row r="2259" spans="1:47" x14ac:dyDescent="0.35">
      <c r="A2259">
        <v>360639</v>
      </c>
      <c r="B2259" t="s">
        <v>193</v>
      </c>
      <c r="C2259" t="s">
        <v>194</v>
      </c>
      <c r="D2259" s="2">
        <v>45839</v>
      </c>
      <c r="E2259">
        <v>53850</v>
      </c>
      <c r="F2259">
        <v>182</v>
      </c>
      <c r="G2259" t="s">
        <v>318</v>
      </c>
      <c r="H2259" t="s">
        <v>167</v>
      </c>
      <c r="I2259" t="s">
        <v>45</v>
      </c>
      <c r="K2259" t="s">
        <v>2272</v>
      </c>
      <c r="L2259">
        <v>1823300169301</v>
      </c>
      <c r="M2259">
        <v>20250630</v>
      </c>
      <c r="N2259" t="s">
        <v>195</v>
      </c>
      <c r="Q2259" t="s">
        <v>47</v>
      </c>
      <c r="R2259">
        <v>34680</v>
      </c>
      <c r="S2259">
        <v>34680</v>
      </c>
      <c r="T2259">
        <v>4284957</v>
      </c>
      <c r="U2259" t="s">
        <v>455</v>
      </c>
      <c r="V2259" t="s">
        <v>456</v>
      </c>
      <c r="W2259" t="s">
        <v>69</v>
      </c>
      <c r="X2259" t="s">
        <v>197</v>
      </c>
      <c r="Y2259" t="s">
        <v>51</v>
      </c>
      <c r="Z2259">
        <v>1656</v>
      </c>
      <c r="AH2259">
        <v>0</v>
      </c>
      <c r="AI2259">
        <v>202506</v>
      </c>
      <c r="AJ2259" t="s">
        <v>119</v>
      </c>
      <c r="AK2259">
        <v>1</v>
      </c>
      <c r="AL2259">
        <v>1</v>
      </c>
      <c r="AM2259">
        <v>4284957</v>
      </c>
      <c r="AN2259">
        <v>1</v>
      </c>
      <c r="AO2259">
        <v>0</v>
      </c>
      <c r="AP2259" t="s">
        <v>3050</v>
      </c>
      <c r="AQ2259" t="s">
        <v>3021</v>
      </c>
      <c r="AR2259" t="s">
        <v>3070</v>
      </c>
      <c r="AS2259" t="s">
        <v>3055</v>
      </c>
      <c r="AU2259" t="s">
        <v>3055</v>
      </c>
    </row>
    <row r="2260" spans="1:47" x14ac:dyDescent="0.35">
      <c r="A2260">
        <v>360638</v>
      </c>
      <c r="B2260" t="s">
        <v>172</v>
      </c>
      <c r="C2260" t="s">
        <v>173</v>
      </c>
      <c r="D2260" s="2">
        <v>45839</v>
      </c>
      <c r="E2260">
        <v>53850</v>
      </c>
      <c r="F2260">
        <v>267</v>
      </c>
      <c r="G2260" t="s">
        <v>349</v>
      </c>
      <c r="H2260" t="s">
        <v>167</v>
      </c>
      <c r="I2260" t="s">
        <v>45</v>
      </c>
      <c r="K2260" t="s">
        <v>2272</v>
      </c>
      <c r="L2260">
        <v>2673300010274</v>
      </c>
      <c r="M2260">
        <v>20250630</v>
      </c>
      <c r="N2260" t="s">
        <v>81</v>
      </c>
      <c r="Q2260" t="s">
        <v>47</v>
      </c>
      <c r="R2260">
        <v>109129.54</v>
      </c>
      <c r="S2260">
        <v>0</v>
      </c>
      <c r="T2260">
        <v>4992646</v>
      </c>
      <c r="U2260">
        <v>3152440792</v>
      </c>
      <c r="V2260" t="s">
        <v>2240</v>
      </c>
      <c r="W2260" t="s">
        <v>49</v>
      </c>
      <c r="X2260" t="s">
        <v>710</v>
      </c>
      <c r="Y2260" t="s">
        <v>51</v>
      </c>
      <c r="Z2260">
        <v>1627</v>
      </c>
      <c r="AH2260">
        <v>0</v>
      </c>
      <c r="AI2260">
        <v>202506</v>
      </c>
      <c r="AJ2260" t="s">
        <v>86</v>
      </c>
      <c r="AK2260">
        <v>1</v>
      </c>
      <c r="AL2260">
        <v>1</v>
      </c>
      <c r="AO2260">
        <v>0</v>
      </c>
      <c r="AP2260" t="s">
        <v>3015</v>
      </c>
      <c r="AQ2260" t="s">
        <v>3012</v>
      </c>
      <c r="AR2260" t="s">
        <v>3016</v>
      </c>
      <c r="AT2260" t="s">
        <v>3017</v>
      </c>
      <c r="AU2260" t="s">
        <v>3018</v>
      </c>
    </row>
    <row r="2261" spans="1:47" x14ac:dyDescent="0.35">
      <c r="A2261">
        <v>360637</v>
      </c>
      <c r="B2261" t="s">
        <v>178</v>
      </c>
      <c r="C2261" t="s">
        <v>179</v>
      </c>
      <c r="D2261" s="2">
        <v>45839</v>
      </c>
      <c r="E2261">
        <v>53850</v>
      </c>
      <c r="F2261">
        <v>161</v>
      </c>
      <c r="G2261" t="s">
        <v>111</v>
      </c>
      <c r="H2261" t="s">
        <v>167</v>
      </c>
      <c r="I2261" t="s">
        <v>45</v>
      </c>
      <c r="K2261">
        <v>202506308140067</v>
      </c>
      <c r="L2261">
        <v>1613300032598</v>
      </c>
      <c r="M2261">
        <v>20250630</v>
      </c>
      <c r="N2261" t="s">
        <v>416</v>
      </c>
      <c r="Q2261" t="s">
        <v>170</v>
      </c>
      <c r="R2261">
        <v>527423.84</v>
      </c>
      <c r="S2261">
        <v>0</v>
      </c>
      <c r="T2261">
        <v>4103078</v>
      </c>
      <c r="U2261">
        <v>272810722</v>
      </c>
      <c r="V2261" t="s">
        <v>1767</v>
      </c>
      <c r="W2261" t="s">
        <v>49</v>
      </c>
      <c r="X2261" t="s">
        <v>299</v>
      </c>
      <c r="Y2261" t="s">
        <v>51</v>
      </c>
      <c r="Z2261">
        <v>1903</v>
      </c>
      <c r="AH2261">
        <v>0</v>
      </c>
      <c r="AI2261">
        <v>202506</v>
      </c>
      <c r="AJ2261" t="s">
        <v>119</v>
      </c>
      <c r="AK2261">
        <v>1</v>
      </c>
      <c r="AL2261">
        <v>1</v>
      </c>
      <c r="AO2261">
        <v>0</v>
      </c>
      <c r="AP2261" t="s">
        <v>3015</v>
      </c>
      <c r="AQ2261" t="s">
        <v>3012</v>
      </c>
      <c r="AR2261" t="s">
        <v>3016</v>
      </c>
      <c r="AT2261" t="s">
        <v>3017</v>
      </c>
      <c r="AU2261" t="s">
        <v>3018</v>
      </c>
    </row>
    <row r="2262" spans="1:47" x14ac:dyDescent="0.35">
      <c r="A2262">
        <v>360636</v>
      </c>
      <c r="B2262" t="s">
        <v>178</v>
      </c>
      <c r="C2262" t="s">
        <v>179</v>
      </c>
      <c r="D2262" s="2">
        <v>45839</v>
      </c>
      <c r="E2262">
        <v>53850</v>
      </c>
      <c r="F2262">
        <v>141</v>
      </c>
      <c r="G2262" t="s">
        <v>105</v>
      </c>
      <c r="H2262" t="s">
        <v>167</v>
      </c>
      <c r="I2262" t="s">
        <v>45</v>
      </c>
      <c r="K2262">
        <v>202506308135943</v>
      </c>
      <c r="L2262">
        <v>1413300003985</v>
      </c>
      <c r="M2262">
        <v>20250630</v>
      </c>
      <c r="N2262" t="s">
        <v>236</v>
      </c>
      <c r="P2262" t="s">
        <v>51</v>
      </c>
      <c r="Q2262" t="s">
        <v>170</v>
      </c>
      <c r="R2262">
        <v>1080000</v>
      </c>
      <c r="S2262">
        <v>0</v>
      </c>
      <c r="T2262">
        <v>4996689</v>
      </c>
      <c r="U2262">
        <v>80010360750</v>
      </c>
      <c r="V2262" t="s">
        <v>106</v>
      </c>
      <c r="W2262" t="s">
        <v>49</v>
      </c>
      <c r="X2262" t="s">
        <v>107</v>
      </c>
      <c r="Y2262" t="s">
        <v>51</v>
      </c>
      <c r="Z2262">
        <v>1940</v>
      </c>
      <c r="AH2262">
        <v>0</v>
      </c>
      <c r="AI2262">
        <v>202506</v>
      </c>
      <c r="AJ2262" t="s">
        <v>119</v>
      </c>
      <c r="AK2262">
        <v>1</v>
      </c>
      <c r="AL2262">
        <v>1</v>
      </c>
      <c r="AO2262">
        <v>0</v>
      </c>
      <c r="AP2262" t="s">
        <v>3024</v>
      </c>
      <c r="AQ2262" t="s">
        <v>3012</v>
      </c>
      <c r="AR2262" t="s">
        <v>3025</v>
      </c>
      <c r="AS2262" t="s">
        <v>3014</v>
      </c>
      <c r="AU2262" t="s">
        <v>3014</v>
      </c>
    </row>
    <row r="2263" spans="1:47" x14ac:dyDescent="0.35">
      <c r="A2263">
        <v>360635</v>
      </c>
      <c r="B2263" t="s">
        <v>172</v>
      </c>
      <c r="C2263" t="s">
        <v>173</v>
      </c>
      <c r="D2263" s="2">
        <v>45839</v>
      </c>
      <c r="E2263">
        <v>53850</v>
      </c>
      <c r="F2263">
        <v>161</v>
      </c>
      <c r="G2263" t="s">
        <v>111</v>
      </c>
      <c r="H2263" t="s">
        <v>167</v>
      </c>
      <c r="I2263" t="s">
        <v>45</v>
      </c>
      <c r="K2263" t="s">
        <v>2272</v>
      </c>
      <c r="L2263">
        <v>1613300029653</v>
      </c>
      <c r="M2263">
        <v>20250630</v>
      </c>
      <c r="N2263" t="s">
        <v>175</v>
      </c>
      <c r="Q2263" t="s">
        <v>47</v>
      </c>
      <c r="R2263">
        <v>259946.2</v>
      </c>
      <c r="S2263">
        <v>7000</v>
      </c>
      <c r="T2263">
        <v>4088769</v>
      </c>
      <c r="U2263">
        <v>5150120722</v>
      </c>
      <c r="V2263" t="s">
        <v>270</v>
      </c>
      <c r="W2263" t="s">
        <v>49</v>
      </c>
      <c r="X2263" t="s">
        <v>110</v>
      </c>
      <c r="Y2263" t="s">
        <v>51</v>
      </c>
      <c r="Z2263">
        <v>1903</v>
      </c>
      <c r="AH2263">
        <v>0</v>
      </c>
      <c r="AI2263">
        <v>202506</v>
      </c>
      <c r="AJ2263" t="s">
        <v>56</v>
      </c>
      <c r="AK2263">
        <v>0</v>
      </c>
      <c r="AL2263">
        <v>1</v>
      </c>
      <c r="AM2263">
        <v>4088769</v>
      </c>
      <c r="AN2263">
        <v>1</v>
      </c>
      <c r="AO2263">
        <v>1</v>
      </c>
      <c r="AP2263" t="s">
        <v>3026</v>
      </c>
      <c r="AQ2263" t="s">
        <v>3012</v>
      </c>
      <c r="AR2263" t="s">
        <v>3027</v>
      </c>
      <c r="AS2263" t="s">
        <v>3028</v>
      </c>
      <c r="AU2263" t="s">
        <v>3028</v>
      </c>
    </row>
    <row r="2264" spans="1:47" x14ac:dyDescent="0.35">
      <c r="A2264">
        <v>360634</v>
      </c>
      <c r="B2264" t="s">
        <v>193</v>
      </c>
      <c r="C2264" t="s">
        <v>194</v>
      </c>
      <c r="D2264" s="2">
        <v>45839</v>
      </c>
      <c r="E2264">
        <v>53850</v>
      </c>
      <c r="F2264">
        <v>273</v>
      </c>
      <c r="G2264" t="s">
        <v>133</v>
      </c>
      <c r="H2264" t="s">
        <v>167</v>
      </c>
      <c r="I2264" t="s">
        <v>45</v>
      </c>
      <c r="K2264" t="s">
        <v>2272</v>
      </c>
      <c r="L2264">
        <v>2733300000498</v>
      </c>
      <c r="M2264">
        <v>20250630</v>
      </c>
      <c r="N2264" t="s">
        <v>195</v>
      </c>
      <c r="Q2264" t="s">
        <v>47</v>
      </c>
      <c r="R2264">
        <v>28030</v>
      </c>
      <c r="S2264">
        <v>28030</v>
      </c>
      <c r="T2264">
        <v>1617415</v>
      </c>
      <c r="U2264">
        <v>2262360692</v>
      </c>
      <c r="V2264" t="s">
        <v>691</v>
      </c>
      <c r="W2264" t="s">
        <v>49</v>
      </c>
      <c r="X2264" t="s">
        <v>197</v>
      </c>
      <c r="Y2264" t="s">
        <v>51</v>
      </c>
      <c r="Z2264">
        <v>1765</v>
      </c>
      <c r="AH2264">
        <v>0</v>
      </c>
      <c r="AI2264">
        <v>202506</v>
      </c>
      <c r="AJ2264" t="s">
        <v>119</v>
      </c>
      <c r="AK2264">
        <v>1</v>
      </c>
      <c r="AL2264">
        <v>1</v>
      </c>
      <c r="AM2264">
        <v>1617415</v>
      </c>
      <c r="AN2264">
        <v>1</v>
      </c>
      <c r="AO2264">
        <v>0</v>
      </c>
      <c r="AP2264" t="s">
        <v>3050</v>
      </c>
      <c r="AQ2264" t="s">
        <v>3012</v>
      </c>
      <c r="AR2264" t="s">
        <v>3071</v>
      </c>
      <c r="AS2264" t="s">
        <v>3028</v>
      </c>
      <c r="AU2264" t="s">
        <v>3028</v>
      </c>
    </row>
    <row r="2265" spans="1:47" x14ac:dyDescent="0.35">
      <c r="A2265">
        <v>360633</v>
      </c>
      <c r="B2265" t="s">
        <v>172</v>
      </c>
      <c r="C2265" t="s">
        <v>173</v>
      </c>
      <c r="D2265" s="2">
        <v>45839</v>
      </c>
      <c r="E2265">
        <v>53850</v>
      </c>
      <c r="F2265">
        <v>192</v>
      </c>
      <c r="G2265" t="s">
        <v>66</v>
      </c>
      <c r="H2265" t="s">
        <v>167</v>
      </c>
      <c r="I2265" t="s">
        <v>45</v>
      </c>
      <c r="K2265" t="s">
        <v>2272</v>
      </c>
      <c r="L2265">
        <v>1923300180351</v>
      </c>
      <c r="M2265">
        <v>20250630</v>
      </c>
      <c r="N2265" t="s">
        <v>175</v>
      </c>
      <c r="Q2265" t="s">
        <v>47</v>
      </c>
      <c r="R2265">
        <v>280497.34000000003</v>
      </c>
      <c r="S2265">
        <v>0</v>
      </c>
      <c r="T2265">
        <v>4365602</v>
      </c>
      <c r="U2265">
        <v>2514190731</v>
      </c>
      <c r="V2265" t="s">
        <v>240</v>
      </c>
      <c r="W2265" t="s">
        <v>49</v>
      </c>
      <c r="X2265" t="s">
        <v>241</v>
      </c>
      <c r="Y2265" t="s">
        <v>51</v>
      </c>
      <c r="Z2265">
        <v>1066</v>
      </c>
      <c r="AH2265">
        <v>0</v>
      </c>
      <c r="AI2265">
        <v>202506</v>
      </c>
      <c r="AJ2265" t="s">
        <v>86</v>
      </c>
      <c r="AK2265">
        <v>1</v>
      </c>
      <c r="AL2265">
        <v>1</v>
      </c>
      <c r="AO2265">
        <v>1</v>
      </c>
      <c r="AP2265" t="s">
        <v>3015</v>
      </c>
      <c r="AQ2265" t="s">
        <v>3012</v>
      </c>
      <c r="AR2265" t="s">
        <v>3016</v>
      </c>
      <c r="AT2265" t="s">
        <v>3017</v>
      </c>
      <c r="AU2265" t="s">
        <v>3018</v>
      </c>
    </row>
    <row r="2266" spans="1:47" x14ac:dyDescent="0.35">
      <c r="A2266">
        <v>360632</v>
      </c>
      <c r="B2266" t="s">
        <v>172</v>
      </c>
      <c r="C2266" t="s">
        <v>173</v>
      </c>
      <c r="D2266" s="2">
        <v>45839</v>
      </c>
      <c r="E2266">
        <v>53850</v>
      </c>
      <c r="F2266">
        <v>108</v>
      </c>
      <c r="G2266" t="s">
        <v>124</v>
      </c>
      <c r="H2266" t="s">
        <v>167</v>
      </c>
      <c r="I2266" t="s">
        <v>45</v>
      </c>
      <c r="K2266">
        <v>202506308141731</v>
      </c>
      <c r="L2266">
        <v>1083306289591</v>
      </c>
      <c r="M2266">
        <v>20250630</v>
      </c>
      <c r="N2266" t="s">
        <v>81</v>
      </c>
      <c r="Q2266" t="s">
        <v>47</v>
      </c>
      <c r="R2266">
        <v>138780.82999999999</v>
      </c>
      <c r="S2266">
        <v>0</v>
      </c>
      <c r="T2266">
        <v>4709106</v>
      </c>
      <c r="U2266">
        <v>7342200727</v>
      </c>
      <c r="V2266" t="s">
        <v>2291</v>
      </c>
      <c r="W2266" t="s">
        <v>49</v>
      </c>
      <c r="X2266" t="s">
        <v>241</v>
      </c>
      <c r="Y2266" t="s">
        <v>51</v>
      </c>
      <c r="Z2266">
        <v>1118</v>
      </c>
      <c r="AH2266">
        <v>0</v>
      </c>
      <c r="AI2266">
        <v>202506</v>
      </c>
      <c r="AJ2266" t="s">
        <v>86</v>
      </c>
      <c r="AK2266">
        <v>1</v>
      </c>
      <c r="AL2266">
        <v>1</v>
      </c>
      <c r="AO2266">
        <v>0</v>
      </c>
      <c r="AP2266" t="s">
        <v>3015</v>
      </c>
      <c r="AQ2266" t="s">
        <v>3012</v>
      </c>
      <c r="AR2266" t="s">
        <v>3016</v>
      </c>
      <c r="AT2266" t="s">
        <v>3017</v>
      </c>
      <c r="AU2266" t="s">
        <v>3018</v>
      </c>
    </row>
    <row r="2267" spans="1:47" x14ac:dyDescent="0.35">
      <c r="A2267">
        <v>360631</v>
      </c>
      <c r="B2267" t="s">
        <v>172</v>
      </c>
      <c r="C2267" t="s">
        <v>173</v>
      </c>
      <c r="D2267" s="2">
        <v>45839</v>
      </c>
      <c r="E2267">
        <v>53850</v>
      </c>
      <c r="F2267">
        <v>141</v>
      </c>
      <c r="G2267" t="s">
        <v>105</v>
      </c>
      <c r="H2267" t="s">
        <v>167</v>
      </c>
      <c r="I2267" t="s">
        <v>45</v>
      </c>
      <c r="K2267" t="s">
        <v>2272</v>
      </c>
      <c r="L2267">
        <v>1413300004393</v>
      </c>
      <c r="M2267">
        <v>20250630</v>
      </c>
      <c r="N2267" t="s">
        <v>175</v>
      </c>
      <c r="Q2267" t="s">
        <v>47</v>
      </c>
      <c r="R2267">
        <v>244056.98</v>
      </c>
      <c r="S2267">
        <v>35370</v>
      </c>
      <c r="T2267">
        <v>3743595</v>
      </c>
      <c r="U2267">
        <v>5408440757</v>
      </c>
      <c r="V2267" t="s">
        <v>1334</v>
      </c>
      <c r="W2267" t="s">
        <v>332</v>
      </c>
      <c r="X2267" t="s">
        <v>70</v>
      </c>
      <c r="Y2267" t="s">
        <v>51</v>
      </c>
      <c r="Z2267">
        <v>862</v>
      </c>
      <c r="AH2267">
        <v>0</v>
      </c>
      <c r="AI2267">
        <v>202506</v>
      </c>
      <c r="AJ2267" t="s">
        <v>86</v>
      </c>
      <c r="AK2267">
        <v>1</v>
      </c>
      <c r="AL2267">
        <v>1</v>
      </c>
      <c r="AM2267">
        <v>3743595</v>
      </c>
      <c r="AN2267">
        <v>1</v>
      </c>
      <c r="AO2267">
        <v>1</v>
      </c>
      <c r="AP2267" t="s">
        <v>3015</v>
      </c>
      <c r="AQ2267" t="s">
        <v>3058</v>
      </c>
      <c r="AR2267" t="s">
        <v>3059</v>
      </c>
      <c r="AT2267" t="s">
        <v>3017</v>
      </c>
      <c r="AU2267" t="s">
        <v>3014</v>
      </c>
    </row>
    <row r="2268" spans="1:47" x14ac:dyDescent="0.35">
      <c r="A2268">
        <v>360630</v>
      </c>
      <c r="B2268" t="s">
        <v>172</v>
      </c>
      <c r="C2268" t="s">
        <v>173</v>
      </c>
      <c r="D2268" s="2">
        <v>45839</v>
      </c>
      <c r="E2268">
        <v>53850</v>
      </c>
      <c r="F2268">
        <v>170</v>
      </c>
      <c r="G2268" t="s">
        <v>211</v>
      </c>
      <c r="H2268" t="s">
        <v>167</v>
      </c>
      <c r="I2268" t="s">
        <v>45</v>
      </c>
      <c r="K2268" t="s">
        <v>2272</v>
      </c>
      <c r="L2268">
        <v>1703306288421</v>
      </c>
      <c r="M2268">
        <v>20250630</v>
      </c>
      <c r="N2268" t="s">
        <v>175</v>
      </c>
      <c r="Q2268" t="s">
        <v>47</v>
      </c>
      <c r="R2268">
        <v>209016.74</v>
      </c>
      <c r="S2268">
        <v>0</v>
      </c>
      <c r="T2268">
        <v>4803929</v>
      </c>
      <c r="U2268">
        <v>4829870726</v>
      </c>
      <c r="V2268" t="s">
        <v>212</v>
      </c>
      <c r="W2268" t="s">
        <v>49</v>
      </c>
      <c r="X2268" t="s">
        <v>213</v>
      </c>
      <c r="Y2268" t="s">
        <v>51</v>
      </c>
      <c r="Z2268">
        <v>1696</v>
      </c>
      <c r="AH2268">
        <v>0</v>
      </c>
      <c r="AI2268">
        <v>202506</v>
      </c>
      <c r="AJ2268" t="s">
        <v>86</v>
      </c>
      <c r="AK2268">
        <v>1</v>
      </c>
      <c r="AL2268">
        <v>1</v>
      </c>
      <c r="AO2268">
        <v>1</v>
      </c>
      <c r="AP2268" t="s">
        <v>3015</v>
      </c>
      <c r="AQ2268" t="s">
        <v>3012</v>
      </c>
      <c r="AR2268" t="s">
        <v>3016</v>
      </c>
      <c r="AT2268" t="s">
        <v>3017</v>
      </c>
      <c r="AU2268" t="s">
        <v>3018</v>
      </c>
    </row>
    <row r="2269" spans="1:47" x14ac:dyDescent="0.35">
      <c r="A2269">
        <v>360629</v>
      </c>
      <c r="B2269" t="s">
        <v>214</v>
      </c>
      <c r="C2269" t="s">
        <v>215</v>
      </c>
      <c r="D2269" s="2">
        <v>45839</v>
      </c>
      <c r="E2269">
        <v>53850</v>
      </c>
      <c r="F2269">
        <v>121</v>
      </c>
      <c r="G2269" t="s">
        <v>140</v>
      </c>
      <c r="H2269" t="s">
        <v>167</v>
      </c>
      <c r="I2269" t="s">
        <v>45</v>
      </c>
      <c r="K2269">
        <v>202506308138260</v>
      </c>
      <c r="L2269">
        <v>1213300002600</v>
      </c>
      <c r="M2269">
        <v>20250630</v>
      </c>
      <c r="N2269" t="s">
        <v>168</v>
      </c>
      <c r="P2269" t="s">
        <v>2292</v>
      </c>
      <c r="Q2269" t="s">
        <v>47</v>
      </c>
      <c r="R2269">
        <v>17425.330000000002</v>
      </c>
      <c r="S2269">
        <v>0</v>
      </c>
      <c r="T2269">
        <v>4939345</v>
      </c>
      <c r="U2269">
        <v>5754810728</v>
      </c>
      <c r="V2269" t="s">
        <v>570</v>
      </c>
      <c r="W2269" t="s">
        <v>49</v>
      </c>
      <c r="X2269" t="s">
        <v>117</v>
      </c>
      <c r="Y2269" t="s">
        <v>51</v>
      </c>
      <c r="Z2269">
        <v>1058</v>
      </c>
      <c r="AH2269">
        <v>0</v>
      </c>
      <c r="AI2269">
        <v>202506</v>
      </c>
      <c r="AJ2269" t="s">
        <v>119</v>
      </c>
      <c r="AK2269">
        <v>1</v>
      </c>
      <c r="AL2269">
        <v>1</v>
      </c>
      <c r="AO2269">
        <v>0</v>
      </c>
      <c r="AP2269" t="s">
        <v>3029</v>
      </c>
      <c r="AQ2269" t="s">
        <v>3012</v>
      </c>
      <c r="AR2269" t="s">
        <v>3030</v>
      </c>
      <c r="AS2269" t="s">
        <v>3014</v>
      </c>
      <c r="AU2269" t="s">
        <v>3014</v>
      </c>
    </row>
    <row r="2270" spans="1:47" x14ac:dyDescent="0.35">
      <c r="A2270">
        <v>360628</v>
      </c>
      <c r="B2270" t="s">
        <v>172</v>
      </c>
      <c r="C2270" t="s">
        <v>173</v>
      </c>
      <c r="D2270" s="2">
        <v>45839</v>
      </c>
      <c r="E2270">
        <v>53850</v>
      </c>
      <c r="F2270">
        <v>153</v>
      </c>
      <c r="G2270" t="s">
        <v>63</v>
      </c>
      <c r="H2270" t="s">
        <v>167</v>
      </c>
      <c r="I2270" t="s">
        <v>45</v>
      </c>
      <c r="K2270">
        <v>202506308141995</v>
      </c>
      <c r="L2270">
        <v>1533300662905</v>
      </c>
      <c r="M2270">
        <v>20250630</v>
      </c>
      <c r="N2270" t="s">
        <v>81</v>
      </c>
      <c r="Q2270" t="s">
        <v>47</v>
      </c>
      <c r="R2270">
        <v>114534.2</v>
      </c>
      <c r="S2270">
        <v>0</v>
      </c>
      <c r="T2270">
        <v>4165339</v>
      </c>
      <c r="U2270">
        <v>5612950633</v>
      </c>
      <c r="V2270" t="s">
        <v>1020</v>
      </c>
      <c r="W2270" t="s">
        <v>49</v>
      </c>
      <c r="X2270" t="s">
        <v>1021</v>
      </c>
      <c r="Y2270" t="s">
        <v>51</v>
      </c>
      <c r="Z2270">
        <v>982</v>
      </c>
      <c r="AH2270">
        <v>0</v>
      </c>
      <c r="AI2270">
        <v>202506</v>
      </c>
      <c r="AJ2270" t="s">
        <v>56</v>
      </c>
      <c r="AK2270">
        <v>0</v>
      </c>
      <c r="AL2270">
        <v>1</v>
      </c>
      <c r="AO2270">
        <v>0</v>
      </c>
      <c r="AP2270" t="s">
        <v>3098</v>
      </c>
      <c r="AQ2270" t="s">
        <v>3012</v>
      </c>
      <c r="AR2270" t="s">
        <v>3099</v>
      </c>
      <c r="AS2270" t="s">
        <v>3014</v>
      </c>
      <c r="AU2270" t="s">
        <v>3014</v>
      </c>
    </row>
    <row r="2271" spans="1:47" x14ac:dyDescent="0.35">
      <c r="A2271">
        <v>360627</v>
      </c>
      <c r="B2271" t="s">
        <v>193</v>
      </c>
      <c r="C2271" t="s">
        <v>194</v>
      </c>
      <c r="D2271" s="2">
        <v>45839</v>
      </c>
      <c r="E2271">
        <v>53850</v>
      </c>
      <c r="F2271">
        <v>188</v>
      </c>
      <c r="G2271" t="s">
        <v>419</v>
      </c>
      <c r="H2271" t="s">
        <v>167</v>
      </c>
      <c r="I2271" t="s">
        <v>45</v>
      </c>
      <c r="K2271" t="s">
        <v>2272</v>
      </c>
      <c r="L2271">
        <v>1883300132629</v>
      </c>
      <c r="M2271">
        <v>20250630</v>
      </c>
      <c r="N2271" t="s">
        <v>175</v>
      </c>
      <c r="Q2271" t="s">
        <v>47</v>
      </c>
      <c r="R2271">
        <v>21310.15</v>
      </c>
      <c r="S2271">
        <v>20000</v>
      </c>
      <c r="T2271">
        <v>4857436</v>
      </c>
      <c r="U2271" t="s">
        <v>2293</v>
      </c>
      <c r="V2271" t="s">
        <v>2294</v>
      </c>
      <c r="W2271" t="s">
        <v>342</v>
      </c>
      <c r="X2271" t="s">
        <v>131</v>
      </c>
      <c r="Y2271" t="s">
        <v>51</v>
      </c>
      <c r="Z2271">
        <v>637</v>
      </c>
      <c r="AH2271">
        <v>0</v>
      </c>
      <c r="AI2271">
        <v>202506</v>
      </c>
      <c r="AJ2271" t="s">
        <v>119</v>
      </c>
      <c r="AK2271">
        <v>1</v>
      </c>
      <c r="AL2271">
        <v>1</v>
      </c>
      <c r="AM2271">
        <v>4857436</v>
      </c>
      <c r="AN2271">
        <v>1</v>
      </c>
      <c r="AO2271">
        <v>1</v>
      </c>
      <c r="AP2271" t="s">
        <v>3033</v>
      </c>
      <c r="AQ2271" t="s">
        <v>3060</v>
      </c>
      <c r="AR2271" t="s">
        <v>3125</v>
      </c>
      <c r="AS2271" t="s">
        <v>3055</v>
      </c>
      <c r="AU2271" t="s">
        <v>3055</v>
      </c>
    </row>
    <row r="2272" spans="1:47" x14ac:dyDescent="0.35">
      <c r="A2272">
        <v>360626</v>
      </c>
      <c r="B2272" t="s">
        <v>178</v>
      </c>
      <c r="C2272" t="s">
        <v>179</v>
      </c>
      <c r="D2272" s="2">
        <v>45839</v>
      </c>
      <c r="E2272">
        <v>53850</v>
      </c>
      <c r="F2272">
        <v>99</v>
      </c>
      <c r="G2272" t="s">
        <v>335</v>
      </c>
      <c r="H2272" t="s">
        <v>167</v>
      </c>
      <c r="I2272" t="s">
        <v>45</v>
      </c>
      <c r="K2272">
        <v>202506308138007</v>
      </c>
      <c r="L2272">
        <v>999361950301</v>
      </c>
      <c r="M2272">
        <v>20250630</v>
      </c>
      <c r="N2272" t="s">
        <v>46</v>
      </c>
      <c r="P2272" t="s">
        <v>51</v>
      </c>
      <c r="Q2272" t="s">
        <v>47</v>
      </c>
      <c r="R2272">
        <v>4120000</v>
      </c>
      <c r="S2272">
        <v>0</v>
      </c>
      <c r="T2272">
        <v>3127396</v>
      </c>
      <c r="U2272">
        <v>80008870737</v>
      </c>
      <c r="V2272" t="s">
        <v>2295</v>
      </c>
      <c r="W2272" t="s">
        <v>253</v>
      </c>
      <c r="Y2272" t="s">
        <v>51</v>
      </c>
      <c r="Z2272">
        <v>1627</v>
      </c>
      <c r="AH2272">
        <v>0</v>
      </c>
      <c r="AI2272">
        <v>202506</v>
      </c>
      <c r="AJ2272" t="s">
        <v>114</v>
      </c>
      <c r="AK2272">
        <v>1</v>
      </c>
      <c r="AL2272">
        <v>1</v>
      </c>
      <c r="AO2272">
        <v>0</v>
      </c>
      <c r="AP2272" t="s">
        <v>3015</v>
      </c>
      <c r="AQ2272" t="s">
        <v>3052</v>
      </c>
      <c r="AR2272" t="s">
        <v>3053</v>
      </c>
      <c r="AS2272" t="s">
        <v>3037</v>
      </c>
      <c r="AU2272" t="s">
        <v>3037</v>
      </c>
    </row>
    <row r="2273" spans="1:47" x14ac:dyDescent="0.35">
      <c r="A2273">
        <v>360625</v>
      </c>
      <c r="B2273" t="s">
        <v>178</v>
      </c>
      <c r="C2273" t="s">
        <v>179</v>
      </c>
      <c r="D2273" s="2">
        <v>45839</v>
      </c>
      <c r="E2273">
        <v>53850</v>
      </c>
      <c r="F2273">
        <v>188</v>
      </c>
      <c r="G2273" t="s">
        <v>419</v>
      </c>
      <c r="H2273" t="s">
        <v>167</v>
      </c>
      <c r="I2273" t="s">
        <v>45</v>
      </c>
      <c r="K2273">
        <v>202506308137789</v>
      </c>
      <c r="L2273">
        <v>1883300059102</v>
      </c>
      <c r="M2273">
        <v>20250630</v>
      </c>
      <c r="N2273" t="s">
        <v>46</v>
      </c>
      <c r="P2273" t="s">
        <v>51</v>
      </c>
      <c r="Q2273" t="s">
        <v>47</v>
      </c>
      <c r="R2273">
        <v>580000</v>
      </c>
      <c r="S2273">
        <v>0</v>
      </c>
      <c r="T2273">
        <v>3002280</v>
      </c>
      <c r="U2273" t="s">
        <v>2296</v>
      </c>
      <c r="V2273" t="s">
        <v>2297</v>
      </c>
      <c r="W2273" t="s">
        <v>187</v>
      </c>
      <c r="Y2273" t="s">
        <v>51</v>
      </c>
      <c r="Z2273">
        <v>1112</v>
      </c>
      <c r="AH2273">
        <v>0</v>
      </c>
      <c r="AI2273">
        <v>202506</v>
      </c>
      <c r="AJ2273" t="s">
        <v>86</v>
      </c>
      <c r="AK2273">
        <v>1</v>
      </c>
      <c r="AL2273">
        <v>1</v>
      </c>
      <c r="AO2273">
        <v>0</v>
      </c>
      <c r="AP2273" t="s">
        <v>3015</v>
      </c>
      <c r="AQ2273" t="s">
        <v>3044</v>
      </c>
      <c r="AR2273" t="s">
        <v>3045</v>
      </c>
      <c r="AS2273" t="s">
        <v>3046</v>
      </c>
      <c r="AU2273" t="s">
        <v>3046</v>
      </c>
    </row>
    <row r="2274" spans="1:47" x14ac:dyDescent="0.35">
      <c r="A2274">
        <v>360624</v>
      </c>
      <c r="B2274" t="s">
        <v>178</v>
      </c>
      <c r="C2274" t="s">
        <v>179</v>
      </c>
      <c r="D2274" s="2">
        <v>45839</v>
      </c>
      <c r="E2274">
        <v>53850</v>
      </c>
      <c r="F2274">
        <v>116</v>
      </c>
      <c r="G2274" t="s">
        <v>126</v>
      </c>
      <c r="H2274" t="s">
        <v>167</v>
      </c>
      <c r="I2274" t="s">
        <v>45</v>
      </c>
      <c r="K2274">
        <v>202506308141819</v>
      </c>
      <c r="L2274">
        <v>2343300010453</v>
      </c>
      <c r="M2274">
        <v>20250630</v>
      </c>
      <c r="N2274" t="s">
        <v>223</v>
      </c>
      <c r="Q2274" t="s">
        <v>170</v>
      </c>
      <c r="R2274">
        <v>6000000</v>
      </c>
      <c r="S2274">
        <v>0</v>
      </c>
      <c r="T2274">
        <v>4247777</v>
      </c>
      <c r="U2274">
        <v>233470236</v>
      </c>
      <c r="V2274" t="s">
        <v>206</v>
      </c>
      <c r="W2274" t="s">
        <v>49</v>
      </c>
      <c r="X2274" t="s">
        <v>117</v>
      </c>
      <c r="Y2274" t="s">
        <v>51</v>
      </c>
      <c r="Z2274">
        <v>1696</v>
      </c>
      <c r="AH2274">
        <v>0</v>
      </c>
      <c r="AI2274">
        <v>202506</v>
      </c>
      <c r="AJ2274" t="s">
        <v>86</v>
      </c>
      <c r="AK2274">
        <v>1</v>
      </c>
      <c r="AL2274">
        <v>1</v>
      </c>
      <c r="AM2274">
        <v>4247777</v>
      </c>
      <c r="AN2274">
        <v>1</v>
      </c>
      <c r="AO2274">
        <v>0</v>
      </c>
      <c r="AP2274" t="s">
        <v>3029</v>
      </c>
      <c r="AQ2274" t="s">
        <v>3012</v>
      </c>
      <c r="AR2274" t="s">
        <v>3030</v>
      </c>
      <c r="AS2274" t="s">
        <v>3014</v>
      </c>
      <c r="AU2274" t="s">
        <v>3014</v>
      </c>
    </row>
    <row r="2275" spans="1:47" x14ac:dyDescent="0.35">
      <c r="A2275">
        <v>360623</v>
      </c>
      <c r="B2275" t="s">
        <v>193</v>
      </c>
      <c r="C2275" t="s">
        <v>194</v>
      </c>
      <c r="D2275" s="2">
        <v>45839</v>
      </c>
      <c r="E2275">
        <v>53850</v>
      </c>
      <c r="F2275">
        <v>268</v>
      </c>
      <c r="G2275" t="s">
        <v>83</v>
      </c>
      <c r="H2275" t="s">
        <v>167</v>
      </c>
      <c r="I2275" t="s">
        <v>45</v>
      </c>
      <c r="K2275">
        <v>202506308141121</v>
      </c>
      <c r="L2275">
        <v>2683300004602</v>
      </c>
      <c r="M2275">
        <v>20250630</v>
      </c>
      <c r="N2275" t="s">
        <v>195</v>
      </c>
      <c r="Q2275" t="s">
        <v>47</v>
      </c>
      <c r="R2275">
        <v>30100</v>
      </c>
      <c r="S2275">
        <v>30100</v>
      </c>
      <c r="T2275">
        <v>1695713</v>
      </c>
      <c r="U2275" t="s">
        <v>2298</v>
      </c>
      <c r="V2275" t="s">
        <v>2299</v>
      </c>
      <c r="W2275" t="s">
        <v>69</v>
      </c>
      <c r="X2275" t="s">
        <v>1355</v>
      </c>
      <c r="Y2275" t="s">
        <v>51</v>
      </c>
      <c r="Z2275">
        <v>1870</v>
      </c>
      <c r="AH2275">
        <v>0</v>
      </c>
      <c r="AI2275">
        <v>202506</v>
      </c>
      <c r="AJ2275" t="s">
        <v>86</v>
      </c>
      <c r="AK2275">
        <v>1</v>
      </c>
      <c r="AL2275">
        <v>1</v>
      </c>
      <c r="AM2275">
        <v>1695713</v>
      </c>
      <c r="AN2275">
        <v>1</v>
      </c>
      <c r="AO2275">
        <v>0</v>
      </c>
      <c r="AP2275" t="s">
        <v>3015</v>
      </c>
      <c r="AQ2275" t="s">
        <v>3021</v>
      </c>
      <c r="AR2275" t="s">
        <v>3022</v>
      </c>
      <c r="AT2275" t="s">
        <v>3017</v>
      </c>
      <c r="AU2275" t="s">
        <v>3014</v>
      </c>
    </row>
    <row r="2276" spans="1:47" x14ac:dyDescent="0.35">
      <c r="A2276">
        <v>360622</v>
      </c>
      <c r="B2276" t="s">
        <v>178</v>
      </c>
      <c r="C2276" t="s">
        <v>179</v>
      </c>
      <c r="D2276" s="2">
        <v>45839</v>
      </c>
      <c r="E2276">
        <v>53850</v>
      </c>
      <c r="F2276">
        <v>286</v>
      </c>
      <c r="G2276" t="s">
        <v>408</v>
      </c>
      <c r="H2276" t="s">
        <v>167</v>
      </c>
      <c r="I2276" t="s">
        <v>45</v>
      </c>
      <c r="K2276">
        <v>202506308141505</v>
      </c>
      <c r="L2276">
        <v>2863300003269</v>
      </c>
      <c r="M2276">
        <v>20250630</v>
      </c>
      <c r="N2276" t="s">
        <v>659</v>
      </c>
      <c r="Q2276" t="s">
        <v>170</v>
      </c>
      <c r="R2276">
        <v>625176.67000000004</v>
      </c>
      <c r="S2276">
        <v>0</v>
      </c>
      <c r="T2276">
        <v>1703846</v>
      </c>
      <c r="U2276">
        <v>2557890692</v>
      </c>
      <c r="V2276" t="s">
        <v>1170</v>
      </c>
      <c r="W2276" t="s">
        <v>49</v>
      </c>
      <c r="X2276" t="s">
        <v>1076</v>
      </c>
      <c r="Y2276" t="s">
        <v>51</v>
      </c>
      <c r="Z2276">
        <v>1877</v>
      </c>
      <c r="AH2276">
        <v>0</v>
      </c>
      <c r="AI2276">
        <v>202506</v>
      </c>
      <c r="AJ2276" t="s">
        <v>56</v>
      </c>
      <c r="AK2276">
        <v>0</v>
      </c>
      <c r="AL2276">
        <v>1</v>
      </c>
      <c r="AO2276">
        <v>0</v>
      </c>
      <c r="AP2276" t="s">
        <v>3015</v>
      </c>
      <c r="AQ2276" t="s">
        <v>3012</v>
      </c>
      <c r="AR2276" t="s">
        <v>3016</v>
      </c>
      <c r="AT2276" t="s">
        <v>3017</v>
      </c>
      <c r="AU2276" t="s">
        <v>3018</v>
      </c>
    </row>
    <row r="2277" spans="1:47" x14ac:dyDescent="0.35">
      <c r="A2277">
        <v>360621</v>
      </c>
      <c r="B2277" t="s">
        <v>164</v>
      </c>
      <c r="C2277" t="s">
        <v>165</v>
      </c>
      <c r="D2277" s="2">
        <v>45839</v>
      </c>
      <c r="E2277">
        <v>53850</v>
      </c>
      <c r="F2277">
        <v>261</v>
      </c>
      <c r="G2277" t="s">
        <v>136</v>
      </c>
      <c r="H2277" t="s">
        <v>167</v>
      </c>
      <c r="I2277" t="s">
        <v>45</v>
      </c>
      <c r="K2277" t="s">
        <v>2300</v>
      </c>
      <c r="L2277">
        <v>2613300010205</v>
      </c>
      <c r="M2277">
        <v>20250630</v>
      </c>
      <c r="N2277" t="s">
        <v>168</v>
      </c>
      <c r="P2277" t="s">
        <v>255</v>
      </c>
      <c r="Q2277" t="s">
        <v>170</v>
      </c>
      <c r="R2277">
        <v>2069.75</v>
      </c>
      <c r="S2277">
        <v>0</v>
      </c>
      <c r="T2277">
        <v>4991786</v>
      </c>
      <c r="U2277">
        <v>993400944</v>
      </c>
      <c r="V2277" t="s">
        <v>137</v>
      </c>
      <c r="W2277" t="s">
        <v>49</v>
      </c>
      <c r="X2277" t="s">
        <v>77</v>
      </c>
      <c r="Y2277" t="s">
        <v>51</v>
      </c>
      <c r="Z2277">
        <v>1782</v>
      </c>
      <c r="AH2277">
        <v>0</v>
      </c>
      <c r="AI2277">
        <v>202506</v>
      </c>
      <c r="AJ2277" t="s">
        <v>56</v>
      </c>
      <c r="AK2277">
        <v>0</v>
      </c>
      <c r="AL2277">
        <v>1</v>
      </c>
      <c r="AM2277">
        <v>4991786</v>
      </c>
      <c r="AN2277">
        <v>1</v>
      </c>
      <c r="AO2277">
        <v>0</v>
      </c>
      <c r="AP2277" t="s">
        <v>3015</v>
      </c>
      <c r="AQ2277" t="s">
        <v>3012</v>
      </c>
      <c r="AR2277" t="s">
        <v>3016</v>
      </c>
      <c r="AT2277" t="s">
        <v>3017</v>
      </c>
      <c r="AU2277" t="s">
        <v>3018</v>
      </c>
    </row>
    <row r="2278" spans="1:47" x14ac:dyDescent="0.35">
      <c r="A2278">
        <v>360620</v>
      </c>
      <c r="B2278" t="s">
        <v>164</v>
      </c>
      <c r="C2278" t="s">
        <v>165</v>
      </c>
      <c r="D2278" s="2">
        <v>45839</v>
      </c>
      <c r="E2278">
        <v>53850</v>
      </c>
      <c r="F2278">
        <v>270</v>
      </c>
      <c r="G2278" t="s">
        <v>524</v>
      </c>
      <c r="H2278" t="s">
        <v>167</v>
      </c>
      <c r="I2278" t="s">
        <v>45</v>
      </c>
      <c r="K2278">
        <v>202506308138274</v>
      </c>
      <c r="L2278">
        <v>2703300010883</v>
      </c>
      <c r="M2278">
        <v>20250630</v>
      </c>
      <c r="N2278" t="s">
        <v>168</v>
      </c>
      <c r="P2278" t="s">
        <v>244</v>
      </c>
      <c r="Q2278" t="s">
        <v>47</v>
      </c>
      <c r="R2278">
        <v>14490.42</v>
      </c>
      <c r="S2278">
        <v>0</v>
      </c>
      <c r="T2278">
        <v>3741718</v>
      </c>
      <c r="U2278">
        <v>2347470680</v>
      </c>
      <c r="V2278" t="s">
        <v>596</v>
      </c>
      <c r="W2278" t="s">
        <v>49</v>
      </c>
      <c r="X2278" t="s">
        <v>597</v>
      </c>
      <c r="Y2278" t="s">
        <v>51</v>
      </c>
      <c r="Z2278">
        <v>1560</v>
      </c>
      <c r="AH2278">
        <v>0</v>
      </c>
      <c r="AI2278">
        <v>202506</v>
      </c>
      <c r="AJ2278" t="s">
        <v>52</v>
      </c>
      <c r="AK2278">
        <v>0</v>
      </c>
      <c r="AL2278">
        <v>1</v>
      </c>
      <c r="AO2278">
        <v>0</v>
      </c>
      <c r="AP2278" t="s">
        <v>3015</v>
      </c>
      <c r="AQ2278" t="s">
        <v>3012</v>
      </c>
      <c r="AR2278" t="s">
        <v>3016</v>
      </c>
      <c r="AT2278" t="s">
        <v>3017</v>
      </c>
      <c r="AU2278" t="s">
        <v>3018</v>
      </c>
    </row>
    <row r="2279" spans="1:47" x14ac:dyDescent="0.35">
      <c r="A2279">
        <v>360619</v>
      </c>
      <c r="B2279" t="s">
        <v>164</v>
      </c>
      <c r="C2279" t="s">
        <v>165</v>
      </c>
      <c r="D2279" s="2">
        <v>45839</v>
      </c>
      <c r="E2279">
        <v>53850</v>
      </c>
      <c r="F2279">
        <v>129</v>
      </c>
      <c r="G2279" t="s">
        <v>227</v>
      </c>
      <c r="H2279" t="s">
        <v>167</v>
      </c>
      <c r="I2279" t="s">
        <v>45</v>
      </c>
      <c r="K2279">
        <v>202506308136591</v>
      </c>
      <c r="L2279">
        <v>1293300002811</v>
      </c>
      <c r="M2279">
        <v>20250630</v>
      </c>
      <c r="N2279" t="s">
        <v>168</v>
      </c>
      <c r="P2279" t="s">
        <v>169</v>
      </c>
      <c r="Q2279" t="s">
        <v>47</v>
      </c>
      <c r="R2279">
        <v>9234.65</v>
      </c>
      <c r="S2279">
        <v>0</v>
      </c>
      <c r="T2279">
        <v>4972184</v>
      </c>
      <c r="U2279">
        <v>7780290727</v>
      </c>
      <c r="V2279" t="s">
        <v>720</v>
      </c>
      <c r="W2279" t="s">
        <v>49</v>
      </c>
      <c r="X2279" t="s">
        <v>721</v>
      </c>
      <c r="Y2279" t="s">
        <v>51</v>
      </c>
      <c r="Z2279">
        <v>1058</v>
      </c>
      <c r="AH2279">
        <v>0</v>
      </c>
      <c r="AI2279">
        <v>202506</v>
      </c>
      <c r="AJ2279" t="s">
        <v>86</v>
      </c>
      <c r="AK2279">
        <v>1</v>
      </c>
      <c r="AL2279">
        <v>1</v>
      </c>
      <c r="AO2279">
        <v>0</v>
      </c>
      <c r="AP2279" t="s">
        <v>3015</v>
      </c>
      <c r="AQ2279" t="s">
        <v>3012</v>
      </c>
      <c r="AR2279" t="s">
        <v>3016</v>
      </c>
      <c r="AT2279" t="s">
        <v>3017</v>
      </c>
      <c r="AU2279" t="s">
        <v>3018</v>
      </c>
    </row>
    <row r="2280" spans="1:47" x14ac:dyDescent="0.35">
      <c r="A2280">
        <v>360618</v>
      </c>
      <c r="B2280" t="s">
        <v>193</v>
      </c>
      <c r="C2280" t="s">
        <v>194</v>
      </c>
      <c r="D2280" s="2">
        <v>45839</v>
      </c>
      <c r="E2280">
        <v>53850</v>
      </c>
      <c r="F2280">
        <v>105</v>
      </c>
      <c r="G2280" t="s">
        <v>60</v>
      </c>
      <c r="H2280" t="s">
        <v>167</v>
      </c>
      <c r="I2280" t="s">
        <v>45</v>
      </c>
      <c r="K2280" t="s">
        <v>2272</v>
      </c>
      <c r="L2280">
        <v>1053306295097</v>
      </c>
      <c r="M2280">
        <v>20250630</v>
      </c>
      <c r="N2280" t="s">
        <v>175</v>
      </c>
      <c r="Q2280" t="s">
        <v>47</v>
      </c>
      <c r="R2280">
        <v>69625.11</v>
      </c>
      <c r="S2280">
        <v>41525</v>
      </c>
      <c r="T2280">
        <v>3722060</v>
      </c>
      <c r="U2280">
        <v>6848960727</v>
      </c>
      <c r="V2280" t="s">
        <v>585</v>
      </c>
      <c r="W2280" t="s">
        <v>49</v>
      </c>
      <c r="X2280" t="s">
        <v>62</v>
      </c>
      <c r="Y2280" t="s">
        <v>51</v>
      </c>
      <c r="Z2280">
        <v>1058</v>
      </c>
      <c r="AH2280">
        <v>0</v>
      </c>
      <c r="AI2280">
        <v>202506</v>
      </c>
      <c r="AJ2280" t="s">
        <v>86</v>
      </c>
      <c r="AK2280">
        <v>1</v>
      </c>
      <c r="AL2280">
        <v>1</v>
      </c>
      <c r="AM2280">
        <v>3722060</v>
      </c>
      <c r="AN2280">
        <v>1</v>
      </c>
      <c r="AO2280">
        <v>1</v>
      </c>
      <c r="AP2280" t="s">
        <v>3015</v>
      </c>
      <c r="AQ2280" t="s">
        <v>3012</v>
      </c>
      <c r="AR2280" t="s">
        <v>3016</v>
      </c>
      <c r="AT2280" t="s">
        <v>3017</v>
      </c>
      <c r="AU2280" t="s">
        <v>3018</v>
      </c>
    </row>
    <row r="2281" spans="1:47" x14ac:dyDescent="0.35">
      <c r="A2281">
        <v>360617</v>
      </c>
      <c r="B2281" t="s">
        <v>193</v>
      </c>
      <c r="C2281" t="s">
        <v>194</v>
      </c>
      <c r="D2281" s="2">
        <v>45839</v>
      </c>
      <c r="E2281">
        <v>53850</v>
      </c>
      <c r="F2281">
        <v>282</v>
      </c>
      <c r="G2281" t="s">
        <v>433</v>
      </c>
      <c r="H2281" t="s">
        <v>167</v>
      </c>
      <c r="I2281" t="s">
        <v>45</v>
      </c>
      <c r="K2281" t="s">
        <v>2272</v>
      </c>
      <c r="L2281">
        <v>2823300000235</v>
      </c>
      <c r="M2281">
        <v>20250630</v>
      </c>
      <c r="N2281" t="s">
        <v>175</v>
      </c>
      <c r="Q2281" t="s">
        <v>47</v>
      </c>
      <c r="R2281">
        <v>35587.279999999999</v>
      </c>
      <c r="S2281">
        <v>32370</v>
      </c>
      <c r="T2281">
        <v>1604851</v>
      </c>
      <c r="U2281">
        <v>2104830696</v>
      </c>
      <c r="V2281" t="s">
        <v>2301</v>
      </c>
      <c r="W2281" t="s">
        <v>49</v>
      </c>
      <c r="X2281" t="s">
        <v>117</v>
      </c>
      <c r="Y2281" t="s">
        <v>51</v>
      </c>
      <c r="Z2281">
        <v>1387</v>
      </c>
      <c r="AH2281">
        <v>0</v>
      </c>
      <c r="AI2281">
        <v>202506</v>
      </c>
      <c r="AJ2281" t="s">
        <v>86</v>
      </c>
      <c r="AK2281">
        <v>1</v>
      </c>
      <c r="AL2281">
        <v>1</v>
      </c>
      <c r="AM2281">
        <v>1604851</v>
      </c>
      <c r="AN2281">
        <v>1</v>
      </c>
      <c r="AO2281">
        <v>1</v>
      </c>
      <c r="AP2281" t="s">
        <v>3029</v>
      </c>
      <c r="AQ2281" t="s">
        <v>3012</v>
      </c>
      <c r="AR2281" t="s">
        <v>3030</v>
      </c>
      <c r="AS2281" t="s">
        <v>3014</v>
      </c>
      <c r="AU2281" t="s">
        <v>3014</v>
      </c>
    </row>
    <row r="2282" spans="1:47" x14ac:dyDescent="0.35">
      <c r="A2282">
        <v>360616</v>
      </c>
      <c r="B2282" t="s">
        <v>172</v>
      </c>
      <c r="C2282" t="s">
        <v>173</v>
      </c>
      <c r="D2282" s="2">
        <v>45839</v>
      </c>
      <c r="E2282">
        <v>53850</v>
      </c>
      <c r="F2282">
        <v>128</v>
      </c>
      <c r="G2282" t="s">
        <v>94</v>
      </c>
      <c r="H2282" t="s">
        <v>167</v>
      </c>
      <c r="I2282" t="s">
        <v>45</v>
      </c>
      <c r="K2282" t="s">
        <v>2272</v>
      </c>
      <c r="L2282">
        <v>1283300001665</v>
      </c>
      <c r="M2282">
        <v>20250630</v>
      </c>
      <c r="N2282" t="s">
        <v>175</v>
      </c>
      <c r="Q2282" t="s">
        <v>47</v>
      </c>
      <c r="R2282">
        <v>272187.84999999998</v>
      </c>
      <c r="S2282">
        <v>0</v>
      </c>
      <c r="T2282">
        <v>4254896</v>
      </c>
      <c r="U2282">
        <v>6234730726</v>
      </c>
      <c r="V2282" t="s">
        <v>95</v>
      </c>
      <c r="W2282" t="s">
        <v>49</v>
      </c>
      <c r="X2282" t="s">
        <v>96</v>
      </c>
      <c r="Y2282" t="s">
        <v>51</v>
      </c>
      <c r="Z2282">
        <v>1919</v>
      </c>
      <c r="AH2282">
        <v>0</v>
      </c>
      <c r="AI2282">
        <v>202506</v>
      </c>
      <c r="AJ2282" t="s">
        <v>86</v>
      </c>
      <c r="AK2282">
        <v>1</v>
      </c>
      <c r="AL2282">
        <v>1</v>
      </c>
      <c r="AO2282">
        <v>1</v>
      </c>
      <c r="AP2282" t="s">
        <v>3015</v>
      </c>
      <c r="AQ2282" t="s">
        <v>3012</v>
      </c>
      <c r="AR2282" t="s">
        <v>3016</v>
      </c>
      <c r="AT2282" t="s">
        <v>3017</v>
      </c>
      <c r="AU2282" t="s">
        <v>3018</v>
      </c>
    </row>
    <row r="2283" spans="1:47" x14ac:dyDescent="0.35">
      <c r="A2283">
        <v>360615</v>
      </c>
      <c r="B2283" t="s">
        <v>172</v>
      </c>
      <c r="C2283" t="s">
        <v>173</v>
      </c>
      <c r="D2283" s="2">
        <v>45839</v>
      </c>
      <c r="E2283">
        <v>53850</v>
      </c>
      <c r="F2283">
        <v>104</v>
      </c>
      <c r="G2283" t="s">
        <v>108</v>
      </c>
      <c r="H2283" t="s">
        <v>167</v>
      </c>
      <c r="I2283" t="s">
        <v>45</v>
      </c>
      <c r="K2283" t="s">
        <v>2272</v>
      </c>
      <c r="L2283">
        <v>1043304173550</v>
      </c>
      <c r="M2283">
        <v>20250630</v>
      </c>
      <c r="N2283" t="s">
        <v>175</v>
      </c>
      <c r="Q2283" t="s">
        <v>47</v>
      </c>
      <c r="R2283">
        <v>192719.84</v>
      </c>
      <c r="S2283">
        <v>0</v>
      </c>
      <c r="T2283">
        <v>417355</v>
      </c>
      <c r="U2283">
        <v>374690725</v>
      </c>
      <c r="V2283" t="s">
        <v>109</v>
      </c>
      <c r="W2283" t="s">
        <v>49</v>
      </c>
      <c r="X2283" t="s">
        <v>110</v>
      </c>
      <c r="Y2283" t="s">
        <v>51</v>
      </c>
      <c r="Z2283">
        <v>1919</v>
      </c>
      <c r="AH2283">
        <v>0</v>
      </c>
      <c r="AI2283">
        <v>202506</v>
      </c>
      <c r="AJ2283" t="s">
        <v>86</v>
      </c>
      <c r="AK2283">
        <v>1</v>
      </c>
      <c r="AL2283">
        <v>1</v>
      </c>
      <c r="AM2283">
        <v>417355</v>
      </c>
      <c r="AN2283">
        <v>1</v>
      </c>
      <c r="AO2283">
        <v>1</v>
      </c>
      <c r="AP2283" t="s">
        <v>3026</v>
      </c>
      <c r="AQ2283" t="s">
        <v>3012</v>
      </c>
      <c r="AR2283" t="s">
        <v>3027</v>
      </c>
      <c r="AS2283" t="s">
        <v>3028</v>
      </c>
      <c r="AU2283" t="s">
        <v>3028</v>
      </c>
    </row>
    <row r="2284" spans="1:47" x14ac:dyDescent="0.35">
      <c r="A2284">
        <v>360614</v>
      </c>
      <c r="B2284" t="s">
        <v>193</v>
      </c>
      <c r="C2284" t="s">
        <v>194</v>
      </c>
      <c r="D2284" s="2">
        <v>45839</v>
      </c>
      <c r="E2284">
        <v>53850</v>
      </c>
      <c r="F2284">
        <v>273</v>
      </c>
      <c r="G2284" t="s">
        <v>133</v>
      </c>
      <c r="H2284" t="s">
        <v>167</v>
      </c>
      <c r="I2284" t="s">
        <v>45</v>
      </c>
      <c r="K2284">
        <v>202506308141372</v>
      </c>
      <c r="L2284">
        <v>2733300011096</v>
      </c>
      <c r="M2284">
        <v>20250630</v>
      </c>
      <c r="N2284" t="s">
        <v>195</v>
      </c>
      <c r="Q2284" t="s">
        <v>47</v>
      </c>
      <c r="R2284">
        <v>38050</v>
      </c>
      <c r="S2284">
        <v>38050</v>
      </c>
      <c r="T2284">
        <v>4952222</v>
      </c>
      <c r="U2284">
        <v>2570330692</v>
      </c>
      <c r="V2284" t="s">
        <v>2302</v>
      </c>
      <c r="W2284" t="s">
        <v>49</v>
      </c>
      <c r="X2284" t="s">
        <v>55</v>
      </c>
      <c r="Y2284" t="s">
        <v>51</v>
      </c>
      <c r="Z2284">
        <v>1805</v>
      </c>
      <c r="AH2284">
        <v>0</v>
      </c>
      <c r="AI2284">
        <v>202506</v>
      </c>
      <c r="AJ2284" t="s">
        <v>86</v>
      </c>
      <c r="AK2284">
        <v>1</v>
      </c>
      <c r="AL2284">
        <v>1</v>
      </c>
      <c r="AM2284">
        <v>4952222</v>
      </c>
      <c r="AN2284">
        <v>1</v>
      </c>
      <c r="AO2284">
        <v>0</v>
      </c>
      <c r="AP2284" t="s">
        <v>3015</v>
      </c>
      <c r="AQ2284" t="s">
        <v>3012</v>
      </c>
      <c r="AR2284" t="s">
        <v>3016</v>
      </c>
      <c r="AT2284" t="s">
        <v>3017</v>
      </c>
      <c r="AU2284" t="s">
        <v>3018</v>
      </c>
    </row>
    <row r="2285" spans="1:47" x14ac:dyDescent="0.35">
      <c r="A2285">
        <v>360613</v>
      </c>
      <c r="B2285" t="s">
        <v>172</v>
      </c>
      <c r="C2285" t="s">
        <v>173</v>
      </c>
      <c r="D2285" s="2">
        <v>45839</v>
      </c>
      <c r="E2285">
        <v>53850</v>
      </c>
      <c r="F2285">
        <v>108</v>
      </c>
      <c r="G2285" t="s">
        <v>124</v>
      </c>
      <c r="H2285" t="s">
        <v>167</v>
      </c>
      <c r="I2285" t="s">
        <v>45</v>
      </c>
      <c r="K2285" t="s">
        <v>2272</v>
      </c>
      <c r="L2285">
        <v>1083300011180</v>
      </c>
      <c r="M2285">
        <v>20250630</v>
      </c>
      <c r="N2285" t="s">
        <v>175</v>
      </c>
      <c r="Q2285" t="s">
        <v>47</v>
      </c>
      <c r="R2285">
        <v>152195.67000000001</v>
      </c>
      <c r="S2285">
        <v>0</v>
      </c>
      <c r="T2285">
        <v>1118</v>
      </c>
      <c r="U2285">
        <v>3246700722</v>
      </c>
      <c r="V2285" t="s">
        <v>125</v>
      </c>
      <c r="W2285" t="s">
        <v>49</v>
      </c>
      <c r="X2285" t="s">
        <v>96</v>
      </c>
      <c r="Y2285" t="s">
        <v>51</v>
      </c>
      <c r="Z2285">
        <v>1058</v>
      </c>
      <c r="AH2285">
        <v>0</v>
      </c>
      <c r="AI2285">
        <v>202506</v>
      </c>
      <c r="AJ2285" t="s">
        <v>86</v>
      </c>
      <c r="AK2285">
        <v>1</v>
      </c>
      <c r="AL2285">
        <v>1</v>
      </c>
      <c r="AO2285">
        <v>1</v>
      </c>
      <c r="AP2285" t="s">
        <v>3015</v>
      </c>
      <c r="AQ2285" t="s">
        <v>3012</v>
      </c>
      <c r="AR2285" t="s">
        <v>3016</v>
      </c>
      <c r="AT2285" t="s">
        <v>3017</v>
      </c>
      <c r="AU2285" t="s">
        <v>3018</v>
      </c>
    </row>
    <row r="2286" spans="1:47" x14ac:dyDescent="0.35">
      <c r="A2286">
        <v>360612</v>
      </c>
      <c r="B2286" t="s">
        <v>193</v>
      </c>
      <c r="C2286" t="s">
        <v>194</v>
      </c>
      <c r="D2286" s="2">
        <v>45839</v>
      </c>
      <c r="E2286">
        <v>53850</v>
      </c>
      <c r="F2286">
        <v>268</v>
      </c>
      <c r="G2286" t="s">
        <v>83</v>
      </c>
      <c r="H2286" t="s">
        <v>167</v>
      </c>
      <c r="I2286" t="s">
        <v>45</v>
      </c>
      <c r="K2286" t="s">
        <v>2272</v>
      </c>
      <c r="L2286">
        <v>2683300010030</v>
      </c>
      <c r="M2286">
        <v>20250630</v>
      </c>
      <c r="N2286" t="s">
        <v>195</v>
      </c>
      <c r="Q2286" t="s">
        <v>47</v>
      </c>
      <c r="R2286">
        <v>39450</v>
      </c>
      <c r="S2286">
        <v>39450</v>
      </c>
      <c r="T2286">
        <v>4966939</v>
      </c>
      <c r="U2286" t="s">
        <v>221</v>
      </c>
      <c r="V2286" t="s">
        <v>222</v>
      </c>
      <c r="W2286" t="s">
        <v>69</v>
      </c>
      <c r="X2286" t="s">
        <v>55</v>
      </c>
      <c r="Y2286" t="s">
        <v>51</v>
      </c>
      <c r="Z2286">
        <v>1870</v>
      </c>
      <c r="AH2286">
        <v>0</v>
      </c>
      <c r="AI2286">
        <v>202506</v>
      </c>
      <c r="AJ2286" t="s">
        <v>56</v>
      </c>
      <c r="AK2286">
        <v>0</v>
      </c>
      <c r="AL2286">
        <v>1</v>
      </c>
      <c r="AM2286">
        <v>4966939</v>
      </c>
      <c r="AN2286">
        <v>1</v>
      </c>
      <c r="AO2286">
        <v>0</v>
      </c>
      <c r="AP2286" t="s">
        <v>3015</v>
      </c>
      <c r="AQ2286" t="s">
        <v>3021</v>
      </c>
      <c r="AR2286" t="s">
        <v>3022</v>
      </c>
      <c r="AT2286" t="s">
        <v>3017</v>
      </c>
      <c r="AU2286" t="s">
        <v>3014</v>
      </c>
    </row>
    <row r="2287" spans="1:47" x14ac:dyDescent="0.35">
      <c r="A2287">
        <v>360611</v>
      </c>
      <c r="B2287" t="s">
        <v>164</v>
      </c>
      <c r="C2287" t="s">
        <v>165</v>
      </c>
      <c r="D2287" s="2">
        <v>45839</v>
      </c>
      <c r="E2287">
        <v>53850</v>
      </c>
      <c r="F2287">
        <v>282</v>
      </c>
      <c r="G2287" t="s">
        <v>433</v>
      </c>
      <c r="H2287" t="s">
        <v>167</v>
      </c>
      <c r="I2287" t="s">
        <v>45</v>
      </c>
      <c r="K2287" t="s">
        <v>2303</v>
      </c>
      <c r="L2287">
        <v>2823300001773</v>
      </c>
      <c r="M2287">
        <v>20250630</v>
      </c>
      <c r="N2287" t="s">
        <v>168</v>
      </c>
      <c r="P2287" t="s">
        <v>435</v>
      </c>
      <c r="Q2287" t="s">
        <v>47</v>
      </c>
      <c r="R2287">
        <v>3000</v>
      </c>
      <c r="S2287">
        <v>0</v>
      </c>
      <c r="T2287">
        <v>1669726</v>
      </c>
      <c r="U2287" t="s">
        <v>436</v>
      </c>
      <c r="V2287" t="s">
        <v>437</v>
      </c>
      <c r="W2287" t="s">
        <v>187</v>
      </c>
      <c r="Y2287" t="s">
        <v>51</v>
      </c>
      <c r="Z2287">
        <v>1802</v>
      </c>
      <c r="AH2287">
        <v>0</v>
      </c>
      <c r="AI2287">
        <v>202506</v>
      </c>
      <c r="AJ2287" t="s">
        <v>86</v>
      </c>
      <c r="AK2287">
        <v>1</v>
      </c>
      <c r="AL2287">
        <v>1</v>
      </c>
      <c r="AO2287">
        <v>0</v>
      </c>
      <c r="AP2287" t="s">
        <v>3015</v>
      </c>
      <c r="AQ2287" t="s">
        <v>3044</v>
      </c>
      <c r="AR2287" t="s">
        <v>3045</v>
      </c>
      <c r="AS2287" t="s">
        <v>3046</v>
      </c>
      <c r="AU2287" t="s">
        <v>3046</v>
      </c>
    </row>
    <row r="2288" spans="1:47" x14ac:dyDescent="0.35">
      <c r="A2288">
        <v>360610</v>
      </c>
      <c r="B2288" t="s">
        <v>172</v>
      </c>
      <c r="C2288" t="s">
        <v>173</v>
      </c>
      <c r="D2288" s="2">
        <v>45839</v>
      </c>
      <c r="E2288">
        <v>53850</v>
      </c>
      <c r="F2288">
        <v>102</v>
      </c>
      <c r="G2288" t="s">
        <v>151</v>
      </c>
      <c r="H2288" t="s">
        <v>167</v>
      </c>
      <c r="I2288" t="s">
        <v>45</v>
      </c>
      <c r="K2288" t="s">
        <v>2272</v>
      </c>
      <c r="L2288">
        <v>1023300660520</v>
      </c>
      <c r="M2288">
        <v>20250630</v>
      </c>
      <c r="N2288" t="s">
        <v>175</v>
      </c>
      <c r="Q2288" t="s">
        <v>47</v>
      </c>
      <c r="R2288">
        <v>110530</v>
      </c>
      <c r="S2288">
        <v>40285</v>
      </c>
      <c r="T2288">
        <v>66052</v>
      </c>
      <c r="U2288">
        <v>398110726</v>
      </c>
      <c r="V2288" t="s">
        <v>426</v>
      </c>
      <c r="W2288" t="s">
        <v>49</v>
      </c>
      <c r="X2288" t="s">
        <v>59</v>
      </c>
      <c r="Y2288" t="s">
        <v>51</v>
      </c>
      <c r="Z2288">
        <v>1203</v>
      </c>
      <c r="AH2288">
        <v>0</v>
      </c>
      <c r="AI2288">
        <v>202506</v>
      </c>
      <c r="AJ2288" t="s">
        <v>119</v>
      </c>
      <c r="AK2288">
        <v>1</v>
      </c>
      <c r="AL2288">
        <v>1</v>
      </c>
      <c r="AM2288">
        <v>66052</v>
      </c>
      <c r="AN2288">
        <v>1</v>
      </c>
      <c r="AO2288">
        <v>1</v>
      </c>
      <c r="AP2288" t="s">
        <v>3015</v>
      </c>
      <c r="AQ2288" t="s">
        <v>3012</v>
      </c>
      <c r="AR2288" t="s">
        <v>3016</v>
      </c>
      <c r="AT2288" t="s">
        <v>3017</v>
      </c>
      <c r="AU2288" t="s">
        <v>3018</v>
      </c>
    </row>
    <row r="2289" spans="1:47" x14ac:dyDescent="0.35">
      <c r="A2289">
        <v>360609</v>
      </c>
      <c r="B2289" t="s">
        <v>178</v>
      </c>
      <c r="C2289" t="s">
        <v>179</v>
      </c>
      <c r="D2289" s="2">
        <v>45839</v>
      </c>
      <c r="E2289">
        <v>53850</v>
      </c>
      <c r="F2289">
        <v>102</v>
      </c>
      <c r="G2289" t="s">
        <v>151</v>
      </c>
      <c r="H2289" t="s">
        <v>167</v>
      </c>
      <c r="I2289" t="s">
        <v>45</v>
      </c>
      <c r="K2289">
        <v>202506308141571</v>
      </c>
      <c r="L2289">
        <v>1023308722935</v>
      </c>
      <c r="M2289">
        <v>20250630</v>
      </c>
      <c r="N2289" t="s">
        <v>236</v>
      </c>
      <c r="P2289" t="s">
        <v>51</v>
      </c>
      <c r="Q2289" t="s">
        <v>170</v>
      </c>
      <c r="R2289">
        <v>200050</v>
      </c>
      <c r="S2289">
        <v>0</v>
      </c>
      <c r="T2289">
        <v>612137</v>
      </c>
      <c r="U2289" t="s">
        <v>2304</v>
      </c>
      <c r="V2289" t="s">
        <v>2305</v>
      </c>
      <c r="W2289" t="s">
        <v>187</v>
      </c>
      <c r="Y2289" t="s">
        <v>51</v>
      </c>
      <c r="Z2289">
        <v>1431</v>
      </c>
      <c r="AH2289">
        <v>0</v>
      </c>
      <c r="AI2289">
        <v>202506</v>
      </c>
      <c r="AJ2289" t="s">
        <v>86</v>
      </c>
      <c r="AK2289">
        <v>1</v>
      </c>
      <c r="AL2289">
        <v>1</v>
      </c>
      <c r="AO2289">
        <v>0</v>
      </c>
      <c r="AP2289" t="s">
        <v>3015</v>
      </c>
      <c r="AQ2289" t="s">
        <v>3044</v>
      </c>
      <c r="AR2289" t="s">
        <v>3045</v>
      </c>
      <c r="AS2289" t="s">
        <v>3046</v>
      </c>
      <c r="AU2289" t="s">
        <v>3046</v>
      </c>
    </row>
    <row r="2290" spans="1:47" x14ac:dyDescent="0.35">
      <c r="A2290">
        <v>360608</v>
      </c>
      <c r="B2290" t="s">
        <v>178</v>
      </c>
      <c r="C2290" t="s">
        <v>179</v>
      </c>
      <c r="D2290" s="2">
        <v>45839</v>
      </c>
      <c r="E2290">
        <v>53850</v>
      </c>
      <c r="F2290">
        <v>122</v>
      </c>
      <c r="G2290" t="s">
        <v>43</v>
      </c>
      <c r="H2290" t="s">
        <v>167</v>
      </c>
      <c r="I2290" t="s">
        <v>45</v>
      </c>
      <c r="K2290">
        <v>202506308138092</v>
      </c>
      <c r="L2290">
        <v>1223300001682</v>
      </c>
      <c r="M2290">
        <v>20250630</v>
      </c>
      <c r="N2290" t="s">
        <v>46</v>
      </c>
      <c r="P2290" t="s">
        <v>51</v>
      </c>
      <c r="Q2290" t="s">
        <v>47</v>
      </c>
      <c r="R2290">
        <v>1223637.99</v>
      </c>
      <c r="S2290">
        <v>0</v>
      </c>
      <c r="T2290">
        <v>3711207</v>
      </c>
      <c r="U2290">
        <v>8825020723</v>
      </c>
      <c r="V2290" t="s">
        <v>48</v>
      </c>
      <c r="W2290" t="s">
        <v>49</v>
      </c>
      <c r="X2290" t="s">
        <v>50</v>
      </c>
      <c r="Y2290" t="s">
        <v>51</v>
      </c>
      <c r="Z2290">
        <v>1696</v>
      </c>
      <c r="AH2290">
        <v>0</v>
      </c>
      <c r="AI2290">
        <v>202506</v>
      </c>
      <c r="AJ2290" t="s">
        <v>86</v>
      </c>
      <c r="AK2290">
        <v>1</v>
      </c>
      <c r="AL2290">
        <v>1</v>
      </c>
      <c r="AO2290">
        <v>0</v>
      </c>
      <c r="AP2290" t="s">
        <v>3011</v>
      </c>
      <c r="AQ2290" t="s">
        <v>3012</v>
      </c>
      <c r="AR2290" t="s">
        <v>3013</v>
      </c>
      <c r="AS2290" t="s">
        <v>3014</v>
      </c>
      <c r="AU2290" t="s">
        <v>3014</v>
      </c>
    </row>
    <row r="2291" spans="1:47" x14ac:dyDescent="0.35">
      <c r="A2291">
        <v>360607</v>
      </c>
      <c r="B2291" t="s">
        <v>172</v>
      </c>
      <c r="C2291" t="s">
        <v>173</v>
      </c>
      <c r="D2291" s="2">
        <v>45839</v>
      </c>
      <c r="E2291">
        <v>53850</v>
      </c>
      <c r="F2291">
        <v>226</v>
      </c>
      <c r="G2291" t="s">
        <v>129</v>
      </c>
      <c r="H2291" t="s">
        <v>167</v>
      </c>
      <c r="I2291" t="s">
        <v>45</v>
      </c>
      <c r="K2291">
        <v>202506308142356</v>
      </c>
      <c r="L2291">
        <v>2263300012166</v>
      </c>
      <c r="M2291">
        <v>20250630</v>
      </c>
      <c r="N2291" t="s">
        <v>81</v>
      </c>
      <c r="Q2291" t="s">
        <v>47</v>
      </c>
      <c r="R2291">
        <v>300000</v>
      </c>
      <c r="S2291">
        <v>0</v>
      </c>
      <c r="T2291">
        <v>3746195</v>
      </c>
      <c r="U2291">
        <v>8613210726</v>
      </c>
      <c r="V2291" t="s">
        <v>2306</v>
      </c>
      <c r="W2291" t="s">
        <v>49</v>
      </c>
      <c r="X2291" t="s">
        <v>59</v>
      </c>
      <c r="Y2291" t="s">
        <v>51</v>
      </c>
      <c r="Z2291">
        <v>1530</v>
      </c>
      <c r="AH2291">
        <v>0</v>
      </c>
      <c r="AI2291">
        <v>202506</v>
      </c>
      <c r="AJ2291" t="s">
        <v>86</v>
      </c>
      <c r="AK2291">
        <v>1</v>
      </c>
      <c r="AL2291">
        <v>1</v>
      </c>
      <c r="AO2291">
        <v>0</v>
      </c>
      <c r="AP2291" t="s">
        <v>3015</v>
      </c>
      <c r="AQ2291" t="s">
        <v>3012</v>
      </c>
      <c r="AR2291" t="s">
        <v>3016</v>
      </c>
      <c r="AT2291" t="s">
        <v>3017</v>
      </c>
      <c r="AU2291" t="s">
        <v>3018</v>
      </c>
    </row>
    <row r="2292" spans="1:47" x14ac:dyDescent="0.35">
      <c r="A2292">
        <v>360606</v>
      </c>
      <c r="B2292" t="s">
        <v>193</v>
      </c>
      <c r="C2292" t="s">
        <v>194</v>
      </c>
      <c r="D2292" s="2">
        <v>45839</v>
      </c>
      <c r="E2292">
        <v>53850</v>
      </c>
      <c r="F2292">
        <v>198</v>
      </c>
      <c r="G2292" t="s">
        <v>300</v>
      </c>
      <c r="H2292" t="s">
        <v>167</v>
      </c>
      <c r="I2292" t="s">
        <v>45</v>
      </c>
      <c r="K2292" t="s">
        <v>2272</v>
      </c>
      <c r="L2292">
        <v>1983300002455</v>
      </c>
      <c r="M2292">
        <v>20250630</v>
      </c>
      <c r="N2292" t="s">
        <v>195</v>
      </c>
      <c r="Q2292" t="s">
        <v>47</v>
      </c>
      <c r="R2292">
        <v>32050</v>
      </c>
      <c r="S2292">
        <v>32050</v>
      </c>
      <c r="T2292">
        <v>4830377</v>
      </c>
      <c r="U2292" t="s">
        <v>2307</v>
      </c>
      <c r="V2292" t="s">
        <v>2308</v>
      </c>
      <c r="W2292" t="s">
        <v>69</v>
      </c>
      <c r="X2292" t="s">
        <v>55</v>
      </c>
      <c r="Y2292" t="s">
        <v>51</v>
      </c>
      <c r="Z2292">
        <v>1923</v>
      </c>
      <c r="AH2292">
        <v>0</v>
      </c>
      <c r="AI2292">
        <v>202506</v>
      </c>
      <c r="AJ2292" t="s">
        <v>56</v>
      </c>
      <c r="AK2292">
        <v>0</v>
      </c>
      <c r="AL2292">
        <v>1</v>
      </c>
      <c r="AM2292">
        <v>4830377</v>
      </c>
      <c r="AN2292">
        <v>1</v>
      </c>
      <c r="AO2292">
        <v>0</v>
      </c>
      <c r="AP2292" t="s">
        <v>3015</v>
      </c>
      <c r="AQ2292" t="s">
        <v>3021</v>
      </c>
      <c r="AR2292" t="s">
        <v>3022</v>
      </c>
      <c r="AT2292" t="s">
        <v>3017</v>
      </c>
      <c r="AU2292" t="s">
        <v>3014</v>
      </c>
    </row>
    <row r="2293" spans="1:47" x14ac:dyDescent="0.35">
      <c r="A2293">
        <v>360605</v>
      </c>
      <c r="B2293" t="s">
        <v>164</v>
      </c>
      <c r="C2293" t="s">
        <v>165</v>
      </c>
      <c r="D2293" s="2">
        <v>45839</v>
      </c>
      <c r="E2293">
        <v>53850</v>
      </c>
      <c r="F2293">
        <v>170</v>
      </c>
      <c r="G2293" t="s">
        <v>211</v>
      </c>
      <c r="H2293" t="s">
        <v>167</v>
      </c>
      <c r="I2293" t="s">
        <v>45</v>
      </c>
      <c r="K2293">
        <v>202506308138263</v>
      </c>
      <c r="L2293">
        <v>1701200589881</v>
      </c>
      <c r="M2293">
        <v>20250630</v>
      </c>
      <c r="N2293" t="s">
        <v>168</v>
      </c>
      <c r="P2293" t="s">
        <v>169</v>
      </c>
      <c r="Q2293" t="s">
        <v>170</v>
      </c>
      <c r="R2293">
        <v>27167</v>
      </c>
      <c r="S2293">
        <v>0</v>
      </c>
      <c r="T2293">
        <v>589881</v>
      </c>
      <c r="U2293">
        <v>2615270721</v>
      </c>
      <c r="V2293" t="s">
        <v>2286</v>
      </c>
      <c r="W2293" t="s">
        <v>49</v>
      </c>
      <c r="X2293" t="s">
        <v>2287</v>
      </c>
      <c r="Y2293" t="s">
        <v>51</v>
      </c>
      <c r="Z2293">
        <v>1920</v>
      </c>
      <c r="AH2293">
        <v>0</v>
      </c>
      <c r="AI2293">
        <v>202506</v>
      </c>
      <c r="AJ2293" t="s">
        <v>86</v>
      </c>
      <c r="AK2293">
        <v>1</v>
      </c>
      <c r="AL2293">
        <v>1</v>
      </c>
      <c r="AO2293">
        <v>0</v>
      </c>
      <c r="AP2293" t="s">
        <v>3015</v>
      </c>
      <c r="AQ2293" t="s">
        <v>3012</v>
      </c>
      <c r="AR2293" t="s">
        <v>3016</v>
      </c>
      <c r="AT2293" t="s">
        <v>3017</v>
      </c>
      <c r="AU2293" t="s">
        <v>3018</v>
      </c>
    </row>
    <row r="2294" spans="1:47" x14ac:dyDescent="0.35">
      <c r="A2294">
        <v>360604</v>
      </c>
      <c r="B2294" t="s">
        <v>172</v>
      </c>
      <c r="C2294" t="s">
        <v>173</v>
      </c>
      <c r="D2294" s="2">
        <v>45839</v>
      </c>
      <c r="E2294">
        <v>53850</v>
      </c>
      <c r="F2294">
        <v>102</v>
      </c>
      <c r="G2294" t="s">
        <v>151</v>
      </c>
      <c r="H2294" t="s">
        <v>167</v>
      </c>
      <c r="I2294" t="s">
        <v>45</v>
      </c>
      <c r="K2294">
        <v>202506308141600</v>
      </c>
      <c r="L2294">
        <v>1023306272895</v>
      </c>
      <c r="M2294">
        <v>20250630</v>
      </c>
      <c r="N2294" t="s">
        <v>231</v>
      </c>
      <c r="Q2294" t="s">
        <v>47</v>
      </c>
      <c r="R2294">
        <v>433000</v>
      </c>
      <c r="S2294">
        <v>0</v>
      </c>
      <c r="T2294">
        <v>135922</v>
      </c>
      <c r="U2294" t="s">
        <v>2309</v>
      </c>
      <c r="V2294" t="s">
        <v>2310</v>
      </c>
      <c r="W2294" t="s">
        <v>187</v>
      </c>
      <c r="Y2294" t="s">
        <v>51</v>
      </c>
      <c r="Z2294">
        <v>1335</v>
      </c>
      <c r="AH2294">
        <v>0</v>
      </c>
      <c r="AI2294">
        <v>202506</v>
      </c>
      <c r="AJ2294" t="s">
        <v>86</v>
      </c>
      <c r="AK2294">
        <v>1</v>
      </c>
      <c r="AL2294">
        <v>1</v>
      </c>
      <c r="AO2294">
        <v>0</v>
      </c>
      <c r="AP2294" t="s">
        <v>3015</v>
      </c>
      <c r="AQ2294" t="s">
        <v>3044</v>
      </c>
      <c r="AR2294" t="s">
        <v>3045</v>
      </c>
      <c r="AS2294" t="s">
        <v>3046</v>
      </c>
      <c r="AU2294" t="s">
        <v>3046</v>
      </c>
    </row>
    <row r="2295" spans="1:47" x14ac:dyDescent="0.35">
      <c r="A2295">
        <v>360603</v>
      </c>
      <c r="B2295" t="s">
        <v>178</v>
      </c>
      <c r="C2295" t="s">
        <v>179</v>
      </c>
      <c r="D2295" s="2">
        <v>45839</v>
      </c>
      <c r="E2295">
        <v>53850</v>
      </c>
      <c r="F2295">
        <v>116</v>
      </c>
      <c r="G2295" t="s">
        <v>126</v>
      </c>
      <c r="H2295" t="s">
        <v>167</v>
      </c>
      <c r="I2295" t="s">
        <v>45</v>
      </c>
      <c r="K2295">
        <v>202506308141818</v>
      </c>
      <c r="L2295">
        <v>2343300010453</v>
      </c>
      <c r="M2295">
        <v>20250630</v>
      </c>
      <c r="N2295" t="s">
        <v>223</v>
      </c>
      <c r="Q2295" t="s">
        <v>170</v>
      </c>
      <c r="R2295">
        <v>3000000</v>
      </c>
      <c r="S2295">
        <v>0</v>
      </c>
      <c r="T2295">
        <v>4247777</v>
      </c>
      <c r="U2295">
        <v>233470236</v>
      </c>
      <c r="V2295" t="s">
        <v>206</v>
      </c>
      <c r="W2295" t="s">
        <v>49</v>
      </c>
      <c r="X2295" t="s">
        <v>117</v>
      </c>
      <c r="Y2295" t="s">
        <v>51</v>
      </c>
      <c r="Z2295">
        <v>1696</v>
      </c>
      <c r="AH2295">
        <v>0</v>
      </c>
      <c r="AI2295">
        <v>202506</v>
      </c>
      <c r="AJ2295" t="s">
        <v>86</v>
      </c>
      <c r="AK2295">
        <v>1</v>
      </c>
      <c r="AL2295">
        <v>1</v>
      </c>
      <c r="AM2295">
        <v>4247777</v>
      </c>
      <c r="AN2295">
        <v>1</v>
      </c>
      <c r="AO2295">
        <v>0</v>
      </c>
      <c r="AP2295" t="s">
        <v>3029</v>
      </c>
      <c r="AQ2295" t="s">
        <v>3012</v>
      </c>
      <c r="AR2295" t="s">
        <v>3030</v>
      </c>
      <c r="AS2295" t="s">
        <v>3014</v>
      </c>
      <c r="AU2295" t="s">
        <v>3014</v>
      </c>
    </row>
    <row r="2296" spans="1:47" x14ac:dyDescent="0.35">
      <c r="A2296">
        <v>360602</v>
      </c>
      <c r="B2296" t="s">
        <v>193</v>
      </c>
      <c r="C2296" t="s">
        <v>194</v>
      </c>
      <c r="D2296" s="2">
        <v>45839</v>
      </c>
      <c r="E2296">
        <v>53850</v>
      </c>
      <c r="F2296">
        <v>269</v>
      </c>
      <c r="G2296" t="s">
        <v>265</v>
      </c>
      <c r="H2296" t="s">
        <v>167</v>
      </c>
      <c r="I2296" t="s">
        <v>45</v>
      </c>
      <c r="K2296">
        <v>202506308142455</v>
      </c>
      <c r="L2296">
        <v>2693300001614</v>
      </c>
      <c r="M2296">
        <v>20250630</v>
      </c>
      <c r="N2296" t="s">
        <v>266</v>
      </c>
      <c r="Q2296" t="s">
        <v>47</v>
      </c>
      <c r="R2296">
        <v>32780</v>
      </c>
      <c r="S2296">
        <v>32780</v>
      </c>
      <c r="T2296">
        <v>1695085</v>
      </c>
      <c r="U2296" t="s">
        <v>267</v>
      </c>
      <c r="V2296" t="s">
        <v>268</v>
      </c>
      <c r="W2296" t="s">
        <v>69</v>
      </c>
      <c r="X2296" t="s">
        <v>55</v>
      </c>
      <c r="Y2296" t="s">
        <v>51</v>
      </c>
      <c r="Z2296">
        <v>1805</v>
      </c>
      <c r="AH2296">
        <v>0</v>
      </c>
      <c r="AI2296">
        <v>202506</v>
      </c>
      <c r="AJ2296" t="s">
        <v>119</v>
      </c>
      <c r="AK2296">
        <v>1</v>
      </c>
      <c r="AL2296">
        <v>1</v>
      </c>
      <c r="AM2296">
        <v>1695085</v>
      </c>
      <c r="AN2296">
        <v>1</v>
      </c>
      <c r="AO2296">
        <v>0</v>
      </c>
      <c r="AP2296" t="s">
        <v>3015</v>
      </c>
      <c r="AQ2296" t="s">
        <v>3021</v>
      </c>
      <c r="AR2296" t="s">
        <v>3022</v>
      </c>
      <c r="AT2296" t="s">
        <v>3017</v>
      </c>
      <c r="AU2296" t="s">
        <v>3014</v>
      </c>
    </row>
    <row r="2297" spans="1:47" x14ac:dyDescent="0.35">
      <c r="A2297">
        <v>360601</v>
      </c>
      <c r="B2297" t="s">
        <v>178</v>
      </c>
      <c r="C2297" t="s">
        <v>179</v>
      </c>
      <c r="D2297" s="2">
        <v>45839</v>
      </c>
      <c r="E2297">
        <v>53850</v>
      </c>
      <c r="F2297">
        <v>121</v>
      </c>
      <c r="G2297" t="s">
        <v>140</v>
      </c>
      <c r="H2297" t="s">
        <v>167</v>
      </c>
      <c r="I2297" t="s">
        <v>45</v>
      </c>
      <c r="K2297">
        <v>202506308137640</v>
      </c>
      <c r="L2297">
        <v>1213300002600</v>
      </c>
      <c r="M2297">
        <v>20250630</v>
      </c>
      <c r="N2297" t="s">
        <v>46</v>
      </c>
      <c r="P2297" t="s">
        <v>51</v>
      </c>
      <c r="Q2297" t="s">
        <v>47</v>
      </c>
      <c r="R2297">
        <v>1250596.58</v>
      </c>
      <c r="S2297">
        <v>0</v>
      </c>
      <c r="T2297">
        <v>4939345</v>
      </c>
      <c r="U2297">
        <v>5754810728</v>
      </c>
      <c r="V2297" t="s">
        <v>570</v>
      </c>
      <c r="W2297" t="s">
        <v>49</v>
      </c>
      <c r="X2297" t="s">
        <v>117</v>
      </c>
      <c r="Y2297" t="s">
        <v>51</v>
      </c>
      <c r="Z2297">
        <v>1058</v>
      </c>
      <c r="AH2297">
        <v>0</v>
      </c>
      <c r="AI2297">
        <v>202506</v>
      </c>
      <c r="AJ2297" t="s">
        <v>119</v>
      </c>
      <c r="AK2297">
        <v>1</v>
      </c>
      <c r="AL2297">
        <v>1</v>
      </c>
      <c r="AO2297">
        <v>0</v>
      </c>
      <c r="AP2297" t="s">
        <v>3029</v>
      </c>
      <c r="AQ2297" t="s">
        <v>3012</v>
      </c>
      <c r="AR2297" t="s">
        <v>3030</v>
      </c>
      <c r="AS2297" t="s">
        <v>3014</v>
      </c>
      <c r="AU2297" t="s">
        <v>3014</v>
      </c>
    </row>
    <row r="2298" spans="1:47" x14ac:dyDescent="0.35">
      <c r="A2298">
        <v>360600</v>
      </c>
      <c r="B2298" t="s">
        <v>178</v>
      </c>
      <c r="C2298" t="s">
        <v>179</v>
      </c>
      <c r="D2298" s="2">
        <v>45839</v>
      </c>
      <c r="E2298">
        <v>53850</v>
      </c>
      <c r="F2298">
        <v>116</v>
      </c>
      <c r="G2298" t="s">
        <v>126</v>
      </c>
      <c r="H2298" t="s">
        <v>167</v>
      </c>
      <c r="I2298" t="s">
        <v>45</v>
      </c>
      <c r="K2298">
        <v>202506308140882</v>
      </c>
      <c r="L2298">
        <v>2343300010453</v>
      </c>
      <c r="M2298">
        <v>20250630</v>
      </c>
      <c r="N2298" t="s">
        <v>223</v>
      </c>
      <c r="Q2298" t="s">
        <v>170</v>
      </c>
      <c r="R2298">
        <v>3137430</v>
      </c>
      <c r="S2298">
        <v>0</v>
      </c>
      <c r="T2298">
        <v>4247777</v>
      </c>
      <c r="U2298">
        <v>233470236</v>
      </c>
      <c r="V2298" t="s">
        <v>206</v>
      </c>
      <c r="W2298" t="s">
        <v>49</v>
      </c>
      <c r="X2298" t="s">
        <v>117</v>
      </c>
      <c r="Y2298" t="s">
        <v>51</v>
      </c>
      <c r="Z2298">
        <v>1696</v>
      </c>
      <c r="AH2298">
        <v>0</v>
      </c>
      <c r="AI2298">
        <v>202506</v>
      </c>
      <c r="AJ2298" t="s">
        <v>86</v>
      </c>
      <c r="AK2298">
        <v>1</v>
      </c>
      <c r="AL2298">
        <v>1</v>
      </c>
      <c r="AM2298">
        <v>4247777</v>
      </c>
      <c r="AN2298">
        <v>1</v>
      </c>
      <c r="AO2298">
        <v>0</v>
      </c>
      <c r="AP2298" t="s">
        <v>3029</v>
      </c>
      <c r="AQ2298" t="s">
        <v>3012</v>
      </c>
      <c r="AR2298" t="s">
        <v>3030</v>
      </c>
      <c r="AS2298" t="s">
        <v>3014</v>
      </c>
      <c r="AU2298" t="s">
        <v>3014</v>
      </c>
    </row>
    <row r="2299" spans="1:47" x14ac:dyDescent="0.35">
      <c r="A2299">
        <v>360599</v>
      </c>
      <c r="B2299" t="s">
        <v>172</v>
      </c>
      <c r="C2299" t="s">
        <v>173</v>
      </c>
      <c r="D2299" s="2">
        <v>45839</v>
      </c>
      <c r="E2299">
        <v>53850</v>
      </c>
      <c r="F2299">
        <v>287</v>
      </c>
      <c r="G2299" t="s">
        <v>707</v>
      </c>
      <c r="H2299" t="s">
        <v>167</v>
      </c>
      <c r="I2299" t="s">
        <v>45</v>
      </c>
      <c r="K2299" t="s">
        <v>2272</v>
      </c>
      <c r="L2299">
        <v>2873300001853</v>
      </c>
      <c r="M2299">
        <v>20250630</v>
      </c>
      <c r="N2299" t="s">
        <v>81</v>
      </c>
      <c r="Q2299" t="s">
        <v>47</v>
      </c>
      <c r="R2299">
        <v>100855.32</v>
      </c>
      <c r="S2299">
        <v>0</v>
      </c>
      <c r="T2299">
        <v>3722213</v>
      </c>
      <c r="U2299">
        <v>2021570698</v>
      </c>
      <c r="V2299" t="s">
        <v>708</v>
      </c>
      <c r="W2299" t="s">
        <v>49</v>
      </c>
      <c r="X2299" t="s">
        <v>117</v>
      </c>
      <c r="Y2299" t="s">
        <v>51</v>
      </c>
      <c r="Z2299">
        <v>1877</v>
      </c>
      <c r="AH2299">
        <v>0</v>
      </c>
      <c r="AI2299">
        <v>202506</v>
      </c>
      <c r="AJ2299" t="s">
        <v>86</v>
      </c>
      <c r="AK2299">
        <v>1</v>
      </c>
      <c r="AL2299">
        <v>1</v>
      </c>
      <c r="AM2299">
        <v>3722213</v>
      </c>
      <c r="AN2299">
        <v>1</v>
      </c>
      <c r="AO2299">
        <v>0</v>
      </c>
      <c r="AP2299" t="s">
        <v>3029</v>
      </c>
      <c r="AQ2299" t="s">
        <v>3012</v>
      </c>
      <c r="AR2299" t="s">
        <v>3030</v>
      </c>
      <c r="AS2299" t="s">
        <v>3014</v>
      </c>
      <c r="AU2299" t="s">
        <v>3014</v>
      </c>
    </row>
    <row r="2300" spans="1:47" x14ac:dyDescent="0.35">
      <c r="A2300">
        <v>360598</v>
      </c>
      <c r="B2300" t="s">
        <v>172</v>
      </c>
      <c r="C2300" t="s">
        <v>173</v>
      </c>
      <c r="D2300" s="2">
        <v>45839</v>
      </c>
      <c r="E2300">
        <v>53850</v>
      </c>
      <c r="F2300">
        <v>175</v>
      </c>
      <c r="G2300" t="s">
        <v>99</v>
      </c>
      <c r="H2300" t="s">
        <v>167</v>
      </c>
      <c r="I2300" t="s">
        <v>45</v>
      </c>
      <c r="K2300" t="s">
        <v>2272</v>
      </c>
      <c r="L2300">
        <v>1753302203127</v>
      </c>
      <c r="M2300">
        <v>20250630</v>
      </c>
      <c r="N2300" t="s">
        <v>175</v>
      </c>
      <c r="Q2300" t="s">
        <v>47</v>
      </c>
      <c r="R2300">
        <v>191299.57</v>
      </c>
      <c r="S2300">
        <v>28600</v>
      </c>
      <c r="T2300">
        <v>4160138</v>
      </c>
      <c r="U2300">
        <v>484200779</v>
      </c>
      <c r="V2300" t="s">
        <v>100</v>
      </c>
      <c r="W2300" t="s">
        <v>49</v>
      </c>
      <c r="X2300" t="s">
        <v>101</v>
      </c>
      <c r="Y2300" t="s">
        <v>51</v>
      </c>
      <c r="Z2300">
        <v>739</v>
      </c>
      <c r="AH2300">
        <v>0</v>
      </c>
      <c r="AI2300">
        <v>202506</v>
      </c>
      <c r="AJ2300" t="s">
        <v>86</v>
      </c>
      <c r="AK2300">
        <v>1</v>
      </c>
      <c r="AL2300">
        <v>1</v>
      </c>
      <c r="AM2300">
        <v>4160138</v>
      </c>
      <c r="AN2300">
        <v>1</v>
      </c>
      <c r="AO2300">
        <v>1</v>
      </c>
      <c r="AP2300" t="s">
        <v>3015</v>
      </c>
      <c r="AQ2300" t="s">
        <v>3012</v>
      </c>
      <c r="AR2300" t="s">
        <v>3016</v>
      </c>
      <c r="AT2300" t="s">
        <v>3017</v>
      </c>
      <c r="AU2300" t="s">
        <v>3018</v>
      </c>
    </row>
    <row r="2301" spans="1:47" x14ac:dyDescent="0.35">
      <c r="A2301">
        <v>360597</v>
      </c>
      <c r="B2301" t="s">
        <v>178</v>
      </c>
      <c r="C2301" t="s">
        <v>179</v>
      </c>
      <c r="D2301" s="2">
        <v>45839</v>
      </c>
      <c r="E2301">
        <v>53850</v>
      </c>
      <c r="F2301">
        <v>120</v>
      </c>
      <c r="G2301" t="s">
        <v>411</v>
      </c>
      <c r="H2301" t="s">
        <v>167</v>
      </c>
      <c r="I2301" t="s">
        <v>45</v>
      </c>
      <c r="K2301">
        <v>202506308138091</v>
      </c>
      <c r="L2301">
        <v>1203300002401</v>
      </c>
      <c r="M2301">
        <v>20250630</v>
      </c>
      <c r="N2301" t="s">
        <v>46</v>
      </c>
      <c r="P2301" t="s">
        <v>51</v>
      </c>
      <c r="Q2301" t="s">
        <v>47</v>
      </c>
      <c r="R2301">
        <v>2500000</v>
      </c>
      <c r="S2301">
        <v>0</v>
      </c>
      <c r="T2301">
        <v>613876</v>
      </c>
      <c r="U2301">
        <v>574290722</v>
      </c>
      <c r="V2301" t="s">
        <v>545</v>
      </c>
      <c r="W2301" t="s">
        <v>546</v>
      </c>
      <c r="X2301" t="s">
        <v>421</v>
      </c>
      <c r="Y2301" t="s">
        <v>51</v>
      </c>
      <c r="Z2301">
        <v>1058</v>
      </c>
      <c r="AH2301">
        <v>0</v>
      </c>
      <c r="AI2301">
        <v>202506</v>
      </c>
      <c r="AJ2301" t="s">
        <v>119</v>
      </c>
      <c r="AK2301">
        <v>1</v>
      </c>
      <c r="AL2301">
        <v>1</v>
      </c>
      <c r="AM2301">
        <v>613876</v>
      </c>
      <c r="AN2301">
        <v>1</v>
      </c>
      <c r="AO2301">
        <v>0</v>
      </c>
      <c r="AP2301" t="s">
        <v>3015</v>
      </c>
      <c r="AQ2301" t="s">
        <v>3076</v>
      </c>
      <c r="AR2301" t="s">
        <v>3077</v>
      </c>
      <c r="AT2301" t="s">
        <v>3017</v>
      </c>
      <c r="AU2301" t="s">
        <v>3014</v>
      </c>
    </row>
    <row r="2302" spans="1:47" x14ac:dyDescent="0.35">
      <c r="A2302">
        <v>360596</v>
      </c>
      <c r="B2302" t="s">
        <v>193</v>
      </c>
      <c r="C2302" t="s">
        <v>194</v>
      </c>
      <c r="D2302" s="2">
        <v>45839</v>
      </c>
      <c r="E2302">
        <v>53850</v>
      </c>
      <c r="F2302">
        <v>164</v>
      </c>
      <c r="G2302" t="s">
        <v>651</v>
      </c>
      <c r="H2302" t="s">
        <v>167</v>
      </c>
      <c r="I2302" t="s">
        <v>45</v>
      </c>
      <c r="K2302">
        <v>202506308142044</v>
      </c>
      <c r="L2302">
        <v>1643300370909</v>
      </c>
      <c r="M2302">
        <v>20250630</v>
      </c>
      <c r="N2302" t="s">
        <v>266</v>
      </c>
      <c r="Q2302" t="s">
        <v>47</v>
      </c>
      <c r="R2302">
        <v>38250</v>
      </c>
      <c r="S2302">
        <v>38250</v>
      </c>
      <c r="T2302">
        <v>816125</v>
      </c>
      <c r="U2302" t="s">
        <v>2311</v>
      </c>
      <c r="V2302" t="s">
        <v>2312</v>
      </c>
      <c r="W2302" t="s">
        <v>187</v>
      </c>
      <c r="Y2302" t="s">
        <v>51</v>
      </c>
      <c r="Z2302">
        <v>793</v>
      </c>
      <c r="AH2302">
        <v>0</v>
      </c>
      <c r="AI2302">
        <v>202506</v>
      </c>
      <c r="AJ2302" t="s">
        <v>86</v>
      </c>
      <c r="AK2302">
        <v>1</v>
      </c>
      <c r="AL2302">
        <v>1</v>
      </c>
      <c r="AO2302">
        <v>0</v>
      </c>
      <c r="AP2302" t="s">
        <v>3015</v>
      </c>
      <c r="AQ2302" t="s">
        <v>3044</v>
      </c>
      <c r="AR2302" t="s">
        <v>3045</v>
      </c>
      <c r="AS2302" t="s">
        <v>3046</v>
      </c>
      <c r="AU2302" t="s">
        <v>3046</v>
      </c>
    </row>
    <row r="2303" spans="1:47" x14ac:dyDescent="0.35">
      <c r="A2303">
        <v>360595</v>
      </c>
      <c r="B2303" t="s">
        <v>164</v>
      </c>
      <c r="C2303" t="s">
        <v>165</v>
      </c>
      <c r="D2303" s="2">
        <v>45839</v>
      </c>
      <c r="E2303">
        <v>53850</v>
      </c>
      <c r="F2303">
        <v>149</v>
      </c>
      <c r="G2303" t="s">
        <v>449</v>
      </c>
      <c r="H2303" t="s">
        <v>167</v>
      </c>
      <c r="I2303" t="s">
        <v>45</v>
      </c>
      <c r="K2303" t="s">
        <v>2313</v>
      </c>
      <c r="L2303">
        <v>1493300663564</v>
      </c>
      <c r="M2303">
        <v>20250630</v>
      </c>
      <c r="N2303" t="s">
        <v>168</v>
      </c>
      <c r="P2303" t="s">
        <v>255</v>
      </c>
      <c r="Q2303" t="s">
        <v>47</v>
      </c>
      <c r="R2303">
        <v>1920</v>
      </c>
      <c r="S2303">
        <v>0</v>
      </c>
      <c r="T2303">
        <v>4851736</v>
      </c>
      <c r="U2303">
        <v>8243781211</v>
      </c>
      <c r="V2303" t="s">
        <v>1240</v>
      </c>
      <c r="W2303" t="s">
        <v>49</v>
      </c>
      <c r="X2303" t="s">
        <v>451</v>
      </c>
      <c r="Y2303" t="s">
        <v>51</v>
      </c>
      <c r="Z2303">
        <v>1256</v>
      </c>
      <c r="AH2303">
        <v>0</v>
      </c>
      <c r="AI2303">
        <v>202506</v>
      </c>
      <c r="AJ2303" t="s">
        <v>86</v>
      </c>
      <c r="AK2303">
        <v>1</v>
      </c>
      <c r="AL2303">
        <v>1</v>
      </c>
      <c r="AO2303">
        <v>0</v>
      </c>
      <c r="AP2303" t="s">
        <v>3015</v>
      </c>
      <c r="AQ2303" t="s">
        <v>3012</v>
      </c>
      <c r="AR2303" t="s">
        <v>3016</v>
      </c>
      <c r="AT2303" t="s">
        <v>3017</v>
      </c>
      <c r="AU2303" t="s">
        <v>3018</v>
      </c>
    </row>
    <row r="2304" spans="1:47" x14ac:dyDescent="0.35">
      <c r="A2304">
        <v>360594</v>
      </c>
      <c r="B2304" t="s">
        <v>193</v>
      </c>
      <c r="C2304" t="s">
        <v>194</v>
      </c>
      <c r="D2304" s="2">
        <v>45839</v>
      </c>
      <c r="E2304">
        <v>53850</v>
      </c>
      <c r="F2304">
        <v>128</v>
      </c>
      <c r="G2304" t="s">
        <v>94</v>
      </c>
      <c r="H2304" t="s">
        <v>167</v>
      </c>
      <c r="I2304" t="s">
        <v>45</v>
      </c>
      <c r="K2304">
        <v>202506288138642</v>
      </c>
      <c r="L2304">
        <v>1283300003941</v>
      </c>
      <c r="M2304">
        <v>20250628</v>
      </c>
      <c r="N2304" t="s">
        <v>195</v>
      </c>
      <c r="Q2304" t="s">
        <v>47</v>
      </c>
      <c r="R2304">
        <v>30480</v>
      </c>
      <c r="S2304">
        <v>30480</v>
      </c>
      <c r="T2304">
        <v>4916499</v>
      </c>
      <c r="U2304" t="s">
        <v>382</v>
      </c>
      <c r="V2304" t="s">
        <v>383</v>
      </c>
      <c r="W2304" t="s">
        <v>69</v>
      </c>
      <c r="X2304" t="s">
        <v>55</v>
      </c>
      <c r="Y2304" t="s">
        <v>51</v>
      </c>
      <c r="Z2304">
        <v>1166</v>
      </c>
      <c r="AH2304">
        <v>0</v>
      </c>
      <c r="AI2304">
        <v>202506</v>
      </c>
      <c r="AJ2304" t="s">
        <v>119</v>
      </c>
      <c r="AK2304">
        <v>1</v>
      </c>
      <c r="AL2304">
        <v>1</v>
      </c>
      <c r="AM2304">
        <v>4916499</v>
      </c>
      <c r="AN2304">
        <v>1</v>
      </c>
      <c r="AO2304">
        <v>0</v>
      </c>
      <c r="AP2304" t="s">
        <v>3015</v>
      </c>
      <c r="AQ2304" t="s">
        <v>3021</v>
      </c>
      <c r="AR2304" t="s">
        <v>3022</v>
      </c>
      <c r="AT2304" t="s">
        <v>3017</v>
      </c>
      <c r="AU2304" t="s">
        <v>3014</v>
      </c>
    </row>
    <row r="2305" spans="1:47" x14ac:dyDescent="0.35">
      <c r="A2305">
        <v>360593</v>
      </c>
      <c r="B2305" t="s">
        <v>193</v>
      </c>
      <c r="C2305" t="s">
        <v>194</v>
      </c>
      <c r="D2305" s="2">
        <v>45839</v>
      </c>
      <c r="E2305">
        <v>53850</v>
      </c>
      <c r="F2305">
        <v>102</v>
      </c>
      <c r="G2305" t="s">
        <v>151</v>
      </c>
      <c r="H2305" t="s">
        <v>167</v>
      </c>
      <c r="I2305" t="s">
        <v>45</v>
      </c>
      <c r="K2305" t="s">
        <v>2314</v>
      </c>
      <c r="L2305">
        <v>1023308722503</v>
      </c>
      <c r="M2305">
        <v>20250628</v>
      </c>
      <c r="N2305" t="s">
        <v>195</v>
      </c>
      <c r="Q2305" t="s">
        <v>47</v>
      </c>
      <c r="R2305">
        <v>26040</v>
      </c>
      <c r="S2305">
        <v>26040</v>
      </c>
      <c r="T2305">
        <v>413650</v>
      </c>
      <c r="U2305">
        <v>3657230722</v>
      </c>
      <c r="V2305" t="s">
        <v>196</v>
      </c>
      <c r="W2305" t="s">
        <v>190</v>
      </c>
      <c r="X2305" t="s">
        <v>197</v>
      </c>
      <c r="Y2305" t="s">
        <v>51</v>
      </c>
      <c r="Z2305">
        <v>1306</v>
      </c>
      <c r="AH2305">
        <v>0</v>
      </c>
      <c r="AI2305">
        <v>202506</v>
      </c>
      <c r="AJ2305" t="s">
        <v>119</v>
      </c>
      <c r="AK2305">
        <v>1</v>
      </c>
      <c r="AL2305">
        <v>1</v>
      </c>
      <c r="AM2305">
        <v>413650</v>
      </c>
      <c r="AN2305">
        <v>1</v>
      </c>
      <c r="AO2305">
        <v>0</v>
      </c>
      <c r="AP2305" t="s">
        <v>3050</v>
      </c>
      <c r="AQ2305" t="s">
        <v>3047</v>
      </c>
      <c r="AR2305" t="s">
        <v>3051</v>
      </c>
      <c r="AS2305" t="s">
        <v>3049</v>
      </c>
      <c r="AU2305" t="s">
        <v>3049</v>
      </c>
    </row>
    <row r="2306" spans="1:47" x14ac:dyDescent="0.35">
      <c r="A2306">
        <v>360592</v>
      </c>
      <c r="B2306" t="s">
        <v>333</v>
      </c>
      <c r="C2306" t="s">
        <v>334</v>
      </c>
      <c r="D2306" s="2">
        <v>45839</v>
      </c>
      <c r="E2306">
        <v>53850</v>
      </c>
      <c r="F2306">
        <v>99</v>
      </c>
      <c r="G2306" t="s">
        <v>335</v>
      </c>
      <c r="H2306" t="s">
        <v>167</v>
      </c>
      <c r="I2306" t="s">
        <v>45</v>
      </c>
      <c r="K2306">
        <v>202506278141544</v>
      </c>
      <c r="M2306">
        <v>20250627</v>
      </c>
      <c r="N2306" t="s">
        <v>3136</v>
      </c>
      <c r="Q2306" t="s">
        <v>170</v>
      </c>
      <c r="R2306">
        <v>12891.47</v>
      </c>
      <c r="S2306">
        <v>0</v>
      </c>
      <c r="T2306">
        <v>1673037</v>
      </c>
      <c r="U2306" t="s">
        <v>2315</v>
      </c>
      <c r="V2306" t="s">
        <v>2316</v>
      </c>
      <c r="W2306" t="s">
        <v>187</v>
      </c>
      <c r="Y2306" t="s">
        <v>51</v>
      </c>
      <c r="Z2306">
        <v>1295</v>
      </c>
      <c r="AH2306">
        <v>0</v>
      </c>
      <c r="AI2306">
        <v>202506</v>
      </c>
      <c r="AJ2306" t="s">
        <v>52</v>
      </c>
      <c r="AK2306">
        <v>0</v>
      </c>
      <c r="AL2306">
        <v>0</v>
      </c>
      <c r="AO2306">
        <v>1</v>
      </c>
      <c r="AP2306" t="s">
        <v>3015</v>
      </c>
      <c r="AQ2306" t="s">
        <v>3044</v>
      </c>
      <c r="AR2306" t="s">
        <v>3045</v>
      </c>
      <c r="AS2306" t="s">
        <v>3046</v>
      </c>
      <c r="AU2306" t="s">
        <v>3046</v>
      </c>
    </row>
    <row r="2307" spans="1:47" x14ac:dyDescent="0.35">
      <c r="A2307">
        <v>360591</v>
      </c>
      <c r="B2307" t="s">
        <v>333</v>
      </c>
      <c r="C2307" t="s">
        <v>334</v>
      </c>
      <c r="D2307" s="2">
        <v>45839</v>
      </c>
      <c r="E2307">
        <v>53850</v>
      </c>
      <c r="F2307">
        <v>99</v>
      </c>
      <c r="G2307" t="s">
        <v>335</v>
      </c>
      <c r="H2307" t="s">
        <v>167</v>
      </c>
      <c r="I2307" t="s">
        <v>45</v>
      </c>
      <c r="K2307">
        <v>202506278141544</v>
      </c>
      <c r="M2307">
        <v>20250627</v>
      </c>
      <c r="N2307" t="s">
        <v>3136</v>
      </c>
      <c r="Q2307" t="s">
        <v>170</v>
      </c>
      <c r="R2307">
        <v>12891.47</v>
      </c>
      <c r="S2307">
        <v>0</v>
      </c>
      <c r="T2307">
        <v>1673038</v>
      </c>
      <c r="U2307" t="s">
        <v>2317</v>
      </c>
      <c r="V2307" t="s">
        <v>2318</v>
      </c>
      <c r="W2307" t="s">
        <v>187</v>
      </c>
      <c r="Y2307" t="s">
        <v>51</v>
      </c>
      <c r="Z2307">
        <v>1295</v>
      </c>
      <c r="AH2307">
        <v>0</v>
      </c>
      <c r="AI2307">
        <v>202506</v>
      </c>
      <c r="AJ2307" t="s">
        <v>52</v>
      </c>
      <c r="AK2307">
        <v>0</v>
      </c>
      <c r="AL2307">
        <v>0</v>
      </c>
      <c r="AO2307">
        <v>1</v>
      </c>
      <c r="AP2307" t="s">
        <v>3015</v>
      </c>
      <c r="AQ2307" t="s">
        <v>3044</v>
      </c>
      <c r="AR2307" t="s">
        <v>3045</v>
      </c>
      <c r="AS2307" t="s">
        <v>3046</v>
      </c>
      <c r="AU2307" t="s">
        <v>3046</v>
      </c>
    </row>
    <row r="2308" spans="1:47" x14ac:dyDescent="0.35">
      <c r="A2308">
        <v>360590</v>
      </c>
      <c r="B2308" t="s">
        <v>178</v>
      </c>
      <c r="C2308" t="s">
        <v>179</v>
      </c>
      <c r="D2308" s="2">
        <v>45836</v>
      </c>
      <c r="E2308">
        <v>53850</v>
      </c>
      <c r="F2308">
        <v>188</v>
      </c>
      <c r="G2308" t="s">
        <v>419</v>
      </c>
      <c r="H2308" t="s">
        <v>167</v>
      </c>
      <c r="I2308" t="s">
        <v>45</v>
      </c>
      <c r="K2308">
        <v>202506308130328</v>
      </c>
      <c r="L2308">
        <v>1883309518885</v>
      </c>
      <c r="M2308">
        <v>20250630</v>
      </c>
      <c r="N2308" t="s">
        <v>921</v>
      </c>
      <c r="Q2308" t="s">
        <v>170</v>
      </c>
      <c r="R2308">
        <v>170000</v>
      </c>
      <c r="S2308">
        <v>0</v>
      </c>
      <c r="T2308">
        <v>3062147</v>
      </c>
      <c r="U2308" t="s">
        <v>2319</v>
      </c>
      <c r="V2308" t="s">
        <v>2320</v>
      </c>
      <c r="W2308" t="s">
        <v>69</v>
      </c>
      <c r="X2308" t="s">
        <v>131</v>
      </c>
      <c r="Y2308" t="s">
        <v>51</v>
      </c>
      <c r="Z2308">
        <v>637</v>
      </c>
      <c r="AH2308">
        <v>0</v>
      </c>
      <c r="AI2308">
        <v>202506</v>
      </c>
      <c r="AJ2308" t="s">
        <v>119</v>
      </c>
      <c r="AK2308">
        <v>1</v>
      </c>
      <c r="AL2308">
        <v>1</v>
      </c>
      <c r="AM2308">
        <v>3062147</v>
      </c>
      <c r="AN2308">
        <v>1</v>
      </c>
      <c r="AO2308">
        <v>0</v>
      </c>
      <c r="AP2308" t="s">
        <v>3033</v>
      </c>
      <c r="AQ2308" t="s">
        <v>3021</v>
      </c>
      <c r="AR2308" t="s">
        <v>3054</v>
      </c>
      <c r="AS2308" t="s">
        <v>3055</v>
      </c>
      <c r="AU2308" t="s">
        <v>3055</v>
      </c>
    </row>
    <row r="2309" spans="1:47" x14ac:dyDescent="0.35">
      <c r="A2309">
        <v>360589</v>
      </c>
      <c r="B2309" t="s">
        <v>214</v>
      </c>
      <c r="C2309" t="s">
        <v>215</v>
      </c>
      <c r="D2309" s="2">
        <v>45836</v>
      </c>
      <c r="E2309">
        <v>53850</v>
      </c>
      <c r="F2309">
        <v>252</v>
      </c>
      <c r="G2309" t="s">
        <v>2321</v>
      </c>
      <c r="H2309" t="s">
        <v>167</v>
      </c>
      <c r="I2309" t="s">
        <v>45</v>
      </c>
      <c r="K2309">
        <v>202506278130095</v>
      </c>
      <c r="L2309">
        <v>2523300011629</v>
      </c>
      <c r="M2309">
        <v>20250627</v>
      </c>
      <c r="N2309" t="s">
        <v>168</v>
      </c>
      <c r="P2309" t="s">
        <v>217</v>
      </c>
      <c r="Q2309" t="s">
        <v>47</v>
      </c>
      <c r="R2309">
        <v>50000</v>
      </c>
      <c r="S2309">
        <v>0</v>
      </c>
      <c r="T2309">
        <v>3720847</v>
      </c>
      <c r="U2309">
        <v>2732060740</v>
      </c>
      <c r="V2309" t="s">
        <v>2322</v>
      </c>
      <c r="W2309" t="s">
        <v>49</v>
      </c>
      <c r="X2309" t="s">
        <v>234</v>
      </c>
      <c r="Y2309" t="s">
        <v>51</v>
      </c>
      <c r="Z2309">
        <v>1094</v>
      </c>
      <c r="AH2309">
        <v>0</v>
      </c>
      <c r="AI2309">
        <v>202506</v>
      </c>
      <c r="AJ2309" t="s">
        <v>56</v>
      </c>
      <c r="AK2309">
        <v>0</v>
      </c>
      <c r="AL2309">
        <v>1</v>
      </c>
      <c r="AO2309">
        <v>0</v>
      </c>
      <c r="AP2309" t="s">
        <v>3015</v>
      </c>
      <c r="AQ2309" t="s">
        <v>3012</v>
      </c>
      <c r="AR2309" t="s">
        <v>3016</v>
      </c>
      <c r="AT2309" t="s">
        <v>3017</v>
      </c>
      <c r="AU2309" t="s">
        <v>3018</v>
      </c>
    </row>
    <row r="2310" spans="1:47" x14ac:dyDescent="0.35">
      <c r="A2310">
        <v>360588</v>
      </c>
      <c r="B2310" t="s">
        <v>193</v>
      </c>
      <c r="C2310" t="s">
        <v>194</v>
      </c>
      <c r="D2310" s="2">
        <v>45836</v>
      </c>
      <c r="E2310">
        <v>53850</v>
      </c>
      <c r="F2310">
        <v>109</v>
      </c>
      <c r="G2310" t="s">
        <v>89</v>
      </c>
      <c r="H2310" t="s">
        <v>167</v>
      </c>
      <c r="I2310" t="s">
        <v>45</v>
      </c>
      <c r="K2310" t="s">
        <v>2323</v>
      </c>
      <c r="L2310">
        <v>1093306675356</v>
      </c>
      <c r="M2310">
        <v>20250627</v>
      </c>
      <c r="N2310" t="s">
        <v>266</v>
      </c>
      <c r="Q2310" t="s">
        <v>47</v>
      </c>
      <c r="R2310">
        <v>49500</v>
      </c>
      <c r="S2310">
        <v>49500</v>
      </c>
      <c r="T2310">
        <v>4976123</v>
      </c>
      <c r="U2310">
        <v>8630940727</v>
      </c>
      <c r="V2310" t="s">
        <v>717</v>
      </c>
      <c r="W2310" t="s">
        <v>49</v>
      </c>
      <c r="X2310" t="s">
        <v>131</v>
      </c>
      <c r="Y2310" t="s">
        <v>51</v>
      </c>
      <c r="Z2310">
        <v>502</v>
      </c>
      <c r="AH2310">
        <v>0</v>
      </c>
      <c r="AI2310">
        <v>202506</v>
      </c>
      <c r="AJ2310" t="s">
        <v>56</v>
      </c>
      <c r="AK2310">
        <v>0</v>
      </c>
      <c r="AL2310">
        <v>1</v>
      </c>
      <c r="AM2310">
        <v>4976123</v>
      </c>
      <c r="AN2310">
        <v>1</v>
      </c>
      <c r="AO2310">
        <v>0</v>
      </c>
      <c r="AP2310" t="s">
        <v>3033</v>
      </c>
      <c r="AQ2310" t="s">
        <v>3012</v>
      </c>
      <c r="AR2310" t="s">
        <v>3034</v>
      </c>
      <c r="AS2310" t="s">
        <v>3014</v>
      </c>
      <c r="AU2310" t="s">
        <v>3014</v>
      </c>
    </row>
    <row r="2311" spans="1:47" x14ac:dyDescent="0.35">
      <c r="A2311">
        <v>360587</v>
      </c>
      <c r="B2311" t="s">
        <v>178</v>
      </c>
      <c r="C2311" t="s">
        <v>179</v>
      </c>
      <c r="D2311" s="2">
        <v>45836</v>
      </c>
      <c r="E2311">
        <v>53850</v>
      </c>
      <c r="F2311">
        <v>286</v>
      </c>
      <c r="G2311" t="s">
        <v>408</v>
      </c>
      <c r="H2311" t="s">
        <v>167</v>
      </c>
      <c r="I2311" t="s">
        <v>45</v>
      </c>
      <c r="K2311">
        <v>202506278131044</v>
      </c>
      <c r="L2311">
        <v>2863300010173</v>
      </c>
      <c r="M2311">
        <v>20250627</v>
      </c>
      <c r="N2311" t="s">
        <v>659</v>
      </c>
      <c r="Q2311" t="s">
        <v>170</v>
      </c>
      <c r="R2311">
        <v>200000</v>
      </c>
      <c r="S2311">
        <v>0</v>
      </c>
      <c r="T2311">
        <v>4991167</v>
      </c>
      <c r="U2311" t="s">
        <v>2324</v>
      </c>
      <c r="V2311" t="s">
        <v>2325</v>
      </c>
      <c r="W2311" t="s">
        <v>187</v>
      </c>
      <c r="Y2311" t="s">
        <v>51</v>
      </c>
      <c r="Z2311">
        <v>1848</v>
      </c>
      <c r="AH2311">
        <v>0</v>
      </c>
      <c r="AI2311">
        <v>202506</v>
      </c>
      <c r="AJ2311" t="s">
        <v>56</v>
      </c>
      <c r="AK2311">
        <v>0</v>
      </c>
      <c r="AL2311">
        <v>1</v>
      </c>
      <c r="AO2311">
        <v>0</v>
      </c>
      <c r="AP2311" t="s">
        <v>3015</v>
      </c>
      <c r="AQ2311" t="s">
        <v>3044</v>
      </c>
      <c r="AR2311" t="s">
        <v>3045</v>
      </c>
      <c r="AS2311" t="s">
        <v>3046</v>
      </c>
      <c r="AU2311" t="s">
        <v>3046</v>
      </c>
    </row>
    <row r="2312" spans="1:47" x14ac:dyDescent="0.35">
      <c r="A2312">
        <v>360586</v>
      </c>
      <c r="B2312" t="s">
        <v>178</v>
      </c>
      <c r="C2312" t="s">
        <v>179</v>
      </c>
      <c r="D2312" s="2">
        <v>45836</v>
      </c>
      <c r="E2312">
        <v>53850</v>
      </c>
      <c r="F2312">
        <v>273</v>
      </c>
      <c r="G2312" t="s">
        <v>133</v>
      </c>
      <c r="H2312" t="s">
        <v>167</v>
      </c>
      <c r="I2312" t="s">
        <v>45</v>
      </c>
      <c r="K2312">
        <v>202506278131102</v>
      </c>
      <c r="L2312">
        <v>2733300002304</v>
      </c>
      <c r="M2312">
        <v>20250627</v>
      </c>
      <c r="N2312" t="s">
        <v>3136</v>
      </c>
      <c r="Q2312" t="s">
        <v>170</v>
      </c>
      <c r="R2312">
        <v>12891.47</v>
      </c>
      <c r="S2312">
        <v>0</v>
      </c>
      <c r="T2312">
        <v>1673037</v>
      </c>
      <c r="U2312" t="s">
        <v>2315</v>
      </c>
      <c r="V2312" t="s">
        <v>2316</v>
      </c>
      <c r="W2312" t="s">
        <v>187</v>
      </c>
      <c r="Y2312" t="s">
        <v>51</v>
      </c>
      <c r="Z2312">
        <v>1295</v>
      </c>
      <c r="AH2312">
        <v>0</v>
      </c>
      <c r="AI2312">
        <v>202506</v>
      </c>
      <c r="AJ2312" t="s">
        <v>52</v>
      </c>
      <c r="AK2312">
        <v>0</v>
      </c>
      <c r="AL2312">
        <v>1</v>
      </c>
      <c r="AO2312">
        <v>1</v>
      </c>
      <c r="AP2312" t="s">
        <v>3015</v>
      </c>
      <c r="AQ2312" t="s">
        <v>3044</v>
      </c>
      <c r="AR2312" t="s">
        <v>3045</v>
      </c>
      <c r="AS2312" t="s">
        <v>3046</v>
      </c>
      <c r="AU2312" t="s">
        <v>3046</v>
      </c>
    </row>
    <row r="2313" spans="1:47" x14ac:dyDescent="0.35">
      <c r="A2313">
        <v>360585</v>
      </c>
      <c r="B2313" t="s">
        <v>164</v>
      </c>
      <c r="C2313" t="s">
        <v>165</v>
      </c>
      <c r="D2313" s="2">
        <v>45836</v>
      </c>
      <c r="E2313">
        <v>53850</v>
      </c>
      <c r="F2313">
        <v>137</v>
      </c>
      <c r="G2313" t="s">
        <v>166</v>
      </c>
      <c r="H2313" t="s">
        <v>167</v>
      </c>
      <c r="I2313" t="s">
        <v>45</v>
      </c>
      <c r="K2313">
        <v>202506278128569</v>
      </c>
      <c r="L2313">
        <v>1373300005994</v>
      </c>
      <c r="M2313">
        <v>20250627</v>
      </c>
      <c r="N2313" t="s">
        <v>168</v>
      </c>
      <c r="P2313" t="s">
        <v>169</v>
      </c>
      <c r="Q2313" t="s">
        <v>170</v>
      </c>
      <c r="R2313">
        <v>47690.76</v>
      </c>
      <c r="S2313">
        <v>0</v>
      </c>
      <c r="T2313">
        <v>3734872</v>
      </c>
      <c r="U2313">
        <v>1896670708</v>
      </c>
      <c r="V2313" t="s">
        <v>171</v>
      </c>
      <c r="W2313" t="s">
        <v>49</v>
      </c>
      <c r="X2313" t="s">
        <v>113</v>
      </c>
      <c r="Y2313" t="s">
        <v>51</v>
      </c>
      <c r="Z2313">
        <v>1867</v>
      </c>
      <c r="AH2313">
        <v>0</v>
      </c>
      <c r="AI2313">
        <v>202506</v>
      </c>
      <c r="AJ2313" t="s">
        <v>86</v>
      </c>
      <c r="AK2313">
        <v>1</v>
      </c>
      <c r="AL2313">
        <v>1</v>
      </c>
      <c r="AM2313">
        <v>3734872</v>
      </c>
      <c r="AN2313">
        <v>1</v>
      </c>
      <c r="AO2313">
        <v>0</v>
      </c>
      <c r="AP2313" t="s">
        <v>3015</v>
      </c>
      <c r="AQ2313" t="s">
        <v>3012</v>
      </c>
      <c r="AR2313" t="s">
        <v>3016</v>
      </c>
      <c r="AT2313" t="s">
        <v>3017</v>
      </c>
      <c r="AU2313" t="s">
        <v>3018</v>
      </c>
    </row>
    <row r="2314" spans="1:47" x14ac:dyDescent="0.35">
      <c r="A2314">
        <v>360584</v>
      </c>
      <c r="B2314" t="s">
        <v>178</v>
      </c>
      <c r="C2314" t="s">
        <v>179</v>
      </c>
      <c r="D2314" s="2">
        <v>45836</v>
      </c>
      <c r="E2314">
        <v>53850</v>
      </c>
      <c r="F2314">
        <v>284</v>
      </c>
      <c r="G2314" t="s">
        <v>184</v>
      </c>
      <c r="H2314" t="s">
        <v>167</v>
      </c>
      <c r="I2314" t="s">
        <v>45</v>
      </c>
      <c r="K2314" t="s">
        <v>2326</v>
      </c>
      <c r="L2314">
        <v>2843300010620</v>
      </c>
      <c r="M2314">
        <v>20250627</v>
      </c>
      <c r="N2314" t="s">
        <v>3136</v>
      </c>
      <c r="Q2314" t="s">
        <v>170</v>
      </c>
      <c r="R2314">
        <v>1078.5</v>
      </c>
      <c r="S2314">
        <v>0</v>
      </c>
      <c r="T2314">
        <v>3741186</v>
      </c>
      <c r="U2314" t="s">
        <v>2327</v>
      </c>
      <c r="V2314" t="s">
        <v>2328</v>
      </c>
      <c r="W2314" t="s">
        <v>187</v>
      </c>
      <c r="Y2314" t="s">
        <v>51</v>
      </c>
      <c r="AH2314">
        <v>0</v>
      </c>
      <c r="AI2314">
        <v>202506</v>
      </c>
      <c r="AJ2314" t="s">
        <v>52</v>
      </c>
      <c r="AK2314">
        <v>0</v>
      </c>
      <c r="AL2314">
        <v>1</v>
      </c>
      <c r="AO2314">
        <v>1</v>
      </c>
      <c r="AP2314" t="s">
        <v>3015</v>
      </c>
      <c r="AQ2314" t="s">
        <v>3044</v>
      </c>
      <c r="AR2314" t="s">
        <v>3045</v>
      </c>
      <c r="AS2314" t="s">
        <v>3046</v>
      </c>
      <c r="AU2314" t="s">
        <v>3046</v>
      </c>
    </row>
    <row r="2315" spans="1:47" x14ac:dyDescent="0.35">
      <c r="A2315">
        <v>360583</v>
      </c>
      <c r="B2315" t="s">
        <v>178</v>
      </c>
      <c r="C2315" t="s">
        <v>179</v>
      </c>
      <c r="D2315" s="2">
        <v>45836</v>
      </c>
      <c r="E2315">
        <v>53850</v>
      </c>
      <c r="F2315">
        <v>109</v>
      </c>
      <c r="G2315" t="s">
        <v>89</v>
      </c>
      <c r="H2315" t="s">
        <v>167</v>
      </c>
      <c r="I2315" t="s">
        <v>45</v>
      </c>
      <c r="K2315">
        <v>202506278129390</v>
      </c>
      <c r="L2315">
        <v>1093306674001</v>
      </c>
      <c r="M2315">
        <v>20250627</v>
      </c>
      <c r="N2315" t="s">
        <v>46</v>
      </c>
      <c r="P2315" t="s">
        <v>51</v>
      </c>
      <c r="Q2315" t="s">
        <v>47</v>
      </c>
      <c r="R2315">
        <v>70675.75</v>
      </c>
      <c r="S2315">
        <v>0</v>
      </c>
      <c r="T2315">
        <v>4125303</v>
      </c>
      <c r="U2315" t="s">
        <v>774</v>
      </c>
      <c r="V2315" t="s">
        <v>775</v>
      </c>
      <c r="W2315" t="s">
        <v>69</v>
      </c>
      <c r="X2315" t="s">
        <v>131</v>
      </c>
      <c r="Y2315" t="s">
        <v>51</v>
      </c>
      <c r="Z2315">
        <v>783</v>
      </c>
      <c r="AH2315">
        <v>0</v>
      </c>
      <c r="AI2315">
        <v>202506</v>
      </c>
      <c r="AJ2315" t="s">
        <v>56</v>
      </c>
      <c r="AK2315">
        <v>0</v>
      </c>
      <c r="AL2315">
        <v>1</v>
      </c>
      <c r="AO2315">
        <v>0</v>
      </c>
      <c r="AP2315" t="s">
        <v>3033</v>
      </c>
      <c r="AQ2315" t="s">
        <v>3021</v>
      </c>
      <c r="AR2315" t="s">
        <v>3054</v>
      </c>
      <c r="AS2315" t="s">
        <v>3055</v>
      </c>
      <c r="AU2315" t="s">
        <v>3055</v>
      </c>
    </row>
    <row r="2316" spans="1:47" x14ac:dyDescent="0.35">
      <c r="A2316">
        <v>360582</v>
      </c>
      <c r="B2316" t="s">
        <v>178</v>
      </c>
      <c r="C2316" t="s">
        <v>179</v>
      </c>
      <c r="D2316" s="2">
        <v>45836</v>
      </c>
      <c r="E2316">
        <v>53850</v>
      </c>
      <c r="F2316">
        <v>136</v>
      </c>
      <c r="G2316" t="s">
        <v>551</v>
      </c>
      <c r="H2316" t="s">
        <v>167</v>
      </c>
      <c r="I2316" t="s">
        <v>45</v>
      </c>
      <c r="K2316">
        <v>202506278130294</v>
      </c>
      <c r="L2316">
        <v>1363300003325</v>
      </c>
      <c r="M2316">
        <v>20250627</v>
      </c>
      <c r="N2316" t="s">
        <v>552</v>
      </c>
      <c r="Q2316" t="s">
        <v>170</v>
      </c>
      <c r="R2316">
        <v>1000000</v>
      </c>
      <c r="S2316">
        <v>0</v>
      </c>
      <c r="T2316">
        <v>4395683</v>
      </c>
      <c r="U2316">
        <v>2036760037</v>
      </c>
      <c r="V2316" t="s">
        <v>553</v>
      </c>
      <c r="W2316" t="s">
        <v>49</v>
      </c>
      <c r="X2316" t="s">
        <v>554</v>
      </c>
      <c r="Y2316" t="s">
        <v>51</v>
      </c>
      <c r="Z2316">
        <v>1627</v>
      </c>
      <c r="AH2316">
        <v>0</v>
      </c>
      <c r="AI2316">
        <v>202506</v>
      </c>
      <c r="AJ2316" t="s">
        <v>56</v>
      </c>
      <c r="AK2316">
        <v>0</v>
      </c>
      <c r="AL2316">
        <v>1</v>
      </c>
      <c r="AO2316">
        <v>0</v>
      </c>
      <c r="AP2316" t="s">
        <v>3015</v>
      </c>
      <c r="AQ2316" t="s">
        <v>3012</v>
      </c>
      <c r="AR2316" t="s">
        <v>3016</v>
      </c>
      <c r="AT2316" t="s">
        <v>3017</v>
      </c>
      <c r="AU2316" t="s">
        <v>3018</v>
      </c>
    </row>
    <row r="2317" spans="1:47" x14ac:dyDescent="0.35">
      <c r="A2317">
        <v>360581</v>
      </c>
      <c r="B2317" t="s">
        <v>178</v>
      </c>
      <c r="C2317" t="s">
        <v>179</v>
      </c>
      <c r="D2317" s="2">
        <v>45836</v>
      </c>
      <c r="E2317">
        <v>53850</v>
      </c>
      <c r="F2317">
        <v>103</v>
      </c>
      <c r="G2317" t="s">
        <v>80</v>
      </c>
      <c r="H2317" t="s">
        <v>167</v>
      </c>
      <c r="I2317" t="s">
        <v>45</v>
      </c>
      <c r="K2317">
        <v>202506278131141</v>
      </c>
      <c r="L2317">
        <v>1035500406320</v>
      </c>
      <c r="M2317">
        <v>20250627</v>
      </c>
      <c r="N2317" t="s">
        <v>794</v>
      </c>
      <c r="Q2317" t="s">
        <v>170</v>
      </c>
      <c r="R2317">
        <v>190550</v>
      </c>
      <c r="S2317">
        <v>0</v>
      </c>
      <c r="T2317">
        <v>50918</v>
      </c>
      <c r="U2317" t="s">
        <v>2329</v>
      </c>
      <c r="V2317" t="s">
        <v>2330</v>
      </c>
      <c r="W2317" t="s">
        <v>187</v>
      </c>
      <c r="Y2317" t="s">
        <v>51</v>
      </c>
      <c r="AH2317">
        <v>0</v>
      </c>
      <c r="AI2317">
        <v>202506</v>
      </c>
      <c r="AJ2317" t="s">
        <v>86</v>
      </c>
      <c r="AK2317">
        <v>1</v>
      </c>
      <c r="AL2317">
        <v>1</v>
      </c>
      <c r="AO2317">
        <v>0</v>
      </c>
      <c r="AP2317" t="s">
        <v>3015</v>
      </c>
      <c r="AQ2317" t="s">
        <v>3044</v>
      </c>
      <c r="AR2317" t="s">
        <v>3045</v>
      </c>
      <c r="AS2317" t="s">
        <v>3046</v>
      </c>
      <c r="AU2317" t="s">
        <v>3046</v>
      </c>
    </row>
    <row r="2318" spans="1:47" x14ac:dyDescent="0.35">
      <c r="A2318">
        <v>360580</v>
      </c>
      <c r="B2318" t="s">
        <v>178</v>
      </c>
      <c r="C2318" t="s">
        <v>179</v>
      </c>
      <c r="D2318" s="2">
        <v>45836</v>
      </c>
      <c r="E2318">
        <v>53850</v>
      </c>
      <c r="F2318">
        <v>181</v>
      </c>
      <c r="G2318" t="s">
        <v>180</v>
      </c>
      <c r="H2318" t="s">
        <v>167</v>
      </c>
      <c r="I2318" t="s">
        <v>45</v>
      </c>
      <c r="K2318">
        <v>202506278129383</v>
      </c>
      <c r="L2318">
        <v>1813301028560</v>
      </c>
      <c r="M2318">
        <v>20250627</v>
      </c>
      <c r="N2318" t="s">
        <v>46</v>
      </c>
      <c r="P2318" t="s">
        <v>51</v>
      </c>
      <c r="Q2318" t="s">
        <v>47</v>
      </c>
      <c r="R2318">
        <v>94515</v>
      </c>
      <c r="S2318">
        <v>0</v>
      </c>
      <c r="T2318">
        <v>454268</v>
      </c>
      <c r="U2318" t="s">
        <v>1209</v>
      </c>
      <c r="V2318" t="s">
        <v>1210</v>
      </c>
      <c r="W2318" t="s">
        <v>69</v>
      </c>
      <c r="X2318" t="s">
        <v>131</v>
      </c>
      <c r="Y2318" t="s">
        <v>51</v>
      </c>
      <c r="Z2318">
        <v>727</v>
      </c>
      <c r="AH2318">
        <v>0</v>
      </c>
      <c r="AI2318">
        <v>202506</v>
      </c>
      <c r="AJ2318" t="s">
        <v>56</v>
      </c>
      <c r="AK2318">
        <v>0</v>
      </c>
      <c r="AL2318">
        <v>1</v>
      </c>
      <c r="AM2318">
        <v>454268</v>
      </c>
      <c r="AN2318">
        <v>1</v>
      </c>
      <c r="AO2318">
        <v>0</v>
      </c>
      <c r="AP2318" t="s">
        <v>3033</v>
      </c>
      <c r="AQ2318" t="s">
        <v>3021</v>
      </c>
      <c r="AR2318" t="s">
        <v>3054</v>
      </c>
      <c r="AS2318" t="s">
        <v>3055</v>
      </c>
      <c r="AU2318" t="s">
        <v>3055</v>
      </c>
    </row>
    <row r="2319" spans="1:47" x14ac:dyDescent="0.35">
      <c r="A2319">
        <v>360579</v>
      </c>
      <c r="B2319" t="s">
        <v>172</v>
      </c>
      <c r="C2319" t="s">
        <v>173</v>
      </c>
      <c r="D2319" s="2">
        <v>45836</v>
      </c>
      <c r="E2319">
        <v>53850</v>
      </c>
      <c r="F2319">
        <v>103</v>
      </c>
      <c r="G2319" t="s">
        <v>80</v>
      </c>
      <c r="H2319" t="s">
        <v>167</v>
      </c>
      <c r="I2319" t="s">
        <v>45</v>
      </c>
      <c r="K2319">
        <v>202506278131152</v>
      </c>
      <c r="L2319">
        <v>1033306979706</v>
      </c>
      <c r="M2319">
        <v>20250627</v>
      </c>
      <c r="N2319" t="s">
        <v>81</v>
      </c>
      <c r="Q2319" t="s">
        <v>47</v>
      </c>
      <c r="R2319">
        <v>139960</v>
      </c>
      <c r="S2319">
        <v>0</v>
      </c>
      <c r="T2319">
        <v>4963589</v>
      </c>
      <c r="U2319">
        <v>8530200727</v>
      </c>
      <c r="V2319" t="s">
        <v>1483</v>
      </c>
      <c r="W2319" t="s">
        <v>49</v>
      </c>
      <c r="X2319" t="s">
        <v>364</v>
      </c>
      <c r="Y2319" t="s">
        <v>51</v>
      </c>
      <c r="Z2319">
        <v>1175</v>
      </c>
      <c r="AH2319">
        <v>0</v>
      </c>
      <c r="AI2319">
        <v>202506</v>
      </c>
      <c r="AJ2319" t="s">
        <v>86</v>
      </c>
      <c r="AK2319">
        <v>1</v>
      </c>
      <c r="AL2319">
        <v>1</v>
      </c>
      <c r="AO2319">
        <v>0</v>
      </c>
      <c r="AP2319" t="s">
        <v>3062</v>
      </c>
      <c r="AQ2319" t="s">
        <v>3012</v>
      </c>
      <c r="AR2319" t="s">
        <v>3063</v>
      </c>
      <c r="AS2319" t="s">
        <v>3014</v>
      </c>
      <c r="AU2319" t="s">
        <v>3014</v>
      </c>
    </row>
    <row r="2320" spans="1:47" x14ac:dyDescent="0.35">
      <c r="A2320">
        <v>360578</v>
      </c>
      <c r="B2320" t="s">
        <v>172</v>
      </c>
      <c r="C2320" t="s">
        <v>173</v>
      </c>
      <c r="D2320" s="2">
        <v>45836</v>
      </c>
      <c r="E2320">
        <v>53850</v>
      </c>
      <c r="F2320">
        <v>198</v>
      </c>
      <c r="G2320" t="s">
        <v>300</v>
      </c>
      <c r="H2320" t="s">
        <v>167</v>
      </c>
      <c r="I2320" t="s">
        <v>45</v>
      </c>
      <c r="K2320">
        <v>202506278131535</v>
      </c>
      <c r="L2320">
        <v>1983300003802</v>
      </c>
      <c r="M2320">
        <v>20250627</v>
      </c>
      <c r="N2320" t="s">
        <v>231</v>
      </c>
      <c r="Q2320" t="s">
        <v>47</v>
      </c>
      <c r="R2320">
        <v>225000</v>
      </c>
      <c r="S2320">
        <v>0</v>
      </c>
      <c r="T2320">
        <v>3732842</v>
      </c>
      <c r="U2320" t="s">
        <v>2331</v>
      </c>
      <c r="V2320" t="s">
        <v>2332</v>
      </c>
      <c r="W2320" t="s">
        <v>187</v>
      </c>
      <c r="Y2320" t="s">
        <v>51</v>
      </c>
      <c r="AH2320">
        <v>0</v>
      </c>
      <c r="AI2320">
        <v>202506</v>
      </c>
      <c r="AJ2320" t="s">
        <v>86</v>
      </c>
      <c r="AK2320">
        <v>1</v>
      </c>
      <c r="AL2320">
        <v>1</v>
      </c>
      <c r="AO2320">
        <v>0</v>
      </c>
      <c r="AP2320" t="s">
        <v>3015</v>
      </c>
      <c r="AQ2320" t="s">
        <v>3044</v>
      </c>
      <c r="AR2320" t="s">
        <v>3045</v>
      </c>
      <c r="AS2320" t="s">
        <v>3046</v>
      </c>
      <c r="AU2320" t="s">
        <v>3046</v>
      </c>
    </row>
    <row r="2321" spans="1:47" x14ac:dyDescent="0.35">
      <c r="A2321">
        <v>360577</v>
      </c>
      <c r="B2321" t="s">
        <v>172</v>
      </c>
      <c r="C2321" t="s">
        <v>173</v>
      </c>
      <c r="D2321" s="2">
        <v>45836</v>
      </c>
      <c r="E2321">
        <v>53850</v>
      </c>
      <c r="F2321">
        <v>282</v>
      </c>
      <c r="G2321" t="s">
        <v>433</v>
      </c>
      <c r="H2321" t="s">
        <v>167</v>
      </c>
      <c r="I2321" t="s">
        <v>45</v>
      </c>
      <c r="K2321">
        <v>202506278131668</v>
      </c>
      <c r="L2321">
        <v>2823300002892</v>
      </c>
      <c r="M2321">
        <v>20250627</v>
      </c>
      <c r="N2321" t="s">
        <v>81</v>
      </c>
      <c r="Q2321" t="s">
        <v>47</v>
      </c>
      <c r="R2321">
        <v>135118.66</v>
      </c>
      <c r="S2321">
        <v>0</v>
      </c>
      <c r="T2321">
        <v>1706728</v>
      </c>
      <c r="U2321">
        <v>2018990693</v>
      </c>
      <c r="V2321" t="s">
        <v>2092</v>
      </c>
      <c r="W2321" t="s">
        <v>49</v>
      </c>
      <c r="X2321" t="s">
        <v>59</v>
      </c>
      <c r="Y2321" t="s">
        <v>51</v>
      </c>
      <c r="Z2321">
        <v>1877</v>
      </c>
      <c r="AH2321">
        <v>0</v>
      </c>
      <c r="AI2321">
        <v>202506</v>
      </c>
      <c r="AJ2321" t="s">
        <v>119</v>
      </c>
      <c r="AK2321">
        <v>1</v>
      </c>
      <c r="AL2321">
        <v>1</v>
      </c>
      <c r="AO2321">
        <v>0</v>
      </c>
      <c r="AP2321" t="s">
        <v>3015</v>
      </c>
      <c r="AQ2321" t="s">
        <v>3012</v>
      </c>
      <c r="AR2321" t="s">
        <v>3016</v>
      </c>
      <c r="AT2321" t="s">
        <v>3017</v>
      </c>
      <c r="AU2321" t="s">
        <v>3018</v>
      </c>
    </row>
    <row r="2322" spans="1:47" x14ac:dyDescent="0.35">
      <c r="A2322">
        <v>360576</v>
      </c>
      <c r="B2322" t="s">
        <v>178</v>
      </c>
      <c r="C2322" t="s">
        <v>179</v>
      </c>
      <c r="D2322" s="2">
        <v>45836</v>
      </c>
      <c r="E2322">
        <v>53850</v>
      </c>
      <c r="F2322">
        <v>102</v>
      </c>
      <c r="G2322" t="s">
        <v>151</v>
      </c>
      <c r="H2322" t="s">
        <v>167</v>
      </c>
      <c r="I2322" t="s">
        <v>45</v>
      </c>
      <c r="K2322">
        <v>202506278128202</v>
      </c>
      <c r="L2322">
        <v>1023308719178</v>
      </c>
      <c r="M2322">
        <v>20250627</v>
      </c>
      <c r="N2322" t="s">
        <v>236</v>
      </c>
      <c r="P2322" t="s">
        <v>51</v>
      </c>
      <c r="Q2322" t="s">
        <v>170</v>
      </c>
      <c r="R2322">
        <v>700000</v>
      </c>
      <c r="S2322">
        <v>0</v>
      </c>
      <c r="T2322">
        <v>474476</v>
      </c>
      <c r="U2322">
        <v>3470340724</v>
      </c>
      <c r="V2322" t="s">
        <v>1895</v>
      </c>
      <c r="W2322" t="s">
        <v>49</v>
      </c>
      <c r="X2322" t="s">
        <v>65</v>
      </c>
      <c r="Y2322" t="s">
        <v>51</v>
      </c>
      <c r="Z2322">
        <v>1203</v>
      </c>
      <c r="AH2322">
        <v>0</v>
      </c>
      <c r="AI2322">
        <v>202506</v>
      </c>
      <c r="AJ2322" t="s">
        <v>86</v>
      </c>
      <c r="AK2322">
        <v>1</v>
      </c>
      <c r="AL2322">
        <v>1</v>
      </c>
      <c r="AO2322">
        <v>0</v>
      </c>
      <c r="AP2322" t="s">
        <v>3019</v>
      </c>
      <c r="AQ2322" t="s">
        <v>3012</v>
      </c>
      <c r="AR2322" t="s">
        <v>3020</v>
      </c>
      <c r="AS2322" t="s">
        <v>3014</v>
      </c>
      <c r="AU2322" t="s">
        <v>3014</v>
      </c>
    </row>
    <row r="2323" spans="1:47" x14ac:dyDescent="0.35">
      <c r="A2323">
        <v>360575</v>
      </c>
      <c r="B2323" t="s">
        <v>178</v>
      </c>
      <c r="C2323" t="s">
        <v>179</v>
      </c>
      <c r="D2323" s="2">
        <v>45836</v>
      </c>
      <c r="E2323">
        <v>53850</v>
      </c>
      <c r="F2323">
        <v>102</v>
      </c>
      <c r="G2323" t="s">
        <v>151</v>
      </c>
      <c r="H2323" t="s">
        <v>167</v>
      </c>
      <c r="I2323" t="s">
        <v>45</v>
      </c>
      <c r="K2323">
        <v>202506278128139</v>
      </c>
      <c r="L2323">
        <v>1023308727124</v>
      </c>
      <c r="M2323">
        <v>20250627</v>
      </c>
      <c r="N2323" t="s">
        <v>236</v>
      </c>
      <c r="P2323" t="s">
        <v>51</v>
      </c>
      <c r="Q2323" t="s">
        <v>170</v>
      </c>
      <c r="R2323">
        <v>1000000</v>
      </c>
      <c r="S2323">
        <v>0</v>
      </c>
      <c r="T2323">
        <v>4988668</v>
      </c>
      <c r="U2323">
        <v>8329460722</v>
      </c>
      <c r="V2323" t="s">
        <v>2333</v>
      </c>
      <c r="W2323" t="s">
        <v>49</v>
      </c>
      <c r="X2323" t="s">
        <v>364</v>
      </c>
      <c r="Y2323" t="s">
        <v>51</v>
      </c>
      <c r="Z2323">
        <v>739</v>
      </c>
      <c r="AH2323">
        <v>0</v>
      </c>
      <c r="AI2323">
        <v>202506</v>
      </c>
      <c r="AJ2323" t="s">
        <v>86</v>
      </c>
      <c r="AK2323">
        <v>1</v>
      </c>
      <c r="AL2323">
        <v>1</v>
      </c>
      <c r="AO2323">
        <v>0</v>
      </c>
      <c r="AP2323" t="s">
        <v>3062</v>
      </c>
      <c r="AQ2323" t="s">
        <v>3012</v>
      </c>
      <c r="AR2323" t="s">
        <v>3063</v>
      </c>
      <c r="AS2323" t="s">
        <v>3014</v>
      </c>
      <c r="AU2323" t="s">
        <v>3014</v>
      </c>
    </row>
    <row r="2324" spans="1:47" x14ac:dyDescent="0.35">
      <c r="A2324">
        <v>360574</v>
      </c>
      <c r="B2324" t="s">
        <v>178</v>
      </c>
      <c r="C2324" t="s">
        <v>179</v>
      </c>
      <c r="D2324" s="2">
        <v>45836</v>
      </c>
      <c r="E2324">
        <v>53850</v>
      </c>
      <c r="F2324">
        <v>111</v>
      </c>
      <c r="G2324" t="s">
        <v>458</v>
      </c>
      <c r="H2324" t="s">
        <v>167</v>
      </c>
      <c r="I2324" t="s">
        <v>45</v>
      </c>
      <c r="K2324">
        <v>202506278129866</v>
      </c>
      <c r="L2324">
        <v>1113304365120</v>
      </c>
      <c r="M2324">
        <v>20250627</v>
      </c>
      <c r="N2324" t="s">
        <v>377</v>
      </c>
      <c r="Q2324" t="s">
        <v>47</v>
      </c>
      <c r="R2324">
        <v>156622.06</v>
      </c>
      <c r="S2324">
        <v>0</v>
      </c>
      <c r="T2324">
        <v>436512</v>
      </c>
      <c r="U2324" t="s">
        <v>2334</v>
      </c>
      <c r="V2324" t="s">
        <v>2335</v>
      </c>
      <c r="W2324" t="s">
        <v>187</v>
      </c>
      <c r="Y2324" t="s">
        <v>51</v>
      </c>
      <c r="Z2324">
        <v>593</v>
      </c>
      <c r="AH2324">
        <v>0</v>
      </c>
      <c r="AI2324">
        <v>202506</v>
      </c>
      <c r="AJ2324" t="s">
        <v>86</v>
      </c>
      <c r="AK2324">
        <v>1</v>
      </c>
      <c r="AL2324">
        <v>1</v>
      </c>
      <c r="AO2324">
        <v>0</v>
      </c>
      <c r="AP2324" t="s">
        <v>3015</v>
      </c>
      <c r="AQ2324" t="s">
        <v>3044</v>
      </c>
      <c r="AR2324" t="s">
        <v>3045</v>
      </c>
      <c r="AS2324" t="s">
        <v>3046</v>
      </c>
      <c r="AU2324" t="s">
        <v>3046</v>
      </c>
    </row>
    <row r="2325" spans="1:47" x14ac:dyDescent="0.35">
      <c r="A2325">
        <v>360573</v>
      </c>
      <c r="B2325" t="s">
        <v>193</v>
      </c>
      <c r="C2325" t="s">
        <v>194</v>
      </c>
      <c r="D2325" s="2">
        <v>45836</v>
      </c>
      <c r="E2325">
        <v>53850</v>
      </c>
      <c r="F2325">
        <v>154</v>
      </c>
      <c r="G2325" t="s">
        <v>53</v>
      </c>
      <c r="H2325" t="s">
        <v>167</v>
      </c>
      <c r="I2325" t="s">
        <v>45</v>
      </c>
      <c r="K2325">
        <v>202506278131361</v>
      </c>
      <c r="L2325">
        <v>1543300004970</v>
      </c>
      <c r="M2325">
        <v>20250627</v>
      </c>
      <c r="N2325" t="s">
        <v>266</v>
      </c>
      <c r="Q2325" t="s">
        <v>47</v>
      </c>
      <c r="R2325">
        <v>50000</v>
      </c>
      <c r="S2325">
        <v>50000</v>
      </c>
      <c r="T2325">
        <v>3730276</v>
      </c>
      <c r="U2325">
        <v>5273520659</v>
      </c>
      <c r="V2325" t="s">
        <v>2336</v>
      </c>
      <c r="W2325" t="s">
        <v>49</v>
      </c>
      <c r="X2325" t="s">
        <v>2337</v>
      </c>
      <c r="Y2325" t="s">
        <v>51</v>
      </c>
      <c r="Z2325">
        <v>741</v>
      </c>
      <c r="AH2325">
        <v>0</v>
      </c>
      <c r="AI2325">
        <v>202506</v>
      </c>
      <c r="AJ2325" t="s">
        <v>86</v>
      </c>
      <c r="AK2325">
        <v>1</v>
      </c>
      <c r="AL2325">
        <v>1</v>
      </c>
      <c r="AM2325">
        <v>3730276</v>
      </c>
      <c r="AN2325">
        <v>1</v>
      </c>
      <c r="AO2325">
        <v>0</v>
      </c>
      <c r="AP2325" t="s">
        <v>3126</v>
      </c>
      <c r="AQ2325" t="s">
        <v>3012</v>
      </c>
      <c r="AR2325" t="s">
        <v>3127</v>
      </c>
      <c r="AS2325" t="s">
        <v>3014</v>
      </c>
      <c r="AU2325" t="s">
        <v>3014</v>
      </c>
    </row>
    <row r="2326" spans="1:47" x14ac:dyDescent="0.35">
      <c r="A2326">
        <v>360572</v>
      </c>
      <c r="B2326" t="s">
        <v>178</v>
      </c>
      <c r="C2326" t="s">
        <v>179</v>
      </c>
      <c r="D2326" s="2">
        <v>45836</v>
      </c>
      <c r="E2326">
        <v>53850</v>
      </c>
      <c r="F2326">
        <v>286</v>
      </c>
      <c r="G2326" t="s">
        <v>408</v>
      </c>
      <c r="H2326" t="s">
        <v>167</v>
      </c>
      <c r="I2326" t="s">
        <v>45</v>
      </c>
      <c r="K2326">
        <v>202506278131044</v>
      </c>
      <c r="L2326">
        <v>2863300010173</v>
      </c>
      <c r="M2326">
        <v>20250627</v>
      </c>
      <c r="N2326" t="s">
        <v>659</v>
      </c>
      <c r="Q2326" t="s">
        <v>170</v>
      </c>
      <c r="R2326">
        <v>200000</v>
      </c>
      <c r="S2326">
        <v>0</v>
      </c>
      <c r="T2326">
        <v>4991163</v>
      </c>
      <c r="U2326" t="s">
        <v>2338</v>
      </c>
      <c r="V2326" t="s">
        <v>2339</v>
      </c>
      <c r="W2326" t="s">
        <v>187</v>
      </c>
      <c r="Y2326" t="s">
        <v>51</v>
      </c>
      <c r="Z2326">
        <v>1848</v>
      </c>
      <c r="AH2326">
        <v>0</v>
      </c>
      <c r="AI2326">
        <v>202506</v>
      </c>
      <c r="AJ2326" t="s">
        <v>56</v>
      </c>
      <c r="AK2326">
        <v>0</v>
      </c>
      <c r="AL2326">
        <v>1</v>
      </c>
      <c r="AO2326">
        <v>0</v>
      </c>
      <c r="AP2326" t="s">
        <v>3015</v>
      </c>
      <c r="AQ2326" t="s">
        <v>3044</v>
      </c>
      <c r="AR2326" t="s">
        <v>3045</v>
      </c>
      <c r="AS2326" t="s">
        <v>3046</v>
      </c>
      <c r="AU2326" t="s">
        <v>3046</v>
      </c>
    </row>
    <row r="2327" spans="1:47" x14ac:dyDescent="0.35">
      <c r="A2327">
        <v>360571</v>
      </c>
      <c r="B2327" t="s">
        <v>193</v>
      </c>
      <c r="C2327" t="s">
        <v>194</v>
      </c>
      <c r="D2327" s="2">
        <v>45836</v>
      </c>
      <c r="E2327">
        <v>53850</v>
      </c>
      <c r="F2327">
        <v>120</v>
      </c>
      <c r="G2327" t="s">
        <v>411</v>
      </c>
      <c r="H2327" t="s">
        <v>167</v>
      </c>
      <c r="I2327" t="s">
        <v>45</v>
      </c>
      <c r="K2327" t="s">
        <v>2323</v>
      </c>
      <c r="L2327">
        <v>1203300001670</v>
      </c>
      <c r="M2327">
        <v>20250627</v>
      </c>
      <c r="N2327" t="s">
        <v>175</v>
      </c>
      <c r="Q2327" t="s">
        <v>47</v>
      </c>
      <c r="R2327">
        <v>39725</v>
      </c>
      <c r="S2327">
        <v>37325</v>
      </c>
      <c r="T2327">
        <v>4510434</v>
      </c>
      <c r="U2327">
        <v>6789440721</v>
      </c>
      <c r="V2327" t="s">
        <v>412</v>
      </c>
      <c r="W2327" t="s">
        <v>190</v>
      </c>
      <c r="X2327" t="s">
        <v>413</v>
      </c>
      <c r="Y2327" t="s">
        <v>51</v>
      </c>
      <c r="Z2327">
        <v>1640</v>
      </c>
      <c r="AH2327">
        <v>0</v>
      </c>
      <c r="AI2327">
        <v>202506</v>
      </c>
      <c r="AJ2327" t="s">
        <v>119</v>
      </c>
      <c r="AK2327">
        <v>1</v>
      </c>
      <c r="AL2327">
        <v>1</v>
      </c>
      <c r="AM2327">
        <v>4510434</v>
      </c>
      <c r="AN2327">
        <v>1</v>
      </c>
      <c r="AO2327">
        <v>1</v>
      </c>
      <c r="AP2327" t="s">
        <v>3015</v>
      </c>
      <c r="AQ2327" t="s">
        <v>3047</v>
      </c>
      <c r="AR2327" t="s">
        <v>3056</v>
      </c>
      <c r="AT2327" t="s">
        <v>3017</v>
      </c>
      <c r="AU2327" t="s">
        <v>3057</v>
      </c>
    </row>
    <row r="2328" spans="1:47" x14ac:dyDescent="0.35">
      <c r="A2328">
        <v>360570</v>
      </c>
      <c r="B2328" t="s">
        <v>178</v>
      </c>
      <c r="C2328" t="s">
        <v>179</v>
      </c>
      <c r="D2328" s="2">
        <v>45836</v>
      </c>
      <c r="E2328">
        <v>53850</v>
      </c>
      <c r="F2328">
        <v>114</v>
      </c>
      <c r="G2328" t="s">
        <v>188</v>
      </c>
      <c r="H2328" t="s">
        <v>167</v>
      </c>
      <c r="I2328" t="s">
        <v>45</v>
      </c>
      <c r="K2328">
        <v>202506278130020</v>
      </c>
      <c r="L2328">
        <v>1143306282323</v>
      </c>
      <c r="M2328">
        <v>20250627</v>
      </c>
      <c r="N2328" t="s">
        <v>46</v>
      </c>
      <c r="P2328" t="s">
        <v>51</v>
      </c>
      <c r="Q2328" t="s">
        <v>47</v>
      </c>
      <c r="R2328">
        <v>240203.57</v>
      </c>
      <c r="S2328">
        <v>0</v>
      </c>
      <c r="T2328">
        <v>4932408</v>
      </c>
      <c r="U2328" t="s">
        <v>2340</v>
      </c>
      <c r="V2328" t="s">
        <v>2341</v>
      </c>
      <c r="W2328" t="s">
        <v>187</v>
      </c>
      <c r="Y2328" t="s">
        <v>51</v>
      </c>
      <c r="Z2328">
        <v>804</v>
      </c>
      <c r="AH2328">
        <v>0</v>
      </c>
      <c r="AI2328">
        <v>202506</v>
      </c>
      <c r="AJ2328" t="s">
        <v>52</v>
      </c>
      <c r="AK2328">
        <v>0</v>
      </c>
      <c r="AL2328">
        <v>1</v>
      </c>
      <c r="AO2328">
        <v>0</v>
      </c>
      <c r="AP2328" t="s">
        <v>3015</v>
      </c>
      <c r="AQ2328" t="s">
        <v>3044</v>
      </c>
      <c r="AR2328" t="s">
        <v>3045</v>
      </c>
      <c r="AS2328" t="s">
        <v>3046</v>
      </c>
      <c r="AU2328" t="s">
        <v>3046</v>
      </c>
    </row>
    <row r="2329" spans="1:47" x14ac:dyDescent="0.35">
      <c r="A2329">
        <v>360569</v>
      </c>
      <c r="B2329" t="s">
        <v>164</v>
      </c>
      <c r="C2329" t="s">
        <v>165</v>
      </c>
      <c r="D2329" s="2">
        <v>45836</v>
      </c>
      <c r="E2329">
        <v>53850</v>
      </c>
      <c r="F2329">
        <v>129</v>
      </c>
      <c r="G2329" t="s">
        <v>227</v>
      </c>
      <c r="H2329" t="s">
        <v>167</v>
      </c>
      <c r="I2329" t="s">
        <v>45</v>
      </c>
      <c r="K2329">
        <v>202506278129838</v>
      </c>
      <c r="L2329">
        <v>1293300002811</v>
      </c>
      <c r="M2329">
        <v>20250627</v>
      </c>
      <c r="N2329" t="s">
        <v>168</v>
      </c>
      <c r="P2329" t="s">
        <v>169</v>
      </c>
      <c r="Q2329" t="s">
        <v>47</v>
      </c>
      <c r="R2329">
        <v>5066.41</v>
      </c>
      <c r="S2329">
        <v>0</v>
      </c>
      <c r="T2329">
        <v>4972184</v>
      </c>
      <c r="U2329">
        <v>7780290727</v>
      </c>
      <c r="V2329" t="s">
        <v>720</v>
      </c>
      <c r="W2329" t="s">
        <v>49</v>
      </c>
      <c r="X2329" t="s">
        <v>721</v>
      </c>
      <c r="Y2329" t="s">
        <v>51</v>
      </c>
      <c r="Z2329">
        <v>1058</v>
      </c>
      <c r="AH2329">
        <v>0</v>
      </c>
      <c r="AI2329">
        <v>202506</v>
      </c>
      <c r="AJ2329" t="s">
        <v>86</v>
      </c>
      <c r="AK2329">
        <v>1</v>
      </c>
      <c r="AL2329">
        <v>1</v>
      </c>
      <c r="AO2329">
        <v>0</v>
      </c>
      <c r="AP2329" t="s">
        <v>3015</v>
      </c>
      <c r="AQ2329" t="s">
        <v>3012</v>
      </c>
      <c r="AR2329" t="s">
        <v>3016</v>
      </c>
      <c r="AT2329" t="s">
        <v>3017</v>
      </c>
      <c r="AU2329" t="s">
        <v>3018</v>
      </c>
    </row>
    <row r="2330" spans="1:47" x14ac:dyDescent="0.35">
      <c r="A2330">
        <v>360568</v>
      </c>
      <c r="B2330" t="s">
        <v>193</v>
      </c>
      <c r="C2330" t="s">
        <v>194</v>
      </c>
      <c r="D2330" s="2">
        <v>45836</v>
      </c>
      <c r="E2330">
        <v>53850</v>
      </c>
      <c r="F2330">
        <v>148</v>
      </c>
      <c r="G2330" t="s">
        <v>78</v>
      </c>
      <c r="H2330" t="s">
        <v>167</v>
      </c>
      <c r="I2330" t="s">
        <v>45</v>
      </c>
      <c r="K2330">
        <v>202506278131338</v>
      </c>
      <c r="L2330">
        <v>1483300010620</v>
      </c>
      <c r="M2330">
        <v>20250627</v>
      </c>
      <c r="N2330" t="s">
        <v>266</v>
      </c>
      <c r="Q2330" t="s">
        <v>47</v>
      </c>
      <c r="R2330">
        <v>23460</v>
      </c>
      <c r="S2330">
        <v>23460</v>
      </c>
      <c r="T2330">
        <v>4247284</v>
      </c>
      <c r="U2330" t="s">
        <v>537</v>
      </c>
      <c r="V2330" t="s">
        <v>538</v>
      </c>
      <c r="W2330" t="s">
        <v>69</v>
      </c>
      <c r="X2330" t="s">
        <v>131</v>
      </c>
      <c r="Y2330" t="s">
        <v>51</v>
      </c>
      <c r="Z2330">
        <v>1063</v>
      </c>
      <c r="AH2330">
        <v>0</v>
      </c>
      <c r="AI2330">
        <v>202506</v>
      </c>
      <c r="AJ2330" t="s">
        <v>56</v>
      </c>
      <c r="AK2330">
        <v>0</v>
      </c>
      <c r="AL2330">
        <v>1</v>
      </c>
      <c r="AM2330">
        <v>4247284</v>
      </c>
      <c r="AN2330">
        <v>1</v>
      </c>
      <c r="AO2330">
        <v>0</v>
      </c>
      <c r="AP2330" t="s">
        <v>3033</v>
      </c>
      <c r="AQ2330" t="s">
        <v>3021</v>
      </c>
      <c r="AR2330" t="s">
        <v>3054</v>
      </c>
      <c r="AS2330" t="s">
        <v>3055</v>
      </c>
      <c r="AU2330" t="s">
        <v>3055</v>
      </c>
    </row>
    <row r="2331" spans="1:47" x14ac:dyDescent="0.35">
      <c r="A2331">
        <v>360567</v>
      </c>
      <c r="B2331" t="s">
        <v>193</v>
      </c>
      <c r="C2331" t="s">
        <v>194</v>
      </c>
      <c r="D2331" s="2">
        <v>45836</v>
      </c>
      <c r="E2331">
        <v>53850</v>
      </c>
      <c r="F2331">
        <v>131</v>
      </c>
      <c r="G2331" t="s">
        <v>216</v>
      </c>
      <c r="H2331" t="s">
        <v>167</v>
      </c>
      <c r="I2331" t="s">
        <v>45</v>
      </c>
      <c r="K2331">
        <v>202506278131294</v>
      </c>
      <c r="L2331">
        <v>1313300002205</v>
      </c>
      <c r="M2331">
        <v>20250627</v>
      </c>
      <c r="N2331" t="s">
        <v>266</v>
      </c>
      <c r="Q2331" t="s">
        <v>47</v>
      </c>
      <c r="R2331">
        <v>25000</v>
      </c>
      <c r="S2331">
        <v>25000</v>
      </c>
      <c r="T2331">
        <v>4055163</v>
      </c>
      <c r="U2331" t="s">
        <v>522</v>
      </c>
      <c r="V2331" t="s">
        <v>523</v>
      </c>
      <c r="W2331" t="s">
        <v>69</v>
      </c>
      <c r="X2331" t="s">
        <v>131</v>
      </c>
      <c r="Y2331" t="s">
        <v>51</v>
      </c>
      <c r="Z2331">
        <v>915</v>
      </c>
      <c r="AH2331">
        <v>0</v>
      </c>
      <c r="AI2331">
        <v>202506</v>
      </c>
      <c r="AJ2331" t="s">
        <v>119</v>
      </c>
      <c r="AK2331">
        <v>1</v>
      </c>
      <c r="AL2331">
        <v>1</v>
      </c>
      <c r="AM2331">
        <v>4055163</v>
      </c>
      <c r="AN2331">
        <v>1</v>
      </c>
      <c r="AO2331">
        <v>0</v>
      </c>
      <c r="AP2331" t="s">
        <v>3033</v>
      </c>
      <c r="AQ2331" t="s">
        <v>3021</v>
      </c>
      <c r="AR2331" t="s">
        <v>3054</v>
      </c>
      <c r="AS2331" t="s">
        <v>3055</v>
      </c>
      <c r="AU2331" t="s">
        <v>3055</v>
      </c>
    </row>
    <row r="2332" spans="1:47" x14ac:dyDescent="0.35">
      <c r="A2332">
        <v>360566</v>
      </c>
      <c r="B2332" t="s">
        <v>178</v>
      </c>
      <c r="C2332" t="s">
        <v>179</v>
      </c>
      <c r="D2332" s="2">
        <v>45836</v>
      </c>
      <c r="E2332">
        <v>53850</v>
      </c>
      <c r="F2332">
        <v>273</v>
      </c>
      <c r="G2332" t="s">
        <v>133</v>
      </c>
      <c r="H2332" t="s">
        <v>167</v>
      </c>
      <c r="I2332" t="s">
        <v>45</v>
      </c>
      <c r="K2332">
        <v>202506278128860</v>
      </c>
      <c r="L2332">
        <v>2733300004156</v>
      </c>
      <c r="M2332">
        <v>20250627</v>
      </c>
      <c r="N2332" t="s">
        <v>46</v>
      </c>
      <c r="P2332" t="s">
        <v>51</v>
      </c>
      <c r="Q2332" t="s">
        <v>47</v>
      </c>
      <c r="R2332">
        <v>1700000</v>
      </c>
      <c r="S2332">
        <v>0</v>
      </c>
      <c r="T2332">
        <v>1695938</v>
      </c>
      <c r="U2332">
        <v>2232960159</v>
      </c>
      <c r="V2332" t="s">
        <v>311</v>
      </c>
      <c r="W2332" t="s">
        <v>49</v>
      </c>
      <c r="X2332" t="s">
        <v>312</v>
      </c>
      <c r="Y2332" t="s">
        <v>51</v>
      </c>
      <c r="Z2332">
        <v>1856</v>
      </c>
      <c r="AH2332">
        <v>0</v>
      </c>
      <c r="AI2332">
        <v>202506</v>
      </c>
      <c r="AJ2332" t="s">
        <v>86</v>
      </c>
      <c r="AK2332">
        <v>1</v>
      </c>
      <c r="AL2332">
        <v>1</v>
      </c>
      <c r="AO2332">
        <v>0</v>
      </c>
      <c r="AP2332" t="s">
        <v>3015</v>
      </c>
      <c r="AQ2332" t="s">
        <v>3012</v>
      </c>
      <c r="AR2332" t="s">
        <v>3016</v>
      </c>
      <c r="AT2332" t="s">
        <v>3017</v>
      </c>
      <c r="AU2332" t="s">
        <v>3018</v>
      </c>
    </row>
    <row r="2333" spans="1:47" x14ac:dyDescent="0.35">
      <c r="A2333">
        <v>360565</v>
      </c>
      <c r="B2333" t="s">
        <v>178</v>
      </c>
      <c r="C2333" t="s">
        <v>179</v>
      </c>
      <c r="D2333" s="2">
        <v>45836</v>
      </c>
      <c r="E2333">
        <v>53850</v>
      </c>
      <c r="F2333">
        <v>99</v>
      </c>
      <c r="G2333" t="s">
        <v>335</v>
      </c>
      <c r="H2333" t="s">
        <v>167</v>
      </c>
      <c r="I2333" t="s">
        <v>45</v>
      </c>
      <c r="K2333">
        <v>202506278131098</v>
      </c>
      <c r="L2333">
        <v>999361870311</v>
      </c>
      <c r="M2333">
        <v>20250627</v>
      </c>
      <c r="N2333" t="s">
        <v>46</v>
      </c>
      <c r="P2333" t="s">
        <v>51</v>
      </c>
      <c r="Q2333" t="s">
        <v>47</v>
      </c>
      <c r="R2333">
        <v>3341017.63</v>
      </c>
      <c r="S2333">
        <v>0</v>
      </c>
      <c r="T2333">
        <v>3004644</v>
      </c>
      <c r="U2333">
        <v>80008750731</v>
      </c>
      <c r="V2333" t="s">
        <v>252</v>
      </c>
      <c r="W2333" t="s">
        <v>253</v>
      </c>
      <c r="Y2333" t="s">
        <v>51</v>
      </c>
      <c r="Z2333">
        <v>1627</v>
      </c>
      <c r="AH2333">
        <v>0</v>
      </c>
      <c r="AI2333">
        <v>202506</v>
      </c>
      <c r="AJ2333" t="s">
        <v>56</v>
      </c>
      <c r="AK2333">
        <v>0</v>
      </c>
      <c r="AL2333">
        <v>1</v>
      </c>
      <c r="AO2333">
        <v>0</v>
      </c>
      <c r="AP2333" t="s">
        <v>3015</v>
      </c>
      <c r="AQ2333" t="s">
        <v>3052</v>
      </c>
      <c r="AR2333" t="s">
        <v>3053</v>
      </c>
      <c r="AS2333" t="s">
        <v>3037</v>
      </c>
      <c r="AU2333" t="s">
        <v>3037</v>
      </c>
    </row>
    <row r="2334" spans="1:47" x14ac:dyDescent="0.35">
      <c r="A2334">
        <v>360564</v>
      </c>
      <c r="B2334" t="s">
        <v>172</v>
      </c>
      <c r="C2334" t="s">
        <v>173</v>
      </c>
      <c r="D2334" s="2">
        <v>45836</v>
      </c>
      <c r="E2334">
        <v>53850</v>
      </c>
      <c r="F2334">
        <v>161</v>
      </c>
      <c r="G2334" t="s">
        <v>111</v>
      </c>
      <c r="H2334" t="s">
        <v>167</v>
      </c>
      <c r="I2334" t="s">
        <v>45</v>
      </c>
      <c r="K2334" t="s">
        <v>2323</v>
      </c>
      <c r="L2334">
        <v>1613300032598</v>
      </c>
      <c r="M2334">
        <v>20250627</v>
      </c>
      <c r="N2334" t="s">
        <v>175</v>
      </c>
      <c r="Q2334" t="s">
        <v>47</v>
      </c>
      <c r="R2334">
        <v>147045.51</v>
      </c>
      <c r="S2334">
        <v>0</v>
      </c>
      <c r="T2334">
        <v>4103078</v>
      </c>
      <c r="U2334">
        <v>272810722</v>
      </c>
      <c r="V2334" t="s">
        <v>1767</v>
      </c>
      <c r="W2334" t="s">
        <v>49</v>
      </c>
      <c r="X2334" t="s">
        <v>299</v>
      </c>
      <c r="Y2334" t="s">
        <v>51</v>
      </c>
      <c r="Z2334">
        <v>1903</v>
      </c>
      <c r="AH2334">
        <v>0</v>
      </c>
      <c r="AI2334">
        <v>202506</v>
      </c>
      <c r="AJ2334" t="s">
        <v>119</v>
      </c>
      <c r="AK2334">
        <v>1</v>
      </c>
      <c r="AL2334">
        <v>1</v>
      </c>
      <c r="AO2334">
        <v>1</v>
      </c>
      <c r="AP2334" t="s">
        <v>3015</v>
      </c>
      <c r="AQ2334" t="s">
        <v>3012</v>
      </c>
      <c r="AR2334" t="s">
        <v>3016</v>
      </c>
      <c r="AT2334" t="s">
        <v>3017</v>
      </c>
      <c r="AU2334" t="s">
        <v>3018</v>
      </c>
    </row>
    <row r="2335" spans="1:47" x14ac:dyDescent="0.35">
      <c r="A2335">
        <v>360563</v>
      </c>
      <c r="B2335" t="s">
        <v>178</v>
      </c>
      <c r="C2335" t="s">
        <v>179</v>
      </c>
      <c r="D2335" s="2">
        <v>45836</v>
      </c>
      <c r="E2335">
        <v>53850</v>
      </c>
      <c r="F2335">
        <v>273</v>
      </c>
      <c r="G2335" t="s">
        <v>133</v>
      </c>
      <c r="H2335" t="s">
        <v>167</v>
      </c>
      <c r="I2335" t="s">
        <v>45</v>
      </c>
      <c r="K2335">
        <v>202506278131102</v>
      </c>
      <c r="L2335">
        <v>2733300002304</v>
      </c>
      <c r="M2335">
        <v>20250627</v>
      </c>
      <c r="N2335" t="s">
        <v>3136</v>
      </c>
      <c r="Q2335" t="s">
        <v>170</v>
      </c>
      <c r="R2335">
        <v>12891.47</v>
      </c>
      <c r="S2335">
        <v>0</v>
      </c>
      <c r="T2335">
        <v>1673038</v>
      </c>
      <c r="U2335" t="s">
        <v>2317</v>
      </c>
      <c r="V2335" t="s">
        <v>2318</v>
      </c>
      <c r="W2335" t="s">
        <v>187</v>
      </c>
      <c r="Y2335" t="s">
        <v>51</v>
      </c>
      <c r="Z2335">
        <v>1295</v>
      </c>
      <c r="AH2335">
        <v>0</v>
      </c>
      <c r="AI2335">
        <v>202506</v>
      </c>
      <c r="AJ2335" t="s">
        <v>52</v>
      </c>
      <c r="AK2335">
        <v>0</v>
      </c>
      <c r="AL2335">
        <v>1</v>
      </c>
      <c r="AO2335">
        <v>1</v>
      </c>
      <c r="AP2335" t="s">
        <v>3015</v>
      </c>
      <c r="AQ2335" t="s">
        <v>3044</v>
      </c>
      <c r="AR2335" t="s">
        <v>3045</v>
      </c>
      <c r="AS2335" t="s">
        <v>3046</v>
      </c>
      <c r="AU2335" t="s">
        <v>3046</v>
      </c>
    </row>
    <row r="2336" spans="1:47" x14ac:dyDescent="0.35">
      <c r="A2336">
        <v>360562</v>
      </c>
      <c r="B2336" t="s">
        <v>172</v>
      </c>
      <c r="C2336" t="s">
        <v>173</v>
      </c>
      <c r="D2336" s="2">
        <v>45836</v>
      </c>
      <c r="E2336">
        <v>53850</v>
      </c>
      <c r="F2336">
        <v>103</v>
      </c>
      <c r="G2336" t="s">
        <v>80</v>
      </c>
      <c r="H2336" t="s">
        <v>167</v>
      </c>
      <c r="I2336" t="s">
        <v>45</v>
      </c>
      <c r="K2336">
        <v>202506278131142</v>
      </c>
      <c r="L2336">
        <v>1033306986188</v>
      </c>
      <c r="M2336">
        <v>20250627</v>
      </c>
      <c r="N2336" t="s">
        <v>266</v>
      </c>
      <c r="Q2336" t="s">
        <v>47</v>
      </c>
      <c r="R2336">
        <v>194500</v>
      </c>
      <c r="S2336">
        <v>0</v>
      </c>
      <c r="T2336">
        <v>4318742</v>
      </c>
      <c r="U2336" t="s">
        <v>2342</v>
      </c>
      <c r="V2336" t="s">
        <v>2343</v>
      </c>
      <c r="W2336" t="s">
        <v>187</v>
      </c>
      <c r="Y2336" t="s">
        <v>51</v>
      </c>
      <c r="Z2336">
        <v>1657</v>
      </c>
      <c r="AH2336">
        <v>0</v>
      </c>
      <c r="AI2336">
        <v>202506</v>
      </c>
      <c r="AJ2336" t="s">
        <v>86</v>
      </c>
      <c r="AK2336">
        <v>1</v>
      </c>
      <c r="AL2336">
        <v>1</v>
      </c>
      <c r="AO2336">
        <v>0</v>
      </c>
      <c r="AP2336" t="s">
        <v>3015</v>
      </c>
      <c r="AQ2336" t="s">
        <v>3044</v>
      </c>
      <c r="AR2336" t="s">
        <v>3045</v>
      </c>
      <c r="AS2336" t="s">
        <v>3046</v>
      </c>
      <c r="AU2336" t="s">
        <v>3046</v>
      </c>
    </row>
    <row r="2337" spans="1:47" x14ac:dyDescent="0.35">
      <c r="A2337">
        <v>360561</v>
      </c>
      <c r="B2337" t="s">
        <v>164</v>
      </c>
      <c r="C2337" t="s">
        <v>165</v>
      </c>
      <c r="D2337" s="2">
        <v>45836</v>
      </c>
      <c r="E2337">
        <v>53850</v>
      </c>
      <c r="F2337">
        <v>131</v>
      </c>
      <c r="G2337" t="s">
        <v>216</v>
      </c>
      <c r="H2337" t="s">
        <v>167</v>
      </c>
      <c r="I2337" t="s">
        <v>45</v>
      </c>
      <c r="K2337">
        <v>202506278130293</v>
      </c>
      <c r="L2337">
        <v>1313300003506</v>
      </c>
      <c r="M2337">
        <v>20250627</v>
      </c>
      <c r="N2337" t="s">
        <v>168</v>
      </c>
      <c r="P2337" t="s">
        <v>903</v>
      </c>
      <c r="Q2337" t="s">
        <v>170</v>
      </c>
      <c r="R2337">
        <v>5000</v>
      </c>
      <c r="S2337">
        <v>0</v>
      </c>
      <c r="T2337">
        <v>4052665</v>
      </c>
      <c r="U2337" t="s">
        <v>2344</v>
      </c>
      <c r="V2337" t="s">
        <v>2345</v>
      </c>
      <c r="W2337" t="s">
        <v>69</v>
      </c>
      <c r="X2337" t="s">
        <v>595</v>
      </c>
      <c r="Y2337" t="s">
        <v>51</v>
      </c>
      <c r="Z2337">
        <v>827</v>
      </c>
      <c r="AH2337">
        <v>0</v>
      </c>
      <c r="AI2337">
        <v>202506</v>
      </c>
      <c r="AJ2337" t="s">
        <v>119</v>
      </c>
      <c r="AK2337">
        <v>1</v>
      </c>
      <c r="AL2337">
        <v>1</v>
      </c>
      <c r="AO2337">
        <v>0</v>
      </c>
      <c r="AP2337" t="s">
        <v>3015</v>
      </c>
      <c r="AQ2337" t="s">
        <v>3021</v>
      </c>
      <c r="AR2337" t="s">
        <v>3022</v>
      </c>
      <c r="AT2337" t="s">
        <v>3017</v>
      </c>
      <c r="AU2337" t="s">
        <v>3014</v>
      </c>
    </row>
    <row r="2338" spans="1:47" x14ac:dyDescent="0.35">
      <c r="A2338">
        <v>360560</v>
      </c>
      <c r="B2338" t="s">
        <v>178</v>
      </c>
      <c r="C2338" t="s">
        <v>179</v>
      </c>
      <c r="D2338" s="2">
        <v>45836</v>
      </c>
      <c r="E2338">
        <v>53850</v>
      </c>
      <c r="F2338">
        <v>188</v>
      </c>
      <c r="G2338" t="s">
        <v>419</v>
      </c>
      <c r="H2338" t="s">
        <v>167</v>
      </c>
      <c r="I2338" t="s">
        <v>45</v>
      </c>
      <c r="K2338">
        <v>202506278128421</v>
      </c>
      <c r="L2338">
        <v>1883300028081</v>
      </c>
      <c r="M2338">
        <v>20250627</v>
      </c>
      <c r="N2338" t="s">
        <v>236</v>
      </c>
      <c r="P2338" t="s">
        <v>51</v>
      </c>
      <c r="Q2338" t="s">
        <v>170</v>
      </c>
      <c r="R2338">
        <v>1100000</v>
      </c>
      <c r="S2338">
        <v>0</v>
      </c>
      <c r="T2338">
        <v>3001543</v>
      </c>
      <c r="U2338">
        <v>943900738</v>
      </c>
      <c r="V2338" t="s">
        <v>1226</v>
      </c>
      <c r="W2338" t="s">
        <v>49</v>
      </c>
      <c r="X2338" t="s">
        <v>421</v>
      </c>
      <c r="Y2338" t="s">
        <v>51</v>
      </c>
      <c r="Z2338">
        <v>1627</v>
      </c>
      <c r="AH2338">
        <v>0</v>
      </c>
      <c r="AI2338">
        <v>202506</v>
      </c>
      <c r="AJ2338" t="s">
        <v>86</v>
      </c>
      <c r="AK2338">
        <v>1</v>
      </c>
      <c r="AL2338">
        <v>1</v>
      </c>
      <c r="AM2338">
        <v>3001543</v>
      </c>
      <c r="AN2338">
        <v>1</v>
      </c>
      <c r="AO2338">
        <v>0</v>
      </c>
      <c r="AP2338" t="s">
        <v>3015</v>
      </c>
      <c r="AQ2338" t="s">
        <v>3012</v>
      </c>
      <c r="AR2338" t="s">
        <v>3016</v>
      </c>
      <c r="AT2338" t="s">
        <v>3017</v>
      </c>
      <c r="AU2338" t="s">
        <v>3018</v>
      </c>
    </row>
    <row r="2339" spans="1:47" x14ac:dyDescent="0.35">
      <c r="A2339">
        <v>360559</v>
      </c>
      <c r="B2339" t="s">
        <v>172</v>
      </c>
      <c r="C2339" t="s">
        <v>173</v>
      </c>
      <c r="D2339" s="2">
        <v>45836</v>
      </c>
      <c r="E2339">
        <v>53850</v>
      </c>
      <c r="F2339">
        <v>121</v>
      </c>
      <c r="G2339" t="s">
        <v>140</v>
      </c>
      <c r="H2339" t="s">
        <v>167</v>
      </c>
      <c r="I2339" t="s">
        <v>45</v>
      </c>
      <c r="K2339" t="s">
        <v>2323</v>
      </c>
      <c r="L2339">
        <v>1213300002600</v>
      </c>
      <c r="M2339">
        <v>20250627</v>
      </c>
      <c r="N2339" t="s">
        <v>175</v>
      </c>
      <c r="Q2339" t="s">
        <v>47</v>
      </c>
      <c r="R2339">
        <v>695126.13</v>
      </c>
      <c r="S2339">
        <v>0</v>
      </c>
      <c r="T2339">
        <v>4939345</v>
      </c>
      <c r="U2339">
        <v>5754810728</v>
      </c>
      <c r="V2339" t="s">
        <v>570</v>
      </c>
      <c r="W2339" t="s">
        <v>49</v>
      </c>
      <c r="X2339" t="s">
        <v>117</v>
      </c>
      <c r="Y2339" t="s">
        <v>51</v>
      </c>
      <c r="Z2339">
        <v>1058</v>
      </c>
      <c r="AH2339">
        <v>0</v>
      </c>
      <c r="AI2339">
        <v>202506</v>
      </c>
      <c r="AJ2339" t="s">
        <v>119</v>
      </c>
      <c r="AK2339">
        <v>1</v>
      </c>
      <c r="AL2339">
        <v>1</v>
      </c>
      <c r="AO2339">
        <v>1</v>
      </c>
      <c r="AP2339" t="s">
        <v>3029</v>
      </c>
      <c r="AQ2339" t="s">
        <v>3012</v>
      </c>
      <c r="AR2339" t="s">
        <v>3030</v>
      </c>
      <c r="AS2339" t="s">
        <v>3014</v>
      </c>
      <c r="AU2339" t="s">
        <v>3014</v>
      </c>
    </row>
    <row r="2340" spans="1:47" x14ac:dyDescent="0.35">
      <c r="A2340">
        <v>360558</v>
      </c>
      <c r="B2340" t="s">
        <v>172</v>
      </c>
      <c r="C2340" t="s">
        <v>173</v>
      </c>
      <c r="D2340" s="2">
        <v>45836</v>
      </c>
      <c r="E2340">
        <v>53850</v>
      </c>
      <c r="F2340">
        <v>103</v>
      </c>
      <c r="G2340" t="s">
        <v>80</v>
      </c>
      <c r="H2340" t="s">
        <v>167</v>
      </c>
      <c r="I2340" t="s">
        <v>45</v>
      </c>
      <c r="K2340">
        <v>202506278131142</v>
      </c>
      <c r="L2340">
        <v>1033306986188</v>
      </c>
      <c r="M2340">
        <v>20250627</v>
      </c>
      <c r="N2340" t="s">
        <v>266</v>
      </c>
      <c r="Q2340" t="s">
        <v>47</v>
      </c>
      <c r="R2340">
        <v>194500</v>
      </c>
      <c r="S2340">
        <v>0</v>
      </c>
      <c r="T2340">
        <v>446772</v>
      </c>
      <c r="U2340" t="s">
        <v>2346</v>
      </c>
      <c r="V2340" t="s">
        <v>2347</v>
      </c>
      <c r="W2340" t="s">
        <v>187</v>
      </c>
      <c r="Y2340" t="s">
        <v>51</v>
      </c>
      <c r="Z2340">
        <v>1657</v>
      </c>
      <c r="AH2340">
        <v>0</v>
      </c>
      <c r="AI2340">
        <v>202506</v>
      </c>
      <c r="AJ2340" t="s">
        <v>86</v>
      </c>
      <c r="AK2340">
        <v>1</v>
      </c>
      <c r="AL2340">
        <v>1</v>
      </c>
      <c r="AO2340">
        <v>0</v>
      </c>
      <c r="AP2340" t="s">
        <v>3015</v>
      </c>
      <c r="AQ2340" t="s">
        <v>3044</v>
      </c>
      <c r="AR2340" t="s">
        <v>3045</v>
      </c>
      <c r="AS2340" t="s">
        <v>3046</v>
      </c>
      <c r="AU2340" t="s">
        <v>3046</v>
      </c>
    </row>
    <row r="2341" spans="1:47" x14ac:dyDescent="0.35">
      <c r="A2341">
        <v>360557</v>
      </c>
      <c r="B2341" t="s">
        <v>178</v>
      </c>
      <c r="C2341" t="s">
        <v>179</v>
      </c>
      <c r="D2341" s="2">
        <v>45836</v>
      </c>
      <c r="E2341">
        <v>53850</v>
      </c>
      <c r="F2341">
        <v>103</v>
      </c>
      <c r="G2341" t="s">
        <v>80</v>
      </c>
      <c r="H2341" t="s">
        <v>167</v>
      </c>
      <c r="I2341" t="s">
        <v>45</v>
      </c>
      <c r="K2341">
        <v>202506278131141</v>
      </c>
      <c r="L2341">
        <v>1035500406320</v>
      </c>
      <c r="M2341">
        <v>20250627</v>
      </c>
      <c r="N2341" t="s">
        <v>794</v>
      </c>
      <c r="Q2341" t="s">
        <v>170</v>
      </c>
      <c r="R2341">
        <v>190550</v>
      </c>
      <c r="S2341">
        <v>0</v>
      </c>
      <c r="T2341">
        <v>446772</v>
      </c>
      <c r="U2341" t="s">
        <v>2346</v>
      </c>
      <c r="V2341" t="s">
        <v>2347</v>
      </c>
      <c r="W2341" t="s">
        <v>187</v>
      </c>
      <c r="Y2341" t="s">
        <v>51</v>
      </c>
      <c r="Z2341">
        <v>1657</v>
      </c>
      <c r="AH2341">
        <v>0</v>
      </c>
      <c r="AI2341">
        <v>202506</v>
      </c>
      <c r="AJ2341" t="s">
        <v>86</v>
      </c>
      <c r="AK2341">
        <v>1</v>
      </c>
      <c r="AL2341">
        <v>1</v>
      </c>
      <c r="AO2341">
        <v>0</v>
      </c>
      <c r="AP2341" t="s">
        <v>3015</v>
      </c>
      <c r="AQ2341" t="s">
        <v>3044</v>
      </c>
      <c r="AR2341" t="s">
        <v>3045</v>
      </c>
      <c r="AS2341" t="s">
        <v>3046</v>
      </c>
      <c r="AU2341" t="s">
        <v>3046</v>
      </c>
    </row>
    <row r="2342" spans="1:47" x14ac:dyDescent="0.35">
      <c r="A2342">
        <v>360556</v>
      </c>
      <c r="B2342" t="s">
        <v>178</v>
      </c>
      <c r="C2342" t="s">
        <v>179</v>
      </c>
      <c r="D2342" s="2">
        <v>45836</v>
      </c>
      <c r="E2342">
        <v>53850</v>
      </c>
      <c r="F2342">
        <v>284</v>
      </c>
      <c r="G2342" t="s">
        <v>184</v>
      </c>
      <c r="H2342" t="s">
        <v>167</v>
      </c>
      <c r="I2342" t="s">
        <v>45</v>
      </c>
      <c r="K2342" t="s">
        <v>2326</v>
      </c>
      <c r="L2342">
        <v>2843300010620</v>
      </c>
      <c r="M2342">
        <v>20250627</v>
      </c>
      <c r="N2342" t="s">
        <v>3136</v>
      </c>
      <c r="Q2342" t="s">
        <v>170</v>
      </c>
      <c r="R2342">
        <v>1078.5</v>
      </c>
      <c r="S2342">
        <v>0</v>
      </c>
      <c r="T2342">
        <v>3720346</v>
      </c>
      <c r="U2342" t="s">
        <v>2348</v>
      </c>
      <c r="V2342" t="s">
        <v>2349</v>
      </c>
      <c r="W2342" t="s">
        <v>187</v>
      </c>
      <c r="Y2342" t="s">
        <v>51</v>
      </c>
      <c r="AH2342">
        <v>0</v>
      </c>
      <c r="AI2342">
        <v>202506</v>
      </c>
      <c r="AJ2342" t="s">
        <v>52</v>
      </c>
      <c r="AK2342">
        <v>0</v>
      </c>
      <c r="AL2342">
        <v>1</v>
      </c>
      <c r="AO2342">
        <v>1</v>
      </c>
      <c r="AP2342" t="s">
        <v>3015</v>
      </c>
      <c r="AQ2342" t="s">
        <v>3044</v>
      </c>
      <c r="AR2342" t="s">
        <v>3045</v>
      </c>
      <c r="AS2342" t="s">
        <v>3046</v>
      </c>
      <c r="AU2342" t="s">
        <v>3046</v>
      </c>
    </row>
    <row r="2343" spans="1:47" x14ac:dyDescent="0.35">
      <c r="A2343">
        <v>360555</v>
      </c>
      <c r="B2343" t="s">
        <v>193</v>
      </c>
      <c r="C2343" t="s">
        <v>194</v>
      </c>
      <c r="D2343" s="2">
        <v>45836</v>
      </c>
      <c r="E2343">
        <v>53850</v>
      </c>
      <c r="F2343">
        <v>114</v>
      </c>
      <c r="G2343" t="s">
        <v>188</v>
      </c>
      <c r="H2343" t="s">
        <v>167</v>
      </c>
      <c r="I2343" t="s">
        <v>45</v>
      </c>
      <c r="K2343">
        <v>202506278131230</v>
      </c>
      <c r="L2343">
        <v>1143306280621</v>
      </c>
      <c r="M2343">
        <v>20250627</v>
      </c>
      <c r="N2343" t="s">
        <v>266</v>
      </c>
      <c r="Q2343" t="s">
        <v>47</v>
      </c>
      <c r="R2343">
        <v>47220</v>
      </c>
      <c r="S2343">
        <v>47220</v>
      </c>
      <c r="T2343">
        <v>4658875</v>
      </c>
      <c r="U2343">
        <v>3230890711</v>
      </c>
      <c r="V2343" t="s">
        <v>1363</v>
      </c>
      <c r="W2343" t="s">
        <v>49</v>
      </c>
      <c r="X2343" t="s">
        <v>131</v>
      </c>
      <c r="Y2343" t="s">
        <v>51</v>
      </c>
      <c r="Z2343">
        <v>870</v>
      </c>
      <c r="AH2343">
        <v>0</v>
      </c>
      <c r="AI2343">
        <v>202506</v>
      </c>
      <c r="AJ2343" t="s">
        <v>56</v>
      </c>
      <c r="AK2343">
        <v>0</v>
      </c>
      <c r="AL2343">
        <v>1</v>
      </c>
      <c r="AM2343">
        <v>4658875</v>
      </c>
      <c r="AN2343">
        <v>1</v>
      </c>
      <c r="AO2343">
        <v>0</v>
      </c>
      <c r="AP2343" t="s">
        <v>3033</v>
      </c>
      <c r="AQ2343" t="s">
        <v>3012</v>
      </c>
      <c r="AR2343" t="s">
        <v>3034</v>
      </c>
      <c r="AS2343" t="s">
        <v>3014</v>
      </c>
      <c r="AU2343" t="s">
        <v>3014</v>
      </c>
    </row>
    <row r="2344" spans="1:47" x14ac:dyDescent="0.35">
      <c r="A2344">
        <v>360554</v>
      </c>
      <c r="B2344" t="s">
        <v>178</v>
      </c>
      <c r="C2344" t="s">
        <v>179</v>
      </c>
      <c r="D2344" s="2">
        <v>45836</v>
      </c>
      <c r="E2344">
        <v>53850</v>
      </c>
      <c r="F2344">
        <v>273</v>
      </c>
      <c r="G2344" t="s">
        <v>133</v>
      </c>
      <c r="H2344" t="s">
        <v>167</v>
      </c>
      <c r="I2344" t="s">
        <v>45</v>
      </c>
      <c r="K2344">
        <v>202506278128249</v>
      </c>
      <c r="L2344">
        <v>2733300004156</v>
      </c>
      <c r="M2344">
        <v>20250627</v>
      </c>
      <c r="N2344" t="s">
        <v>310</v>
      </c>
      <c r="Q2344" t="s">
        <v>170</v>
      </c>
      <c r="R2344">
        <v>1310102.8999999999</v>
      </c>
      <c r="S2344">
        <v>0</v>
      </c>
      <c r="T2344">
        <v>1695938</v>
      </c>
      <c r="U2344">
        <v>2232960159</v>
      </c>
      <c r="V2344" t="s">
        <v>311</v>
      </c>
      <c r="W2344" t="s">
        <v>49</v>
      </c>
      <c r="X2344" t="s">
        <v>312</v>
      </c>
      <c r="Y2344" t="s">
        <v>51</v>
      </c>
      <c r="Z2344">
        <v>1856</v>
      </c>
      <c r="AH2344">
        <v>0</v>
      </c>
      <c r="AI2344">
        <v>202506</v>
      </c>
      <c r="AJ2344" t="s">
        <v>86</v>
      </c>
      <c r="AK2344">
        <v>1</v>
      </c>
      <c r="AL2344">
        <v>1</v>
      </c>
      <c r="AO2344">
        <v>0</v>
      </c>
      <c r="AP2344" t="s">
        <v>3015</v>
      </c>
      <c r="AQ2344" t="s">
        <v>3012</v>
      </c>
      <c r="AR2344" t="s">
        <v>3016</v>
      </c>
      <c r="AT2344" t="s">
        <v>3017</v>
      </c>
      <c r="AU2344" t="s">
        <v>3018</v>
      </c>
    </row>
    <row r="2345" spans="1:47" x14ac:dyDescent="0.35">
      <c r="A2345">
        <v>360553</v>
      </c>
      <c r="B2345" t="s">
        <v>178</v>
      </c>
      <c r="C2345" t="s">
        <v>179</v>
      </c>
      <c r="D2345" s="2">
        <v>45836</v>
      </c>
      <c r="E2345">
        <v>53850</v>
      </c>
      <c r="F2345">
        <v>226</v>
      </c>
      <c r="G2345" t="s">
        <v>129</v>
      </c>
      <c r="H2345" t="s">
        <v>167</v>
      </c>
      <c r="I2345" t="s">
        <v>45</v>
      </c>
      <c r="K2345">
        <v>202506278127950</v>
      </c>
      <c r="L2345">
        <v>2263300011983</v>
      </c>
      <c r="M2345">
        <v>20250627</v>
      </c>
      <c r="N2345" t="s">
        <v>236</v>
      </c>
      <c r="P2345" t="s">
        <v>51</v>
      </c>
      <c r="Q2345" t="s">
        <v>170</v>
      </c>
      <c r="R2345">
        <v>1785173.33</v>
      </c>
      <c r="S2345">
        <v>0</v>
      </c>
      <c r="T2345">
        <v>4877514</v>
      </c>
      <c r="U2345">
        <v>1149290726</v>
      </c>
      <c r="V2345" t="s">
        <v>2238</v>
      </c>
      <c r="W2345" t="s">
        <v>1860</v>
      </c>
      <c r="X2345" t="s">
        <v>825</v>
      </c>
      <c r="Y2345" t="s">
        <v>51</v>
      </c>
      <c r="Z2345">
        <v>1696</v>
      </c>
      <c r="AH2345">
        <v>0</v>
      </c>
      <c r="AI2345">
        <v>202506</v>
      </c>
      <c r="AJ2345" t="s">
        <v>86</v>
      </c>
      <c r="AK2345">
        <v>1</v>
      </c>
      <c r="AL2345">
        <v>1</v>
      </c>
      <c r="AO2345">
        <v>0</v>
      </c>
      <c r="AP2345" t="s">
        <v>3015</v>
      </c>
      <c r="AQ2345" t="s">
        <v>3121</v>
      </c>
      <c r="AR2345" t="s">
        <v>3122</v>
      </c>
      <c r="AT2345" t="s">
        <v>3017</v>
      </c>
      <c r="AU2345" t="s">
        <v>3037</v>
      </c>
    </row>
    <row r="2346" spans="1:47" x14ac:dyDescent="0.35">
      <c r="A2346">
        <v>360552</v>
      </c>
      <c r="B2346" t="s">
        <v>172</v>
      </c>
      <c r="C2346" t="s">
        <v>173</v>
      </c>
      <c r="D2346" s="2">
        <v>45836</v>
      </c>
      <c r="E2346">
        <v>53850</v>
      </c>
      <c r="F2346">
        <v>148</v>
      </c>
      <c r="G2346" t="s">
        <v>78</v>
      </c>
      <c r="H2346" t="s">
        <v>167</v>
      </c>
      <c r="I2346" t="s">
        <v>45</v>
      </c>
      <c r="K2346">
        <v>202506278131340</v>
      </c>
      <c r="L2346">
        <v>1483300005166</v>
      </c>
      <c r="M2346">
        <v>20250627</v>
      </c>
      <c r="N2346" t="s">
        <v>325</v>
      </c>
      <c r="Q2346" t="s">
        <v>47</v>
      </c>
      <c r="R2346">
        <v>100000</v>
      </c>
      <c r="S2346">
        <v>0</v>
      </c>
      <c r="T2346">
        <v>4956823</v>
      </c>
      <c r="U2346">
        <v>1776340620</v>
      </c>
      <c r="V2346" t="s">
        <v>2350</v>
      </c>
      <c r="W2346" t="s">
        <v>49</v>
      </c>
      <c r="X2346" t="s">
        <v>110</v>
      </c>
      <c r="Y2346" t="s">
        <v>51</v>
      </c>
      <c r="Z2346">
        <v>1340</v>
      </c>
      <c r="AH2346">
        <v>0</v>
      </c>
      <c r="AI2346">
        <v>202506</v>
      </c>
      <c r="AJ2346" t="s">
        <v>56</v>
      </c>
      <c r="AK2346">
        <v>0</v>
      </c>
      <c r="AL2346">
        <v>1</v>
      </c>
      <c r="AO2346">
        <v>0</v>
      </c>
      <c r="AP2346" t="s">
        <v>3026</v>
      </c>
      <c r="AQ2346" t="s">
        <v>3012</v>
      </c>
      <c r="AR2346" t="s">
        <v>3027</v>
      </c>
      <c r="AS2346" t="s">
        <v>3028</v>
      </c>
      <c r="AU2346" t="s">
        <v>3028</v>
      </c>
    </row>
    <row r="2347" spans="1:47" x14ac:dyDescent="0.35">
      <c r="A2347">
        <v>360551</v>
      </c>
      <c r="B2347" t="s">
        <v>172</v>
      </c>
      <c r="C2347" t="s">
        <v>173</v>
      </c>
      <c r="D2347" s="2">
        <v>45836</v>
      </c>
      <c r="E2347">
        <v>53850</v>
      </c>
      <c r="F2347">
        <v>176</v>
      </c>
      <c r="G2347" t="s">
        <v>390</v>
      </c>
      <c r="H2347" t="s">
        <v>167</v>
      </c>
      <c r="I2347" t="s">
        <v>45</v>
      </c>
      <c r="K2347" t="s">
        <v>2323</v>
      </c>
      <c r="L2347">
        <v>1763300019867</v>
      </c>
      <c r="M2347">
        <v>20250627</v>
      </c>
      <c r="N2347" t="s">
        <v>175</v>
      </c>
      <c r="Q2347" t="s">
        <v>47</v>
      </c>
      <c r="R2347">
        <v>110000</v>
      </c>
      <c r="S2347">
        <v>0</v>
      </c>
      <c r="T2347">
        <v>4924115</v>
      </c>
      <c r="U2347" t="s">
        <v>2351</v>
      </c>
      <c r="V2347" t="s">
        <v>2352</v>
      </c>
      <c r="W2347" t="s">
        <v>69</v>
      </c>
      <c r="X2347" t="s">
        <v>595</v>
      </c>
      <c r="Y2347" t="s">
        <v>51</v>
      </c>
      <c r="Z2347">
        <v>672</v>
      </c>
      <c r="AH2347">
        <v>0</v>
      </c>
      <c r="AI2347">
        <v>202506</v>
      </c>
      <c r="AJ2347" t="s">
        <v>86</v>
      </c>
      <c r="AK2347">
        <v>1</v>
      </c>
      <c r="AL2347">
        <v>1</v>
      </c>
      <c r="AO2347">
        <v>1</v>
      </c>
      <c r="AP2347" t="s">
        <v>3015</v>
      </c>
      <c r="AQ2347" t="s">
        <v>3021</v>
      </c>
      <c r="AR2347" t="s">
        <v>3022</v>
      </c>
      <c r="AT2347" t="s">
        <v>3017</v>
      </c>
      <c r="AU2347" t="s">
        <v>3014</v>
      </c>
    </row>
    <row r="2348" spans="1:47" x14ac:dyDescent="0.35">
      <c r="A2348">
        <v>360550</v>
      </c>
      <c r="B2348" t="s">
        <v>214</v>
      </c>
      <c r="C2348" t="s">
        <v>215</v>
      </c>
      <c r="D2348" s="2">
        <v>45836</v>
      </c>
      <c r="E2348">
        <v>53850</v>
      </c>
      <c r="F2348">
        <v>190</v>
      </c>
      <c r="G2348" t="s">
        <v>145</v>
      </c>
      <c r="H2348" t="s">
        <v>167</v>
      </c>
      <c r="I2348" t="s">
        <v>45</v>
      </c>
      <c r="K2348">
        <v>202506278130296</v>
      </c>
      <c r="L2348">
        <v>1903300017388</v>
      </c>
      <c r="M2348">
        <v>20250627</v>
      </c>
      <c r="N2348" t="s">
        <v>168</v>
      </c>
      <c r="P2348" t="s">
        <v>217</v>
      </c>
      <c r="Q2348" t="s">
        <v>47</v>
      </c>
      <c r="R2348">
        <v>75315.89</v>
      </c>
      <c r="S2348">
        <v>0</v>
      </c>
      <c r="T2348">
        <v>4884959</v>
      </c>
      <c r="U2348">
        <v>6732580722</v>
      </c>
      <c r="V2348" t="s">
        <v>146</v>
      </c>
      <c r="W2348" t="s">
        <v>49</v>
      </c>
      <c r="X2348" t="s">
        <v>710</v>
      </c>
      <c r="Y2348" t="s">
        <v>51</v>
      </c>
      <c r="Z2348">
        <v>1926</v>
      </c>
      <c r="AH2348">
        <v>0</v>
      </c>
      <c r="AI2348">
        <v>202506</v>
      </c>
      <c r="AJ2348" t="s">
        <v>86</v>
      </c>
      <c r="AK2348">
        <v>1</v>
      </c>
      <c r="AL2348">
        <v>1</v>
      </c>
      <c r="AO2348">
        <v>0</v>
      </c>
      <c r="AP2348" t="s">
        <v>3015</v>
      </c>
      <c r="AQ2348" t="s">
        <v>3012</v>
      </c>
      <c r="AR2348" t="s">
        <v>3016</v>
      </c>
      <c r="AT2348" t="s">
        <v>3017</v>
      </c>
      <c r="AU2348" t="s">
        <v>3018</v>
      </c>
    </row>
    <row r="2349" spans="1:47" x14ac:dyDescent="0.35">
      <c r="A2349">
        <v>360549</v>
      </c>
      <c r="B2349" t="s">
        <v>178</v>
      </c>
      <c r="C2349" t="s">
        <v>179</v>
      </c>
      <c r="D2349" s="2">
        <v>45836</v>
      </c>
      <c r="E2349">
        <v>53850</v>
      </c>
      <c r="F2349">
        <v>187</v>
      </c>
      <c r="G2349" t="s">
        <v>251</v>
      </c>
      <c r="H2349" t="s">
        <v>167</v>
      </c>
      <c r="I2349" t="s">
        <v>45</v>
      </c>
      <c r="K2349">
        <v>202506278128732</v>
      </c>
      <c r="L2349">
        <v>999361870311</v>
      </c>
      <c r="M2349">
        <v>20250627</v>
      </c>
      <c r="N2349" t="s">
        <v>236</v>
      </c>
      <c r="P2349" t="s">
        <v>51</v>
      </c>
      <c r="Q2349" t="s">
        <v>170</v>
      </c>
      <c r="R2349">
        <v>1140733.72</v>
      </c>
      <c r="S2349">
        <v>0</v>
      </c>
      <c r="T2349">
        <v>3004644</v>
      </c>
      <c r="U2349">
        <v>80008750731</v>
      </c>
      <c r="V2349" t="s">
        <v>252</v>
      </c>
      <c r="W2349" t="s">
        <v>253</v>
      </c>
      <c r="Y2349" t="s">
        <v>51</v>
      </c>
      <c r="Z2349">
        <v>1627</v>
      </c>
      <c r="AH2349">
        <v>0</v>
      </c>
      <c r="AI2349">
        <v>202506</v>
      </c>
      <c r="AJ2349" t="s">
        <v>56</v>
      </c>
      <c r="AK2349">
        <v>0</v>
      </c>
      <c r="AL2349">
        <v>1</v>
      </c>
      <c r="AO2349">
        <v>0</v>
      </c>
      <c r="AP2349" t="s">
        <v>3015</v>
      </c>
      <c r="AQ2349" t="s">
        <v>3052</v>
      </c>
      <c r="AR2349" t="s">
        <v>3053</v>
      </c>
      <c r="AS2349" t="s">
        <v>3037</v>
      </c>
      <c r="AU2349" t="s">
        <v>3037</v>
      </c>
    </row>
    <row r="2350" spans="1:47" x14ac:dyDescent="0.35">
      <c r="A2350">
        <v>360548</v>
      </c>
      <c r="B2350" t="s">
        <v>178</v>
      </c>
      <c r="C2350" t="s">
        <v>179</v>
      </c>
      <c r="D2350" s="2">
        <v>45836</v>
      </c>
      <c r="E2350">
        <v>53850</v>
      </c>
      <c r="F2350">
        <v>187</v>
      </c>
      <c r="G2350" t="s">
        <v>251</v>
      </c>
      <c r="H2350" t="s">
        <v>167</v>
      </c>
      <c r="I2350" t="s">
        <v>45</v>
      </c>
      <c r="K2350">
        <v>202506268131070</v>
      </c>
      <c r="L2350">
        <v>999361870311</v>
      </c>
      <c r="M2350">
        <v>20250626</v>
      </c>
      <c r="N2350" t="s">
        <v>659</v>
      </c>
      <c r="Q2350" t="s">
        <v>170</v>
      </c>
      <c r="R2350">
        <v>1313815.3700000001</v>
      </c>
      <c r="S2350">
        <v>0</v>
      </c>
      <c r="T2350">
        <v>3004644</v>
      </c>
      <c r="U2350">
        <v>80008750731</v>
      </c>
      <c r="V2350" t="s">
        <v>252</v>
      </c>
      <c r="W2350" t="s">
        <v>253</v>
      </c>
      <c r="Y2350" t="s">
        <v>51</v>
      </c>
      <c r="Z2350">
        <v>1627</v>
      </c>
      <c r="AH2350">
        <v>0</v>
      </c>
      <c r="AI2350">
        <v>202506</v>
      </c>
      <c r="AJ2350" t="s">
        <v>56</v>
      </c>
      <c r="AK2350">
        <v>0</v>
      </c>
      <c r="AL2350">
        <v>1</v>
      </c>
      <c r="AO2350">
        <v>0</v>
      </c>
      <c r="AP2350" t="s">
        <v>3015</v>
      </c>
      <c r="AQ2350" t="s">
        <v>3052</v>
      </c>
      <c r="AR2350" t="s">
        <v>3053</v>
      </c>
      <c r="AS2350" t="s">
        <v>3037</v>
      </c>
      <c r="AU2350" t="s">
        <v>3037</v>
      </c>
    </row>
    <row r="2351" spans="1:47" x14ac:dyDescent="0.35">
      <c r="A2351">
        <v>360547</v>
      </c>
      <c r="B2351" t="s">
        <v>193</v>
      </c>
      <c r="C2351" t="s">
        <v>194</v>
      </c>
      <c r="D2351" s="2">
        <v>45835</v>
      </c>
      <c r="E2351">
        <v>53850</v>
      </c>
      <c r="F2351">
        <v>171</v>
      </c>
      <c r="G2351" t="s">
        <v>198</v>
      </c>
      <c r="H2351" t="s">
        <v>167</v>
      </c>
      <c r="I2351" t="s">
        <v>45</v>
      </c>
      <c r="K2351" t="s">
        <v>2353</v>
      </c>
      <c r="L2351">
        <v>1713305728950</v>
      </c>
      <c r="M2351">
        <v>20250626</v>
      </c>
      <c r="N2351" t="s">
        <v>195</v>
      </c>
      <c r="Q2351" t="s">
        <v>47</v>
      </c>
      <c r="R2351">
        <v>433206.55</v>
      </c>
      <c r="S2351">
        <v>433206.55</v>
      </c>
      <c r="T2351">
        <v>572895</v>
      </c>
      <c r="U2351">
        <v>4161600723</v>
      </c>
      <c r="V2351" t="s">
        <v>199</v>
      </c>
      <c r="W2351" t="s">
        <v>49</v>
      </c>
      <c r="X2351" t="s">
        <v>200</v>
      </c>
      <c r="Y2351" t="s">
        <v>51</v>
      </c>
      <c r="Z2351">
        <v>1903</v>
      </c>
      <c r="AH2351">
        <v>0</v>
      </c>
      <c r="AI2351">
        <v>202506</v>
      </c>
      <c r="AJ2351" t="s">
        <v>119</v>
      </c>
      <c r="AK2351">
        <v>1</v>
      </c>
      <c r="AL2351">
        <v>1</v>
      </c>
      <c r="AM2351">
        <v>572895</v>
      </c>
      <c r="AN2351">
        <v>1</v>
      </c>
      <c r="AO2351">
        <v>0</v>
      </c>
      <c r="AP2351" t="s">
        <v>3015</v>
      </c>
      <c r="AQ2351" t="s">
        <v>3012</v>
      </c>
      <c r="AR2351" t="s">
        <v>3016</v>
      </c>
      <c r="AT2351" t="s">
        <v>3017</v>
      </c>
      <c r="AU2351" t="s">
        <v>3018</v>
      </c>
    </row>
    <row r="2352" spans="1:47" x14ac:dyDescent="0.35">
      <c r="A2352">
        <v>360546</v>
      </c>
      <c r="B2352" t="s">
        <v>178</v>
      </c>
      <c r="C2352" t="s">
        <v>179</v>
      </c>
      <c r="D2352" s="2">
        <v>45835</v>
      </c>
      <c r="E2352">
        <v>53850</v>
      </c>
      <c r="F2352">
        <v>120</v>
      </c>
      <c r="G2352" t="s">
        <v>411</v>
      </c>
      <c r="H2352" t="s">
        <v>167</v>
      </c>
      <c r="I2352" t="s">
        <v>45</v>
      </c>
      <c r="K2352">
        <v>202506268125611</v>
      </c>
      <c r="L2352">
        <v>1203300002401</v>
      </c>
      <c r="M2352">
        <v>20250626</v>
      </c>
      <c r="N2352" t="s">
        <v>310</v>
      </c>
      <c r="Q2352" t="s">
        <v>170</v>
      </c>
      <c r="R2352">
        <v>3680984.47</v>
      </c>
      <c r="S2352">
        <v>0</v>
      </c>
      <c r="T2352">
        <v>613876</v>
      </c>
      <c r="U2352">
        <v>574290722</v>
      </c>
      <c r="V2352" t="s">
        <v>545</v>
      </c>
      <c r="W2352" t="s">
        <v>546</v>
      </c>
      <c r="X2352" t="s">
        <v>421</v>
      </c>
      <c r="Y2352" t="s">
        <v>51</v>
      </c>
      <c r="Z2352">
        <v>1058</v>
      </c>
      <c r="AH2352">
        <v>0</v>
      </c>
      <c r="AI2352">
        <v>202506</v>
      </c>
      <c r="AJ2352" t="s">
        <v>119</v>
      </c>
      <c r="AK2352">
        <v>1</v>
      </c>
      <c r="AL2352">
        <v>1</v>
      </c>
      <c r="AM2352">
        <v>613876</v>
      </c>
      <c r="AN2352">
        <v>1</v>
      </c>
      <c r="AO2352">
        <v>0</v>
      </c>
      <c r="AP2352" t="s">
        <v>3015</v>
      </c>
      <c r="AQ2352" t="s">
        <v>3076</v>
      </c>
      <c r="AR2352" t="s">
        <v>3077</v>
      </c>
      <c r="AT2352" t="s">
        <v>3017</v>
      </c>
      <c r="AU2352" t="s">
        <v>3014</v>
      </c>
    </row>
    <row r="2353" spans="1:47" x14ac:dyDescent="0.35">
      <c r="A2353">
        <v>360545</v>
      </c>
      <c r="B2353" t="s">
        <v>164</v>
      </c>
      <c r="C2353" t="s">
        <v>165</v>
      </c>
      <c r="D2353" s="2">
        <v>45835</v>
      </c>
      <c r="E2353">
        <v>53850</v>
      </c>
      <c r="F2353">
        <v>266</v>
      </c>
      <c r="G2353" t="s">
        <v>1248</v>
      </c>
      <c r="H2353" t="s">
        <v>167</v>
      </c>
      <c r="I2353" t="s">
        <v>45</v>
      </c>
      <c r="K2353" t="s">
        <v>2354</v>
      </c>
      <c r="L2353">
        <v>2663300010537</v>
      </c>
      <c r="M2353">
        <v>20250626</v>
      </c>
      <c r="N2353" t="s">
        <v>168</v>
      </c>
      <c r="P2353" t="s">
        <v>255</v>
      </c>
      <c r="Q2353" t="s">
        <v>47</v>
      </c>
      <c r="R2353">
        <v>2300</v>
      </c>
      <c r="S2353">
        <v>0</v>
      </c>
      <c r="T2353">
        <v>1637486</v>
      </c>
      <c r="U2353" t="s">
        <v>2355</v>
      </c>
      <c r="V2353" t="s">
        <v>2356</v>
      </c>
      <c r="W2353" t="s">
        <v>187</v>
      </c>
      <c r="Y2353" t="s">
        <v>51</v>
      </c>
      <c r="Z2353">
        <v>1785</v>
      </c>
      <c r="AH2353">
        <v>0</v>
      </c>
      <c r="AI2353">
        <v>202506</v>
      </c>
      <c r="AJ2353" t="s">
        <v>86</v>
      </c>
      <c r="AK2353">
        <v>1</v>
      </c>
      <c r="AL2353">
        <v>1</v>
      </c>
      <c r="AO2353">
        <v>0</v>
      </c>
      <c r="AP2353" t="s">
        <v>3015</v>
      </c>
      <c r="AQ2353" t="s">
        <v>3044</v>
      </c>
      <c r="AR2353" t="s">
        <v>3045</v>
      </c>
      <c r="AS2353" t="s">
        <v>3046</v>
      </c>
      <c r="AU2353" t="s">
        <v>3046</v>
      </c>
    </row>
    <row r="2354" spans="1:47" x14ac:dyDescent="0.35">
      <c r="A2354">
        <v>360544</v>
      </c>
      <c r="B2354" t="s">
        <v>178</v>
      </c>
      <c r="C2354" t="s">
        <v>179</v>
      </c>
      <c r="D2354" s="2">
        <v>45835</v>
      </c>
      <c r="E2354">
        <v>53850</v>
      </c>
      <c r="F2354">
        <v>192</v>
      </c>
      <c r="G2354" t="s">
        <v>66</v>
      </c>
      <c r="H2354" t="s">
        <v>167</v>
      </c>
      <c r="I2354" t="s">
        <v>45</v>
      </c>
      <c r="K2354">
        <v>202506268125218</v>
      </c>
      <c r="L2354">
        <v>1923300182666</v>
      </c>
      <c r="M2354">
        <v>20250626</v>
      </c>
      <c r="N2354" t="s">
        <v>236</v>
      </c>
      <c r="P2354" t="s">
        <v>51</v>
      </c>
      <c r="Q2354" t="s">
        <v>170</v>
      </c>
      <c r="R2354">
        <v>643365.12</v>
      </c>
      <c r="S2354">
        <v>0</v>
      </c>
      <c r="T2354">
        <v>3007445</v>
      </c>
      <c r="U2354">
        <v>1846730735</v>
      </c>
      <c r="V2354" t="s">
        <v>2357</v>
      </c>
      <c r="W2354" t="s">
        <v>49</v>
      </c>
      <c r="X2354" t="s">
        <v>110</v>
      </c>
      <c r="Y2354" t="s">
        <v>51</v>
      </c>
      <c r="Z2354">
        <v>1627</v>
      </c>
      <c r="AH2354">
        <v>0</v>
      </c>
      <c r="AI2354">
        <v>202506</v>
      </c>
      <c r="AJ2354" t="s">
        <v>86</v>
      </c>
      <c r="AK2354">
        <v>1</v>
      </c>
      <c r="AL2354">
        <v>1</v>
      </c>
      <c r="AO2354">
        <v>0</v>
      </c>
      <c r="AP2354" t="s">
        <v>3026</v>
      </c>
      <c r="AQ2354" t="s">
        <v>3012</v>
      </c>
      <c r="AR2354" t="s">
        <v>3027</v>
      </c>
      <c r="AS2354" t="s">
        <v>3028</v>
      </c>
      <c r="AU2354" t="s">
        <v>3028</v>
      </c>
    </row>
    <row r="2355" spans="1:47" x14ac:dyDescent="0.35">
      <c r="A2355">
        <v>360543</v>
      </c>
      <c r="B2355" t="s">
        <v>193</v>
      </c>
      <c r="C2355" t="s">
        <v>194</v>
      </c>
      <c r="D2355" s="2">
        <v>45835</v>
      </c>
      <c r="E2355">
        <v>53850</v>
      </c>
      <c r="F2355">
        <v>102</v>
      </c>
      <c r="G2355" t="s">
        <v>151</v>
      </c>
      <c r="H2355" t="s">
        <v>167</v>
      </c>
      <c r="I2355" t="s">
        <v>45</v>
      </c>
      <c r="K2355">
        <v>202506268127020</v>
      </c>
      <c r="L2355">
        <v>1023308722503</v>
      </c>
      <c r="M2355">
        <v>20250626</v>
      </c>
      <c r="N2355" t="s">
        <v>195</v>
      </c>
      <c r="Q2355" t="s">
        <v>47</v>
      </c>
      <c r="R2355">
        <v>31200</v>
      </c>
      <c r="S2355">
        <v>31200</v>
      </c>
      <c r="T2355">
        <v>413650</v>
      </c>
      <c r="U2355">
        <v>3657230722</v>
      </c>
      <c r="V2355" t="s">
        <v>196</v>
      </c>
      <c r="W2355" t="s">
        <v>190</v>
      </c>
      <c r="X2355" t="s">
        <v>197</v>
      </c>
      <c r="Y2355" t="s">
        <v>51</v>
      </c>
      <c r="Z2355">
        <v>1306</v>
      </c>
      <c r="AH2355">
        <v>0</v>
      </c>
      <c r="AI2355">
        <v>202506</v>
      </c>
      <c r="AJ2355" t="s">
        <v>119</v>
      </c>
      <c r="AK2355">
        <v>1</v>
      </c>
      <c r="AL2355">
        <v>1</v>
      </c>
      <c r="AM2355">
        <v>413650</v>
      </c>
      <c r="AN2355">
        <v>1</v>
      </c>
      <c r="AO2355">
        <v>0</v>
      </c>
      <c r="AP2355" t="s">
        <v>3050</v>
      </c>
      <c r="AQ2355" t="s">
        <v>3047</v>
      </c>
      <c r="AR2355" t="s">
        <v>3051</v>
      </c>
      <c r="AS2355" t="s">
        <v>3049</v>
      </c>
      <c r="AU2355" t="s">
        <v>3049</v>
      </c>
    </row>
    <row r="2356" spans="1:47" x14ac:dyDescent="0.35">
      <c r="A2356">
        <v>360542</v>
      </c>
      <c r="B2356" t="s">
        <v>178</v>
      </c>
      <c r="C2356" t="s">
        <v>179</v>
      </c>
      <c r="D2356" s="2">
        <v>45835</v>
      </c>
      <c r="E2356">
        <v>53850</v>
      </c>
      <c r="F2356">
        <v>187</v>
      </c>
      <c r="G2356" t="s">
        <v>251</v>
      </c>
      <c r="H2356" t="s">
        <v>167</v>
      </c>
      <c r="I2356" t="s">
        <v>45</v>
      </c>
      <c r="K2356">
        <v>202506268125518</v>
      </c>
      <c r="L2356">
        <v>999361870311</v>
      </c>
      <c r="M2356">
        <v>20250626</v>
      </c>
      <c r="N2356" t="s">
        <v>236</v>
      </c>
      <c r="P2356" t="s">
        <v>51</v>
      </c>
      <c r="Q2356" t="s">
        <v>170</v>
      </c>
      <c r="R2356">
        <v>1501364.89</v>
      </c>
      <c r="S2356">
        <v>0</v>
      </c>
      <c r="T2356">
        <v>3004644</v>
      </c>
      <c r="U2356">
        <v>80008750731</v>
      </c>
      <c r="V2356" t="s">
        <v>252</v>
      </c>
      <c r="W2356" t="s">
        <v>253</v>
      </c>
      <c r="Y2356" t="s">
        <v>51</v>
      </c>
      <c r="Z2356">
        <v>1627</v>
      </c>
      <c r="AH2356">
        <v>0</v>
      </c>
      <c r="AI2356">
        <v>202506</v>
      </c>
      <c r="AJ2356" t="s">
        <v>56</v>
      </c>
      <c r="AK2356">
        <v>0</v>
      </c>
      <c r="AL2356">
        <v>1</v>
      </c>
      <c r="AO2356">
        <v>0</v>
      </c>
      <c r="AP2356" t="s">
        <v>3015</v>
      </c>
      <c r="AQ2356" t="s">
        <v>3052</v>
      </c>
      <c r="AR2356" t="s">
        <v>3053</v>
      </c>
      <c r="AS2356" t="s">
        <v>3037</v>
      </c>
      <c r="AU2356" t="s">
        <v>3037</v>
      </c>
    </row>
    <row r="2357" spans="1:47" x14ac:dyDescent="0.35">
      <c r="A2357">
        <v>360541</v>
      </c>
      <c r="B2357" t="s">
        <v>178</v>
      </c>
      <c r="C2357" t="s">
        <v>179</v>
      </c>
      <c r="D2357" s="2">
        <v>45835</v>
      </c>
      <c r="E2357">
        <v>53850</v>
      </c>
      <c r="F2357">
        <v>187</v>
      </c>
      <c r="G2357" t="s">
        <v>251</v>
      </c>
      <c r="H2357" t="s">
        <v>167</v>
      </c>
      <c r="I2357" t="s">
        <v>45</v>
      </c>
      <c r="K2357">
        <v>202506268125523</v>
      </c>
      <c r="L2357">
        <v>999361870311</v>
      </c>
      <c r="M2357">
        <v>20250626</v>
      </c>
      <c r="N2357" t="s">
        <v>236</v>
      </c>
      <c r="P2357" t="s">
        <v>51</v>
      </c>
      <c r="Q2357" t="s">
        <v>170</v>
      </c>
      <c r="R2357">
        <v>1025096.37</v>
      </c>
      <c r="S2357">
        <v>0</v>
      </c>
      <c r="T2357">
        <v>3004644</v>
      </c>
      <c r="U2357">
        <v>80008750731</v>
      </c>
      <c r="V2357" t="s">
        <v>252</v>
      </c>
      <c r="W2357" t="s">
        <v>253</v>
      </c>
      <c r="Y2357" t="s">
        <v>51</v>
      </c>
      <c r="Z2357">
        <v>1627</v>
      </c>
      <c r="AH2357">
        <v>0</v>
      </c>
      <c r="AI2357">
        <v>202506</v>
      </c>
      <c r="AJ2357" t="s">
        <v>56</v>
      </c>
      <c r="AK2357">
        <v>0</v>
      </c>
      <c r="AL2357">
        <v>1</v>
      </c>
      <c r="AO2357">
        <v>0</v>
      </c>
      <c r="AP2357" t="s">
        <v>3015</v>
      </c>
      <c r="AQ2357" t="s">
        <v>3052</v>
      </c>
      <c r="AR2357" t="s">
        <v>3053</v>
      </c>
      <c r="AS2357" t="s">
        <v>3037</v>
      </c>
      <c r="AU2357" t="s">
        <v>3037</v>
      </c>
    </row>
    <row r="2358" spans="1:47" x14ac:dyDescent="0.35">
      <c r="A2358">
        <v>360540</v>
      </c>
      <c r="B2358" t="s">
        <v>178</v>
      </c>
      <c r="C2358" t="s">
        <v>179</v>
      </c>
      <c r="D2358" s="2">
        <v>45835</v>
      </c>
      <c r="E2358">
        <v>53850</v>
      </c>
      <c r="F2358">
        <v>102</v>
      </c>
      <c r="G2358" t="s">
        <v>151</v>
      </c>
      <c r="H2358" t="s">
        <v>167</v>
      </c>
      <c r="I2358" t="s">
        <v>45</v>
      </c>
      <c r="K2358">
        <v>202506268127412</v>
      </c>
      <c r="L2358">
        <v>1503300003329</v>
      </c>
      <c r="M2358">
        <v>20250626</v>
      </c>
      <c r="N2358" t="s">
        <v>236</v>
      </c>
      <c r="P2358" t="s">
        <v>51</v>
      </c>
      <c r="Q2358" t="s">
        <v>170</v>
      </c>
      <c r="R2358">
        <v>670460.84</v>
      </c>
      <c r="S2358">
        <v>0</v>
      </c>
      <c r="T2358">
        <v>4981011</v>
      </c>
      <c r="U2358">
        <v>9320630966</v>
      </c>
      <c r="V2358" t="s">
        <v>2358</v>
      </c>
      <c r="W2358" t="s">
        <v>49</v>
      </c>
      <c r="X2358" t="s">
        <v>2359</v>
      </c>
      <c r="Y2358" t="s">
        <v>51</v>
      </c>
      <c r="Z2358">
        <v>1203</v>
      </c>
      <c r="AH2358">
        <v>0</v>
      </c>
      <c r="AI2358">
        <v>202506</v>
      </c>
      <c r="AJ2358" t="s">
        <v>86</v>
      </c>
      <c r="AK2358">
        <v>1</v>
      </c>
      <c r="AL2358">
        <v>1</v>
      </c>
      <c r="AO2358">
        <v>0</v>
      </c>
      <c r="AP2358" t="s">
        <v>3128</v>
      </c>
      <c r="AQ2358" t="s">
        <v>3012</v>
      </c>
      <c r="AR2358" t="s">
        <v>3129</v>
      </c>
      <c r="AS2358" t="s">
        <v>3014</v>
      </c>
      <c r="AU2358" t="s">
        <v>3014</v>
      </c>
    </row>
    <row r="2359" spans="1:47" x14ac:dyDescent="0.35">
      <c r="A2359">
        <v>360539</v>
      </c>
      <c r="B2359" t="s">
        <v>172</v>
      </c>
      <c r="C2359" t="s">
        <v>173</v>
      </c>
      <c r="D2359" s="2">
        <v>45835</v>
      </c>
      <c r="E2359">
        <v>53850</v>
      </c>
      <c r="F2359">
        <v>171</v>
      </c>
      <c r="G2359" t="s">
        <v>198</v>
      </c>
      <c r="H2359" t="s">
        <v>167</v>
      </c>
      <c r="I2359" t="s">
        <v>45</v>
      </c>
      <c r="K2359" t="s">
        <v>2353</v>
      </c>
      <c r="L2359">
        <v>1713305728950</v>
      </c>
      <c r="M2359">
        <v>20250626</v>
      </c>
      <c r="N2359" t="s">
        <v>195</v>
      </c>
      <c r="Q2359" t="s">
        <v>47</v>
      </c>
      <c r="R2359">
        <v>433206.55</v>
      </c>
      <c r="S2359">
        <v>433206.55</v>
      </c>
      <c r="T2359">
        <v>572895</v>
      </c>
      <c r="U2359">
        <v>4161600723</v>
      </c>
      <c r="V2359" t="s">
        <v>199</v>
      </c>
      <c r="W2359" t="s">
        <v>49</v>
      </c>
      <c r="X2359" t="s">
        <v>200</v>
      </c>
      <c r="Y2359" t="s">
        <v>51</v>
      </c>
      <c r="Z2359">
        <v>1903</v>
      </c>
      <c r="AH2359">
        <v>0</v>
      </c>
      <c r="AI2359">
        <v>202506</v>
      </c>
      <c r="AJ2359" t="s">
        <v>119</v>
      </c>
      <c r="AK2359">
        <v>1</v>
      </c>
      <c r="AL2359">
        <v>1</v>
      </c>
      <c r="AM2359">
        <v>572895</v>
      </c>
      <c r="AN2359">
        <v>1</v>
      </c>
      <c r="AO2359">
        <v>0</v>
      </c>
      <c r="AP2359" t="s">
        <v>3015</v>
      </c>
      <c r="AQ2359" t="s">
        <v>3012</v>
      </c>
      <c r="AR2359" t="s">
        <v>3016</v>
      </c>
      <c r="AT2359" t="s">
        <v>3017</v>
      </c>
      <c r="AU2359" t="s">
        <v>3018</v>
      </c>
    </row>
    <row r="2360" spans="1:47" x14ac:dyDescent="0.35">
      <c r="A2360">
        <v>360538</v>
      </c>
      <c r="B2360" t="s">
        <v>193</v>
      </c>
      <c r="C2360" t="s">
        <v>194</v>
      </c>
      <c r="D2360" s="2">
        <v>45835</v>
      </c>
      <c r="E2360">
        <v>53850</v>
      </c>
      <c r="F2360">
        <v>108</v>
      </c>
      <c r="G2360" t="s">
        <v>124</v>
      </c>
      <c r="H2360" t="s">
        <v>167</v>
      </c>
      <c r="I2360" t="s">
        <v>45</v>
      </c>
      <c r="K2360" t="s">
        <v>2353</v>
      </c>
      <c r="L2360">
        <v>1083305200700</v>
      </c>
      <c r="M2360">
        <v>20250626</v>
      </c>
      <c r="N2360" t="s">
        <v>175</v>
      </c>
      <c r="Q2360" t="s">
        <v>47</v>
      </c>
      <c r="R2360">
        <v>44243.31</v>
      </c>
      <c r="S2360">
        <v>34090</v>
      </c>
      <c r="T2360">
        <v>520070</v>
      </c>
      <c r="U2360">
        <v>4357120726</v>
      </c>
      <c r="V2360" t="s">
        <v>457</v>
      </c>
      <c r="W2360" t="s">
        <v>49</v>
      </c>
      <c r="X2360" t="s">
        <v>110</v>
      </c>
      <c r="Y2360" t="s">
        <v>51</v>
      </c>
      <c r="Z2360">
        <v>1058</v>
      </c>
      <c r="AH2360">
        <v>0</v>
      </c>
      <c r="AI2360">
        <v>202506</v>
      </c>
      <c r="AJ2360" t="s">
        <v>86</v>
      </c>
      <c r="AK2360">
        <v>1</v>
      </c>
      <c r="AL2360">
        <v>1</v>
      </c>
      <c r="AO2360">
        <v>1</v>
      </c>
      <c r="AP2360" t="s">
        <v>3026</v>
      </c>
      <c r="AQ2360" t="s">
        <v>3012</v>
      </c>
      <c r="AR2360" t="s">
        <v>3027</v>
      </c>
      <c r="AS2360" t="s">
        <v>3028</v>
      </c>
      <c r="AU2360" t="s">
        <v>3028</v>
      </c>
    </row>
    <row r="2361" spans="1:47" x14ac:dyDescent="0.35">
      <c r="A2361">
        <v>360537</v>
      </c>
      <c r="B2361" t="s">
        <v>164</v>
      </c>
      <c r="C2361" t="s">
        <v>165</v>
      </c>
      <c r="D2361" s="2">
        <v>45835</v>
      </c>
      <c r="E2361">
        <v>53850</v>
      </c>
      <c r="F2361">
        <v>171</v>
      </c>
      <c r="G2361" t="s">
        <v>198</v>
      </c>
      <c r="H2361" t="s">
        <v>167</v>
      </c>
      <c r="I2361" t="s">
        <v>45</v>
      </c>
      <c r="K2361" t="s">
        <v>2360</v>
      </c>
      <c r="L2361">
        <v>1713302217392</v>
      </c>
      <c r="M2361">
        <v>20250626</v>
      </c>
      <c r="N2361" t="s">
        <v>168</v>
      </c>
      <c r="P2361" t="s">
        <v>255</v>
      </c>
      <c r="Q2361" t="s">
        <v>47</v>
      </c>
      <c r="R2361">
        <v>1300</v>
      </c>
      <c r="S2361">
        <v>0</v>
      </c>
      <c r="T2361">
        <v>4926340</v>
      </c>
      <c r="U2361" t="s">
        <v>2035</v>
      </c>
      <c r="V2361" t="s">
        <v>2036</v>
      </c>
      <c r="W2361" t="s">
        <v>69</v>
      </c>
      <c r="X2361" t="s">
        <v>590</v>
      </c>
      <c r="Y2361" t="s">
        <v>51</v>
      </c>
      <c r="Z2361">
        <v>732</v>
      </c>
      <c r="AH2361">
        <v>0</v>
      </c>
      <c r="AI2361">
        <v>202506</v>
      </c>
      <c r="AJ2361" t="s">
        <v>86</v>
      </c>
      <c r="AK2361">
        <v>1</v>
      </c>
      <c r="AL2361">
        <v>1</v>
      </c>
      <c r="AO2361">
        <v>0</v>
      </c>
      <c r="AP2361" t="s">
        <v>3015</v>
      </c>
      <c r="AQ2361" t="s">
        <v>3021</v>
      </c>
      <c r="AR2361" t="s">
        <v>3022</v>
      </c>
      <c r="AT2361" t="s">
        <v>3017</v>
      </c>
      <c r="AU2361" t="s">
        <v>3014</v>
      </c>
    </row>
    <row r="2362" spans="1:47" x14ac:dyDescent="0.35">
      <c r="A2362">
        <v>360536</v>
      </c>
      <c r="B2362" t="s">
        <v>164</v>
      </c>
      <c r="C2362" t="s">
        <v>165</v>
      </c>
      <c r="D2362" s="2">
        <v>45835</v>
      </c>
      <c r="E2362">
        <v>53850</v>
      </c>
      <c r="F2362">
        <v>261</v>
      </c>
      <c r="G2362" t="s">
        <v>136</v>
      </c>
      <c r="H2362" t="s">
        <v>167</v>
      </c>
      <c r="I2362" t="s">
        <v>45</v>
      </c>
      <c r="K2362">
        <v>202506268125555</v>
      </c>
      <c r="L2362">
        <v>2613300010205</v>
      </c>
      <c r="M2362">
        <v>20250626</v>
      </c>
      <c r="N2362" t="s">
        <v>168</v>
      </c>
      <c r="P2362" t="s">
        <v>255</v>
      </c>
      <c r="Q2362" t="s">
        <v>170</v>
      </c>
      <c r="R2362">
        <v>25000</v>
      </c>
      <c r="S2362">
        <v>0</v>
      </c>
      <c r="T2362">
        <v>4991786</v>
      </c>
      <c r="U2362">
        <v>993400944</v>
      </c>
      <c r="V2362" t="s">
        <v>137</v>
      </c>
      <c r="W2362" t="s">
        <v>49</v>
      </c>
      <c r="X2362" t="s">
        <v>77</v>
      </c>
      <c r="Y2362" t="s">
        <v>51</v>
      </c>
      <c r="Z2362">
        <v>1782</v>
      </c>
      <c r="AH2362">
        <v>0</v>
      </c>
      <c r="AI2362">
        <v>202506</v>
      </c>
      <c r="AJ2362" t="s">
        <v>56</v>
      </c>
      <c r="AK2362">
        <v>0</v>
      </c>
      <c r="AL2362">
        <v>1</v>
      </c>
      <c r="AM2362">
        <v>4991786</v>
      </c>
      <c r="AN2362">
        <v>1</v>
      </c>
      <c r="AO2362">
        <v>0</v>
      </c>
      <c r="AP2362" t="s">
        <v>3015</v>
      </c>
      <c r="AQ2362" t="s">
        <v>3012</v>
      </c>
      <c r="AR2362" t="s">
        <v>3016</v>
      </c>
      <c r="AT2362" t="s">
        <v>3017</v>
      </c>
      <c r="AU2362" t="s">
        <v>3018</v>
      </c>
    </row>
    <row r="2363" spans="1:47" x14ac:dyDescent="0.35">
      <c r="A2363">
        <v>360535</v>
      </c>
      <c r="B2363" t="s">
        <v>164</v>
      </c>
      <c r="C2363" t="s">
        <v>165</v>
      </c>
      <c r="D2363" s="2">
        <v>45835</v>
      </c>
      <c r="E2363">
        <v>53850</v>
      </c>
      <c r="F2363">
        <v>266</v>
      </c>
      <c r="G2363" t="s">
        <v>1248</v>
      </c>
      <c r="H2363" t="s">
        <v>167</v>
      </c>
      <c r="I2363" t="s">
        <v>45</v>
      </c>
      <c r="K2363" t="s">
        <v>2361</v>
      </c>
      <c r="L2363">
        <v>2663300000131</v>
      </c>
      <c r="M2363">
        <v>20250626</v>
      </c>
      <c r="N2363" t="s">
        <v>168</v>
      </c>
      <c r="P2363" t="s">
        <v>255</v>
      </c>
      <c r="Q2363" t="s">
        <v>47</v>
      </c>
      <c r="R2363">
        <v>2300</v>
      </c>
      <c r="S2363">
        <v>0</v>
      </c>
      <c r="T2363">
        <v>1614579</v>
      </c>
      <c r="U2363" t="s">
        <v>2362</v>
      </c>
      <c r="V2363" t="s">
        <v>2363</v>
      </c>
      <c r="W2363" t="s">
        <v>187</v>
      </c>
      <c r="Y2363" t="s">
        <v>51</v>
      </c>
      <c r="Z2363">
        <v>1785</v>
      </c>
      <c r="AH2363">
        <v>0</v>
      </c>
      <c r="AI2363">
        <v>202506</v>
      </c>
      <c r="AJ2363" t="s">
        <v>86</v>
      </c>
      <c r="AK2363">
        <v>1</v>
      </c>
      <c r="AL2363">
        <v>1</v>
      </c>
      <c r="AO2363">
        <v>0</v>
      </c>
      <c r="AP2363" t="s">
        <v>3015</v>
      </c>
      <c r="AQ2363" t="s">
        <v>3044</v>
      </c>
      <c r="AR2363" t="s">
        <v>3045</v>
      </c>
      <c r="AS2363" t="s">
        <v>3046</v>
      </c>
      <c r="AU2363" t="s">
        <v>3046</v>
      </c>
    </row>
    <row r="2364" spans="1:47" x14ac:dyDescent="0.35">
      <c r="A2364">
        <v>360534</v>
      </c>
      <c r="B2364" t="s">
        <v>178</v>
      </c>
      <c r="C2364" t="s">
        <v>179</v>
      </c>
      <c r="D2364" s="2">
        <v>45835</v>
      </c>
      <c r="E2364">
        <v>53850</v>
      </c>
      <c r="F2364">
        <v>187</v>
      </c>
      <c r="G2364" t="s">
        <v>251</v>
      </c>
      <c r="H2364" t="s">
        <v>167</v>
      </c>
      <c r="I2364" t="s">
        <v>45</v>
      </c>
      <c r="K2364">
        <v>202506268125068</v>
      </c>
      <c r="L2364">
        <v>999361870311</v>
      </c>
      <c r="M2364">
        <v>20250626</v>
      </c>
      <c r="N2364" t="s">
        <v>310</v>
      </c>
      <c r="Q2364" t="s">
        <v>170</v>
      </c>
      <c r="R2364">
        <v>1274537.48</v>
      </c>
      <c r="S2364">
        <v>0</v>
      </c>
      <c r="T2364">
        <v>3004644</v>
      </c>
      <c r="U2364">
        <v>80008750731</v>
      </c>
      <c r="V2364" t="s">
        <v>252</v>
      </c>
      <c r="W2364" t="s">
        <v>253</v>
      </c>
      <c r="Y2364" t="s">
        <v>51</v>
      </c>
      <c r="Z2364">
        <v>1627</v>
      </c>
      <c r="AH2364">
        <v>0</v>
      </c>
      <c r="AI2364">
        <v>202506</v>
      </c>
      <c r="AJ2364" t="s">
        <v>56</v>
      </c>
      <c r="AK2364">
        <v>0</v>
      </c>
      <c r="AL2364">
        <v>1</v>
      </c>
      <c r="AO2364">
        <v>0</v>
      </c>
      <c r="AP2364" t="s">
        <v>3015</v>
      </c>
      <c r="AQ2364" t="s">
        <v>3052</v>
      </c>
      <c r="AR2364" t="s">
        <v>3053</v>
      </c>
      <c r="AS2364" t="s">
        <v>3037</v>
      </c>
      <c r="AU2364" t="s">
        <v>3037</v>
      </c>
    </row>
    <row r="2365" spans="1:47" x14ac:dyDescent="0.35">
      <c r="A2365">
        <v>360533</v>
      </c>
      <c r="B2365" t="s">
        <v>172</v>
      </c>
      <c r="C2365" t="s">
        <v>173</v>
      </c>
      <c r="D2365" s="2">
        <v>45835</v>
      </c>
      <c r="E2365">
        <v>53850</v>
      </c>
      <c r="F2365">
        <v>103</v>
      </c>
      <c r="G2365" t="s">
        <v>80</v>
      </c>
      <c r="H2365" t="s">
        <v>167</v>
      </c>
      <c r="I2365" t="s">
        <v>45</v>
      </c>
      <c r="K2365">
        <v>202506268127451</v>
      </c>
      <c r="L2365">
        <v>1033306985372</v>
      </c>
      <c r="M2365">
        <v>20250626</v>
      </c>
      <c r="N2365" t="s">
        <v>231</v>
      </c>
      <c r="Q2365" t="s">
        <v>47</v>
      </c>
      <c r="R2365">
        <v>175000</v>
      </c>
      <c r="S2365">
        <v>0</v>
      </c>
      <c r="T2365">
        <v>78893</v>
      </c>
      <c r="U2365" t="s">
        <v>2364</v>
      </c>
      <c r="V2365" t="s">
        <v>2365</v>
      </c>
      <c r="W2365" t="s">
        <v>187</v>
      </c>
      <c r="Y2365" t="s">
        <v>51</v>
      </c>
      <c r="Z2365">
        <v>806</v>
      </c>
      <c r="AH2365">
        <v>0</v>
      </c>
      <c r="AI2365">
        <v>202506</v>
      </c>
      <c r="AJ2365" t="s">
        <v>86</v>
      </c>
      <c r="AK2365">
        <v>1</v>
      </c>
      <c r="AL2365">
        <v>1</v>
      </c>
      <c r="AO2365">
        <v>0</v>
      </c>
      <c r="AP2365" t="s">
        <v>3015</v>
      </c>
      <c r="AQ2365" t="s">
        <v>3044</v>
      </c>
      <c r="AR2365" t="s">
        <v>3045</v>
      </c>
      <c r="AS2365" t="s">
        <v>3046</v>
      </c>
      <c r="AU2365" t="s">
        <v>3046</v>
      </c>
    </row>
    <row r="2366" spans="1:47" x14ac:dyDescent="0.35">
      <c r="A2366">
        <v>360532</v>
      </c>
      <c r="B2366" t="s">
        <v>193</v>
      </c>
      <c r="C2366" t="s">
        <v>194</v>
      </c>
      <c r="D2366" s="2">
        <v>45835</v>
      </c>
      <c r="E2366">
        <v>53850</v>
      </c>
      <c r="F2366">
        <v>204</v>
      </c>
      <c r="G2366" t="s">
        <v>329</v>
      </c>
      <c r="H2366" t="s">
        <v>167</v>
      </c>
      <c r="I2366" t="s">
        <v>45</v>
      </c>
      <c r="K2366" t="s">
        <v>2353</v>
      </c>
      <c r="L2366">
        <v>2043300011647</v>
      </c>
      <c r="M2366">
        <v>20250626</v>
      </c>
      <c r="N2366" t="s">
        <v>266</v>
      </c>
      <c r="Q2366" t="s">
        <v>47</v>
      </c>
      <c r="R2366">
        <v>29650</v>
      </c>
      <c r="S2366">
        <v>29650</v>
      </c>
      <c r="T2366">
        <v>4635489</v>
      </c>
      <c r="U2366">
        <v>2317850697</v>
      </c>
      <c r="V2366" t="s">
        <v>330</v>
      </c>
      <c r="W2366" t="s">
        <v>190</v>
      </c>
      <c r="X2366" t="s">
        <v>131</v>
      </c>
      <c r="Y2366" t="s">
        <v>51</v>
      </c>
      <c r="Z2366">
        <v>1810</v>
      </c>
      <c r="AH2366">
        <v>0</v>
      </c>
      <c r="AI2366">
        <v>202506</v>
      </c>
      <c r="AJ2366" t="s">
        <v>86</v>
      </c>
      <c r="AK2366">
        <v>1</v>
      </c>
      <c r="AL2366">
        <v>1</v>
      </c>
      <c r="AO2366">
        <v>0</v>
      </c>
      <c r="AP2366" t="s">
        <v>3033</v>
      </c>
      <c r="AQ2366" t="s">
        <v>3047</v>
      </c>
      <c r="AR2366" t="s">
        <v>3048</v>
      </c>
      <c r="AS2366" t="s">
        <v>3049</v>
      </c>
      <c r="AU2366" t="s">
        <v>3049</v>
      </c>
    </row>
    <row r="2367" spans="1:47" x14ac:dyDescent="0.35">
      <c r="A2367">
        <v>360531</v>
      </c>
      <c r="B2367" t="s">
        <v>172</v>
      </c>
      <c r="C2367" t="s">
        <v>173</v>
      </c>
      <c r="D2367" s="2">
        <v>45835</v>
      </c>
      <c r="E2367">
        <v>53850</v>
      </c>
      <c r="F2367">
        <v>268</v>
      </c>
      <c r="G2367" t="s">
        <v>83</v>
      </c>
      <c r="H2367" t="s">
        <v>167</v>
      </c>
      <c r="I2367" t="s">
        <v>45</v>
      </c>
      <c r="K2367">
        <v>202506268127808</v>
      </c>
      <c r="L2367">
        <v>2683300006613</v>
      </c>
      <c r="M2367">
        <v>20250626</v>
      </c>
      <c r="N2367" t="s">
        <v>231</v>
      </c>
      <c r="Q2367" t="s">
        <v>47</v>
      </c>
      <c r="R2367">
        <v>191000</v>
      </c>
      <c r="S2367">
        <v>0</v>
      </c>
      <c r="T2367">
        <v>1704019</v>
      </c>
      <c r="U2367" t="s">
        <v>2366</v>
      </c>
      <c r="V2367" t="s">
        <v>2367</v>
      </c>
      <c r="W2367" t="s">
        <v>69</v>
      </c>
      <c r="X2367" t="s">
        <v>70</v>
      </c>
      <c r="Y2367" t="s">
        <v>51</v>
      </c>
      <c r="Z2367">
        <v>1852</v>
      </c>
      <c r="AH2367">
        <v>0</v>
      </c>
      <c r="AI2367">
        <v>202506</v>
      </c>
      <c r="AJ2367" t="s">
        <v>86</v>
      </c>
      <c r="AK2367">
        <v>1</v>
      </c>
      <c r="AL2367">
        <v>1</v>
      </c>
      <c r="AO2367">
        <v>0</v>
      </c>
      <c r="AP2367" t="s">
        <v>3015</v>
      </c>
      <c r="AQ2367" t="s">
        <v>3021</v>
      </c>
      <c r="AR2367" t="s">
        <v>3022</v>
      </c>
      <c r="AT2367" t="s">
        <v>3017</v>
      </c>
      <c r="AU2367" t="s">
        <v>3014</v>
      </c>
    </row>
    <row r="2368" spans="1:47" x14ac:dyDescent="0.35">
      <c r="A2368">
        <v>360530</v>
      </c>
      <c r="B2368" t="s">
        <v>193</v>
      </c>
      <c r="C2368" t="s">
        <v>194</v>
      </c>
      <c r="D2368" s="2">
        <v>45835</v>
      </c>
      <c r="E2368">
        <v>53850</v>
      </c>
      <c r="F2368">
        <v>103</v>
      </c>
      <c r="G2368" t="s">
        <v>80</v>
      </c>
      <c r="H2368" t="s">
        <v>167</v>
      </c>
      <c r="I2368" t="s">
        <v>45</v>
      </c>
      <c r="K2368">
        <v>202506268127432</v>
      </c>
      <c r="L2368">
        <v>1033306980389</v>
      </c>
      <c r="M2368">
        <v>20250626</v>
      </c>
      <c r="N2368" t="s">
        <v>266</v>
      </c>
      <c r="Q2368" t="s">
        <v>47</v>
      </c>
      <c r="R2368">
        <v>35100</v>
      </c>
      <c r="S2368">
        <v>35100</v>
      </c>
      <c r="T2368">
        <v>58747</v>
      </c>
      <c r="U2368" t="s">
        <v>2368</v>
      </c>
      <c r="V2368" t="s">
        <v>2369</v>
      </c>
      <c r="W2368" t="s">
        <v>187</v>
      </c>
      <c r="Y2368" t="s">
        <v>51</v>
      </c>
      <c r="Z2368">
        <v>959</v>
      </c>
      <c r="AH2368">
        <v>0</v>
      </c>
      <c r="AI2368">
        <v>202506</v>
      </c>
      <c r="AJ2368" t="s">
        <v>86</v>
      </c>
      <c r="AK2368">
        <v>1</v>
      </c>
      <c r="AL2368">
        <v>1</v>
      </c>
      <c r="AO2368">
        <v>0</v>
      </c>
      <c r="AP2368" t="s">
        <v>3015</v>
      </c>
      <c r="AQ2368" t="s">
        <v>3044</v>
      </c>
      <c r="AR2368" t="s">
        <v>3045</v>
      </c>
      <c r="AS2368" t="s">
        <v>3046</v>
      </c>
      <c r="AU2368" t="s">
        <v>3046</v>
      </c>
    </row>
    <row r="2369" spans="1:47" x14ac:dyDescent="0.35">
      <c r="A2369">
        <v>360529</v>
      </c>
      <c r="B2369" t="s">
        <v>178</v>
      </c>
      <c r="C2369" t="s">
        <v>179</v>
      </c>
      <c r="D2369" s="2">
        <v>45835</v>
      </c>
      <c r="E2369">
        <v>53850</v>
      </c>
      <c r="F2369">
        <v>271</v>
      </c>
      <c r="G2369" t="s">
        <v>275</v>
      </c>
      <c r="H2369" t="s">
        <v>167</v>
      </c>
      <c r="I2369" t="s">
        <v>45</v>
      </c>
      <c r="K2369" t="s">
        <v>2370</v>
      </c>
      <c r="L2369">
        <v>2713300010109</v>
      </c>
      <c r="M2369">
        <v>20250626</v>
      </c>
      <c r="N2369" t="s">
        <v>3136</v>
      </c>
      <c r="Q2369" t="s">
        <v>170</v>
      </c>
      <c r="R2369">
        <v>2371.4499999999998</v>
      </c>
      <c r="S2369">
        <v>0</v>
      </c>
      <c r="T2369">
        <v>1628583</v>
      </c>
      <c r="U2369" t="s">
        <v>2371</v>
      </c>
      <c r="V2369" t="s">
        <v>2372</v>
      </c>
      <c r="W2369" t="s">
        <v>187</v>
      </c>
      <c r="Y2369" t="s">
        <v>51</v>
      </c>
      <c r="Z2369">
        <v>1850</v>
      </c>
      <c r="AH2369">
        <v>0</v>
      </c>
      <c r="AI2369">
        <v>202506</v>
      </c>
      <c r="AJ2369" t="s">
        <v>52</v>
      </c>
      <c r="AK2369">
        <v>0</v>
      </c>
      <c r="AL2369">
        <v>1</v>
      </c>
      <c r="AO2369">
        <v>1</v>
      </c>
      <c r="AP2369" t="s">
        <v>3015</v>
      </c>
      <c r="AQ2369" t="s">
        <v>3044</v>
      </c>
      <c r="AR2369" t="s">
        <v>3045</v>
      </c>
      <c r="AS2369" t="s">
        <v>3046</v>
      </c>
      <c r="AU2369" t="s">
        <v>3046</v>
      </c>
    </row>
    <row r="2370" spans="1:47" x14ac:dyDescent="0.35">
      <c r="A2370">
        <v>360528</v>
      </c>
      <c r="B2370" t="s">
        <v>178</v>
      </c>
      <c r="C2370" t="s">
        <v>179</v>
      </c>
      <c r="D2370" s="2">
        <v>45835</v>
      </c>
      <c r="E2370">
        <v>53850</v>
      </c>
      <c r="F2370">
        <v>102</v>
      </c>
      <c r="G2370" t="s">
        <v>151</v>
      </c>
      <c r="H2370" t="s">
        <v>167</v>
      </c>
      <c r="I2370" t="s">
        <v>45</v>
      </c>
      <c r="K2370">
        <v>202506268126658</v>
      </c>
      <c r="L2370">
        <v>1023308725044</v>
      </c>
      <c r="M2370">
        <v>20250626</v>
      </c>
      <c r="N2370" t="s">
        <v>46</v>
      </c>
      <c r="P2370" t="s">
        <v>51</v>
      </c>
      <c r="Q2370" t="s">
        <v>47</v>
      </c>
      <c r="R2370">
        <v>283590.28000000003</v>
      </c>
      <c r="S2370">
        <v>0</v>
      </c>
      <c r="T2370">
        <v>4921</v>
      </c>
      <c r="U2370" t="s">
        <v>2373</v>
      </c>
      <c r="V2370" t="s">
        <v>2374</v>
      </c>
      <c r="W2370" t="s">
        <v>187</v>
      </c>
      <c r="Y2370" t="s">
        <v>51</v>
      </c>
      <c r="Z2370">
        <v>1335</v>
      </c>
      <c r="AH2370">
        <v>0</v>
      </c>
      <c r="AI2370">
        <v>202506</v>
      </c>
      <c r="AJ2370" t="s">
        <v>86</v>
      </c>
      <c r="AK2370">
        <v>1</v>
      </c>
      <c r="AL2370">
        <v>1</v>
      </c>
      <c r="AO2370">
        <v>0</v>
      </c>
      <c r="AP2370" t="s">
        <v>3015</v>
      </c>
      <c r="AQ2370" t="s">
        <v>3044</v>
      </c>
      <c r="AR2370" t="s">
        <v>3045</v>
      </c>
      <c r="AS2370" t="s">
        <v>3046</v>
      </c>
      <c r="AU2370" t="s">
        <v>3046</v>
      </c>
    </row>
    <row r="2371" spans="1:47" x14ac:dyDescent="0.35">
      <c r="A2371">
        <v>360527</v>
      </c>
      <c r="B2371" t="s">
        <v>172</v>
      </c>
      <c r="C2371" t="s">
        <v>173</v>
      </c>
      <c r="D2371" s="2">
        <v>45835</v>
      </c>
      <c r="E2371">
        <v>53850</v>
      </c>
      <c r="F2371">
        <v>116</v>
      </c>
      <c r="G2371" t="s">
        <v>126</v>
      </c>
      <c r="H2371" t="s">
        <v>167</v>
      </c>
      <c r="I2371" t="s">
        <v>45</v>
      </c>
      <c r="K2371" t="s">
        <v>2353</v>
      </c>
      <c r="L2371">
        <v>2343300010453</v>
      </c>
      <c r="M2371">
        <v>20250626</v>
      </c>
      <c r="N2371" t="s">
        <v>195</v>
      </c>
      <c r="Q2371" t="s">
        <v>47</v>
      </c>
      <c r="R2371">
        <v>203564</v>
      </c>
      <c r="S2371">
        <v>203564</v>
      </c>
      <c r="T2371">
        <v>4247777</v>
      </c>
      <c r="U2371">
        <v>233470236</v>
      </c>
      <c r="V2371" t="s">
        <v>206</v>
      </c>
      <c r="W2371" t="s">
        <v>49</v>
      </c>
      <c r="X2371" t="s">
        <v>117</v>
      </c>
      <c r="Y2371" t="s">
        <v>51</v>
      </c>
      <c r="Z2371">
        <v>1696</v>
      </c>
      <c r="AH2371">
        <v>0</v>
      </c>
      <c r="AI2371">
        <v>202506</v>
      </c>
      <c r="AJ2371" t="s">
        <v>86</v>
      </c>
      <c r="AK2371">
        <v>1</v>
      </c>
      <c r="AL2371">
        <v>1</v>
      </c>
      <c r="AM2371">
        <v>4247777</v>
      </c>
      <c r="AN2371">
        <v>1</v>
      </c>
      <c r="AO2371">
        <v>0</v>
      </c>
      <c r="AP2371" t="s">
        <v>3029</v>
      </c>
      <c r="AQ2371" t="s">
        <v>3012</v>
      </c>
      <c r="AR2371" t="s">
        <v>3030</v>
      </c>
      <c r="AS2371" t="s">
        <v>3014</v>
      </c>
      <c r="AU2371" t="s">
        <v>3014</v>
      </c>
    </row>
    <row r="2372" spans="1:47" x14ac:dyDescent="0.35">
      <c r="A2372">
        <v>360526</v>
      </c>
      <c r="B2372" t="s">
        <v>164</v>
      </c>
      <c r="C2372" t="s">
        <v>165</v>
      </c>
      <c r="D2372" s="2">
        <v>45835</v>
      </c>
      <c r="E2372">
        <v>53850</v>
      </c>
      <c r="F2372">
        <v>266</v>
      </c>
      <c r="G2372" t="s">
        <v>1248</v>
      </c>
      <c r="H2372" t="s">
        <v>167</v>
      </c>
      <c r="I2372" t="s">
        <v>45</v>
      </c>
      <c r="K2372" t="s">
        <v>2375</v>
      </c>
      <c r="L2372">
        <v>2663300001473</v>
      </c>
      <c r="M2372">
        <v>20250626</v>
      </c>
      <c r="N2372" t="s">
        <v>168</v>
      </c>
      <c r="P2372" t="s">
        <v>255</v>
      </c>
      <c r="Q2372" t="s">
        <v>47</v>
      </c>
      <c r="R2372">
        <v>2300</v>
      </c>
      <c r="S2372">
        <v>0</v>
      </c>
      <c r="T2372">
        <v>1613112</v>
      </c>
      <c r="U2372" t="s">
        <v>2376</v>
      </c>
      <c r="V2372" t="s">
        <v>2377</v>
      </c>
      <c r="W2372" t="s">
        <v>187</v>
      </c>
      <c r="Y2372" t="s">
        <v>51</v>
      </c>
      <c r="Z2372">
        <v>1811</v>
      </c>
      <c r="AH2372">
        <v>0</v>
      </c>
      <c r="AI2372">
        <v>202506</v>
      </c>
      <c r="AJ2372" t="s">
        <v>86</v>
      </c>
      <c r="AK2372">
        <v>1</v>
      </c>
      <c r="AL2372">
        <v>1</v>
      </c>
      <c r="AO2372">
        <v>0</v>
      </c>
      <c r="AP2372" t="s">
        <v>3015</v>
      </c>
      <c r="AQ2372" t="s">
        <v>3044</v>
      </c>
      <c r="AR2372" t="s">
        <v>3045</v>
      </c>
      <c r="AS2372" t="s">
        <v>3046</v>
      </c>
      <c r="AU2372" t="s">
        <v>3046</v>
      </c>
    </row>
    <row r="2373" spans="1:47" x14ac:dyDescent="0.35">
      <c r="A2373">
        <v>360525</v>
      </c>
      <c r="B2373" t="s">
        <v>172</v>
      </c>
      <c r="C2373" t="s">
        <v>173</v>
      </c>
      <c r="D2373" s="2">
        <v>45835</v>
      </c>
      <c r="E2373">
        <v>53850</v>
      </c>
      <c r="F2373">
        <v>171</v>
      </c>
      <c r="G2373" t="s">
        <v>198</v>
      </c>
      <c r="H2373" t="s">
        <v>167</v>
      </c>
      <c r="I2373" t="s">
        <v>45</v>
      </c>
      <c r="K2373" t="s">
        <v>2353</v>
      </c>
      <c r="L2373">
        <v>1713302214147</v>
      </c>
      <c r="M2373">
        <v>20250626</v>
      </c>
      <c r="N2373" t="s">
        <v>175</v>
      </c>
      <c r="Q2373" t="s">
        <v>47</v>
      </c>
      <c r="R2373">
        <v>190385</v>
      </c>
      <c r="S2373">
        <v>190385</v>
      </c>
      <c r="T2373">
        <v>4199319</v>
      </c>
      <c r="U2373">
        <v>6037810725</v>
      </c>
      <c r="V2373" t="s">
        <v>1144</v>
      </c>
      <c r="W2373" t="s">
        <v>49</v>
      </c>
      <c r="X2373" t="s">
        <v>200</v>
      </c>
      <c r="Y2373" t="s">
        <v>51</v>
      </c>
      <c r="Z2373">
        <v>1903</v>
      </c>
      <c r="AH2373">
        <v>0</v>
      </c>
      <c r="AI2373">
        <v>202506</v>
      </c>
      <c r="AJ2373" t="s">
        <v>86</v>
      </c>
      <c r="AK2373">
        <v>1</v>
      </c>
      <c r="AL2373">
        <v>1</v>
      </c>
      <c r="AM2373">
        <v>4199319</v>
      </c>
      <c r="AN2373">
        <v>1</v>
      </c>
      <c r="AO2373">
        <v>1</v>
      </c>
      <c r="AP2373" t="s">
        <v>3015</v>
      </c>
      <c r="AQ2373" t="s">
        <v>3012</v>
      </c>
      <c r="AR2373" t="s">
        <v>3016</v>
      </c>
      <c r="AT2373" t="s">
        <v>3017</v>
      </c>
      <c r="AU2373" t="s">
        <v>3018</v>
      </c>
    </row>
    <row r="2374" spans="1:47" x14ac:dyDescent="0.35">
      <c r="A2374">
        <v>360524</v>
      </c>
      <c r="B2374" t="s">
        <v>164</v>
      </c>
      <c r="C2374" t="s">
        <v>165</v>
      </c>
      <c r="D2374" s="2">
        <v>45835</v>
      </c>
      <c r="E2374">
        <v>53850</v>
      </c>
      <c r="F2374">
        <v>266</v>
      </c>
      <c r="G2374" t="s">
        <v>1248</v>
      </c>
      <c r="H2374" t="s">
        <v>167</v>
      </c>
      <c r="I2374" t="s">
        <v>45</v>
      </c>
      <c r="K2374" t="s">
        <v>2375</v>
      </c>
      <c r="L2374">
        <v>2663300001473</v>
      </c>
      <c r="M2374">
        <v>20250626</v>
      </c>
      <c r="N2374" t="s">
        <v>168</v>
      </c>
      <c r="P2374" t="s">
        <v>255</v>
      </c>
      <c r="Q2374" t="s">
        <v>47</v>
      </c>
      <c r="R2374">
        <v>2300</v>
      </c>
      <c r="S2374">
        <v>0</v>
      </c>
      <c r="T2374">
        <v>1627249</v>
      </c>
      <c r="U2374" t="s">
        <v>2378</v>
      </c>
      <c r="V2374" t="s">
        <v>2379</v>
      </c>
      <c r="W2374" t="s">
        <v>187</v>
      </c>
      <c r="Y2374" t="s">
        <v>51</v>
      </c>
      <c r="Z2374">
        <v>1811</v>
      </c>
      <c r="AH2374">
        <v>0</v>
      </c>
      <c r="AI2374">
        <v>202506</v>
      </c>
      <c r="AJ2374" t="s">
        <v>86</v>
      </c>
      <c r="AK2374">
        <v>1</v>
      </c>
      <c r="AL2374">
        <v>1</v>
      </c>
      <c r="AO2374">
        <v>0</v>
      </c>
      <c r="AP2374" t="s">
        <v>3015</v>
      </c>
      <c r="AQ2374" t="s">
        <v>3044</v>
      </c>
      <c r="AR2374" t="s">
        <v>3045</v>
      </c>
      <c r="AS2374" t="s">
        <v>3046</v>
      </c>
      <c r="AU2374" t="s">
        <v>3046</v>
      </c>
    </row>
    <row r="2375" spans="1:47" x14ac:dyDescent="0.35">
      <c r="A2375">
        <v>360523</v>
      </c>
      <c r="B2375" t="s">
        <v>178</v>
      </c>
      <c r="C2375" t="s">
        <v>179</v>
      </c>
      <c r="D2375" s="2">
        <v>45835</v>
      </c>
      <c r="E2375">
        <v>53850</v>
      </c>
      <c r="F2375">
        <v>182</v>
      </c>
      <c r="G2375" t="s">
        <v>318</v>
      </c>
      <c r="H2375" t="s">
        <v>167</v>
      </c>
      <c r="I2375" t="s">
        <v>45</v>
      </c>
      <c r="K2375">
        <v>202506268125215</v>
      </c>
      <c r="L2375">
        <v>1823300058518</v>
      </c>
      <c r="M2375">
        <v>20250626</v>
      </c>
      <c r="N2375" t="s">
        <v>236</v>
      </c>
      <c r="P2375" t="s">
        <v>51</v>
      </c>
      <c r="Q2375" t="s">
        <v>170</v>
      </c>
      <c r="R2375">
        <v>1106190.6499999999</v>
      </c>
      <c r="S2375">
        <v>0</v>
      </c>
      <c r="T2375">
        <v>3001876</v>
      </c>
      <c r="U2375">
        <v>90112650735</v>
      </c>
      <c r="V2375" t="s">
        <v>2380</v>
      </c>
      <c r="W2375" t="s">
        <v>685</v>
      </c>
      <c r="X2375" t="s">
        <v>746</v>
      </c>
      <c r="Y2375" t="s">
        <v>51</v>
      </c>
      <c r="Z2375">
        <v>676</v>
      </c>
      <c r="AH2375">
        <v>0</v>
      </c>
      <c r="AI2375">
        <v>202506</v>
      </c>
      <c r="AJ2375" t="s">
        <v>86</v>
      </c>
      <c r="AK2375">
        <v>1</v>
      </c>
      <c r="AL2375">
        <v>1</v>
      </c>
      <c r="AO2375">
        <v>0</v>
      </c>
      <c r="AP2375" t="s">
        <v>3015</v>
      </c>
      <c r="AQ2375" t="s">
        <v>3082</v>
      </c>
      <c r="AR2375" t="s">
        <v>3083</v>
      </c>
      <c r="AT2375" t="s">
        <v>3017</v>
      </c>
      <c r="AU2375" t="s">
        <v>3018</v>
      </c>
    </row>
    <row r="2376" spans="1:47" x14ac:dyDescent="0.35">
      <c r="A2376">
        <v>360522</v>
      </c>
      <c r="B2376" t="s">
        <v>172</v>
      </c>
      <c r="C2376" t="s">
        <v>173</v>
      </c>
      <c r="D2376" s="2">
        <v>45835</v>
      </c>
      <c r="E2376">
        <v>53850</v>
      </c>
      <c r="F2376">
        <v>103</v>
      </c>
      <c r="G2376" t="s">
        <v>80</v>
      </c>
      <c r="H2376" t="s">
        <v>167</v>
      </c>
      <c r="I2376" t="s">
        <v>45</v>
      </c>
      <c r="K2376">
        <v>202506268127443</v>
      </c>
      <c r="L2376">
        <v>1033300511030</v>
      </c>
      <c r="M2376">
        <v>20250626</v>
      </c>
      <c r="N2376" t="s">
        <v>81</v>
      </c>
      <c r="Q2376" t="s">
        <v>47</v>
      </c>
      <c r="R2376">
        <v>130000</v>
      </c>
      <c r="S2376">
        <v>0</v>
      </c>
      <c r="T2376">
        <v>51103</v>
      </c>
      <c r="U2376" t="s">
        <v>2280</v>
      </c>
      <c r="V2376" t="s">
        <v>2281</v>
      </c>
      <c r="W2376" t="s">
        <v>187</v>
      </c>
      <c r="Y2376" t="s">
        <v>51</v>
      </c>
      <c r="Z2376">
        <v>407</v>
      </c>
      <c r="AH2376">
        <v>0</v>
      </c>
      <c r="AI2376">
        <v>202506</v>
      </c>
      <c r="AJ2376" t="s">
        <v>86</v>
      </c>
      <c r="AK2376">
        <v>1</v>
      </c>
      <c r="AL2376">
        <v>1</v>
      </c>
      <c r="AO2376">
        <v>0</v>
      </c>
      <c r="AP2376" t="s">
        <v>3015</v>
      </c>
      <c r="AQ2376" t="s">
        <v>3044</v>
      </c>
      <c r="AR2376" t="s">
        <v>3045</v>
      </c>
      <c r="AS2376" t="s">
        <v>3046</v>
      </c>
      <c r="AU2376" t="s">
        <v>3046</v>
      </c>
    </row>
    <row r="2377" spans="1:47" x14ac:dyDescent="0.35">
      <c r="A2377">
        <v>360521</v>
      </c>
      <c r="B2377" t="s">
        <v>178</v>
      </c>
      <c r="C2377" t="s">
        <v>179</v>
      </c>
      <c r="D2377" s="2">
        <v>45835</v>
      </c>
      <c r="E2377">
        <v>53850</v>
      </c>
      <c r="F2377">
        <v>182</v>
      </c>
      <c r="G2377" t="s">
        <v>318</v>
      </c>
      <c r="H2377" t="s">
        <v>167</v>
      </c>
      <c r="I2377" t="s">
        <v>45</v>
      </c>
      <c r="K2377">
        <v>202506268125212</v>
      </c>
      <c r="L2377">
        <v>1823300058518</v>
      </c>
      <c r="M2377">
        <v>20250626</v>
      </c>
      <c r="N2377" t="s">
        <v>236</v>
      </c>
      <c r="P2377" t="s">
        <v>51</v>
      </c>
      <c r="Q2377" t="s">
        <v>170</v>
      </c>
      <c r="R2377">
        <v>1110644.2</v>
      </c>
      <c r="S2377">
        <v>0</v>
      </c>
      <c r="T2377">
        <v>3001876</v>
      </c>
      <c r="U2377">
        <v>90112650735</v>
      </c>
      <c r="V2377" t="s">
        <v>2380</v>
      </c>
      <c r="W2377" t="s">
        <v>685</v>
      </c>
      <c r="X2377" t="s">
        <v>746</v>
      </c>
      <c r="Y2377" t="s">
        <v>51</v>
      </c>
      <c r="Z2377">
        <v>676</v>
      </c>
      <c r="AH2377">
        <v>0</v>
      </c>
      <c r="AI2377">
        <v>202506</v>
      </c>
      <c r="AJ2377" t="s">
        <v>86</v>
      </c>
      <c r="AK2377">
        <v>1</v>
      </c>
      <c r="AL2377">
        <v>1</v>
      </c>
      <c r="AO2377">
        <v>0</v>
      </c>
      <c r="AP2377" t="s">
        <v>3015</v>
      </c>
      <c r="AQ2377" t="s">
        <v>3082</v>
      </c>
      <c r="AR2377" t="s">
        <v>3083</v>
      </c>
      <c r="AT2377" t="s">
        <v>3017</v>
      </c>
      <c r="AU2377" t="s">
        <v>3018</v>
      </c>
    </row>
    <row r="2378" spans="1:47" x14ac:dyDescent="0.35">
      <c r="A2378">
        <v>360520</v>
      </c>
      <c r="B2378" t="s">
        <v>178</v>
      </c>
      <c r="C2378" t="s">
        <v>179</v>
      </c>
      <c r="D2378" s="2">
        <v>45835</v>
      </c>
      <c r="E2378">
        <v>53850</v>
      </c>
      <c r="F2378">
        <v>271</v>
      </c>
      <c r="G2378" t="s">
        <v>275</v>
      </c>
      <c r="H2378" t="s">
        <v>167</v>
      </c>
      <c r="I2378" t="s">
        <v>45</v>
      </c>
      <c r="K2378" t="s">
        <v>2370</v>
      </c>
      <c r="L2378">
        <v>2713300010109</v>
      </c>
      <c r="M2378">
        <v>20250626</v>
      </c>
      <c r="N2378" t="s">
        <v>3136</v>
      </c>
      <c r="Q2378" t="s">
        <v>170</v>
      </c>
      <c r="R2378">
        <v>2371.4499999999998</v>
      </c>
      <c r="S2378">
        <v>0</v>
      </c>
      <c r="T2378">
        <v>1667399</v>
      </c>
      <c r="U2378" t="s">
        <v>2381</v>
      </c>
      <c r="V2378" t="s">
        <v>2382</v>
      </c>
      <c r="W2378" t="s">
        <v>187</v>
      </c>
      <c r="Y2378" t="s">
        <v>51</v>
      </c>
      <c r="AH2378">
        <v>0</v>
      </c>
      <c r="AI2378">
        <v>202506</v>
      </c>
      <c r="AJ2378" t="s">
        <v>52</v>
      </c>
      <c r="AK2378">
        <v>0</v>
      </c>
      <c r="AL2378">
        <v>1</v>
      </c>
      <c r="AO2378">
        <v>1</v>
      </c>
      <c r="AP2378" t="s">
        <v>3015</v>
      </c>
      <c r="AQ2378" t="s">
        <v>3044</v>
      </c>
      <c r="AR2378" t="s">
        <v>3045</v>
      </c>
      <c r="AS2378" t="s">
        <v>3046</v>
      </c>
      <c r="AU2378" t="s">
        <v>3046</v>
      </c>
    </row>
    <row r="2379" spans="1:47" x14ac:dyDescent="0.35">
      <c r="A2379">
        <v>360519</v>
      </c>
      <c r="B2379" t="s">
        <v>178</v>
      </c>
      <c r="C2379" t="s">
        <v>179</v>
      </c>
      <c r="D2379" s="2">
        <v>45835</v>
      </c>
      <c r="E2379">
        <v>53850</v>
      </c>
      <c r="F2379">
        <v>125</v>
      </c>
      <c r="G2379" t="s">
        <v>75</v>
      </c>
      <c r="H2379" t="s">
        <v>167</v>
      </c>
      <c r="I2379" t="s">
        <v>45</v>
      </c>
      <c r="K2379">
        <v>202506268125272</v>
      </c>
      <c r="L2379">
        <v>1253300010268</v>
      </c>
      <c r="M2379">
        <v>20250626</v>
      </c>
      <c r="N2379" t="s">
        <v>236</v>
      </c>
      <c r="P2379" t="s">
        <v>51</v>
      </c>
      <c r="Q2379" t="s">
        <v>170</v>
      </c>
      <c r="R2379">
        <v>900000</v>
      </c>
      <c r="S2379">
        <v>0</v>
      </c>
      <c r="T2379">
        <v>4568007</v>
      </c>
      <c r="U2379">
        <v>6398720968</v>
      </c>
      <c r="V2379" t="s">
        <v>2383</v>
      </c>
      <c r="W2379" t="s">
        <v>49</v>
      </c>
      <c r="X2379" t="s">
        <v>110</v>
      </c>
      <c r="Y2379" t="s">
        <v>51</v>
      </c>
      <c r="Z2379">
        <v>982</v>
      </c>
      <c r="AH2379">
        <v>0</v>
      </c>
      <c r="AI2379">
        <v>202506</v>
      </c>
      <c r="AJ2379" t="s">
        <v>86</v>
      </c>
      <c r="AK2379">
        <v>1</v>
      </c>
      <c r="AL2379">
        <v>1</v>
      </c>
      <c r="AO2379">
        <v>0</v>
      </c>
      <c r="AP2379" t="s">
        <v>3026</v>
      </c>
      <c r="AQ2379" t="s">
        <v>3012</v>
      </c>
      <c r="AR2379" t="s">
        <v>3027</v>
      </c>
      <c r="AS2379" t="s">
        <v>3028</v>
      </c>
      <c r="AU2379" t="s">
        <v>3028</v>
      </c>
    </row>
    <row r="2380" spans="1:47" x14ac:dyDescent="0.35">
      <c r="A2380">
        <v>360518</v>
      </c>
      <c r="B2380" t="s">
        <v>164</v>
      </c>
      <c r="C2380" t="s">
        <v>165</v>
      </c>
      <c r="D2380" s="2">
        <v>45835</v>
      </c>
      <c r="E2380">
        <v>53850</v>
      </c>
      <c r="F2380">
        <v>129</v>
      </c>
      <c r="G2380" t="s">
        <v>227</v>
      </c>
      <c r="H2380" t="s">
        <v>167</v>
      </c>
      <c r="I2380" t="s">
        <v>45</v>
      </c>
      <c r="K2380" t="s">
        <v>2384</v>
      </c>
      <c r="L2380">
        <v>1293300002811</v>
      </c>
      <c r="M2380">
        <v>20250626</v>
      </c>
      <c r="N2380" t="s">
        <v>168</v>
      </c>
      <c r="P2380" t="s">
        <v>169</v>
      </c>
      <c r="Q2380" t="s">
        <v>47</v>
      </c>
      <c r="R2380">
        <v>4554.57</v>
      </c>
      <c r="S2380">
        <v>0</v>
      </c>
      <c r="T2380">
        <v>4972184</v>
      </c>
      <c r="U2380">
        <v>7780290727</v>
      </c>
      <c r="V2380" t="s">
        <v>720</v>
      </c>
      <c r="W2380" t="s">
        <v>49</v>
      </c>
      <c r="X2380" t="s">
        <v>721</v>
      </c>
      <c r="Y2380" t="s">
        <v>51</v>
      </c>
      <c r="Z2380">
        <v>1058</v>
      </c>
      <c r="AH2380">
        <v>0</v>
      </c>
      <c r="AI2380">
        <v>202506</v>
      </c>
      <c r="AJ2380" t="s">
        <v>86</v>
      </c>
      <c r="AK2380">
        <v>1</v>
      </c>
      <c r="AL2380">
        <v>1</v>
      </c>
      <c r="AO2380">
        <v>0</v>
      </c>
      <c r="AP2380" t="s">
        <v>3015</v>
      </c>
      <c r="AQ2380" t="s">
        <v>3012</v>
      </c>
      <c r="AR2380" t="s">
        <v>3016</v>
      </c>
      <c r="AT2380" t="s">
        <v>3017</v>
      </c>
      <c r="AU2380" t="s">
        <v>3018</v>
      </c>
    </row>
    <row r="2381" spans="1:47" x14ac:dyDescent="0.35">
      <c r="A2381">
        <v>360517</v>
      </c>
      <c r="B2381" t="s">
        <v>178</v>
      </c>
      <c r="C2381" t="s">
        <v>179</v>
      </c>
      <c r="D2381" s="2">
        <v>45835</v>
      </c>
      <c r="E2381">
        <v>53850</v>
      </c>
      <c r="F2381">
        <v>106</v>
      </c>
      <c r="G2381" t="s">
        <v>291</v>
      </c>
      <c r="H2381" t="s">
        <v>167</v>
      </c>
      <c r="I2381" t="s">
        <v>45</v>
      </c>
      <c r="K2381">
        <v>202506268125030</v>
      </c>
      <c r="L2381">
        <v>1063304957810</v>
      </c>
      <c r="M2381">
        <v>20250626</v>
      </c>
      <c r="N2381" t="s">
        <v>236</v>
      </c>
      <c r="P2381" t="s">
        <v>51</v>
      </c>
      <c r="Q2381" t="s">
        <v>170</v>
      </c>
      <c r="R2381">
        <v>300000</v>
      </c>
      <c r="S2381">
        <v>0</v>
      </c>
      <c r="T2381">
        <v>495781</v>
      </c>
      <c r="U2381" t="s">
        <v>1174</v>
      </c>
      <c r="V2381" t="s">
        <v>1175</v>
      </c>
      <c r="W2381" t="s">
        <v>187</v>
      </c>
      <c r="Y2381" t="s">
        <v>51</v>
      </c>
      <c r="Z2381">
        <v>1464</v>
      </c>
      <c r="AH2381">
        <v>0</v>
      </c>
      <c r="AI2381">
        <v>202506</v>
      </c>
      <c r="AJ2381" t="s">
        <v>86</v>
      </c>
      <c r="AK2381">
        <v>1</v>
      </c>
      <c r="AL2381">
        <v>1</v>
      </c>
      <c r="AO2381">
        <v>0</v>
      </c>
      <c r="AP2381" t="s">
        <v>3015</v>
      </c>
      <c r="AQ2381" t="s">
        <v>3044</v>
      </c>
      <c r="AR2381" t="s">
        <v>3045</v>
      </c>
      <c r="AS2381" t="s">
        <v>3046</v>
      </c>
      <c r="AU2381" t="s">
        <v>3046</v>
      </c>
    </row>
    <row r="2382" spans="1:47" x14ac:dyDescent="0.35">
      <c r="A2382">
        <v>360516</v>
      </c>
      <c r="B2382" t="s">
        <v>193</v>
      </c>
      <c r="C2382" t="s">
        <v>194</v>
      </c>
      <c r="D2382" s="2">
        <v>45835</v>
      </c>
      <c r="E2382">
        <v>53850</v>
      </c>
      <c r="F2382">
        <v>171</v>
      </c>
      <c r="G2382" t="s">
        <v>198</v>
      </c>
      <c r="H2382" t="s">
        <v>167</v>
      </c>
      <c r="I2382" t="s">
        <v>45</v>
      </c>
      <c r="K2382" t="s">
        <v>2353</v>
      </c>
      <c r="L2382">
        <v>1713302214147</v>
      </c>
      <c r="M2382">
        <v>20250626</v>
      </c>
      <c r="N2382" t="s">
        <v>175</v>
      </c>
      <c r="Q2382" t="s">
        <v>47</v>
      </c>
      <c r="R2382">
        <v>190385</v>
      </c>
      <c r="S2382">
        <v>190385</v>
      </c>
      <c r="T2382">
        <v>4199319</v>
      </c>
      <c r="U2382">
        <v>6037810725</v>
      </c>
      <c r="V2382" t="s">
        <v>1144</v>
      </c>
      <c r="W2382" t="s">
        <v>49</v>
      </c>
      <c r="X2382" t="s">
        <v>200</v>
      </c>
      <c r="Y2382" t="s">
        <v>51</v>
      </c>
      <c r="Z2382">
        <v>1903</v>
      </c>
      <c r="AH2382">
        <v>0</v>
      </c>
      <c r="AI2382">
        <v>202506</v>
      </c>
      <c r="AJ2382" t="s">
        <v>86</v>
      </c>
      <c r="AK2382">
        <v>1</v>
      </c>
      <c r="AL2382">
        <v>1</v>
      </c>
      <c r="AM2382">
        <v>4199319</v>
      </c>
      <c r="AN2382">
        <v>1</v>
      </c>
      <c r="AO2382">
        <v>1</v>
      </c>
      <c r="AP2382" t="s">
        <v>3015</v>
      </c>
      <c r="AQ2382" t="s">
        <v>3012</v>
      </c>
      <c r="AR2382" t="s">
        <v>3016</v>
      </c>
      <c r="AT2382" t="s">
        <v>3017</v>
      </c>
      <c r="AU2382" t="s">
        <v>3018</v>
      </c>
    </row>
    <row r="2383" spans="1:47" x14ac:dyDescent="0.35">
      <c r="A2383">
        <v>360515</v>
      </c>
      <c r="B2383" t="s">
        <v>178</v>
      </c>
      <c r="C2383" t="s">
        <v>179</v>
      </c>
      <c r="D2383" s="2">
        <v>45835</v>
      </c>
      <c r="E2383">
        <v>53850</v>
      </c>
      <c r="F2383">
        <v>141</v>
      </c>
      <c r="G2383" t="s">
        <v>105</v>
      </c>
      <c r="H2383" t="s">
        <v>167</v>
      </c>
      <c r="I2383" t="s">
        <v>45</v>
      </c>
      <c r="K2383">
        <v>202506268126999</v>
      </c>
      <c r="L2383">
        <v>1413300003985</v>
      </c>
      <c r="M2383">
        <v>20250626</v>
      </c>
      <c r="N2383" t="s">
        <v>659</v>
      </c>
      <c r="Q2383" t="s">
        <v>170</v>
      </c>
      <c r="R2383">
        <v>3075625.82</v>
      </c>
      <c r="S2383">
        <v>0</v>
      </c>
      <c r="T2383">
        <v>4996689</v>
      </c>
      <c r="U2383">
        <v>80010360750</v>
      </c>
      <c r="V2383" t="s">
        <v>106</v>
      </c>
      <c r="W2383" t="s">
        <v>49</v>
      </c>
      <c r="X2383" t="s">
        <v>107</v>
      </c>
      <c r="Y2383" t="s">
        <v>51</v>
      </c>
      <c r="Z2383">
        <v>1940</v>
      </c>
      <c r="AH2383">
        <v>0</v>
      </c>
      <c r="AI2383">
        <v>202506</v>
      </c>
      <c r="AJ2383" t="s">
        <v>119</v>
      </c>
      <c r="AK2383">
        <v>1</v>
      </c>
      <c r="AL2383">
        <v>1</v>
      </c>
      <c r="AO2383">
        <v>0</v>
      </c>
      <c r="AP2383" t="s">
        <v>3024</v>
      </c>
      <c r="AQ2383" t="s">
        <v>3012</v>
      </c>
      <c r="AR2383" t="s">
        <v>3025</v>
      </c>
      <c r="AS2383" t="s">
        <v>3014</v>
      </c>
      <c r="AU2383" t="s">
        <v>3014</v>
      </c>
    </row>
    <row r="2384" spans="1:47" x14ac:dyDescent="0.35">
      <c r="A2384">
        <v>360514</v>
      </c>
      <c r="B2384" t="s">
        <v>178</v>
      </c>
      <c r="C2384" t="s">
        <v>179</v>
      </c>
      <c r="D2384" s="2">
        <v>45835</v>
      </c>
      <c r="E2384">
        <v>53850</v>
      </c>
      <c r="F2384">
        <v>264</v>
      </c>
      <c r="G2384" t="s">
        <v>71</v>
      </c>
      <c r="H2384" t="s">
        <v>167</v>
      </c>
      <c r="I2384" t="s">
        <v>45</v>
      </c>
      <c r="K2384">
        <v>202506268125822</v>
      </c>
      <c r="L2384">
        <v>2643300002152</v>
      </c>
      <c r="M2384">
        <v>20250626</v>
      </c>
      <c r="N2384" t="s">
        <v>46</v>
      </c>
      <c r="P2384" t="s">
        <v>51</v>
      </c>
      <c r="Q2384" t="s">
        <v>47</v>
      </c>
      <c r="R2384">
        <v>73660.61</v>
      </c>
      <c r="S2384">
        <v>0</v>
      </c>
      <c r="T2384">
        <v>1700966</v>
      </c>
      <c r="U2384" t="s">
        <v>503</v>
      </c>
      <c r="V2384" t="s">
        <v>504</v>
      </c>
      <c r="W2384" t="s">
        <v>69</v>
      </c>
      <c r="X2384" t="s">
        <v>131</v>
      </c>
      <c r="Y2384" t="s">
        <v>51</v>
      </c>
      <c r="Z2384">
        <v>1851</v>
      </c>
      <c r="AH2384">
        <v>0</v>
      </c>
      <c r="AI2384">
        <v>202506</v>
      </c>
      <c r="AJ2384" t="s">
        <v>56</v>
      </c>
      <c r="AK2384">
        <v>0</v>
      </c>
      <c r="AL2384">
        <v>1</v>
      </c>
      <c r="AM2384">
        <v>1700966</v>
      </c>
      <c r="AN2384">
        <v>1</v>
      </c>
      <c r="AO2384">
        <v>0</v>
      </c>
      <c r="AP2384" t="s">
        <v>3033</v>
      </c>
      <c r="AQ2384" t="s">
        <v>3021</v>
      </c>
      <c r="AR2384" t="s">
        <v>3054</v>
      </c>
      <c r="AS2384" t="s">
        <v>3055</v>
      </c>
      <c r="AU2384" t="s">
        <v>3055</v>
      </c>
    </row>
    <row r="2385" spans="1:47" x14ac:dyDescent="0.35">
      <c r="A2385">
        <v>360513</v>
      </c>
      <c r="B2385" t="s">
        <v>178</v>
      </c>
      <c r="C2385" t="s">
        <v>179</v>
      </c>
      <c r="D2385" s="2">
        <v>45835</v>
      </c>
      <c r="E2385">
        <v>53850</v>
      </c>
      <c r="F2385">
        <v>105</v>
      </c>
      <c r="G2385" t="s">
        <v>60</v>
      </c>
      <c r="H2385" t="s">
        <v>167</v>
      </c>
      <c r="I2385" t="s">
        <v>45</v>
      </c>
      <c r="K2385" t="s">
        <v>2385</v>
      </c>
      <c r="L2385">
        <v>1053306291443</v>
      </c>
      <c r="M2385">
        <v>20250626</v>
      </c>
      <c r="N2385" t="s">
        <v>3136</v>
      </c>
      <c r="Q2385" t="s">
        <v>170</v>
      </c>
      <c r="R2385">
        <v>1890.42</v>
      </c>
      <c r="S2385">
        <v>0</v>
      </c>
      <c r="T2385">
        <v>473244</v>
      </c>
      <c r="U2385" t="s">
        <v>2386</v>
      </c>
      <c r="V2385" t="s">
        <v>2387</v>
      </c>
      <c r="W2385" t="s">
        <v>187</v>
      </c>
      <c r="Y2385" t="s">
        <v>51</v>
      </c>
      <c r="AH2385">
        <v>0</v>
      </c>
      <c r="AI2385">
        <v>202506</v>
      </c>
      <c r="AJ2385" t="s">
        <v>86</v>
      </c>
      <c r="AK2385">
        <v>1</v>
      </c>
      <c r="AL2385">
        <v>1</v>
      </c>
      <c r="AO2385">
        <v>1</v>
      </c>
      <c r="AP2385" t="s">
        <v>3015</v>
      </c>
      <c r="AQ2385" t="s">
        <v>3044</v>
      </c>
      <c r="AR2385" t="s">
        <v>3045</v>
      </c>
      <c r="AS2385" t="s">
        <v>3046</v>
      </c>
      <c r="AU2385" t="s">
        <v>3046</v>
      </c>
    </row>
    <row r="2386" spans="1:47" x14ac:dyDescent="0.35">
      <c r="A2386">
        <v>360512</v>
      </c>
      <c r="B2386" t="s">
        <v>164</v>
      </c>
      <c r="C2386" t="s">
        <v>165</v>
      </c>
      <c r="D2386" s="2">
        <v>45835</v>
      </c>
      <c r="E2386">
        <v>53850</v>
      </c>
      <c r="F2386">
        <v>193</v>
      </c>
      <c r="G2386" t="s">
        <v>811</v>
      </c>
      <c r="H2386" t="s">
        <v>167</v>
      </c>
      <c r="I2386" t="s">
        <v>45</v>
      </c>
      <c r="K2386">
        <v>202506268126823</v>
      </c>
      <c r="L2386">
        <v>1943300006197</v>
      </c>
      <c r="M2386">
        <v>20250626</v>
      </c>
      <c r="N2386" t="s">
        <v>168</v>
      </c>
      <c r="P2386" t="s">
        <v>244</v>
      </c>
      <c r="Q2386" t="s">
        <v>47</v>
      </c>
      <c r="R2386">
        <v>7985</v>
      </c>
      <c r="S2386">
        <v>0</v>
      </c>
      <c r="T2386">
        <v>4859366</v>
      </c>
      <c r="U2386">
        <v>2744530730</v>
      </c>
      <c r="V2386" t="s">
        <v>2388</v>
      </c>
      <c r="W2386" t="s">
        <v>49</v>
      </c>
      <c r="X2386" t="s">
        <v>117</v>
      </c>
      <c r="Y2386" t="s">
        <v>51</v>
      </c>
      <c r="Z2386">
        <v>1361</v>
      </c>
      <c r="AH2386">
        <v>0</v>
      </c>
      <c r="AI2386">
        <v>202506</v>
      </c>
      <c r="AJ2386" t="s">
        <v>86</v>
      </c>
      <c r="AK2386">
        <v>1</v>
      </c>
      <c r="AL2386">
        <v>1</v>
      </c>
      <c r="AO2386">
        <v>0</v>
      </c>
      <c r="AP2386" t="s">
        <v>3029</v>
      </c>
      <c r="AQ2386" t="s">
        <v>3012</v>
      </c>
      <c r="AR2386" t="s">
        <v>3030</v>
      </c>
      <c r="AS2386" t="s">
        <v>3014</v>
      </c>
      <c r="AU2386" t="s">
        <v>3014</v>
      </c>
    </row>
    <row r="2387" spans="1:47" x14ac:dyDescent="0.35">
      <c r="A2387">
        <v>360511</v>
      </c>
      <c r="B2387" t="s">
        <v>178</v>
      </c>
      <c r="C2387" t="s">
        <v>179</v>
      </c>
      <c r="D2387" s="2">
        <v>45835</v>
      </c>
      <c r="E2387">
        <v>53850</v>
      </c>
      <c r="F2387">
        <v>102</v>
      </c>
      <c r="G2387" t="s">
        <v>151</v>
      </c>
      <c r="H2387" t="s">
        <v>167</v>
      </c>
      <c r="I2387" t="s">
        <v>45</v>
      </c>
      <c r="K2387">
        <v>202506268127426</v>
      </c>
      <c r="L2387">
        <v>1023306275300</v>
      </c>
      <c r="M2387">
        <v>20250626</v>
      </c>
      <c r="N2387" t="s">
        <v>3136</v>
      </c>
      <c r="Q2387" t="s">
        <v>170</v>
      </c>
      <c r="R2387">
        <v>6580.25</v>
      </c>
      <c r="S2387">
        <v>0</v>
      </c>
      <c r="T2387">
        <v>564336</v>
      </c>
      <c r="U2387" t="s">
        <v>2389</v>
      </c>
      <c r="V2387" t="s">
        <v>2390</v>
      </c>
      <c r="W2387" t="s">
        <v>187</v>
      </c>
      <c r="Y2387" t="s">
        <v>51</v>
      </c>
      <c r="Z2387">
        <v>638</v>
      </c>
      <c r="AH2387">
        <v>0</v>
      </c>
      <c r="AI2387">
        <v>202506</v>
      </c>
      <c r="AJ2387" t="s">
        <v>86</v>
      </c>
      <c r="AK2387">
        <v>1</v>
      </c>
      <c r="AL2387">
        <v>1</v>
      </c>
      <c r="AO2387">
        <v>1</v>
      </c>
      <c r="AP2387" t="s">
        <v>3015</v>
      </c>
      <c r="AQ2387" t="s">
        <v>3044</v>
      </c>
      <c r="AR2387" t="s">
        <v>3045</v>
      </c>
      <c r="AS2387" t="s">
        <v>3046</v>
      </c>
      <c r="AU2387" t="s">
        <v>3046</v>
      </c>
    </row>
    <row r="2388" spans="1:47" x14ac:dyDescent="0.35">
      <c r="A2388">
        <v>360510</v>
      </c>
      <c r="B2388" t="s">
        <v>172</v>
      </c>
      <c r="C2388" t="s">
        <v>173</v>
      </c>
      <c r="D2388" s="2">
        <v>45835</v>
      </c>
      <c r="E2388">
        <v>53850</v>
      </c>
      <c r="F2388">
        <v>108</v>
      </c>
      <c r="G2388" t="s">
        <v>124</v>
      </c>
      <c r="H2388" t="s">
        <v>167</v>
      </c>
      <c r="I2388" t="s">
        <v>45</v>
      </c>
      <c r="K2388" t="s">
        <v>2353</v>
      </c>
      <c r="L2388">
        <v>1083300011180</v>
      </c>
      <c r="M2388">
        <v>20250626</v>
      </c>
      <c r="N2388" t="s">
        <v>175</v>
      </c>
      <c r="Q2388" t="s">
        <v>47</v>
      </c>
      <c r="R2388">
        <v>164479.12</v>
      </c>
      <c r="S2388">
        <v>1050</v>
      </c>
      <c r="T2388">
        <v>1118</v>
      </c>
      <c r="U2388">
        <v>3246700722</v>
      </c>
      <c r="V2388" t="s">
        <v>125</v>
      </c>
      <c r="W2388" t="s">
        <v>49</v>
      </c>
      <c r="X2388" t="s">
        <v>96</v>
      </c>
      <c r="Y2388" t="s">
        <v>51</v>
      </c>
      <c r="Z2388">
        <v>1058</v>
      </c>
      <c r="AH2388">
        <v>0</v>
      </c>
      <c r="AI2388">
        <v>202506</v>
      </c>
      <c r="AJ2388" t="s">
        <v>86</v>
      </c>
      <c r="AK2388">
        <v>1</v>
      </c>
      <c r="AL2388">
        <v>1</v>
      </c>
      <c r="AO2388">
        <v>1</v>
      </c>
      <c r="AP2388" t="s">
        <v>3015</v>
      </c>
      <c r="AQ2388" t="s">
        <v>3012</v>
      </c>
      <c r="AR2388" t="s">
        <v>3016</v>
      </c>
      <c r="AT2388" t="s">
        <v>3017</v>
      </c>
      <c r="AU2388" t="s">
        <v>3018</v>
      </c>
    </row>
    <row r="2389" spans="1:47" x14ac:dyDescent="0.35">
      <c r="A2389">
        <v>360509</v>
      </c>
      <c r="B2389" t="s">
        <v>178</v>
      </c>
      <c r="C2389" t="s">
        <v>179</v>
      </c>
      <c r="D2389" s="2">
        <v>45835</v>
      </c>
      <c r="E2389">
        <v>53850</v>
      </c>
      <c r="F2389">
        <v>182</v>
      </c>
      <c r="G2389" t="s">
        <v>318</v>
      </c>
      <c r="H2389" t="s">
        <v>167</v>
      </c>
      <c r="I2389" t="s">
        <v>45</v>
      </c>
      <c r="K2389">
        <v>202506268125213</v>
      </c>
      <c r="L2389">
        <v>1823300058518</v>
      </c>
      <c r="M2389">
        <v>20250626</v>
      </c>
      <c r="N2389" t="s">
        <v>236</v>
      </c>
      <c r="P2389" t="s">
        <v>51</v>
      </c>
      <c r="Q2389" t="s">
        <v>170</v>
      </c>
      <c r="R2389">
        <v>1053360.8400000001</v>
      </c>
      <c r="S2389">
        <v>0</v>
      </c>
      <c r="T2389">
        <v>3001876</v>
      </c>
      <c r="U2389">
        <v>90112650735</v>
      </c>
      <c r="V2389" t="s">
        <v>2380</v>
      </c>
      <c r="W2389" t="s">
        <v>685</v>
      </c>
      <c r="X2389" t="s">
        <v>746</v>
      </c>
      <c r="Y2389" t="s">
        <v>51</v>
      </c>
      <c r="Z2389">
        <v>676</v>
      </c>
      <c r="AH2389">
        <v>0</v>
      </c>
      <c r="AI2389">
        <v>202506</v>
      </c>
      <c r="AJ2389" t="s">
        <v>86</v>
      </c>
      <c r="AK2389">
        <v>1</v>
      </c>
      <c r="AL2389">
        <v>1</v>
      </c>
      <c r="AO2389">
        <v>0</v>
      </c>
      <c r="AP2389" t="s">
        <v>3015</v>
      </c>
      <c r="AQ2389" t="s">
        <v>3082</v>
      </c>
      <c r="AR2389" t="s">
        <v>3083</v>
      </c>
      <c r="AT2389" t="s">
        <v>3017</v>
      </c>
      <c r="AU2389" t="s">
        <v>3018</v>
      </c>
    </row>
    <row r="2390" spans="1:47" x14ac:dyDescent="0.35">
      <c r="A2390">
        <v>360508</v>
      </c>
      <c r="B2390" t="s">
        <v>193</v>
      </c>
      <c r="C2390" t="s">
        <v>194</v>
      </c>
      <c r="D2390" s="2">
        <v>45835</v>
      </c>
      <c r="E2390">
        <v>53850</v>
      </c>
      <c r="F2390">
        <v>120</v>
      </c>
      <c r="G2390" t="s">
        <v>411</v>
      </c>
      <c r="H2390" t="s">
        <v>167</v>
      </c>
      <c r="I2390" t="s">
        <v>45</v>
      </c>
      <c r="K2390">
        <v>202506268127093</v>
      </c>
      <c r="L2390">
        <v>1203300002401</v>
      </c>
      <c r="M2390">
        <v>20250626</v>
      </c>
      <c r="N2390" t="s">
        <v>195</v>
      </c>
      <c r="Q2390" t="s">
        <v>47</v>
      </c>
      <c r="R2390">
        <v>32440</v>
      </c>
      <c r="S2390">
        <v>32440</v>
      </c>
      <c r="T2390">
        <v>613876</v>
      </c>
      <c r="U2390">
        <v>574290722</v>
      </c>
      <c r="V2390" t="s">
        <v>545</v>
      </c>
      <c r="W2390" t="s">
        <v>546</v>
      </c>
      <c r="X2390" t="s">
        <v>421</v>
      </c>
      <c r="Y2390" t="s">
        <v>51</v>
      </c>
      <c r="Z2390">
        <v>1058</v>
      </c>
      <c r="AH2390">
        <v>0</v>
      </c>
      <c r="AI2390">
        <v>202506</v>
      </c>
      <c r="AJ2390" t="s">
        <v>119</v>
      </c>
      <c r="AK2390">
        <v>1</v>
      </c>
      <c r="AL2390">
        <v>1</v>
      </c>
      <c r="AM2390">
        <v>613876</v>
      </c>
      <c r="AN2390">
        <v>1</v>
      </c>
      <c r="AO2390">
        <v>0</v>
      </c>
      <c r="AP2390" t="s">
        <v>3015</v>
      </c>
      <c r="AQ2390" t="s">
        <v>3076</v>
      </c>
      <c r="AR2390" t="s">
        <v>3077</v>
      </c>
      <c r="AT2390" t="s">
        <v>3017</v>
      </c>
      <c r="AU2390" t="s">
        <v>3014</v>
      </c>
    </row>
    <row r="2391" spans="1:47" x14ac:dyDescent="0.35">
      <c r="A2391">
        <v>360507</v>
      </c>
      <c r="B2391" t="s">
        <v>178</v>
      </c>
      <c r="C2391" t="s">
        <v>179</v>
      </c>
      <c r="D2391" s="2">
        <v>45835</v>
      </c>
      <c r="E2391">
        <v>53850</v>
      </c>
      <c r="F2391">
        <v>286</v>
      </c>
      <c r="G2391" t="s">
        <v>408</v>
      </c>
      <c r="H2391" t="s">
        <v>167</v>
      </c>
      <c r="I2391" t="s">
        <v>45</v>
      </c>
      <c r="K2391">
        <v>202506268125791</v>
      </c>
      <c r="L2391">
        <v>2863300003269</v>
      </c>
      <c r="M2391">
        <v>20250626</v>
      </c>
      <c r="N2391" t="s">
        <v>46</v>
      </c>
      <c r="P2391" t="s">
        <v>51</v>
      </c>
      <c r="Q2391" t="s">
        <v>47</v>
      </c>
      <c r="R2391">
        <v>1160000</v>
      </c>
      <c r="S2391">
        <v>0</v>
      </c>
      <c r="T2391">
        <v>1703846</v>
      </c>
      <c r="U2391">
        <v>2557890692</v>
      </c>
      <c r="V2391" t="s">
        <v>1170</v>
      </c>
      <c r="W2391" t="s">
        <v>49</v>
      </c>
      <c r="X2391" t="s">
        <v>1076</v>
      </c>
      <c r="Y2391" t="s">
        <v>51</v>
      </c>
      <c r="Z2391">
        <v>1877</v>
      </c>
      <c r="AH2391">
        <v>0</v>
      </c>
      <c r="AI2391">
        <v>202506</v>
      </c>
      <c r="AJ2391" t="s">
        <v>56</v>
      </c>
      <c r="AK2391">
        <v>0</v>
      </c>
      <c r="AL2391">
        <v>1</v>
      </c>
      <c r="AO2391">
        <v>0</v>
      </c>
      <c r="AP2391" t="s">
        <v>3015</v>
      </c>
      <c r="AQ2391" t="s">
        <v>3012</v>
      </c>
      <c r="AR2391" t="s">
        <v>3016</v>
      </c>
      <c r="AT2391" t="s">
        <v>3017</v>
      </c>
      <c r="AU2391" t="s">
        <v>3018</v>
      </c>
    </row>
    <row r="2392" spans="1:47" x14ac:dyDescent="0.35">
      <c r="A2392">
        <v>360506</v>
      </c>
      <c r="B2392" t="s">
        <v>193</v>
      </c>
      <c r="C2392" t="s">
        <v>194</v>
      </c>
      <c r="D2392" s="2">
        <v>45835</v>
      </c>
      <c r="E2392">
        <v>53850</v>
      </c>
      <c r="F2392">
        <v>116</v>
      </c>
      <c r="G2392" t="s">
        <v>126</v>
      </c>
      <c r="H2392" t="s">
        <v>167</v>
      </c>
      <c r="I2392" t="s">
        <v>45</v>
      </c>
      <c r="K2392" t="s">
        <v>2353</v>
      </c>
      <c r="L2392">
        <v>2343300010453</v>
      </c>
      <c r="M2392">
        <v>20250626</v>
      </c>
      <c r="N2392" t="s">
        <v>195</v>
      </c>
      <c r="Q2392" t="s">
        <v>47</v>
      </c>
      <c r="R2392">
        <v>203564</v>
      </c>
      <c r="S2392">
        <v>203564</v>
      </c>
      <c r="T2392">
        <v>4247777</v>
      </c>
      <c r="U2392">
        <v>233470236</v>
      </c>
      <c r="V2392" t="s">
        <v>206</v>
      </c>
      <c r="W2392" t="s">
        <v>49</v>
      </c>
      <c r="X2392" t="s">
        <v>117</v>
      </c>
      <c r="Y2392" t="s">
        <v>51</v>
      </c>
      <c r="Z2392">
        <v>1696</v>
      </c>
      <c r="AH2392">
        <v>0</v>
      </c>
      <c r="AI2392">
        <v>202506</v>
      </c>
      <c r="AJ2392" t="s">
        <v>86</v>
      </c>
      <c r="AK2392">
        <v>1</v>
      </c>
      <c r="AL2392">
        <v>1</v>
      </c>
      <c r="AM2392">
        <v>4247777</v>
      </c>
      <c r="AN2392">
        <v>1</v>
      </c>
      <c r="AO2392">
        <v>0</v>
      </c>
      <c r="AP2392" t="s">
        <v>3029</v>
      </c>
      <c r="AQ2392" t="s">
        <v>3012</v>
      </c>
      <c r="AR2392" t="s">
        <v>3030</v>
      </c>
      <c r="AS2392" t="s">
        <v>3014</v>
      </c>
      <c r="AU2392" t="s">
        <v>3014</v>
      </c>
    </row>
    <row r="2393" spans="1:47" x14ac:dyDescent="0.35">
      <c r="A2393">
        <v>360505</v>
      </c>
      <c r="B2393" t="s">
        <v>178</v>
      </c>
      <c r="C2393" t="s">
        <v>179</v>
      </c>
      <c r="D2393" s="2">
        <v>45835</v>
      </c>
      <c r="E2393">
        <v>53850</v>
      </c>
      <c r="F2393">
        <v>103</v>
      </c>
      <c r="G2393" t="s">
        <v>80</v>
      </c>
      <c r="H2393" t="s">
        <v>167</v>
      </c>
      <c r="I2393" t="s">
        <v>45</v>
      </c>
      <c r="K2393">
        <v>202506268127438</v>
      </c>
      <c r="L2393">
        <v>1033306986134</v>
      </c>
      <c r="M2393">
        <v>20250626</v>
      </c>
      <c r="N2393" t="s">
        <v>236</v>
      </c>
      <c r="P2393" t="s">
        <v>51</v>
      </c>
      <c r="Q2393" t="s">
        <v>170</v>
      </c>
      <c r="R2393">
        <v>100000</v>
      </c>
      <c r="S2393">
        <v>0</v>
      </c>
      <c r="T2393">
        <v>4100632</v>
      </c>
      <c r="U2393" t="s">
        <v>1496</v>
      </c>
      <c r="V2393" t="s">
        <v>1497</v>
      </c>
      <c r="W2393" t="s">
        <v>69</v>
      </c>
      <c r="X2393" t="s">
        <v>131</v>
      </c>
      <c r="Y2393" t="s">
        <v>51</v>
      </c>
      <c r="Z2393">
        <v>995</v>
      </c>
      <c r="AH2393">
        <v>0</v>
      </c>
      <c r="AI2393">
        <v>202506</v>
      </c>
      <c r="AJ2393" t="s">
        <v>119</v>
      </c>
      <c r="AK2393">
        <v>1</v>
      </c>
      <c r="AL2393">
        <v>1</v>
      </c>
      <c r="AO2393">
        <v>0</v>
      </c>
      <c r="AP2393" t="s">
        <v>3033</v>
      </c>
      <c r="AQ2393" t="s">
        <v>3021</v>
      </c>
      <c r="AR2393" t="s">
        <v>3054</v>
      </c>
      <c r="AS2393" t="s">
        <v>3055</v>
      </c>
      <c r="AU2393" t="s">
        <v>3055</v>
      </c>
    </row>
    <row r="2394" spans="1:47" x14ac:dyDescent="0.35">
      <c r="A2394">
        <v>360504</v>
      </c>
      <c r="B2394" t="s">
        <v>164</v>
      </c>
      <c r="C2394" t="s">
        <v>165</v>
      </c>
      <c r="D2394" s="2">
        <v>45835</v>
      </c>
      <c r="E2394">
        <v>53850</v>
      </c>
      <c r="F2394">
        <v>119</v>
      </c>
      <c r="G2394" t="s">
        <v>207</v>
      </c>
      <c r="H2394" t="s">
        <v>167</v>
      </c>
      <c r="I2394" t="s">
        <v>45</v>
      </c>
      <c r="K2394" t="s">
        <v>2391</v>
      </c>
      <c r="L2394">
        <v>1193305851980</v>
      </c>
      <c r="M2394">
        <v>20250624</v>
      </c>
      <c r="N2394" t="s">
        <v>168</v>
      </c>
      <c r="P2394" t="s">
        <v>255</v>
      </c>
      <c r="Q2394" t="s">
        <v>170</v>
      </c>
      <c r="R2394">
        <v>1137</v>
      </c>
      <c r="S2394">
        <v>0</v>
      </c>
      <c r="T2394">
        <v>585198</v>
      </c>
      <c r="U2394" t="s">
        <v>2392</v>
      </c>
      <c r="V2394" t="s">
        <v>2393</v>
      </c>
      <c r="W2394" t="s">
        <v>187</v>
      </c>
      <c r="Y2394" t="s">
        <v>51</v>
      </c>
      <c r="Z2394">
        <v>669</v>
      </c>
      <c r="AH2394">
        <v>0</v>
      </c>
      <c r="AI2394">
        <v>202506</v>
      </c>
      <c r="AJ2394" t="s">
        <v>86</v>
      </c>
      <c r="AK2394">
        <v>1</v>
      </c>
      <c r="AL2394">
        <v>1</v>
      </c>
      <c r="AO2394">
        <v>0</v>
      </c>
      <c r="AP2394" t="s">
        <v>3015</v>
      </c>
      <c r="AQ2394" t="s">
        <v>3044</v>
      </c>
      <c r="AR2394" t="s">
        <v>3045</v>
      </c>
      <c r="AS2394" t="s">
        <v>3046</v>
      </c>
      <c r="AU2394" t="s">
        <v>3046</v>
      </c>
    </row>
    <row r="2395" spans="1:47" x14ac:dyDescent="0.35">
      <c r="A2395">
        <v>360503</v>
      </c>
      <c r="B2395" t="s">
        <v>178</v>
      </c>
      <c r="C2395" t="s">
        <v>179</v>
      </c>
      <c r="D2395" s="2">
        <v>45834</v>
      </c>
      <c r="E2395">
        <v>53850</v>
      </c>
      <c r="F2395">
        <v>108</v>
      </c>
      <c r="G2395" t="s">
        <v>124</v>
      </c>
      <c r="H2395" t="s">
        <v>167</v>
      </c>
      <c r="I2395" t="s">
        <v>45</v>
      </c>
      <c r="K2395">
        <v>202506268124008</v>
      </c>
      <c r="L2395">
        <v>1085500039514</v>
      </c>
      <c r="M2395">
        <v>20250626</v>
      </c>
      <c r="N2395" t="s">
        <v>794</v>
      </c>
      <c r="Q2395" t="s">
        <v>170</v>
      </c>
      <c r="R2395">
        <v>198093.34</v>
      </c>
      <c r="S2395">
        <v>0</v>
      </c>
      <c r="T2395">
        <v>412179</v>
      </c>
      <c r="U2395" t="s">
        <v>1579</v>
      </c>
      <c r="V2395" t="s">
        <v>1580</v>
      </c>
      <c r="W2395" t="s">
        <v>187</v>
      </c>
      <c r="Y2395" t="s">
        <v>51</v>
      </c>
      <c r="Z2395">
        <v>667</v>
      </c>
      <c r="AH2395">
        <v>0</v>
      </c>
      <c r="AI2395">
        <v>202506</v>
      </c>
      <c r="AJ2395" t="s">
        <v>86</v>
      </c>
      <c r="AK2395">
        <v>1</v>
      </c>
      <c r="AL2395">
        <v>1</v>
      </c>
      <c r="AO2395">
        <v>0</v>
      </c>
      <c r="AP2395" t="s">
        <v>3015</v>
      </c>
      <c r="AQ2395" t="s">
        <v>3044</v>
      </c>
      <c r="AR2395" t="s">
        <v>3045</v>
      </c>
      <c r="AS2395" t="s">
        <v>3046</v>
      </c>
      <c r="AU2395" t="s">
        <v>3046</v>
      </c>
    </row>
    <row r="2396" spans="1:47" x14ac:dyDescent="0.35">
      <c r="A2396">
        <v>360502</v>
      </c>
      <c r="B2396" t="s">
        <v>178</v>
      </c>
      <c r="C2396" t="s">
        <v>179</v>
      </c>
      <c r="D2396" s="2">
        <v>45834</v>
      </c>
      <c r="E2396">
        <v>53850</v>
      </c>
      <c r="F2396">
        <v>108</v>
      </c>
      <c r="G2396" t="s">
        <v>124</v>
      </c>
      <c r="H2396" t="s">
        <v>167</v>
      </c>
      <c r="I2396" t="s">
        <v>45</v>
      </c>
      <c r="K2396">
        <v>202506268124008</v>
      </c>
      <c r="L2396">
        <v>1085500039514</v>
      </c>
      <c r="M2396">
        <v>20250626</v>
      </c>
      <c r="N2396" t="s">
        <v>794</v>
      </c>
      <c r="Q2396" t="s">
        <v>170</v>
      </c>
      <c r="R2396">
        <v>198093.34</v>
      </c>
      <c r="S2396">
        <v>0</v>
      </c>
      <c r="T2396">
        <v>426147</v>
      </c>
      <c r="U2396" t="s">
        <v>1581</v>
      </c>
      <c r="V2396" t="s">
        <v>1582</v>
      </c>
      <c r="W2396" t="s">
        <v>187</v>
      </c>
      <c r="Y2396" t="s">
        <v>51</v>
      </c>
      <c r="AH2396">
        <v>0</v>
      </c>
      <c r="AI2396">
        <v>202506</v>
      </c>
      <c r="AJ2396" t="s">
        <v>86</v>
      </c>
      <c r="AK2396">
        <v>1</v>
      </c>
      <c r="AL2396">
        <v>1</v>
      </c>
      <c r="AO2396">
        <v>0</v>
      </c>
      <c r="AP2396" t="s">
        <v>3015</v>
      </c>
      <c r="AQ2396" t="s">
        <v>3044</v>
      </c>
      <c r="AR2396" t="s">
        <v>3045</v>
      </c>
      <c r="AS2396" t="s">
        <v>3046</v>
      </c>
      <c r="AU2396" t="s">
        <v>3046</v>
      </c>
    </row>
    <row r="2397" spans="1:47" x14ac:dyDescent="0.35">
      <c r="A2397">
        <v>360501</v>
      </c>
      <c r="B2397" t="s">
        <v>178</v>
      </c>
      <c r="C2397" t="s">
        <v>179</v>
      </c>
      <c r="D2397" s="2">
        <v>45834</v>
      </c>
      <c r="E2397">
        <v>53850</v>
      </c>
      <c r="F2397">
        <v>188</v>
      </c>
      <c r="G2397" t="s">
        <v>419</v>
      </c>
      <c r="H2397" t="s">
        <v>167</v>
      </c>
      <c r="I2397" t="s">
        <v>45</v>
      </c>
      <c r="K2397" t="s">
        <v>2394</v>
      </c>
      <c r="L2397">
        <v>1883300141277</v>
      </c>
      <c r="M2397">
        <v>20250625</v>
      </c>
      <c r="N2397" t="s">
        <v>3136</v>
      </c>
      <c r="Q2397" t="s">
        <v>170</v>
      </c>
      <c r="R2397">
        <v>1078.94</v>
      </c>
      <c r="S2397">
        <v>1078.94</v>
      </c>
      <c r="T2397">
        <v>3185802</v>
      </c>
      <c r="U2397" t="s">
        <v>2395</v>
      </c>
      <c r="V2397" t="s">
        <v>2396</v>
      </c>
      <c r="W2397" t="s">
        <v>187</v>
      </c>
      <c r="Y2397" t="s">
        <v>51</v>
      </c>
      <c r="Z2397">
        <v>424</v>
      </c>
      <c r="AH2397">
        <v>0</v>
      </c>
      <c r="AI2397">
        <v>202506</v>
      </c>
      <c r="AJ2397" t="s">
        <v>86</v>
      </c>
      <c r="AK2397">
        <v>1</v>
      </c>
      <c r="AL2397">
        <v>1</v>
      </c>
      <c r="AO2397">
        <v>1</v>
      </c>
      <c r="AP2397" t="s">
        <v>3015</v>
      </c>
      <c r="AQ2397" t="s">
        <v>3044</v>
      </c>
      <c r="AR2397" t="s">
        <v>3045</v>
      </c>
      <c r="AS2397" t="s">
        <v>3046</v>
      </c>
      <c r="AU2397" t="s">
        <v>3046</v>
      </c>
    </row>
    <row r="2398" spans="1:47" x14ac:dyDescent="0.35">
      <c r="A2398">
        <v>360500</v>
      </c>
      <c r="B2398" t="s">
        <v>178</v>
      </c>
      <c r="C2398" t="s">
        <v>179</v>
      </c>
      <c r="D2398" s="2">
        <v>45834</v>
      </c>
      <c r="E2398">
        <v>53850</v>
      </c>
      <c r="F2398">
        <v>273</v>
      </c>
      <c r="G2398" t="s">
        <v>133</v>
      </c>
      <c r="H2398" t="s">
        <v>167</v>
      </c>
      <c r="I2398" t="s">
        <v>45</v>
      </c>
      <c r="K2398">
        <v>202506258124970</v>
      </c>
      <c r="L2398">
        <v>2733300012091</v>
      </c>
      <c r="M2398">
        <v>20250625</v>
      </c>
      <c r="N2398" t="s">
        <v>3136</v>
      </c>
      <c r="Q2398" t="s">
        <v>170</v>
      </c>
      <c r="R2398">
        <v>42116.26</v>
      </c>
      <c r="S2398">
        <v>0</v>
      </c>
      <c r="T2398">
        <v>3725376</v>
      </c>
      <c r="U2398" t="s">
        <v>2397</v>
      </c>
      <c r="V2398" t="s">
        <v>2398</v>
      </c>
      <c r="W2398" t="s">
        <v>187</v>
      </c>
      <c r="Y2398" t="s">
        <v>51</v>
      </c>
      <c r="AH2398">
        <v>0</v>
      </c>
      <c r="AI2398">
        <v>202506</v>
      </c>
      <c r="AJ2398" t="s">
        <v>52</v>
      </c>
      <c r="AK2398">
        <v>0</v>
      </c>
      <c r="AL2398">
        <v>1</v>
      </c>
      <c r="AO2398">
        <v>1</v>
      </c>
      <c r="AP2398" t="s">
        <v>3015</v>
      </c>
      <c r="AQ2398" t="s">
        <v>3044</v>
      </c>
      <c r="AR2398" t="s">
        <v>3045</v>
      </c>
      <c r="AS2398" t="s">
        <v>3046</v>
      </c>
      <c r="AU2398" t="s">
        <v>3046</v>
      </c>
    </row>
    <row r="2399" spans="1:47" x14ac:dyDescent="0.35">
      <c r="A2399">
        <v>360499</v>
      </c>
      <c r="B2399" t="s">
        <v>164</v>
      </c>
      <c r="C2399" t="s">
        <v>165</v>
      </c>
      <c r="D2399" s="2">
        <v>45834</v>
      </c>
      <c r="E2399">
        <v>53850</v>
      </c>
      <c r="F2399">
        <v>131</v>
      </c>
      <c r="G2399" t="s">
        <v>216</v>
      </c>
      <c r="H2399" t="s">
        <v>167</v>
      </c>
      <c r="I2399" t="s">
        <v>45</v>
      </c>
      <c r="K2399">
        <v>202506258123930</v>
      </c>
      <c r="L2399">
        <v>1313300001588</v>
      </c>
      <c r="M2399">
        <v>20250625</v>
      </c>
      <c r="N2399" t="s">
        <v>168</v>
      </c>
      <c r="P2399" t="s">
        <v>435</v>
      </c>
      <c r="Q2399" t="s">
        <v>47</v>
      </c>
      <c r="R2399">
        <v>8900</v>
      </c>
      <c r="S2399">
        <v>0</v>
      </c>
      <c r="T2399">
        <v>4121868</v>
      </c>
      <c r="U2399">
        <v>5913290630</v>
      </c>
      <c r="V2399" t="s">
        <v>1164</v>
      </c>
      <c r="W2399" t="s">
        <v>49</v>
      </c>
      <c r="X2399" t="s">
        <v>1165</v>
      </c>
      <c r="Y2399" t="s">
        <v>51</v>
      </c>
      <c r="Z2399">
        <v>739</v>
      </c>
      <c r="AH2399">
        <v>0</v>
      </c>
      <c r="AI2399">
        <v>202506</v>
      </c>
      <c r="AJ2399" t="s">
        <v>56</v>
      </c>
      <c r="AK2399">
        <v>0</v>
      </c>
      <c r="AL2399">
        <v>1</v>
      </c>
      <c r="AO2399">
        <v>0</v>
      </c>
      <c r="AP2399" t="s">
        <v>3015</v>
      </c>
      <c r="AQ2399" t="s">
        <v>3012</v>
      </c>
      <c r="AR2399" t="s">
        <v>3016</v>
      </c>
      <c r="AT2399" t="s">
        <v>3017</v>
      </c>
      <c r="AU2399" t="s">
        <v>3018</v>
      </c>
    </row>
    <row r="2400" spans="1:47" x14ac:dyDescent="0.35">
      <c r="A2400">
        <v>360498</v>
      </c>
      <c r="B2400" t="s">
        <v>172</v>
      </c>
      <c r="C2400" t="s">
        <v>173</v>
      </c>
      <c r="D2400" s="2">
        <v>45834</v>
      </c>
      <c r="E2400">
        <v>53850</v>
      </c>
      <c r="F2400">
        <v>174</v>
      </c>
      <c r="G2400" t="s">
        <v>224</v>
      </c>
      <c r="H2400" t="s">
        <v>167</v>
      </c>
      <c r="I2400" t="s">
        <v>45</v>
      </c>
      <c r="K2400">
        <v>202506258124771</v>
      </c>
      <c r="L2400">
        <v>1963302352389</v>
      </c>
      <c r="M2400">
        <v>20250625</v>
      </c>
      <c r="N2400" t="s">
        <v>231</v>
      </c>
      <c r="Q2400" t="s">
        <v>47</v>
      </c>
      <c r="R2400">
        <v>200470</v>
      </c>
      <c r="S2400">
        <v>0</v>
      </c>
      <c r="T2400">
        <v>4568128</v>
      </c>
      <c r="U2400">
        <v>3162580710</v>
      </c>
      <c r="V2400" t="s">
        <v>2399</v>
      </c>
      <c r="W2400" t="s">
        <v>49</v>
      </c>
      <c r="X2400" t="s">
        <v>611</v>
      </c>
      <c r="Y2400" t="s">
        <v>51</v>
      </c>
      <c r="Z2400">
        <v>1453</v>
      </c>
      <c r="AH2400">
        <v>0</v>
      </c>
      <c r="AI2400">
        <v>202506</v>
      </c>
      <c r="AJ2400" t="s">
        <v>86</v>
      </c>
      <c r="AK2400">
        <v>1</v>
      </c>
      <c r="AL2400">
        <v>1</v>
      </c>
      <c r="AO2400">
        <v>0</v>
      </c>
      <c r="AP2400" t="s">
        <v>3015</v>
      </c>
      <c r="AQ2400" t="s">
        <v>3012</v>
      </c>
      <c r="AR2400" t="s">
        <v>3016</v>
      </c>
      <c r="AT2400" t="s">
        <v>3017</v>
      </c>
      <c r="AU2400" t="s">
        <v>3018</v>
      </c>
    </row>
    <row r="2401" spans="1:47" x14ac:dyDescent="0.35">
      <c r="A2401">
        <v>360497</v>
      </c>
      <c r="B2401" t="s">
        <v>164</v>
      </c>
      <c r="C2401" t="s">
        <v>165</v>
      </c>
      <c r="D2401" s="2">
        <v>45834</v>
      </c>
      <c r="E2401">
        <v>53850</v>
      </c>
      <c r="F2401">
        <v>118</v>
      </c>
      <c r="G2401" t="s">
        <v>254</v>
      </c>
      <c r="H2401" t="s">
        <v>167</v>
      </c>
      <c r="I2401" t="s">
        <v>45</v>
      </c>
      <c r="K2401">
        <v>202506258123751</v>
      </c>
      <c r="L2401">
        <v>1183306277717</v>
      </c>
      <c r="M2401">
        <v>20250625</v>
      </c>
      <c r="N2401" t="s">
        <v>168</v>
      </c>
      <c r="P2401" t="s">
        <v>255</v>
      </c>
      <c r="Q2401" t="s">
        <v>47</v>
      </c>
      <c r="R2401">
        <v>11882</v>
      </c>
      <c r="S2401">
        <v>0</v>
      </c>
      <c r="T2401">
        <v>4237439</v>
      </c>
      <c r="U2401">
        <v>5982410721</v>
      </c>
      <c r="V2401" t="s">
        <v>484</v>
      </c>
      <c r="W2401" t="s">
        <v>49</v>
      </c>
      <c r="X2401" t="s">
        <v>65</v>
      </c>
      <c r="Y2401" t="s">
        <v>51</v>
      </c>
      <c r="Z2401">
        <v>1203</v>
      </c>
      <c r="AH2401">
        <v>0</v>
      </c>
      <c r="AI2401">
        <v>202506</v>
      </c>
      <c r="AJ2401" t="s">
        <v>86</v>
      </c>
      <c r="AK2401">
        <v>1</v>
      </c>
      <c r="AL2401">
        <v>1</v>
      </c>
      <c r="AO2401">
        <v>0</v>
      </c>
      <c r="AP2401" t="s">
        <v>3019</v>
      </c>
      <c r="AQ2401" t="s">
        <v>3012</v>
      </c>
      <c r="AR2401" t="s">
        <v>3020</v>
      </c>
      <c r="AS2401" t="s">
        <v>3014</v>
      </c>
      <c r="AU2401" t="s">
        <v>3014</v>
      </c>
    </row>
    <row r="2402" spans="1:47" x14ac:dyDescent="0.35">
      <c r="A2402">
        <v>360496</v>
      </c>
      <c r="B2402" t="s">
        <v>214</v>
      </c>
      <c r="C2402" t="s">
        <v>215</v>
      </c>
      <c r="D2402" s="2">
        <v>45834</v>
      </c>
      <c r="E2402">
        <v>53850</v>
      </c>
      <c r="F2402">
        <v>170</v>
      </c>
      <c r="G2402" t="s">
        <v>211</v>
      </c>
      <c r="H2402" t="s">
        <v>167</v>
      </c>
      <c r="I2402" t="s">
        <v>45</v>
      </c>
      <c r="K2402">
        <v>202506258123939</v>
      </c>
      <c r="L2402">
        <v>1703306288195</v>
      </c>
      <c r="M2402">
        <v>20250625</v>
      </c>
      <c r="N2402" t="s">
        <v>168</v>
      </c>
      <c r="P2402" t="s">
        <v>339</v>
      </c>
      <c r="Q2402" t="s">
        <v>170</v>
      </c>
      <c r="R2402">
        <v>82150.289999999994</v>
      </c>
      <c r="S2402">
        <v>0</v>
      </c>
      <c r="T2402">
        <v>4401631</v>
      </c>
      <c r="U2402">
        <v>4724350725</v>
      </c>
      <c r="V2402" t="s">
        <v>949</v>
      </c>
      <c r="W2402" t="s">
        <v>49</v>
      </c>
      <c r="X2402" t="s">
        <v>241</v>
      </c>
      <c r="Y2402" t="s">
        <v>51</v>
      </c>
      <c r="Z2402">
        <v>1919</v>
      </c>
      <c r="AH2402">
        <v>0</v>
      </c>
      <c r="AI2402">
        <v>202506</v>
      </c>
      <c r="AJ2402" t="s">
        <v>86</v>
      </c>
      <c r="AK2402">
        <v>1</v>
      </c>
      <c r="AL2402">
        <v>1</v>
      </c>
      <c r="AO2402">
        <v>0</v>
      </c>
      <c r="AP2402" t="s">
        <v>3015</v>
      </c>
      <c r="AQ2402" t="s">
        <v>3012</v>
      </c>
      <c r="AR2402" t="s">
        <v>3016</v>
      </c>
      <c r="AT2402" t="s">
        <v>3017</v>
      </c>
      <c r="AU2402" t="s">
        <v>3018</v>
      </c>
    </row>
    <row r="2403" spans="1:47" x14ac:dyDescent="0.35">
      <c r="A2403">
        <v>360495</v>
      </c>
      <c r="B2403" t="s">
        <v>178</v>
      </c>
      <c r="C2403" t="s">
        <v>179</v>
      </c>
      <c r="D2403" s="2">
        <v>45834</v>
      </c>
      <c r="E2403">
        <v>53850</v>
      </c>
      <c r="F2403">
        <v>273</v>
      </c>
      <c r="G2403" t="s">
        <v>133</v>
      </c>
      <c r="H2403" t="s">
        <v>167</v>
      </c>
      <c r="I2403" t="s">
        <v>45</v>
      </c>
      <c r="K2403">
        <v>202506258124970</v>
      </c>
      <c r="L2403">
        <v>2733300012091</v>
      </c>
      <c r="M2403">
        <v>20250625</v>
      </c>
      <c r="N2403" t="s">
        <v>3136</v>
      </c>
      <c r="Q2403" t="s">
        <v>170</v>
      </c>
      <c r="R2403">
        <v>42116.26</v>
      </c>
      <c r="S2403">
        <v>0</v>
      </c>
      <c r="T2403">
        <v>3725377</v>
      </c>
      <c r="U2403" t="s">
        <v>2400</v>
      </c>
      <c r="V2403" t="s">
        <v>2401</v>
      </c>
      <c r="W2403" t="s">
        <v>187</v>
      </c>
      <c r="Y2403" t="s">
        <v>51</v>
      </c>
      <c r="AH2403">
        <v>0</v>
      </c>
      <c r="AI2403">
        <v>202506</v>
      </c>
      <c r="AJ2403" t="s">
        <v>52</v>
      </c>
      <c r="AK2403">
        <v>0</v>
      </c>
      <c r="AL2403">
        <v>1</v>
      </c>
      <c r="AO2403">
        <v>1</v>
      </c>
      <c r="AP2403" t="s">
        <v>3015</v>
      </c>
      <c r="AQ2403" t="s">
        <v>3044</v>
      </c>
      <c r="AR2403" t="s">
        <v>3045</v>
      </c>
      <c r="AS2403" t="s">
        <v>3046</v>
      </c>
      <c r="AU2403" t="s">
        <v>3046</v>
      </c>
    </row>
    <row r="2404" spans="1:47" x14ac:dyDescent="0.35">
      <c r="A2404">
        <v>360494</v>
      </c>
      <c r="B2404" t="s">
        <v>178</v>
      </c>
      <c r="C2404" t="s">
        <v>179</v>
      </c>
      <c r="D2404" s="2">
        <v>45834</v>
      </c>
      <c r="E2404">
        <v>53850</v>
      </c>
      <c r="F2404">
        <v>188</v>
      </c>
      <c r="G2404" t="s">
        <v>419</v>
      </c>
      <c r="H2404" t="s">
        <v>167</v>
      </c>
      <c r="I2404" t="s">
        <v>45</v>
      </c>
      <c r="K2404">
        <v>202506258123558</v>
      </c>
      <c r="L2404">
        <v>1883300028081</v>
      </c>
      <c r="M2404">
        <v>20250625</v>
      </c>
      <c r="N2404" t="s">
        <v>46</v>
      </c>
      <c r="P2404" t="s">
        <v>51</v>
      </c>
      <c r="Q2404" t="s">
        <v>47</v>
      </c>
      <c r="R2404">
        <v>2088698.36</v>
      </c>
      <c r="S2404">
        <v>0</v>
      </c>
      <c r="T2404">
        <v>3001543</v>
      </c>
      <c r="U2404">
        <v>943900738</v>
      </c>
      <c r="V2404" t="s">
        <v>1226</v>
      </c>
      <c r="W2404" t="s">
        <v>49</v>
      </c>
      <c r="X2404" t="s">
        <v>421</v>
      </c>
      <c r="Y2404" t="s">
        <v>51</v>
      </c>
      <c r="Z2404">
        <v>1627</v>
      </c>
      <c r="AH2404">
        <v>0</v>
      </c>
      <c r="AI2404">
        <v>202506</v>
      </c>
      <c r="AJ2404" t="s">
        <v>86</v>
      </c>
      <c r="AK2404">
        <v>1</v>
      </c>
      <c r="AL2404">
        <v>1</v>
      </c>
      <c r="AM2404">
        <v>3001543</v>
      </c>
      <c r="AN2404">
        <v>1</v>
      </c>
      <c r="AO2404">
        <v>0</v>
      </c>
      <c r="AP2404" t="s">
        <v>3015</v>
      </c>
      <c r="AQ2404" t="s">
        <v>3012</v>
      </c>
      <c r="AR2404" t="s">
        <v>3016</v>
      </c>
      <c r="AT2404" t="s">
        <v>3017</v>
      </c>
      <c r="AU2404" t="s">
        <v>3018</v>
      </c>
    </row>
    <row r="2405" spans="1:47" x14ac:dyDescent="0.35">
      <c r="A2405">
        <v>360493</v>
      </c>
      <c r="B2405" t="s">
        <v>164</v>
      </c>
      <c r="C2405" t="s">
        <v>165</v>
      </c>
      <c r="D2405" s="2">
        <v>45834</v>
      </c>
      <c r="E2405">
        <v>53850</v>
      </c>
      <c r="F2405">
        <v>171</v>
      </c>
      <c r="G2405" t="s">
        <v>198</v>
      </c>
      <c r="H2405" t="s">
        <v>167</v>
      </c>
      <c r="I2405" t="s">
        <v>45</v>
      </c>
      <c r="K2405" t="s">
        <v>2402</v>
      </c>
      <c r="L2405">
        <v>1713302217392</v>
      </c>
      <c r="M2405">
        <v>20250625</v>
      </c>
      <c r="N2405" t="s">
        <v>168</v>
      </c>
      <c r="P2405" t="s">
        <v>255</v>
      </c>
      <c r="Q2405" t="s">
        <v>47</v>
      </c>
      <c r="R2405">
        <v>2300</v>
      </c>
      <c r="S2405">
        <v>0</v>
      </c>
      <c r="T2405">
        <v>4926340</v>
      </c>
      <c r="U2405" t="s">
        <v>2035</v>
      </c>
      <c r="V2405" t="s">
        <v>2036</v>
      </c>
      <c r="W2405" t="s">
        <v>69</v>
      </c>
      <c r="X2405" t="s">
        <v>590</v>
      </c>
      <c r="Y2405" t="s">
        <v>51</v>
      </c>
      <c r="Z2405">
        <v>732</v>
      </c>
      <c r="AH2405">
        <v>0</v>
      </c>
      <c r="AI2405">
        <v>202506</v>
      </c>
      <c r="AJ2405" t="s">
        <v>86</v>
      </c>
      <c r="AK2405">
        <v>1</v>
      </c>
      <c r="AL2405">
        <v>1</v>
      </c>
      <c r="AO2405">
        <v>0</v>
      </c>
      <c r="AP2405" t="s">
        <v>3015</v>
      </c>
      <c r="AQ2405" t="s">
        <v>3021</v>
      </c>
      <c r="AR2405" t="s">
        <v>3022</v>
      </c>
      <c r="AT2405" t="s">
        <v>3017</v>
      </c>
      <c r="AU2405" t="s">
        <v>3014</v>
      </c>
    </row>
    <row r="2406" spans="1:47" x14ac:dyDescent="0.35">
      <c r="A2406">
        <v>360492</v>
      </c>
      <c r="B2406" t="s">
        <v>178</v>
      </c>
      <c r="C2406" t="s">
        <v>179</v>
      </c>
      <c r="D2406" s="2">
        <v>45834</v>
      </c>
      <c r="E2406">
        <v>53850</v>
      </c>
      <c r="F2406">
        <v>148</v>
      </c>
      <c r="G2406" t="s">
        <v>78</v>
      </c>
      <c r="H2406" t="s">
        <v>167</v>
      </c>
      <c r="I2406" t="s">
        <v>45</v>
      </c>
      <c r="K2406">
        <v>202506258123636</v>
      </c>
      <c r="L2406">
        <v>1483300003701</v>
      </c>
      <c r="M2406">
        <v>20250625</v>
      </c>
      <c r="N2406" t="s">
        <v>46</v>
      </c>
      <c r="P2406" t="s">
        <v>51</v>
      </c>
      <c r="Q2406" t="s">
        <v>47</v>
      </c>
      <c r="R2406">
        <v>1000000</v>
      </c>
      <c r="S2406">
        <v>0</v>
      </c>
      <c r="T2406">
        <v>2001293</v>
      </c>
      <c r="U2406" t="s">
        <v>2289</v>
      </c>
      <c r="V2406" t="s">
        <v>2290</v>
      </c>
      <c r="W2406" t="s">
        <v>187</v>
      </c>
      <c r="Y2406" t="s">
        <v>51</v>
      </c>
      <c r="Z2406">
        <v>1636</v>
      </c>
      <c r="AH2406">
        <v>0</v>
      </c>
      <c r="AI2406">
        <v>202506</v>
      </c>
      <c r="AJ2406" t="s">
        <v>86</v>
      </c>
      <c r="AK2406">
        <v>1</v>
      </c>
      <c r="AL2406">
        <v>1</v>
      </c>
      <c r="AO2406">
        <v>0</v>
      </c>
      <c r="AP2406" t="s">
        <v>3015</v>
      </c>
      <c r="AQ2406" t="s">
        <v>3044</v>
      </c>
      <c r="AR2406" t="s">
        <v>3045</v>
      </c>
      <c r="AS2406" t="s">
        <v>3046</v>
      </c>
      <c r="AU2406" t="s">
        <v>3046</v>
      </c>
    </row>
    <row r="2407" spans="1:47" x14ac:dyDescent="0.35">
      <c r="A2407">
        <v>360491</v>
      </c>
      <c r="B2407" t="s">
        <v>178</v>
      </c>
      <c r="C2407" t="s">
        <v>179</v>
      </c>
      <c r="D2407" s="2">
        <v>45834</v>
      </c>
      <c r="E2407">
        <v>53850</v>
      </c>
      <c r="F2407">
        <v>286</v>
      </c>
      <c r="G2407" t="s">
        <v>408</v>
      </c>
      <c r="H2407" t="s">
        <v>167</v>
      </c>
      <c r="I2407" t="s">
        <v>45</v>
      </c>
      <c r="K2407">
        <v>202506258124486</v>
      </c>
      <c r="L2407">
        <v>2863300003269</v>
      </c>
      <c r="M2407">
        <v>20250625</v>
      </c>
      <c r="N2407" t="s">
        <v>258</v>
      </c>
      <c r="Q2407" t="s">
        <v>170</v>
      </c>
      <c r="R2407">
        <v>3100000</v>
      </c>
      <c r="S2407">
        <v>0</v>
      </c>
      <c r="T2407">
        <v>1703846</v>
      </c>
      <c r="U2407">
        <v>2557890692</v>
      </c>
      <c r="V2407" t="s">
        <v>1170</v>
      </c>
      <c r="W2407" t="s">
        <v>49</v>
      </c>
      <c r="X2407" t="s">
        <v>1076</v>
      </c>
      <c r="Y2407" t="s">
        <v>51</v>
      </c>
      <c r="Z2407">
        <v>1877</v>
      </c>
      <c r="AH2407">
        <v>0</v>
      </c>
      <c r="AI2407">
        <v>202506</v>
      </c>
      <c r="AJ2407" t="s">
        <v>56</v>
      </c>
      <c r="AK2407">
        <v>0</v>
      </c>
      <c r="AL2407">
        <v>1</v>
      </c>
      <c r="AO2407">
        <v>0</v>
      </c>
      <c r="AP2407" t="s">
        <v>3015</v>
      </c>
      <c r="AQ2407" t="s">
        <v>3012</v>
      </c>
      <c r="AR2407" t="s">
        <v>3016</v>
      </c>
      <c r="AT2407" t="s">
        <v>3017</v>
      </c>
      <c r="AU2407" t="s">
        <v>3018</v>
      </c>
    </row>
    <row r="2408" spans="1:47" x14ac:dyDescent="0.35">
      <c r="A2408">
        <v>360490</v>
      </c>
      <c r="B2408" t="s">
        <v>178</v>
      </c>
      <c r="C2408" t="s">
        <v>179</v>
      </c>
      <c r="D2408" s="2">
        <v>45834</v>
      </c>
      <c r="E2408">
        <v>53850</v>
      </c>
      <c r="F2408">
        <v>273</v>
      </c>
      <c r="G2408" t="s">
        <v>133</v>
      </c>
      <c r="H2408" t="s">
        <v>167</v>
      </c>
      <c r="I2408" t="s">
        <v>45</v>
      </c>
      <c r="K2408">
        <v>202506258124967</v>
      </c>
      <c r="L2408">
        <v>2733300004001</v>
      </c>
      <c r="M2408">
        <v>20250625</v>
      </c>
      <c r="N2408" t="s">
        <v>3136</v>
      </c>
      <c r="Q2408" t="s">
        <v>170</v>
      </c>
      <c r="R2408">
        <v>12697.28</v>
      </c>
      <c r="S2408">
        <v>0</v>
      </c>
      <c r="T2408">
        <v>1671175</v>
      </c>
      <c r="U2408" t="s">
        <v>2403</v>
      </c>
      <c r="V2408" t="s">
        <v>2404</v>
      </c>
      <c r="W2408" t="s">
        <v>187</v>
      </c>
      <c r="Y2408" t="s">
        <v>51</v>
      </c>
      <c r="AH2408">
        <v>0</v>
      </c>
      <c r="AI2408">
        <v>202506</v>
      </c>
      <c r="AJ2408" t="s">
        <v>52</v>
      </c>
      <c r="AK2408">
        <v>0</v>
      </c>
      <c r="AL2408">
        <v>1</v>
      </c>
      <c r="AO2408">
        <v>1</v>
      </c>
      <c r="AP2408" t="s">
        <v>3015</v>
      </c>
      <c r="AQ2408" t="s">
        <v>3044</v>
      </c>
      <c r="AR2408" t="s">
        <v>3045</v>
      </c>
      <c r="AS2408" t="s">
        <v>3046</v>
      </c>
      <c r="AU2408" t="s">
        <v>3046</v>
      </c>
    </row>
    <row r="2409" spans="1:47" x14ac:dyDescent="0.35">
      <c r="A2409">
        <v>360489</v>
      </c>
      <c r="B2409" t="s">
        <v>178</v>
      </c>
      <c r="C2409" t="s">
        <v>179</v>
      </c>
      <c r="D2409" s="2">
        <v>45834</v>
      </c>
      <c r="E2409">
        <v>53850</v>
      </c>
      <c r="F2409">
        <v>273</v>
      </c>
      <c r="G2409" t="s">
        <v>133</v>
      </c>
      <c r="H2409" t="s">
        <v>167</v>
      </c>
      <c r="I2409" t="s">
        <v>45</v>
      </c>
      <c r="K2409">
        <v>202506258124970</v>
      </c>
      <c r="L2409">
        <v>2733300012091</v>
      </c>
      <c r="M2409">
        <v>20250625</v>
      </c>
      <c r="N2409" t="s">
        <v>3136</v>
      </c>
      <c r="Q2409" t="s">
        <v>170</v>
      </c>
      <c r="R2409">
        <v>42116.26</v>
      </c>
      <c r="S2409">
        <v>0</v>
      </c>
      <c r="T2409">
        <v>3725379</v>
      </c>
      <c r="U2409" t="s">
        <v>2405</v>
      </c>
      <c r="V2409" t="s">
        <v>2406</v>
      </c>
      <c r="W2409" t="s">
        <v>187</v>
      </c>
      <c r="Y2409" t="s">
        <v>51</v>
      </c>
      <c r="AH2409">
        <v>0</v>
      </c>
      <c r="AI2409">
        <v>202506</v>
      </c>
      <c r="AJ2409" t="s">
        <v>52</v>
      </c>
      <c r="AK2409">
        <v>0</v>
      </c>
      <c r="AL2409">
        <v>1</v>
      </c>
      <c r="AO2409">
        <v>1</v>
      </c>
      <c r="AP2409" t="s">
        <v>3015</v>
      </c>
      <c r="AQ2409" t="s">
        <v>3044</v>
      </c>
      <c r="AR2409" t="s">
        <v>3045</v>
      </c>
      <c r="AS2409" t="s">
        <v>3046</v>
      </c>
      <c r="AU2409" t="s">
        <v>3046</v>
      </c>
    </row>
    <row r="2410" spans="1:47" x14ac:dyDescent="0.35">
      <c r="A2410">
        <v>360488</v>
      </c>
      <c r="B2410" t="s">
        <v>178</v>
      </c>
      <c r="C2410" t="s">
        <v>179</v>
      </c>
      <c r="D2410" s="2">
        <v>45834</v>
      </c>
      <c r="E2410">
        <v>53850</v>
      </c>
      <c r="F2410">
        <v>261</v>
      </c>
      <c r="G2410" t="s">
        <v>136</v>
      </c>
      <c r="H2410" t="s">
        <v>167</v>
      </c>
      <c r="I2410" t="s">
        <v>45</v>
      </c>
      <c r="K2410" t="s">
        <v>2407</v>
      </c>
      <c r="L2410">
        <v>2613300000293</v>
      </c>
      <c r="M2410">
        <v>20250625</v>
      </c>
      <c r="N2410" t="s">
        <v>3136</v>
      </c>
      <c r="Q2410" t="s">
        <v>47</v>
      </c>
      <c r="R2410">
        <v>2315.1999999999998</v>
      </c>
      <c r="S2410">
        <v>0</v>
      </c>
      <c r="T2410">
        <v>1604757</v>
      </c>
      <c r="U2410">
        <v>81180945</v>
      </c>
      <c r="V2410" t="s">
        <v>2408</v>
      </c>
      <c r="W2410" t="s">
        <v>49</v>
      </c>
      <c r="X2410" t="s">
        <v>710</v>
      </c>
      <c r="Y2410" t="s">
        <v>51</v>
      </c>
      <c r="Z2410">
        <v>1856</v>
      </c>
      <c r="AH2410">
        <v>0</v>
      </c>
      <c r="AI2410">
        <v>202506</v>
      </c>
      <c r="AJ2410" t="s">
        <v>119</v>
      </c>
      <c r="AK2410">
        <v>1</v>
      </c>
      <c r="AL2410">
        <v>1</v>
      </c>
      <c r="AO2410">
        <v>1</v>
      </c>
      <c r="AP2410" t="s">
        <v>3015</v>
      </c>
      <c r="AQ2410" t="s">
        <v>3012</v>
      </c>
      <c r="AR2410" t="s">
        <v>3016</v>
      </c>
      <c r="AT2410" t="s">
        <v>3017</v>
      </c>
      <c r="AU2410" t="s">
        <v>3018</v>
      </c>
    </row>
    <row r="2411" spans="1:47" x14ac:dyDescent="0.35">
      <c r="A2411">
        <v>360487</v>
      </c>
      <c r="B2411" t="s">
        <v>193</v>
      </c>
      <c r="C2411" t="s">
        <v>194</v>
      </c>
      <c r="D2411" s="2">
        <v>45834</v>
      </c>
      <c r="E2411">
        <v>53850</v>
      </c>
      <c r="F2411">
        <v>196</v>
      </c>
      <c r="G2411" t="s">
        <v>567</v>
      </c>
      <c r="H2411" t="s">
        <v>167</v>
      </c>
      <c r="I2411" t="s">
        <v>45</v>
      </c>
      <c r="K2411">
        <v>202506258124396</v>
      </c>
      <c r="L2411">
        <v>1963302353452</v>
      </c>
      <c r="M2411">
        <v>20250625</v>
      </c>
      <c r="N2411" t="s">
        <v>195</v>
      </c>
      <c r="Q2411" t="s">
        <v>47</v>
      </c>
      <c r="R2411">
        <v>32000</v>
      </c>
      <c r="S2411">
        <v>32000</v>
      </c>
      <c r="T2411">
        <v>4084962</v>
      </c>
      <c r="U2411" t="s">
        <v>1512</v>
      </c>
      <c r="V2411" t="s">
        <v>1513</v>
      </c>
      <c r="W2411" t="s">
        <v>342</v>
      </c>
      <c r="X2411" t="s">
        <v>590</v>
      </c>
      <c r="Y2411" t="s">
        <v>51</v>
      </c>
      <c r="Z2411">
        <v>1945</v>
      </c>
      <c r="AH2411">
        <v>0</v>
      </c>
      <c r="AI2411">
        <v>202506</v>
      </c>
      <c r="AJ2411" t="s">
        <v>56</v>
      </c>
      <c r="AK2411">
        <v>0</v>
      </c>
      <c r="AL2411">
        <v>1</v>
      </c>
      <c r="AM2411">
        <v>4084962</v>
      </c>
      <c r="AN2411">
        <v>1</v>
      </c>
      <c r="AO2411">
        <v>0</v>
      </c>
      <c r="AP2411" t="s">
        <v>3015</v>
      </c>
      <c r="AQ2411" t="s">
        <v>3060</v>
      </c>
      <c r="AR2411" t="s">
        <v>3061</v>
      </c>
      <c r="AT2411" t="s">
        <v>3017</v>
      </c>
      <c r="AU2411" t="s">
        <v>3014</v>
      </c>
    </row>
    <row r="2412" spans="1:47" x14ac:dyDescent="0.35">
      <c r="A2412">
        <v>360486</v>
      </c>
      <c r="B2412" t="s">
        <v>178</v>
      </c>
      <c r="C2412" t="s">
        <v>179</v>
      </c>
      <c r="D2412" s="2">
        <v>45834</v>
      </c>
      <c r="E2412">
        <v>53850</v>
      </c>
      <c r="F2412">
        <v>273</v>
      </c>
      <c r="G2412" t="s">
        <v>133</v>
      </c>
      <c r="H2412" t="s">
        <v>167</v>
      </c>
      <c r="I2412" t="s">
        <v>45</v>
      </c>
      <c r="K2412">
        <v>202506258124967</v>
      </c>
      <c r="L2412">
        <v>2733300004001</v>
      </c>
      <c r="M2412">
        <v>20250625</v>
      </c>
      <c r="N2412" t="s">
        <v>3136</v>
      </c>
      <c r="Q2412" t="s">
        <v>170</v>
      </c>
      <c r="R2412">
        <v>12697.28</v>
      </c>
      <c r="S2412">
        <v>0</v>
      </c>
      <c r="T2412">
        <v>1625597</v>
      </c>
      <c r="U2412" t="s">
        <v>2409</v>
      </c>
      <c r="V2412" t="s">
        <v>2410</v>
      </c>
      <c r="W2412" t="s">
        <v>187</v>
      </c>
      <c r="Y2412" t="s">
        <v>51</v>
      </c>
      <c r="Z2412">
        <v>1838</v>
      </c>
      <c r="AH2412">
        <v>0</v>
      </c>
      <c r="AI2412">
        <v>202506</v>
      </c>
      <c r="AJ2412" t="s">
        <v>52</v>
      </c>
      <c r="AK2412">
        <v>0</v>
      </c>
      <c r="AL2412">
        <v>1</v>
      </c>
      <c r="AO2412">
        <v>1</v>
      </c>
      <c r="AP2412" t="s">
        <v>3015</v>
      </c>
      <c r="AQ2412" t="s">
        <v>3044</v>
      </c>
      <c r="AR2412" t="s">
        <v>3045</v>
      </c>
      <c r="AS2412" t="s">
        <v>3046</v>
      </c>
      <c r="AU2412" t="s">
        <v>3046</v>
      </c>
    </row>
    <row r="2413" spans="1:47" x14ac:dyDescent="0.35">
      <c r="A2413">
        <v>360485</v>
      </c>
      <c r="B2413" t="s">
        <v>178</v>
      </c>
      <c r="C2413" t="s">
        <v>179</v>
      </c>
      <c r="D2413" s="2">
        <v>45834</v>
      </c>
      <c r="E2413">
        <v>53850</v>
      </c>
      <c r="F2413">
        <v>273</v>
      </c>
      <c r="G2413" t="s">
        <v>133</v>
      </c>
      <c r="H2413" t="s">
        <v>167</v>
      </c>
      <c r="I2413" t="s">
        <v>45</v>
      </c>
      <c r="K2413">
        <v>202506258124967</v>
      </c>
      <c r="L2413">
        <v>2733300004001</v>
      </c>
      <c r="M2413">
        <v>20250625</v>
      </c>
      <c r="N2413" t="s">
        <v>3136</v>
      </c>
      <c r="Q2413" t="s">
        <v>170</v>
      </c>
      <c r="R2413">
        <v>12697.28</v>
      </c>
      <c r="S2413">
        <v>0</v>
      </c>
      <c r="T2413">
        <v>1674203</v>
      </c>
      <c r="U2413" t="s">
        <v>2411</v>
      </c>
      <c r="V2413" t="s">
        <v>2412</v>
      </c>
      <c r="W2413" t="s">
        <v>187</v>
      </c>
      <c r="Y2413" t="s">
        <v>51</v>
      </c>
      <c r="AH2413">
        <v>0</v>
      </c>
      <c r="AI2413">
        <v>202506</v>
      </c>
      <c r="AJ2413" t="s">
        <v>52</v>
      </c>
      <c r="AK2413">
        <v>0</v>
      </c>
      <c r="AL2413">
        <v>1</v>
      </c>
      <c r="AO2413">
        <v>1</v>
      </c>
      <c r="AP2413" t="s">
        <v>3015</v>
      </c>
      <c r="AQ2413" t="s">
        <v>3044</v>
      </c>
      <c r="AR2413" t="s">
        <v>3045</v>
      </c>
      <c r="AS2413" t="s">
        <v>3046</v>
      </c>
      <c r="AU2413" t="s">
        <v>3046</v>
      </c>
    </row>
    <row r="2414" spans="1:47" x14ac:dyDescent="0.35">
      <c r="A2414">
        <v>360484</v>
      </c>
      <c r="B2414" t="s">
        <v>756</v>
      </c>
      <c r="C2414" t="s">
        <v>757</v>
      </c>
      <c r="D2414" s="2">
        <v>45834</v>
      </c>
      <c r="E2414">
        <v>53850</v>
      </c>
      <c r="F2414">
        <v>188</v>
      </c>
      <c r="G2414" t="s">
        <v>419</v>
      </c>
      <c r="H2414" t="s">
        <v>167</v>
      </c>
      <c r="I2414" t="s">
        <v>45</v>
      </c>
      <c r="K2414" t="s">
        <v>2394</v>
      </c>
      <c r="L2414">
        <v>1883300141277</v>
      </c>
      <c r="M2414">
        <v>20250625</v>
      </c>
      <c r="N2414" t="s">
        <v>3136</v>
      </c>
      <c r="Q2414" t="s">
        <v>170</v>
      </c>
      <c r="R2414">
        <v>1078.94</v>
      </c>
      <c r="S2414">
        <v>1078.94</v>
      </c>
      <c r="T2414">
        <v>3185802</v>
      </c>
      <c r="U2414" t="s">
        <v>2395</v>
      </c>
      <c r="V2414" t="s">
        <v>2396</v>
      </c>
      <c r="W2414" t="s">
        <v>187</v>
      </c>
      <c r="Y2414" t="s">
        <v>51</v>
      </c>
      <c r="Z2414">
        <v>424</v>
      </c>
      <c r="AH2414">
        <v>0</v>
      </c>
      <c r="AI2414">
        <v>202506</v>
      </c>
      <c r="AJ2414" t="s">
        <v>86</v>
      </c>
      <c r="AK2414">
        <v>1</v>
      </c>
      <c r="AL2414">
        <v>0</v>
      </c>
      <c r="AO2414">
        <v>1</v>
      </c>
      <c r="AP2414" t="s">
        <v>3015</v>
      </c>
      <c r="AQ2414" t="s">
        <v>3044</v>
      </c>
      <c r="AR2414" t="s">
        <v>3045</v>
      </c>
      <c r="AS2414" t="s">
        <v>3046</v>
      </c>
      <c r="AU2414" t="s">
        <v>3046</v>
      </c>
    </row>
    <row r="2415" spans="1:47" x14ac:dyDescent="0.35">
      <c r="A2415">
        <v>360483</v>
      </c>
      <c r="B2415" t="s">
        <v>333</v>
      </c>
      <c r="C2415" t="s">
        <v>334</v>
      </c>
      <c r="D2415" s="2">
        <v>45834</v>
      </c>
      <c r="E2415">
        <v>53850</v>
      </c>
      <c r="F2415">
        <v>99</v>
      </c>
      <c r="G2415" t="s">
        <v>335</v>
      </c>
      <c r="H2415" t="s">
        <v>167</v>
      </c>
      <c r="I2415" t="s">
        <v>45</v>
      </c>
      <c r="K2415" t="s">
        <v>2413</v>
      </c>
      <c r="M2415">
        <v>20250625</v>
      </c>
      <c r="N2415" t="s">
        <v>3136</v>
      </c>
      <c r="Q2415" t="s">
        <v>170</v>
      </c>
      <c r="R2415">
        <v>4500.3599999999997</v>
      </c>
      <c r="S2415">
        <v>0</v>
      </c>
      <c r="T2415">
        <v>4938377</v>
      </c>
      <c r="U2415" t="s">
        <v>2414</v>
      </c>
      <c r="V2415" t="s">
        <v>2415</v>
      </c>
      <c r="W2415" t="s">
        <v>187</v>
      </c>
      <c r="Y2415" t="s">
        <v>51</v>
      </c>
      <c r="Z2415">
        <v>1099</v>
      </c>
      <c r="AH2415">
        <v>0</v>
      </c>
      <c r="AI2415">
        <v>202506</v>
      </c>
      <c r="AJ2415" t="s">
        <v>86</v>
      </c>
      <c r="AK2415">
        <v>1</v>
      </c>
      <c r="AL2415">
        <v>0</v>
      </c>
      <c r="AO2415">
        <v>1</v>
      </c>
      <c r="AP2415" t="s">
        <v>3015</v>
      </c>
      <c r="AQ2415" t="s">
        <v>3044</v>
      </c>
      <c r="AR2415" t="s">
        <v>3045</v>
      </c>
      <c r="AS2415" t="s">
        <v>3046</v>
      </c>
      <c r="AU2415" t="s">
        <v>3046</v>
      </c>
    </row>
    <row r="2416" spans="1:47" x14ac:dyDescent="0.35">
      <c r="A2416">
        <v>360482</v>
      </c>
      <c r="B2416" t="s">
        <v>178</v>
      </c>
      <c r="C2416" t="s">
        <v>179</v>
      </c>
      <c r="D2416" s="2">
        <v>45834</v>
      </c>
      <c r="E2416">
        <v>53850</v>
      </c>
      <c r="F2416">
        <v>261</v>
      </c>
      <c r="G2416" t="s">
        <v>136</v>
      </c>
      <c r="H2416" t="s">
        <v>167</v>
      </c>
      <c r="I2416" t="s">
        <v>45</v>
      </c>
      <c r="K2416" t="s">
        <v>2416</v>
      </c>
      <c r="L2416">
        <v>2613300000293</v>
      </c>
      <c r="M2416">
        <v>20250625</v>
      </c>
      <c r="N2416" t="s">
        <v>3136</v>
      </c>
      <c r="Q2416" t="s">
        <v>47</v>
      </c>
      <c r="R2416">
        <v>2938.17</v>
      </c>
      <c r="S2416">
        <v>0</v>
      </c>
      <c r="T2416">
        <v>1604757</v>
      </c>
      <c r="U2416">
        <v>81180945</v>
      </c>
      <c r="V2416" t="s">
        <v>2408</v>
      </c>
      <c r="W2416" t="s">
        <v>49</v>
      </c>
      <c r="X2416" t="s">
        <v>710</v>
      </c>
      <c r="Y2416" t="s">
        <v>51</v>
      </c>
      <c r="Z2416">
        <v>1856</v>
      </c>
      <c r="AH2416">
        <v>0</v>
      </c>
      <c r="AI2416">
        <v>202506</v>
      </c>
      <c r="AJ2416" t="s">
        <v>119</v>
      </c>
      <c r="AK2416">
        <v>1</v>
      </c>
      <c r="AL2416">
        <v>1</v>
      </c>
      <c r="AO2416">
        <v>1</v>
      </c>
      <c r="AP2416" t="s">
        <v>3015</v>
      </c>
      <c r="AQ2416" t="s">
        <v>3012</v>
      </c>
      <c r="AR2416" t="s">
        <v>3016</v>
      </c>
      <c r="AT2416" t="s">
        <v>3017</v>
      </c>
      <c r="AU2416" t="s">
        <v>3018</v>
      </c>
    </row>
    <row r="2417" spans="1:47" x14ac:dyDescent="0.35">
      <c r="A2417">
        <v>360481</v>
      </c>
      <c r="B2417" t="s">
        <v>178</v>
      </c>
      <c r="C2417" t="s">
        <v>179</v>
      </c>
      <c r="D2417" s="2">
        <v>45834</v>
      </c>
      <c r="E2417">
        <v>53850</v>
      </c>
      <c r="F2417">
        <v>273</v>
      </c>
      <c r="G2417" t="s">
        <v>133</v>
      </c>
      <c r="H2417" t="s">
        <v>167</v>
      </c>
      <c r="I2417" t="s">
        <v>45</v>
      </c>
      <c r="K2417">
        <v>202506258124970</v>
      </c>
      <c r="L2417">
        <v>2733300012091</v>
      </c>
      <c r="M2417">
        <v>20250625</v>
      </c>
      <c r="N2417" t="s">
        <v>3136</v>
      </c>
      <c r="Q2417" t="s">
        <v>170</v>
      </c>
      <c r="R2417">
        <v>42116.26</v>
      </c>
      <c r="S2417">
        <v>0</v>
      </c>
      <c r="T2417">
        <v>3725375</v>
      </c>
      <c r="U2417" t="s">
        <v>2417</v>
      </c>
      <c r="V2417" t="s">
        <v>2418</v>
      </c>
      <c r="W2417" t="s">
        <v>187</v>
      </c>
      <c r="Y2417" t="s">
        <v>51</v>
      </c>
      <c r="AH2417">
        <v>0</v>
      </c>
      <c r="AI2417">
        <v>202506</v>
      </c>
      <c r="AJ2417" t="s">
        <v>52</v>
      </c>
      <c r="AK2417">
        <v>0</v>
      </c>
      <c r="AL2417">
        <v>1</v>
      </c>
      <c r="AO2417">
        <v>1</v>
      </c>
      <c r="AP2417" t="s">
        <v>3015</v>
      </c>
      <c r="AQ2417" t="s">
        <v>3044</v>
      </c>
      <c r="AR2417" t="s">
        <v>3045</v>
      </c>
      <c r="AS2417" t="s">
        <v>3046</v>
      </c>
      <c r="AU2417" t="s">
        <v>3046</v>
      </c>
    </row>
    <row r="2418" spans="1:47" x14ac:dyDescent="0.35">
      <c r="A2418">
        <v>360480</v>
      </c>
      <c r="B2418" t="s">
        <v>172</v>
      </c>
      <c r="C2418" t="s">
        <v>173</v>
      </c>
      <c r="D2418" s="2">
        <v>45834</v>
      </c>
      <c r="E2418">
        <v>53850</v>
      </c>
      <c r="F2418">
        <v>121</v>
      </c>
      <c r="G2418" t="s">
        <v>140</v>
      </c>
      <c r="H2418" t="s">
        <v>167</v>
      </c>
      <c r="I2418" t="s">
        <v>45</v>
      </c>
      <c r="K2418" t="s">
        <v>2419</v>
      </c>
      <c r="L2418">
        <v>1213300002600</v>
      </c>
      <c r="M2418">
        <v>20250625</v>
      </c>
      <c r="N2418" t="s">
        <v>175</v>
      </c>
      <c r="Q2418" t="s">
        <v>47</v>
      </c>
      <c r="R2418">
        <v>473652.88</v>
      </c>
      <c r="S2418">
        <v>0</v>
      </c>
      <c r="T2418">
        <v>4939345</v>
      </c>
      <c r="U2418">
        <v>5754810728</v>
      </c>
      <c r="V2418" t="s">
        <v>570</v>
      </c>
      <c r="W2418" t="s">
        <v>49</v>
      </c>
      <c r="X2418" t="s">
        <v>117</v>
      </c>
      <c r="Y2418" t="s">
        <v>51</v>
      </c>
      <c r="Z2418">
        <v>1058</v>
      </c>
      <c r="AH2418">
        <v>0</v>
      </c>
      <c r="AI2418">
        <v>202506</v>
      </c>
      <c r="AJ2418" t="s">
        <v>119</v>
      </c>
      <c r="AK2418">
        <v>1</v>
      </c>
      <c r="AL2418">
        <v>1</v>
      </c>
      <c r="AO2418">
        <v>1</v>
      </c>
      <c r="AP2418" t="s">
        <v>3029</v>
      </c>
      <c r="AQ2418" t="s">
        <v>3012</v>
      </c>
      <c r="AR2418" t="s">
        <v>3030</v>
      </c>
      <c r="AS2418" t="s">
        <v>3014</v>
      </c>
      <c r="AU2418" t="s">
        <v>3014</v>
      </c>
    </row>
    <row r="2419" spans="1:47" x14ac:dyDescent="0.35">
      <c r="A2419">
        <v>360479</v>
      </c>
      <c r="B2419" t="s">
        <v>178</v>
      </c>
      <c r="C2419" t="s">
        <v>179</v>
      </c>
      <c r="D2419" s="2">
        <v>45834</v>
      </c>
      <c r="E2419">
        <v>53850</v>
      </c>
      <c r="F2419">
        <v>286</v>
      </c>
      <c r="G2419" t="s">
        <v>408</v>
      </c>
      <c r="H2419" t="s">
        <v>167</v>
      </c>
      <c r="I2419" t="s">
        <v>45</v>
      </c>
      <c r="K2419">
        <v>202506258123522</v>
      </c>
      <c r="L2419">
        <v>2863300010173</v>
      </c>
      <c r="M2419">
        <v>20250625</v>
      </c>
      <c r="N2419" t="s">
        <v>46</v>
      </c>
      <c r="P2419" t="s">
        <v>51</v>
      </c>
      <c r="Q2419" t="s">
        <v>47</v>
      </c>
      <c r="R2419">
        <v>406362.91</v>
      </c>
      <c r="S2419">
        <v>0</v>
      </c>
      <c r="T2419">
        <v>4991163</v>
      </c>
      <c r="U2419" t="s">
        <v>2338</v>
      </c>
      <c r="V2419" t="s">
        <v>2339</v>
      </c>
      <c r="W2419" t="s">
        <v>187</v>
      </c>
      <c r="Y2419" t="s">
        <v>51</v>
      </c>
      <c r="Z2419">
        <v>1848</v>
      </c>
      <c r="AH2419">
        <v>0</v>
      </c>
      <c r="AI2419">
        <v>202506</v>
      </c>
      <c r="AJ2419" t="s">
        <v>56</v>
      </c>
      <c r="AK2419">
        <v>0</v>
      </c>
      <c r="AL2419">
        <v>1</v>
      </c>
      <c r="AO2419">
        <v>0</v>
      </c>
      <c r="AP2419" t="s">
        <v>3015</v>
      </c>
      <c r="AQ2419" t="s">
        <v>3044</v>
      </c>
      <c r="AR2419" t="s">
        <v>3045</v>
      </c>
      <c r="AS2419" t="s">
        <v>3046</v>
      </c>
      <c r="AU2419" t="s">
        <v>3046</v>
      </c>
    </row>
    <row r="2420" spans="1:47" x14ac:dyDescent="0.35">
      <c r="A2420">
        <v>360478</v>
      </c>
      <c r="B2420" t="s">
        <v>193</v>
      </c>
      <c r="C2420" t="s">
        <v>194</v>
      </c>
      <c r="D2420" s="2">
        <v>45834</v>
      </c>
      <c r="E2420">
        <v>53850</v>
      </c>
      <c r="F2420">
        <v>189</v>
      </c>
      <c r="G2420" t="s">
        <v>286</v>
      </c>
      <c r="H2420" t="s">
        <v>167</v>
      </c>
      <c r="I2420" t="s">
        <v>45</v>
      </c>
      <c r="K2420" t="s">
        <v>2419</v>
      </c>
      <c r="L2420">
        <v>1893300018226</v>
      </c>
      <c r="M2420">
        <v>20250625</v>
      </c>
      <c r="N2420" t="s">
        <v>175</v>
      </c>
      <c r="Q2420" t="s">
        <v>47</v>
      </c>
      <c r="R2420">
        <v>53347.4</v>
      </c>
      <c r="S2420">
        <v>37755</v>
      </c>
      <c r="T2420">
        <v>4982797</v>
      </c>
      <c r="U2420">
        <v>3335110734</v>
      </c>
      <c r="V2420" t="s">
        <v>2420</v>
      </c>
      <c r="W2420" t="s">
        <v>49</v>
      </c>
      <c r="X2420" t="s">
        <v>117</v>
      </c>
      <c r="Y2420" t="s">
        <v>51</v>
      </c>
      <c r="Z2420">
        <v>1381</v>
      </c>
      <c r="AH2420">
        <v>0</v>
      </c>
      <c r="AI2420">
        <v>202506</v>
      </c>
      <c r="AJ2420" t="s">
        <v>86</v>
      </c>
      <c r="AK2420">
        <v>1</v>
      </c>
      <c r="AL2420">
        <v>1</v>
      </c>
      <c r="AO2420">
        <v>1</v>
      </c>
      <c r="AP2420" t="s">
        <v>3029</v>
      </c>
      <c r="AQ2420" t="s">
        <v>3012</v>
      </c>
      <c r="AR2420" t="s">
        <v>3030</v>
      </c>
      <c r="AS2420" t="s">
        <v>3014</v>
      </c>
      <c r="AU2420" t="s">
        <v>3014</v>
      </c>
    </row>
    <row r="2421" spans="1:47" x14ac:dyDescent="0.35">
      <c r="A2421">
        <v>360477</v>
      </c>
      <c r="B2421" t="s">
        <v>193</v>
      </c>
      <c r="C2421" t="s">
        <v>194</v>
      </c>
      <c r="D2421" s="2">
        <v>45834</v>
      </c>
      <c r="E2421">
        <v>53850</v>
      </c>
      <c r="F2421">
        <v>102</v>
      </c>
      <c r="G2421" t="s">
        <v>151</v>
      </c>
      <c r="H2421" t="s">
        <v>167</v>
      </c>
      <c r="I2421" t="s">
        <v>45</v>
      </c>
      <c r="K2421">
        <v>202506258124143</v>
      </c>
      <c r="L2421">
        <v>1023308722503</v>
      </c>
      <c r="M2421">
        <v>20250625</v>
      </c>
      <c r="N2421" t="s">
        <v>195</v>
      </c>
      <c r="Q2421" t="s">
        <v>47</v>
      </c>
      <c r="R2421">
        <v>18990</v>
      </c>
      <c r="S2421">
        <v>18990</v>
      </c>
      <c r="T2421">
        <v>413650</v>
      </c>
      <c r="U2421">
        <v>3657230722</v>
      </c>
      <c r="V2421" t="s">
        <v>196</v>
      </c>
      <c r="W2421" t="s">
        <v>190</v>
      </c>
      <c r="X2421" t="s">
        <v>197</v>
      </c>
      <c r="Y2421" t="s">
        <v>51</v>
      </c>
      <c r="Z2421">
        <v>1306</v>
      </c>
      <c r="AH2421">
        <v>0</v>
      </c>
      <c r="AI2421">
        <v>202506</v>
      </c>
      <c r="AJ2421" t="s">
        <v>119</v>
      </c>
      <c r="AK2421">
        <v>1</v>
      </c>
      <c r="AL2421">
        <v>1</v>
      </c>
      <c r="AM2421">
        <v>413650</v>
      </c>
      <c r="AN2421">
        <v>1</v>
      </c>
      <c r="AO2421">
        <v>0</v>
      </c>
      <c r="AP2421" t="s">
        <v>3050</v>
      </c>
      <c r="AQ2421" t="s">
        <v>3047</v>
      </c>
      <c r="AR2421" t="s">
        <v>3051</v>
      </c>
      <c r="AS2421" t="s">
        <v>3049</v>
      </c>
      <c r="AU2421" t="s">
        <v>3049</v>
      </c>
    </row>
    <row r="2422" spans="1:47" x14ac:dyDescent="0.35">
      <c r="A2422">
        <v>360476</v>
      </c>
      <c r="B2422" t="s">
        <v>178</v>
      </c>
      <c r="C2422" t="s">
        <v>179</v>
      </c>
      <c r="D2422" s="2">
        <v>45834</v>
      </c>
      <c r="E2422">
        <v>53850</v>
      </c>
      <c r="F2422">
        <v>148</v>
      </c>
      <c r="G2422" t="s">
        <v>78</v>
      </c>
      <c r="H2422" t="s">
        <v>167</v>
      </c>
      <c r="I2422" t="s">
        <v>45</v>
      </c>
      <c r="K2422">
        <v>202506258123250</v>
      </c>
      <c r="L2422">
        <v>1483300006143</v>
      </c>
      <c r="M2422">
        <v>20250625</v>
      </c>
      <c r="N2422" t="s">
        <v>377</v>
      </c>
      <c r="Q2422" t="s">
        <v>47</v>
      </c>
      <c r="R2422">
        <v>245703.4</v>
      </c>
      <c r="S2422">
        <v>0</v>
      </c>
      <c r="T2422">
        <v>3744528</v>
      </c>
      <c r="U2422" t="s">
        <v>2421</v>
      </c>
      <c r="V2422" t="s">
        <v>2422</v>
      </c>
      <c r="W2422" t="s">
        <v>187</v>
      </c>
      <c r="Y2422" t="s">
        <v>51</v>
      </c>
      <c r="Z2422">
        <v>1064</v>
      </c>
      <c r="AH2422">
        <v>0</v>
      </c>
      <c r="AI2422">
        <v>202506</v>
      </c>
      <c r="AJ2422" t="s">
        <v>86</v>
      </c>
      <c r="AK2422">
        <v>1</v>
      </c>
      <c r="AL2422">
        <v>1</v>
      </c>
      <c r="AO2422">
        <v>0</v>
      </c>
      <c r="AP2422" t="s">
        <v>3015</v>
      </c>
      <c r="AQ2422" t="s">
        <v>3044</v>
      </c>
      <c r="AR2422" t="s">
        <v>3045</v>
      </c>
      <c r="AS2422" t="s">
        <v>3046</v>
      </c>
      <c r="AU2422" t="s">
        <v>3046</v>
      </c>
    </row>
    <row r="2423" spans="1:47" x14ac:dyDescent="0.35">
      <c r="A2423">
        <v>360475</v>
      </c>
      <c r="B2423" t="s">
        <v>178</v>
      </c>
      <c r="C2423" t="s">
        <v>179</v>
      </c>
      <c r="D2423" s="2">
        <v>45834</v>
      </c>
      <c r="E2423">
        <v>53850</v>
      </c>
      <c r="F2423">
        <v>182</v>
      </c>
      <c r="G2423" t="s">
        <v>318</v>
      </c>
      <c r="H2423" t="s">
        <v>167</v>
      </c>
      <c r="I2423" t="s">
        <v>45</v>
      </c>
      <c r="K2423">
        <v>202506258123565</v>
      </c>
      <c r="L2423">
        <v>1823300072312</v>
      </c>
      <c r="M2423">
        <v>20250625</v>
      </c>
      <c r="N2423" t="s">
        <v>46</v>
      </c>
      <c r="P2423" t="s">
        <v>51</v>
      </c>
      <c r="Q2423" t="s">
        <v>47</v>
      </c>
      <c r="R2423">
        <v>1121842.5</v>
      </c>
      <c r="S2423">
        <v>0</v>
      </c>
      <c r="T2423">
        <v>3072878</v>
      </c>
      <c r="U2423">
        <v>333580736</v>
      </c>
      <c r="V2423" t="s">
        <v>454</v>
      </c>
      <c r="W2423" t="s">
        <v>49</v>
      </c>
      <c r="X2423" t="s">
        <v>421</v>
      </c>
      <c r="Y2423" t="s">
        <v>51</v>
      </c>
      <c r="Z2423">
        <v>1627</v>
      </c>
      <c r="AH2423">
        <v>0</v>
      </c>
      <c r="AI2423">
        <v>202506</v>
      </c>
      <c r="AJ2423" t="s">
        <v>86</v>
      </c>
      <c r="AK2423">
        <v>1</v>
      </c>
      <c r="AL2423">
        <v>1</v>
      </c>
      <c r="AO2423">
        <v>0</v>
      </c>
      <c r="AP2423" t="s">
        <v>3015</v>
      </c>
      <c r="AQ2423" t="s">
        <v>3012</v>
      </c>
      <c r="AR2423" t="s">
        <v>3016</v>
      </c>
      <c r="AT2423" t="s">
        <v>3017</v>
      </c>
      <c r="AU2423" t="s">
        <v>3018</v>
      </c>
    </row>
    <row r="2424" spans="1:47" x14ac:dyDescent="0.35">
      <c r="A2424">
        <v>360474</v>
      </c>
      <c r="B2424" t="s">
        <v>193</v>
      </c>
      <c r="C2424" t="s">
        <v>194</v>
      </c>
      <c r="D2424" s="2">
        <v>45834</v>
      </c>
      <c r="E2424">
        <v>53850</v>
      </c>
      <c r="F2424">
        <v>259</v>
      </c>
      <c r="G2424" t="s">
        <v>361</v>
      </c>
      <c r="H2424" t="s">
        <v>167</v>
      </c>
      <c r="I2424" t="s">
        <v>45</v>
      </c>
      <c r="K2424" t="s">
        <v>2419</v>
      </c>
      <c r="L2424">
        <v>2593300000914</v>
      </c>
      <c r="M2424">
        <v>20250625</v>
      </c>
      <c r="N2424" t="s">
        <v>195</v>
      </c>
      <c r="Q2424" t="s">
        <v>47</v>
      </c>
      <c r="R2424">
        <v>38000</v>
      </c>
      <c r="S2424">
        <v>38000</v>
      </c>
      <c r="T2424">
        <v>4960187</v>
      </c>
      <c r="U2424">
        <v>8510340725</v>
      </c>
      <c r="V2424" t="s">
        <v>1683</v>
      </c>
      <c r="W2424" t="s">
        <v>49</v>
      </c>
      <c r="X2424" t="s">
        <v>131</v>
      </c>
      <c r="Y2424" t="s">
        <v>51</v>
      </c>
      <c r="Z2424">
        <v>1578</v>
      </c>
      <c r="AH2424">
        <v>0</v>
      </c>
      <c r="AI2424">
        <v>202506</v>
      </c>
      <c r="AJ2424" t="s">
        <v>56</v>
      </c>
      <c r="AK2424">
        <v>0</v>
      </c>
      <c r="AL2424">
        <v>1</v>
      </c>
      <c r="AM2424">
        <v>4960187</v>
      </c>
      <c r="AN2424">
        <v>1</v>
      </c>
      <c r="AO2424">
        <v>0</v>
      </c>
      <c r="AP2424" t="s">
        <v>3033</v>
      </c>
      <c r="AQ2424" t="s">
        <v>3012</v>
      </c>
      <c r="AR2424" t="s">
        <v>3034</v>
      </c>
      <c r="AS2424" t="s">
        <v>3014</v>
      </c>
      <c r="AU2424" t="s">
        <v>3014</v>
      </c>
    </row>
    <row r="2425" spans="1:47" x14ac:dyDescent="0.35">
      <c r="A2425">
        <v>360473</v>
      </c>
      <c r="B2425" t="s">
        <v>172</v>
      </c>
      <c r="C2425" t="s">
        <v>173</v>
      </c>
      <c r="D2425" s="2">
        <v>45834</v>
      </c>
      <c r="E2425">
        <v>53850</v>
      </c>
      <c r="F2425">
        <v>185</v>
      </c>
      <c r="G2425" t="s">
        <v>235</v>
      </c>
      <c r="H2425" t="s">
        <v>167</v>
      </c>
      <c r="I2425" t="s">
        <v>45</v>
      </c>
      <c r="K2425">
        <v>202506258124809</v>
      </c>
      <c r="L2425">
        <v>1853300028022</v>
      </c>
      <c r="M2425">
        <v>20250625</v>
      </c>
      <c r="N2425" t="s">
        <v>81</v>
      </c>
      <c r="Q2425" t="s">
        <v>47</v>
      </c>
      <c r="R2425">
        <v>141199.25</v>
      </c>
      <c r="S2425">
        <v>0</v>
      </c>
      <c r="T2425">
        <v>4526244</v>
      </c>
      <c r="U2425">
        <v>2742120732</v>
      </c>
      <c r="V2425" t="s">
        <v>2423</v>
      </c>
      <c r="W2425" t="s">
        <v>49</v>
      </c>
      <c r="X2425" t="s">
        <v>839</v>
      </c>
      <c r="Y2425" t="s">
        <v>51</v>
      </c>
      <c r="Z2425">
        <v>773</v>
      </c>
      <c r="AH2425">
        <v>0</v>
      </c>
      <c r="AI2425">
        <v>202506</v>
      </c>
      <c r="AJ2425" t="s">
        <v>86</v>
      </c>
      <c r="AK2425">
        <v>1</v>
      </c>
      <c r="AL2425">
        <v>1</v>
      </c>
      <c r="AO2425">
        <v>0</v>
      </c>
      <c r="AP2425" t="s">
        <v>3015</v>
      </c>
      <c r="AQ2425" t="s">
        <v>3012</v>
      </c>
      <c r="AR2425" t="s">
        <v>3016</v>
      </c>
      <c r="AT2425" t="s">
        <v>3017</v>
      </c>
      <c r="AU2425" t="s">
        <v>3018</v>
      </c>
    </row>
    <row r="2426" spans="1:47" x14ac:dyDescent="0.35">
      <c r="A2426">
        <v>360472</v>
      </c>
      <c r="B2426" t="s">
        <v>178</v>
      </c>
      <c r="C2426" t="s">
        <v>179</v>
      </c>
      <c r="D2426" s="2">
        <v>45834</v>
      </c>
      <c r="E2426">
        <v>53850</v>
      </c>
      <c r="F2426">
        <v>274</v>
      </c>
      <c r="G2426" t="s">
        <v>427</v>
      </c>
      <c r="H2426" t="s">
        <v>167</v>
      </c>
      <c r="I2426" t="s">
        <v>45</v>
      </c>
      <c r="K2426">
        <v>202506258124976</v>
      </c>
      <c r="L2426">
        <v>2743300001958</v>
      </c>
      <c r="M2426">
        <v>20250625</v>
      </c>
      <c r="N2426" t="s">
        <v>344</v>
      </c>
      <c r="Q2426" t="s">
        <v>170</v>
      </c>
      <c r="R2426">
        <v>233000</v>
      </c>
      <c r="S2426">
        <v>0</v>
      </c>
      <c r="T2426">
        <v>1624261</v>
      </c>
      <c r="U2426" t="s">
        <v>2424</v>
      </c>
      <c r="V2426" t="s">
        <v>2425</v>
      </c>
      <c r="W2426" t="s">
        <v>187</v>
      </c>
      <c r="Y2426" t="s">
        <v>51</v>
      </c>
      <c r="Z2426">
        <v>1859</v>
      </c>
      <c r="AH2426">
        <v>0</v>
      </c>
      <c r="AI2426">
        <v>202506</v>
      </c>
      <c r="AJ2426" t="s">
        <v>52</v>
      </c>
      <c r="AK2426">
        <v>0</v>
      </c>
      <c r="AL2426">
        <v>1</v>
      </c>
      <c r="AO2426">
        <v>0</v>
      </c>
      <c r="AP2426" t="s">
        <v>3015</v>
      </c>
      <c r="AQ2426" t="s">
        <v>3044</v>
      </c>
      <c r="AR2426" t="s">
        <v>3045</v>
      </c>
      <c r="AS2426" t="s">
        <v>3046</v>
      </c>
      <c r="AU2426" t="s">
        <v>3046</v>
      </c>
    </row>
    <row r="2427" spans="1:47" x14ac:dyDescent="0.35">
      <c r="A2427">
        <v>360471</v>
      </c>
      <c r="B2427" t="s">
        <v>178</v>
      </c>
      <c r="C2427" t="s">
        <v>179</v>
      </c>
      <c r="D2427" s="2">
        <v>45834</v>
      </c>
      <c r="E2427">
        <v>53850</v>
      </c>
      <c r="F2427">
        <v>103</v>
      </c>
      <c r="G2427" t="s">
        <v>80</v>
      </c>
      <c r="H2427" t="s">
        <v>167</v>
      </c>
      <c r="I2427" t="s">
        <v>45</v>
      </c>
      <c r="K2427" t="s">
        <v>2426</v>
      </c>
      <c r="L2427">
        <v>1033306978965</v>
      </c>
      <c r="M2427">
        <v>20250625</v>
      </c>
      <c r="N2427" t="s">
        <v>3136</v>
      </c>
      <c r="Q2427" t="s">
        <v>170</v>
      </c>
      <c r="R2427">
        <v>4500.3599999999997</v>
      </c>
      <c r="S2427">
        <v>0</v>
      </c>
      <c r="T2427">
        <v>4938377</v>
      </c>
      <c r="U2427" t="s">
        <v>2414</v>
      </c>
      <c r="V2427" t="s">
        <v>2415</v>
      </c>
      <c r="W2427" t="s">
        <v>187</v>
      </c>
      <c r="Y2427" t="s">
        <v>51</v>
      </c>
      <c r="Z2427">
        <v>1099</v>
      </c>
      <c r="AH2427">
        <v>0</v>
      </c>
      <c r="AI2427">
        <v>202506</v>
      </c>
      <c r="AJ2427" t="s">
        <v>86</v>
      </c>
      <c r="AK2427">
        <v>1</v>
      </c>
      <c r="AL2427">
        <v>1</v>
      </c>
      <c r="AO2427">
        <v>1</v>
      </c>
      <c r="AP2427" t="s">
        <v>3015</v>
      </c>
      <c r="AQ2427" t="s">
        <v>3044</v>
      </c>
      <c r="AR2427" t="s">
        <v>3045</v>
      </c>
      <c r="AS2427" t="s">
        <v>3046</v>
      </c>
      <c r="AU2427" t="s">
        <v>3046</v>
      </c>
    </row>
    <row r="2428" spans="1:47" x14ac:dyDescent="0.35">
      <c r="A2428">
        <v>360470</v>
      </c>
      <c r="B2428" t="s">
        <v>178</v>
      </c>
      <c r="C2428" t="s">
        <v>179</v>
      </c>
      <c r="D2428" s="2">
        <v>45834</v>
      </c>
      <c r="E2428">
        <v>53850</v>
      </c>
      <c r="F2428">
        <v>286</v>
      </c>
      <c r="G2428" t="s">
        <v>408</v>
      </c>
      <c r="H2428" t="s">
        <v>167</v>
      </c>
      <c r="I2428" t="s">
        <v>45</v>
      </c>
      <c r="K2428">
        <v>202506258123522</v>
      </c>
      <c r="L2428">
        <v>2863300010173</v>
      </c>
      <c r="M2428">
        <v>20250625</v>
      </c>
      <c r="N2428" t="s">
        <v>46</v>
      </c>
      <c r="P2428" t="s">
        <v>51</v>
      </c>
      <c r="Q2428" t="s">
        <v>47</v>
      </c>
      <c r="R2428">
        <v>406362.91</v>
      </c>
      <c r="S2428">
        <v>0</v>
      </c>
      <c r="T2428">
        <v>4991167</v>
      </c>
      <c r="U2428" t="s">
        <v>2324</v>
      </c>
      <c r="V2428" t="s">
        <v>2325</v>
      </c>
      <c r="W2428" t="s">
        <v>187</v>
      </c>
      <c r="Y2428" t="s">
        <v>51</v>
      </c>
      <c r="Z2428">
        <v>1848</v>
      </c>
      <c r="AH2428">
        <v>0</v>
      </c>
      <c r="AI2428">
        <v>202506</v>
      </c>
      <c r="AJ2428" t="s">
        <v>56</v>
      </c>
      <c r="AK2428">
        <v>0</v>
      </c>
      <c r="AL2428">
        <v>1</v>
      </c>
      <c r="AO2428">
        <v>0</v>
      </c>
      <c r="AP2428" t="s">
        <v>3015</v>
      </c>
      <c r="AQ2428" t="s">
        <v>3044</v>
      </c>
      <c r="AR2428" t="s">
        <v>3045</v>
      </c>
      <c r="AS2428" t="s">
        <v>3046</v>
      </c>
      <c r="AU2428" t="s">
        <v>3046</v>
      </c>
    </row>
    <row r="2429" spans="1:47" x14ac:dyDescent="0.35">
      <c r="A2429">
        <v>360469</v>
      </c>
      <c r="B2429" t="s">
        <v>214</v>
      </c>
      <c r="C2429" t="s">
        <v>215</v>
      </c>
      <c r="D2429" s="2">
        <v>45834</v>
      </c>
      <c r="E2429">
        <v>53850</v>
      </c>
      <c r="F2429">
        <v>102</v>
      </c>
      <c r="G2429" t="s">
        <v>151</v>
      </c>
      <c r="H2429" t="s">
        <v>167</v>
      </c>
      <c r="I2429" t="s">
        <v>45</v>
      </c>
      <c r="K2429">
        <v>202506258123920</v>
      </c>
      <c r="L2429">
        <v>1023304893170</v>
      </c>
      <c r="M2429">
        <v>20250625</v>
      </c>
      <c r="N2429" t="s">
        <v>168</v>
      </c>
      <c r="P2429" t="s">
        <v>520</v>
      </c>
      <c r="Q2429" t="s">
        <v>170</v>
      </c>
      <c r="R2429">
        <v>47560.56</v>
      </c>
      <c r="S2429">
        <v>0</v>
      </c>
      <c r="T2429">
        <v>489317</v>
      </c>
      <c r="U2429">
        <v>4213260724</v>
      </c>
      <c r="V2429" t="s">
        <v>2427</v>
      </c>
      <c r="W2429" t="s">
        <v>49</v>
      </c>
      <c r="X2429" t="s">
        <v>110</v>
      </c>
      <c r="Y2429" t="s">
        <v>51</v>
      </c>
      <c r="Z2429">
        <v>1203</v>
      </c>
      <c r="AH2429">
        <v>0</v>
      </c>
      <c r="AI2429">
        <v>202506</v>
      </c>
      <c r="AJ2429" t="s">
        <v>86</v>
      </c>
      <c r="AK2429">
        <v>1</v>
      </c>
      <c r="AL2429">
        <v>1</v>
      </c>
      <c r="AO2429">
        <v>0</v>
      </c>
      <c r="AP2429" t="s">
        <v>3026</v>
      </c>
      <c r="AQ2429" t="s">
        <v>3012</v>
      </c>
      <c r="AR2429" t="s">
        <v>3027</v>
      </c>
      <c r="AS2429" t="s">
        <v>3028</v>
      </c>
      <c r="AU2429" t="s">
        <v>3028</v>
      </c>
    </row>
    <row r="2430" spans="1:47" x14ac:dyDescent="0.35">
      <c r="A2430">
        <v>360468</v>
      </c>
      <c r="B2430" t="s">
        <v>193</v>
      </c>
      <c r="C2430" t="s">
        <v>194</v>
      </c>
      <c r="D2430" s="2">
        <v>45834</v>
      </c>
      <c r="E2430">
        <v>53850</v>
      </c>
      <c r="F2430">
        <v>128</v>
      </c>
      <c r="G2430" t="s">
        <v>94</v>
      </c>
      <c r="H2430" t="s">
        <v>167</v>
      </c>
      <c r="I2430" t="s">
        <v>45</v>
      </c>
      <c r="K2430">
        <v>202506258124234</v>
      </c>
      <c r="L2430">
        <v>1283300003941</v>
      </c>
      <c r="M2430">
        <v>20250625</v>
      </c>
      <c r="N2430" t="s">
        <v>195</v>
      </c>
      <c r="Q2430" t="s">
        <v>47</v>
      </c>
      <c r="R2430">
        <v>32000</v>
      </c>
      <c r="S2430">
        <v>32000</v>
      </c>
      <c r="T2430">
        <v>4916499</v>
      </c>
      <c r="U2430" t="s">
        <v>382</v>
      </c>
      <c r="V2430" t="s">
        <v>383</v>
      </c>
      <c r="W2430" t="s">
        <v>69</v>
      </c>
      <c r="X2430" t="s">
        <v>55</v>
      </c>
      <c r="Y2430" t="s">
        <v>51</v>
      </c>
      <c r="Z2430">
        <v>1166</v>
      </c>
      <c r="AH2430">
        <v>0</v>
      </c>
      <c r="AI2430">
        <v>202506</v>
      </c>
      <c r="AJ2430" t="s">
        <v>119</v>
      </c>
      <c r="AK2430">
        <v>1</v>
      </c>
      <c r="AL2430">
        <v>1</v>
      </c>
      <c r="AM2430">
        <v>4916499</v>
      </c>
      <c r="AN2430">
        <v>1</v>
      </c>
      <c r="AO2430">
        <v>0</v>
      </c>
      <c r="AP2430" t="s">
        <v>3015</v>
      </c>
      <c r="AQ2430" t="s">
        <v>3021</v>
      </c>
      <c r="AR2430" t="s">
        <v>3022</v>
      </c>
      <c r="AT2430" t="s">
        <v>3017</v>
      </c>
      <c r="AU2430" t="s">
        <v>3014</v>
      </c>
    </row>
    <row r="2431" spans="1:47" x14ac:dyDescent="0.35">
      <c r="A2431">
        <v>360467</v>
      </c>
      <c r="B2431" t="s">
        <v>193</v>
      </c>
      <c r="C2431" t="s">
        <v>194</v>
      </c>
      <c r="D2431" s="2">
        <v>45834</v>
      </c>
      <c r="E2431">
        <v>53850</v>
      </c>
      <c r="F2431">
        <v>189</v>
      </c>
      <c r="G2431" t="s">
        <v>286</v>
      </c>
      <c r="H2431" t="s">
        <v>167</v>
      </c>
      <c r="I2431" t="s">
        <v>45</v>
      </c>
      <c r="K2431">
        <v>202506258124815</v>
      </c>
      <c r="L2431">
        <v>1893300023546</v>
      </c>
      <c r="M2431">
        <v>20250625</v>
      </c>
      <c r="N2431" t="s">
        <v>266</v>
      </c>
      <c r="Q2431" t="s">
        <v>47</v>
      </c>
      <c r="R2431">
        <v>52150</v>
      </c>
      <c r="S2431">
        <v>52150</v>
      </c>
      <c r="T2431">
        <v>3064562</v>
      </c>
      <c r="U2431" t="s">
        <v>287</v>
      </c>
      <c r="V2431" t="s">
        <v>288</v>
      </c>
      <c r="W2431" t="s">
        <v>69</v>
      </c>
      <c r="X2431" t="s">
        <v>55</v>
      </c>
      <c r="Y2431" t="s">
        <v>51</v>
      </c>
      <c r="Z2431">
        <v>1620</v>
      </c>
      <c r="AH2431">
        <v>0</v>
      </c>
      <c r="AI2431">
        <v>202506</v>
      </c>
      <c r="AJ2431" t="s">
        <v>56</v>
      </c>
      <c r="AK2431">
        <v>0</v>
      </c>
      <c r="AL2431">
        <v>1</v>
      </c>
      <c r="AM2431">
        <v>3064562</v>
      </c>
      <c r="AN2431">
        <v>1</v>
      </c>
      <c r="AO2431">
        <v>0</v>
      </c>
      <c r="AP2431" t="s">
        <v>3015</v>
      </c>
      <c r="AQ2431" t="s">
        <v>3021</v>
      </c>
      <c r="AR2431" t="s">
        <v>3022</v>
      </c>
      <c r="AT2431" t="s">
        <v>3017</v>
      </c>
      <c r="AU2431" t="s">
        <v>3014</v>
      </c>
    </row>
    <row r="2432" spans="1:47" x14ac:dyDescent="0.35">
      <c r="A2432">
        <v>360466</v>
      </c>
      <c r="B2432" t="s">
        <v>172</v>
      </c>
      <c r="C2432" t="s">
        <v>173</v>
      </c>
      <c r="D2432" s="2">
        <v>45834</v>
      </c>
      <c r="E2432">
        <v>53850</v>
      </c>
      <c r="F2432">
        <v>106</v>
      </c>
      <c r="G2432" t="s">
        <v>291</v>
      </c>
      <c r="H2432" t="s">
        <v>167</v>
      </c>
      <c r="I2432" t="s">
        <v>45</v>
      </c>
      <c r="K2432" t="s">
        <v>2419</v>
      </c>
      <c r="L2432">
        <v>1063302769017</v>
      </c>
      <c r="M2432">
        <v>20250625</v>
      </c>
      <c r="N2432" t="s">
        <v>175</v>
      </c>
      <c r="Q2432" t="s">
        <v>47</v>
      </c>
      <c r="R2432">
        <v>121500</v>
      </c>
      <c r="S2432">
        <v>0</v>
      </c>
      <c r="T2432">
        <v>4178244</v>
      </c>
      <c r="U2432">
        <v>5966130725</v>
      </c>
      <c r="V2432" t="s">
        <v>1596</v>
      </c>
      <c r="W2432" t="s">
        <v>49</v>
      </c>
      <c r="X2432" t="s">
        <v>364</v>
      </c>
      <c r="Y2432" t="s">
        <v>51</v>
      </c>
      <c r="Z2432">
        <v>727</v>
      </c>
      <c r="AH2432">
        <v>0</v>
      </c>
      <c r="AI2432">
        <v>202506</v>
      </c>
      <c r="AJ2432" t="s">
        <v>86</v>
      </c>
      <c r="AK2432">
        <v>1</v>
      </c>
      <c r="AL2432">
        <v>1</v>
      </c>
      <c r="AO2432">
        <v>1</v>
      </c>
      <c r="AP2432" t="s">
        <v>3062</v>
      </c>
      <c r="AQ2432" t="s">
        <v>3012</v>
      </c>
      <c r="AR2432" t="s">
        <v>3063</v>
      </c>
      <c r="AS2432" t="s">
        <v>3014</v>
      </c>
      <c r="AU2432" t="s">
        <v>3014</v>
      </c>
    </row>
    <row r="2433" spans="1:47" x14ac:dyDescent="0.35">
      <c r="A2433">
        <v>360465</v>
      </c>
      <c r="B2433" t="s">
        <v>214</v>
      </c>
      <c r="C2433" t="s">
        <v>215</v>
      </c>
      <c r="D2433" s="2">
        <v>45834</v>
      </c>
      <c r="E2433">
        <v>53850</v>
      </c>
      <c r="F2433">
        <v>105</v>
      </c>
      <c r="G2433" t="s">
        <v>60</v>
      </c>
      <c r="H2433" t="s">
        <v>167</v>
      </c>
      <c r="I2433" t="s">
        <v>45</v>
      </c>
      <c r="K2433">
        <v>202506258123921</v>
      </c>
      <c r="L2433">
        <v>1053306295089</v>
      </c>
      <c r="M2433">
        <v>20250625</v>
      </c>
      <c r="N2433" t="s">
        <v>168</v>
      </c>
      <c r="P2433" t="s">
        <v>520</v>
      </c>
      <c r="Q2433" t="s">
        <v>170</v>
      </c>
      <c r="R2433">
        <v>35699.160000000003</v>
      </c>
      <c r="S2433">
        <v>0</v>
      </c>
      <c r="T2433">
        <v>3716148</v>
      </c>
      <c r="U2433">
        <v>6264740728</v>
      </c>
      <c r="V2433" t="s">
        <v>1607</v>
      </c>
      <c r="W2433" t="s">
        <v>49</v>
      </c>
      <c r="X2433" t="s">
        <v>59</v>
      </c>
      <c r="Y2433" t="s">
        <v>51</v>
      </c>
      <c r="Z2433">
        <v>462</v>
      </c>
      <c r="AH2433">
        <v>0</v>
      </c>
      <c r="AI2433">
        <v>202506</v>
      </c>
      <c r="AJ2433" t="s">
        <v>119</v>
      </c>
      <c r="AK2433">
        <v>1</v>
      </c>
      <c r="AL2433">
        <v>1</v>
      </c>
      <c r="AO2433">
        <v>0</v>
      </c>
      <c r="AP2433" t="s">
        <v>3015</v>
      </c>
      <c r="AQ2433" t="s">
        <v>3012</v>
      </c>
      <c r="AR2433" t="s">
        <v>3016</v>
      </c>
      <c r="AT2433" t="s">
        <v>3017</v>
      </c>
      <c r="AU2433" t="s">
        <v>3018</v>
      </c>
    </row>
    <row r="2434" spans="1:47" x14ac:dyDescent="0.35">
      <c r="A2434">
        <v>360464</v>
      </c>
      <c r="B2434" t="s">
        <v>164</v>
      </c>
      <c r="C2434" t="s">
        <v>165</v>
      </c>
      <c r="D2434" s="2">
        <v>45834</v>
      </c>
      <c r="E2434">
        <v>53850</v>
      </c>
      <c r="F2434">
        <v>111</v>
      </c>
      <c r="G2434" t="s">
        <v>458</v>
      </c>
      <c r="H2434" t="s">
        <v>167</v>
      </c>
      <c r="I2434" t="s">
        <v>45</v>
      </c>
      <c r="K2434">
        <v>202506248122915</v>
      </c>
      <c r="L2434">
        <v>1113305626850</v>
      </c>
      <c r="M2434">
        <v>20250624</v>
      </c>
      <c r="N2434" t="s">
        <v>168</v>
      </c>
      <c r="P2434" t="s">
        <v>169</v>
      </c>
      <c r="Q2434" t="s">
        <v>170</v>
      </c>
      <c r="R2434">
        <v>5000</v>
      </c>
      <c r="S2434">
        <v>0</v>
      </c>
      <c r="T2434">
        <v>562685</v>
      </c>
      <c r="U2434" t="s">
        <v>459</v>
      </c>
      <c r="V2434" t="s">
        <v>460</v>
      </c>
      <c r="W2434" t="s">
        <v>187</v>
      </c>
      <c r="Y2434" t="s">
        <v>51</v>
      </c>
      <c r="Z2434">
        <v>593</v>
      </c>
      <c r="AH2434">
        <v>0</v>
      </c>
      <c r="AI2434">
        <v>202506</v>
      </c>
      <c r="AJ2434" t="s">
        <v>86</v>
      </c>
      <c r="AK2434">
        <v>1</v>
      </c>
      <c r="AL2434">
        <v>1</v>
      </c>
      <c r="AO2434">
        <v>0</v>
      </c>
      <c r="AP2434" t="s">
        <v>3015</v>
      </c>
      <c r="AQ2434" t="s">
        <v>3044</v>
      </c>
      <c r="AR2434" t="s">
        <v>3045</v>
      </c>
      <c r="AS2434" t="s">
        <v>3046</v>
      </c>
      <c r="AU2434" t="s">
        <v>3046</v>
      </c>
    </row>
    <row r="2435" spans="1:47" x14ac:dyDescent="0.35">
      <c r="A2435">
        <v>360463</v>
      </c>
      <c r="B2435" t="s">
        <v>178</v>
      </c>
      <c r="C2435" t="s">
        <v>179</v>
      </c>
      <c r="D2435" s="2">
        <v>45833</v>
      </c>
      <c r="E2435">
        <v>53850</v>
      </c>
      <c r="F2435">
        <v>149</v>
      </c>
      <c r="G2435" t="s">
        <v>449</v>
      </c>
      <c r="H2435" t="s">
        <v>167</v>
      </c>
      <c r="I2435" t="s">
        <v>45</v>
      </c>
      <c r="K2435">
        <v>202506258121147</v>
      </c>
      <c r="L2435">
        <v>1490050026458</v>
      </c>
      <c r="M2435">
        <v>20250625</v>
      </c>
      <c r="N2435" t="s">
        <v>1200</v>
      </c>
      <c r="Q2435" t="s">
        <v>170</v>
      </c>
      <c r="R2435">
        <v>200000</v>
      </c>
      <c r="S2435">
        <v>0</v>
      </c>
      <c r="T2435">
        <v>2011620</v>
      </c>
      <c r="U2435" t="s">
        <v>2428</v>
      </c>
      <c r="V2435" t="s">
        <v>2429</v>
      </c>
      <c r="W2435" t="s">
        <v>187</v>
      </c>
      <c r="Y2435" t="s">
        <v>51</v>
      </c>
      <c r="Z2435">
        <v>1231</v>
      </c>
      <c r="AH2435">
        <v>0</v>
      </c>
      <c r="AI2435">
        <v>202506</v>
      </c>
      <c r="AJ2435" t="s">
        <v>56</v>
      </c>
      <c r="AK2435">
        <v>0</v>
      </c>
      <c r="AL2435">
        <v>1</v>
      </c>
      <c r="AO2435">
        <v>0</v>
      </c>
      <c r="AP2435" t="s">
        <v>3015</v>
      </c>
      <c r="AQ2435" t="s">
        <v>3044</v>
      </c>
      <c r="AR2435" t="s">
        <v>3045</v>
      </c>
      <c r="AS2435" t="s">
        <v>3046</v>
      </c>
      <c r="AU2435" t="s">
        <v>3046</v>
      </c>
    </row>
    <row r="2436" spans="1:47" x14ac:dyDescent="0.35">
      <c r="A2436">
        <v>360462</v>
      </c>
      <c r="B2436" t="s">
        <v>193</v>
      </c>
      <c r="C2436" t="s">
        <v>194</v>
      </c>
      <c r="D2436" s="2">
        <v>45833</v>
      </c>
      <c r="E2436">
        <v>53850</v>
      </c>
      <c r="F2436">
        <v>171</v>
      </c>
      <c r="G2436" t="s">
        <v>198</v>
      </c>
      <c r="H2436" t="s">
        <v>167</v>
      </c>
      <c r="I2436" t="s">
        <v>45</v>
      </c>
      <c r="K2436" t="s">
        <v>2430</v>
      </c>
      <c r="L2436">
        <v>1713302214147</v>
      </c>
      <c r="M2436">
        <v>20250624</v>
      </c>
      <c r="N2436" t="s">
        <v>195</v>
      </c>
      <c r="Q2436" t="s">
        <v>47</v>
      </c>
      <c r="R2436">
        <v>108945.1</v>
      </c>
      <c r="S2436">
        <v>108945.1</v>
      </c>
      <c r="T2436">
        <v>4199319</v>
      </c>
      <c r="U2436">
        <v>6037810725</v>
      </c>
      <c r="V2436" t="s">
        <v>1144</v>
      </c>
      <c r="W2436" t="s">
        <v>49</v>
      </c>
      <c r="X2436" t="s">
        <v>200</v>
      </c>
      <c r="Y2436" t="s">
        <v>51</v>
      </c>
      <c r="Z2436">
        <v>1903</v>
      </c>
      <c r="AH2436">
        <v>0</v>
      </c>
      <c r="AI2436">
        <v>202506</v>
      </c>
      <c r="AJ2436" t="s">
        <v>86</v>
      </c>
      <c r="AK2436">
        <v>1</v>
      </c>
      <c r="AL2436">
        <v>1</v>
      </c>
      <c r="AM2436">
        <v>4199319</v>
      </c>
      <c r="AN2436">
        <v>1</v>
      </c>
      <c r="AO2436">
        <v>0</v>
      </c>
      <c r="AP2436" t="s">
        <v>3015</v>
      </c>
      <c r="AQ2436" t="s">
        <v>3012</v>
      </c>
      <c r="AR2436" t="s">
        <v>3016</v>
      </c>
      <c r="AT2436" t="s">
        <v>3017</v>
      </c>
      <c r="AU2436" t="s">
        <v>3018</v>
      </c>
    </row>
    <row r="2437" spans="1:47" x14ac:dyDescent="0.35">
      <c r="A2437">
        <v>360461</v>
      </c>
      <c r="B2437" t="s">
        <v>178</v>
      </c>
      <c r="C2437" t="s">
        <v>179</v>
      </c>
      <c r="D2437" s="2">
        <v>45833</v>
      </c>
      <c r="E2437">
        <v>53850</v>
      </c>
      <c r="F2437">
        <v>109</v>
      </c>
      <c r="G2437" t="s">
        <v>89</v>
      </c>
      <c r="H2437" t="s">
        <v>167</v>
      </c>
      <c r="I2437" t="s">
        <v>45</v>
      </c>
      <c r="K2437" t="s">
        <v>2431</v>
      </c>
      <c r="L2437">
        <v>1093306671600</v>
      </c>
      <c r="M2437">
        <v>20250624</v>
      </c>
      <c r="N2437" t="s">
        <v>3136</v>
      </c>
      <c r="Q2437" t="s">
        <v>170</v>
      </c>
      <c r="R2437">
        <v>4104.33</v>
      </c>
      <c r="S2437">
        <v>0</v>
      </c>
      <c r="T2437">
        <v>4234577</v>
      </c>
      <c r="U2437" t="s">
        <v>2432</v>
      </c>
      <c r="V2437" t="s">
        <v>2433</v>
      </c>
      <c r="W2437" t="s">
        <v>187</v>
      </c>
      <c r="Y2437" t="s">
        <v>51</v>
      </c>
      <c r="Z2437">
        <v>929</v>
      </c>
      <c r="AH2437">
        <v>0</v>
      </c>
      <c r="AI2437">
        <v>202506</v>
      </c>
      <c r="AJ2437" t="s">
        <v>86</v>
      </c>
      <c r="AK2437">
        <v>1</v>
      </c>
      <c r="AL2437">
        <v>1</v>
      </c>
      <c r="AO2437">
        <v>1</v>
      </c>
      <c r="AP2437" t="s">
        <v>3015</v>
      </c>
      <c r="AQ2437" t="s">
        <v>3044</v>
      </c>
      <c r="AR2437" t="s">
        <v>3045</v>
      </c>
      <c r="AS2437" t="s">
        <v>3046</v>
      </c>
      <c r="AU2437" t="s">
        <v>3046</v>
      </c>
    </row>
    <row r="2438" spans="1:47" x14ac:dyDescent="0.35">
      <c r="A2438">
        <v>360460</v>
      </c>
      <c r="B2438" t="s">
        <v>193</v>
      </c>
      <c r="C2438" t="s">
        <v>194</v>
      </c>
      <c r="D2438" s="2">
        <v>45833</v>
      </c>
      <c r="E2438">
        <v>53850</v>
      </c>
      <c r="F2438">
        <v>109</v>
      </c>
      <c r="G2438" t="s">
        <v>89</v>
      </c>
      <c r="H2438" t="s">
        <v>167</v>
      </c>
      <c r="I2438" t="s">
        <v>45</v>
      </c>
      <c r="K2438" t="s">
        <v>2430</v>
      </c>
      <c r="L2438">
        <v>1093306675356</v>
      </c>
      <c r="M2438">
        <v>20250624</v>
      </c>
      <c r="N2438" t="s">
        <v>266</v>
      </c>
      <c r="Q2438" t="s">
        <v>47</v>
      </c>
      <c r="R2438">
        <v>36700</v>
      </c>
      <c r="S2438">
        <v>36700</v>
      </c>
      <c r="T2438">
        <v>4976123</v>
      </c>
      <c r="U2438">
        <v>8630940727</v>
      </c>
      <c r="V2438" t="s">
        <v>717</v>
      </c>
      <c r="W2438" t="s">
        <v>49</v>
      </c>
      <c r="X2438" t="s">
        <v>131</v>
      </c>
      <c r="Y2438" t="s">
        <v>51</v>
      </c>
      <c r="Z2438">
        <v>502</v>
      </c>
      <c r="AH2438">
        <v>0</v>
      </c>
      <c r="AI2438">
        <v>202506</v>
      </c>
      <c r="AJ2438" t="s">
        <v>56</v>
      </c>
      <c r="AK2438">
        <v>0</v>
      </c>
      <c r="AL2438">
        <v>1</v>
      </c>
      <c r="AM2438">
        <v>4976123</v>
      </c>
      <c r="AN2438">
        <v>1</v>
      </c>
      <c r="AO2438">
        <v>0</v>
      </c>
      <c r="AP2438" t="s">
        <v>3033</v>
      </c>
      <c r="AQ2438" t="s">
        <v>3012</v>
      </c>
      <c r="AR2438" t="s">
        <v>3034</v>
      </c>
      <c r="AS2438" t="s">
        <v>3014</v>
      </c>
      <c r="AU2438" t="s">
        <v>3014</v>
      </c>
    </row>
    <row r="2439" spans="1:47" x14ac:dyDescent="0.35">
      <c r="A2439">
        <v>360459</v>
      </c>
      <c r="B2439" t="s">
        <v>172</v>
      </c>
      <c r="C2439" t="s">
        <v>173</v>
      </c>
      <c r="D2439" s="2">
        <v>45833</v>
      </c>
      <c r="E2439">
        <v>53850</v>
      </c>
      <c r="F2439">
        <v>149</v>
      </c>
      <c r="G2439" t="s">
        <v>449</v>
      </c>
      <c r="H2439" t="s">
        <v>167</v>
      </c>
      <c r="I2439" t="s">
        <v>45</v>
      </c>
      <c r="K2439">
        <v>202506248121924</v>
      </c>
      <c r="L2439">
        <v>1493300660015</v>
      </c>
      <c r="M2439">
        <v>20250624</v>
      </c>
      <c r="N2439" t="s">
        <v>231</v>
      </c>
      <c r="Q2439" t="s">
        <v>47</v>
      </c>
      <c r="R2439">
        <v>137500</v>
      </c>
      <c r="S2439">
        <v>0</v>
      </c>
      <c r="T2439">
        <v>4174943</v>
      </c>
      <c r="U2439" t="s">
        <v>2434</v>
      </c>
      <c r="V2439" t="s">
        <v>2435</v>
      </c>
      <c r="W2439" t="s">
        <v>69</v>
      </c>
      <c r="X2439" t="s">
        <v>131</v>
      </c>
      <c r="Y2439" t="s">
        <v>51</v>
      </c>
      <c r="Z2439">
        <v>1910</v>
      </c>
      <c r="AH2439">
        <v>0</v>
      </c>
      <c r="AI2439">
        <v>202506</v>
      </c>
      <c r="AJ2439" t="s">
        <v>86</v>
      </c>
      <c r="AK2439">
        <v>1</v>
      </c>
      <c r="AL2439">
        <v>1</v>
      </c>
      <c r="AO2439">
        <v>0</v>
      </c>
      <c r="AP2439" t="s">
        <v>3033</v>
      </c>
      <c r="AQ2439" t="s">
        <v>3021</v>
      </c>
      <c r="AR2439" t="s">
        <v>3054</v>
      </c>
      <c r="AS2439" t="s">
        <v>3055</v>
      </c>
      <c r="AU2439" t="s">
        <v>3055</v>
      </c>
    </row>
    <row r="2440" spans="1:47" x14ac:dyDescent="0.35">
      <c r="A2440">
        <v>360458</v>
      </c>
      <c r="B2440" t="s">
        <v>178</v>
      </c>
      <c r="C2440" t="s">
        <v>179</v>
      </c>
      <c r="D2440" s="2">
        <v>45833</v>
      </c>
      <c r="E2440">
        <v>53850</v>
      </c>
      <c r="F2440">
        <v>110</v>
      </c>
      <c r="G2440" t="s">
        <v>230</v>
      </c>
      <c r="H2440" t="s">
        <v>167</v>
      </c>
      <c r="I2440" t="s">
        <v>45</v>
      </c>
      <c r="K2440">
        <v>202506248120533</v>
      </c>
      <c r="L2440">
        <v>1103306283873</v>
      </c>
      <c r="M2440">
        <v>20250624</v>
      </c>
      <c r="N2440" t="s">
        <v>46</v>
      </c>
      <c r="P2440" t="s">
        <v>51</v>
      </c>
      <c r="Q2440" t="s">
        <v>47</v>
      </c>
      <c r="R2440">
        <v>251954.41</v>
      </c>
      <c r="S2440">
        <v>0</v>
      </c>
      <c r="T2440">
        <v>593634</v>
      </c>
      <c r="U2440" t="s">
        <v>2436</v>
      </c>
      <c r="V2440" t="s">
        <v>2437</v>
      </c>
      <c r="W2440" t="s">
        <v>187</v>
      </c>
      <c r="Y2440" t="s">
        <v>51</v>
      </c>
      <c r="Z2440">
        <v>1902</v>
      </c>
      <c r="AH2440">
        <v>0</v>
      </c>
      <c r="AI2440">
        <v>202506</v>
      </c>
      <c r="AJ2440" t="s">
        <v>86</v>
      </c>
      <c r="AK2440">
        <v>1</v>
      </c>
      <c r="AL2440">
        <v>1</v>
      </c>
      <c r="AO2440">
        <v>0</v>
      </c>
      <c r="AP2440" t="s">
        <v>3015</v>
      </c>
      <c r="AQ2440" t="s">
        <v>3044</v>
      </c>
      <c r="AR2440" t="s">
        <v>3045</v>
      </c>
      <c r="AS2440" t="s">
        <v>3046</v>
      </c>
      <c r="AU2440" t="s">
        <v>3046</v>
      </c>
    </row>
    <row r="2441" spans="1:47" x14ac:dyDescent="0.35">
      <c r="A2441">
        <v>360457</v>
      </c>
      <c r="B2441" t="s">
        <v>172</v>
      </c>
      <c r="C2441" t="s">
        <v>173</v>
      </c>
      <c r="D2441" s="2">
        <v>45833</v>
      </c>
      <c r="E2441">
        <v>53850</v>
      </c>
      <c r="F2441">
        <v>171</v>
      </c>
      <c r="G2441" t="s">
        <v>198</v>
      </c>
      <c r="H2441" t="s">
        <v>167</v>
      </c>
      <c r="I2441" t="s">
        <v>45</v>
      </c>
      <c r="K2441" t="s">
        <v>2430</v>
      </c>
      <c r="L2441">
        <v>1713302214147</v>
      </c>
      <c r="M2441">
        <v>20250624</v>
      </c>
      <c r="N2441" t="s">
        <v>195</v>
      </c>
      <c r="Q2441" t="s">
        <v>47</v>
      </c>
      <c r="R2441">
        <v>108945.1</v>
      </c>
      <c r="S2441">
        <v>108945.1</v>
      </c>
      <c r="T2441">
        <v>4199319</v>
      </c>
      <c r="U2441">
        <v>6037810725</v>
      </c>
      <c r="V2441" t="s">
        <v>1144</v>
      </c>
      <c r="W2441" t="s">
        <v>49</v>
      </c>
      <c r="X2441" t="s">
        <v>200</v>
      </c>
      <c r="Y2441" t="s">
        <v>51</v>
      </c>
      <c r="Z2441">
        <v>1903</v>
      </c>
      <c r="AH2441">
        <v>0</v>
      </c>
      <c r="AI2441">
        <v>202506</v>
      </c>
      <c r="AJ2441" t="s">
        <v>86</v>
      </c>
      <c r="AK2441">
        <v>1</v>
      </c>
      <c r="AL2441">
        <v>1</v>
      </c>
      <c r="AM2441">
        <v>4199319</v>
      </c>
      <c r="AN2441">
        <v>1</v>
      </c>
      <c r="AO2441">
        <v>0</v>
      </c>
      <c r="AP2441" t="s">
        <v>3015</v>
      </c>
      <c r="AQ2441" t="s">
        <v>3012</v>
      </c>
      <c r="AR2441" t="s">
        <v>3016</v>
      </c>
      <c r="AT2441" t="s">
        <v>3017</v>
      </c>
      <c r="AU2441" t="s">
        <v>3018</v>
      </c>
    </row>
    <row r="2442" spans="1:47" x14ac:dyDescent="0.35">
      <c r="A2442">
        <v>360456</v>
      </c>
      <c r="B2442" t="s">
        <v>214</v>
      </c>
      <c r="C2442" t="s">
        <v>215</v>
      </c>
      <c r="D2442" s="2">
        <v>45833</v>
      </c>
      <c r="E2442">
        <v>53850</v>
      </c>
      <c r="F2442">
        <v>268</v>
      </c>
      <c r="G2442" t="s">
        <v>83</v>
      </c>
      <c r="H2442" t="s">
        <v>167</v>
      </c>
      <c r="I2442" t="s">
        <v>45</v>
      </c>
      <c r="K2442">
        <v>202506248120482</v>
      </c>
      <c r="L2442">
        <v>2683300003688</v>
      </c>
      <c r="M2442">
        <v>20250624</v>
      </c>
      <c r="N2442" t="s">
        <v>168</v>
      </c>
      <c r="P2442" t="s">
        <v>217</v>
      </c>
      <c r="Q2442" t="s">
        <v>47</v>
      </c>
      <c r="R2442">
        <v>15000</v>
      </c>
      <c r="S2442">
        <v>0</v>
      </c>
      <c r="T2442">
        <v>1626577</v>
      </c>
      <c r="U2442" t="s">
        <v>2438</v>
      </c>
      <c r="V2442" t="s">
        <v>2439</v>
      </c>
      <c r="W2442" t="s">
        <v>187</v>
      </c>
      <c r="Y2442" t="s">
        <v>51</v>
      </c>
      <c r="Z2442">
        <v>1832</v>
      </c>
      <c r="AH2442">
        <v>0</v>
      </c>
      <c r="AI2442">
        <v>202506</v>
      </c>
      <c r="AJ2442" t="s">
        <v>86</v>
      </c>
      <c r="AK2442">
        <v>1</v>
      </c>
      <c r="AL2442">
        <v>1</v>
      </c>
      <c r="AO2442">
        <v>0</v>
      </c>
      <c r="AP2442" t="s">
        <v>3015</v>
      </c>
      <c r="AQ2442" t="s">
        <v>3044</v>
      </c>
      <c r="AR2442" t="s">
        <v>3045</v>
      </c>
      <c r="AS2442" t="s">
        <v>3046</v>
      </c>
      <c r="AU2442" t="s">
        <v>3046</v>
      </c>
    </row>
    <row r="2443" spans="1:47" x14ac:dyDescent="0.35">
      <c r="A2443">
        <v>360455</v>
      </c>
      <c r="B2443" t="s">
        <v>178</v>
      </c>
      <c r="C2443" t="s">
        <v>179</v>
      </c>
      <c r="D2443" s="2">
        <v>45833</v>
      </c>
      <c r="E2443">
        <v>53850</v>
      </c>
      <c r="F2443">
        <v>282</v>
      </c>
      <c r="G2443" t="s">
        <v>433</v>
      </c>
      <c r="H2443" t="s">
        <v>167</v>
      </c>
      <c r="I2443" t="s">
        <v>45</v>
      </c>
      <c r="K2443">
        <v>202506248122205</v>
      </c>
      <c r="L2443">
        <v>2823300001940</v>
      </c>
      <c r="M2443">
        <v>20250624</v>
      </c>
      <c r="N2443" t="s">
        <v>344</v>
      </c>
      <c r="Q2443" t="s">
        <v>170</v>
      </c>
      <c r="R2443">
        <v>375000</v>
      </c>
      <c r="S2443">
        <v>0</v>
      </c>
      <c r="T2443">
        <v>1678407</v>
      </c>
      <c r="U2443" t="s">
        <v>2440</v>
      </c>
      <c r="V2443" t="s">
        <v>2441</v>
      </c>
      <c r="W2443" t="s">
        <v>187</v>
      </c>
      <c r="Y2443" t="s">
        <v>51</v>
      </c>
      <c r="Z2443">
        <v>1756</v>
      </c>
      <c r="AH2443">
        <v>0</v>
      </c>
      <c r="AI2443">
        <v>202506</v>
      </c>
      <c r="AJ2443" t="s">
        <v>86</v>
      </c>
      <c r="AK2443">
        <v>1</v>
      </c>
      <c r="AL2443">
        <v>1</v>
      </c>
      <c r="AO2443">
        <v>0</v>
      </c>
      <c r="AP2443" t="s">
        <v>3015</v>
      </c>
      <c r="AQ2443" t="s">
        <v>3044</v>
      </c>
      <c r="AR2443" t="s">
        <v>3045</v>
      </c>
      <c r="AS2443" t="s">
        <v>3046</v>
      </c>
      <c r="AU2443" t="s">
        <v>3046</v>
      </c>
    </row>
    <row r="2444" spans="1:47" x14ac:dyDescent="0.35">
      <c r="A2444">
        <v>360454</v>
      </c>
      <c r="B2444" t="s">
        <v>214</v>
      </c>
      <c r="C2444" t="s">
        <v>215</v>
      </c>
      <c r="D2444" s="2">
        <v>45833</v>
      </c>
      <c r="E2444">
        <v>53850</v>
      </c>
      <c r="F2444">
        <v>268</v>
      </c>
      <c r="G2444" t="s">
        <v>83</v>
      </c>
      <c r="H2444" t="s">
        <v>167</v>
      </c>
      <c r="I2444" t="s">
        <v>45</v>
      </c>
      <c r="K2444">
        <v>202506248120482</v>
      </c>
      <c r="L2444">
        <v>2683300003688</v>
      </c>
      <c r="M2444">
        <v>20250624</v>
      </c>
      <c r="N2444" t="s">
        <v>168</v>
      </c>
      <c r="P2444" t="s">
        <v>217</v>
      </c>
      <c r="Q2444" t="s">
        <v>47</v>
      </c>
      <c r="R2444">
        <v>15000</v>
      </c>
      <c r="S2444">
        <v>0</v>
      </c>
      <c r="T2444">
        <v>1640741</v>
      </c>
      <c r="U2444" t="s">
        <v>2442</v>
      </c>
      <c r="V2444" t="s">
        <v>2443</v>
      </c>
      <c r="W2444" t="s">
        <v>187</v>
      </c>
      <c r="Y2444" t="s">
        <v>51</v>
      </c>
      <c r="Z2444">
        <v>1870</v>
      </c>
      <c r="AH2444">
        <v>0</v>
      </c>
      <c r="AI2444">
        <v>202506</v>
      </c>
      <c r="AJ2444" t="s">
        <v>86</v>
      </c>
      <c r="AK2444">
        <v>1</v>
      </c>
      <c r="AL2444">
        <v>1</v>
      </c>
      <c r="AO2444">
        <v>0</v>
      </c>
      <c r="AP2444" t="s">
        <v>3015</v>
      </c>
      <c r="AQ2444" t="s">
        <v>3044</v>
      </c>
      <c r="AR2444" t="s">
        <v>3045</v>
      </c>
      <c r="AS2444" t="s">
        <v>3046</v>
      </c>
      <c r="AU2444" t="s">
        <v>3046</v>
      </c>
    </row>
    <row r="2445" spans="1:47" x14ac:dyDescent="0.35">
      <c r="A2445">
        <v>360453</v>
      </c>
      <c r="B2445" t="s">
        <v>172</v>
      </c>
      <c r="C2445" t="s">
        <v>173</v>
      </c>
      <c r="D2445" s="2">
        <v>45833</v>
      </c>
      <c r="E2445">
        <v>53850</v>
      </c>
      <c r="F2445">
        <v>106</v>
      </c>
      <c r="G2445" t="s">
        <v>291</v>
      </c>
      <c r="H2445" t="s">
        <v>167</v>
      </c>
      <c r="I2445" t="s">
        <v>45</v>
      </c>
      <c r="K2445">
        <v>202506248121789</v>
      </c>
      <c r="L2445">
        <v>1063302770377</v>
      </c>
      <c r="M2445">
        <v>20250624</v>
      </c>
      <c r="N2445" t="s">
        <v>81</v>
      </c>
      <c r="Q2445" t="s">
        <v>47</v>
      </c>
      <c r="R2445">
        <v>200000</v>
      </c>
      <c r="S2445">
        <v>0</v>
      </c>
      <c r="T2445">
        <v>4815714</v>
      </c>
      <c r="U2445" t="s">
        <v>2444</v>
      </c>
      <c r="V2445" t="s">
        <v>2445</v>
      </c>
      <c r="W2445" t="s">
        <v>187</v>
      </c>
      <c r="Y2445" t="s">
        <v>51</v>
      </c>
      <c r="Z2445">
        <v>1464</v>
      </c>
      <c r="AH2445">
        <v>0</v>
      </c>
      <c r="AI2445">
        <v>202506</v>
      </c>
      <c r="AJ2445" t="s">
        <v>86</v>
      </c>
      <c r="AK2445">
        <v>1</v>
      </c>
      <c r="AL2445">
        <v>1</v>
      </c>
      <c r="AO2445">
        <v>0</v>
      </c>
      <c r="AP2445" t="s">
        <v>3015</v>
      </c>
      <c r="AQ2445" t="s">
        <v>3044</v>
      </c>
      <c r="AR2445" t="s">
        <v>3045</v>
      </c>
      <c r="AS2445" t="s">
        <v>3046</v>
      </c>
      <c r="AU2445" t="s">
        <v>3046</v>
      </c>
    </row>
    <row r="2446" spans="1:47" x14ac:dyDescent="0.35">
      <c r="A2446">
        <v>360452</v>
      </c>
      <c r="B2446" t="s">
        <v>333</v>
      </c>
      <c r="C2446" t="s">
        <v>334</v>
      </c>
      <c r="D2446" s="2">
        <v>45833</v>
      </c>
      <c r="E2446">
        <v>53850</v>
      </c>
      <c r="F2446">
        <v>154</v>
      </c>
      <c r="G2446" t="s">
        <v>53</v>
      </c>
      <c r="H2446" t="s">
        <v>167</v>
      </c>
      <c r="I2446" t="s">
        <v>45</v>
      </c>
      <c r="K2446">
        <v>202506248121946</v>
      </c>
      <c r="M2446">
        <v>20250624</v>
      </c>
      <c r="N2446" t="s">
        <v>515</v>
      </c>
      <c r="Q2446" t="s">
        <v>170</v>
      </c>
      <c r="R2446">
        <v>124095.27</v>
      </c>
      <c r="S2446">
        <v>0</v>
      </c>
      <c r="T2446">
        <v>4837667</v>
      </c>
      <c r="U2446" t="s">
        <v>516</v>
      </c>
      <c r="V2446" t="s">
        <v>517</v>
      </c>
      <c r="W2446" t="s">
        <v>187</v>
      </c>
      <c r="Y2446" t="s">
        <v>51</v>
      </c>
      <c r="AH2446">
        <v>0</v>
      </c>
      <c r="AI2446">
        <v>202506</v>
      </c>
      <c r="AL2446">
        <v>0</v>
      </c>
      <c r="AO2446">
        <v>0</v>
      </c>
      <c r="AP2446" t="s">
        <v>3015</v>
      </c>
      <c r="AQ2446" t="s">
        <v>3044</v>
      </c>
      <c r="AR2446" t="s">
        <v>3045</v>
      </c>
      <c r="AS2446" t="s">
        <v>3046</v>
      </c>
      <c r="AU2446" t="s">
        <v>3046</v>
      </c>
    </row>
    <row r="2447" spans="1:47" x14ac:dyDescent="0.35">
      <c r="A2447">
        <v>360451</v>
      </c>
      <c r="B2447" t="s">
        <v>193</v>
      </c>
      <c r="C2447" t="s">
        <v>194</v>
      </c>
      <c r="D2447" s="2">
        <v>45833</v>
      </c>
      <c r="E2447">
        <v>53850</v>
      </c>
      <c r="F2447">
        <v>170</v>
      </c>
      <c r="G2447" t="s">
        <v>211</v>
      </c>
      <c r="H2447" t="s">
        <v>167</v>
      </c>
      <c r="I2447" t="s">
        <v>45</v>
      </c>
      <c r="K2447">
        <v>202506248121991</v>
      </c>
      <c r="L2447">
        <v>1703306287999</v>
      </c>
      <c r="M2447">
        <v>20250624</v>
      </c>
      <c r="N2447" t="s">
        <v>266</v>
      </c>
      <c r="Q2447" t="s">
        <v>47</v>
      </c>
      <c r="R2447">
        <v>42300</v>
      </c>
      <c r="S2447">
        <v>42300</v>
      </c>
      <c r="T2447">
        <v>4737963</v>
      </c>
      <c r="U2447" t="s">
        <v>2446</v>
      </c>
      <c r="V2447" t="s">
        <v>2447</v>
      </c>
      <c r="W2447" t="s">
        <v>187</v>
      </c>
      <c r="Y2447" t="s">
        <v>51</v>
      </c>
      <c r="Z2447">
        <v>1954</v>
      </c>
      <c r="AH2447">
        <v>0</v>
      </c>
      <c r="AI2447">
        <v>202506</v>
      </c>
      <c r="AJ2447" t="s">
        <v>86</v>
      </c>
      <c r="AK2447">
        <v>1</v>
      </c>
      <c r="AL2447">
        <v>1</v>
      </c>
      <c r="AO2447">
        <v>0</v>
      </c>
      <c r="AP2447" t="s">
        <v>3015</v>
      </c>
      <c r="AQ2447" t="s">
        <v>3044</v>
      </c>
      <c r="AR2447" t="s">
        <v>3045</v>
      </c>
      <c r="AS2447" t="s">
        <v>3046</v>
      </c>
      <c r="AU2447" t="s">
        <v>3046</v>
      </c>
    </row>
    <row r="2448" spans="1:47" x14ac:dyDescent="0.35">
      <c r="A2448">
        <v>360450</v>
      </c>
      <c r="B2448" t="s">
        <v>193</v>
      </c>
      <c r="C2448" t="s">
        <v>194</v>
      </c>
      <c r="D2448" s="2">
        <v>45833</v>
      </c>
      <c r="E2448">
        <v>53850</v>
      </c>
      <c r="F2448">
        <v>175</v>
      </c>
      <c r="G2448" t="s">
        <v>99</v>
      </c>
      <c r="H2448" t="s">
        <v>167</v>
      </c>
      <c r="I2448" t="s">
        <v>45</v>
      </c>
      <c r="K2448" t="s">
        <v>2430</v>
      </c>
      <c r="L2448">
        <v>1753302203965</v>
      </c>
      <c r="M2448">
        <v>20250624</v>
      </c>
      <c r="N2448" t="s">
        <v>195</v>
      </c>
      <c r="Q2448" t="s">
        <v>47</v>
      </c>
      <c r="R2448">
        <v>29715</v>
      </c>
      <c r="S2448">
        <v>29715</v>
      </c>
      <c r="T2448">
        <v>4932268</v>
      </c>
      <c r="U2448">
        <v>1360580771</v>
      </c>
      <c r="V2448" t="s">
        <v>470</v>
      </c>
      <c r="W2448" t="s">
        <v>49</v>
      </c>
      <c r="X2448" t="s">
        <v>197</v>
      </c>
      <c r="Y2448" t="s">
        <v>51</v>
      </c>
      <c r="Z2448">
        <v>1110</v>
      </c>
      <c r="AH2448">
        <v>0</v>
      </c>
      <c r="AI2448">
        <v>202506</v>
      </c>
      <c r="AJ2448" t="s">
        <v>119</v>
      </c>
      <c r="AK2448">
        <v>1</v>
      </c>
      <c r="AL2448">
        <v>1</v>
      </c>
      <c r="AM2448">
        <v>4932268</v>
      </c>
      <c r="AN2448">
        <v>1</v>
      </c>
      <c r="AO2448">
        <v>0</v>
      </c>
      <c r="AP2448" t="s">
        <v>3050</v>
      </c>
      <c r="AQ2448" t="s">
        <v>3012</v>
      </c>
      <c r="AR2448" t="s">
        <v>3071</v>
      </c>
      <c r="AS2448" t="s">
        <v>3028</v>
      </c>
      <c r="AU2448" t="s">
        <v>3028</v>
      </c>
    </row>
    <row r="2449" spans="1:47" x14ac:dyDescent="0.35">
      <c r="A2449">
        <v>360449</v>
      </c>
      <c r="B2449" t="s">
        <v>172</v>
      </c>
      <c r="C2449" t="s">
        <v>173</v>
      </c>
      <c r="D2449" s="2">
        <v>45833</v>
      </c>
      <c r="E2449">
        <v>53850</v>
      </c>
      <c r="F2449">
        <v>117</v>
      </c>
      <c r="G2449" t="s">
        <v>490</v>
      </c>
      <c r="H2449" t="s">
        <v>167</v>
      </c>
      <c r="I2449" t="s">
        <v>45</v>
      </c>
      <c r="K2449">
        <v>202506248121855</v>
      </c>
      <c r="L2449">
        <v>1173300536399</v>
      </c>
      <c r="M2449">
        <v>20250624</v>
      </c>
      <c r="N2449" t="s">
        <v>81</v>
      </c>
      <c r="Q2449" t="s">
        <v>47</v>
      </c>
      <c r="R2449">
        <v>105448.61</v>
      </c>
      <c r="S2449">
        <v>0</v>
      </c>
      <c r="T2449">
        <v>765950</v>
      </c>
      <c r="U2449" t="s">
        <v>2448</v>
      </c>
      <c r="V2449" t="s">
        <v>2449</v>
      </c>
      <c r="W2449" t="s">
        <v>69</v>
      </c>
      <c r="X2449" t="s">
        <v>595</v>
      </c>
      <c r="Y2449" t="s">
        <v>51</v>
      </c>
      <c r="Z2449">
        <v>1772</v>
      </c>
      <c r="AH2449">
        <v>0</v>
      </c>
      <c r="AI2449">
        <v>202506</v>
      </c>
      <c r="AJ2449" t="s">
        <v>86</v>
      </c>
      <c r="AK2449">
        <v>1</v>
      </c>
      <c r="AL2449">
        <v>1</v>
      </c>
      <c r="AO2449">
        <v>0</v>
      </c>
      <c r="AP2449" t="s">
        <v>3015</v>
      </c>
      <c r="AQ2449" t="s">
        <v>3021</v>
      </c>
      <c r="AR2449" t="s">
        <v>3022</v>
      </c>
      <c r="AT2449" t="s">
        <v>3017</v>
      </c>
      <c r="AU2449" t="s">
        <v>3014</v>
      </c>
    </row>
    <row r="2450" spans="1:47" x14ac:dyDescent="0.35">
      <c r="A2450">
        <v>360448</v>
      </c>
      <c r="B2450" t="s">
        <v>172</v>
      </c>
      <c r="C2450" t="s">
        <v>173</v>
      </c>
      <c r="D2450" s="2">
        <v>45833</v>
      </c>
      <c r="E2450">
        <v>53850</v>
      </c>
      <c r="F2450">
        <v>106</v>
      </c>
      <c r="G2450" t="s">
        <v>291</v>
      </c>
      <c r="H2450" t="s">
        <v>167</v>
      </c>
      <c r="I2450" t="s">
        <v>45</v>
      </c>
      <c r="K2450">
        <v>202506248121789</v>
      </c>
      <c r="L2450">
        <v>1063302770377</v>
      </c>
      <c r="M2450">
        <v>20250624</v>
      </c>
      <c r="N2450" t="s">
        <v>81</v>
      </c>
      <c r="Q2450" t="s">
        <v>47</v>
      </c>
      <c r="R2450">
        <v>200000</v>
      </c>
      <c r="S2450">
        <v>0</v>
      </c>
      <c r="T2450">
        <v>397027</v>
      </c>
      <c r="U2450" t="s">
        <v>2450</v>
      </c>
      <c r="V2450" t="s">
        <v>2451</v>
      </c>
      <c r="W2450" t="s">
        <v>187</v>
      </c>
      <c r="Y2450" t="s">
        <v>51</v>
      </c>
      <c r="Z2450">
        <v>1464</v>
      </c>
      <c r="AH2450">
        <v>0</v>
      </c>
      <c r="AI2450">
        <v>202506</v>
      </c>
      <c r="AJ2450" t="s">
        <v>86</v>
      </c>
      <c r="AK2450">
        <v>1</v>
      </c>
      <c r="AL2450">
        <v>1</v>
      </c>
      <c r="AO2450">
        <v>0</v>
      </c>
      <c r="AP2450" t="s">
        <v>3015</v>
      </c>
      <c r="AQ2450" t="s">
        <v>3044</v>
      </c>
      <c r="AR2450" t="s">
        <v>3045</v>
      </c>
      <c r="AS2450" t="s">
        <v>3046</v>
      </c>
      <c r="AU2450" t="s">
        <v>3046</v>
      </c>
    </row>
    <row r="2451" spans="1:47" x14ac:dyDescent="0.35">
      <c r="A2451">
        <v>360447</v>
      </c>
      <c r="B2451" t="s">
        <v>178</v>
      </c>
      <c r="C2451" t="s">
        <v>179</v>
      </c>
      <c r="D2451" s="2">
        <v>45833</v>
      </c>
      <c r="E2451">
        <v>53850</v>
      </c>
      <c r="F2451">
        <v>114</v>
      </c>
      <c r="G2451" t="s">
        <v>188</v>
      </c>
      <c r="H2451" t="s">
        <v>167</v>
      </c>
      <c r="I2451" t="s">
        <v>45</v>
      </c>
      <c r="K2451" t="s">
        <v>2452</v>
      </c>
      <c r="L2451">
        <v>1143306285236</v>
      </c>
      <c r="M2451">
        <v>20250624</v>
      </c>
      <c r="N2451" t="s">
        <v>3136</v>
      </c>
      <c r="Q2451" t="s">
        <v>170</v>
      </c>
      <c r="R2451">
        <v>2061.9499999999998</v>
      </c>
      <c r="S2451">
        <v>0</v>
      </c>
      <c r="T2451">
        <v>3742678</v>
      </c>
      <c r="U2451">
        <v>3261830719</v>
      </c>
      <c r="V2451" t="s">
        <v>2453</v>
      </c>
      <c r="W2451" t="s">
        <v>332</v>
      </c>
      <c r="X2451" t="s">
        <v>413</v>
      </c>
      <c r="Y2451" t="s">
        <v>51</v>
      </c>
      <c r="AH2451">
        <v>0</v>
      </c>
      <c r="AI2451">
        <v>202506</v>
      </c>
      <c r="AJ2451" t="s">
        <v>52</v>
      </c>
      <c r="AK2451">
        <v>0</v>
      </c>
      <c r="AL2451">
        <v>1</v>
      </c>
      <c r="AO2451">
        <v>1</v>
      </c>
      <c r="AP2451" t="s">
        <v>3015</v>
      </c>
      <c r="AQ2451" t="s">
        <v>3058</v>
      </c>
      <c r="AR2451" t="s">
        <v>3059</v>
      </c>
      <c r="AT2451" t="s">
        <v>3017</v>
      </c>
      <c r="AU2451" t="s">
        <v>3014</v>
      </c>
    </row>
    <row r="2452" spans="1:47" x14ac:dyDescent="0.35">
      <c r="A2452">
        <v>360446</v>
      </c>
      <c r="B2452" t="s">
        <v>193</v>
      </c>
      <c r="C2452" t="s">
        <v>194</v>
      </c>
      <c r="D2452" s="2">
        <v>45833</v>
      </c>
      <c r="E2452">
        <v>53850</v>
      </c>
      <c r="F2452">
        <v>181</v>
      </c>
      <c r="G2452" t="s">
        <v>180</v>
      </c>
      <c r="H2452" t="s">
        <v>167</v>
      </c>
      <c r="I2452" t="s">
        <v>45</v>
      </c>
      <c r="K2452">
        <v>202506248122040</v>
      </c>
      <c r="L2452">
        <v>1813301029924</v>
      </c>
      <c r="M2452">
        <v>20250624</v>
      </c>
      <c r="N2452" t="s">
        <v>266</v>
      </c>
      <c r="Q2452" t="s">
        <v>47</v>
      </c>
      <c r="R2452">
        <v>34545</v>
      </c>
      <c r="S2452">
        <v>34545</v>
      </c>
      <c r="T2452">
        <v>4948468</v>
      </c>
      <c r="U2452" t="s">
        <v>422</v>
      </c>
      <c r="V2452" t="s">
        <v>423</v>
      </c>
      <c r="W2452" t="s">
        <v>69</v>
      </c>
      <c r="X2452" t="s">
        <v>55</v>
      </c>
      <c r="Y2452" t="s">
        <v>51</v>
      </c>
      <c r="Z2452">
        <v>1943</v>
      </c>
      <c r="AH2452">
        <v>0</v>
      </c>
      <c r="AI2452">
        <v>202506</v>
      </c>
      <c r="AJ2452" t="s">
        <v>119</v>
      </c>
      <c r="AK2452">
        <v>1</v>
      </c>
      <c r="AL2452">
        <v>1</v>
      </c>
      <c r="AM2452">
        <v>4948468</v>
      </c>
      <c r="AN2452">
        <v>1</v>
      </c>
      <c r="AO2452">
        <v>0</v>
      </c>
      <c r="AP2452" t="s">
        <v>3015</v>
      </c>
      <c r="AQ2452" t="s">
        <v>3021</v>
      </c>
      <c r="AR2452" t="s">
        <v>3022</v>
      </c>
      <c r="AT2452" t="s">
        <v>3017</v>
      </c>
      <c r="AU2452" t="s">
        <v>3014</v>
      </c>
    </row>
    <row r="2453" spans="1:47" x14ac:dyDescent="0.35">
      <c r="A2453">
        <v>360445</v>
      </c>
      <c r="B2453" t="s">
        <v>193</v>
      </c>
      <c r="C2453" t="s">
        <v>194</v>
      </c>
      <c r="D2453" s="2">
        <v>45833</v>
      </c>
      <c r="E2453">
        <v>53850</v>
      </c>
      <c r="F2453">
        <v>108</v>
      </c>
      <c r="G2453" t="s">
        <v>124</v>
      </c>
      <c r="H2453" t="s">
        <v>167</v>
      </c>
      <c r="I2453" t="s">
        <v>45</v>
      </c>
      <c r="K2453">
        <v>202506248121797</v>
      </c>
      <c r="L2453">
        <v>1083306291105</v>
      </c>
      <c r="M2453">
        <v>20250624</v>
      </c>
      <c r="N2453" t="s">
        <v>266</v>
      </c>
      <c r="Q2453" t="s">
        <v>47</v>
      </c>
      <c r="R2453">
        <v>98953.9</v>
      </c>
      <c r="S2453">
        <v>98953.9</v>
      </c>
      <c r="T2453">
        <v>4227057</v>
      </c>
      <c r="U2453">
        <v>4874620729</v>
      </c>
      <c r="V2453" t="s">
        <v>250</v>
      </c>
      <c r="W2453" t="s">
        <v>49</v>
      </c>
      <c r="X2453" t="s">
        <v>62</v>
      </c>
      <c r="Y2453" t="s">
        <v>51</v>
      </c>
      <c r="Z2453">
        <v>1058</v>
      </c>
      <c r="AH2453">
        <v>0</v>
      </c>
      <c r="AI2453">
        <v>202506</v>
      </c>
      <c r="AJ2453" t="s">
        <v>119</v>
      </c>
      <c r="AK2453">
        <v>1</v>
      </c>
      <c r="AL2453">
        <v>1</v>
      </c>
      <c r="AM2453">
        <v>4227057</v>
      </c>
      <c r="AN2453">
        <v>1</v>
      </c>
      <c r="AO2453">
        <v>0</v>
      </c>
      <c r="AP2453" t="s">
        <v>3015</v>
      </c>
      <c r="AQ2453" t="s">
        <v>3012</v>
      </c>
      <c r="AR2453" t="s">
        <v>3016</v>
      </c>
      <c r="AT2453" t="s">
        <v>3017</v>
      </c>
      <c r="AU2453" t="s">
        <v>3018</v>
      </c>
    </row>
    <row r="2454" spans="1:47" x14ac:dyDescent="0.35">
      <c r="A2454">
        <v>360444</v>
      </c>
      <c r="B2454" t="s">
        <v>193</v>
      </c>
      <c r="C2454" t="s">
        <v>194</v>
      </c>
      <c r="D2454" s="2">
        <v>45833</v>
      </c>
      <c r="E2454">
        <v>53850</v>
      </c>
      <c r="F2454">
        <v>135</v>
      </c>
      <c r="G2454" t="s">
        <v>1349</v>
      </c>
      <c r="H2454" t="s">
        <v>167</v>
      </c>
      <c r="I2454" t="s">
        <v>45</v>
      </c>
      <c r="K2454" t="s">
        <v>2430</v>
      </c>
      <c r="L2454">
        <v>1923300036309</v>
      </c>
      <c r="M2454">
        <v>20250624</v>
      </c>
      <c r="N2454" t="s">
        <v>266</v>
      </c>
      <c r="Q2454" t="s">
        <v>47</v>
      </c>
      <c r="R2454">
        <v>35053.050000000003</v>
      </c>
      <c r="S2454">
        <v>35053.050000000003</v>
      </c>
      <c r="T2454">
        <v>3732862</v>
      </c>
      <c r="U2454">
        <v>239870686</v>
      </c>
      <c r="V2454" t="s">
        <v>1350</v>
      </c>
      <c r="W2454" t="s">
        <v>49</v>
      </c>
      <c r="X2454" t="s">
        <v>131</v>
      </c>
      <c r="Y2454" t="s">
        <v>51</v>
      </c>
      <c r="AH2454">
        <v>0</v>
      </c>
      <c r="AI2454">
        <v>202506</v>
      </c>
      <c r="AJ2454" t="s">
        <v>114</v>
      </c>
      <c r="AK2454">
        <v>1</v>
      </c>
      <c r="AL2454">
        <v>1</v>
      </c>
      <c r="AM2454">
        <v>3732862</v>
      </c>
      <c r="AN2454">
        <v>1</v>
      </c>
      <c r="AO2454">
        <v>0</v>
      </c>
      <c r="AP2454" t="s">
        <v>3033</v>
      </c>
      <c r="AQ2454" t="s">
        <v>3012</v>
      </c>
      <c r="AR2454" t="s">
        <v>3034</v>
      </c>
      <c r="AS2454" t="s">
        <v>3014</v>
      </c>
      <c r="AU2454" t="s">
        <v>3014</v>
      </c>
    </row>
    <row r="2455" spans="1:47" x14ac:dyDescent="0.35">
      <c r="A2455">
        <v>360443</v>
      </c>
      <c r="B2455" t="s">
        <v>193</v>
      </c>
      <c r="C2455" t="s">
        <v>194</v>
      </c>
      <c r="D2455" s="2">
        <v>45833</v>
      </c>
      <c r="E2455">
        <v>53850</v>
      </c>
      <c r="F2455">
        <v>171</v>
      </c>
      <c r="G2455" t="s">
        <v>198</v>
      </c>
      <c r="H2455" t="s">
        <v>167</v>
      </c>
      <c r="I2455" t="s">
        <v>45</v>
      </c>
      <c r="K2455" t="s">
        <v>2430</v>
      </c>
      <c r="L2455">
        <v>1713305728950</v>
      </c>
      <c r="M2455">
        <v>20250624</v>
      </c>
      <c r="N2455" t="s">
        <v>195</v>
      </c>
      <c r="Q2455" t="s">
        <v>47</v>
      </c>
      <c r="R2455">
        <v>240409.60000000001</v>
      </c>
      <c r="S2455">
        <v>240409.60000000001</v>
      </c>
      <c r="T2455">
        <v>572895</v>
      </c>
      <c r="U2455">
        <v>4161600723</v>
      </c>
      <c r="V2455" t="s">
        <v>199</v>
      </c>
      <c r="W2455" t="s">
        <v>49</v>
      </c>
      <c r="X2455" t="s">
        <v>200</v>
      </c>
      <c r="Y2455" t="s">
        <v>51</v>
      </c>
      <c r="Z2455">
        <v>1903</v>
      </c>
      <c r="AH2455">
        <v>0</v>
      </c>
      <c r="AI2455">
        <v>202506</v>
      </c>
      <c r="AJ2455" t="s">
        <v>119</v>
      </c>
      <c r="AK2455">
        <v>1</v>
      </c>
      <c r="AL2455">
        <v>1</v>
      </c>
      <c r="AM2455">
        <v>572895</v>
      </c>
      <c r="AN2455">
        <v>1</v>
      </c>
      <c r="AO2455">
        <v>0</v>
      </c>
      <c r="AP2455" t="s">
        <v>3015</v>
      </c>
      <c r="AQ2455" t="s">
        <v>3012</v>
      </c>
      <c r="AR2455" t="s">
        <v>3016</v>
      </c>
      <c r="AT2455" t="s">
        <v>3017</v>
      </c>
      <c r="AU2455" t="s">
        <v>3018</v>
      </c>
    </row>
    <row r="2456" spans="1:47" x14ac:dyDescent="0.35">
      <c r="A2456">
        <v>360442</v>
      </c>
      <c r="B2456" t="s">
        <v>178</v>
      </c>
      <c r="C2456" t="s">
        <v>179</v>
      </c>
      <c r="D2456" s="2">
        <v>45833</v>
      </c>
      <c r="E2456">
        <v>53850</v>
      </c>
      <c r="F2456">
        <v>102</v>
      </c>
      <c r="G2456" t="s">
        <v>151</v>
      </c>
      <c r="H2456" t="s">
        <v>167</v>
      </c>
      <c r="I2456" t="s">
        <v>45</v>
      </c>
      <c r="K2456">
        <v>202506248120407</v>
      </c>
      <c r="L2456">
        <v>1023308719030</v>
      </c>
      <c r="M2456">
        <v>20250624</v>
      </c>
      <c r="N2456" t="s">
        <v>46</v>
      </c>
      <c r="P2456" t="s">
        <v>51</v>
      </c>
      <c r="Q2456" t="s">
        <v>47</v>
      </c>
      <c r="R2456">
        <v>3752113</v>
      </c>
      <c r="S2456">
        <v>0</v>
      </c>
      <c r="T2456">
        <v>4414552</v>
      </c>
      <c r="U2456">
        <v>6605700720</v>
      </c>
      <c r="V2456" t="s">
        <v>2454</v>
      </c>
      <c r="W2456" t="s">
        <v>49</v>
      </c>
      <c r="X2456" t="s">
        <v>364</v>
      </c>
      <c r="Y2456" t="s">
        <v>51</v>
      </c>
      <c r="Z2456">
        <v>739</v>
      </c>
      <c r="AH2456">
        <v>0</v>
      </c>
      <c r="AI2456">
        <v>202506</v>
      </c>
      <c r="AJ2456" t="s">
        <v>56</v>
      </c>
      <c r="AK2456">
        <v>0</v>
      </c>
      <c r="AL2456">
        <v>1</v>
      </c>
      <c r="AO2456">
        <v>0</v>
      </c>
      <c r="AP2456" t="s">
        <v>3062</v>
      </c>
      <c r="AQ2456" t="s">
        <v>3012</v>
      </c>
      <c r="AR2456" t="s">
        <v>3063</v>
      </c>
      <c r="AS2456" t="s">
        <v>3014</v>
      </c>
      <c r="AU2456" t="s">
        <v>3014</v>
      </c>
    </row>
    <row r="2457" spans="1:47" x14ac:dyDescent="0.35">
      <c r="A2457">
        <v>360441</v>
      </c>
      <c r="B2457" t="s">
        <v>178</v>
      </c>
      <c r="C2457" t="s">
        <v>179</v>
      </c>
      <c r="D2457" s="2">
        <v>45833</v>
      </c>
      <c r="E2457">
        <v>53850</v>
      </c>
      <c r="F2457">
        <v>147</v>
      </c>
      <c r="G2457" t="s">
        <v>771</v>
      </c>
      <c r="H2457" t="s">
        <v>167</v>
      </c>
      <c r="I2457" t="s">
        <v>45</v>
      </c>
      <c r="K2457">
        <v>202506248121918</v>
      </c>
      <c r="L2457">
        <v>1473300000701</v>
      </c>
      <c r="M2457">
        <v>20250624</v>
      </c>
      <c r="N2457" t="s">
        <v>236</v>
      </c>
      <c r="P2457" t="s">
        <v>51</v>
      </c>
      <c r="Q2457" t="s">
        <v>170</v>
      </c>
      <c r="R2457">
        <v>500000</v>
      </c>
      <c r="S2457">
        <v>0</v>
      </c>
      <c r="T2457">
        <v>4329128</v>
      </c>
      <c r="U2457" t="s">
        <v>2455</v>
      </c>
      <c r="V2457" t="s">
        <v>2456</v>
      </c>
      <c r="W2457" t="s">
        <v>187</v>
      </c>
      <c r="Y2457" t="s">
        <v>51</v>
      </c>
      <c r="Z2457">
        <v>1428</v>
      </c>
      <c r="AH2457">
        <v>0</v>
      </c>
      <c r="AI2457">
        <v>202506</v>
      </c>
      <c r="AJ2457" t="s">
        <v>86</v>
      </c>
      <c r="AK2457">
        <v>1</v>
      </c>
      <c r="AL2457">
        <v>1</v>
      </c>
      <c r="AO2457">
        <v>0</v>
      </c>
      <c r="AP2457" t="s">
        <v>3015</v>
      </c>
      <c r="AQ2457" t="s">
        <v>3044</v>
      </c>
      <c r="AR2457" t="s">
        <v>3045</v>
      </c>
      <c r="AS2457" t="s">
        <v>3046</v>
      </c>
      <c r="AU2457" t="s">
        <v>3046</v>
      </c>
    </row>
    <row r="2458" spans="1:47" x14ac:dyDescent="0.35">
      <c r="A2458">
        <v>360440</v>
      </c>
      <c r="B2458" t="s">
        <v>178</v>
      </c>
      <c r="C2458" t="s">
        <v>179</v>
      </c>
      <c r="D2458" s="2">
        <v>45833</v>
      </c>
      <c r="E2458">
        <v>53850</v>
      </c>
      <c r="F2458">
        <v>109</v>
      </c>
      <c r="G2458" t="s">
        <v>89</v>
      </c>
      <c r="H2458" t="s">
        <v>167</v>
      </c>
      <c r="I2458" t="s">
        <v>45</v>
      </c>
      <c r="K2458" t="s">
        <v>2431</v>
      </c>
      <c r="L2458">
        <v>1093306671600</v>
      </c>
      <c r="M2458">
        <v>20250624</v>
      </c>
      <c r="N2458" t="s">
        <v>3136</v>
      </c>
      <c r="Q2458" t="s">
        <v>170</v>
      </c>
      <c r="R2458">
        <v>4104.33</v>
      </c>
      <c r="S2458">
        <v>0</v>
      </c>
      <c r="T2458">
        <v>4482499</v>
      </c>
      <c r="U2458" t="s">
        <v>2457</v>
      </c>
      <c r="V2458" t="s">
        <v>2458</v>
      </c>
      <c r="W2458" t="s">
        <v>187</v>
      </c>
      <c r="Y2458" t="s">
        <v>51</v>
      </c>
      <c r="Z2458">
        <v>1430</v>
      </c>
      <c r="AH2458">
        <v>0</v>
      </c>
      <c r="AI2458">
        <v>202506</v>
      </c>
      <c r="AJ2458" t="s">
        <v>86</v>
      </c>
      <c r="AK2458">
        <v>1</v>
      </c>
      <c r="AL2458">
        <v>1</v>
      </c>
      <c r="AO2458">
        <v>1</v>
      </c>
      <c r="AP2458" t="s">
        <v>3015</v>
      </c>
      <c r="AQ2458" t="s">
        <v>3044</v>
      </c>
      <c r="AR2458" t="s">
        <v>3045</v>
      </c>
      <c r="AS2458" t="s">
        <v>3046</v>
      </c>
      <c r="AU2458" t="s">
        <v>3046</v>
      </c>
    </row>
    <row r="2459" spans="1:47" x14ac:dyDescent="0.35">
      <c r="A2459">
        <v>360439</v>
      </c>
      <c r="B2459" t="s">
        <v>178</v>
      </c>
      <c r="C2459" t="s">
        <v>179</v>
      </c>
      <c r="D2459" s="2">
        <v>45833</v>
      </c>
      <c r="E2459">
        <v>53850</v>
      </c>
      <c r="F2459">
        <v>147</v>
      </c>
      <c r="G2459" t="s">
        <v>771</v>
      </c>
      <c r="H2459" t="s">
        <v>167</v>
      </c>
      <c r="I2459" t="s">
        <v>45</v>
      </c>
      <c r="K2459">
        <v>202506248121918</v>
      </c>
      <c r="L2459">
        <v>1473300000701</v>
      </c>
      <c r="M2459">
        <v>20250624</v>
      </c>
      <c r="N2459" t="s">
        <v>236</v>
      </c>
      <c r="P2459" t="s">
        <v>51</v>
      </c>
      <c r="Q2459" t="s">
        <v>170</v>
      </c>
      <c r="R2459">
        <v>500000</v>
      </c>
      <c r="S2459">
        <v>0</v>
      </c>
      <c r="T2459">
        <v>4329168</v>
      </c>
      <c r="U2459" t="s">
        <v>2459</v>
      </c>
      <c r="V2459" t="s">
        <v>2460</v>
      </c>
      <c r="W2459" t="s">
        <v>187</v>
      </c>
      <c r="Y2459" t="s">
        <v>51</v>
      </c>
      <c r="Z2459">
        <v>1428</v>
      </c>
      <c r="AH2459">
        <v>0</v>
      </c>
      <c r="AI2459">
        <v>202506</v>
      </c>
      <c r="AJ2459" t="s">
        <v>86</v>
      </c>
      <c r="AK2459">
        <v>1</v>
      </c>
      <c r="AL2459">
        <v>1</v>
      </c>
      <c r="AO2459">
        <v>0</v>
      </c>
      <c r="AP2459" t="s">
        <v>3015</v>
      </c>
      <c r="AQ2459" t="s">
        <v>3044</v>
      </c>
      <c r="AR2459" t="s">
        <v>3045</v>
      </c>
      <c r="AS2459" t="s">
        <v>3046</v>
      </c>
      <c r="AU2459" t="s">
        <v>3046</v>
      </c>
    </row>
    <row r="2460" spans="1:47" x14ac:dyDescent="0.35">
      <c r="A2460">
        <v>360438</v>
      </c>
      <c r="B2460" t="s">
        <v>178</v>
      </c>
      <c r="C2460" t="s">
        <v>179</v>
      </c>
      <c r="D2460" s="2">
        <v>45833</v>
      </c>
      <c r="E2460">
        <v>53850</v>
      </c>
      <c r="F2460">
        <v>286</v>
      </c>
      <c r="G2460" t="s">
        <v>408</v>
      </c>
      <c r="H2460" t="s">
        <v>167</v>
      </c>
      <c r="I2460" t="s">
        <v>45</v>
      </c>
      <c r="K2460">
        <v>202506248120648</v>
      </c>
      <c r="L2460">
        <v>2863300013709</v>
      </c>
      <c r="M2460">
        <v>20250624</v>
      </c>
      <c r="N2460" t="s">
        <v>46</v>
      </c>
      <c r="P2460" t="s">
        <v>51</v>
      </c>
      <c r="Q2460" t="s">
        <v>47</v>
      </c>
      <c r="R2460">
        <v>1664495.23</v>
      </c>
      <c r="S2460">
        <v>0</v>
      </c>
      <c r="T2460">
        <v>3740066</v>
      </c>
      <c r="U2460">
        <v>2140150687</v>
      </c>
      <c r="V2460" t="s">
        <v>2461</v>
      </c>
      <c r="W2460" t="s">
        <v>49</v>
      </c>
      <c r="X2460" t="s">
        <v>839</v>
      </c>
      <c r="Y2460" t="s">
        <v>51</v>
      </c>
      <c r="Z2460">
        <v>1877</v>
      </c>
      <c r="AH2460">
        <v>0</v>
      </c>
      <c r="AI2460">
        <v>202506</v>
      </c>
      <c r="AJ2460" t="s">
        <v>119</v>
      </c>
      <c r="AK2460">
        <v>1</v>
      </c>
      <c r="AL2460">
        <v>1</v>
      </c>
      <c r="AO2460">
        <v>0</v>
      </c>
      <c r="AP2460" t="s">
        <v>3015</v>
      </c>
      <c r="AQ2460" t="s">
        <v>3012</v>
      </c>
      <c r="AR2460" t="s">
        <v>3016</v>
      </c>
      <c r="AT2460" t="s">
        <v>3017</v>
      </c>
      <c r="AU2460" t="s">
        <v>3018</v>
      </c>
    </row>
    <row r="2461" spans="1:47" x14ac:dyDescent="0.35">
      <c r="A2461">
        <v>360437</v>
      </c>
      <c r="B2461" t="s">
        <v>178</v>
      </c>
      <c r="C2461" t="s">
        <v>179</v>
      </c>
      <c r="D2461" s="2">
        <v>45833</v>
      </c>
      <c r="E2461">
        <v>53850</v>
      </c>
      <c r="F2461">
        <v>105</v>
      </c>
      <c r="G2461" t="s">
        <v>60</v>
      </c>
      <c r="H2461" t="s">
        <v>167</v>
      </c>
      <c r="I2461" t="s">
        <v>45</v>
      </c>
      <c r="K2461">
        <v>202506248119433</v>
      </c>
      <c r="L2461">
        <v>1053306287103</v>
      </c>
      <c r="M2461">
        <v>20250624</v>
      </c>
      <c r="N2461" t="s">
        <v>236</v>
      </c>
      <c r="P2461" t="s">
        <v>51</v>
      </c>
      <c r="Q2461" t="s">
        <v>170</v>
      </c>
      <c r="R2461">
        <v>1700000</v>
      </c>
      <c r="S2461">
        <v>0</v>
      </c>
      <c r="T2461">
        <v>4263360</v>
      </c>
      <c r="U2461">
        <v>5982300724</v>
      </c>
      <c r="V2461" t="s">
        <v>61</v>
      </c>
      <c r="W2461" t="s">
        <v>49</v>
      </c>
      <c r="X2461" t="s">
        <v>62</v>
      </c>
      <c r="Y2461" t="s">
        <v>51</v>
      </c>
      <c r="Z2461">
        <v>1058</v>
      </c>
      <c r="AH2461">
        <v>0</v>
      </c>
      <c r="AI2461">
        <v>202506</v>
      </c>
      <c r="AJ2461" t="s">
        <v>86</v>
      </c>
      <c r="AK2461">
        <v>1</v>
      </c>
      <c r="AL2461">
        <v>1</v>
      </c>
      <c r="AO2461">
        <v>0</v>
      </c>
      <c r="AP2461" t="s">
        <v>3015</v>
      </c>
      <c r="AQ2461" t="s">
        <v>3012</v>
      </c>
      <c r="AR2461" t="s">
        <v>3016</v>
      </c>
      <c r="AT2461" t="s">
        <v>3017</v>
      </c>
      <c r="AU2461" t="s">
        <v>3018</v>
      </c>
    </row>
    <row r="2462" spans="1:47" x14ac:dyDescent="0.35">
      <c r="A2462">
        <v>360436</v>
      </c>
      <c r="B2462" t="s">
        <v>178</v>
      </c>
      <c r="C2462" t="s">
        <v>179</v>
      </c>
      <c r="D2462" s="2">
        <v>45833</v>
      </c>
      <c r="E2462">
        <v>53850</v>
      </c>
      <c r="F2462">
        <v>286</v>
      </c>
      <c r="G2462" t="s">
        <v>408</v>
      </c>
      <c r="H2462" t="s">
        <v>167</v>
      </c>
      <c r="I2462" t="s">
        <v>45</v>
      </c>
      <c r="K2462">
        <v>202506248119903</v>
      </c>
      <c r="L2462">
        <v>2863300013638</v>
      </c>
      <c r="M2462">
        <v>20250624</v>
      </c>
      <c r="N2462" t="s">
        <v>236</v>
      </c>
      <c r="P2462" t="s">
        <v>51</v>
      </c>
      <c r="Q2462" t="s">
        <v>170</v>
      </c>
      <c r="R2462">
        <v>6460000</v>
      </c>
      <c r="S2462">
        <v>0</v>
      </c>
      <c r="T2462">
        <v>3730606</v>
      </c>
      <c r="U2462">
        <v>17550651008</v>
      </c>
      <c r="V2462" t="s">
        <v>1841</v>
      </c>
      <c r="W2462" t="s">
        <v>156</v>
      </c>
      <c r="X2462" t="s">
        <v>825</v>
      </c>
      <c r="Y2462" t="s">
        <v>51</v>
      </c>
      <c r="Z2462">
        <v>1877</v>
      </c>
      <c r="AH2462">
        <v>0</v>
      </c>
      <c r="AI2462">
        <v>202506</v>
      </c>
      <c r="AJ2462" t="s">
        <v>119</v>
      </c>
      <c r="AK2462">
        <v>1</v>
      </c>
      <c r="AL2462">
        <v>1</v>
      </c>
      <c r="AO2462">
        <v>0</v>
      </c>
      <c r="AP2462" t="s">
        <v>3015</v>
      </c>
      <c r="AQ2462" t="s">
        <v>3038</v>
      </c>
      <c r="AR2462" t="s">
        <v>3039</v>
      </c>
      <c r="AT2462" t="s">
        <v>3017</v>
      </c>
      <c r="AU2462" t="s">
        <v>3037</v>
      </c>
    </row>
    <row r="2463" spans="1:47" x14ac:dyDescent="0.35">
      <c r="A2463">
        <v>360435</v>
      </c>
      <c r="B2463" t="s">
        <v>164</v>
      </c>
      <c r="C2463" t="s">
        <v>165</v>
      </c>
      <c r="D2463" s="2">
        <v>45833</v>
      </c>
      <c r="E2463">
        <v>53850</v>
      </c>
      <c r="F2463">
        <v>169</v>
      </c>
      <c r="G2463" t="s">
        <v>57</v>
      </c>
      <c r="H2463" t="s">
        <v>167</v>
      </c>
      <c r="I2463" t="s">
        <v>45</v>
      </c>
      <c r="K2463">
        <v>202506248121006</v>
      </c>
      <c r="L2463">
        <v>1693302225120</v>
      </c>
      <c r="M2463">
        <v>20250624</v>
      </c>
      <c r="N2463" t="s">
        <v>168</v>
      </c>
      <c r="P2463" t="s">
        <v>435</v>
      </c>
      <c r="Q2463" t="s">
        <v>47</v>
      </c>
      <c r="R2463">
        <v>7855</v>
      </c>
      <c r="S2463">
        <v>0</v>
      </c>
      <c r="T2463">
        <v>4535489</v>
      </c>
      <c r="U2463" t="s">
        <v>2462</v>
      </c>
      <c r="V2463" t="s">
        <v>2463</v>
      </c>
      <c r="W2463" t="s">
        <v>69</v>
      </c>
      <c r="X2463" t="s">
        <v>59</v>
      </c>
      <c r="Y2463" t="s">
        <v>51</v>
      </c>
      <c r="Z2463">
        <v>905</v>
      </c>
      <c r="AH2463">
        <v>0</v>
      </c>
      <c r="AI2463">
        <v>202506</v>
      </c>
      <c r="AJ2463" t="s">
        <v>86</v>
      </c>
      <c r="AK2463">
        <v>1</v>
      </c>
      <c r="AL2463">
        <v>1</v>
      </c>
      <c r="AO2463">
        <v>0</v>
      </c>
      <c r="AP2463" t="s">
        <v>3015</v>
      </c>
      <c r="AQ2463" t="s">
        <v>3021</v>
      </c>
      <c r="AR2463" t="s">
        <v>3022</v>
      </c>
      <c r="AT2463" t="s">
        <v>3017</v>
      </c>
      <c r="AU2463" t="s">
        <v>3014</v>
      </c>
    </row>
    <row r="2464" spans="1:47" x14ac:dyDescent="0.35">
      <c r="A2464">
        <v>360434</v>
      </c>
      <c r="B2464" t="s">
        <v>193</v>
      </c>
      <c r="C2464" t="s">
        <v>194</v>
      </c>
      <c r="D2464" s="2">
        <v>45833</v>
      </c>
      <c r="E2464">
        <v>53850</v>
      </c>
      <c r="F2464">
        <v>102</v>
      </c>
      <c r="G2464" t="s">
        <v>151</v>
      </c>
      <c r="H2464" t="s">
        <v>167</v>
      </c>
      <c r="I2464" t="s">
        <v>45</v>
      </c>
      <c r="K2464" t="s">
        <v>2430</v>
      </c>
      <c r="L2464">
        <v>1023308722503</v>
      </c>
      <c r="M2464">
        <v>20250624</v>
      </c>
      <c r="N2464" t="s">
        <v>195</v>
      </c>
      <c r="Q2464" t="s">
        <v>47</v>
      </c>
      <c r="R2464">
        <v>34700</v>
      </c>
      <c r="S2464">
        <v>34700</v>
      </c>
      <c r="T2464">
        <v>413650</v>
      </c>
      <c r="U2464">
        <v>3657230722</v>
      </c>
      <c r="V2464" t="s">
        <v>196</v>
      </c>
      <c r="W2464" t="s">
        <v>190</v>
      </c>
      <c r="X2464" t="s">
        <v>197</v>
      </c>
      <c r="Y2464" t="s">
        <v>51</v>
      </c>
      <c r="Z2464">
        <v>1306</v>
      </c>
      <c r="AH2464">
        <v>0</v>
      </c>
      <c r="AI2464">
        <v>202506</v>
      </c>
      <c r="AJ2464" t="s">
        <v>119</v>
      </c>
      <c r="AK2464">
        <v>1</v>
      </c>
      <c r="AL2464">
        <v>1</v>
      </c>
      <c r="AM2464">
        <v>413650</v>
      </c>
      <c r="AN2464">
        <v>1</v>
      </c>
      <c r="AO2464">
        <v>0</v>
      </c>
      <c r="AP2464" t="s">
        <v>3050</v>
      </c>
      <c r="AQ2464" t="s">
        <v>3047</v>
      </c>
      <c r="AR2464" t="s">
        <v>3051</v>
      </c>
      <c r="AS2464" t="s">
        <v>3049</v>
      </c>
      <c r="AU2464" t="s">
        <v>3049</v>
      </c>
    </row>
    <row r="2465" spans="1:47" x14ac:dyDescent="0.35">
      <c r="A2465">
        <v>360433</v>
      </c>
      <c r="B2465" t="s">
        <v>172</v>
      </c>
      <c r="C2465" t="s">
        <v>173</v>
      </c>
      <c r="D2465" s="2">
        <v>45833</v>
      </c>
      <c r="E2465">
        <v>53850</v>
      </c>
      <c r="F2465">
        <v>282</v>
      </c>
      <c r="G2465" t="s">
        <v>433</v>
      </c>
      <c r="H2465" t="s">
        <v>167</v>
      </c>
      <c r="I2465" t="s">
        <v>45</v>
      </c>
      <c r="K2465" t="s">
        <v>2430</v>
      </c>
      <c r="L2465">
        <v>2823300001940</v>
      </c>
      <c r="M2465">
        <v>20250624</v>
      </c>
      <c r="N2465" t="s">
        <v>175</v>
      </c>
      <c r="Q2465" t="s">
        <v>47</v>
      </c>
      <c r="R2465">
        <v>222000</v>
      </c>
      <c r="S2465">
        <v>0</v>
      </c>
      <c r="T2465">
        <v>1678407</v>
      </c>
      <c r="U2465" t="s">
        <v>2440</v>
      </c>
      <c r="V2465" t="s">
        <v>2441</v>
      </c>
      <c r="W2465" t="s">
        <v>187</v>
      </c>
      <c r="Y2465" t="s">
        <v>51</v>
      </c>
      <c r="Z2465">
        <v>1756</v>
      </c>
      <c r="AH2465">
        <v>0</v>
      </c>
      <c r="AI2465">
        <v>202506</v>
      </c>
      <c r="AJ2465" t="s">
        <v>86</v>
      </c>
      <c r="AK2465">
        <v>1</v>
      </c>
      <c r="AL2465">
        <v>1</v>
      </c>
      <c r="AO2465">
        <v>1</v>
      </c>
      <c r="AP2465" t="s">
        <v>3015</v>
      </c>
      <c r="AQ2465" t="s">
        <v>3044</v>
      </c>
      <c r="AR2465" t="s">
        <v>3045</v>
      </c>
      <c r="AS2465" t="s">
        <v>3046</v>
      </c>
      <c r="AU2465" t="s">
        <v>3046</v>
      </c>
    </row>
    <row r="2466" spans="1:47" x14ac:dyDescent="0.35">
      <c r="A2466">
        <v>360432</v>
      </c>
      <c r="B2466" t="s">
        <v>178</v>
      </c>
      <c r="C2466" t="s">
        <v>179</v>
      </c>
      <c r="D2466" s="2">
        <v>45833</v>
      </c>
      <c r="E2466">
        <v>53850</v>
      </c>
      <c r="F2466">
        <v>116</v>
      </c>
      <c r="G2466" t="s">
        <v>126</v>
      </c>
      <c r="H2466" t="s">
        <v>167</v>
      </c>
      <c r="I2466" t="s">
        <v>45</v>
      </c>
      <c r="K2466" t="s">
        <v>2464</v>
      </c>
      <c r="L2466">
        <v>1163300004979</v>
      </c>
      <c r="M2466">
        <v>20250624</v>
      </c>
      <c r="N2466" t="s">
        <v>3136</v>
      </c>
      <c r="Q2466" t="s">
        <v>170</v>
      </c>
      <c r="R2466">
        <v>3558.69</v>
      </c>
      <c r="S2466">
        <v>0</v>
      </c>
      <c r="T2466">
        <v>4464119</v>
      </c>
      <c r="U2466" t="s">
        <v>2465</v>
      </c>
      <c r="V2466" t="s">
        <v>2466</v>
      </c>
      <c r="W2466" t="s">
        <v>187</v>
      </c>
      <c r="Y2466" t="s">
        <v>51</v>
      </c>
      <c r="Z2466">
        <v>808</v>
      </c>
      <c r="AH2466">
        <v>0</v>
      </c>
      <c r="AI2466">
        <v>202506</v>
      </c>
      <c r="AJ2466" t="s">
        <v>86</v>
      </c>
      <c r="AK2466">
        <v>1</v>
      </c>
      <c r="AL2466">
        <v>1</v>
      </c>
      <c r="AO2466">
        <v>1</v>
      </c>
      <c r="AP2466" t="s">
        <v>3015</v>
      </c>
      <c r="AQ2466" t="s">
        <v>3044</v>
      </c>
      <c r="AR2466" t="s">
        <v>3045</v>
      </c>
      <c r="AS2466" t="s">
        <v>3046</v>
      </c>
      <c r="AU2466" t="s">
        <v>3046</v>
      </c>
    </row>
    <row r="2467" spans="1:47" x14ac:dyDescent="0.35">
      <c r="A2467">
        <v>360431</v>
      </c>
      <c r="B2467" t="s">
        <v>214</v>
      </c>
      <c r="C2467" t="s">
        <v>215</v>
      </c>
      <c r="D2467" s="2">
        <v>45833</v>
      </c>
      <c r="E2467">
        <v>53850</v>
      </c>
      <c r="F2467">
        <v>110</v>
      </c>
      <c r="G2467" t="s">
        <v>230</v>
      </c>
      <c r="H2467" t="s">
        <v>167</v>
      </c>
      <c r="I2467" t="s">
        <v>45</v>
      </c>
      <c r="K2467">
        <v>202506248120998</v>
      </c>
      <c r="L2467">
        <v>1103306288240</v>
      </c>
      <c r="M2467">
        <v>20250624</v>
      </c>
      <c r="N2467" t="s">
        <v>168</v>
      </c>
      <c r="P2467" t="s">
        <v>752</v>
      </c>
      <c r="Q2467" t="s">
        <v>47</v>
      </c>
      <c r="R2467">
        <v>35142.01</v>
      </c>
      <c r="S2467">
        <v>0</v>
      </c>
      <c r="T2467">
        <v>4960705</v>
      </c>
      <c r="U2467">
        <v>8520490726</v>
      </c>
      <c r="V2467" t="s">
        <v>753</v>
      </c>
      <c r="W2467" t="s">
        <v>49</v>
      </c>
      <c r="X2467" t="s">
        <v>110</v>
      </c>
      <c r="Y2467" t="s">
        <v>51</v>
      </c>
      <c r="Z2467">
        <v>1696</v>
      </c>
      <c r="AH2467">
        <v>0</v>
      </c>
      <c r="AI2467">
        <v>202506</v>
      </c>
      <c r="AJ2467" t="s">
        <v>86</v>
      </c>
      <c r="AK2467">
        <v>1</v>
      </c>
      <c r="AL2467">
        <v>1</v>
      </c>
      <c r="AO2467">
        <v>0</v>
      </c>
      <c r="AP2467" t="s">
        <v>3026</v>
      </c>
      <c r="AQ2467" t="s">
        <v>3012</v>
      </c>
      <c r="AR2467" t="s">
        <v>3027</v>
      </c>
      <c r="AS2467" t="s">
        <v>3028</v>
      </c>
      <c r="AU2467" t="s">
        <v>3028</v>
      </c>
    </row>
    <row r="2468" spans="1:47" x14ac:dyDescent="0.35">
      <c r="A2468">
        <v>360430</v>
      </c>
      <c r="B2468" t="s">
        <v>178</v>
      </c>
      <c r="C2468" t="s">
        <v>179</v>
      </c>
      <c r="D2468" s="2">
        <v>45833</v>
      </c>
      <c r="E2468">
        <v>53850</v>
      </c>
      <c r="F2468">
        <v>271</v>
      </c>
      <c r="G2468" t="s">
        <v>275</v>
      </c>
      <c r="H2468" t="s">
        <v>167</v>
      </c>
      <c r="I2468" t="s">
        <v>45</v>
      </c>
      <c r="K2468">
        <v>202506248122178</v>
      </c>
      <c r="L2468">
        <v>2713300000594</v>
      </c>
      <c r="M2468">
        <v>20250624</v>
      </c>
      <c r="N2468" t="s">
        <v>236</v>
      </c>
      <c r="P2468" t="s">
        <v>51</v>
      </c>
      <c r="Q2468" t="s">
        <v>170</v>
      </c>
      <c r="R2468">
        <v>247500</v>
      </c>
      <c r="S2468">
        <v>0</v>
      </c>
      <c r="T2468">
        <v>1614121</v>
      </c>
      <c r="U2468" t="s">
        <v>2467</v>
      </c>
      <c r="V2468" t="s">
        <v>2468</v>
      </c>
      <c r="W2468" t="s">
        <v>187</v>
      </c>
      <c r="Y2468" t="s">
        <v>51</v>
      </c>
      <c r="Z2468">
        <v>1800</v>
      </c>
      <c r="AH2468">
        <v>0</v>
      </c>
      <c r="AI2468">
        <v>202506</v>
      </c>
      <c r="AJ2468" t="s">
        <v>52</v>
      </c>
      <c r="AK2468">
        <v>0</v>
      </c>
      <c r="AL2468">
        <v>1</v>
      </c>
      <c r="AO2468">
        <v>0</v>
      </c>
      <c r="AP2468" t="s">
        <v>3015</v>
      </c>
      <c r="AQ2468" t="s">
        <v>3044</v>
      </c>
      <c r="AR2468" t="s">
        <v>3045</v>
      </c>
      <c r="AS2468" t="s">
        <v>3046</v>
      </c>
      <c r="AU2468" t="s">
        <v>3046</v>
      </c>
    </row>
    <row r="2469" spans="1:47" x14ac:dyDescent="0.35">
      <c r="A2469">
        <v>360429</v>
      </c>
      <c r="B2469" t="s">
        <v>193</v>
      </c>
      <c r="C2469" t="s">
        <v>194</v>
      </c>
      <c r="D2469" s="2">
        <v>45833</v>
      </c>
      <c r="E2469">
        <v>53850</v>
      </c>
      <c r="F2469">
        <v>268</v>
      </c>
      <c r="G2469" t="s">
        <v>83</v>
      </c>
      <c r="H2469" t="s">
        <v>167</v>
      </c>
      <c r="I2469" t="s">
        <v>45</v>
      </c>
      <c r="K2469">
        <v>202506248122154</v>
      </c>
      <c r="L2469">
        <v>2683300006671</v>
      </c>
      <c r="M2469">
        <v>20250624</v>
      </c>
      <c r="N2469" t="s">
        <v>266</v>
      </c>
      <c r="Q2469" t="s">
        <v>47</v>
      </c>
      <c r="R2469">
        <v>44100</v>
      </c>
      <c r="S2469">
        <v>44100</v>
      </c>
      <c r="T2469">
        <v>1704716</v>
      </c>
      <c r="U2469">
        <v>3109600795</v>
      </c>
      <c r="V2469" t="s">
        <v>1256</v>
      </c>
      <c r="W2469" t="s">
        <v>580</v>
      </c>
      <c r="X2469" t="s">
        <v>131</v>
      </c>
      <c r="Y2469" t="s">
        <v>51</v>
      </c>
      <c r="Z2469">
        <v>1891</v>
      </c>
      <c r="AH2469">
        <v>0</v>
      </c>
      <c r="AI2469">
        <v>202506</v>
      </c>
      <c r="AJ2469" t="s">
        <v>52</v>
      </c>
      <c r="AK2469">
        <v>0</v>
      </c>
      <c r="AL2469">
        <v>1</v>
      </c>
      <c r="AO2469">
        <v>0</v>
      </c>
      <c r="AP2469" t="s">
        <v>3033</v>
      </c>
      <c r="AQ2469" t="s">
        <v>3078</v>
      </c>
      <c r="AR2469" t="s">
        <v>3079</v>
      </c>
      <c r="AS2469" t="s">
        <v>3049</v>
      </c>
      <c r="AU2469" t="s">
        <v>3049</v>
      </c>
    </row>
    <row r="2470" spans="1:47" x14ac:dyDescent="0.35">
      <c r="A2470">
        <v>360428</v>
      </c>
      <c r="B2470" t="s">
        <v>178</v>
      </c>
      <c r="C2470" t="s">
        <v>179</v>
      </c>
      <c r="D2470" s="2">
        <v>45833</v>
      </c>
      <c r="E2470">
        <v>53850</v>
      </c>
      <c r="F2470">
        <v>198</v>
      </c>
      <c r="G2470" t="s">
        <v>300</v>
      </c>
      <c r="H2470" t="s">
        <v>167</v>
      </c>
      <c r="I2470" t="s">
        <v>45</v>
      </c>
      <c r="K2470">
        <v>202506248122105</v>
      </c>
      <c r="L2470">
        <v>1983300003447</v>
      </c>
      <c r="M2470">
        <v>20250624</v>
      </c>
      <c r="N2470" t="s">
        <v>3136</v>
      </c>
      <c r="Q2470" t="s">
        <v>170</v>
      </c>
      <c r="R2470">
        <v>10636.81</v>
      </c>
      <c r="S2470">
        <v>0</v>
      </c>
      <c r="T2470">
        <v>4988718</v>
      </c>
      <c r="U2470" t="s">
        <v>2469</v>
      </c>
      <c r="V2470" t="s">
        <v>2470</v>
      </c>
      <c r="W2470" t="s">
        <v>187</v>
      </c>
      <c r="Y2470" t="s">
        <v>51</v>
      </c>
      <c r="Z2470">
        <v>1718</v>
      </c>
      <c r="AH2470">
        <v>0</v>
      </c>
      <c r="AI2470">
        <v>202506</v>
      </c>
      <c r="AJ2470" t="s">
        <v>86</v>
      </c>
      <c r="AK2470">
        <v>1</v>
      </c>
      <c r="AL2470">
        <v>1</v>
      </c>
      <c r="AO2470">
        <v>1</v>
      </c>
      <c r="AP2470" t="s">
        <v>3015</v>
      </c>
      <c r="AQ2470" t="s">
        <v>3044</v>
      </c>
      <c r="AR2470" t="s">
        <v>3045</v>
      </c>
      <c r="AS2470" t="s">
        <v>3046</v>
      </c>
      <c r="AU2470" t="s">
        <v>3046</v>
      </c>
    </row>
    <row r="2471" spans="1:47" x14ac:dyDescent="0.35">
      <c r="A2471">
        <v>360427</v>
      </c>
      <c r="B2471" t="s">
        <v>178</v>
      </c>
      <c r="C2471" t="s">
        <v>179</v>
      </c>
      <c r="D2471" s="2">
        <v>45833</v>
      </c>
      <c r="E2471">
        <v>53850</v>
      </c>
      <c r="F2471">
        <v>116</v>
      </c>
      <c r="G2471" t="s">
        <v>126</v>
      </c>
      <c r="H2471" t="s">
        <v>167</v>
      </c>
      <c r="I2471" t="s">
        <v>45</v>
      </c>
      <c r="K2471" t="s">
        <v>2464</v>
      </c>
      <c r="L2471">
        <v>1163300004979</v>
      </c>
      <c r="M2471">
        <v>20250624</v>
      </c>
      <c r="N2471" t="s">
        <v>3136</v>
      </c>
      <c r="Q2471" t="s">
        <v>170</v>
      </c>
      <c r="R2471">
        <v>3558.69</v>
      </c>
      <c r="S2471">
        <v>0</v>
      </c>
      <c r="T2471">
        <v>4221113</v>
      </c>
      <c r="U2471" t="s">
        <v>2471</v>
      </c>
      <c r="V2471" t="s">
        <v>2472</v>
      </c>
      <c r="W2471" t="s">
        <v>187</v>
      </c>
      <c r="Y2471" t="s">
        <v>51</v>
      </c>
      <c r="Z2471">
        <v>900</v>
      </c>
      <c r="AH2471">
        <v>0</v>
      </c>
      <c r="AI2471">
        <v>202506</v>
      </c>
      <c r="AJ2471" t="s">
        <v>86</v>
      </c>
      <c r="AK2471">
        <v>1</v>
      </c>
      <c r="AL2471">
        <v>1</v>
      </c>
      <c r="AO2471">
        <v>1</v>
      </c>
      <c r="AP2471" t="s">
        <v>3015</v>
      </c>
      <c r="AQ2471" t="s">
        <v>3044</v>
      </c>
      <c r="AR2471" t="s">
        <v>3045</v>
      </c>
      <c r="AS2471" t="s">
        <v>3046</v>
      </c>
      <c r="AU2471" t="s">
        <v>3046</v>
      </c>
    </row>
    <row r="2472" spans="1:47" x14ac:dyDescent="0.35">
      <c r="A2472">
        <v>360426</v>
      </c>
      <c r="B2472" t="s">
        <v>172</v>
      </c>
      <c r="C2472" t="s">
        <v>173</v>
      </c>
      <c r="D2472" s="2">
        <v>45833</v>
      </c>
      <c r="E2472">
        <v>53850</v>
      </c>
      <c r="F2472">
        <v>171</v>
      </c>
      <c r="G2472" t="s">
        <v>198</v>
      </c>
      <c r="H2472" t="s">
        <v>167</v>
      </c>
      <c r="I2472" t="s">
        <v>45</v>
      </c>
      <c r="K2472" t="s">
        <v>2430</v>
      </c>
      <c r="L2472">
        <v>1713305728950</v>
      </c>
      <c r="M2472">
        <v>20250624</v>
      </c>
      <c r="N2472" t="s">
        <v>195</v>
      </c>
      <c r="Q2472" t="s">
        <v>47</v>
      </c>
      <c r="R2472">
        <v>240409.60000000001</v>
      </c>
      <c r="S2472">
        <v>240409.60000000001</v>
      </c>
      <c r="T2472">
        <v>572895</v>
      </c>
      <c r="U2472">
        <v>4161600723</v>
      </c>
      <c r="V2472" t="s">
        <v>199</v>
      </c>
      <c r="W2472" t="s">
        <v>49</v>
      </c>
      <c r="X2472" t="s">
        <v>200</v>
      </c>
      <c r="Y2472" t="s">
        <v>51</v>
      </c>
      <c r="Z2472">
        <v>1903</v>
      </c>
      <c r="AH2472">
        <v>0</v>
      </c>
      <c r="AI2472">
        <v>202506</v>
      </c>
      <c r="AJ2472" t="s">
        <v>119</v>
      </c>
      <c r="AK2472">
        <v>1</v>
      </c>
      <c r="AL2472">
        <v>1</v>
      </c>
      <c r="AM2472">
        <v>572895</v>
      </c>
      <c r="AN2472">
        <v>1</v>
      </c>
      <c r="AO2472">
        <v>0</v>
      </c>
      <c r="AP2472" t="s">
        <v>3015</v>
      </c>
      <c r="AQ2472" t="s">
        <v>3012</v>
      </c>
      <c r="AR2472" t="s">
        <v>3016</v>
      </c>
      <c r="AT2472" t="s">
        <v>3017</v>
      </c>
      <c r="AU2472" t="s">
        <v>3018</v>
      </c>
    </row>
    <row r="2473" spans="1:47" x14ac:dyDescent="0.35">
      <c r="A2473">
        <v>360425</v>
      </c>
      <c r="B2473" t="s">
        <v>172</v>
      </c>
      <c r="C2473" t="s">
        <v>173</v>
      </c>
      <c r="D2473" s="2">
        <v>45833</v>
      </c>
      <c r="E2473">
        <v>53850</v>
      </c>
      <c r="F2473">
        <v>102</v>
      </c>
      <c r="G2473" t="s">
        <v>151</v>
      </c>
      <c r="H2473" t="s">
        <v>167</v>
      </c>
      <c r="I2473" t="s">
        <v>45</v>
      </c>
      <c r="K2473">
        <v>202506248121732</v>
      </c>
      <c r="L2473">
        <v>1023308724027</v>
      </c>
      <c r="M2473">
        <v>20250624</v>
      </c>
      <c r="N2473" t="s">
        <v>81</v>
      </c>
      <c r="Q2473" t="s">
        <v>47</v>
      </c>
      <c r="R2473">
        <v>104422.21</v>
      </c>
      <c r="S2473">
        <v>0</v>
      </c>
      <c r="T2473">
        <v>4907143</v>
      </c>
      <c r="U2473">
        <v>8153900728</v>
      </c>
      <c r="V2473" t="s">
        <v>2473</v>
      </c>
      <c r="W2473" t="s">
        <v>49</v>
      </c>
      <c r="X2473" t="s">
        <v>364</v>
      </c>
      <c r="Y2473" t="s">
        <v>51</v>
      </c>
      <c r="Z2473">
        <v>1203</v>
      </c>
      <c r="AH2473">
        <v>0</v>
      </c>
      <c r="AI2473">
        <v>202506</v>
      </c>
      <c r="AJ2473" t="s">
        <v>86</v>
      </c>
      <c r="AK2473">
        <v>1</v>
      </c>
      <c r="AL2473">
        <v>1</v>
      </c>
      <c r="AO2473">
        <v>0</v>
      </c>
      <c r="AP2473" t="s">
        <v>3062</v>
      </c>
      <c r="AQ2473" t="s">
        <v>3012</v>
      </c>
      <c r="AR2473" t="s">
        <v>3063</v>
      </c>
      <c r="AS2473" t="s">
        <v>3014</v>
      </c>
      <c r="AU2473" t="s">
        <v>3014</v>
      </c>
    </row>
    <row r="2474" spans="1:47" x14ac:dyDescent="0.35">
      <c r="A2474">
        <v>360424</v>
      </c>
      <c r="B2474" t="s">
        <v>178</v>
      </c>
      <c r="C2474" t="s">
        <v>179</v>
      </c>
      <c r="D2474" s="2">
        <v>45832</v>
      </c>
      <c r="E2474">
        <v>53850</v>
      </c>
      <c r="F2474">
        <v>268</v>
      </c>
      <c r="G2474" t="s">
        <v>83</v>
      </c>
      <c r="H2474" t="s">
        <v>167</v>
      </c>
      <c r="I2474" t="s">
        <v>45</v>
      </c>
      <c r="K2474">
        <v>202506238119181</v>
      </c>
      <c r="L2474">
        <v>2683300002901</v>
      </c>
      <c r="M2474">
        <v>20250623</v>
      </c>
      <c r="N2474" t="s">
        <v>1002</v>
      </c>
      <c r="Q2474" t="s">
        <v>47</v>
      </c>
      <c r="R2474">
        <v>180000</v>
      </c>
      <c r="S2474">
        <v>0</v>
      </c>
      <c r="T2474">
        <v>1639443</v>
      </c>
      <c r="U2474" t="s">
        <v>2474</v>
      </c>
      <c r="V2474" t="s">
        <v>2475</v>
      </c>
      <c r="W2474" t="s">
        <v>187</v>
      </c>
      <c r="Y2474" t="s">
        <v>51</v>
      </c>
      <c r="Z2474">
        <v>1757</v>
      </c>
      <c r="AH2474">
        <v>0</v>
      </c>
      <c r="AI2474">
        <v>202506</v>
      </c>
      <c r="AJ2474" t="s">
        <v>86</v>
      </c>
      <c r="AK2474">
        <v>1</v>
      </c>
      <c r="AL2474">
        <v>1</v>
      </c>
      <c r="AO2474">
        <v>0</v>
      </c>
      <c r="AP2474" t="s">
        <v>3015</v>
      </c>
      <c r="AQ2474" t="s">
        <v>3044</v>
      </c>
      <c r="AR2474" t="s">
        <v>3045</v>
      </c>
      <c r="AS2474" t="s">
        <v>3046</v>
      </c>
      <c r="AU2474" t="s">
        <v>3046</v>
      </c>
    </row>
    <row r="2475" spans="1:47" x14ac:dyDescent="0.35">
      <c r="A2475">
        <v>360423</v>
      </c>
      <c r="B2475" t="s">
        <v>178</v>
      </c>
      <c r="C2475" t="s">
        <v>179</v>
      </c>
      <c r="D2475" s="2">
        <v>45832</v>
      </c>
      <c r="E2475">
        <v>53850</v>
      </c>
      <c r="F2475">
        <v>270</v>
      </c>
      <c r="G2475" t="s">
        <v>524</v>
      </c>
      <c r="H2475" t="s">
        <v>167</v>
      </c>
      <c r="I2475" t="s">
        <v>45</v>
      </c>
      <c r="K2475">
        <v>202506238119209</v>
      </c>
      <c r="L2475">
        <v>2703300010948</v>
      </c>
      <c r="M2475">
        <v>20250623</v>
      </c>
      <c r="N2475" t="s">
        <v>236</v>
      </c>
      <c r="P2475" t="s">
        <v>51</v>
      </c>
      <c r="Q2475" t="s">
        <v>170</v>
      </c>
      <c r="R2475">
        <v>202500</v>
      </c>
      <c r="S2475">
        <v>0</v>
      </c>
      <c r="T2475">
        <v>3742155</v>
      </c>
      <c r="U2475" t="s">
        <v>2476</v>
      </c>
      <c r="V2475" t="s">
        <v>2477</v>
      </c>
      <c r="W2475" t="s">
        <v>187</v>
      </c>
      <c r="Y2475" t="s">
        <v>51</v>
      </c>
      <c r="Z2475">
        <v>1875</v>
      </c>
      <c r="AH2475">
        <v>0</v>
      </c>
      <c r="AI2475">
        <v>202506</v>
      </c>
      <c r="AJ2475" t="s">
        <v>52</v>
      </c>
      <c r="AK2475">
        <v>0</v>
      </c>
      <c r="AL2475">
        <v>1</v>
      </c>
      <c r="AO2475">
        <v>0</v>
      </c>
      <c r="AP2475" t="s">
        <v>3015</v>
      </c>
      <c r="AQ2475" t="s">
        <v>3044</v>
      </c>
      <c r="AR2475" t="s">
        <v>3045</v>
      </c>
      <c r="AS2475" t="s">
        <v>3046</v>
      </c>
      <c r="AU2475" t="s">
        <v>3046</v>
      </c>
    </row>
    <row r="2476" spans="1:47" x14ac:dyDescent="0.35">
      <c r="A2476">
        <v>360422</v>
      </c>
      <c r="B2476" t="s">
        <v>193</v>
      </c>
      <c r="C2476" t="s">
        <v>194</v>
      </c>
      <c r="D2476" s="2">
        <v>45832</v>
      </c>
      <c r="E2476">
        <v>53850</v>
      </c>
      <c r="F2476">
        <v>108</v>
      </c>
      <c r="G2476" t="s">
        <v>124</v>
      </c>
      <c r="H2476" t="s">
        <v>167</v>
      </c>
      <c r="I2476" t="s">
        <v>45</v>
      </c>
      <c r="K2476" t="s">
        <v>2478</v>
      </c>
      <c r="L2476">
        <v>1083305200700</v>
      </c>
      <c r="M2476">
        <v>20250623</v>
      </c>
      <c r="N2476" t="s">
        <v>175</v>
      </c>
      <c r="Q2476" t="s">
        <v>47</v>
      </c>
      <c r="R2476">
        <v>44005.96</v>
      </c>
      <c r="S2476">
        <v>29690</v>
      </c>
      <c r="T2476">
        <v>520070</v>
      </c>
      <c r="U2476">
        <v>4357120726</v>
      </c>
      <c r="V2476" t="s">
        <v>457</v>
      </c>
      <c r="W2476" t="s">
        <v>49</v>
      </c>
      <c r="X2476" t="s">
        <v>110</v>
      </c>
      <c r="Y2476" t="s">
        <v>51</v>
      </c>
      <c r="Z2476">
        <v>1058</v>
      </c>
      <c r="AH2476">
        <v>0</v>
      </c>
      <c r="AI2476">
        <v>202506</v>
      </c>
      <c r="AJ2476" t="s">
        <v>86</v>
      </c>
      <c r="AK2476">
        <v>1</v>
      </c>
      <c r="AL2476">
        <v>1</v>
      </c>
      <c r="AO2476">
        <v>1</v>
      </c>
      <c r="AP2476" t="s">
        <v>3026</v>
      </c>
      <c r="AQ2476" t="s">
        <v>3012</v>
      </c>
      <c r="AR2476" t="s">
        <v>3027</v>
      </c>
      <c r="AS2476" t="s">
        <v>3028</v>
      </c>
      <c r="AU2476" t="s">
        <v>3028</v>
      </c>
    </row>
    <row r="2477" spans="1:47" x14ac:dyDescent="0.35">
      <c r="A2477">
        <v>360421</v>
      </c>
      <c r="B2477" t="s">
        <v>172</v>
      </c>
      <c r="C2477" t="s">
        <v>173</v>
      </c>
      <c r="D2477" s="2">
        <v>45832</v>
      </c>
      <c r="E2477">
        <v>53850</v>
      </c>
      <c r="F2477">
        <v>149</v>
      </c>
      <c r="G2477" t="s">
        <v>449</v>
      </c>
      <c r="H2477" t="s">
        <v>167</v>
      </c>
      <c r="I2477" t="s">
        <v>45</v>
      </c>
      <c r="K2477">
        <v>202506238118950</v>
      </c>
      <c r="L2477">
        <v>1493300660770</v>
      </c>
      <c r="M2477">
        <v>20250623</v>
      </c>
      <c r="N2477" t="s">
        <v>231</v>
      </c>
      <c r="Q2477" t="s">
        <v>47</v>
      </c>
      <c r="R2477">
        <v>120000</v>
      </c>
      <c r="S2477">
        <v>0</v>
      </c>
      <c r="T2477">
        <v>4317444</v>
      </c>
      <c r="U2477" t="s">
        <v>2479</v>
      </c>
      <c r="V2477" t="s">
        <v>2480</v>
      </c>
      <c r="W2477" t="s">
        <v>187</v>
      </c>
      <c r="Y2477" t="s">
        <v>51</v>
      </c>
      <c r="Z2477">
        <v>1046</v>
      </c>
      <c r="AH2477">
        <v>0</v>
      </c>
      <c r="AI2477">
        <v>202506</v>
      </c>
      <c r="AJ2477" t="s">
        <v>86</v>
      </c>
      <c r="AK2477">
        <v>1</v>
      </c>
      <c r="AL2477">
        <v>1</v>
      </c>
      <c r="AO2477">
        <v>0</v>
      </c>
      <c r="AP2477" t="s">
        <v>3015</v>
      </c>
      <c r="AQ2477" t="s">
        <v>3044</v>
      </c>
      <c r="AR2477" t="s">
        <v>3045</v>
      </c>
      <c r="AS2477" t="s">
        <v>3046</v>
      </c>
      <c r="AU2477" t="s">
        <v>3046</v>
      </c>
    </row>
    <row r="2478" spans="1:47" x14ac:dyDescent="0.35">
      <c r="A2478">
        <v>360420</v>
      </c>
      <c r="B2478" t="s">
        <v>172</v>
      </c>
      <c r="C2478" t="s">
        <v>173</v>
      </c>
      <c r="D2478" s="2">
        <v>45832</v>
      </c>
      <c r="E2478">
        <v>53850</v>
      </c>
      <c r="F2478">
        <v>116</v>
      </c>
      <c r="G2478" t="s">
        <v>126</v>
      </c>
      <c r="H2478" t="s">
        <v>167</v>
      </c>
      <c r="I2478" t="s">
        <v>45</v>
      </c>
      <c r="K2478" t="s">
        <v>2478</v>
      </c>
      <c r="L2478">
        <v>1163307623465</v>
      </c>
      <c r="M2478">
        <v>20250623</v>
      </c>
      <c r="N2478" t="s">
        <v>175</v>
      </c>
      <c r="Q2478" t="s">
        <v>47</v>
      </c>
      <c r="R2478">
        <v>90000</v>
      </c>
      <c r="S2478">
        <v>0</v>
      </c>
      <c r="T2478">
        <v>3738297</v>
      </c>
      <c r="U2478">
        <v>8684570727</v>
      </c>
      <c r="V2478" t="s">
        <v>469</v>
      </c>
      <c r="W2478" t="s">
        <v>49</v>
      </c>
      <c r="X2478" t="s">
        <v>364</v>
      </c>
      <c r="Y2478" t="s">
        <v>51</v>
      </c>
      <c r="Z2478">
        <v>739</v>
      </c>
      <c r="AH2478">
        <v>0</v>
      </c>
      <c r="AI2478">
        <v>202506</v>
      </c>
      <c r="AJ2478" t="s">
        <v>86</v>
      </c>
      <c r="AK2478">
        <v>1</v>
      </c>
      <c r="AL2478">
        <v>1</v>
      </c>
      <c r="AO2478">
        <v>1</v>
      </c>
      <c r="AP2478" t="s">
        <v>3062</v>
      </c>
      <c r="AQ2478" t="s">
        <v>3012</v>
      </c>
      <c r="AR2478" t="s">
        <v>3063</v>
      </c>
      <c r="AS2478" t="s">
        <v>3014</v>
      </c>
      <c r="AU2478" t="s">
        <v>3014</v>
      </c>
    </row>
    <row r="2479" spans="1:47" x14ac:dyDescent="0.35">
      <c r="A2479">
        <v>360419</v>
      </c>
      <c r="B2479" t="s">
        <v>178</v>
      </c>
      <c r="C2479" t="s">
        <v>179</v>
      </c>
      <c r="D2479" s="2">
        <v>45832</v>
      </c>
      <c r="E2479">
        <v>53850</v>
      </c>
      <c r="F2479">
        <v>282</v>
      </c>
      <c r="G2479" t="s">
        <v>433</v>
      </c>
      <c r="H2479" t="s">
        <v>167</v>
      </c>
      <c r="I2479" t="s">
        <v>45</v>
      </c>
      <c r="K2479">
        <v>202506238118634</v>
      </c>
      <c r="L2479">
        <v>2823300002829</v>
      </c>
      <c r="M2479">
        <v>20250623</v>
      </c>
      <c r="N2479" t="s">
        <v>258</v>
      </c>
      <c r="Q2479" t="s">
        <v>170</v>
      </c>
      <c r="R2479">
        <v>169000</v>
      </c>
      <c r="S2479">
        <v>0</v>
      </c>
      <c r="T2479">
        <v>1625385</v>
      </c>
      <c r="U2479" t="s">
        <v>2481</v>
      </c>
      <c r="V2479" t="s">
        <v>2482</v>
      </c>
      <c r="W2479" t="s">
        <v>69</v>
      </c>
      <c r="X2479" t="s">
        <v>131</v>
      </c>
      <c r="Y2479" t="s">
        <v>51</v>
      </c>
      <c r="Z2479">
        <v>1387</v>
      </c>
      <c r="AH2479">
        <v>0</v>
      </c>
      <c r="AI2479">
        <v>202506</v>
      </c>
      <c r="AJ2479" t="s">
        <v>119</v>
      </c>
      <c r="AK2479">
        <v>1</v>
      </c>
      <c r="AL2479">
        <v>1</v>
      </c>
      <c r="AM2479">
        <v>1625385</v>
      </c>
      <c r="AN2479">
        <v>1</v>
      </c>
      <c r="AO2479">
        <v>0</v>
      </c>
      <c r="AP2479" t="s">
        <v>3033</v>
      </c>
      <c r="AQ2479" t="s">
        <v>3021</v>
      </c>
      <c r="AR2479" t="s">
        <v>3054</v>
      </c>
      <c r="AS2479" t="s">
        <v>3055</v>
      </c>
      <c r="AU2479" t="s">
        <v>3055</v>
      </c>
    </row>
    <row r="2480" spans="1:47" x14ac:dyDescent="0.35">
      <c r="A2480">
        <v>360418</v>
      </c>
      <c r="B2480" t="s">
        <v>164</v>
      </c>
      <c r="C2480" t="s">
        <v>165</v>
      </c>
      <c r="D2480" s="2">
        <v>45832</v>
      </c>
      <c r="E2480">
        <v>53850</v>
      </c>
      <c r="F2480">
        <v>274</v>
      </c>
      <c r="G2480" t="s">
        <v>427</v>
      </c>
      <c r="H2480" t="s">
        <v>167</v>
      </c>
      <c r="I2480" t="s">
        <v>45</v>
      </c>
      <c r="K2480" t="s">
        <v>2483</v>
      </c>
      <c r="L2480">
        <v>2743300000272</v>
      </c>
      <c r="M2480">
        <v>20250623</v>
      </c>
      <c r="N2480" t="s">
        <v>168</v>
      </c>
      <c r="P2480" t="s">
        <v>255</v>
      </c>
      <c r="Q2480" t="s">
        <v>47</v>
      </c>
      <c r="R2480">
        <v>2739.39</v>
      </c>
      <c r="S2480">
        <v>0</v>
      </c>
      <c r="T2480">
        <v>1622875</v>
      </c>
      <c r="U2480">
        <v>1689300695</v>
      </c>
      <c r="V2480" t="s">
        <v>429</v>
      </c>
      <c r="W2480" t="s">
        <v>49</v>
      </c>
      <c r="X2480" t="s">
        <v>430</v>
      </c>
      <c r="Y2480" t="s">
        <v>51</v>
      </c>
      <c r="Z2480">
        <v>1413</v>
      </c>
      <c r="AH2480">
        <v>0</v>
      </c>
      <c r="AI2480">
        <v>202506</v>
      </c>
      <c r="AJ2480" t="s">
        <v>52</v>
      </c>
      <c r="AK2480">
        <v>0</v>
      </c>
      <c r="AL2480">
        <v>1</v>
      </c>
      <c r="AO2480">
        <v>0</v>
      </c>
      <c r="AP2480" t="s">
        <v>3015</v>
      </c>
      <c r="AQ2480" t="s">
        <v>3012</v>
      </c>
      <c r="AR2480" t="s">
        <v>3016</v>
      </c>
      <c r="AT2480" t="s">
        <v>3017</v>
      </c>
      <c r="AU2480" t="s">
        <v>3018</v>
      </c>
    </row>
    <row r="2481" spans="1:47" x14ac:dyDescent="0.35">
      <c r="A2481">
        <v>360417</v>
      </c>
      <c r="B2481" t="s">
        <v>214</v>
      </c>
      <c r="C2481" t="s">
        <v>215</v>
      </c>
      <c r="D2481" s="2">
        <v>45832</v>
      </c>
      <c r="E2481">
        <v>53850</v>
      </c>
      <c r="F2481">
        <v>102</v>
      </c>
      <c r="G2481" t="s">
        <v>151</v>
      </c>
      <c r="H2481" t="s">
        <v>167</v>
      </c>
      <c r="I2481" t="s">
        <v>45</v>
      </c>
      <c r="K2481">
        <v>202506238117713</v>
      </c>
      <c r="L2481">
        <v>1023306274827</v>
      </c>
      <c r="M2481">
        <v>20250623</v>
      </c>
      <c r="N2481" t="s">
        <v>168</v>
      </c>
      <c r="P2481" t="s">
        <v>414</v>
      </c>
      <c r="Q2481" t="s">
        <v>47</v>
      </c>
      <c r="R2481">
        <v>15415</v>
      </c>
      <c r="S2481">
        <v>0</v>
      </c>
      <c r="T2481">
        <v>4532331</v>
      </c>
      <c r="U2481">
        <v>6874220723</v>
      </c>
      <c r="V2481" t="s">
        <v>2484</v>
      </c>
      <c r="W2481" t="s">
        <v>49</v>
      </c>
      <c r="X2481" t="s">
        <v>257</v>
      </c>
      <c r="Y2481" t="s">
        <v>51</v>
      </c>
      <c r="Z2481">
        <v>911</v>
      </c>
      <c r="AH2481">
        <v>0</v>
      </c>
      <c r="AI2481">
        <v>202506</v>
      </c>
      <c r="AJ2481" t="s">
        <v>86</v>
      </c>
      <c r="AK2481">
        <v>1</v>
      </c>
      <c r="AL2481">
        <v>1</v>
      </c>
      <c r="AO2481">
        <v>0</v>
      </c>
      <c r="AP2481" t="s">
        <v>3015</v>
      </c>
      <c r="AQ2481" t="s">
        <v>3012</v>
      </c>
      <c r="AR2481" t="s">
        <v>3016</v>
      </c>
      <c r="AT2481" t="s">
        <v>3017</v>
      </c>
      <c r="AU2481" t="s">
        <v>3018</v>
      </c>
    </row>
    <row r="2482" spans="1:47" x14ac:dyDescent="0.35">
      <c r="A2482">
        <v>360416</v>
      </c>
      <c r="B2482" t="s">
        <v>178</v>
      </c>
      <c r="C2482" t="s">
        <v>179</v>
      </c>
      <c r="D2482" s="2">
        <v>45832</v>
      </c>
      <c r="E2482">
        <v>53850</v>
      </c>
      <c r="F2482">
        <v>102</v>
      </c>
      <c r="G2482" t="s">
        <v>151</v>
      </c>
      <c r="H2482" t="s">
        <v>167</v>
      </c>
      <c r="I2482" t="s">
        <v>45</v>
      </c>
      <c r="K2482">
        <v>202506238116309</v>
      </c>
      <c r="L2482">
        <v>1023304132020</v>
      </c>
      <c r="M2482">
        <v>20250623</v>
      </c>
      <c r="N2482" t="s">
        <v>236</v>
      </c>
      <c r="P2482" t="s">
        <v>51</v>
      </c>
      <c r="Q2482" t="s">
        <v>170</v>
      </c>
      <c r="R2482">
        <v>603405.71</v>
      </c>
      <c r="S2482">
        <v>0</v>
      </c>
      <c r="T2482">
        <v>413202</v>
      </c>
      <c r="U2482">
        <v>454840778</v>
      </c>
      <c r="V2482" t="s">
        <v>634</v>
      </c>
      <c r="W2482" t="s">
        <v>49</v>
      </c>
      <c r="X2482" t="s">
        <v>364</v>
      </c>
      <c r="Y2482" t="s">
        <v>51</v>
      </c>
      <c r="Z2482">
        <v>1203</v>
      </c>
      <c r="AH2482">
        <v>0</v>
      </c>
      <c r="AI2482">
        <v>202506</v>
      </c>
      <c r="AJ2482" t="s">
        <v>119</v>
      </c>
      <c r="AK2482">
        <v>1</v>
      </c>
      <c r="AL2482">
        <v>1</v>
      </c>
      <c r="AO2482">
        <v>0</v>
      </c>
      <c r="AP2482" t="s">
        <v>3062</v>
      </c>
      <c r="AQ2482" t="s">
        <v>3012</v>
      </c>
      <c r="AR2482" t="s">
        <v>3063</v>
      </c>
      <c r="AS2482" t="s">
        <v>3014</v>
      </c>
      <c r="AU2482" t="s">
        <v>3014</v>
      </c>
    </row>
    <row r="2483" spans="1:47" x14ac:dyDescent="0.35">
      <c r="A2483">
        <v>360415</v>
      </c>
      <c r="B2483" t="s">
        <v>178</v>
      </c>
      <c r="C2483" t="s">
        <v>179</v>
      </c>
      <c r="D2483" s="2">
        <v>45832</v>
      </c>
      <c r="E2483">
        <v>53850</v>
      </c>
      <c r="F2483">
        <v>141</v>
      </c>
      <c r="G2483" t="s">
        <v>105</v>
      </c>
      <c r="H2483" t="s">
        <v>167</v>
      </c>
      <c r="I2483" t="s">
        <v>45</v>
      </c>
      <c r="K2483">
        <v>202506238117465</v>
      </c>
      <c r="L2483">
        <v>1413300003985</v>
      </c>
      <c r="M2483">
        <v>20250623</v>
      </c>
      <c r="N2483" t="s">
        <v>46</v>
      </c>
      <c r="P2483" t="s">
        <v>51</v>
      </c>
      <c r="Q2483" t="s">
        <v>47</v>
      </c>
      <c r="R2483">
        <v>2756426.06</v>
      </c>
      <c r="S2483">
        <v>0</v>
      </c>
      <c r="T2483">
        <v>4996689</v>
      </c>
      <c r="U2483">
        <v>80010360750</v>
      </c>
      <c r="V2483" t="s">
        <v>106</v>
      </c>
      <c r="W2483" t="s">
        <v>49</v>
      </c>
      <c r="X2483" t="s">
        <v>107</v>
      </c>
      <c r="Y2483" t="s">
        <v>51</v>
      </c>
      <c r="Z2483">
        <v>1940</v>
      </c>
      <c r="AH2483">
        <v>0</v>
      </c>
      <c r="AI2483">
        <v>202506</v>
      </c>
      <c r="AJ2483" t="s">
        <v>119</v>
      </c>
      <c r="AK2483">
        <v>1</v>
      </c>
      <c r="AL2483">
        <v>1</v>
      </c>
      <c r="AO2483">
        <v>0</v>
      </c>
      <c r="AP2483" t="s">
        <v>3024</v>
      </c>
      <c r="AQ2483" t="s">
        <v>3012</v>
      </c>
      <c r="AR2483" t="s">
        <v>3025</v>
      </c>
      <c r="AS2483" t="s">
        <v>3014</v>
      </c>
      <c r="AU2483" t="s">
        <v>3014</v>
      </c>
    </row>
    <row r="2484" spans="1:47" x14ac:dyDescent="0.35">
      <c r="A2484">
        <v>360414</v>
      </c>
      <c r="B2484" t="s">
        <v>178</v>
      </c>
      <c r="C2484" t="s">
        <v>179</v>
      </c>
      <c r="D2484" s="2">
        <v>45832</v>
      </c>
      <c r="E2484">
        <v>53850</v>
      </c>
      <c r="F2484">
        <v>181</v>
      </c>
      <c r="G2484" t="s">
        <v>180</v>
      </c>
      <c r="H2484" t="s">
        <v>167</v>
      </c>
      <c r="I2484" t="s">
        <v>45</v>
      </c>
      <c r="K2484" t="s">
        <v>2485</v>
      </c>
      <c r="L2484">
        <v>1813301029046</v>
      </c>
      <c r="M2484">
        <v>20250623</v>
      </c>
      <c r="N2484" t="s">
        <v>3136</v>
      </c>
      <c r="Q2484" t="s">
        <v>170</v>
      </c>
      <c r="R2484">
        <v>1647.47</v>
      </c>
      <c r="S2484">
        <v>0</v>
      </c>
      <c r="T2484">
        <v>4057879</v>
      </c>
      <c r="U2484" t="s">
        <v>2486</v>
      </c>
      <c r="V2484" t="s">
        <v>2487</v>
      </c>
      <c r="W2484" t="s">
        <v>187</v>
      </c>
      <c r="Y2484" t="s">
        <v>51</v>
      </c>
      <c r="Z2484">
        <v>1624</v>
      </c>
      <c r="AH2484">
        <v>0</v>
      </c>
      <c r="AI2484">
        <v>202506</v>
      </c>
      <c r="AJ2484" t="s">
        <v>86</v>
      </c>
      <c r="AK2484">
        <v>1</v>
      </c>
      <c r="AL2484">
        <v>1</v>
      </c>
      <c r="AO2484">
        <v>1</v>
      </c>
      <c r="AP2484" t="s">
        <v>3015</v>
      </c>
      <c r="AQ2484" t="s">
        <v>3044</v>
      </c>
      <c r="AR2484" t="s">
        <v>3045</v>
      </c>
      <c r="AS2484" t="s">
        <v>3046</v>
      </c>
      <c r="AU2484" t="s">
        <v>3046</v>
      </c>
    </row>
    <row r="2485" spans="1:47" x14ac:dyDescent="0.35">
      <c r="A2485">
        <v>360413</v>
      </c>
      <c r="B2485" t="s">
        <v>172</v>
      </c>
      <c r="C2485" t="s">
        <v>173</v>
      </c>
      <c r="D2485" s="2">
        <v>45832</v>
      </c>
      <c r="E2485">
        <v>53850</v>
      </c>
      <c r="F2485">
        <v>182</v>
      </c>
      <c r="G2485" t="s">
        <v>318</v>
      </c>
      <c r="H2485" t="s">
        <v>167</v>
      </c>
      <c r="I2485" t="s">
        <v>45</v>
      </c>
      <c r="K2485" t="s">
        <v>2478</v>
      </c>
      <c r="L2485">
        <v>1823300169301</v>
      </c>
      <c r="M2485">
        <v>20250623</v>
      </c>
      <c r="N2485" t="s">
        <v>195</v>
      </c>
      <c r="Q2485" t="s">
        <v>47</v>
      </c>
      <c r="R2485">
        <v>44685</v>
      </c>
      <c r="S2485">
        <v>44685</v>
      </c>
      <c r="T2485">
        <v>4284957</v>
      </c>
      <c r="U2485" t="s">
        <v>455</v>
      </c>
      <c r="V2485" t="s">
        <v>456</v>
      </c>
      <c r="W2485" t="s">
        <v>69</v>
      </c>
      <c r="X2485" t="s">
        <v>197</v>
      </c>
      <c r="Y2485" t="s">
        <v>51</v>
      </c>
      <c r="Z2485">
        <v>1656</v>
      </c>
      <c r="AH2485">
        <v>0</v>
      </c>
      <c r="AI2485">
        <v>202506</v>
      </c>
      <c r="AJ2485" t="s">
        <v>119</v>
      </c>
      <c r="AK2485">
        <v>1</v>
      </c>
      <c r="AL2485">
        <v>1</v>
      </c>
      <c r="AM2485">
        <v>4284957</v>
      </c>
      <c r="AN2485">
        <v>1</v>
      </c>
      <c r="AO2485">
        <v>0</v>
      </c>
      <c r="AP2485" t="s">
        <v>3050</v>
      </c>
      <c r="AQ2485" t="s">
        <v>3021</v>
      </c>
      <c r="AR2485" t="s">
        <v>3070</v>
      </c>
      <c r="AS2485" t="s">
        <v>3055</v>
      </c>
      <c r="AU2485" t="s">
        <v>3055</v>
      </c>
    </row>
    <row r="2486" spans="1:47" x14ac:dyDescent="0.35">
      <c r="A2486">
        <v>360412</v>
      </c>
      <c r="B2486" t="s">
        <v>178</v>
      </c>
      <c r="C2486" t="s">
        <v>179</v>
      </c>
      <c r="D2486" s="2">
        <v>45832</v>
      </c>
      <c r="E2486">
        <v>53850</v>
      </c>
      <c r="F2486">
        <v>126</v>
      </c>
      <c r="G2486" t="s">
        <v>1148</v>
      </c>
      <c r="H2486" t="s">
        <v>167</v>
      </c>
      <c r="I2486" t="s">
        <v>45</v>
      </c>
      <c r="K2486" t="s">
        <v>2488</v>
      </c>
      <c r="L2486">
        <v>1263300002179</v>
      </c>
      <c r="M2486">
        <v>20250623</v>
      </c>
      <c r="N2486" t="s">
        <v>3136</v>
      </c>
      <c r="Q2486" t="s">
        <v>170</v>
      </c>
      <c r="R2486">
        <v>1746.48</v>
      </c>
      <c r="S2486">
        <v>0</v>
      </c>
      <c r="T2486">
        <v>4555076</v>
      </c>
      <c r="U2486" t="s">
        <v>2489</v>
      </c>
      <c r="V2486" t="s">
        <v>2490</v>
      </c>
      <c r="W2486" t="s">
        <v>187</v>
      </c>
      <c r="Y2486" t="s">
        <v>51</v>
      </c>
      <c r="Z2486">
        <v>1423</v>
      </c>
      <c r="AH2486">
        <v>0</v>
      </c>
      <c r="AI2486">
        <v>202506</v>
      </c>
      <c r="AJ2486" t="s">
        <v>86</v>
      </c>
      <c r="AK2486">
        <v>1</v>
      </c>
      <c r="AL2486">
        <v>1</v>
      </c>
      <c r="AO2486">
        <v>1</v>
      </c>
      <c r="AP2486" t="s">
        <v>3015</v>
      </c>
      <c r="AQ2486" t="s">
        <v>3044</v>
      </c>
      <c r="AR2486" t="s">
        <v>3045</v>
      </c>
      <c r="AS2486" t="s">
        <v>3046</v>
      </c>
      <c r="AU2486" t="s">
        <v>3046</v>
      </c>
    </row>
    <row r="2487" spans="1:47" x14ac:dyDescent="0.35">
      <c r="A2487">
        <v>360411</v>
      </c>
      <c r="B2487" t="s">
        <v>178</v>
      </c>
      <c r="C2487" t="s">
        <v>179</v>
      </c>
      <c r="D2487" s="2">
        <v>45832</v>
      </c>
      <c r="E2487">
        <v>53850</v>
      </c>
      <c r="F2487">
        <v>168</v>
      </c>
      <c r="G2487" t="s">
        <v>616</v>
      </c>
      <c r="H2487" t="s">
        <v>167</v>
      </c>
      <c r="I2487" t="s">
        <v>45</v>
      </c>
      <c r="K2487">
        <v>202506238119002</v>
      </c>
      <c r="L2487">
        <v>1683306276854</v>
      </c>
      <c r="M2487">
        <v>20250623</v>
      </c>
      <c r="N2487" t="s">
        <v>3136</v>
      </c>
      <c r="Q2487" t="s">
        <v>170</v>
      </c>
      <c r="R2487">
        <v>21701.17</v>
      </c>
      <c r="S2487">
        <v>0</v>
      </c>
      <c r="T2487">
        <v>589733</v>
      </c>
      <c r="U2487" t="s">
        <v>2491</v>
      </c>
      <c r="V2487" t="s">
        <v>2492</v>
      </c>
      <c r="W2487" t="s">
        <v>187</v>
      </c>
      <c r="Y2487" t="s">
        <v>51</v>
      </c>
      <c r="Z2487">
        <v>1316</v>
      </c>
      <c r="AH2487">
        <v>0</v>
      </c>
      <c r="AI2487">
        <v>202506</v>
      </c>
      <c r="AJ2487" t="s">
        <v>86</v>
      </c>
      <c r="AK2487">
        <v>1</v>
      </c>
      <c r="AL2487">
        <v>1</v>
      </c>
      <c r="AO2487">
        <v>1</v>
      </c>
      <c r="AP2487" t="s">
        <v>3015</v>
      </c>
      <c r="AQ2487" t="s">
        <v>3044</v>
      </c>
      <c r="AR2487" t="s">
        <v>3045</v>
      </c>
      <c r="AS2487" t="s">
        <v>3046</v>
      </c>
      <c r="AU2487" t="s">
        <v>3046</v>
      </c>
    </row>
    <row r="2488" spans="1:47" x14ac:dyDescent="0.35">
      <c r="A2488">
        <v>360410</v>
      </c>
      <c r="B2488" t="s">
        <v>178</v>
      </c>
      <c r="C2488" t="s">
        <v>179</v>
      </c>
      <c r="D2488" s="2">
        <v>45832</v>
      </c>
      <c r="E2488">
        <v>53850</v>
      </c>
      <c r="F2488">
        <v>270</v>
      </c>
      <c r="G2488" t="s">
        <v>524</v>
      </c>
      <c r="H2488" t="s">
        <v>167</v>
      </c>
      <c r="I2488" t="s">
        <v>45</v>
      </c>
      <c r="K2488">
        <v>202506238119209</v>
      </c>
      <c r="L2488">
        <v>2703300010948</v>
      </c>
      <c r="M2488">
        <v>20250623</v>
      </c>
      <c r="N2488" t="s">
        <v>236</v>
      </c>
      <c r="P2488" t="s">
        <v>51</v>
      </c>
      <c r="Q2488" t="s">
        <v>170</v>
      </c>
      <c r="R2488">
        <v>202500</v>
      </c>
      <c r="S2488">
        <v>0</v>
      </c>
      <c r="T2488">
        <v>1611691</v>
      </c>
      <c r="U2488" t="s">
        <v>2493</v>
      </c>
      <c r="V2488" t="s">
        <v>2494</v>
      </c>
      <c r="W2488" t="s">
        <v>187</v>
      </c>
      <c r="Y2488" t="s">
        <v>51</v>
      </c>
      <c r="Z2488">
        <v>1803</v>
      </c>
      <c r="AH2488">
        <v>0</v>
      </c>
      <c r="AI2488">
        <v>202506</v>
      </c>
      <c r="AJ2488" t="s">
        <v>52</v>
      </c>
      <c r="AK2488">
        <v>0</v>
      </c>
      <c r="AL2488">
        <v>1</v>
      </c>
      <c r="AO2488">
        <v>0</v>
      </c>
      <c r="AP2488" t="s">
        <v>3015</v>
      </c>
      <c r="AQ2488" t="s">
        <v>3044</v>
      </c>
      <c r="AR2488" t="s">
        <v>3045</v>
      </c>
      <c r="AS2488" t="s">
        <v>3046</v>
      </c>
      <c r="AU2488" t="s">
        <v>3046</v>
      </c>
    </row>
    <row r="2489" spans="1:47" x14ac:dyDescent="0.35">
      <c r="A2489">
        <v>360409</v>
      </c>
      <c r="B2489" t="s">
        <v>164</v>
      </c>
      <c r="C2489" t="s">
        <v>165</v>
      </c>
      <c r="D2489" s="2">
        <v>45832</v>
      </c>
      <c r="E2489">
        <v>53850</v>
      </c>
      <c r="F2489">
        <v>192</v>
      </c>
      <c r="G2489" t="s">
        <v>66</v>
      </c>
      <c r="H2489" t="s">
        <v>167</v>
      </c>
      <c r="I2489" t="s">
        <v>45</v>
      </c>
      <c r="K2489">
        <v>202506238117145</v>
      </c>
      <c r="L2489">
        <v>1923300181730</v>
      </c>
      <c r="M2489">
        <v>20250623</v>
      </c>
      <c r="N2489" t="s">
        <v>168</v>
      </c>
      <c r="P2489" t="s">
        <v>203</v>
      </c>
      <c r="Q2489" t="s">
        <v>47</v>
      </c>
      <c r="R2489">
        <v>10930</v>
      </c>
      <c r="S2489">
        <v>0</v>
      </c>
      <c r="T2489">
        <v>4728790</v>
      </c>
      <c r="U2489">
        <v>7892320966</v>
      </c>
      <c r="V2489" t="s">
        <v>2495</v>
      </c>
      <c r="W2489" t="s">
        <v>49</v>
      </c>
      <c r="X2489" t="s">
        <v>2496</v>
      </c>
      <c r="Y2489" t="s">
        <v>51</v>
      </c>
      <c r="Z2489">
        <v>1907</v>
      </c>
      <c r="AH2489">
        <v>0</v>
      </c>
      <c r="AI2489">
        <v>202506</v>
      </c>
      <c r="AJ2489" t="s">
        <v>86</v>
      </c>
      <c r="AK2489">
        <v>1</v>
      </c>
      <c r="AL2489">
        <v>1</v>
      </c>
      <c r="AO2489">
        <v>0</v>
      </c>
      <c r="AP2489" t="s">
        <v>3015</v>
      </c>
      <c r="AQ2489" t="s">
        <v>3012</v>
      </c>
      <c r="AR2489" t="s">
        <v>3016</v>
      </c>
      <c r="AT2489" t="s">
        <v>3017</v>
      </c>
      <c r="AU2489" t="s">
        <v>3018</v>
      </c>
    </row>
    <row r="2490" spans="1:47" x14ac:dyDescent="0.35">
      <c r="A2490">
        <v>360408</v>
      </c>
      <c r="B2490" t="s">
        <v>178</v>
      </c>
      <c r="C2490" t="s">
        <v>179</v>
      </c>
      <c r="D2490" s="2">
        <v>45832</v>
      </c>
      <c r="E2490">
        <v>53850</v>
      </c>
      <c r="F2490">
        <v>270</v>
      </c>
      <c r="G2490" t="s">
        <v>524</v>
      </c>
      <c r="H2490" t="s">
        <v>167</v>
      </c>
      <c r="I2490" t="s">
        <v>45</v>
      </c>
      <c r="K2490">
        <v>202506238119208</v>
      </c>
      <c r="L2490">
        <v>2703300010948</v>
      </c>
      <c r="M2490">
        <v>20250623</v>
      </c>
      <c r="N2490" t="s">
        <v>236</v>
      </c>
      <c r="P2490" t="s">
        <v>51</v>
      </c>
      <c r="Q2490" t="s">
        <v>170</v>
      </c>
      <c r="R2490">
        <v>202500</v>
      </c>
      <c r="S2490">
        <v>0</v>
      </c>
      <c r="T2490">
        <v>3742155</v>
      </c>
      <c r="U2490" t="s">
        <v>2476</v>
      </c>
      <c r="V2490" t="s">
        <v>2477</v>
      </c>
      <c r="W2490" t="s">
        <v>187</v>
      </c>
      <c r="Y2490" t="s">
        <v>51</v>
      </c>
      <c r="Z2490">
        <v>1875</v>
      </c>
      <c r="AH2490">
        <v>0</v>
      </c>
      <c r="AI2490">
        <v>202506</v>
      </c>
      <c r="AJ2490" t="s">
        <v>52</v>
      </c>
      <c r="AK2490">
        <v>0</v>
      </c>
      <c r="AL2490">
        <v>1</v>
      </c>
      <c r="AO2490">
        <v>0</v>
      </c>
      <c r="AP2490" t="s">
        <v>3015</v>
      </c>
      <c r="AQ2490" t="s">
        <v>3044</v>
      </c>
      <c r="AR2490" t="s">
        <v>3045</v>
      </c>
      <c r="AS2490" t="s">
        <v>3046</v>
      </c>
      <c r="AU2490" t="s">
        <v>3046</v>
      </c>
    </row>
    <row r="2491" spans="1:47" x14ac:dyDescent="0.35">
      <c r="A2491">
        <v>360407</v>
      </c>
      <c r="B2491" t="s">
        <v>164</v>
      </c>
      <c r="C2491" t="s">
        <v>165</v>
      </c>
      <c r="D2491" s="2">
        <v>45832</v>
      </c>
      <c r="E2491">
        <v>53850</v>
      </c>
      <c r="F2491">
        <v>149</v>
      </c>
      <c r="G2491" t="s">
        <v>449</v>
      </c>
      <c r="H2491" t="s">
        <v>167</v>
      </c>
      <c r="I2491" t="s">
        <v>45</v>
      </c>
      <c r="K2491">
        <v>202506238117440</v>
      </c>
      <c r="L2491">
        <v>1493300663564</v>
      </c>
      <c r="M2491">
        <v>20250623</v>
      </c>
      <c r="N2491" t="s">
        <v>168</v>
      </c>
      <c r="P2491" t="s">
        <v>255</v>
      </c>
      <c r="Q2491" t="s">
        <v>47</v>
      </c>
      <c r="R2491">
        <v>16286.5</v>
      </c>
      <c r="S2491">
        <v>0</v>
      </c>
      <c r="T2491">
        <v>4851736</v>
      </c>
      <c r="U2491">
        <v>8243781211</v>
      </c>
      <c r="V2491" t="s">
        <v>1240</v>
      </c>
      <c r="W2491" t="s">
        <v>49</v>
      </c>
      <c r="X2491" t="s">
        <v>451</v>
      </c>
      <c r="Y2491" t="s">
        <v>51</v>
      </c>
      <c r="Z2491">
        <v>1256</v>
      </c>
      <c r="AH2491">
        <v>0</v>
      </c>
      <c r="AI2491">
        <v>202506</v>
      </c>
      <c r="AJ2491" t="s">
        <v>86</v>
      </c>
      <c r="AK2491">
        <v>1</v>
      </c>
      <c r="AL2491">
        <v>1</v>
      </c>
      <c r="AO2491">
        <v>0</v>
      </c>
      <c r="AP2491" t="s">
        <v>3015</v>
      </c>
      <c r="AQ2491" t="s">
        <v>3012</v>
      </c>
      <c r="AR2491" t="s">
        <v>3016</v>
      </c>
      <c r="AT2491" t="s">
        <v>3017</v>
      </c>
      <c r="AU2491" t="s">
        <v>3018</v>
      </c>
    </row>
    <row r="2492" spans="1:47" x14ac:dyDescent="0.35">
      <c r="A2492">
        <v>360406</v>
      </c>
      <c r="B2492" t="s">
        <v>164</v>
      </c>
      <c r="C2492" t="s">
        <v>165</v>
      </c>
      <c r="D2492" s="2">
        <v>45832</v>
      </c>
      <c r="E2492">
        <v>53850</v>
      </c>
      <c r="F2492">
        <v>175</v>
      </c>
      <c r="G2492" t="s">
        <v>99</v>
      </c>
      <c r="H2492" t="s">
        <v>167</v>
      </c>
      <c r="I2492" t="s">
        <v>45</v>
      </c>
      <c r="K2492" t="s">
        <v>2497</v>
      </c>
      <c r="L2492">
        <v>1753302204249</v>
      </c>
      <c r="M2492">
        <v>20250623</v>
      </c>
      <c r="N2492" t="s">
        <v>168</v>
      </c>
      <c r="P2492" t="s">
        <v>255</v>
      </c>
      <c r="Q2492" t="s">
        <v>47</v>
      </c>
      <c r="R2492">
        <v>1000</v>
      </c>
      <c r="S2492">
        <v>0</v>
      </c>
      <c r="T2492">
        <v>4971678</v>
      </c>
      <c r="U2492" t="s">
        <v>2498</v>
      </c>
      <c r="V2492" t="s">
        <v>2499</v>
      </c>
      <c r="W2492" t="s">
        <v>342</v>
      </c>
      <c r="X2492" t="s">
        <v>850</v>
      </c>
      <c r="Y2492" t="s">
        <v>51</v>
      </c>
      <c r="Z2492">
        <v>1093</v>
      </c>
      <c r="AH2492">
        <v>0</v>
      </c>
      <c r="AI2492">
        <v>202506</v>
      </c>
      <c r="AJ2492" t="s">
        <v>86</v>
      </c>
      <c r="AK2492">
        <v>1</v>
      </c>
      <c r="AL2492">
        <v>1</v>
      </c>
      <c r="AO2492">
        <v>0</v>
      </c>
      <c r="AP2492" t="s">
        <v>3015</v>
      </c>
      <c r="AQ2492" t="s">
        <v>3060</v>
      </c>
      <c r="AR2492" t="s">
        <v>3061</v>
      </c>
      <c r="AT2492" t="s">
        <v>3017</v>
      </c>
      <c r="AU2492" t="s">
        <v>3014</v>
      </c>
    </row>
    <row r="2493" spans="1:47" x14ac:dyDescent="0.35">
      <c r="A2493">
        <v>360405</v>
      </c>
      <c r="B2493" t="s">
        <v>193</v>
      </c>
      <c r="C2493" t="s">
        <v>194</v>
      </c>
      <c r="D2493" s="2">
        <v>45832</v>
      </c>
      <c r="E2493">
        <v>53850</v>
      </c>
      <c r="F2493">
        <v>267</v>
      </c>
      <c r="G2493" t="s">
        <v>349</v>
      </c>
      <c r="H2493" t="s">
        <v>167</v>
      </c>
      <c r="I2493" t="s">
        <v>45</v>
      </c>
      <c r="K2493" t="s">
        <v>2478</v>
      </c>
      <c r="L2493">
        <v>2673300003600</v>
      </c>
      <c r="M2493">
        <v>20250623</v>
      </c>
      <c r="N2493" t="s">
        <v>175</v>
      </c>
      <c r="Q2493" t="s">
        <v>47</v>
      </c>
      <c r="R2493">
        <v>121088</v>
      </c>
      <c r="S2493">
        <v>120000</v>
      </c>
      <c r="T2493">
        <v>1705101</v>
      </c>
      <c r="U2493">
        <v>2896870793</v>
      </c>
      <c r="V2493" t="s">
        <v>439</v>
      </c>
      <c r="W2493" t="s">
        <v>190</v>
      </c>
      <c r="X2493" t="s">
        <v>200</v>
      </c>
      <c r="Y2493" t="s">
        <v>51</v>
      </c>
      <c r="Z2493">
        <v>1878</v>
      </c>
      <c r="AH2493">
        <v>0</v>
      </c>
      <c r="AI2493">
        <v>202506</v>
      </c>
      <c r="AJ2493" t="s">
        <v>119</v>
      </c>
      <c r="AK2493">
        <v>1</v>
      </c>
      <c r="AL2493">
        <v>1</v>
      </c>
      <c r="AM2493">
        <v>1705101</v>
      </c>
      <c r="AN2493">
        <v>1</v>
      </c>
      <c r="AO2493">
        <v>1</v>
      </c>
      <c r="AP2493" t="s">
        <v>3015</v>
      </c>
      <c r="AQ2493" t="s">
        <v>3047</v>
      </c>
      <c r="AR2493" t="s">
        <v>3056</v>
      </c>
      <c r="AT2493" t="s">
        <v>3017</v>
      </c>
      <c r="AU2493" t="s">
        <v>3057</v>
      </c>
    </row>
    <row r="2494" spans="1:47" x14ac:dyDescent="0.35">
      <c r="A2494">
        <v>360404</v>
      </c>
      <c r="B2494" t="s">
        <v>178</v>
      </c>
      <c r="C2494" t="s">
        <v>179</v>
      </c>
      <c r="D2494" s="2">
        <v>45832</v>
      </c>
      <c r="E2494">
        <v>53850</v>
      </c>
      <c r="F2494">
        <v>132</v>
      </c>
      <c r="G2494" t="s">
        <v>92</v>
      </c>
      <c r="H2494" t="s">
        <v>167</v>
      </c>
      <c r="I2494" t="s">
        <v>45</v>
      </c>
      <c r="K2494">
        <v>202506238118206</v>
      </c>
      <c r="L2494">
        <v>1323300001591</v>
      </c>
      <c r="M2494">
        <v>20250623</v>
      </c>
      <c r="N2494" t="s">
        <v>659</v>
      </c>
      <c r="Q2494" t="s">
        <v>170</v>
      </c>
      <c r="R2494">
        <v>160000</v>
      </c>
      <c r="S2494">
        <v>0</v>
      </c>
      <c r="T2494">
        <v>4325549</v>
      </c>
      <c r="U2494" t="s">
        <v>2500</v>
      </c>
      <c r="V2494" t="s">
        <v>2501</v>
      </c>
      <c r="W2494" t="s">
        <v>187</v>
      </c>
      <c r="Y2494" t="s">
        <v>51</v>
      </c>
      <c r="Z2494">
        <v>1959</v>
      </c>
      <c r="AH2494">
        <v>0</v>
      </c>
      <c r="AI2494">
        <v>202506</v>
      </c>
      <c r="AJ2494" t="s">
        <v>86</v>
      </c>
      <c r="AK2494">
        <v>1</v>
      </c>
      <c r="AL2494">
        <v>1</v>
      </c>
      <c r="AO2494">
        <v>0</v>
      </c>
      <c r="AP2494" t="s">
        <v>3015</v>
      </c>
      <c r="AQ2494" t="s">
        <v>3044</v>
      </c>
      <c r="AR2494" t="s">
        <v>3045</v>
      </c>
      <c r="AS2494" t="s">
        <v>3046</v>
      </c>
      <c r="AU2494" t="s">
        <v>3046</v>
      </c>
    </row>
    <row r="2495" spans="1:47" x14ac:dyDescent="0.35">
      <c r="A2495">
        <v>360403</v>
      </c>
      <c r="B2495" t="s">
        <v>178</v>
      </c>
      <c r="C2495" t="s">
        <v>179</v>
      </c>
      <c r="D2495" s="2">
        <v>45832</v>
      </c>
      <c r="E2495">
        <v>53850</v>
      </c>
      <c r="F2495">
        <v>266</v>
      </c>
      <c r="G2495" t="s">
        <v>1248</v>
      </c>
      <c r="H2495" t="s">
        <v>167</v>
      </c>
      <c r="I2495" t="s">
        <v>45</v>
      </c>
      <c r="K2495">
        <v>202506238118644</v>
      </c>
      <c r="L2495">
        <v>2663300000906</v>
      </c>
      <c r="M2495">
        <v>20250623</v>
      </c>
      <c r="N2495" t="s">
        <v>3136</v>
      </c>
      <c r="Q2495" t="s">
        <v>170</v>
      </c>
      <c r="R2495">
        <v>9464.8799999999992</v>
      </c>
      <c r="S2495">
        <v>0</v>
      </c>
      <c r="T2495">
        <v>1704324</v>
      </c>
      <c r="U2495" t="s">
        <v>2502</v>
      </c>
      <c r="V2495" t="s">
        <v>2503</v>
      </c>
      <c r="W2495" t="s">
        <v>187</v>
      </c>
      <c r="Y2495" t="s">
        <v>51</v>
      </c>
      <c r="AH2495">
        <v>0</v>
      </c>
      <c r="AI2495">
        <v>202506</v>
      </c>
      <c r="AJ2495" t="s">
        <v>86</v>
      </c>
      <c r="AK2495">
        <v>1</v>
      </c>
      <c r="AL2495">
        <v>1</v>
      </c>
      <c r="AO2495">
        <v>1</v>
      </c>
      <c r="AP2495" t="s">
        <v>3015</v>
      </c>
      <c r="AQ2495" t="s">
        <v>3044</v>
      </c>
      <c r="AR2495" t="s">
        <v>3045</v>
      </c>
      <c r="AS2495" t="s">
        <v>3046</v>
      </c>
      <c r="AU2495" t="s">
        <v>3046</v>
      </c>
    </row>
    <row r="2496" spans="1:47" x14ac:dyDescent="0.35">
      <c r="A2496">
        <v>360402</v>
      </c>
      <c r="B2496" t="s">
        <v>193</v>
      </c>
      <c r="C2496" t="s">
        <v>194</v>
      </c>
      <c r="D2496" s="2">
        <v>45832</v>
      </c>
      <c r="E2496">
        <v>53850</v>
      </c>
      <c r="F2496">
        <v>171</v>
      </c>
      <c r="G2496" t="s">
        <v>198</v>
      </c>
      <c r="H2496" t="s">
        <v>167</v>
      </c>
      <c r="I2496" t="s">
        <v>45</v>
      </c>
      <c r="K2496" t="s">
        <v>2478</v>
      </c>
      <c r="L2496">
        <v>1713302214147</v>
      </c>
      <c r="M2496">
        <v>20250623</v>
      </c>
      <c r="N2496" t="s">
        <v>195</v>
      </c>
      <c r="Q2496" t="s">
        <v>47</v>
      </c>
      <c r="R2496">
        <v>87621.26</v>
      </c>
      <c r="S2496">
        <v>87621.26</v>
      </c>
      <c r="T2496">
        <v>4199319</v>
      </c>
      <c r="U2496">
        <v>6037810725</v>
      </c>
      <c r="V2496" t="s">
        <v>1144</v>
      </c>
      <c r="W2496" t="s">
        <v>49</v>
      </c>
      <c r="X2496" t="s">
        <v>200</v>
      </c>
      <c r="Y2496" t="s">
        <v>51</v>
      </c>
      <c r="Z2496">
        <v>1903</v>
      </c>
      <c r="AH2496">
        <v>0</v>
      </c>
      <c r="AI2496">
        <v>202506</v>
      </c>
      <c r="AJ2496" t="s">
        <v>86</v>
      </c>
      <c r="AK2496">
        <v>1</v>
      </c>
      <c r="AL2496">
        <v>1</v>
      </c>
      <c r="AM2496">
        <v>4199319</v>
      </c>
      <c r="AN2496">
        <v>1</v>
      </c>
      <c r="AO2496">
        <v>0</v>
      </c>
      <c r="AP2496" t="s">
        <v>3015</v>
      </c>
      <c r="AQ2496" t="s">
        <v>3012</v>
      </c>
      <c r="AR2496" t="s">
        <v>3016</v>
      </c>
      <c r="AT2496" t="s">
        <v>3017</v>
      </c>
      <c r="AU2496" t="s">
        <v>3018</v>
      </c>
    </row>
    <row r="2497" spans="1:47" x14ac:dyDescent="0.35">
      <c r="A2497">
        <v>360401</v>
      </c>
      <c r="B2497" t="s">
        <v>178</v>
      </c>
      <c r="C2497" t="s">
        <v>179</v>
      </c>
      <c r="D2497" s="2">
        <v>45832</v>
      </c>
      <c r="E2497">
        <v>53850</v>
      </c>
      <c r="F2497">
        <v>270</v>
      </c>
      <c r="G2497" t="s">
        <v>524</v>
      </c>
      <c r="H2497" t="s">
        <v>167</v>
      </c>
      <c r="I2497" t="s">
        <v>45</v>
      </c>
      <c r="K2497">
        <v>202506238119209</v>
      </c>
      <c r="L2497">
        <v>2703300010948</v>
      </c>
      <c r="M2497">
        <v>20250623</v>
      </c>
      <c r="N2497" t="s">
        <v>236</v>
      </c>
      <c r="P2497" t="s">
        <v>51</v>
      </c>
      <c r="Q2497" t="s">
        <v>170</v>
      </c>
      <c r="R2497">
        <v>202500</v>
      </c>
      <c r="S2497">
        <v>0</v>
      </c>
      <c r="T2497">
        <v>3742655</v>
      </c>
      <c r="U2497" t="s">
        <v>2504</v>
      </c>
      <c r="V2497" t="s">
        <v>2505</v>
      </c>
      <c r="W2497" t="s">
        <v>187</v>
      </c>
      <c r="Y2497" t="s">
        <v>51</v>
      </c>
      <c r="Z2497">
        <v>1875</v>
      </c>
      <c r="AH2497">
        <v>0</v>
      </c>
      <c r="AI2497">
        <v>202506</v>
      </c>
      <c r="AJ2497" t="s">
        <v>52</v>
      </c>
      <c r="AK2497">
        <v>0</v>
      </c>
      <c r="AL2497">
        <v>1</v>
      </c>
      <c r="AO2497">
        <v>0</v>
      </c>
      <c r="AP2497" t="s">
        <v>3015</v>
      </c>
      <c r="AQ2497" t="s">
        <v>3044</v>
      </c>
      <c r="AR2497" t="s">
        <v>3045</v>
      </c>
      <c r="AS2497" t="s">
        <v>3046</v>
      </c>
      <c r="AU2497" t="s">
        <v>3046</v>
      </c>
    </row>
    <row r="2498" spans="1:47" x14ac:dyDescent="0.35">
      <c r="A2498">
        <v>360400</v>
      </c>
      <c r="B2498" t="s">
        <v>193</v>
      </c>
      <c r="C2498" t="s">
        <v>194</v>
      </c>
      <c r="D2498" s="2">
        <v>45832</v>
      </c>
      <c r="E2498">
        <v>53850</v>
      </c>
      <c r="F2498">
        <v>109</v>
      </c>
      <c r="G2498" t="s">
        <v>89</v>
      </c>
      <c r="H2498" t="s">
        <v>167</v>
      </c>
      <c r="I2498" t="s">
        <v>45</v>
      </c>
      <c r="K2498">
        <v>202506238118786</v>
      </c>
      <c r="L2498">
        <v>1093306675356</v>
      </c>
      <c r="M2498">
        <v>20250623</v>
      </c>
      <c r="N2498" t="s">
        <v>266</v>
      </c>
      <c r="Q2498" t="s">
        <v>47</v>
      </c>
      <c r="R2498">
        <v>31500</v>
      </c>
      <c r="S2498">
        <v>31500</v>
      </c>
      <c r="T2498">
        <v>4976123</v>
      </c>
      <c r="U2498">
        <v>8630940727</v>
      </c>
      <c r="V2498" t="s">
        <v>717</v>
      </c>
      <c r="W2498" t="s">
        <v>49</v>
      </c>
      <c r="X2498" t="s">
        <v>131</v>
      </c>
      <c r="Y2498" t="s">
        <v>51</v>
      </c>
      <c r="Z2498">
        <v>502</v>
      </c>
      <c r="AH2498">
        <v>0</v>
      </c>
      <c r="AI2498">
        <v>202506</v>
      </c>
      <c r="AJ2498" t="s">
        <v>56</v>
      </c>
      <c r="AK2498">
        <v>0</v>
      </c>
      <c r="AL2498">
        <v>1</v>
      </c>
      <c r="AM2498">
        <v>4976123</v>
      </c>
      <c r="AN2498">
        <v>1</v>
      </c>
      <c r="AO2498">
        <v>0</v>
      </c>
      <c r="AP2498" t="s">
        <v>3033</v>
      </c>
      <c r="AQ2498" t="s">
        <v>3012</v>
      </c>
      <c r="AR2498" t="s">
        <v>3034</v>
      </c>
      <c r="AS2498" t="s">
        <v>3014</v>
      </c>
      <c r="AU2498" t="s">
        <v>3014</v>
      </c>
    </row>
    <row r="2499" spans="1:47" x14ac:dyDescent="0.35">
      <c r="A2499">
        <v>360399</v>
      </c>
      <c r="B2499" t="s">
        <v>193</v>
      </c>
      <c r="C2499" t="s">
        <v>194</v>
      </c>
      <c r="D2499" s="2">
        <v>45832</v>
      </c>
      <c r="E2499">
        <v>53850</v>
      </c>
      <c r="F2499">
        <v>114</v>
      </c>
      <c r="G2499" t="s">
        <v>188</v>
      </c>
      <c r="H2499" t="s">
        <v>167</v>
      </c>
      <c r="I2499" t="s">
        <v>45</v>
      </c>
      <c r="K2499" t="s">
        <v>2478</v>
      </c>
      <c r="L2499">
        <v>1143306280621</v>
      </c>
      <c r="M2499">
        <v>20250623</v>
      </c>
      <c r="N2499" t="s">
        <v>266</v>
      </c>
      <c r="Q2499" t="s">
        <v>47</v>
      </c>
      <c r="R2499">
        <v>93700</v>
      </c>
      <c r="S2499">
        <v>93700</v>
      </c>
      <c r="T2499">
        <v>4658875</v>
      </c>
      <c r="U2499">
        <v>3230890711</v>
      </c>
      <c r="V2499" t="s">
        <v>1363</v>
      </c>
      <c r="W2499" t="s">
        <v>49</v>
      </c>
      <c r="X2499" t="s">
        <v>131</v>
      </c>
      <c r="Y2499" t="s">
        <v>51</v>
      </c>
      <c r="Z2499">
        <v>870</v>
      </c>
      <c r="AH2499">
        <v>0</v>
      </c>
      <c r="AI2499">
        <v>202506</v>
      </c>
      <c r="AJ2499" t="s">
        <v>56</v>
      </c>
      <c r="AK2499">
        <v>0</v>
      </c>
      <c r="AL2499">
        <v>1</v>
      </c>
      <c r="AM2499">
        <v>4658875</v>
      </c>
      <c r="AN2499">
        <v>1</v>
      </c>
      <c r="AO2499">
        <v>0</v>
      </c>
      <c r="AP2499" t="s">
        <v>3033</v>
      </c>
      <c r="AQ2499" t="s">
        <v>3012</v>
      </c>
      <c r="AR2499" t="s">
        <v>3034</v>
      </c>
      <c r="AS2499" t="s">
        <v>3014</v>
      </c>
      <c r="AU2499" t="s">
        <v>3014</v>
      </c>
    </row>
    <row r="2500" spans="1:47" x14ac:dyDescent="0.35">
      <c r="A2500">
        <v>360398</v>
      </c>
      <c r="B2500" t="s">
        <v>193</v>
      </c>
      <c r="C2500" t="s">
        <v>194</v>
      </c>
      <c r="D2500" s="2">
        <v>45832</v>
      </c>
      <c r="E2500">
        <v>53850</v>
      </c>
      <c r="F2500">
        <v>259</v>
      </c>
      <c r="G2500" t="s">
        <v>361</v>
      </c>
      <c r="H2500" t="s">
        <v>167</v>
      </c>
      <c r="I2500" t="s">
        <v>45</v>
      </c>
      <c r="K2500" t="s">
        <v>2478</v>
      </c>
      <c r="L2500">
        <v>2593300000146</v>
      </c>
      <c r="M2500">
        <v>20250623</v>
      </c>
      <c r="N2500" t="s">
        <v>175</v>
      </c>
      <c r="Q2500" t="s">
        <v>47</v>
      </c>
      <c r="R2500">
        <v>37559.17</v>
      </c>
      <c r="S2500">
        <v>33450</v>
      </c>
      <c r="T2500">
        <v>4574357</v>
      </c>
      <c r="U2500">
        <v>5690380729</v>
      </c>
      <c r="V2500" t="s">
        <v>486</v>
      </c>
      <c r="W2500" t="s">
        <v>49</v>
      </c>
      <c r="X2500" t="s">
        <v>117</v>
      </c>
      <c r="Y2500" t="s">
        <v>51</v>
      </c>
      <c r="Z2500">
        <v>1058</v>
      </c>
      <c r="AH2500">
        <v>0</v>
      </c>
      <c r="AI2500">
        <v>202506</v>
      </c>
      <c r="AJ2500" t="s">
        <v>119</v>
      </c>
      <c r="AK2500">
        <v>1</v>
      </c>
      <c r="AL2500">
        <v>1</v>
      </c>
      <c r="AM2500">
        <v>4574357</v>
      </c>
      <c r="AN2500">
        <v>1</v>
      </c>
      <c r="AO2500">
        <v>1</v>
      </c>
      <c r="AP2500" t="s">
        <v>3029</v>
      </c>
      <c r="AQ2500" t="s">
        <v>3012</v>
      </c>
      <c r="AR2500" t="s">
        <v>3030</v>
      </c>
      <c r="AS2500" t="s">
        <v>3014</v>
      </c>
      <c r="AU2500" t="s">
        <v>3014</v>
      </c>
    </row>
    <row r="2501" spans="1:47" x14ac:dyDescent="0.35">
      <c r="A2501">
        <v>360397</v>
      </c>
      <c r="B2501" t="s">
        <v>172</v>
      </c>
      <c r="C2501" t="s">
        <v>173</v>
      </c>
      <c r="D2501" s="2">
        <v>45832</v>
      </c>
      <c r="E2501">
        <v>53850</v>
      </c>
      <c r="F2501">
        <v>128</v>
      </c>
      <c r="G2501" t="s">
        <v>94</v>
      </c>
      <c r="H2501" t="s">
        <v>167</v>
      </c>
      <c r="I2501" t="s">
        <v>45</v>
      </c>
      <c r="K2501" t="s">
        <v>2478</v>
      </c>
      <c r="L2501">
        <v>1283300001665</v>
      </c>
      <c r="M2501">
        <v>20250623</v>
      </c>
      <c r="N2501" t="s">
        <v>175</v>
      </c>
      <c r="Q2501" t="s">
        <v>47</v>
      </c>
      <c r="R2501">
        <v>209603.69</v>
      </c>
      <c r="S2501">
        <v>4200</v>
      </c>
      <c r="T2501">
        <v>4254896</v>
      </c>
      <c r="U2501">
        <v>6234730726</v>
      </c>
      <c r="V2501" t="s">
        <v>95</v>
      </c>
      <c r="W2501" t="s">
        <v>49</v>
      </c>
      <c r="X2501" t="s">
        <v>96</v>
      </c>
      <c r="Y2501" t="s">
        <v>51</v>
      </c>
      <c r="Z2501">
        <v>1919</v>
      </c>
      <c r="AH2501">
        <v>0</v>
      </c>
      <c r="AI2501">
        <v>202506</v>
      </c>
      <c r="AJ2501" t="s">
        <v>86</v>
      </c>
      <c r="AK2501">
        <v>1</v>
      </c>
      <c r="AL2501">
        <v>1</v>
      </c>
      <c r="AO2501">
        <v>1</v>
      </c>
      <c r="AP2501" t="s">
        <v>3015</v>
      </c>
      <c r="AQ2501" t="s">
        <v>3012</v>
      </c>
      <c r="AR2501" t="s">
        <v>3016</v>
      </c>
      <c r="AT2501" t="s">
        <v>3017</v>
      </c>
      <c r="AU2501" t="s">
        <v>3018</v>
      </c>
    </row>
    <row r="2502" spans="1:47" x14ac:dyDescent="0.35">
      <c r="A2502">
        <v>360396</v>
      </c>
      <c r="B2502" t="s">
        <v>178</v>
      </c>
      <c r="C2502" t="s">
        <v>179</v>
      </c>
      <c r="D2502" s="2">
        <v>45832</v>
      </c>
      <c r="E2502">
        <v>53850</v>
      </c>
      <c r="F2502">
        <v>114</v>
      </c>
      <c r="G2502" t="s">
        <v>188</v>
      </c>
      <c r="H2502" t="s">
        <v>167</v>
      </c>
      <c r="I2502" t="s">
        <v>45</v>
      </c>
      <c r="K2502">
        <v>202506238118650</v>
      </c>
      <c r="L2502">
        <v>1143306282060</v>
      </c>
      <c r="M2502">
        <v>20250623</v>
      </c>
      <c r="N2502" t="s">
        <v>3136</v>
      </c>
      <c r="Q2502" t="s">
        <v>170</v>
      </c>
      <c r="R2502">
        <v>7531.77</v>
      </c>
      <c r="S2502">
        <v>0</v>
      </c>
      <c r="T2502">
        <v>4917552</v>
      </c>
      <c r="U2502" t="s">
        <v>2506</v>
      </c>
      <c r="V2502" t="s">
        <v>2507</v>
      </c>
      <c r="W2502" t="s">
        <v>69</v>
      </c>
      <c r="X2502" t="s">
        <v>70</v>
      </c>
      <c r="Y2502" t="s">
        <v>51</v>
      </c>
      <c r="Z2502">
        <v>869</v>
      </c>
      <c r="AH2502">
        <v>0</v>
      </c>
      <c r="AI2502">
        <v>202506</v>
      </c>
      <c r="AJ2502" t="s">
        <v>52</v>
      </c>
      <c r="AK2502">
        <v>0</v>
      </c>
      <c r="AL2502">
        <v>1</v>
      </c>
      <c r="AO2502">
        <v>1</v>
      </c>
      <c r="AP2502" t="s">
        <v>3015</v>
      </c>
      <c r="AQ2502" t="s">
        <v>3021</v>
      </c>
      <c r="AR2502" t="s">
        <v>3022</v>
      </c>
      <c r="AT2502" t="s">
        <v>3017</v>
      </c>
      <c r="AU2502" t="s">
        <v>3014</v>
      </c>
    </row>
    <row r="2503" spans="1:47" x14ac:dyDescent="0.35">
      <c r="A2503">
        <v>360395</v>
      </c>
      <c r="B2503" t="s">
        <v>164</v>
      </c>
      <c r="C2503" t="s">
        <v>165</v>
      </c>
      <c r="D2503" s="2">
        <v>45832</v>
      </c>
      <c r="E2503">
        <v>53850</v>
      </c>
      <c r="F2503">
        <v>111</v>
      </c>
      <c r="G2503" t="s">
        <v>458</v>
      </c>
      <c r="H2503" t="s">
        <v>167</v>
      </c>
      <c r="I2503" t="s">
        <v>45</v>
      </c>
      <c r="K2503" t="s">
        <v>2508</v>
      </c>
      <c r="L2503">
        <v>1113302815423</v>
      </c>
      <c r="M2503">
        <v>20250623</v>
      </c>
      <c r="N2503" t="s">
        <v>168</v>
      </c>
      <c r="P2503" t="s">
        <v>169</v>
      </c>
      <c r="Q2503" t="s">
        <v>170</v>
      </c>
      <c r="R2503">
        <v>2150</v>
      </c>
      <c r="S2503">
        <v>0</v>
      </c>
      <c r="T2503">
        <v>4943888</v>
      </c>
      <c r="U2503" t="s">
        <v>2509</v>
      </c>
      <c r="V2503" t="s">
        <v>2510</v>
      </c>
      <c r="W2503" t="s">
        <v>187</v>
      </c>
      <c r="Y2503" t="s">
        <v>51</v>
      </c>
      <c r="Z2503">
        <v>593</v>
      </c>
      <c r="AH2503">
        <v>0</v>
      </c>
      <c r="AI2503">
        <v>202506</v>
      </c>
      <c r="AJ2503" t="s">
        <v>86</v>
      </c>
      <c r="AK2503">
        <v>1</v>
      </c>
      <c r="AL2503">
        <v>1</v>
      </c>
      <c r="AO2503">
        <v>0</v>
      </c>
      <c r="AP2503" t="s">
        <v>3015</v>
      </c>
      <c r="AQ2503" t="s">
        <v>3044</v>
      </c>
      <c r="AR2503" t="s">
        <v>3045</v>
      </c>
      <c r="AS2503" t="s">
        <v>3046</v>
      </c>
      <c r="AU2503" t="s">
        <v>3046</v>
      </c>
    </row>
    <row r="2504" spans="1:47" x14ac:dyDescent="0.35">
      <c r="A2504">
        <v>360394</v>
      </c>
      <c r="B2504" t="s">
        <v>172</v>
      </c>
      <c r="C2504" t="s">
        <v>173</v>
      </c>
      <c r="D2504" s="2">
        <v>45832</v>
      </c>
      <c r="E2504">
        <v>53850</v>
      </c>
      <c r="F2504">
        <v>129</v>
      </c>
      <c r="G2504" t="s">
        <v>227</v>
      </c>
      <c r="H2504" t="s">
        <v>167</v>
      </c>
      <c r="I2504" t="s">
        <v>45</v>
      </c>
      <c r="K2504" t="s">
        <v>2478</v>
      </c>
      <c r="L2504">
        <v>1293300001331</v>
      </c>
      <c r="M2504">
        <v>20250623</v>
      </c>
      <c r="N2504" t="s">
        <v>175</v>
      </c>
      <c r="Q2504" t="s">
        <v>47</v>
      </c>
      <c r="R2504">
        <v>143056.84</v>
      </c>
      <c r="S2504">
        <v>17050</v>
      </c>
      <c r="T2504">
        <v>456478</v>
      </c>
      <c r="U2504">
        <v>1161370729</v>
      </c>
      <c r="V2504" t="s">
        <v>2511</v>
      </c>
      <c r="W2504" t="s">
        <v>49</v>
      </c>
      <c r="X2504" t="s">
        <v>62</v>
      </c>
      <c r="Y2504" t="s">
        <v>51</v>
      </c>
      <c r="Z2504">
        <v>1058</v>
      </c>
      <c r="AH2504">
        <v>0</v>
      </c>
      <c r="AI2504">
        <v>202506</v>
      </c>
      <c r="AJ2504" t="s">
        <v>86</v>
      </c>
      <c r="AK2504">
        <v>1</v>
      </c>
      <c r="AL2504">
        <v>1</v>
      </c>
      <c r="AO2504">
        <v>1</v>
      </c>
      <c r="AP2504" t="s">
        <v>3015</v>
      </c>
      <c r="AQ2504" t="s">
        <v>3012</v>
      </c>
      <c r="AR2504" t="s">
        <v>3016</v>
      </c>
      <c r="AT2504" t="s">
        <v>3017</v>
      </c>
      <c r="AU2504" t="s">
        <v>3018</v>
      </c>
    </row>
    <row r="2505" spans="1:47" x14ac:dyDescent="0.35">
      <c r="A2505">
        <v>360393</v>
      </c>
      <c r="B2505" t="s">
        <v>193</v>
      </c>
      <c r="C2505" t="s">
        <v>194</v>
      </c>
      <c r="D2505" s="2">
        <v>45832</v>
      </c>
      <c r="E2505">
        <v>53850</v>
      </c>
      <c r="F2505">
        <v>170</v>
      </c>
      <c r="G2505" t="s">
        <v>211</v>
      </c>
      <c r="H2505" t="s">
        <v>167</v>
      </c>
      <c r="I2505" t="s">
        <v>45</v>
      </c>
      <c r="K2505" t="s">
        <v>2478</v>
      </c>
      <c r="L2505">
        <v>1703300000428</v>
      </c>
      <c r="M2505">
        <v>20250623</v>
      </c>
      <c r="N2505" t="s">
        <v>195</v>
      </c>
      <c r="Q2505" t="s">
        <v>47</v>
      </c>
      <c r="R2505">
        <v>50000</v>
      </c>
      <c r="S2505">
        <v>50000</v>
      </c>
      <c r="T2505">
        <v>4833134</v>
      </c>
      <c r="U2505">
        <v>7323170725</v>
      </c>
      <c r="V2505" t="s">
        <v>425</v>
      </c>
      <c r="W2505" t="s">
        <v>49</v>
      </c>
      <c r="X2505" t="s">
        <v>413</v>
      </c>
      <c r="Y2505" t="s">
        <v>51</v>
      </c>
      <c r="Z2505">
        <v>694</v>
      </c>
      <c r="AH2505">
        <v>0</v>
      </c>
      <c r="AI2505">
        <v>202506</v>
      </c>
      <c r="AJ2505" t="s">
        <v>56</v>
      </c>
      <c r="AK2505">
        <v>0</v>
      </c>
      <c r="AL2505">
        <v>1</v>
      </c>
      <c r="AM2505">
        <v>4833134</v>
      </c>
      <c r="AN2505">
        <v>1</v>
      </c>
      <c r="AO2505">
        <v>0</v>
      </c>
      <c r="AP2505" t="s">
        <v>3015</v>
      </c>
      <c r="AQ2505" t="s">
        <v>3012</v>
      </c>
      <c r="AR2505" t="s">
        <v>3016</v>
      </c>
      <c r="AT2505" t="s">
        <v>3017</v>
      </c>
      <c r="AU2505" t="s">
        <v>3018</v>
      </c>
    </row>
    <row r="2506" spans="1:47" x14ac:dyDescent="0.35">
      <c r="A2506">
        <v>360392</v>
      </c>
      <c r="B2506" t="s">
        <v>193</v>
      </c>
      <c r="C2506" t="s">
        <v>194</v>
      </c>
      <c r="D2506" s="2">
        <v>45832</v>
      </c>
      <c r="E2506">
        <v>53850</v>
      </c>
      <c r="F2506">
        <v>182</v>
      </c>
      <c r="G2506" t="s">
        <v>318</v>
      </c>
      <c r="H2506" t="s">
        <v>167</v>
      </c>
      <c r="I2506" t="s">
        <v>45</v>
      </c>
      <c r="K2506" t="s">
        <v>2478</v>
      </c>
      <c r="L2506">
        <v>1823300169301</v>
      </c>
      <c r="M2506">
        <v>20250623</v>
      </c>
      <c r="N2506" t="s">
        <v>195</v>
      </c>
      <c r="Q2506" t="s">
        <v>47</v>
      </c>
      <c r="R2506">
        <v>44685</v>
      </c>
      <c r="S2506">
        <v>44685</v>
      </c>
      <c r="T2506">
        <v>4284957</v>
      </c>
      <c r="U2506" t="s">
        <v>455</v>
      </c>
      <c r="V2506" t="s">
        <v>456</v>
      </c>
      <c r="W2506" t="s">
        <v>69</v>
      </c>
      <c r="X2506" t="s">
        <v>197</v>
      </c>
      <c r="Y2506" t="s">
        <v>51</v>
      </c>
      <c r="Z2506">
        <v>1656</v>
      </c>
      <c r="AH2506">
        <v>0</v>
      </c>
      <c r="AI2506">
        <v>202506</v>
      </c>
      <c r="AJ2506" t="s">
        <v>119</v>
      </c>
      <c r="AK2506">
        <v>1</v>
      </c>
      <c r="AL2506">
        <v>1</v>
      </c>
      <c r="AM2506">
        <v>4284957</v>
      </c>
      <c r="AN2506">
        <v>1</v>
      </c>
      <c r="AO2506">
        <v>0</v>
      </c>
      <c r="AP2506" t="s">
        <v>3050</v>
      </c>
      <c r="AQ2506" t="s">
        <v>3021</v>
      </c>
      <c r="AR2506" t="s">
        <v>3070</v>
      </c>
      <c r="AS2506" t="s">
        <v>3055</v>
      </c>
      <c r="AU2506" t="s">
        <v>3055</v>
      </c>
    </row>
    <row r="2507" spans="1:47" x14ac:dyDescent="0.35">
      <c r="A2507">
        <v>360391</v>
      </c>
      <c r="B2507" t="s">
        <v>178</v>
      </c>
      <c r="C2507" t="s">
        <v>179</v>
      </c>
      <c r="D2507" s="2">
        <v>45832</v>
      </c>
      <c r="E2507">
        <v>53850</v>
      </c>
      <c r="F2507">
        <v>141</v>
      </c>
      <c r="G2507" t="s">
        <v>105</v>
      </c>
      <c r="H2507" t="s">
        <v>167</v>
      </c>
      <c r="I2507" t="s">
        <v>45</v>
      </c>
      <c r="K2507">
        <v>202506238117466</v>
      </c>
      <c r="L2507">
        <v>1413300003985</v>
      </c>
      <c r="M2507">
        <v>20250623</v>
      </c>
      <c r="N2507" t="s">
        <v>46</v>
      </c>
      <c r="P2507" t="s">
        <v>51</v>
      </c>
      <c r="Q2507" t="s">
        <v>47</v>
      </c>
      <c r="R2507">
        <v>8550000</v>
      </c>
      <c r="S2507">
        <v>0</v>
      </c>
      <c r="T2507">
        <v>4996689</v>
      </c>
      <c r="U2507">
        <v>80010360750</v>
      </c>
      <c r="V2507" t="s">
        <v>106</v>
      </c>
      <c r="W2507" t="s">
        <v>49</v>
      </c>
      <c r="X2507" t="s">
        <v>107</v>
      </c>
      <c r="Y2507" t="s">
        <v>51</v>
      </c>
      <c r="Z2507">
        <v>1940</v>
      </c>
      <c r="AH2507">
        <v>0</v>
      </c>
      <c r="AI2507">
        <v>202506</v>
      </c>
      <c r="AJ2507" t="s">
        <v>119</v>
      </c>
      <c r="AK2507">
        <v>1</v>
      </c>
      <c r="AL2507">
        <v>1</v>
      </c>
      <c r="AO2507">
        <v>0</v>
      </c>
      <c r="AP2507" t="s">
        <v>3024</v>
      </c>
      <c r="AQ2507" t="s">
        <v>3012</v>
      </c>
      <c r="AR2507" t="s">
        <v>3025</v>
      </c>
      <c r="AS2507" t="s">
        <v>3014</v>
      </c>
      <c r="AU2507" t="s">
        <v>3014</v>
      </c>
    </row>
    <row r="2508" spans="1:47" x14ac:dyDescent="0.35">
      <c r="A2508">
        <v>360390</v>
      </c>
      <c r="B2508" t="s">
        <v>193</v>
      </c>
      <c r="C2508" t="s">
        <v>194</v>
      </c>
      <c r="D2508" s="2">
        <v>45832</v>
      </c>
      <c r="E2508">
        <v>53850</v>
      </c>
      <c r="F2508">
        <v>171</v>
      </c>
      <c r="G2508" t="s">
        <v>198</v>
      </c>
      <c r="H2508" t="s">
        <v>167</v>
      </c>
      <c r="I2508" t="s">
        <v>45</v>
      </c>
      <c r="K2508" t="s">
        <v>2478</v>
      </c>
      <c r="L2508">
        <v>1713305728950</v>
      </c>
      <c r="M2508">
        <v>20250623</v>
      </c>
      <c r="N2508" t="s">
        <v>195</v>
      </c>
      <c r="Q2508" t="s">
        <v>47</v>
      </c>
      <c r="R2508">
        <v>371309.34</v>
      </c>
      <c r="S2508">
        <v>371309.34</v>
      </c>
      <c r="T2508">
        <v>572895</v>
      </c>
      <c r="U2508">
        <v>4161600723</v>
      </c>
      <c r="V2508" t="s">
        <v>199</v>
      </c>
      <c r="W2508" t="s">
        <v>49</v>
      </c>
      <c r="X2508" t="s">
        <v>200</v>
      </c>
      <c r="Y2508" t="s">
        <v>51</v>
      </c>
      <c r="Z2508">
        <v>1903</v>
      </c>
      <c r="AH2508">
        <v>0</v>
      </c>
      <c r="AI2508">
        <v>202506</v>
      </c>
      <c r="AJ2508" t="s">
        <v>119</v>
      </c>
      <c r="AK2508">
        <v>1</v>
      </c>
      <c r="AL2508">
        <v>1</v>
      </c>
      <c r="AM2508">
        <v>572895</v>
      </c>
      <c r="AN2508">
        <v>1</v>
      </c>
      <c r="AO2508">
        <v>0</v>
      </c>
      <c r="AP2508" t="s">
        <v>3015</v>
      </c>
      <c r="AQ2508" t="s">
        <v>3012</v>
      </c>
      <c r="AR2508" t="s">
        <v>3016</v>
      </c>
      <c r="AT2508" t="s">
        <v>3017</v>
      </c>
      <c r="AU2508" t="s">
        <v>3018</v>
      </c>
    </row>
    <row r="2509" spans="1:47" x14ac:dyDescent="0.35">
      <c r="A2509">
        <v>360389</v>
      </c>
      <c r="B2509" t="s">
        <v>172</v>
      </c>
      <c r="C2509" t="s">
        <v>173</v>
      </c>
      <c r="D2509" s="2">
        <v>45832</v>
      </c>
      <c r="E2509">
        <v>53850</v>
      </c>
      <c r="F2509">
        <v>171</v>
      </c>
      <c r="G2509" t="s">
        <v>198</v>
      </c>
      <c r="H2509" t="s">
        <v>167</v>
      </c>
      <c r="I2509" t="s">
        <v>45</v>
      </c>
      <c r="K2509" t="s">
        <v>2478</v>
      </c>
      <c r="L2509">
        <v>1713305728950</v>
      </c>
      <c r="M2509">
        <v>20250623</v>
      </c>
      <c r="N2509" t="s">
        <v>195</v>
      </c>
      <c r="Q2509" t="s">
        <v>47</v>
      </c>
      <c r="R2509">
        <v>371309.34</v>
      </c>
      <c r="S2509">
        <v>371309.34</v>
      </c>
      <c r="T2509">
        <v>572895</v>
      </c>
      <c r="U2509">
        <v>4161600723</v>
      </c>
      <c r="V2509" t="s">
        <v>199</v>
      </c>
      <c r="W2509" t="s">
        <v>49</v>
      </c>
      <c r="X2509" t="s">
        <v>200</v>
      </c>
      <c r="Y2509" t="s">
        <v>51</v>
      </c>
      <c r="Z2509">
        <v>1903</v>
      </c>
      <c r="AH2509">
        <v>0</v>
      </c>
      <c r="AI2509">
        <v>202506</v>
      </c>
      <c r="AJ2509" t="s">
        <v>119</v>
      </c>
      <c r="AK2509">
        <v>1</v>
      </c>
      <c r="AL2509">
        <v>1</v>
      </c>
      <c r="AM2509">
        <v>572895</v>
      </c>
      <c r="AN2509">
        <v>1</v>
      </c>
      <c r="AO2509">
        <v>0</v>
      </c>
      <c r="AP2509" t="s">
        <v>3015</v>
      </c>
      <c r="AQ2509" t="s">
        <v>3012</v>
      </c>
      <c r="AR2509" t="s">
        <v>3016</v>
      </c>
      <c r="AT2509" t="s">
        <v>3017</v>
      </c>
      <c r="AU2509" t="s">
        <v>3018</v>
      </c>
    </row>
    <row r="2510" spans="1:47" x14ac:dyDescent="0.35">
      <c r="A2510">
        <v>360388</v>
      </c>
      <c r="B2510" t="s">
        <v>178</v>
      </c>
      <c r="C2510" t="s">
        <v>179</v>
      </c>
      <c r="D2510" s="2">
        <v>45832</v>
      </c>
      <c r="E2510">
        <v>53850</v>
      </c>
      <c r="F2510">
        <v>141</v>
      </c>
      <c r="G2510" t="s">
        <v>105</v>
      </c>
      <c r="H2510" t="s">
        <v>167</v>
      </c>
      <c r="I2510" t="s">
        <v>45</v>
      </c>
      <c r="K2510">
        <v>202506238116593</v>
      </c>
      <c r="L2510">
        <v>1413300003985</v>
      </c>
      <c r="M2510">
        <v>20250623</v>
      </c>
      <c r="N2510" t="s">
        <v>236</v>
      </c>
      <c r="P2510" t="s">
        <v>51</v>
      </c>
      <c r="Q2510" t="s">
        <v>170</v>
      </c>
      <c r="R2510">
        <v>1395000</v>
      </c>
      <c r="S2510">
        <v>0</v>
      </c>
      <c r="T2510">
        <v>4996689</v>
      </c>
      <c r="U2510">
        <v>80010360750</v>
      </c>
      <c r="V2510" t="s">
        <v>106</v>
      </c>
      <c r="W2510" t="s">
        <v>49</v>
      </c>
      <c r="X2510" t="s">
        <v>107</v>
      </c>
      <c r="Y2510" t="s">
        <v>51</v>
      </c>
      <c r="Z2510">
        <v>1940</v>
      </c>
      <c r="AH2510">
        <v>0</v>
      </c>
      <c r="AI2510">
        <v>202506</v>
      </c>
      <c r="AJ2510" t="s">
        <v>119</v>
      </c>
      <c r="AK2510">
        <v>1</v>
      </c>
      <c r="AL2510">
        <v>1</v>
      </c>
      <c r="AO2510">
        <v>0</v>
      </c>
      <c r="AP2510" t="s">
        <v>3024</v>
      </c>
      <c r="AQ2510" t="s">
        <v>3012</v>
      </c>
      <c r="AR2510" t="s">
        <v>3025</v>
      </c>
      <c r="AS2510" t="s">
        <v>3014</v>
      </c>
      <c r="AU2510" t="s">
        <v>3014</v>
      </c>
    </row>
    <row r="2511" spans="1:47" x14ac:dyDescent="0.35">
      <c r="A2511">
        <v>360387</v>
      </c>
      <c r="B2511" t="s">
        <v>193</v>
      </c>
      <c r="C2511" t="s">
        <v>194</v>
      </c>
      <c r="D2511" s="2">
        <v>45832</v>
      </c>
      <c r="E2511">
        <v>53850</v>
      </c>
      <c r="F2511">
        <v>108</v>
      </c>
      <c r="G2511" t="s">
        <v>124</v>
      </c>
      <c r="H2511" t="s">
        <v>167</v>
      </c>
      <c r="I2511" t="s">
        <v>45</v>
      </c>
      <c r="K2511" t="s">
        <v>2478</v>
      </c>
      <c r="L2511">
        <v>1083306291105</v>
      </c>
      <c r="M2511">
        <v>20250623</v>
      </c>
      <c r="N2511" t="s">
        <v>175</v>
      </c>
      <c r="Q2511" t="s">
        <v>47</v>
      </c>
      <c r="R2511">
        <v>103821.91</v>
      </c>
      <c r="S2511">
        <v>73196.850000000006</v>
      </c>
      <c r="T2511">
        <v>4227057</v>
      </c>
      <c r="U2511">
        <v>4874620729</v>
      </c>
      <c r="V2511" t="s">
        <v>250</v>
      </c>
      <c r="W2511" t="s">
        <v>49</v>
      </c>
      <c r="X2511" t="s">
        <v>62</v>
      </c>
      <c r="Y2511" t="s">
        <v>51</v>
      </c>
      <c r="Z2511">
        <v>1058</v>
      </c>
      <c r="AH2511">
        <v>0</v>
      </c>
      <c r="AI2511">
        <v>202506</v>
      </c>
      <c r="AJ2511" t="s">
        <v>119</v>
      </c>
      <c r="AK2511">
        <v>1</v>
      </c>
      <c r="AL2511">
        <v>1</v>
      </c>
      <c r="AM2511">
        <v>4227057</v>
      </c>
      <c r="AN2511">
        <v>1</v>
      </c>
      <c r="AO2511">
        <v>1</v>
      </c>
      <c r="AP2511" t="s">
        <v>3015</v>
      </c>
      <c r="AQ2511" t="s">
        <v>3012</v>
      </c>
      <c r="AR2511" t="s">
        <v>3016</v>
      </c>
      <c r="AT2511" t="s">
        <v>3017</v>
      </c>
      <c r="AU2511" t="s">
        <v>3018</v>
      </c>
    </row>
    <row r="2512" spans="1:47" x14ac:dyDescent="0.35">
      <c r="A2512">
        <v>360386</v>
      </c>
      <c r="B2512" t="s">
        <v>193</v>
      </c>
      <c r="C2512" t="s">
        <v>194</v>
      </c>
      <c r="D2512" s="2">
        <v>45832</v>
      </c>
      <c r="E2512">
        <v>53850</v>
      </c>
      <c r="F2512">
        <v>116</v>
      </c>
      <c r="G2512" t="s">
        <v>126</v>
      </c>
      <c r="H2512" t="s">
        <v>167</v>
      </c>
      <c r="I2512" t="s">
        <v>45</v>
      </c>
      <c r="K2512">
        <v>202506238118512</v>
      </c>
      <c r="L2512">
        <v>2343300010453</v>
      </c>
      <c r="M2512">
        <v>20250623</v>
      </c>
      <c r="N2512" t="s">
        <v>195</v>
      </c>
      <c r="Q2512" t="s">
        <v>47</v>
      </c>
      <c r="R2512">
        <v>151490.5</v>
      </c>
      <c r="S2512">
        <v>151490.5</v>
      </c>
      <c r="T2512">
        <v>4247777</v>
      </c>
      <c r="U2512">
        <v>233470236</v>
      </c>
      <c r="V2512" t="s">
        <v>206</v>
      </c>
      <c r="W2512" t="s">
        <v>49</v>
      </c>
      <c r="X2512" t="s">
        <v>117</v>
      </c>
      <c r="Y2512" t="s">
        <v>51</v>
      </c>
      <c r="Z2512">
        <v>1696</v>
      </c>
      <c r="AH2512">
        <v>0</v>
      </c>
      <c r="AI2512">
        <v>202506</v>
      </c>
      <c r="AJ2512" t="s">
        <v>86</v>
      </c>
      <c r="AK2512">
        <v>1</v>
      </c>
      <c r="AL2512">
        <v>1</v>
      </c>
      <c r="AM2512">
        <v>4247777</v>
      </c>
      <c r="AN2512">
        <v>1</v>
      </c>
      <c r="AO2512">
        <v>0</v>
      </c>
      <c r="AP2512" t="s">
        <v>3029</v>
      </c>
      <c r="AQ2512" t="s">
        <v>3012</v>
      </c>
      <c r="AR2512" t="s">
        <v>3030</v>
      </c>
      <c r="AS2512" t="s">
        <v>3014</v>
      </c>
      <c r="AU2512" t="s">
        <v>3014</v>
      </c>
    </row>
    <row r="2513" spans="1:47" x14ac:dyDescent="0.35">
      <c r="A2513">
        <v>360385</v>
      </c>
      <c r="B2513" t="s">
        <v>178</v>
      </c>
      <c r="C2513" t="s">
        <v>179</v>
      </c>
      <c r="D2513" s="2">
        <v>45832</v>
      </c>
      <c r="E2513">
        <v>53850</v>
      </c>
      <c r="F2513">
        <v>126</v>
      </c>
      <c r="G2513" t="s">
        <v>1148</v>
      </c>
      <c r="H2513" t="s">
        <v>167</v>
      </c>
      <c r="I2513" t="s">
        <v>45</v>
      </c>
      <c r="K2513" t="s">
        <v>2488</v>
      </c>
      <c r="L2513">
        <v>1263300002179</v>
      </c>
      <c r="M2513">
        <v>20250623</v>
      </c>
      <c r="N2513" t="s">
        <v>3136</v>
      </c>
      <c r="Q2513" t="s">
        <v>170</v>
      </c>
      <c r="R2513">
        <v>1746.48</v>
      </c>
      <c r="S2513">
        <v>0</v>
      </c>
      <c r="T2513">
        <v>4555074</v>
      </c>
      <c r="U2513" t="s">
        <v>2512</v>
      </c>
      <c r="V2513" t="s">
        <v>2513</v>
      </c>
      <c r="W2513" t="s">
        <v>187</v>
      </c>
      <c r="Y2513" t="s">
        <v>51</v>
      </c>
      <c r="Z2513">
        <v>1423</v>
      </c>
      <c r="AH2513">
        <v>0</v>
      </c>
      <c r="AI2513">
        <v>202506</v>
      </c>
      <c r="AJ2513" t="s">
        <v>86</v>
      </c>
      <c r="AK2513">
        <v>1</v>
      </c>
      <c r="AL2513">
        <v>1</v>
      </c>
      <c r="AO2513">
        <v>1</v>
      </c>
      <c r="AP2513" t="s">
        <v>3015</v>
      </c>
      <c r="AQ2513" t="s">
        <v>3044</v>
      </c>
      <c r="AR2513" t="s">
        <v>3045</v>
      </c>
      <c r="AS2513" t="s">
        <v>3046</v>
      </c>
      <c r="AU2513" t="s">
        <v>3046</v>
      </c>
    </row>
    <row r="2514" spans="1:47" x14ac:dyDescent="0.35">
      <c r="A2514">
        <v>360384</v>
      </c>
      <c r="B2514" t="s">
        <v>172</v>
      </c>
      <c r="C2514" t="s">
        <v>173</v>
      </c>
      <c r="D2514" s="2">
        <v>45832</v>
      </c>
      <c r="E2514">
        <v>53850</v>
      </c>
      <c r="F2514">
        <v>114</v>
      </c>
      <c r="G2514" t="s">
        <v>188</v>
      </c>
      <c r="H2514" t="s">
        <v>167</v>
      </c>
      <c r="I2514" t="s">
        <v>45</v>
      </c>
      <c r="K2514" t="s">
        <v>2478</v>
      </c>
      <c r="L2514">
        <v>1143306280621</v>
      </c>
      <c r="M2514">
        <v>20250623</v>
      </c>
      <c r="N2514" t="s">
        <v>266</v>
      </c>
      <c r="Q2514" t="s">
        <v>47</v>
      </c>
      <c r="R2514">
        <v>93700</v>
      </c>
      <c r="S2514">
        <v>93700</v>
      </c>
      <c r="T2514">
        <v>4658875</v>
      </c>
      <c r="U2514">
        <v>3230890711</v>
      </c>
      <c r="V2514" t="s">
        <v>1363</v>
      </c>
      <c r="W2514" t="s">
        <v>49</v>
      </c>
      <c r="X2514" t="s">
        <v>131</v>
      </c>
      <c r="Y2514" t="s">
        <v>51</v>
      </c>
      <c r="Z2514">
        <v>870</v>
      </c>
      <c r="AH2514">
        <v>0</v>
      </c>
      <c r="AI2514">
        <v>202506</v>
      </c>
      <c r="AJ2514" t="s">
        <v>56</v>
      </c>
      <c r="AK2514">
        <v>0</v>
      </c>
      <c r="AL2514">
        <v>1</v>
      </c>
      <c r="AM2514">
        <v>4658875</v>
      </c>
      <c r="AN2514">
        <v>1</v>
      </c>
      <c r="AO2514">
        <v>0</v>
      </c>
      <c r="AP2514" t="s">
        <v>3033</v>
      </c>
      <c r="AQ2514" t="s">
        <v>3012</v>
      </c>
      <c r="AR2514" t="s">
        <v>3034</v>
      </c>
      <c r="AS2514" t="s">
        <v>3014</v>
      </c>
      <c r="AU2514" t="s">
        <v>3014</v>
      </c>
    </row>
    <row r="2515" spans="1:47" x14ac:dyDescent="0.35">
      <c r="A2515">
        <v>360383</v>
      </c>
      <c r="B2515" t="s">
        <v>178</v>
      </c>
      <c r="C2515" t="s">
        <v>179</v>
      </c>
      <c r="D2515" s="2">
        <v>45832</v>
      </c>
      <c r="E2515">
        <v>53850</v>
      </c>
      <c r="F2515">
        <v>126</v>
      </c>
      <c r="G2515" t="s">
        <v>1148</v>
      </c>
      <c r="H2515" t="s">
        <v>167</v>
      </c>
      <c r="I2515" t="s">
        <v>45</v>
      </c>
      <c r="K2515" t="s">
        <v>2488</v>
      </c>
      <c r="L2515">
        <v>1263300002179</v>
      </c>
      <c r="M2515">
        <v>20250623</v>
      </c>
      <c r="N2515" t="s">
        <v>3136</v>
      </c>
      <c r="Q2515" t="s">
        <v>170</v>
      </c>
      <c r="R2515">
        <v>1746.48</v>
      </c>
      <c r="S2515">
        <v>0</v>
      </c>
      <c r="T2515">
        <v>415885</v>
      </c>
      <c r="U2515" t="s">
        <v>2514</v>
      </c>
      <c r="V2515" t="s">
        <v>2515</v>
      </c>
      <c r="W2515" t="s">
        <v>187</v>
      </c>
      <c r="Y2515" t="s">
        <v>51</v>
      </c>
      <c r="Z2515">
        <v>1423</v>
      </c>
      <c r="AH2515">
        <v>0</v>
      </c>
      <c r="AI2515">
        <v>202506</v>
      </c>
      <c r="AJ2515" t="s">
        <v>86</v>
      </c>
      <c r="AK2515">
        <v>1</v>
      </c>
      <c r="AL2515">
        <v>1</v>
      </c>
      <c r="AO2515">
        <v>1</v>
      </c>
      <c r="AP2515" t="s">
        <v>3015</v>
      </c>
      <c r="AQ2515" t="s">
        <v>3044</v>
      </c>
      <c r="AR2515" t="s">
        <v>3045</v>
      </c>
      <c r="AS2515" t="s">
        <v>3046</v>
      </c>
      <c r="AU2515" t="s">
        <v>3046</v>
      </c>
    </row>
    <row r="2516" spans="1:47" x14ac:dyDescent="0.35">
      <c r="A2516">
        <v>360382</v>
      </c>
      <c r="B2516" t="s">
        <v>164</v>
      </c>
      <c r="C2516" t="s">
        <v>165</v>
      </c>
      <c r="D2516" s="2">
        <v>45832</v>
      </c>
      <c r="E2516">
        <v>53850</v>
      </c>
      <c r="F2516">
        <v>261</v>
      </c>
      <c r="G2516" t="s">
        <v>136</v>
      </c>
      <c r="H2516" t="s">
        <v>167</v>
      </c>
      <c r="I2516" t="s">
        <v>45</v>
      </c>
      <c r="K2516" t="s">
        <v>2516</v>
      </c>
      <c r="L2516">
        <v>2613300010205</v>
      </c>
      <c r="M2516">
        <v>20250623</v>
      </c>
      <c r="N2516" t="s">
        <v>168</v>
      </c>
      <c r="P2516" t="s">
        <v>255</v>
      </c>
      <c r="Q2516" t="s">
        <v>170</v>
      </c>
      <c r="R2516">
        <v>1130</v>
      </c>
      <c r="S2516">
        <v>0</v>
      </c>
      <c r="T2516">
        <v>4991786</v>
      </c>
      <c r="U2516">
        <v>993400944</v>
      </c>
      <c r="V2516" t="s">
        <v>137</v>
      </c>
      <c r="W2516" t="s">
        <v>49</v>
      </c>
      <c r="X2516" t="s">
        <v>77</v>
      </c>
      <c r="Y2516" t="s">
        <v>51</v>
      </c>
      <c r="Z2516">
        <v>1782</v>
      </c>
      <c r="AH2516">
        <v>0</v>
      </c>
      <c r="AI2516">
        <v>202506</v>
      </c>
      <c r="AJ2516" t="s">
        <v>56</v>
      </c>
      <c r="AK2516">
        <v>0</v>
      </c>
      <c r="AL2516">
        <v>1</v>
      </c>
      <c r="AM2516">
        <v>4991786</v>
      </c>
      <c r="AN2516">
        <v>1</v>
      </c>
      <c r="AO2516">
        <v>0</v>
      </c>
      <c r="AP2516" t="s">
        <v>3015</v>
      </c>
      <c r="AQ2516" t="s">
        <v>3012</v>
      </c>
      <c r="AR2516" t="s">
        <v>3016</v>
      </c>
      <c r="AT2516" t="s">
        <v>3017</v>
      </c>
      <c r="AU2516" t="s">
        <v>3018</v>
      </c>
    </row>
    <row r="2517" spans="1:47" x14ac:dyDescent="0.35">
      <c r="A2517">
        <v>360381</v>
      </c>
      <c r="B2517" t="s">
        <v>193</v>
      </c>
      <c r="C2517" t="s">
        <v>194</v>
      </c>
      <c r="D2517" s="2">
        <v>45832</v>
      </c>
      <c r="E2517">
        <v>53850</v>
      </c>
      <c r="F2517">
        <v>161</v>
      </c>
      <c r="G2517" t="s">
        <v>111</v>
      </c>
      <c r="H2517" t="s">
        <v>167</v>
      </c>
      <c r="I2517" t="s">
        <v>45</v>
      </c>
      <c r="K2517">
        <v>202506238118977</v>
      </c>
      <c r="L2517">
        <v>1613300031333</v>
      </c>
      <c r="M2517">
        <v>20250623</v>
      </c>
      <c r="N2517" t="s">
        <v>266</v>
      </c>
      <c r="Q2517" t="s">
        <v>47</v>
      </c>
      <c r="R2517">
        <v>33250</v>
      </c>
      <c r="S2517">
        <v>33250</v>
      </c>
      <c r="T2517">
        <v>511904</v>
      </c>
      <c r="U2517" t="s">
        <v>388</v>
      </c>
      <c r="V2517" t="s">
        <v>389</v>
      </c>
      <c r="W2517" t="s">
        <v>69</v>
      </c>
      <c r="X2517" t="s">
        <v>55</v>
      </c>
      <c r="Y2517" t="s">
        <v>51</v>
      </c>
      <c r="Z2517">
        <v>857</v>
      </c>
      <c r="AH2517">
        <v>0</v>
      </c>
      <c r="AI2517">
        <v>202506</v>
      </c>
      <c r="AJ2517" t="s">
        <v>119</v>
      </c>
      <c r="AK2517">
        <v>1</v>
      </c>
      <c r="AL2517">
        <v>1</v>
      </c>
      <c r="AM2517">
        <v>511904</v>
      </c>
      <c r="AN2517">
        <v>1</v>
      </c>
      <c r="AO2517">
        <v>0</v>
      </c>
      <c r="AP2517" t="s">
        <v>3015</v>
      </c>
      <c r="AQ2517" t="s">
        <v>3021</v>
      </c>
      <c r="AR2517" t="s">
        <v>3022</v>
      </c>
      <c r="AT2517" t="s">
        <v>3017</v>
      </c>
      <c r="AU2517" t="s">
        <v>3014</v>
      </c>
    </row>
    <row r="2518" spans="1:47" x14ac:dyDescent="0.35">
      <c r="A2518">
        <v>360380</v>
      </c>
      <c r="B2518" t="s">
        <v>178</v>
      </c>
      <c r="C2518" t="s">
        <v>179</v>
      </c>
      <c r="D2518" s="2">
        <v>45832</v>
      </c>
      <c r="E2518">
        <v>53850</v>
      </c>
      <c r="F2518">
        <v>266</v>
      </c>
      <c r="G2518" t="s">
        <v>1248</v>
      </c>
      <c r="H2518" t="s">
        <v>167</v>
      </c>
      <c r="I2518" t="s">
        <v>45</v>
      </c>
      <c r="K2518">
        <v>202506238118644</v>
      </c>
      <c r="L2518">
        <v>2663300000906</v>
      </c>
      <c r="M2518">
        <v>20250623</v>
      </c>
      <c r="N2518" t="s">
        <v>3136</v>
      </c>
      <c r="Q2518" t="s">
        <v>170</v>
      </c>
      <c r="R2518">
        <v>9464.8799999999992</v>
      </c>
      <c r="S2518">
        <v>0</v>
      </c>
      <c r="T2518">
        <v>1640587</v>
      </c>
      <c r="U2518" t="s">
        <v>2517</v>
      </c>
      <c r="V2518" t="s">
        <v>2518</v>
      </c>
      <c r="W2518" t="s">
        <v>187</v>
      </c>
      <c r="Y2518" t="s">
        <v>51</v>
      </c>
      <c r="Z2518">
        <v>1811</v>
      </c>
      <c r="AH2518">
        <v>0</v>
      </c>
      <c r="AI2518">
        <v>202506</v>
      </c>
      <c r="AJ2518" t="s">
        <v>86</v>
      </c>
      <c r="AK2518">
        <v>1</v>
      </c>
      <c r="AL2518">
        <v>1</v>
      </c>
      <c r="AO2518">
        <v>1</v>
      </c>
      <c r="AP2518" t="s">
        <v>3015</v>
      </c>
      <c r="AQ2518" t="s">
        <v>3044</v>
      </c>
      <c r="AR2518" t="s">
        <v>3045</v>
      </c>
      <c r="AS2518" t="s">
        <v>3046</v>
      </c>
      <c r="AU2518" t="s">
        <v>3046</v>
      </c>
    </row>
    <row r="2519" spans="1:47" x14ac:dyDescent="0.35">
      <c r="A2519">
        <v>360379</v>
      </c>
      <c r="B2519" t="s">
        <v>172</v>
      </c>
      <c r="C2519" t="s">
        <v>173</v>
      </c>
      <c r="D2519" s="2">
        <v>45832</v>
      </c>
      <c r="E2519">
        <v>53850</v>
      </c>
      <c r="F2519">
        <v>267</v>
      </c>
      <c r="G2519" t="s">
        <v>349</v>
      </c>
      <c r="H2519" t="s">
        <v>167</v>
      </c>
      <c r="I2519" t="s">
        <v>45</v>
      </c>
      <c r="K2519" t="s">
        <v>2478</v>
      </c>
      <c r="L2519">
        <v>2673300003600</v>
      </c>
      <c r="M2519">
        <v>20250623</v>
      </c>
      <c r="N2519" t="s">
        <v>175</v>
      </c>
      <c r="Q2519" t="s">
        <v>47</v>
      </c>
      <c r="R2519">
        <v>121088</v>
      </c>
      <c r="S2519">
        <v>120000</v>
      </c>
      <c r="T2519">
        <v>1705101</v>
      </c>
      <c r="U2519">
        <v>2896870793</v>
      </c>
      <c r="V2519" t="s">
        <v>439</v>
      </c>
      <c r="W2519" t="s">
        <v>190</v>
      </c>
      <c r="X2519" t="s">
        <v>200</v>
      </c>
      <c r="Y2519" t="s">
        <v>51</v>
      </c>
      <c r="Z2519">
        <v>1878</v>
      </c>
      <c r="AH2519">
        <v>0</v>
      </c>
      <c r="AI2519">
        <v>202506</v>
      </c>
      <c r="AJ2519" t="s">
        <v>119</v>
      </c>
      <c r="AK2519">
        <v>1</v>
      </c>
      <c r="AL2519">
        <v>1</v>
      </c>
      <c r="AM2519">
        <v>1705101</v>
      </c>
      <c r="AN2519">
        <v>1</v>
      </c>
      <c r="AO2519">
        <v>1</v>
      </c>
      <c r="AP2519" t="s">
        <v>3015</v>
      </c>
      <c r="AQ2519" t="s">
        <v>3047</v>
      </c>
      <c r="AR2519" t="s">
        <v>3056</v>
      </c>
      <c r="AT2519" t="s">
        <v>3017</v>
      </c>
      <c r="AU2519" t="s">
        <v>3057</v>
      </c>
    </row>
    <row r="2520" spans="1:47" x14ac:dyDescent="0.35">
      <c r="A2520">
        <v>360378</v>
      </c>
      <c r="B2520" t="s">
        <v>178</v>
      </c>
      <c r="C2520" t="s">
        <v>179</v>
      </c>
      <c r="D2520" s="2">
        <v>45832</v>
      </c>
      <c r="E2520">
        <v>53850</v>
      </c>
      <c r="F2520">
        <v>270</v>
      </c>
      <c r="G2520" t="s">
        <v>524</v>
      </c>
      <c r="H2520" t="s">
        <v>167</v>
      </c>
      <c r="I2520" t="s">
        <v>45</v>
      </c>
      <c r="K2520">
        <v>202506238119208</v>
      </c>
      <c r="L2520">
        <v>2703300010948</v>
      </c>
      <c r="M2520">
        <v>20250623</v>
      </c>
      <c r="N2520" t="s">
        <v>236</v>
      </c>
      <c r="P2520" t="s">
        <v>51</v>
      </c>
      <c r="Q2520" t="s">
        <v>170</v>
      </c>
      <c r="R2520">
        <v>202500</v>
      </c>
      <c r="S2520">
        <v>0</v>
      </c>
      <c r="T2520">
        <v>1611691</v>
      </c>
      <c r="U2520" t="s">
        <v>2493</v>
      </c>
      <c r="V2520" t="s">
        <v>2494</v>
      </c>
      <c r="W2520" t="s">
        <v>187</v>
      </c>
      <c r="Y2520" t="s">
        <v>51</v>
      </c>
      <c r="Z2520">
        <v>1803</v>
      </c>
      <c r="AH2520">
        <v>0</v>
      </c>
      <c r="AI2520">
        <v>202506</v>
      </c>
      <c r="AJ2520" t="s">
        <v>52</v>
      </c>
      <c r="AK2520">
        <v>0</v>
      </c>
      <c r="AL2520">
        <v>1</v>
      </c>
      <c r="AO2520">
        <v>0</v>
      </c>
      <c r="AP2520" t="s">
        <v>3015</v>
      </c>
      <c r="AQ2520" t="s">
        <v>3044</v>
      </c>
      <c r="AR2520" t="s">
        <v>3045</v>
      </c>
      <c r="AS2520" t="s">
        <v>3046</v>
      </c>
      <c r="AU2520" t="s">
        <v>3046</v>
      </c>
    </row>
    <row r="2521" spans="1:47" x14ac:dyDescent="0.35">
      <c r="A2521">
        <v>360377</v>
      </c>
      <c r="B2521" t="s">
        <v>172</v>
      </c>
      <c r="C2521" t="s">
        <v>173</v>
      </c>
      <c r="D2521" s="2">
        <v>45832</v>
      </c>
      <c r="E2521">
        <v>53850</v>
      </c>
      <c r="F2521">
        <v>161</v>
      </c>
      <c r="G2521" t="s">
        <v>111</v>
      </c>
      <c r="H2521" t="s">
        <v>167</v>
      </c>
      <c r="I2521" t="s">
        <v>45</v>
      </c>
      <c r="K2521" t="s">
        <v>2478</v>
      </c>
      <c r="L2521">
        <v>1613300029653</v>
      </c>
      <c r="M2521">
        <v>20250623</v>
      </c>
      <c r="N2521" t="s">
        <v>175</v>
      </c>
      <c r="Q2521" t="s">
        <v>47</v>
      </c>
      <c r="R2521">
        <v>136718.03</v>
      </c>
      <c r="S2521">
        <v>8500</v>
      </c>
      <c r="T2521">
        <v>4088769</v>
      </c>
      <c r="U2521">
        <v>5150120722</v>
      </c>
      <c r="V2521" t="s">
        <v>270</v>
      </c>
      <c r="W2521" t="s">
        <v>49</v>
      </c>
      <c r="X2521" t="s">
        <v>110</v>
      </c>
      <c r="Y2521" t="s">
        <v>51</v>
      </c>
      <c r="Z2521">
        <v>1903</v>
      </c>
      <c r="AH2521">
        <v>0</v>
      </c>
      <c r="AI2521">
        <v>202506</v>
      </c>
      <c r="AJ2521" t="s">
        <v>56</v>
      </c>
      <c r="AK2521">
        <v>0</v>
      </c>
      <c r="AL2521">
        <v>1</v>
      </c>
      <c r="AM2521">
        <v>4088769</v>
      </c>
      <c r="AN2521">
        <v>1</v>
      </c>
      <c r="AO2521">
        <v>1</v>
      </c>
      <c r="AP2521" t="s">
        <v>3026</v>
      </c>
      <c r="AQ2521" t="s">
        <v>3012</v>
      </c>
      <c r="AR2521" t="s">
        <v>3027</v>
      </c>
      <c r="AS2521" t="s">
        <v>3028</v>
      </c>
      <c r="AU2521" t="s">
        <v>3028</v>
      </c>
    </row>
    <row r="2522" spans="1:47" x14ac:dyDescent="0.35">
      <c r="A2522">
        <v>360376</v>
      </c>
      <c r="B2522" t="s">
        <v>333</v>
      </c>
      <c r="C2522" t="s">
        <v>334</v>
      </c>
      <c r="D2522" s="2">
        <v>45832</v>
      </c>
      <c r="E2522">
        <v>53850</v>
      </c>
      <c r="F2522">
        <v>99</v>
      </c>
      <c r="G2522" t="s">
        <v>335</v>
      </c>
      <c r="H2522" t="s">
        <v>167</v>
      </c>
      <c r="I2522" t="s">
        <v>45</v>
      </c>
      <c r="K2522">
        <v>202506238118645</v>
      </c>
      <c r="M2522">
        <v>20250623</v>
      </c>
      <c r="N2522" t="s">
        <v>3136</v>
      </c>
      <c r="Q2522" t="s">
        <v>170</v>
      </c>
      <c r="R2522">
        <v>9464.8799999999992</v>
      </c>
      <c r="S2522">
        <v>0</v>
      </c>
      <c r="T2522">
        <v>1704324</v>
      </c>
      <c r="U2522" t="s">
        <v>2502</v>
      </c>
      <c r="V2522" t="s">
        <v>2503</v>
      </c>
      <c r="W2522" t="s">
        <v>187</v>
      </c>
      <c r="Y2522" t="s">
        <v>51</v>
      </c>
      <c r="AH2522">
        <v>0</v>
      </c>
      <c r="AI2522">
        <v>202506</v>
      </c>
      <c r="AJ2522" t="s">
        <v>86</v>
      </c>
      <c r="AK2522">
        <v>1</v>
      </c>
      <c r="AL2522">
        <v>0</v>
      </c>
      <c r="AO2522">
        <v>1</v>
      </c>
      <c r="AP2522" t="s">
        <v>3015</v>
      </c>
      <c r="AQ2522" t="s">
        <v>3044</v>
      </c>
      <c r="AR2522" t="s">
        <v>3045</v>
      </c>
      <c r="AS2522" t="s">
        <v>3046</v>
      </c>
      <c r="AU2522" t="s">
        <v>3046</v>
      </c>
    </row>
    <row r="2523" spans="1:47" x14ac:dyDescent="0.35">
      <c r="A2523">
        <v>360375</v>
      </c>
      <c r="B2523" t="s">
        <v>178</v>
      </c>
      <c r="C2523" t="s">
        <v>179</v>
      </c>
      <c r="D2523" s="2">
        <v>45832</v>
      </c>
      <c r="E2523">
        <v>53850</v>
      </c>
      <c r="F2523">
        <v>102</v>
      </c>
      <c r="G2523" t="s">
        <v>151</v>
      </c>
      <c r="H2523" t="s">
        <v>167</v>
      </c>
      <c r="I2523" t="s">
        <v>45</v>
      </c>
      <c r="K2523">
        <v>202506238117549</v>
      </c>
      <c r="L2523">
        <v>1023308726073</v>
      </c>
      <c r="M2523">
        <v>20250623</v>
      </c>
      <c r="N2523" t="s">
        <v>46</v>
      </c>
      <c r="P2523" t="s">
        <v>51</v>
      </c>
      <c r="Q2523" t="s">
        <v>47</v>
      </c>
      <c r="R2523">
        <v>1322385.95</v>
      </c>
      <c r="S2523">
        <v>0</v>
      </c>
      <c r="T2523">
        <v>4972446</v>
      </c>
      <c r="U2523">
        <v>8406920721</v>
      </c>
      <c r="V2523" t="s">
        <v>824</v>
      </c>
      <c r="W2523" t="s">
        <v>49</v>
      </c>
      <c r="X2523" t="s">
        <v>364</v>
      </c>
      <c r="Y2523" t="s">
        <v>51</v>
      </c>
      <c r="Z2523">
        <v>739</v>
      </c>
      <c r="AH2523">
        <v>0</v>
      </c>
      <c r="AI2523">
        <v>202506</v>
      </c>
      <c r="AJ2523" t="s">
        <v>86</v>
      </c>
      <c r="AK2523">
        <v>1</v>
      </c>
      <c r="AL2523">
        <v>1</v>
      </c>
      <c r="AO2523">
        <v>0</v>
      </c>
      <c r="AP2523" t="s">
        <v>3062</v>
      </c>
      <c r="AQ2523" t="s">
        <v>3012</v>
      </c>
      <c r="AR2523" t="s">
        <v>3063</v>
      </c>
      <c r="AS2523" t="s">
        <v>3014</v>
      </c>
      <c r="AU2523" t="s">
        <v>3014</v>
      </c>
    </row>
    <row r="2524" spans="1:47" x14ac:dyDescent="0.35">
      <c r="A2524">
        <v>360374</v>
      </c>
      <c r="B2524" t="s">
        <v>178</v>
      </c>
      <c r="C2524" t="s">
        <v>179</v>
      </c>
      <c r="D2524" s="2">
        <v>45832</v>
      </c>
      <c r="E2524">
        <v>53850</v>
      </c>
      <c r="F2524">
        <v>168</v>
      </c>
      <c r="G2524" t="s">
        <v>616</v>
      </c>
      <c r="H2524" t="s">
        <v>167</v>
      </c>
      <c r="I2524" t="s">
        <v>45</v>
      </c>
      <c r="K2524">
        <v>202506238119002</v>
      </c>
      <c r="L2524">
        <v>1683306276854</v>
      </c>
      <c r="M2524">
        <v>20250623</v>
      </c>
      <c r="N2524" t="s">
        <v>3136</v>
      </c>
      <c r="Q2524" t="s">
        <v>170</v>
      </c>
      <c r="R2524">
        <v>21701.17</v>
      </c>
      <c r="S2524">
        <v>0</v>
      </c>
      <c r="T2524">
        <v>597962</v>
      </c>
      <c r="U2524" t="s">
        <v>2519</v>
      </c>
      <c r="V2524" t="s">
        <v>2520</v>
      </c>
      <c r="W2524" t="s">
        <v>187</v>
      </c>
      <c r="Y2524" t="s">
        <v>51</v>
      </c>
      <c r="Z2524">
        <v>1316</v>
      </c>
      <c r="AH2524">
        <v>0</v>
      </c>
      <c r="AI2524">
        <v>202506</v>
      </c>
      <c r="AJ2524" t="s">
        <v>86</v>
      </c>
      <c r="AK2524">
        <v>1</v>
      </c>
      <c r="AL2524">
        <v>1</v>
      </c>
      <c r="AO2524">
        <v>1</v>
      </c>
      <c r="AP2524" t="s">
        <v>3015</v>
      </c>
      <c r="AQ2524" t="s">
        <v>3044</v>
      </c>
      <c r="AR2524" t="s">
        <v>3045</v>
      </c>
      <c r="AS2524" t="s">
        <v>3046</v>
      </c>
      <c r="AU2524" t="s">
        <v>3046</v>
      </c>
    </row>
    <row r="2525" spans="1:47" x14ac:dyDescent="0.35">
      <c r="A2525">
        <v>360373</v>
      </c>
      <c r="B2525" t="s">
        <v>333</v>
      </c>
      <c r="C2525" t="s">
        <v>334</v>
      </c>
      <c r="D2525" s="2">
        <v>45832</v>
      </c>
      <c r="E2525">
        <v>53850</v>
      </c>
      <c r="F2525">
        <v>99</v>
      </c>
      <c r="G2525" t="s">
        <v>335</v>
      </c>
      <c r="H2525" t="s">
        <v>167</v>
      </c>
      <c r="I2525" t="s">
        <v>45</v>
      </c>
      <c r="K2525">
        <v>202506238118645</v>
      </c>
      <c r="M2525">
        <v>20250623</v>
      </c>
      <c r="N2525" t="s">
        <v>3136</v>
      </c>
      <c r="Q2525" t="s">
        <v>170</v>
      </c>
      <c r="R2525">
        <v>9464.8799999999992</v>
      </c>
      <c r="S2525">
        <v>0</v>
      </c>
      <c r="T2525">
        <v>1640587</v>
      </c>
      <c r="U2525" t="s">
        <v>2517</v>
      </c>
      <c r="V2525" t="s">
        <v>2518</v>
      </c>
      <c r="W2525" t="s">
        <v>187</v>
      </c>
      <c r="Y2525" t="s">
        <v>51</v>
      </c>
      <c r="Z2525">
        <v>1811</v>
      </c>
      <c r="AH2525">
        <v>0</v>
      </c>
      <c r="AI2525">
        <v>202506</v>
      </c>
      <c r="AJ2525" t="s">
        <v>86</v>
      </c>
      <c r="AK2525">
        <v>1</v>
      </c>
      <c r="AL2525">
        <v>0</v>
      </c>
      <c r="AO2525">
        <v>1</v>
      </c>
      <c r="AP2525" t="s">
        <v>3015</v>
      </c>
      <c r="AQ2525" t="s">
        <v>3044</v>
      </c>
      <c r="AR2525" t="s">
        <v>3045</v>
      </c>
      <c r="AS2525" t="s">
        <v>3046</v>
      </c>
      <c r="AU2525" t="s">
        <v>3046</v>
      </c>
    </row>
    <row r="2526" spans="1:47" x14ac:dyDescent="0.35">
      <c r="A2526">
        <v>360372</v>
      </c>
      <c r="B2526" t="s">
        <v>193</v>
      </c>
      <c r="C2526" t="s">
        <v>194</v>
      </c>
      <c r="D2526" s="2">
        <v>45832</v>
      </c>
      <c r="E2526">
        <v>53850</v>
      </c>
      <c r="F2526">
        <v>110</v>
      </c>
      <c r="G2526" t="s">
        <v>230</v>
      </c>
      <c r="H2526" t="s">
        <v>167</v>
      </c>
      <c r="I2526" t="s">
        <v>45</v>
      </c>
      <c r="K2526" t="s">
        <v>2478</v>
      </c>
      <c r="L2526">
        <v>1103300093700</v>
      </c>
      <c r="M2526">
        <v>20250623</v>
      </c>
      <c r="N2526" t="s">
        <v>195</v>
      </c>
      <c r="Q2526" t="s">
        <v>47</v>
      </c>
      <c r="R2526">
        <v>48140</v>
      </c>
      <c r="S2526">
        <v>48140</v>
      </c>
      <c r="T2526">
        <v>4871243</v>
      </c>
      <c r="U2526">
        <v>7961820722</v>
      </c>
      <c r="V2526" t="s">
        <v>328</v>
      </c>
      <c r="W2526" t="s">
        <v>190</v>
      </c>
      <c r="X2526" t="s">
        <v>117</v>
      </c>
      <c r="Y2526" t="s">
        <v>51</v>
      </c>
      <c r="Z2526">
        <v>746</v>
      </c>
      <c r="AH2526">
        <v>0</v>
      </c>
      <c r="AI2526">
        <v>202506</v>
      </c>
      <c r="AJ2526" t="s">
        <v>86</v>
      </c>
      <c r="AK2526">
        <v>1</v>
      </c>
      <c r="AL2526">
        <v>1</v>
      </c>
      <c r="AM2526">
        <v>4871243</v>
      </c>
      <c r="AN2526">
        <v>1</v>
      </c>
      <c r="AO2526">
        <v>0</v>
      </c>
      <c r="AP2526" t="s">
        <v>3015</v>
      </c>
      <c r="AQ2526" t="s">
        <v>3047</v>
      </c>
      <c r="AR2526" t="s">
        <v>3056</v>
      </c>
      <c r="AT2526" t="s">
        <v>3017</v>
      </c>
      <c r="AU2526" t="s">
        <v>3057</v>
      </c>
    </row>
    <row r="2527" spans="1:47" x14ac:dyDescent="0.35">
      <c r="A2527">
        <v>360371</v>
      </c>
      <c r="B2527" t="s">
        <v>178</v>
      </c>
      <c r="C2527" t="s">
        <v>179</v>
      </c>
      <c r="D2527" s="2">
        <v>45832</v>
      </c>
      <c r="E2527">
        <v>53850</v>
      </c>
      <c r="F2527">
        <v>271</v>
      </c>
      <c r="G2527" t="s">
        <v>275</v>
      </c>
      <c r="H2527" t="s">
        <v>167</v>
      </c>
      <c r="I2527" t="s">
        <v>45</v>
      </c>
      <c r="K2527">
        <v>202506238119217</v>
      </c>
      <c r="L2527">
        <v>2713300002679</v>
      </c>
      <c r="M2527">
        <v>20250623</v>
      </c>
      <c r="N2527" t="s">
        <v>3136</v>
      </c>
      <c r="Q2527" t="s">
        <v>170</v>
      </c>
      <c r="R2527">
        <v>16652.68</v>
      </c>
      <c r="S2527">
        <v>0</v>
      </c>
      <c r="T2527">
        <v>1680750</v>
      </c>
      <c r="U2527" t="s">
        <v>2521</v>
      </c>
      <c r="V2527" t="s">
        <v>2522</v>
      </c>
      <c r="W2527" t="s">
        <v>187</v>
      </c>
      <c r="Y2527" t="s">
        <v>51</v>
      </c>
      <c r="Z2527">
        <v>1800</v>
      </c>
      <c r="AH2527">
        <v>0</v>
      </c>
      <c r="AI2527">
        <v>202506</v>
      </c>
      <c r="AJ2527" t="s">
        <v>52</v>
      </c>
      <c r="AK2527">
        <v>0</v>
      </c>
      <c r="AL2527">
        <v>1</v>
      </c>
      <c r="AO2527">
        <v>1</v>
      </c>
      <c r="AP2527" t="s">
        <v>3015</v>
      </c>
      <c r="AQ2527" t="s">
        <v>3044</v>
      </c>
      <c r="AR2527" t="s">
        <v>3045</v>
      </c>
      <c r="AS2527" t="s">
        <v>3046</v>
      </c>
      <c r="AU2527" t="s">
        <v>3046</v>
      </c>
    </row>
    <row r="2528" spans="1:47" x14ac:dyDescent="0.35">
      <c r="A2528">
        <v>360370</v>
      </c>
      <c r="B2528" t="s">
        <v>164</v>
      </c>
      <c r="C2528" t="s">
        <v>165</v>
      </c>
      <c r="D2528" s="2">
        <v>45832</v>
      </c>
      <c r="E2528">
        <v>53850</v>
      </c>
      <c r="F2528">
        <v>168</v>
      </c>
      <c r="G2528" t="s">
        <v>616</v>
      </c>
      <c r="H2528" t="s">
        <v>167</v>
      </c>
      <c r="I2528" t="s">
        <v>45</v>
      </c>
      <c r="K2528" t="s">
        <v>2523</v>
      </c>
      <c r="L2528">
        <v>1683306277308</v>
      </c>
      <c r="M2528">
        <v>20250623</v>
      </c>
      <c r="N2528" t="s">
        <v>168</v>
      </c>
      <c r="P2528" t="s">
        <v>255</v>
      </c>
      <c r="Q2528" t="s">
        <v>170</v>
      </c>
      <c r="R2528">
        <v>3950</v>
      </c>
      <c r="S2528">
        <v>0</v>
      </c>
      <c r="T2528">
        <v>4950606</v>
      </c>
      <c r="U2528">
        <v>7856760728</v>
      </c>
      <c r="V2528" t="s">
        <v>1325</v>
      </c>
      <c r="W2528" t="s">
        <v>49</v>
      </c>
      <c r="X2528" t="s">
        <v>686</v>
      </c>
      <c r="Y2528" t="s">
        <v>51</v>
      </c>
      <c r="Z2528">
        <v>1926</v>
      </c>
      <c r="AH2528">
        <v>0</v>
      </c>
      <c r="AI2528">
        <v>202506</v>
      </c>
      <c r="AJ2528" t="s">
        <v>86</v>
      </c>
      <c r="AK2528">
        <v>1</v>
      </c>
      <c r="AL2528">
        <v>1</v>
      </c>
      <c r="AO2528">
        <v>0</v>
      </c>
      <c r="AP2528" t="s">
        <v>3015</v>
      </c>
      <c r="AQ2528" t="s">
        <v>3012</v>
      </c>
      <c r="AR2528" t="s">
        <v>3016</v>
      </c>
      <c r="AT2528" t="s">
        <v>3017</v>
      </c>
      <c r="AU2528" t="s">
        <v>3018</v>
      </c>
    </row>
    <row r="2529" spans="1:47" x14ac:dyDescent="0.35">
      <c r="A2529">
        <v>360369</v>
      </c>
      <c r="B2529" t="s">
        <v>193</v>
      </c>
      <c r="C2529" t="s">
        <v>194</v>
      </c>
      <c r="D2529" s="2">
        <v>45832</v>
      </c>
      <c r="E2529">
        <v>53850</v>
      </c>
      <c r="F2529">
        <v>268</v>
      </c>
      <c r="G2529" t="s">
        <v>83</v>
      </c>
      <c r="H2529" t="s">
        <v>167</v>
      </c>
      <c r="I2529" t="s">
        <v>45</v>
      </c>
      <c r="K2529" t="s">
        <v>2478</v>
      </c>
      <c r="L2529">
        <v>2683300010030</v>
      </c>
      <c r="M2529">
        <v>20250623</v>
      </c>
      <c r="N2529" t="s">
        <v>195</v>
      </c>
      <c r="Q2529" t="s">
        <v>47</v>
      </c>
      <c r="R2529">
        <v>39740</v>
      </c>
      <c r="S2529">
        <v>39740</v>
      </c>
      <c r="T2529">
        <v>4966939</v>
      </c>
      <c r="U2529" t="s">
        <v>221</v>
      </c>
      <c r="V2529" t="s">
        <v>222</v>
      </c>
      <c r="W2529" t="s">
        <v>69</v>
      </c>
      <c r="X2529" t="s">
        <v>55</v>
      </c>
      <c r="Y2529" t="s">
        <v>51</v>
      </c>
      <c r="Z2529">
        <v>1870</v>
      </c>
      <c r="AH2529">
        <v>0</v>
      </c>
      <c r="AI2529">
        <v>202506</v>
      </c>
      <c r="AJ2529" t="s">
        <v>56</v>
      </c>
      <c r="AK2529">
        <v>0</v>
      </c>
      <c r="AL2529">
        <v>1</v>
      </c>
      <c r="AM2529">
        <v>4966939</v>
      </c>
      <c r="AN2529">
        <v>1</v>
      </c>
      <c r="AO2529">
        <v>0</v>
      </c>
      <c r="AP2529" t="s">
        <v>3015</v>
      </c>
      <c r="AQ2529" t="s">
        <v>3021</v>
      </c>
      <c r="AR2529" t="s">
        <v>3022</v>
      </c>
      <c r="AT2529" t="s">
        <v>3017</v>
      </c>
      <c r="AU2529" t="s">
        <v>3014</v>
      </c>
    </row>
    <row r="2530" spans="1:47" x14ac:dyDescent="0.35">
      <c r="A2530">
        <v>360368</v>
      </c>
      <c r="B2530" t="s">
        <v>172</v>
      </c>
      <c r="C2530" t="s">
        <v>173</v>
      </c>
      <c r="D2530" s="2">
        <v>45832</v>
      </c>
      <c r="E2530">
        <v>53850</v>
      </c>
      <c r="F2530">
        <v>110</v>
      </c>
      <c r="G2530" t="s">
        <v>230</v>
      </c>
      <c r="H2530" t="s">
        <v>167</v>
      </c>
      <c r="I2530" t="s">
        <v>45</v>
      </c>
      <c r="K2530" t="s">
        <v>2478</v>
      </c>
      <c r="L2530">
        <v>1103305351090</v>
      </c>
      <c r="M2530">
        <v>20250623</v>
      </c>
      <c r="N2530" t="s">
        <v>231</v>
      </c>
      <c r="Q2530" t="s">
        <v>47</v>
      </c>
      <c r="R2530">
        <v>387880</v>
      </c>
      <c r="S2530">
        <v>0</v>
      </c>
      <c r="T2530">
        <v>535109</v>
      </c>
      <c r="U2530">
        <v>854500725</v>
      </c>
      <c r="V2530" t="s">
        <v>2524</v>
      </c>
      <c r="W2530" t="s">
        <v>49</v>
      </c>
      <c r="X2530" t="s">
        <v>2277</v>
      </c>
      <c r="Y2530" t="s">
        <v>51</v>
      </c>
      <c r="Z2530">
        <v>746</v>
      </c>
      <c r="AH2530">
        <v>0</v>
      </c>
      <c r="AI2530">
        <v>202506</v>
      </c>
      <c r="AJ2530" t="s">
        <v>86</v>
      </c>
      <c r="AK2530">
        <v>1</v>
      </c>
      <c r="AL2530">
        <v>1</v>
      </c>
      <c r="AO2530">
        <v>0</v>
      </c>
      <c r="AP2530" t="s">
        <v>3123</v>
      </c>
      <c r="AQ2530" t="s">
        <v>3012</v>
      </c>
      <c r="AR2530" t="s">
        <v>3124</v>
      </c>
      <c r="AS2530" t="s">
        <v>3014</v>
      </c>
      <c r="AU2530" t="s">
        <v>3014</v>
      </c>
    </row>
    <row r="2531" spans="1:47" x14ac:dyDescent="0.35">
      <c r="A2531">
        <v>360367</v>
      </c>
      <c r="B2531" t="s">
        <v>164</v>
      </c>
      <c r="C2531" t="s">
        <v>165</v>
      </c>
      <c r="D2531" s="2">
        <v>45832</v>
      </c>
      <c r="E2531">
        <v>53850</v>
      </c>
      <c r="F2531">
        <v>187</v>
      </c>
      <c r="G2531" t="s">
        <v>251</v>
      </c>
      <c r="H2531" t="s">
        <v>167</v>
      </c>
      <c r="I2531" t="s">
        <v>45</v>
      </c>
      <c r="K2531" t="s">
        <v>2525</v>
      </c>
      <c r="L2531">
        <v>1873300102696</v>
      </c>
      <c r="M2531">
        <v>20250623</v>
      </c>
      <c r="N2531" t="s">
        <v>168</v>
      </c>
      <c r="P2531" t="s">
        <v>255</v>
      </c>
      <c r="Q2531" t="s">
        <v>47</v>
      </c>
      <c r="R2531">
        <v>1667.31</v>
      </c>
      <c r="S2531">
        <v>0</v>
      </c>
      <c r="T2531">
        <v>4000559</v>
      </c>
      <c r="U2531">
        <v>2099160737</v>
      </c>
      <c r="V2531" t="s">
        <v>528</v>
      </c>
      <c r="W2531" t="s">
        <v>49</v>
      </c>
      <c r="X2531" t="s">
        <v>117</v>
      </c>
      <c r="Y2531" t="s">
        <v>51</v>
      </c>
      <c r="Z2531">
        <v>1627</v>
      </c>
      <c r="AH2531">
        <v>0</v>
      </c>
      <c r="AI2531">
        <v>202506</v>
      </c>
      <c r="AJ2531" t="s">
        <v>56</v>
      </c>
      <c r="AK2531">
        <v>0</v>
      </c>
      <c r="AL2531">
        <v>1</v>
      </c>
      <c r="AO2531">
        <v>0</v>
      </c>
      <c r="AP2531" t="s">
        <v>3029</v>
      </c>
      <c r="AQ2531" t="s">
        <v>3012</v>
      </c>
      <c r="AR2531" t="s">
        <v>3030</v>
      </c>
      <c r="AS2531" t="s">
        <v>3014</v>
      </c>
      <c r="AU2531" t="s">
        <v>3014</v>
      </c>
    </row>
    <row r="2532" spans="1:47" x14ac:dyDescent="0.35">
      <c r="A2532">
        <v>360366</v>
      </c>
      <c r="B2532" t="s">
        <v>178</v>
      </c>
      <c r="C2532" t="s">
        <v>179</v>
      </c>
      <c r="D2532" s="2">
        <v>45832</v>
      </c>
      <c r="E2532">
        <v>53850</v>
      </c>
      <c r="F2532">
        <v>109</v>
      </c>
      <c r="G2532" t="s">
        <v>89</v>
      </c>
      <c r="H2532" t="s">
        <v>167</v>
      </c>
      <c r="I2532" t="s">
        <v>45</v>
      </c>
      <c r="K2532" t="s">
        <v>2526</v>
      </c>
      <c r="L2532">
        <v>1093306673858</v>
      </c>
      <c r="M2532">
        <v>20250623</v>
      </c>
      <c r="N2532" t="s">
        <v>3136</v>
      </c>
      <c r="Q2532" t="s">
        <v>170</v>
      </c>
      <c r="R2532">
        <v>3725.74</v>
      </c>
      <c r="S2532">
        <v>0</v>
      </c>
      <c r="T2532">
        <v>470718</v>
      </c>
      <c r="U2532" t="s">
        <v>2527</v>
      </c>
      <c r="V2532" t="s">
        <v>2528</v>
      </c>
      <c r="W2532" t="s">
        <v>187</v>
      </c>
      <c r="Y2532" t="s">
        <v>51</v>
      </c>
      <c r="Z2532">
        <v>929</v>
      </c>
      <c r="AH2532">
        <v>0</v>
      </c>
      <c r="AI2532">
        <v>202506</v>
      </c>
      <c r="AJ2532" t="s">
        <v>86</v>
      </c>
      <c r="AK2532">
        <v>1</v>
      </c>
      <c r="AL2532">
        <v>1</v>
      </c>
      <c r="AO2532">
        <v>1</v>
      </c>
      <c r="AP2532" t="s">
        <v>3015</v>
      </c>
      <c r="AQ2532" t="s">
        <v>3044</v>
      </c>
      <c r="AR2532" t="s">
        <v>3045</v>
      </c>
      <c r="AS2532" t="s">
        <v>3046</v>
      </c>
      <c r="AU2532" t="s">
        <v>3046</v>
      </c>
    </row>
    <row r="2533" spans="1:47" x14ac:dyDescent="0.35">
      <c r="A2533">
        <v>360365</v>
      </c>
      <c r="B2533" t="s">
        <v>178</v>
      </c>
      <c r="C2533" t="s">
        <v>179</v>
      </c>
      <c r="D2533" s="2">
        <v>45832</v>
      </c>
      <c r="E2533">
        <v>53850</v>
      </c>
      <c r="F2533">
        <v>270</v>
      </c>
      <c r="G2533" t="s">
        <v>524</v>
      </c>
      <c r="H2533" t="s">
        <v>167</v>
      </c>
      <c r="I2533" t="s">
        <v>45</v>
      </c>
      <c r="K2533">
        <v>202506238119208</v>
      </c>
      <c r="L2533">
        <v>2703300010948</v>
      </c>
      <c r="M2533">
        <v>20250623</v>
      </c>
      <c r="N2533" t="s">
        <v>236</v>
      </c>
      <c r="P2533" t="s">
        <v>51</v>
      </c>
      <c r="Q2533" t="s">
        <v>170</v>
      </c>
      <c r="R2533">
        <v>202500</v>
      </c>
      <c r="S2533">
        <v>0</v>
      </c>
      <c r="T2533">
        <v>3742655</v>
      </c>
      <c r="U2533" t="s">
        <v>2504</v>
      </c>
      <c r="V2533" t="s">
        <v>2505</v>
      </c>
      <c r="W2533" t="s">
        <v>187</v>
      </c>
      <c r="Y2533" t="s">
        <v>51</v>
      </c>
      <c r="Z2533">
        <v>1875</v>
      </c>
      <c r="AH2533">
        <v>0</v>
      </c>
      <c r="AI2533">
        <v>202506</v>
      </c>
      <c r="AJ2533" t="s">
        <v>52</v>
      </c>
      <c r="AK2533">
        <v>0</v>
      </c>
      <c r="AL2533">
        <v>1</v>
      </c>
      <c r="AO2533">
        <v>0</v>
      </c>
      <c r="AP2533" t="s">
        <v>3015</v>
      </c>
      <c r="AQ2533" t="s">
        <v>3044</v>
      </c>
      <c r="AR2533" t="s">
        <v>3045</v>
      </c>
      <c r="AS2533" t="s">
        <v>3046</v>
      </c>
      <c r="AU2533" t="s">
        <v>3046</v>
      </c>
    </row>
    <row r="2534" spans="1:47" x14ac:dyDescent="0.35">
      <c r="A2534">
        <v>360364</v>
      </c>
      <c r="B2534" t="s">
        <v>172</v>
      </c>
      <c r="C2534" t="s">
        <v>173</v>
      </c>
      <c r="D2534" s="2">
        <v>45832</v>
      </c>
      <c r="E2534">
        <v>53850</v>
      </c>
      <c r="F2534">
        <v>128</v>
      </c>
      <c r="G2534" t="s">
        <v>94</v>
      </c>
      <c r="H2534" t="s">
        <v>167</v>
      </c>
      <c r="I2534" t="s">
        <v>45</v>
      </c>
      <c r="K2534" t="s">
        <v>2478</v>
      </c>
      <c r="L2534">
        <v>1093306672844</v>
      </c>
      <c r="M2534">
        <v>20250623</v>
      </c>
      <c r="N2534" t="s">
        <v>175</v>
      </c>
      <c r="Q2534" t="s">
        <v>47</v>
      </c>
      <c r="R2534">
        <v>95838.54</v>
      </c>
      <c r="S2534">
        <v>7300</v>
      </c>
      <c r="T2534">
        <v>440311</v>
      </c>
      <c r="U2534">
        <v>3550290724</v>
      </c>
      <c r="V2534" t="s">
        <v>90</v>
      </c>
      <c r="W2534" t="s">
        <v>49</v>
      </c>
      <c r="X2534" t="s">
        <v>91</v>
      </c>
      <c r="Y2534" t="s">
        <v>51</v>
      </c>
      <c r="Z2534">
        <v>1903</v>
      </c>
      <c r="AH2534">
        <v>0</v>
      </c>
      <c r="AI2534">
        <v>202506</v>
      </c>
      <c r="AJ2534" t="s">
        <v>119</v>
      </c>
      <c r="AK2534">
        <v>1</v>
      </c>
      <c r="AL2534">
        <v>1</v>
      </c>
      <c r="AM2534">
        <v>440311</v>
      </c>
      <c r="AN2534">
        <v>1</v>
      </c>
      <c r="AO2534">
        <v>1</v>
      </c>
      <c r="AP2534" t="s">
        <v>1100</v>
      </c>
      <c r="AQ2534" t="s">
        <v>3012</v>
      </c>
      <c r="AR2534" t="s">
        <v>3023</v>
      </c>
      <c r="AS2534" t="s">
        <v>3014</v>
      </c>
      <c r="AU2534" t="s">
        <v>3014</v>
      </c>
    </row>
    <row r="2535" spans="1:47" x14ac:dyDescent="0.35">
      <c r="A2535">
        <v>360363</v>
      </c>
      <c r="B2535" t="s">
        <v>178</v>
      </c>
      <c r="C2535" t="s">
        <v>179</v>
      </c>
      <c r="D2535" s="2">
        <v>45832</v>
      </c>
      <c r="E2535">
        <v>53850</v>
      </c>
      <c r="F2535">
        <v>109</v>
      </c>
      <c r="G2535" t="s">
        <v>89</v>
      </c>
      <c r="H2535" t="s">
        <v>167</v>
      </c>
      <c r="I2535" t="s">
        <v>45</v>
      </c>
      <c r="K2535" t="s">
        <v>2526</v>
      </c>
      <c r="L2535">
        <v>1093306673858</v>
      </c>
      <c r="M2535">
        <v>20250623</v>
      </c>
      <c r="N2535" t="s">
        <v>3136</v>
      </c>
      <c r="Q2535" t="s">
        <v>170</v>
      </c>
      <c r="R2535">
        <v>3725.74</v>
      </c>
      <c r="S2535">
        <v>0</v>
      </c>
      <c r="T2535">
        <v>4848147</v>
      </c>
      <c r="U2535" t="s">
        <v>2529</v>
      </c>
      <c r="V2535" t="s">
        <v>2530</v>
      </c>
      <c r="W2535" t="s">
        <v>187</v>
      </c>
      <c r="Y2535" t="s">
        <v>51</v>
      </c>
      <c r="Z2535">
        <v>929</v>
      </c>
      <c r="AH2535">
        <v>0</v>
      </c>
      <c r="AI2535">
        <v>202506</v>
      </c>
      <c r="AJ2535" t="s">
        <v>86</v>
      </c>
      <c r="AK2535">
        <v>1</v>
      </c>
      <c r="AL2535">
        <v>1</v>
      </c>
      <c r="AO2535">
        <v>1</v>
      </c>
      <c r="AP2535" t="s">
        <v>3015</v>
      </c>
      <c r="AQ2535" t="s">
        <v>3044</v>
      </c>
      <c r="AR2535" t="s">
        <v>3045</v>
      </c>
      <c r="AS2535" t="s">
        <v>3046</v>
      </c>
      <c r="AU2535" t="s">
        <v>3046</v>
      </c>
    </row>
    <row r="2536" spans="1:47" x14ac:dyDescent="0.35">
      <c r="A2536">
        <v>360362</v>
      </c>
      <c r="B2536" t="s">
        <v>172</v>
      </c>
      <c r="C2536" t="s">
        <v>173</v>
      </c>
      <c r="D2536" s="2">
        <v>45832</v>
      </c>
      <c r="E2536">
        <v>53850</v>
      </c>
      <c r="F2536">
        <v>116</v>
      </c>
      <c r="G2536" t="s">
        <v>126</v>
      </c>
      <c r="H2536" t="s">
        <v>167</v>
      </c>
      <c r="I2536" t="s">
        <v>45</v>
      </c>
      <c r="K2536">
        <v>202506238118512</v>
      </c>
      <c r="L2536">
        <v>2343300010453</v>
      </c>
      <c r="M2536">
        <v>20250623</v>
      </c>
      <c r="N2536" t="s">
        <v>195</v>
      </c>
      <c r="Q2536" t="s">
        <v>47</v>
      </c>
      <c r="R2536">
        <v>151490.5</v>
      </c>
      <c r="S2536">
        <v>151490.5</v>
      </c>
      <c r="T2536">
        <v>4247777</v>
      </c>
      <c r="U2536">
        <v>233470236</v>
      </c>
      <c r="V2536" t="s">
        <v>206</v>
      </c>
      <c r="W2536" t="s">
        <v>49</v>
      </c>
      <c r="X2536" t="s">
        <v>117</v>
      </c>
      <c r="Y2536" t="s">
        <v>51</v>
      </c>
      <c r="Z2536">
        <v>1696</v>
      </c>
      <c r="AH2536">
        <v>0</v>
      </c>
      <c r="AI2536">
        <v>202506</v>
      </c>
      <c r="AJ2536" t="s">
        <v>86</v>
      </c>
      <c r="AK2536">
        <v>1</v>
      </c>
      <c r="AL2536">
        <v>1</v>
      </c>
      <c r="AM2536">
        <v>4247777</v>
      </c>
      <c r="AN2536">
        <v>1</v>
      </c>
      <c r="AO2536">
        <v>0</v>
      </c>
      <c r="AP2536" t="s">
        <v>3029</v>
      </c>
      <c r="AQ2536" t="s">
        <v>3012</v>
      </c>
      <c r="AR2536" t="s">
        <v>3030</v>
      </c>
      <c r="AS2536" t="s">
        <v>3014</v>
      </c>
      <c r="AU2536" t="s">
        <v>3014</v>
      </c>
    </row>
    <row r="2537" spans="1:47" x14ac:dyDescent="0.35">
      <c r="A2537">
        <v>360361</v>
      </c>
      <c r="B2537" t="s">
        <v>193</v>
      </c>
      <c r="C2537" t="s">
        <v>194</v>
      </c>
      <c r="D2537" s="2">
        <v>45832</v>
      </c>
      <c r="E2537">
        <v>53850</v>
      </c>
      <c r="F2537">
        <v>109</v>
      </c>
      <c r="G2537" t="s">
        <v>89</v>
      </c>
      <c r="H2537" t="s">
        <v>167</v>
      </c>
      <c r="I2537" t="s">
        <v>45</v>
      </c>
      <c r="K2537" t="s">
        <v>2478</v>
      </c>
      <c r="L2537">
        <v>1093306667367</v>
      </c>
      <c r="M2537">
        <v>20250623</v>
      </c>
      <c r="N2537" t="s">
        <v>175</v>
      </c>
      <c r="Q2537" t="s">
        <v>47</v>
      </c>
      <c r="R2537">
        <v>48417</v>
      </c>
      <c r="S2537">
        <v>44417</v>
      </c>
      <c r="T2537">
        <v>4026861</v>
      </c>
      <c r="U2537">
        <v>5195820724</v>
      </c>
      <c r="V2537" t="s">
        <v>1011</v>
      </c>
      <c r="W2537" t="s">
        <v>49</v>
      </c>
      <c r="X2537" t="s">
        <v>131</v>
      </c>
      <c r="Y2537" t="s">
        <v>51</v>
      </c>
      <c r="Z2537">
        <v>1696</v>
      </c>
      <c r="AH2537">
        <v>0</v>
      </c>
      <c r="AI2537">
        <v>202506</v>
      </c>
      <c r="AJ2537" t="s">
        <v>56</v>
      </c>
      <c r="AK2537">
        <v>0</v>
      </c>
      <c r="AL2537">
        <v>1</v>
      </c>
      <c r="AM2537">
        <v>4026861</v>
      </c>
      <c r="AN2537">
        <v>1</v>
      </c>
      <c r="AO2537">
        <v>1</v>
      </c>
      <c r="AP2537" t="s">
        <v>3033</v>
      </c>
      <c r="AQ2537" t="s">
        <v>3012</v>
      </c>
      <c r="AR2537" t="s">
        <v>3034</v>
      </c>
      <c r="AS2537" t="s">
        <v>3014</v>
      </c>
      <c r="AU2537" t="s">
        <v>3014</v>
      </c>
    </row>
    <row r="2538" spans="1:47" x14ac:dyDescent="0.35">
      <c r="A2538">
        <v>360360</v>
      </c>
      <c r="B2538" t="s">
        <v>172</v>
      </c>
      <c r="C2538" t="s">
        <v>173</v>
      </c>
      <c r="D2538" s="2">
        <v>45832</v>
      </c>
      <c r="E2538">
        <v>53850</v>
      </c>
      <c r="F2538">
        <v>108</v>
      </c>
      <c r="G2538" t="s">
        <v>124</v>
      </c>
      <c r="H2538" t="s">
        <v>167</v>
      </c>
      <c r="I2538" t="s">
        <v>45</v>
      </c>
      <c r="K2538" t="s">
        <v>2478</v>
      </c>
      <c r="L2538">
        <v>1083306291105</v>
      </c>
      <c r="M2538">
        <v>20250623</v>
      </c>
      <c r="N2538" t="s">
        <v>175</v>
      </c>
      <c r="Q2538" t="s">
        <v>47</v>
      </c>
      <c r="R2538">
        <v>103821.91</v>
      </c>
      <c r="S2538">
        <v>73196.850000000006</v>
      </c>
      <c r="T2538">
        <v>4227057</v>
      </c>
      <c r="U2538">
        <v>4874620729</v>
      </c>
      <c r="V2538" t="s">
        <v>250</v>
      </c>
      <c r="W2538" t="s">
        <v>49</v>
      </c>
      <c r="X2538" t="s">
        <v>62</v>
      </c>
      <c r="Y2538" t="s">
        <v>51</v>
      </c>
      <c r="Z2538">
        <v>1058</v>
      </c>
      <c r="AH2538">
        <v>0</v>
      </c>
      <c r="AI2538">
        <v>202506</v>
      </c>
      <c r="AJ2538" t="s">
        <v>119</v>
      </c>
      <c r="AK2538">
        <v>1</v>
      </c>
      <c r="AL2538">
        <v>1</v>
      </c>
      <c r="AM2538">
        <v>4227057</v>
      </c>
      <c r="AN2538">
        <v>1</v>
      </c>
      <c r="AO2538">
        <v>1</v>
      </c>
      <c r="AP2538" t="s">
        <v>3015</v>
      </c>
      <c r="AQ2538" t="s">
        <v>3012</v>
      </c>
      <c r="AR2538" t="s">
        <v>3016</v>
      </c>
      <c r="AT2538" t="s">
        <v>3017</v>
      </c>
      <c r="AU2538" t="s">
        <v>3018</v>
      </c>
    </row>
    <row r="2539" spans="1:47" x14ac:dyDescent="0.35">
      <c r="A2539">
        <v>360359</v>
      </c>
      <c r="B2539" t="s">
        <v>333</v>
      </c>
      <c r="C2539" t="s">
        <v>334</v>
      </c>
      <c r="D2539" s="2">
        <v>45832</v>
      </c>
      <c r="E2539">
        <v>53850</v>
      </c>
      <c r="F2539">
        <v>99</v>
      </c>
      <c r="G2539" t="s">
        <v>335</v>
      </c>
      <c r="H2539" t="s">
        <v>167</v>
      </c>
      <c r="I2539" t="s">
        <v>45</v>
      </c>
      <c r="K2539">
        <v>202506238118651</v>
      </c>
      <c r="M2539">
        <v>20250623</v>
      </c>
      <c r="N2539" t="s">
        <v>3136</v>
      </c>
      <c r="Q2539" t="s">
        <v>170</v>
      </c>
      <c r="R2539">
        <v>7531.77</v>
      </c>
      <c r="S2539">
        <v>0</v>
      </c>
      <c r="T2539">
        <v>4917552</v>
      </c>
      <c r="U2539" t="s">
        <v>2506</v>
      </c>
      <c r="V2539" t="s">
        <v>2507</v>
      </c>
      <c r="W2539" t="s">
        <v>69</v>
      </c>
      <c r="X2539" t="s">
        <v>70</v>
      </c>
      <c r="Y2539" t="s">
        <v>51</v>
      </c>
      <c r="Z2539">
        <v>869</v>
      </c>
      <c r="AH2539">
        <v>0</v>
      </c>
      <c r="AI2539">
        <v>202506</v>
      </c>
      <c r="AJ2539" t="s">
        <v>52</v>
      </c>
      <c r="AK2539">
        <v>0</v>
      </c>
      <c r="AL2539">
        <v>0</v>
      </c>
      <c r="AO2539">
        <v>1</v>
      </c>
      <c r="AP2539" t="s">
        <v>3015</v>
      </c>
      <c r="AQ2539" t="s">
        <v>3021</v>
      </c>
      <c r="AR2539" t="s">
        <v>3022</v>
      </c>
      <c r="AT2539" t="s">
        <v>3017</v>
      </c>
      <c r="AU2539" t="s">
        <v>3014</v>
      </c>
    </row>
    <row r="2540" spans="1:47" x14ac:dyDescent="0.35">
      <c r="A2540">
        <v>360358</v>
      </c>
      <c r="B2540" t="s">
        <v>193</v>
      </c>
      <c r="C2540" t="s">
        <v>194</v>
      </c>
      <c r="D2540" s="2">
        <v>45832</v>
      </c>
      <c r="E2540">
        <v>53850</v>
      </c>
      <c r="F2540">
        <v>128</v>
      </c>
      <c r="G2540" t="s">
        <v>94</v>
      </c>
      <c r="H2540" t="s">
        <v>167</v>
      </c>
      <c r="I2540" t="s">
        <v>45</v>
      </c>
      <c r="K2540">
        <v>202506218117947</v>
      </c>
      <c r="L2540">
        <v>1283300003941</v>
      </c>
      <c r="M2540">
        <v>20250621</v>
      </c>
      <c r="N2540" t="s">
        <v>195</v>
      </c>
      <c r="Q2540" t="s">
        <v>47</v>
      </c>
      <c r="R2540">
        <v>31600</v>
      </c>
      <c r="S2540">
        <v>31600</v>
      </c>
      <c r="T2540">
        <v>4916499</v>
      </c>
      <c r="U2540" t="s">
        <v>382</v>
      </c>
      <c r="V2540" t="s">
        <v>383</v>
      </c>
      <c r="W2540" t="s">
        <v>69</v>
      </c>
      <c r="X2540" t="s">
        <v>55</v>
      </c>
      <c r="Y2540" t="s">
        <v>51</v>
      </c>
      <c r="Z2540">
        <v>1166</v>
      </c>
      <c r="AH2540">
        <v>0</v>
      </c>
      <c r="AI2540">
        <v>202506</v>
      </c>
      <c r="AJ2540" t="s">
        <v>119</v>
      </c>
      <c r="AK2540">
        <v>1</v>
      </c>
      <c r="AL2540">
        <v>1</v>
      </c>
      <c r="AM2540">
        <v>4916499</v>
      </c>
      <c r="AN2540">
        <v>1</v>
      </c>
      <c r="AO2540">
        <v>0</v>
      </c>
      <c r="AP2540" t="s">
        <v>3015</v>
      </c>
      <c r="AQ2540" t="s">
        <v>3021</v>
      </c>
      <c r="AR2540" t="s">
        <v>3022</v>
      </c>
      <c r="AT2540" t="s">
        <v>3017</v>
      </c>
      <c r="AU2540" t="s">
        <v>3014</v>
      </c>
    </row>
    <row r="2541" spans="1:47" x14ac:dyDescent="0.35">
      <c r="A2541">
        <v>360357</v>
      </c>
      <c r="B2541" t="s">
        <v>193</v>
      </c>
      <c r="C2541" t="s">
        <v>194</v>
      </c>
      <c r="D2541" s="2">
        <v>45832</v>
      </c>
      <c r="E2541">
        <v>53850</v>
      </c>
      <c r="F2541">
        <v>102</v>
      </c>
      <c r="G2541" t="s">
        <v>151</v>
      </c>
      <c r="H2541" t="s">
        <v>167</v>
      </c>
      <c r="I2541" t="s">
        <v>45</v>
      </c>
      <c r="K2541">
        <v>202506218117937</v>
      </c>
      <c r="L2541">
        <v>1023308722503</v>
      </c>
      <c r="M2541">
        <v>20250621</v>
      </c>
      <c r="N2541" t="s">
        <v>195</v>
      </c>
      <c r="Q2541" t="s">
        <v>47</v>
      </c>
      <c r="R2541">
        <v>28860</v>
      </c>
      <c r="S2541">
        <v>28860</v>
      </c>
      <c r="T2541">
        <v>413650</v>
      </c>
      <c r="U2541">
        <v>3657230722</v>
      </c>
      <c r="V2541" t="s">
        <v>196</v>
      </c>
      <c r="W2541" t="s">
        <v>190</v>
      </c>
      <c r="X2541" t="s">
        <v>197</v>
      </c>
      <c r="Y2541" t="s">
        <v>51</v>
      </c>
      <c r="Z2541">
        <v>1306</v>
      </c>
      <c r="AH2541">
        <v>0</v>
      </c>
      <c r="AI2541">
        <v>202506</v>
      </c>
      <c r="AJ2541" t="s">
        <v>119</v>
      </c>
      <c r="AK2541">
        <v>1</v>
      </c>
      <c r="AL2541">
        <v>1</v>
      </c>
      <c r="AM2541">
        <v>413650</v>
      </c>
      <c r="AN2541">
        <v>1</v>
      </c>
      <c r="AO2541">
        <v>0</v>
      </c>
      <c r="AP2541" t="s">
        <v>3050</v>
      </c>
      <c r="AQ2541" t="s">
        <v>3047</v>
      </c>
      <c r="AR2541" t="s">
        <v>3051</v>
      </c>
      <c r="AS2541" t="s">
        <v>3049</v>
      </c>
      <c r="AU2541" t="s">
        <v>3049</v>
      </c>
    </row>
    <row r="2542" spans="1:47" x14ac:dyDescent="0.35">
      <c r="A2542">
        <v>360356</v>
      </c>
      <c r="B2542" t="s">
        <v>193</v>
      </c>
      <c r="C2542" t="s">
        <v>194</v>
      </c>
      <c r="D2542" s="2">
        <v>45832</v>
      </c>
      <c r="E2542">
        <v>53850</v>
      </c>
      <c r="F2542">
        <v>102</v>
      </c>
      <c r="G2542" t="s">
        <v>151</v>
      </c>
      <c r="H2542" t="s">
        <v>167</v>
      </c>
      <c r="I2542" t="s">
        <v>45</v>
      </c>
      <c r="K2542">
        <v>202506218118521</v>
      </c>
      <c r="L2542">
        <v>2583300000994</v>
      </c>
      <c r="M2542">
        <v>20250621</v>
      </c>
      <c r="N2542" t="s">
        <v>195</v>
      </c>
      <c r="Q2542" t="s">
        <v>47</v>
      </c>
      <c r="R2542">
        <v>17650</v>
      </c>
      <c r="S2542">
        <v>17650</v>
      </c>
      <c r="T2542">
        <v>4870773</v>
      </c>
      <c r="U2542" t="s">
        <v>2531</v>
      </c>
      <c r="V2542" t="s">
        <v>2532</v>
      </c>
      <c r="W2542" t="s">
        <v>187</v>
      </c>
      <c r="Y2542" t="s">
        <v>51</v>
      </c>
      <c r="Z2542">
        <v>1456</v>
      </c>
      <c r="AH2542">
        <v>0</v>
      </c>
      <c r="AI2542">
        <v>202506</v>
      </c>
      <c r="AJ2542" t="s">
        <v>86</v>
      </c>
      <c r="AK2542">
        <v>1</v>
      </c>
      <c r="AL2542">
        <v>1</v>
      </c>
      <c r="AO2542">
        <v>0</v>
      </c>
      <c r="AP2542" t="s">
        <v>3015</v>
      </c>
      <c r="AQ2542" t="s">
        <v>3044</v>
      </c>
      <c r="AR2542" t="s">
        <v>3045</v>
      </c>
      <c r="AS2542" t="s">
        <v>3046</v>
      </c>
      <c r="AU2542" t="s">
        <v>3046</v>
      </c>
    </row>
    <row r="2543" spans="1:47" x14ac:dyDescent="0.35">
      <c r="A2543">
        <v>360355</v>
      </c>
      <c r="B2543" t="s">
        <v>178</v>
      </c>
      <c r="C2543" t="s">
        <v>179</v>
      </c>
      <c r="D2543" s="2">
        <v>45832</v>
      </c>
      <c r="E2543">
        <v>53850</v>
      </c>
      <c r="F2543">
        <v>102</v>
      </c>
      <c r="G2543" t="s">
        <v>151</v>
      </c>
      <c r="H2543" t="s">
        <v>167</v>
      </c>
      <c r="I2543" t="s">
        <v>45</v>
      </c>
      <c r="K2543">
        <v>202506208118660</v>
      </c>
      <c r="L2543">
        <v>1023308723686</v>
      </c>
      <c r="M2543">
        <v>20250620</v>
      </c>
      <c r="N2543" t="s">
        <v>236</v>
      </c>
      <c r="P2543" t="s">
        <v>51</v>
      </c>
      <c r="Q2543" t="s">
        <v>170</v>
      </c>
      <c r="R2543">
        <v>620000</v>
      </c>
      <c r="S2543">
        <v>0</v>
      </c>
      <c r="T2543">
        <v>531420</v>
      </c>
      <c r="U2543" t="s">
        <v>744</v>
      </c>
      <c r="V2543" t="s">
        <v>745</v>
      </c>
      <c r="W2543" t="s">
        <v>69</v>
      </c>
      <c r="X2543" t="s">
        <v>746</v>
      </c>
      <c r="Y2543" t="s">
        <v>51</v>
      </c>
      <c r="Z2543">
        <v>1306</v>
      </c>
      <c r="AH2543">
        <v>0</v>
      </c>
      <c r="AI2543">
        <v>202506</v>
      </c>
      <c r="AJ2543" t="s">
        <v>56</v>
      </c>
      <c r="AK2543">
        <v>0</v>
      </c>
      <c r="AL2543">
        <v>1</v>
      </c>
      <c r="AM2543">
        <v>531420</v>
      </c>
      <c r="AN2543">
        <v>1</v>
      </c>
      <c r="AO2543">
        <v>0</v>
      </c>
      <c r="AP2543" t="s">
        <v>3015</v>
      </c>
      <c r="AQ2543" t="s">
        <v>3021</v>
      </c>
      <c r="AR2543" t="s">
        <v>3022</v>
      </c>
      <c r="AT2543" t="s">
        <v>3017</v>
      </c>
      <c r="AU2543" t="s">
        <v>3014</v>
      </c>
    </row>
    <row r="2544" spans="1:47" x14ac:dyDescent="0.35">
      <c r="A2544">
        <v>360354</v>
      </c>
      <c r="B2544" t="s">
        <v>193</v>
      </c>
      <c r="C2544" t="s">
        <v>194</v>
      </c>
      <c r="D2544" s="2">
        <v>45832</v>
      </c>
      <c r="E2544">
        <v>53850</v>
      </c>
      <c r="F2544">
        <v>117</v>
      </c>
      <c r="G2544" t="s">
        <v>490</v>
      </c>
      <c r="H2544" t="s">
        <v>167</v>
      </c>
      <c r="I2544" t="s">
        <v>45</v>
      </c>
      <c r="K2544" t="s">
        <v>2533</v>
      </c>
      <c r="L2544">
        <v>1173300539918</v>
      </c>
      <c r="M2544">
        <v>20250618</v>
      </c>
      <c r="N2544" t="s">
        <v>195</v>
      </c>
      <c r="Q2544" t="s">
        <v>47</v>
      </c>
      <c r="R2544">
        <v>30920</v>
      </c>
      <c r="S2544">
        <v>30920</v>
      </c>
      <c r="T2544">
        <v>4996127</v>
      </c>
      <c r="U2544">
        <v>1148750779</v>
      </c>
      <c r="V2544" t="s">
        <v>2534</v>
      </c>
      <c r="W2544" t="s">
        <v>49</v>
      </c>
      <c r="X2544" t="s">
        <v>117</v>
      </c>
      <c r="Y2544" t="s">
        <v>51</v>
      </c>
      <c r="Z2544">
        <v>1926</v>
      </c>
      <c r="AH2544">
        <v>0</v>
      </c>
      <c r="AI2544">
        <v>202506</v>
      </c>
      <c r="AJ2544" t="s">
        <v>86</v>
      </c>
      <c r="AK2544">
        <v>1</v>
      </c>
      <c r="AL2544">
        <v>1</v>
      </c>
      <c r="AM2544">
        <v>4996127</v>
      </c>
      <c r="AN2544">
        <v>1</v>
      </c>
      <c r="AO2544">
        <v>0</v>
      </c>
      <c r="AP2544" t="s">
        <v>3029</v>
      </c>
      <c r="AQ2544" t="s">
        <v>3012</v>
      </c>
      <c r="AR2544" t="s">
        <v>3030</v>
      </c>
      <c r="AS2544" t="s">
        <v>3014</v>
      </c>
      <c r="AU2544" t="s">
        <v>3014</v>
      </c>
    </row>
    <row r="2545" spans="1:47" x14ac:dyDescent="0.35">
      <c r="A2545">
        <v>360353</v>
      </c>
      <c r="B2545" t="s">
        <v>193</v>
      </c>
      <c r="C2545" t="s">
        <v>194</v>
      </c>
      <c r="D2545" s="2">
        <v>45829</v>
      </c>
      <c r="E2545">
        <v>53850</v>
      </c>
      <c r="F2545">
        <v>108</v>
      </c>
      <c r="G2545" t="s">
        <v>124</v>
      </c>
      <c r="H2545" t="s">
        <v>167</v>
      </c>
      <c r="I2545" t="s">
        <v>45</v>
      </c>
      <c r="K2545" t="s">
        <v>2535</v>
      </c>
      <c r="L2545">
        <v>1083306291105</v>
      </c>
      <c r="M2545">
        <v>20250620</v>
      </c>
      <c r="N2545" t="s">
        <v>175</v>
      </c>
      <c r="Q2545" t="s">
        <v>47</v>
      </c>
      <c r="R2545">
        <v>68049.289999999994</v>
      </c>
      <c r="S2545">
        <v>51456.1</v>
      </c>
      <c r="T2545">
        <v>4227057</v>
      </c>
      <c r="U2545">
        <v>4874620729</v>
      </c>
      <c r="V2545" t="s">
        <v>250</v>
      </c>
      <c r="W2545" t="s">
        <v>49</v>
      </c>
      <c r="X2545" t="s">
        <v>62</v>
      </c>
      <c r="Y2545" t="s">
        <v>51</v>
      </c>
      <c r="Z2545">
        <v>1058</v>
      </c>
      <c r="AH2545">
        <v>0</v>
      </c>
      <c r="AI2545">
        <v>202506</v>
      </c>
      <c r="AJ2545" t="s">
        <v>119</v>
      </c>
      <c r="AK2545">
        <v>1</v>
      </c>
      <c r="AL2545">
        <v>1</v>
      </c>
      <c r="AM2545">
        <v>4227057</v>
      </c>
      <c r="AN2545">
        <v>1</v>
      </c>
      <c r="AO2545">
        <v>1</v>
      </c>
      <c r="AP2545" t="s">
        <v>3015</v>
      </c>
      <c r="AQ2545" t="s">
        <v>3012</v>
      </c>
      <c r="AR2545" t="s">
        <v>3016</v>
      </c>
      <c r="AT2545" t="s">
        <v>3017</v>
      </c>
      <c r="AU2545" t="s">
        <v>3018</v>
      </c>
    </row>
    <row r="2546" spans="1:47" x14ac:dyDescent="0.35">
      <c r="A2546">
        <v>360352</v>
      </c>
      <c r="B2546" t="s">
        <v>172</v>
      </c>
      <c r="C2546" t="s">
        <v>173</v>
      </c>
      <c r="D2546" s="2">
        <v>45829</v>
      </c>
      <c r="E2546">
        <v>53850</v>
      </c>
      <c r="F2546">
        <v>109</v>
      </c>
      <c r="G2546" t="s">
        <v>89</v>
      </c>
      <c r="H2546" t="s">
        <v>167</v>
      </c>
      <c r="I2546" t="s">
        <v>45</v>
      </c>
      <c r="K2546">
        <v>202506208088669</v>
      </c>
      <c r="L2546">
        <v>1093306670882</v>
      </c>
      <c r="M2546">
        <v>20250620</v>
      </c>
      <c r="N2546" t="s">
        <v>231</v>
      </c>
      <c r="Q2546" t="s">
        <v>47</v>
      </c>
      <c r="R2546">
        <v>205000</v>
      </c>
      <c r="S2546">
        <v>0</v>
      </c>
      <c r="T2546">
        <v>58869</v>
      </c>
      <c r="U2546" t="s">
        <v>2536</v>
      </c>
      <c r="V2546" t="s">
        <v>2537</v>
      </c>
      <c r="W2546" t="s">
        <v>69</v>
      </c>
      <c r="X2546" t="s">
        <v>74</v>
      </c>
      <c r="Y2546" t="s">
        <v>51</v>
      </c>
      <c r="Z2546">
        <v>1107</v>
      </c>
      <c r="AH2546">
        <v>0</v>
      </c>
      <c r="AI2546">
        <v>202506</v>
      </c>
      <c r="AJ2546" t="s">
        <v>56</v>
      </c>
      <c r="AK2546">
        <v>0</v>
      </c>
      <c r="AL2546">
        <v>1</v>
      </c>
      <c r="AO2546">
        <v>0</v>
      </c>
      <c r="AP2546" t="s">
        <v>3015</v>
      </c>
      <c r="AQ2546" t="s">
        <v>3021</v>
      </c>
      <c r="AR2546" t="s">
        <v>3022</v>
      </c>
      <c r="AT2546" t="s">
        <v>3017</v>
      </c>
      <c r="AU2546" t="s">
        <v>3014</v>
      </c>
    </row>
    <row r="2547" spans="1:47" x14ac:dyDescent="0.35">
      <c r="A2547">
        <v>360351</v>
      </c>
      <c r="B2547" t="s">
        <v>172</v>
      </c>
      <c r="C2547" t="s">
        <v>173</v>
      </c>
      <c r="D2547" s="2">
        <v>45829</v>
      </c>
      <c r="E2547">
        <v>53850</v>
      </c>
      <c r="F2547">
        <v>102</v>
      </c>
      <c r="G2547" t="s">
        <v>151</v>
      </c>
      <c r="H2547" t="s">
        <v>167</v>
      </c>
      <c r="I2547" t="s">
        <v>45</v>
      </c>
      <c r="K2547">
        <v>202506208088580</v>
      </c>
      <c r="L2547">
        <v>1023306273640</v>
      </c>
      <c r="M2547">
        <v>20250620</v>
      </c>
      <c r="N2547" t="s">
        <v>231</v>
      </c>
      <c r="Q2547" t="s">
        <v>47</v>
      </c>
      <c r="R2547">
        <v>200000</v>
      </c>
      <c r="S2547">
        <v>0</v>
      </c>
      <c r="T2547">
        <v>414340</v>
      </c>
      <c r="U2547" t="s">
        <v>2538</v>
      </c>
      <c r="V2547" t="s">
        <v>2539</v>
      </c>
      <c r="W2547" t="s">
        <v>187</v>
      </c>
      <c r="Y2547" t="s">
        <v>51</v>
      </c>
      <c r="Z2547">
        <v>1431</v>
      </c>
      <c r="AH2547">
        <v>0</v>
      </c>
      <c r="AI2547">
        <v>202506</v>
      </c>
      <c r="AJ2547" t="s">
        <v>86</v>
      </c>
      <c r="AK2547">
        <v>1</v>
      </c>
      <c r="AL2547">
        <v>1</v>
      </c>
      <c r="AO2547">
        <v>0</v>
      </c>
      <c r="AP2547" t="s">
        <v>3015</v>
      </c>
      <c r="AQ2547" t="s">
        <v>3044</v>
      </c>
      <c r="AR2547" t="s">
        <v>3045</v>
      </c>
      <c r="AS2547" t="s">
        <v>3046</v>
      </c>
      <c r="AU2547" t="s">
        <v>3046</v>
      </c>
    </row>
    <row r="2548" spans="1:47" x14ac:dyDescent="0.35">
      <c r="A2548">
        <v>360350</v>
      </c>
      <c r="B2548" t="s">
        <v>178</v>
      </c>
      <c r="C2548" t="s">
        <v>179</v>
      </c>
      <c r="D2548" s="2">
        <v>45829</v>
      </c>
      <c r="E2548">
        <v>53850</v>
      </c>
      <c r="F2548">
        <v>102</v>
      </c>
      <c r="G2548" t="s">
        <v>151</v>
      </c>
      <c r="H2548" t="s">
        <v>167</v>
      </c>
      <c r="I2548" t="s">
        <v>45</v>
      </c>
      <c r="K2548">
        <v>202506208088143</v>
      </c>
      <c r="L2548">
        <v>1023308723775</v>
      </c>
      <c r="M2548">
        <v>20250620</v>
      </c>
      <c r="N2548" t="s">
        <v>2540</v>
      </c>
      <c r="Q2548" t="s">
        <v>47</v>
      </c>
      <c r="R2548">
        <v>60562</v>
      </c>
      <c r="S2548">
        <v>0</v>
      </c>
      <c r="T2548">
        <v>200822</v>
      </c>
      <c r="U2548" t="s">
        <v>2541</v>
      </c>
      <c r="V2548" t="s">
        <v>2542</v>
      </c>
      <c r="W2548" t="s">
        <v>187</v>
      </c>
      <c r="Y2548" t="s">
        <v>51</v>
      </c>
      <c r="Z2548">
        <v>515</v>
      </c>
      <c r="AH2548">
        <v>0</v>
      </c>
      <c r="AI2548">
        <v>202506</v>
      </c>
      <c r="AJ2548" t="s">
        <v>86</v>
      </c>
      <c r="AK2548">
        <v>1</v>
      </c>
      <c r="AL2548">
        <v>1</v>
      </c>
      <c r="AO2548">
        <v>0</v>
      </c>
      <c r="AP2548" t="s">
        <v>3015</v>
      </c>
      <c r="AQ2548" t="s">
        <v>3044</v>
      </c>
      <c r="AR2548" t="s">
        <v>3045</v>
      </c>
      <c r="AS2548" t="s">
        <v>3046</v>
      </c>
      <c r="AU2548" t="s">
        <v>3046</v>
      </c>
    </row>
    <row r="2549" spans="1:47" x14ac:dyDescent="0.35">
      <c r="A2549">
        <v>360349</v>
      </c>
      <c r="B2549" t="s">
        <v>178</v>
      </c>
      <c r="C2549" t="s">
        <v>179</v>
      </c>
      <c r="D2549" s="2">
        <v>45829</v>
      </c>
      <c r="E2549">
        <v>53850</v>
      </c>
      <c r="F2549">
        <v>170</v>
      </c>
      <c r="G2549" t="s">
        <v>211</v>
      </c>
      <c r="H2549" t="s">
        <v>167</v>
      </c>
      <c r="I2549" t="s">
        <v>45</v>
      </c>
      <c r="K2549" t="s">
        <v>2543</v>
      </c>
      <c r="L2549">
        <v>1703306290293</v>
      </c>
      <c r="M2549">
        <v>20250620</v>
      </c>
      <c r="N2549" t="s">
        <v>3136</v>
      </c>
      <c r="Q2549" t="s">
        <v>170</v>
      </c>
      <c r="R2549">
        <v>2709.98</v>
      </c>
      <c r="S2549">
        <v>0</v>
      </c>
      <c r="T2549">
        <v>4101931</v>
      </c>
      <c r="U2549" t="s">
        <v>2544</v>
      </c>
      <c r="V2549" t="s">
        <v>2545</v>
      </c>
      <c r="W2549" t="s">
        <v>187</v>
      </c>
      <c r="Y2549" t="s">
        <v>51</v>
      </c>
      <c r="Z2549">
        <v>1667</v>
      </c>
      <c r="AH2549">
        <v>0</v>
      </c>
      <c r="AI2549">
        <v>202506</v>
      </c>
      <c r="AJ2549" t="s">
        <v>86</v>
      </c>
      <c r="AK2549">
        <v>1</v>
      </c>
      <c r="AL2549">
        <v>1</v>
      </c>
      <c r="AO2549">
        <v>1</v>
      </c>
      <c r="AP2549" t="s">
        <v>3015</v>
      </c>
      <c r="AQ2549" t="s">
        <v>3044</v>
      </c>
      <c r="AR2549" t="s">
        <v>3045</v>
      </c>
      <c r="AS2549" t="s">
        <v>3046</v>
      </c>
      <c r="AU2549" t="s">
        <v>3046</v>
      </c>
    </row>
    <row r="2550" spans="1:47" x14ac:dyDescent="0.35">
      <c r="A2550">
        <v>360348</v>
      </c>
      <c r="B2550" t="s">
        <v>214</v>
      </c>
      <c r="C2550" t="s">
        <v>215</v>
      </c>
      <c r="D2550" s="2">
        <v>45829</v>
      </c>
      <c r="E2550">
        <v>53850</v>
      </c>
      <c r="F2550">
        <v>175</v>
      </c>
      <c r="G2550" t="s">
        <v>99</v>
      </c>
      <c r="H2550" t="s">
        <v>167</v>
      </c>
      <c r="I2550" t="s">
        <v>45</v>
      </c>
      <c r="K2550">
        <v>202506208087904</v>
      </c>
      <c r="L2550">
        <v>1753302203813</v>
      </c>
      <c r="M2550">
        <v>20250620</v>
      </c>
      <c r="N2550" t="s">
        <v>168</v>
      </c>
      <c r="P2550" t="s">
        <v>511</v>
      </c>
      <c r="Q2550" t="s">
        <v>170</v>
      </c>
      <c r="R2550">
        <v>199951.22</v>
      </c>
      <c r="S2550">
        <v>0</v>
      </c>
      <c r="T2550">
        <v>4907691</v>
      </c>
      <c r="U2550">
        <v>1146400773</v>
      </c>
      <c r="V2550" t="s">
        <v>1034</v>
      </c>
      <c r="W2550" t="s">
        <v>49</v>
      </c>
      <c r="X2550" t="s">
        <v>257</v>
      </c>
      <c r="Y2550" t="s">
        <v>51</v>
      </c>
      <c r="Z2550">
        <v>1926</v>
      </c>
      <c r="AH2550">
        <v>0</v>
      </c>
      <c r="AI2550">
        <v>202506</v>
      </c>
      <c r="AJ2550" t="s">
        <v>86</v>
      </c>
      <c r="AK2550">
        <v>1</v>
      </c>
      <c r="AL2550">
        <v>1</v>
      </c>
      <c r="AO2550">
        <v>0</v>
      </c>
      <c r="AP2550" t="s">
        <v>3015</v>
      </c>
      <c r="AQ2550" t="s">
        <v>3012</v>
      </c>
      <c r="AR2550" t="s">
        <v>3016</v>
      </c>
      <c r="AT2550" t="s">
        <v>3017</v>
      </c>
      <c r="AU2550" t="s">
        <v>3018</v>
      </c>
    </row>
    <row r="2551" spans="1:47" x14ac:dyDescent="0.35">
      <c r="A2551">
        <v>360347</v>
      </c>
      <c r="B2551" t="s">
        <v>172</v>
      </c>
      <c r="C2551" t="s">
        <v>173</v>
      </c>
      <c r="D2551" s="2">
        <v>45829</v>
      </c>
      <c r="E2551">
        <v>53850</v>
      </c>
      <c r="F2551">
        <v>102</v>
      </c>
      <c r="G2551" t="s">
        <v>151</v>
      </c>
      <c r="H2551" t="s">
        <v>167</v>
      </c>
      <c r="I2551" t="s">
        <v>45</v>
      </c>
      <c r="K2551" t="s">
        <v>2535</v>
      </c>
      <c r="L2551">
        <v>1023300660520</v>
      </c>
      <c r="M2551">
        <v>20250620</v>
      </c>
      <c r="N2551" t="s">
        <v>175</v>
      </c>
      <c r="Q2551" t="s">
        <v>47</v>
      </c>
      <c r="R2551">
        <v>180797.72</v>
      </c>
      <c r="S2551">
        <v>3235</v>
      </c>
      <c r="T2551">
        <v>66052</v>
      </c>
      <c r="U2551">
        <v>398110726</v>
      </c>
      <c r="V2551" t="s">
        <v>426</v>
      </c>
      <c r="W2551" t="s">
        <v>49</v>
      </c>
      <c r="X2551" t="s">
        <v>59</v>
      </c>
      <c r="Y2551" t="s">
        <v>51</v>
      </c>
      <c r="Z2551">
        <v>1203</v>
      </c>
      <c r="AH2551">
        <v>0</v>
      </c>
      <c r="AI2551">
        <v>202506</v>
      </c>
      <c r="AJ2551" t="s">
        <v>119</v>
      </c>
      <c r="AK2551">
        <v>1</v>
      </c>
      <c r="AL2551">
        <v>1</v>
      </c>
      <c r="AM2551">
        <v>66052</v>
      </c>
      <c r="AN2551">
        <v>1</v>
      </c>
      <c r="AO2551">
        <v>1</v>
      </c>
      <c r="AP2551" t="s">
        <v>3015</v>
      </c>
      <c r="AQ2551" t="s">
        <v>3012</v>
      </c>
      <c r="AR2551" t="s">
        <v>3016</v>
      </c>
      <c r="AT2551" t="s">
        <v>3017</v>
      </c>
      <c r="AU2551" t="s">
        <v>3018</v>
      </c>
    </row>
    <row r="2552" spans="1:47" x14ac:dyDescent="0.35">
      <c r="A2552">
        <v>360346</v>
      </c>
      <c r="B2552" t="s">
        <v>178</v>
      </c>
      <c r="C2552" t="s">
        <v>179</v>
      </c>
      <c r="D2552" s="2">
        <v>45829</v>
      </c>
      <c r="E2552">
        <v>53850</v>
      </c>
      <c r="F2552">
        <v>102</v>
      </c>
      <c r="G2552" t="s">
        <v>151</v>
      </c>
      <c r="H2552" t="s">
        <v>167</v>
      </c>
      <c r="I2552" t="s">
        <v>45</v>
      </c>
      <c r="K2552">
        <v>202506208088143</v>
      </c>
      <c r="L2552">
        <v>1023308723775</v>
      </c>
      <c r="M2552">
        <v>20250620</v>
      </c>
      <c r="N2552" t="s">
        <v>2540</v>
      </c>
      <c r="Q2552" t="s">
        <v>47</v>
      </c>
      <c r="R2552">
        <v>60562</v>
      </c>
      <c r="S2552">
        <v>0</v>
      </c>
      <c r="T2552">
        <v>139602</v>
      </c>
      <c r="U2552" t="s">
        <v>2546</v>
      </c>
      <c r="V2552" t="s">
        <v>2547</v>
      </c>
      <c r="W2552" t="s">
        <v>187</v>
      </c>
      <c r="Y2552" t="s">
        <v>51</v>
      </c>
      <c r="AH2552">
        <v>0</v>
      </c>
      <c r="AI2552">
        <v>202506</v>
      </c>
      <c r="AJ2552" t="s">
        <v>86</v>
      </c>
      <c r="AK2552">
        <v>1</v>
      </c>
      <c r="AL2552">
        <v>1</v>
      </c>
      <c r="AO2552">
        <v>0</v>
      </c>
      <c r="AP2552" t="s">
        <v>3015</v>
      </c>
      <c r="AQ2552" t="s">
        <v>3044</v>
      </c>
      <c r="AR2552" t="s">
        <v>3045</v>
      </c>
      <c r="AS2552" t="s">
        <v>3046</v>
      </c>
      <c r="AU2552" t="s">
        <v>3046</v>
      </c>
    </row>
    <row r="2553" spans="1:47" x14ac:dyDescent="0.35">
      <c r="A2553">
        <v>360345</v>
      </c>
      <c r="B2553" t="s">
        <v>178</v>
      </c>
      <c r="C2553" t="s">
        <v>179</v>
      </c>
      <c r="D2553" s="2">
        <v>45829</v>
      </c>
      <c r="E2553">
        <v>53850</v>
      </c>
      <c r="F2553">
        <v>226</v>
      </c>
      <c r="G2553" t="s">
        <v>129</v>
      </c>
      <c r="H2553" t="s">
        <v>167</v>
      </c>
      <c r="I2553" t="s">
        <v>45</v>
      </c>
      <c r="K2553">
        <v>202506208087357</v>
      </c>
      <c r="L2553">
        <v>2263300011983</v>
      </c>
      <c r="M2553">
        <v>20250620</v>
      </c>
      <c r="N2553" t="s">
        <v>46</v>
      </c>
      <c r="P2553" t="s">
        <v>51</v>
      </c>
      <c r="Q2553" t="s">
        <v>47</v>
      </c>
      <c r="R2553">
        <v>10000000</v>
      </c>
      <c r="S2553">
        <v>0</v>
      </c>
      <c r="T2553">
        <v>4877514</v>
      </c>
      <c r="U2553">
        <v>1149290726</v>
      </c>
      <c r="V2553" t="s">
        <v>2238</v>
      </c>
      <c r="W2553" t="s">
        <v>1860</v>
      </c>
      <c r="X2553" t="s">
        <v>825</v>
      </c>
      <c r="Y2553" t="s">
        <v>51</v>
      </c>
      <c r="Z2553">
        <v>1696</v>
      </c>
      <c r="AH2553">
        <v>0</v>
      </c>
      <c r="AI2553">
        <v>202506</v>
      </c>
      <c r="AJ2553" t="s">
        <v>86</v>
      </c>
      <c r="AK2553">
        <v>1</v>
      </c>
      <c r="AL2553">
        <v>1</v>
      </c>
      <c r="AO2553">
        <v>0</v>
      </c>
      <c r="AP2553" t="s">
        <v>3015</v>
      </c>
      <c r="AQ2553" t="s">
        <v>3121</v>
      </c>
      <c r="AR2553" t="s">
        <v>3122</v>
      </c>
      <c r="AT2553" t="s">
        <v>3017</v>
      </c>
      <c r="AU2553" t="s">
        <v>3037</v>
      </c>
    </row>
    <row r="2554" spans="1:47" x14ac:dyDescent="0.35">
      <c r="A2554">
        <v>360344</v>
      </c>
      <c r="B2554" t="s">
        <v>172</v>
      </c>
      <c r="C2554" t="s">
        <v>173</v>
      </c>
      <c r="D2554" s="2">
        <v>45829</v>
      </c>
      <c r="E2554">
        <v>53850</v>
      </c>
      <c r="F2554">
        <v>114</v>
      </c>
      <c r="G2554" t="s">
        <v>188</v>
      </c>
      <c r="H2554" t="s">
        <v>167</v>
      </c>
      <c r="I2554" t="s">
        <v>45</v>
      </c>
      <c r="K2554" t="s">
        <v>2535</v>
      </c>
      <c r="L2554">
        <v>1143306281584</v>
      </c>
      <c r="M2554">
        <v>20250620</v>
      </c>
      <c r="N2554" t="s">
        <v>175</v>
      </c>
      <c r="Q2554" t="s">
        <v>47</v>
      </c>
      <c r="R2554">
        <v>92565.9</v>
      </c>
      <c r="S2554">
        <v>16585</v>
      </c>
      <c r="T2554">
        <v>4827112</v>
      </c>
      <c r="U2554">
        <v>3318280710</v>
      </c>
      <c r="V2554" t="s">
        <v>1951</v>
      </c>
      <c r="W2554" t="s">
        <v>49</v>
      </c>
      <c r="X2554" t="s">
        <v>65</v>
      </c>
      <c r="Y2554" t="s">
        <v>51</v>
      </c>
      <c r="Z2554">
        <v>870</v>
      </c>
      <c r="AH2554">
        <v>0</v>
      </c>
      <c r="AI2554">
        <v>202506</v>
      </c>
      <c r="AJ2554" t="s">
        <v>52</v>
      </c>
      <c r="AK2554">
        <v>0</v>
      </c>
      <c r="AL2554">
        <v>1</v>
      </c>
      <c r="AO2554">
        <v>1</v>
      </c>
      <c r="AP2554" t="s">
        <v>3019</v>
      </c>
      <c r="AQ2554" t="s">
        <v>3012</v>
      </c>
      <c r="AR2554" t="s">
        <v>3020</v>
      </c>
      <c r="AS2554" t="s">
        <v>3014</v>
      </c>
      <c r="AU2554" t="s">
        <v>3014</v>
      </c>
    </row>
    <row r="2555" spans="1:47" x14ac:dyDescent="0.35">
      <c r="A2555">
        <v>360343</v>
      </c>
      <c r="B2555" t="s">
        <v>172</v>
      </c>
      <c r="C2555" t="s">
        <v>173</v>
      </c>
      <c r="D2555" s="2">
        <v>45829</v>
      </c>
      <c r="E2555">
        <v>53850</v>
      </c>
      <c r="F2555">
        <v>109</v>
      </c>
      <c r="G2555" t="s">
        <v>89</v>
      </c>
      <c r="H2555" t="s">
        <v>167</v>
      </c>
      <c r="I2555" t="s">
        <v>45</v>
      </c>
      <c r="K2555">
        <v>202506208088669</v>
      </c>
      <c r="L2555">
        <v>1093306670882</v>
      </c>
      <c r="M2555">
        <v>20250620</v>
      </c>
      <c r="N2555" t="s">
        <v>231</v>
      </c>
      <c r="Q2555" t="s">
        <v>47</v>
      </c>
      <c r="R2555">
        <v>205000</v>
      </c>
      <c r="S2555">
        <v>0</v>
      </c>
      <c r="T2555">
        <v>50899</v>
      </c>
      <c r="U2555" t="s">
        <v>2548</v>
      </c>
      <c r="V2555" t="s">
        <v>2549</v>
      </c>
      <c r="W2555" t="s">
        <v>69</v>
      </c>
      <c r="X2555" t="s">
        <v>2550</v>
      </c>
      <c r="Y2555" t="s">
        <v>51</v>
      </c>
      <c r="Z2555">
        <v>783</v>
      </c>
      <c r="AH2555">
        <v>0</v>
      </c>
      <c r="AI2555">
        <v>202506</v>
      </c>
      <c r="AJ2555" t="s">
        <v>56</v>
      </c>
      <c r="AK2555">
        <v>0</v>
      </c>
      <c r="AL2555">
        <v>1</v>
      </c>
      <c r="AO2555">
        <v>0</v>
      </c>
      <c r="AP2555" t="s">
        <v>3015</v>
      </c>
      <c r="AQ2555" t="s">
        <v>3021</v>
      </c>
      <c r="AR2555" t="s">
        <v>3022</v>
      </c>
      <c r="AT2555" t="s">
        <v>3017</v>
      </c>
      <c r="AU2555" t="s">
        <v>3014</v>
      </c>
    </row>
    <row r="2556" spans="1:47" x14ac:dyDescent="0.35">
      <c r="A2556">
        <v>360342</v>
      </c>
      <c r="B2556" t="s">
        <v>214</v>
      </c>
      <c r="C2556" t="s">
        <v>215</v>
      </c>
      <c r="D2556" s="2">
        <v>45829</v>
      </c>
      <c r="E2556">
        <v>53850</v>
      </c>
      <c r="F2556">
        <v>192</v>
      </c>
      <c r="G2556" t="s">
        <v>66</v>
      </c>
      <c r="H2556" t="s">
        <v>167</v>
      </c>
      <c r="I2556" t="s">
        <v>45</v>
      </c>
      <c r="K2556">
        <v>202506208087735</v>
      </c>
      <c r="L2556">
        <v>1923300183207</v>
      </c>
      <c r="M2556">
        <v>20250620</v>
      </c>
      <c r="N2556" t="s">
        <v>168</v>
      </c>
      <c r="P2556" t="s">
        <v>217</v>
      </c>
      <c r="Q2556" t="s">
        <v>47</v>
      </c>
      <c r="R2556">
        <v>29000</v>
      </c>
      <c r="S2556">
        <v>0</v>
      </c>
      <c r="T2556">
        <v>461447</v>
      </c>
      <c r="U2556" t="s">
        <v>1054</v>
      </c>
      <c r="V2556" t="s">
        <v>1055</v>
      </c>
      <c r="W2556" t="s">
        <v>69</v>
      </c>
      <c r="X2556" t="s">
        <v>70</v>
      </c>
      <c r="Y2556" t="s">
        <v>51</v>
      </c>
      <c r="Z2556">
        <v>481</v>
      </c>
      <c r="AH2556">
        <v>0</v>
      </c>
      <c r="AI2556">
        <v>202506</v>
      </c>
      <c r="AJ2556" t="s">
        <v>56</v>
      </c>
      <c r="AK2556">
        <v>0</v>
      </c>
      <c r="AL2556">
        <v>1</v>
      </c>
      <c r="AM2556">
        <v>461447</v>
      </c>
      <c r="AN2556">
        <v>1</v>
      </c>
      <c r="AO2556">
        <v>0</v>
      </c>
      <c r="AP2556" t="s">
        <v>3015</v>
      </c>
      <c r="AQ2556" t="s">
        <v>3021</v>
      </c>
      <c r="AR2556" t="s">
        <v>3022</v>
      </c>
      <c r="AT2556" t="s">
        <v>3017</v>
      </c>
      <c r="AU2556" t="s">
        <v>3014</v>
      </c>
    </row>
    <row r="2557" spans="1:47" x14ac:dyDescent="0.35">
      <c r="A2557">
        <v>360341</v>
      </c>
      <c r="B2557" t="s">
        <v>164</v>
      </c>
      <c r="C2557" t="s">
        <v>165</v>
      </c>
      <c r="D2557" s="2">
        <v>45829</v>
      </c>
      <c r="E2557">
        <v>53850</v>
      </c>
      <c r="F2557">
        <v>104</v>
      </c>
      <c r="G2557" t="s">
        <v>108</v>
      </c>
      <c r="H2557" t="s">
        <v>167</v>
      </c>
      <c r="I2557" t="s">
        <v>45</v>
      </c>
      <c r="K2557" t="s">
        <v>2551</v>
      </c>
      <c r="L2557">
        <v>1043301449295</v>
      </c>
      <c r="M2557">
        <v>20250620</v>
      </c>
      <c r="N2557" t="s">
        <v>168</v>
      </c>
      <c r="P2557" t="s">
        <v>255</v>
      </c>
      <c r="Q2557" t="s">
        <v>47</v>
      </c>
      <c r="R2557">
        <v>2399.31</v>
      </c>
      <c r="S2557">
        <v>0</v>
      </c>
      <c r="T2557">
        <v>4627975</v>
      </c>
      <c r="U2557">
        <v>7107300720</v>
      </c>
      <c r="V2557" t="s">
        <v>735</v>
      </c>
      <c r="W2557" t="s">
        <v>49</v>
      </c>
      <c r="X2557" t="s">
        <v>736</v>
      </c>
      <c r="Y2557" t="s">
        <v>51</v>
      </c>
      <c r="Z2557">
        <v>727</v>
      </c>
      <c r="AH2557">
        <v>0</v>
      </c>
      <c r="AI2557">
        <v>202506</v>
      </c>
      <c r="AJ2557" t="s">
        <v>86</v>
      </c>
      <c r="AK2557">
        <v>1</v>
      </c>
      <c r="AL2557">
        <v>1</v>
      </c>
      <c r="AO2557">
        <v>0</v>
      </c>
      <c r="AP2557" t="s">
        <v>3015</v>
      </c>
      <c r="AQ2557" t="s">
        <v>3012</v>
      </c>
      <c r="AR2557" t="s">
        <v>3016</v>
      </c>
      <c r="AT2557" t="s">
        <v>3017</v>
      </c>
      <c r="AU2557" t="s">
        <v>3018</v>
      </c>
    </row>
    <row r="2558" spans="1:47" x14ac:dyDescent="0.35">
      <c r="A2558">
        <v>360340</v>
      </c>
      <c r="B2558" t="s">
        <v>193</v>
      </c>
      <c r="C2558" t="s">
        <v>194</v>
      </c>
      <c r="D2558" s="2">
        <v>45829</v>
      </c>
      <c r="E2558">
        <v>53850</v>
      </c>
      <c r="F2558">
        <v>269</v>
      </c>
      <c r="G2558" t="s">
        <v>265</v>
      </c>
      <c r="H2558" t="s">
        <v>167</v>
      </c>
      <c r="I2558" t="s">
        <v>45</v>
      </c>
      <c r="K2558" t="s">
        <v>2535</v>
      </c>
      <c r="L2558">
        <v>2693300001614</v>
      </c>
      <c r="M2558">
        <v>20250620</v>
      </c>
      <c r="N2558" t="s">
        <v>266</v>
      </c>
      <c r="Q2558" t="s">
        <v>47</v>
      </c>
      <c r="R2558">
        <v>34690</v>
      </c>
      <c r="S2558">
        <v>34690</v>
      </c>
      <c r="T2558">
        <v>1695085</v>
      </c>
      <c r="U2558" t="s">
        <v>267</v>
      </c>
      <c r="V2558" t="s">
        <v>268</v>
      </c>
      <c r="W2558" t="s">
        <v>69</v>
      </c>
      <c r="X2558" t="s">
        <v>55</v>
      </c>
      <c r="Y2558" t="s">
        <v>51</v>
      </c>
      <c r="Z2558">
        <v>1805</v>
      </c>
      <c r="AH2558">
        <v>0</v>
      </c>
      <c r="AI2558">
        <v>202506</v>
      </c>
      <c r="AJ2558" t="s">
        <v>119</v>
      </c>
      <c r="AK2558">
        <v>1</v>
      </c>
      <c r="AL2558">
        <v>1</v>
      </c>
      <c r="AM2558">
        <v>1695085</v>
      </c>
      <c r="AN2558">
        <v>1</v>
      </c>
      <c r="AO2558">
        <v>0</v>
      </c>
      <c r="AP2558" t="s">
        <v>3015</v>
      </c>
      <c r="AQ2558" t="s">
        <v>3021</v>
      </c>
      <c r="AR2558" t="s">
        <v>3022</v>
      </c>
      <c r="AT2558" t="s">
        <v>3017</v>
      </c>
      <c r="AU2558" t="s">
        <v>3014</v>
      </c>
    </row>
    <row r="2559" spans="1:47" x14ac:dyDescent="0.35">
      <c r="A2559">
        <v>360339</v>
      </c>
      <c r="B2559" t="s">
        <v>178</v>
      </c>
      <c r="C2559" t="s">
        <v>179</v>
      </c>
      <c r="D2559" s="2">
        <v>45829</v>
      </c>
      <c r="E2559">
        <v>53850</v>
      </c>
      <c r="F2559">
        <v>274</v>
      </c>
      <c r="G2559" t="s">
        <v>427</v>
      </c>
      <c r="H2559" t="s">
        <v>167</v>
      </c>
      <c r="I2559" t="s">
        <v>45</v>
      </c>
      <c r="K2559">
        <v>202506208089085</v>
      </c>
      <c r="L2559">
        <v>2743300000482</v>
      </c>
      <c r="M2559">
        <v>20250620</v>
      </c>
      <c r="N2559" t="s">
        <v>3136</v>
      </c>
      <c r="Q2559" t="s">
        <v>170</v>
      </c>
      <c r="R2559">
        <v>49856.69</v>
      </c>
      <c r="S2559">
        <v>0</v>
      </c>
      <c r="T2559">
        <v>1631226</v>
      </c>
      <c r="U2559" t="s">
        <v>2552</v>
      </c>
      <c r="V2559" t="s">
        <v>2553</v>
      </c>
      <c r="W2559" t="s">
        <v>187</v>
      </c>
      <c r="Y2559" t="s">
        <v>51</v>
      </c>
      <c r="Z2559">
        <v>1825</v>
      </c>
      <c r="AH2559">
        <v>0</v>
      </c>
      <c r="AI2559">
        <v>202506</v>
      </c>
      <c r="AJ2559" t="s">
        <v>52</v>
      </c>
      <c r="AK2559">
        <v>0</v>
      </c>
      <c r="AL2559">
        <v>1</v>
      </c>
      <c r="AO2559">
        <v>1</v>
      </c>
      <c r="AP2559" t="s">
        <v>3015</v>
      </c>
      <c r="AQ2559" t="s">
        <v>3044</v>
      </c>
      <c r="AR2559" t="s">
        <v>3045</v>
      </c>
      <c r="AS2559" t="s">
        <v>3046</v>
      </c>
      <c r="AU2559" t="s">
        <v>3046</v>
      </c>
    </row>
    <row r="2560" spans="1:47" x14ac:dyDescent="0.35">
      <c r="A2560">
        <v>360338</v>
      </c>
      <c r="B2560" t="s">
        <v>178</v>
      </c>
      <c r="C2560" t="s">
        <v>179</v>
      </c>
      <c r="D2560" s="2">
        <v>45829</v>
      </c>
      <c r="E2560">
        <v>53850</v>
      </c>
      <c r="F2560">
        <v>182</v>
      </c>
      <c r="G2560" t="s">
        <v>318</v>
      </c>
      <c r="H2560" t="s">
        <v>167</v>
      </c>
      <c r="I2560" t="s">
        <v>45</v>
      </c>
      <c r="K2560" t="s">
        <v>2554</v>
      </c>
      <c r="L2560">
        <v>1823300180217</v>
      </c>
      <c r="M2560">
        <v>20250620</v>
      </c>
      <c r="N2560" t="s">
        <v>3136</v>
      </c>
      <c r="Q2560" t="s">
        <v>170</v>
      </c>
      <c r="R2560">
        <v>3844.51</v>
      </c>
      <c r="S2560">
        <v>0</v>
      </c>
      <c r="T2560">
        <v>3183061</v>
      </c>
      <c r="U2560" t="s">
        <v>2555</v>
      </c>
      <c r="V2560" t="s">
        <v>2556</v>
      </c>
      <c r="W2560" t="s">
        <v>187</v>
      </c>
      <c r="Y2560" t="s">
        <v>51</v>
      </c>
      <c r="Z2560">
        <v>619</v>
      </c>
      <c r="AH2560">
        <v>0</v>
      </c>
      <c r="AI2560">
        <v>202506</v>
      </c>
      <c r="AJ2560" t="s">
        <v>86</v>
      </c>
      <c r="AK2560">
        <v>1</v>
      </c>
      <c r="AL2560">
        <v>1</v>
      </c>
      <c r="AO2560">
        <v>1</v>
      </c>
      <c r="AP2560" t="s">
        <v>3015</v>
      </c>
      <c r="AQ2560" t="s">
        <v>3044</v>
      </c>
      <c r="AR2560" t="s">
        <v>3045</v>
      </c>
      <c r="AS2560" t="s">
        <v>3046</v>
      </c>
      <c r="AU2560" t="s">
        <v>3046</v>
      </c>
    </row>
    <row r="2561" spans="1:47" x14ac:dyDescent="0.35">
      <c r="A2561">
        <v>360337</v>
      </c>
      <c r="B2561" t="s">
        <v>193</v>
      </c>
      <c r="C2561" t="s">
        <v>194</v>
      </c>
      <c r="D2561" s="2">
        <v>45829</v>
      </c>
      <c r="E2561">
        <v>53850</v>
      </c>
      <c r="F2561">
        <v>102</v>
      </c>
      <c r="G2561" t="s">
        <v>151</v>
      </c>
      <c r="H2561" t="s">
        <v>167</v>
      </c>
      <c r="I2561" t="s">
        <v>45</v>
      </c>
      <c r="K2561" t="s">
        <v>2535</v>
      </c>
      <c r="L2561">
        <v>1023308720537</v>
      </c>
      <c r="M2561">
        <v>20250620</v>
      </c>
      <c r="N2561" t="s">
        <v>195</v>
      </c>
      <c r="Q2561" t="s">
        <v>47</v>
      </c>
      <c r="R2561">
        <v>37760</v>
      </c>
      <c r="S2561">
        <v>37760</v>
      </c>
      <c r="T2561">
        <v>4653840</v>
      </c>
      <c r="U2561">
        <v>7052850729</v>
      </c>
      <c r="V2561" t="s">
        <v>1672</v>
      </c>
      <c r="W2561" t="s">
        <v>49</v>
      </c>
      <c r="X2561" t="s">
        <v>200</v>
      </c>
      <c r="Y2561" t="s">
        <v>51</v>
      </c>
      <c r="Z2561">
        <v>979</v>
      </c>
      <c r="AH2561">
        <v>0</v>
      </c>
      <c r="AI2561">
        <v>202506</v>
      </c>
      <c r="AJ2561" t="s">
        <v>86</v>
      </c>
      <c r="AK2561">
        <v>1</v>
      </c>
      <c r="AL2561">
        <v>1</v>
      </c>
      <c r="AM2561">
        <v>4653840</v>
      </c>
      <c r="AN2561">
        <v>1</v>
      </c>
      <c r="AO2561">
        <v>0</v>
      </c>
      <c r="AP2561" t="s">
        <v>3015</v>
      </c>
      <c r="AQ2561" t="s">
        <v>3012</v>
      </c>
      <c r="AR2561" t="s">
        <v>3016</v>
      </c>
      <c r="AT2561" t="s">
        <v>3017</v>
      </c>
      <c r="AU2561" t="s">
        <v>3018</v>
      </c>
    </row>
    <row r="2562" spans="1:47" x14ac:dyDescent="0.35">
      <c r="A2562">
        <v>360336</v>
      </c>
      <c r="B2562" t="s">
        <v>193</v>
      </c>
      <c r="C2562" t="s">
        <v>194</v>
      </c>
      <c r="D2562" s="2">
        <v>45829</v>
      </c>
      <c r="E2562">
        <v>53850</v>
      </c>
      <c r="F2562">
        <v>171</v>
      </c>
      <c r="G2562" t="s">
        <v>198</v>
      </c>
      <c r="H2562" t="s">
        <v>167</v>
      </c>
      <c r="I2562" t="s">
        <v>45</v>
      </c>
      <c r="K2562" t="s">
        <v>2535</v>
      </c>
      <c r="L2562">
        <v>1713305728950</v>
      </c>
      <c r="M2562">
        <v>20250620</v>
      </c>
      <c r="N2562" t="s">
        <v>195</v>
      </c>
      <c r="Q2562" t="s">
        <v>47</v>
      </c>
      <c r="R2562">
        <v>151475</v>
      </c>
      <c r="S2562">
        <v>151475</v>
      </c>
      <c r="T2562">
        <v>572895</v>
      </c>
      <c r="U2562">
        <v>4161600723</v>
      </c>
      <c r="V2562" t="s">
        <v>199</v>
      </c>
      <c r="W2562" t="s">
        <v>49</v>
      </c>
      <c r="X2562" t="s">
        <v>200</v>
      </c>
      <c r="Y2562" t="s">
        <v>51</v>
      </c>
      <c r="Z2562">
        <v>1903</v>
      </c>
      <c r="AH2562">
        <v>0</v>
      </c>
      <c r="AI2562">
        <v>202506</v>
      </c>
      <c r="AJ2562" t="s">
        <v>119</v>
      </c>
      <c r="AK2562">
        <v>1</v>
      </c>
      <c r="AL2562">
        <v>1</v>
      </c>
      <c r="AM2562">
        <v>572895</v>
      </c>
      <c r="AN2562">
        <v>1</v>
      </c>
      <c r="AO2562">
        <v>0</v>
      </c>
      <c r="AP2562" t="s">
        <v>3015</v>
      </c>
      <c r="AQ2562" t="s">
        <v>3012</v>
      </c>
      <c r="AR2562" t="s">
        <v>3016</v>
      </c>
      <c r="AT2562" t="s">
        <v>3017</v>
      </c>
      <c r="AU2562" t="s">
        <v>3018</v>
      </c>
    </row>
    <row r="2563" spans="1:47" x14ac:dyDescent="0.35">
      <c r="A2563">
        <v>360335</v>
      </c>
      <c r="B2563" t="s">
        <v>178</v>
      </c>
      <c r="C2563" t="s">
        <v>179</v>
      </c>
      <c r="D2563" s="2">
        <v>45829</v>
      </c>
      <c r="E2563">
        <v>53850</v>
      </c>
      <c r="F2563">
        <v>102</v>
      </c>
      <c r="G2563" t="s">
        <v>151</v>
      </c>
      <c r="H2563" t="s">
        <v>167</v>
      </c>
      <c r="I2563" t="s">
        <v>45</v>
      </c>
      <c r="K2563">
        <v>202506208087628</v>
      </c>
      <c r="L2563">
        <v>1023308726073</v>
      </c>
      <c r="M2563">
        <v>20250620</v>
      </c>
      <c r="N2563" t="s">
        <v>46</v>
      </c>
      <c r="P2563" t="s">
        <v>51</v>
      </c>
      <c r="Q2563" t="s">
        <v>47</v>
      </c>
      <c r="R2563">
        <v>1071607.46</v>
      </c>
      <c r="S2563">
        <v>0</v>
      </c>
      <c r="T2563">
        <v>4972446</v>
      </c>
      <c r="U2563">
        <v>8406920721</v>
      </c>
      <c r="V2563" t="s">
        <v>824</v>
      </c>
      <c r="W2563" t="s">
        <v>49</v>
      </c>
      <c r="X2563" t="s">
        <v>364</v>
      </c>
      <c r="Y2563" t="s">
        <v>51</v>
      </c>
      <c r="Z2563">
        <v>739</v>
      </c>
      <c r="AH2563">
        <v>0</v>
      </c>
      <c r="AI2563">
        <v>202506</v>
      </c>
      <c r="AJ2563" t="s">
        <v>86</v>
      </c>
      <c r="AK2563">
        <v>1</v>
      </c>
      <c r="AL2563">
        <v>1</v>
      </c>
      <c r="AO2563">
        <v>0</v>
      </c>
      <c r="AP2563" t="s">
        <v>3062</v>
      </c>
      <c r="AQ2563" t="s">
        <v>3012</v>
      </c>
      <c r="AR2563" t="s">
        <v>3063</v>
      </c>
      <c r="AS2563" t="s">
        <v>3014</v>
      </c>
      <c r="AU2563" t="s">
        <v>3014</v>
      </c>
    </row>
    <row r="2564" spans="1:47" x14ac:dyDescent="0.35">
      <c r="A2564">
        <v>360334</v>
      </c>
      <c r="B2564" t="s">
        <v>178</v>
      </c>
      <c r="C2564" t="s">
        <v>179</v>
      </c>
      <c r="D2564" s="2">
        <v>45829</v>
      </c>
      <c r="E2564">
        <v>53850</v>
      </c>
      <c r="F2564">
        <v>181</v>
      </c>
      <c r="G2564" t="s">
        <v>180</v>
      </c>
      <c r="H2564" t="s">
        <v>167</v>
      </c>
      <c r="I2564" t="s">
        <v>45</v>
      </c>
      <c r="K2564" t="s">
        <v>2557</v>
      </c>
      <c r="L2564">
        <v>1813301030242</v>
      </c>
      <c r="M2564">
        <v>20250620</v>
      </c>
      <c r="N2564" t="s">
        <v>3136</v>
      </c>
      <c r="Q2564" t="s">
        <v>170</v>
      </c>
      <c r="R2564">
        <v>1072.3</v>
      </c>
      <c r="S2564">
        <v>0</v>
      </c>
      <c r="T2564">
        <v>4984948</v>
      </c>
      <c r="U2564" t="s">
        <v>2558</v>
      </c>
      <c r="V2564" t="s">
        <v>2559</v>
      </c>
      <c r="W2564" t="s">
        <v>187</v>
      </c>
      <c r="Y2564" t="s">
        <v>51</v>
      </c>
      <c r="Z2564">
        <v>859</v>
      </c>
      <c r="AH2564">
        <v>0</v>
      </c>
      <c r="AI2564">
        <v>202506</v>
      </c>
      <c r="AJ2564" t="s">
        <v>86</v>
      </c>
      <c r="AK2564">
        <v>1</v>
      </c>
      <c r="AL2564">
        <v>1</v>
      </c>
      <c r="AO2564">
        <v>1</v>
      </c>
      <c r="AP2564" t="s">
        <v>3015</v>
      </c>
      <c r="AQ2564" t="s">
        <v>3044</v>
      </c>
      <c r="AR2564" t="s">
        <v>3045</v>
      </c>
      <c r="AS2564" t="s">
        <v>3046</v>
      </c>
      <c r="AU2564" t="s">
        <v>3046</v>
      </c>
    </row>
    <row r="2565" spans="1:47" x14ac:dyDescent="0.35">
      <c r="A2565">
        <v>360333</v>
      </c>
      <c r="B2565" t="s">
        <v>214</v>
      </c>
      <c r="C2565" t="s">
        <v>215</v>
      </c>
      <c r="D2565" s="2">
        <v>45829</v>
      </c>
      <c r="E2565">
        <v>53850</v>
      </c>
      <c r="F2565">
        <v>185</v>
      </c>
      <c r="G2565" t="s">
        <v>235</v>
      </c>
      <c r="H2565" t="s">
        <v>167</v>
      </c>
      <c r="I2565" t="s">
        <v>45</v>
      </c>
      <c r="K2565">
        <v>202506208087905</v>
      </c>
      <c r="L2565">
        <v>1853300029728</v>
      </c>
      <c r="M2565">
        <v>20250620</v>
      </c>
      <c r="N2565" t="s">
        <v>168</v>
      </c>
      <c r="P2565" t="s">
        <v>339</v>
      </c>
      <c r="Q2565" t="s">
        <v>170</v>
      </c>
      <c r="R2565">
        <v>19870</v>
      </c>
      <c r="S2565">
        <v>0</v>
      </c>
      <c r="T2565">
        <v>4945889</v>
      </c>
      <c r="U2565">
        <v>3234670739</v>
      </c>
      <c r="V2565" t="s">
        <v>2560</v>
      </c>
      <c r="W2565" t="s">
        <v>49</v>
      </c>
      <c r="X2565" t="s">
        <v>110</v>
      </c>
      <c r="Y2565" t="s">
        <v>51</v>
      </c>
      <c r="Z2565">
        <v>1351</v>
      </c>
      <c r="AH2565">
        <v>0</v>
      </c>
      <c r="AI2565">
        <v>202506</v>
      </c>
      <c r="AJ2565" t="s">
        <v>86</v>
      </c>
      <c r="AK2565">
        <v>1</v>
      </c>
      <c r="AL2565">
        <v>1</v>
      </c>
      <c r="AO2565">
        <v>0</v>
      </c>
      <c r="AP2565" t="s">
        <v>3026</v>
      </c>
      <c r="AQ2565" t="s">
        <v>3012</v>
      </c>
      <c r="AR2565" t="s">
        <v>3027</v>
      </c>
      <c r="AS2565" t="s">
        <v>3028</v>
      </c>
      <c r="AU2565" t="s">
        <v>3028</v>
      </c>
    </row>
    <row r="2566" spans="1:47" x14ac:dyDescent="0.35">
      <c r="A2566">
        <v>360332</v>
      </c>
      <c r="B2566" t="s">
        <v>193</v>
      </c>
      <c r="C2566" t="s">
        <v>194</v>
      </c>
      <c r="D2566" s="2">
        <v>45829</v>
      </c>
      <c r="E2566">
        <v>53850</v>
      </c>
      <c r="F2566">
        <v>287</v>
      </c>
      <c r="G2566" t="s">
        <v>707</v>
      </c>
      <c r="H2566" t="s">
        <v>167</v>
      </c>
      <c r="I2566" t="s">
        <v>45</v>
      </c>
      <c r="K2566" t="s">
        <v>2535</v>
      </c>
      <c r="L2566">
        <v>2873300001853</v>
      </c>
      <c r="M2566">
        <v>20250620</v>
      </c>
      <c r="N2566" t="s">
        <v>175</v>
      </c>
      <c r="Q2566" t="s">
        <v>47</v>
      </c>
      <c r="R2566">
        <v>62301.53</v>
      </c>
      <c r="S2566">
        <v>39795</v>
      </c>
      <c r="T2566">
        <v>3722213</v>
      </c>
      <c r="U2566">
        <v>2021570698</v>
      </c>
      <c r="V2566" t="s">
        <v>708</v>
      </c>
      <c r="W2566" t="s">
        <v>49</v>
      </c>
      <c r="X2566" t="s">
        <v>117</v>
      </c>
      <c r="Y2566" t="s">
        <v>51</v>
      </c>
      <c r="Z2566">
        <v>1877</v>
      </c>
      <c r="AH2566">
        <v>0</v>
      </c>
      <c r="AI2566">
        <v>202506</v>
      </c>
      <c r="AJ2566" t="s">
        <v>86</v>
      </c>
      <c r="AK2566">
        <v>1</v>
      </c>
      <c r="AL2566">
        <v>1</v>
      </c>
      <c r="AM2566">
        <v>3722213</v>
      </c>
      <c r="AN2566">
        <v>1</v>
      </c>
      <c r="AO2566">
        <v>1</v>
      </c>
      <c r="AP2566" t="s">
        <v>3029</v>
      </c>
      <c r="AQ2566" t="s">
        <v>3012</v>
      </c>
      <c r="AR2566" t="s">
        <v>3030</v>
      </c>
      <c r="AS2566" t="s">
        <v>3014</v>
      </c>
      <c r="AU2566" t="s">
        <v>3014</v>
      </c>
    </row>
    <row r="2567" spans="1:47" x14ac:dyDescent="0.35">
      <c r="A2567">
        <v>360331</v>
      </c>
      <c r="B2567" t="s">
        <v>172</v>
      </c>
      <c r="C2567" t="s">
        <v>173</v>
      </c>
      <c r="D2567" s="2">
        <v>45829</v>
      </c>
      <c r="E2567">
        <v>53850</v>
      </c>
      <c r="F2567">
        <v>102</v>
      </c>
      <c r="G2567" t="s">
        <v>151</v>
      </c>
      <c r="H2567" t="s">
        <v>167</v>
      </c>
      <c r="I2567" t="s">
        <v>45</v>
      </c>
      <c r="K2567">
        <v>202506208088603</v>
      </c>
      <c r="L2567">
        <v>1023308726612</v>
      </c>
      <c r="M2567">
        <v>20250620</v>
      </c>
      <c r="N2567" t="s">
        <v>231</v>
      </c>
      <c r="Q2567" t="s">
        <v>47</v>
      </c>
      <c r="R2567">
        <v>128240</v>
      </c>
      <c r="S2567">
        <v>0</v>
      </c>
      <c r="T2567">
        <v>4939458</v>
      </c>
      <c r="U2567">
        <v>8052010728</v>
      </c>
      <c r="V2567" t="s">
        <v>2561</v>
      </c>
      <c r="W2567" t="s">
        <v>49</v>
      </c>
      <c r="X2567" t="s">
        <v>364</v>
      </c>
      <c r="Y2567" t="s">
        <v>51</v>
      </c>
      <c r="Z2567">
        <v>911</v>
      </c>
      <c r="AH2567">
        <v>0</v>
      </c>
      <c r="AI2567">
        <v>202506</v>
      </c>
      <c r="AJ2567" t="s">
        <v>86</v>
      </c>
      <c r="AK2567">
        <v>1</v>
      </c>
      <c r="AL2567">
        <v>1</v>
      </c>
      <c r="AO2567">
        <v>0</v>
      </c>
      <c r="AP2567" t="s">
        <v>3062</v>
      </c>
      <c r="AQ2567" t="s">
        <v>3012</v>
      </c>
      <c r="AR2567" t="s">
        <v>3063</v>
      </c>
      <c r="AS2567" t="s">
        <v>3014</v>
      </c>
      <c r="AU2567" t="s">
        <v>3014</v>
      </c>
    </row>
    <row r="2568" spans="1:47" x14ac:dyDescent="0.35">
      <c r="A2568">
        <v>360330</v>
      </c>
      <c r="B2568" t="s">
        <v>333</v>
      </c>
      <c r="C2568" t="s">
        <v>334</v>
      </c>
      <c r="D2568" s="2">
        <v>45829</v>
      </c>
      <c r="E2568">
        <v>53850</v>
      </c>
      <c r="F2568">
        <v>99</v>
      </c>
      <c r="G2568" t="s">
        <v>335</v>
      </c>
      <c r="H2568" t="s">
        <v>167</v>
      </c>
      <c r="I2568" t="s">
        <v>45</v>
      </c>
      <c r="K2568" t="s">
        <v>2562</v>
      </c>
      <c r="M2568">
        <v>20250620</v>
      </c>
      <c r="N2568" t="s">
        <v>3136</v>
      </c>
      <c r="Q2568" t="s">
        <v>170</v>
      </c>
      <c r="R2568">
        <v>2709.98</v>
      </c>
      <c r="S2568">
        <v>0</v>
      </c>
      <c r="T2568">
        <v>4406751</v>
      </c>
      <c r="U2568" t="s">
        <v>2563</v>
      </c>
      <c r="V2568" t="s">
        <v>2564</v>
      </c>
      <c r="W2568" t="s">
        <v>187</v>
      </c>
      <c r="Y2568" t="s">
        <v>51</v>
      </c>
      <c r="Z2568">
        <v>1667</v>
      </c>
      <c r="AH2568">
        <v>0</v>
      </c>
      <c r="AI2568">
        <v>202506</v>
      </c>
      <c r="AJ2568" t="s">
        <v>86</v>
      </c>
      <c r="AK2568">
        <v>1</v>
      </c>
      <c r="AL2568">
        <v>0</v>
      </c>
      <c r="AO2568">
        <v>1</v>
      </c>
      <c r="AP2568" t="s">
        <v>3015</v>
      </c>
      <c r="AQ2568" t="s">
        <v>3044</v>
      </c>
      <c r="AR2568" t="s">
        <v>3045</v>
      </c>
      <c r="AS2568" t="s">
        <v>3046</v>
      </c>
      <c r="AU2568" t="s">
        <v>3046</v>
      </c>
    </row>
    <row r="2569" spans="1:47" x14ac:dyDescent="0.35">
      <c r="A2569">
        <v>360329</v>
      </c>
      <c r="B2569" t="s">
        <v>172</v>
      </c>
      <c r="C2569" t="s">
        <v>173</v>
      </c>
      <c r="D2569" s="2">
        <v>45829</v>
      </c>
      <c r="E2569">
        <v>53850</v>
      </c>
      <c r="F2569">
        <v>165</v>
      </c>
      <c r="G2569" t="s">
        <v>593</v>
      </c>
      <c r="H2569" t="s">
        <v>167</v>
      </c>
      <c r="I2569" t="s">
        <v>45</v>
      </c>
      <c r="K2569">
        <v>202506208088856</v>
      </c>
      <c r="L2569">
        <v>1653300628564</v>
      </c>
      <c r="M2569">
        <v>20250620</v>
      </c>
      <c r="N2569" t="s">
        <v>81</v>
      </c>
      <c r="Q2569" t="s">
        <v>47</v>
      </c>
      <c r="R2569">
        <v>237000</v>
      </c>
      <c r="S2569">
        <v>0</v>
      </c>
      <c r="T2569">
        <v>4798342</v>
      </c>
      <c r="U2569">
        <v>2195870718</v>
      </c>
      <c r="V2569" t="s">
        <v>594</v>
      </c>
      <c r="W2569" t="s">
        <v>49</v>
      </c>
      <c r="X2569" t="s">
        <v>595</v>
      </c>
      <c r="Y2569" t="s">
        <v>51</v>
      </c>
      <c r="Z2569">
        <v>870</v>
      </c>
      <c r="AH2569">
        <v>0</v>
      </c>
      <c r="AI2569">
        <v>202506</v>
      </c>
      <c r="AJ2569" t="s">
        <v>86</v>
      </c>
      <c r="AK2569">
        <v>1</v>
      </c>
      <c r="AL2569">
        <v>1</v>
      </c>
      <c r="AO2569">
        <v>0</v>
      </c>
      <c r="AP2569" t="s">
        <v>3015</v>
      </c>
      <c r="AQ2569" t="s">
        <v>3012</v>
      </c>
      <c r="AR2569" t="s">
        <v>3016</v>
      </c>
      <c r="AT2569" t="s">
        <v>3017</v>
      </c>
      <c r="AU2569" t="s">
        <v>3018</v>
      </c>
    </row>
    <row r="2570" spans="1:47" x14ac:dyDescent="0.35">
      <c r="A2570">
        <v>360328</v>
      </c>
      <c r="B2570" t="s">
        <v>172</v>
      </c>
      <c r="C2570" t="s">
        <v>173</v>
      </c>
      <c r="D2570" s="2">
        <v>45829</v>
      </c>
      <c r="E2570">
        <v>53850</v>
      </c>
      <c r="F2570">
        <v>102</v>
      </c>
      <c r="G2570" t="s">
        <v>151</v>
      </c>
      <c r="H2570" t="s">
        <v>167</v>
      </c>
      <c r="I2570" t="s">
        <v>45</v>
      </c>
      <c r="K2570">
        <v>202506208088606</v>
      </c>
      <c r="L2570">
        <v>1023308726641</v>
      </c>
      <c r="M2570">
        <v>20250620</v>
      </c>
      <c r="N2570" t="s">
        <v>81</v>
      </c>
      <c r="Q2570" t="s">
        <v>47</v>
      </c>
      <c r="R2570">
        <v>90000</v>
      </c>
      <c r="S2570">
        <v>0</v>
      </c>
      <c r="T2570">
        <v>4917772</v>
      </c>
      <c r="U2570">
        <v>8218730722</v>
      </c>
      <c r="V2570" t="s">
        <v>2565</v>
      </c>
      <c r="W2570" t="s">
        <v>49</v>
      </c>
      <c r="X2570" t="s">
        <v>364</v>
      </c>
      <c r="Y2570" t="s">
        <v>51</v>
      </c>
      <c r="Z2570">
        <v>1203</v>
      </c>
      <c r="AH2570">
        <v>0</v>
      </c>
      <c r="AI2570">
        <v>202506</v>
      </c>
      <c r="AJ2570" t="s">
        <v>86</v>
      </c>
      <c r="AK2570">
        <v>1</v>
      </c>
      <c r="AL2570">
        <v>1</v>
      </c>
      <c r="AO2570">
        <v>0</v>
      </c>
      <c r="AP2570" t="s">
        <v>3062</v>
      </c>
      <c r="AQ2570" t="s">
        <v>3012</v>
      </c>
      <c r="AR2570" t="s">
        <v>3063</v>
      </c>
      <c r="AS2570" t="s">
        <v>3014</v>
      </c>
      <c r="AU2570" t="s">
        <v>3014</v>
      </c>
    </row>
    <row r="2571" spans="1:47" x14ac:dyDescent="0.35">
      <c r="A2571">
        <v>360327</v>
      </c>
      <c r="B2571" t="s">
        <v>178</v>
      </c>
      <c r="C2571" t="s">
        <v>179</v>
      </c>
      <c r="D2571" s="2">
        <v>45829</v>
      </c>
      <c r="E2571">
        <v>53850</v>
      </c>
      <c r="F2571">
        <v>204</v>
      </c>
      <c r="G2571" t="s">
        <v>329</v>
      </c>
      <c r="H2571" t="s">
        <v>167</v>
      </c>
      <c r="I2571" t="s">
        <v>45</v>
      </c>
      <c r="K2571" t="s">
        <v>2566</v>
      </c>
      <c r="L2571">
        <v>2043300012553</v>
      </c>
      <c r="M2571">
        <v>20250620</v>
      </c>
      <c r="N2571" t="s">
        <v>3136</v>
      </c>
      <c r="Q2571" t="s">
        <v>170</v>
      </c>
      <c r="R2571">
        <v>1056.96</v>
      </c>
      <c r="S2571">
        <v>0</v>
      </c>
      <c r="T2571">
        <v>4902092</v>
      </c>
      <c r="U2571">
        <v>14374361005</v>
      </c>
      <c r="V2571" t="s">
        <v>1104</v>
      </c>
      <c r="W2571" t="s">
        <v>49</v>
      </c>
      <c r="X2571" t="s">
        <v>200</v>
      </c>
      <c r="Y2571" t="s">
        <v>51</v>
      </c>
      <c r="Z2571">
        <v>1810</v>
      </c>
      <c r="AH2571">
        <v>0</v>
      </c>
      <c r="AI2571">
        <v>202506</v>
      </c>
      <c r="AJ2571" t="s">
        <v>86</v>
      </c>
      <c r="AK2571">
        <v>1</v>
      </c>
      <c r="AL2571">
        <v>1</v>
      </c>
      <c r="AM2571">
        <v>4902092</v>
      </c>
      <c r="AN2571">
        <v>1</v>
      </c>
      <c r="AO2571">
        <v>1</v>
      </c>
      <c r="AP2571" t="s">
        <v>3015</v>
      </c>
      <c r="AQ2571" t="s">
        <v>3012</v>
      </c>
      <c r="AR2571" t="s">
        <v>3016</v>
      </c>
      <c r="AT2571" t="s">
        <v>3017</v>
      </c>
      <c r="AU2571" t="s">
        <v>3018</v>
      </c>
    </row>
    <row r="2572" spans="1:47" x14ac:dyDescent="0.35">
      <c r="A2572">
        <v>360326</v>
      </c>
      <c r="B2572" t="s">
        <v>193</v>
      </c>
      <c r="C2572" t="s">
        <v>194</v>
      </c>
      <c r="D2572" s="2">
        <v>45829</v>
      </c>
      <c r="E2572">
        <v>53850</v>
      </c>
      <c r="F2572">
        <v>128</v>
      </c>
      <c r="G2572" t="s">
        <v>94</v>
      </c>
      <c r="H2572" t="s">
        <v>167</v>
      </c>
      <c r="I2572" t="s">
        <v>45</v>
      </c>
      <c r="K2572">
        <v>202506208088753</v>
      </c>
      <c r="L2572">
        <v>1283300003941</v>
      </c>
      <c r="M2572">
        <v>20250620</v>
      </c>
      <c r="N2572" t="s">
        <v>266</v>
      </c>
      <c r="Q2572" t="s">
        <v>47</v>
      </c>
      <c r="R2572">
        <v>34000</v>
      </c>
      <c r="S2572">
        <v>34000</v>
      </c>
      <c r="T2572">
        <v>4916499</v>
      </c>
      <c r="U2572" t="s">
        <v>382</v>
      </c>
      <c r="V2572" t="s">
        <v>383</v>
      </c>
      <c r="W2572" t="s">
        <v>69</v>
      </c>
      <c r="X2572" t="s">
        <v>55</v>
      </c>
      <c r="Y2572" t="s">
        <v>51</v>
      </c>
      <c r="Z2572">
        <v>1166</v>
      </c>
      <c r="AH2572">
        <v>0</v>
      </c>
      <c r="AI2572">
        <v>202506</v>
      </c>
      <c r="AJ2572" t="s">
        <v>119</v>
      </c>
      <c r="AK2572">
        <v>1</v>
      </c>
      <c r="AL2572">
        <v>1</v>
      </c>
      <c r="AM2572">
        <v>4916499</v>
      </c>
      <c r="AN2572">
        <v>1</v>
      </c>
      <c r="AO2572">
        <v>0</v>
      </c>
      <c r="AP2572" t="s">
        <v>3015</v>
      </c>
      <c r="AQ2572" t="s">
        <v>3021</v>
      </c>
      <c r="AR2572" t="s">
        <v>3022</v>
      </c>
      <c r="AT2572" t="s">
        <v>3017</v>
      </c>
      <c r="AU2572" t="s">
        <v>3014</v>
      </c>
    </row>
    <row r="2573" spans="1:47" x14ac:dyDescent="0.35">
      <c r="A2573">
        <v>360325</v>
      </c>
      <c r="B2573" t="s">
        <v>178</v>
      </c>
      <c r="C2573" t="s">
        <v>179</v>
      </c>
      <c r="D2573" s="2">
        <v>45829</v>
      </c>
      <c r="E2573">
        <v>53850</v>
      </c>
      <c r="F2573">
        <v>120</v>
      </c>
      <c r="G2573" t="s">
        <v>411</v>
      </c>
      <c r="H2573" t="s">
        <v>167</v>
      </c>
      <c r="I2573" t="s">
        <v>45</v>
      </c>
      <c r="K2573">
        <v>202506208088733</v>
      </c>
      <c r="L2573">
        <v>1203300001673</v>
      </c>
      <c r="M2573">
        <v>20250620</v>
      </c>
      <c r="N2573" t="s">
        <v>3136</v>
      </c>
      <c r="Q2573" t="s">
        <v>170</v>
      </c>
      <c r="R2573">
        <v>21884.77</v>
      </c>
      <c r="S2573">
        <v>0</v>
      </c>
      <c r="T2573">
        <v>83568</v>
      </c>
      <c r="U2573" t="s">
        <v>2567</v>
      </c>
      <c r="V2573" t="s">
        <v>2568</v>
      </c>
      <c r="W2573" t="s">
        <v>187</v>
      </c>
      <c r="Y2573" t="s">
        <v>51</v>
      </c>
      <c r="Z2573">
        <v>1640</v>
      </c>
      <c r="AH2573">
        <v>0</v>
      </c>
      <c r="AI2573">
        <v>202506</v>
      </c>
      <c r="AJ2573" t="s">
        <v>86</v>
      </c>
      <c r="AK2573">
        <v>1</v>
      </c>
      <c r="AL2573">
        <v>1</v>
      </c>
      <c r="AO2573">
        <v>1</v>
      </c>
      <c r="AP2573" t="s">
        <v>3015</v>
      </c>
      <c r="AQ2573" t="s">
        <v>3044</v>
      </c>
      <c r="AR2573" t="s">
        <v>3045</v>
      </c>
      <c r="AS2573" t="s">
        <v>3046</v>
      </c>
      <c r="AU2573" t="s">
        <v>3046</v>
      </c>
    </row>
    <row r="2574" spans="1:47" x14ac:dyDescent="0.35">
      <c r="A2574">
        <v>360324</v>
      </c>
      <c r="B2574" t="s">
        <v>193</v>
      </c>
      <c r="C2574" t="s">
        <v>194</v>
      </c>
      <c r="D2574" s="2">
        <v>45829</v>
      </c>
      <c r="E2574">
        <v>53850</v>
      </c>
      <c r="F2574">
        <v>264</v>
      </c>
      <c r="G2574" t="s">
        <v>71</v>
      </c>
      <c r="H2574" t="s">
        <v>167</v>
      </c>
      <c r="I2574" t="s">
        <v>45</v>
      </c>
      <c r="K2574">
        <v>202506208089022</v>
      </c>
      <c r="L2574">
        <v>2643300002172</v>
      </c>
      <c r="M2574">
        <v>20250620</v>
      </c>
      <c r="N2574" t="s">
        <v>266</v>
      </c>
      <c r="Q2574" t="s">
        <v>47</v>
      </c>
      <c r="R2574">
        <v>25000</v>
      </c>
      <c r="S2574">
        <v>25000</v>
      </c>
      <c r="T2574">
        <v>1695675</v>
      </c>
      <c r="U2574" t="s">
        <v>555</v>
      </c>
      <c r="V2574" t="s">
        <v>556</v>
      </c>
      <c r="W2574" t="s">
        <v>69</v>
      </c>
      <c r="X2574" t="s">
        <v>131</v>
      </c>
      <c r="Y2574" t="s">
        <v>51</v>
      </c>
      <c r="Z2574">
        <v>1851</v>
      </c>
      <c r="AH2574">
        <v>0</v>
      </c>
      <c r="AI2574">
        <v>202506</v>
      </c>
      <c r="AJ2574" t="s">
        <v>114</v>
      </c>
      <c r="AK2574">
        <v>1</v>
      </c>
      <c r="AL2574">
        <v>1</v>
      </c>
      <c r="AM2574">
        <v>1695675</v>
      </c>
      <c r="AN2574">
        <v>1</v>
      </c>
      <c r="AO2574">
        <v>0</v>
      </c>
      <c r="AP2574" t="s">
        <v>3033</v>
      </c>
      <c r="AQ2574" t="s">
        <v>3021</v>
      </c>
      <c r="AR2574" t="s">
        <v>3054</v>
      </c>
      <c r="AS2574" t="s">
        <v>3055</v>
      </c>
      <c r="AU2574" t="s">
        <v>3055</v>
      </c>
    </row>
    <row r="2575" spans="1:47" x14ac:dyDescent="0.35">
      <c r="A2575">
        <v>360323</v>
      </c>
      <c r="B2575" t="s">
        <v>178</v>
      </c>
      <c r="C2575" t="s">
        <v>179</v>
      </c>
      <c r="D2575" s="2">
        <v>45829</v>
      </c>
      <c r="E2575">
        <v>53850</v>
      </c>
      <c r="F2575">
        <v>114</v>
      </c>
      <c r="G2575" t="s">
        <v>188</v>
      </c>
      <c r="H2575" t="s">
        <v>167</v>
      </c>
      <c r="I2575" t="s">
        <v>45</v>
      </c>
      <c r="K2575">
        <v>202506208088701</v>
      </c>
      <c r="L2575">
        <v>1143306282252</v>
      </c>
      <c r="M2575">
        <v>20250620</v>
      </c>
      <c r="N2575" t="s">
        <v>3136</v>
      </c>
      <c r="Q2575" t="s">
        <v>170</v>
      </c>
      <c r="R2575">
        <v>57963.27</v>
      </c>
      <c r="S2575">
        <v>0</v>
      </c>
      <c r="T2575">
        <v>4779500</v>
      </c>
      <c r="U2575">
        <v>80005800711</v>
      </c>
      <c r="V2575" t="s">
        <v>1072</v>
      </c>
      <c r="W2575" t="s">
        <v>183</v>
      </c>
      <c r="Y2575" t="s">
        <v>51</v>
      </c>
      <c r="Z2575">
        <v>519</v>
      </c>
      <c r="AH2575">
        <v>0</v>
      </c>
      <c r="AI2575">
        <v>202506</v>
      </c>
      <c r="AJ2575" t="s">
        <v>119</v>
      </c>
      <c r="AK2575">
        <v>1</v>
      </c>
      <c r="AL2575">
        <v>1</v>
      </c>
      <c r="AO2575">
        <v>1</v>
      </c>
      <c r="AP2575" t="s">
        <v>3015</v>
      </c>
      <c r="AQ2575" t="s">
        <v>3042</v>
      </c>
      <c r="AR2575" t="s">
        <v>3043</v>
      </c>
      <c r="AS2575" t="s">
        <v>3037</v>
      </c>
      <c r="AU2575" t="s">
        <v>3037</v>
      </c>
    </row>
    <row r="2576" spans="1:47" x14ac:dyDescent="0.35">
      <c r="A2576">
        <v>360322</v>
      </c>
      <c r="B2576" t="s">
        <v>164</v>
      </c>
      <c r="C2576" t="s">
        <v>165</v>
      </c>
      <c r="D2576" s="2">
        <v>45829</v>
      </c>
      <c r="E2576">
        <v>53850</v>
      </c>
      <c r="F2576">
        <v>103</v>
      </c>
      <c r="G2576" t="s">
        <v>80</v>
      </c>
      <c r="H2576" t="s">
        <v>167</v>
      </c>
      <c r="I2576" t="s">
        <v>45</v>
      </c>
      <c r="K2576">
        <v>202506208086850</v>
      </c>
      <c r="L2576">
        <v>1033302886146</v>
      </c>
      <c r="M2576">
        <v>20250620</v>
      </c>
      <c r="N2576" t="s">
        <v>168</v>
      </c>
      <c r="P2576" t="s">
        <v>255</v>
      </c>
      <c r="Q2576" t="s">
        <v>170</v>
      </c>
      <c r="R2576">
        <v>11259.38</v>
      </c>
      <c r="S2576">
        <v>0</v>
      </c>
      <c r="T2576">
        <v>4503362</v>
      </c>
      <c r="U2576">
        <v>6800040724</v>
      </c>
      <c r="V2576" t="s">
        <v>1726</v>
      </c>
      <c r="W2576" t="s">
        <v>620</v>
      </c>
      <c r="X2576" t="s">
        <v>686</v>
      </c>
      <c r="Y2576" t="s">
        <v>51</v>
      </c>
      <c r="Z2576">
        <v>1912</v>
      </c>
      <c r="AH2576">
        <v>0</v>
      </c>
      <c r="AI2576">
        <v>202506</v>
      </c>
      <c r="AJ2576" t="s">
        <v>86</v>
      </c>
      <c r="AK2576">
        <v>1</v>
      </c>
      <c r="AL2576">
        <v>1</v>
      </c>
      <c r="AO2576">
        <v>0</v>
      </c>
      <c r="AP2576" t="s">
        <v>3015</v>
      </c>
      <c r="AQ2576" t="s">
        <v>3080</v>
      </c>
      <c r="AR2576" t="s">
        <v>3081</v>
      </c>
      <c r="AT2576" t="s">
        <v>3017</v>
      </c>
      <c r="AU2576" t="s">
        <v>3057</v>
      </c>
    </row>
    <row r="2577" spans="1:47" x14ac:dyDescent="0.35">
      <c r="A2577">
        <v>360321</v>
      </c>
      <c r="B2577" t="s">
        <v>178</v>
      </c>
      <c r="C2577" t="s">
        <v>179</v>
      </c>
      <c r="D2577" s="2">
        <v>45829</v>
      </c>
      <c r="E2577">
        <v>53850</v>
      </c>
      <c r="F2577">
        <v>116</v>
      </c>
      <c r="G2577" t="s">
        <v>126</v>
      </c>
      <c r="H2577" t="s">
        <v>167</v>
      </c>
      <c r="I2577" t="s">
        <v>45</v>
      </c>
      <c r="K2577">
        <v>202506208088711</v>
      </c>
      <c r="L2577">
        <v>1163307623083</v>
      </c>
      <c r="M2577">
        <v>20250620</v>
      </c>
      <c r="N2577" t="s">
        <v>3136</v>
      </c>
      <c r="Q2577" t="s">
        <v>170</v>
      </c>
      <c r="R2577">
        <v>115315.71</v>
      </c>
      <c r="S2577">
        <v>0</v>
      </c>
      <c r="T2577">
        <v>466492</v>
      </c>
      <c r="U2577" t="s">
        <v>2569</v>
      </c>
      <c r="V2577" t="s">
        <v>2570</v>
      </c>
      <c r="W2577" t="s">
        <v>187</v>
      </c>
      <c r="Y2577" t="s">
        <v>51</v>
      </c>
      <c r="Z2577">
        <v>733</v>
      </c>
      <c r="AH2577">
        <v>0</v>
      </c>
      <c r="AI2577">
        <v>202506</v>
      </c>
      <c r="AJ2577" t="s">
        <v>86</v>
      </c>
      <c r="AK2577">
        <v>1</v>
      </c>
      <c r="AL2577">
        <v>1</v>
      </c>
      <c r="AO2577">
        <v>1</v>
      </c>
      <c r="AP2577" t="s">
        <v>3015</v>
      </c>
      <c r="AQ2577" t="s">
        <v>3044</v>
      </c>
      <c r="AR2577" t="s">
        <v>3045</v>
      </c>
      <c r="AS2577" t="s">
        <v>3046</v>
      </c>
      <c r="AU2577" t="s">
        <v>3046</v>
      </c>
    </row>
    <row r="2578" spans="1:47" x14ac:dyDescent="0.35">
      <c r="A2578">
        <v>360320</v>
      </c>
      <c r="B2578" t="s">
        <v>172</v>
      </c>
      <c r="C2578" t="s">
        <v>173</v>
      </c>
      <c r="D2578" s="2">
        <v>45829</v>
      </c>
      <c r="E2578">
        <v>53850</v>
      </c>
      <c r="F2578">
        <v>216</v>
      </c>
      <c r="G2578" t="s">
        <v>817</v>
      </c>
      <c r="H2578" t="s">
        <v>167</v>
      </c>
      <c r="I2578" t="s">
        <v>45</v>
      </c>
      <c r="K2578" t="s">
        <v>2535</v>
      </c>
      <c r="L2578">
        <v>2163300011328</v>
      </c>
      <c r="M2578">
        <v>20250620</v>
      </c>
      <c r="N2578" t="s">
        <v>175</v>
      </c>
      <c r="Q2578" t="s">
        <v>47</v>
      </c>
      <c r="R2578">
        <v>41000</v>
      </c>
      <c r="S2578">
        <v>1000</v>
      </c>
      <c r="T2578">
        <v>4743836</v>
      </c>
      <c r="U2578" t="s">
        <v>2571</v>
      </c>
      <c r="V2578" t="s">
        <v>2572</v>
      </c>
      <c r="W2578" t="s">
        <v>69</v>
      </c>
      <c r="X2578" t="s">
        <v>131</v>
      </c>
      <c r="Y2578" t="s">
        <v>51</v>
      </c>
      <c r="Z2578">
        <v>1595</v>
      </c>
      <c r="AH2578">
        <v>0</v>
      </c>
      <c r="AI2578">
        <v>202506</v>
      </c>
      <c r="AJ2578" t="s">
        <v>56</v>
      </c>
      <c r="AK2578">
        <v>0</v>
      </c>
      <c r="AL2578">
        <v>1</v>
      </c>
      <c r="AO2578">
        <v>1</v>
      </c>
      <c r="AP2578" t="s">
        <v>3033</v>
      </c>
      <c r="AQ2578" t="s">
        <v>3021</v>
      </c>
      <c r="AR2578" t="s">
        <v>3054</v>
      </c>
      <c r="AS2578" t="s">
        <v>3055</v>
      </c>
      <c r="AU2578" t="s">
        <v>3055</v>
      </c>
    </row>
    <row r="2579" spans="1:47" x14ac:dyDescent="0.35">
      <c r="A2579">
        <v>360319</v>
      </c>
      <c r="B2579" t="s">
        <v>193</v>
      </c>
      <c r="C2579" t="s">
        <v>194</v>
      </c>
      <c r="D2579" s="2">
        <v>45829</v>
      </c>
      <c r="E2579">
        <v>53850</v>
      </c>
      <c r="F2579">
        <v>196</v>
      </c>
      <c r="G2579" t="s">
        <v>567</v>
      </c>
      <c r="H2579" t="s">
        <v>167</v>
      </c>
      <c r="I2579" t="s">
        <v>45</v>
      </c>
      <c r="K2579" t="s">
        <v>2535</v>
      </c>
      <c r="L2579">
        <v>1963302354159</v>
      </c>
      <c r="M2579">
        <v>20250620</v>
      </c>
      <c r="N2579" t="s">
        <v>175</v>
      </c>
      <c r="Q2579" t="s">
        <v>47</v>
      </c>
      <c r="R2579">
        <v>35000</v>
      </c>
      <c r="S2579">
        <v>33000</v>
      </c>
      <c r="T2579">
        <v>4915537</v>
      </c>
      <c r="U2579" t="s">
        <v>2573</v>
      </c>
      <c r="V2579" t="s">
        <v>2574</v>
      </c>
      <c r="W2579" t="s">
        <v>187</v>
      </c>
      <c r="Y2579" t="s">
        <v>51</v>
      </c>
      <c r="Z2579">
        <v>796</v>
      </c>
      <c r="AH2579">
        <v>0</v>
      </c>
      <c r="AI2579">
        <v>202506</v>
      </c>
      <c r="AJ2579" t="s">
        <v>86</v>
      </c>
      <c r="AK2579">
        <v>1</v>
      </c>
      <c r="AL2579">
        <v>1</v>
      </c>
      <c r="AM2579">
        <v>4915537</v>
      </c>
      <c r="AN2579">
        <v>1</v>
      </c>
      <c r="AO2579">
        <v>1</v>
      </c>
      <c r="AP2579" t="s">
        <v>3015</v>
      </c>
      <c r="AQ2579" t="s">
        <v>3044</v>
      </c>
      <c r="AR2579" t="s">
        <v>3045</v>
      </c>
      <c r="AS2579" t="s">
        <v>3046</v>
      </c>
      <c r="AU2579" t="s">
        <v>3046</v>
      </c>
    </row>
    <row r="2580" spans="1:47" x14ac:dyDescent="0.35">
      <c r="A2580">
        <v>360318</v>
      </c>
      <c r="B2580" t="s">
        <v>172</v>
      </c>
      <c r="C2580" t="s">
        <v>173</v>
      </c>
      <c r="D2580" s="2">
        <v>45829</v>
      </c>
      <c r="E2580">
        <v>53850</v>
      </c>
      <c r="F2580">
        <v>149</v>
      </c>
      <c r="G2580" t="s">
        <v>449</v>
      </c>
      <c r="H2580" t="s">
        <v>167</v>
      </c>
      <c r="I2580" t="s">
        <v>45</v>
      </c>
      <c r="K2580">
        <v>202506208088821</v>
      </c>
      <c r="L2580">
        <v>1493300660861</v>
      </c>
      <c r="M2580">
        <v>20250620</v>
      </c>
      <c r="N2580" t="s">
        <v>81</v>
      </c>
      <c r="Q2580" t="s">
        <v>47</v>
      </c>
      <c r="R2580">
        <v>50000</v>
      </c>
      <c r="S2580">
        <v>0</v>
      </c>
      <c r="T2580">
        <v>4174943</v>
      </c>
      <c r="U2580" t="s">
        <v>2434</v>
      </c>
      <c r="V2580" t="s">
        <v>2435</v>
      </c>
      <c r="W2580" t="s">
        <v>69</v>
      </c>
      <c r="X2580" t="s">
        <v>131</v>
      </c>
      <c r="Y2580" t="s">
        <v>51</v>
      </c>
      <c r="Z2580">
        <v>1910</v>
      </c>
      <c r="AH2580">
        <v>0</v>
      </c>
      <c r="AI2580">
        <v>202506</v>
      </c>
      <c r="AJ2580" t="s">
        <v>86</v>
      </c>
      <c r="AK2580">
        <v>1</v>
      </c>
      <c r="AL2580">
        <v>1</v>
      </c>
      <c r="AO2580">
        <v>0</v>
      </c>
      <c r="AP2580" t="s">
        <v>3033</v>
      </c>
      <c r="AQ2580" t="s">
        <v>3021</v>
      </c>
      <c r="AR2580" t="s">
        <v>3054</v>
      </c>
      <c r="AS2580" t="s">
        <v>3055</v>
      </c>
      <c r="AU2580" t="s">
        <v>3055</v>
      </c>
    </row>
    <row r="2581" spans="1:47" x14ac:dyDescent="0.35">
      <c r="A2581">
        <v>360317</v>
      </c>
      <c r="B2581" t="s">
        <v>172</v>
      </c>
      <c r="C2581" t="s">
        <v>173</v>
      </c>
      <c r="D2581" s="2">
        <v>45829</v>
      </c>
      <c r="E2581">
        <v>53850</v>
      </c>
      <c r="F2581">
        <v>171</v>
      </c>
      <c r="G2581" t="s">
        <v>198</v>
      </c>
      <c r="H2581" t="s">
        <v>167</v>
      </c>
      <c r="I2581" t="s">
        <v>45</v>
      </c>
      <c r="K2581" t="s">
        <v>2535</v>
      </c>
      <c r="L2581">
        <v>1713305728950</v>
      </c>
      <c r="M2581">
        <v>20250620</v>
      </c>
      <c r="N2581" t="s">
        <v>195</v>
      </c>
      <c r="Q2581" t="s">
        <v>47</v>
      </c>
      <c r="R2581">
        <v>151475</v>
      </c>
      <c r="S2581">
        <v>151475</v>
      </c>
      <c r="T2581">
        <v>572895</v>
      </c>
      <c r="U2581">
        <v>4161600723</v>
      </c>
      <c r="V2581" t="s">
        <v>199</v>
      </c>
      <c r="W2581" t="s">
        <v>49</v>
      </c>
      <c r="X2581" t="s">
        <v>200</v>
      </c>
      <c r="Y2581" t="s">
        <v>51</v>
      </c>
      <c r="Z2581">
        <v>1903</v>
      </c>
      <c r="AH2581">
        <v>0</v>
      </c>
      <c r="AI2581">
        <v>202506</v>
      </c>
      <c r="AJ2581" t="s">
        <v>119</v>
      </c>
      <c r="AK2581">
        <v>1</v>
      </c>
      <c r="AL2581">
        <v>1</v>
      </c>
      <c r="AM2581">
        <v>572895</v>
      </c>
      <c r="AN2581">
        <v>1</v>
      </c>
      <c r="AO2581">
        <v>0</v>
      </c>
      <c r="AP2581" t="s">
        <v>3015</v>
      </c>
      <c r="AQ2581" t="s">
        <v>3012</v>
      </c>
      <c r="AR2581" t="s">
        <v>3016</v>
      </c>
      <c r="AT2581" t="s">
        <v>3017</v>
      </c>
      <c r="AU2581" t="s">
        <v>3018</v>
      </c>
    </row>
    <row r="2582" spans="1:47" x14ac:dyDescent="0.35">
      <c r="A2582">
        <v>360316</v>
      </c>
      <c r="B2582" t="s">
        <v>178</v>
      </c>
      <c r="C2582" t="s">
        <v>179</v>
      </c>
      <c r="D2582" s="2">
        <v>45829</v>
      </c>
      <c r="E2582">
        <v>53850</v>
      </c>
      <c r="F2582">
        <v>274</v>
      </c>
      <c r="G2582" t="s">
        <v>427</v>
      </c>
      <c r="H2582" t="s">
        <v>167</v>
      </c>
      <c r="I2582" t="s">
        <v>45</v>
      </c>
      <c r="K2582">
        <v>202506208089085</v>
      </c>
      <c r="L2582">
        <v>2743300000482</v>
      </c>
      <c r="M2582">
        <v>20250620</v>
      </c>
      <c r="N2582" t="s">
        <v>3136</v>
      </c>
      <c r="Q2582" t="s">
        <v>170</v>
      </c>
      <c r="R2582">
        <v>49856.69</v>
      </c>
      <c r="S2582">
        <v>0</v>
      </c>
      <c r="T2582">
        <v>1631225</v>
      </c>
      <c r="U2582" t="s">
        <v>2575</v>
      </c>
      <c r="V2582" t="s">
        <v>2576</v>
      </c>
      <c r="W2582" t="s">
        <v>187</v>
      </c>
      <c r="Y2582" t="s">
        <v>51</v>
      </c>
      <c r="Z2582">
        <v>1825</v>
      </c>
      <c r="AH2582">
        <v>0</v>
      </c>
      <c r="AI2582">
        <v>202506</v>
      </c>
      <c r="AJ2582" t="s">
        <v>52</v>
      </c>
      <c r="AK2582">
        <v>0</v>
      </c>
      <c r="AL2582">
        <v>1</v>
      </c>
      <c r="AO2582">
        <v>1</v>
      </c>
      <c r="AP2582" t="s">
        <v>3015</v>
      </c>
      <c r="AQ2582" t="s">
        <v>3044</v>
      </c>
      <c r="AR2582" t="s">
        <v>3045</v>
      </c>
      <c r="AS2582" t="s">
        <v>3046</v>
      </c>
      <c r="AU2582" t="s">
        <v>3046</v>
      </c>
    </row>
    <row r="2583" spans="1:47" x14ac:dyDescent="0.35">
      <c r="A2583">
        <v>360315</v>
      </c>
      <c r="B2583" t="s">
        <v>178</v>
      </c>
      <c r="C2583" t="s">
        <v>179</v>
      </c>
      <c r="D2583" s="2">
        <v>45829</v>
      </c>
      <c r="E2583">
        <v>53850</v>
      </c>
      <c r="F2583">
        <v>102</v>
      </c>
      <c r="G2583" t="s">
        <v>151</v>
      </c>
      <c r="H2583" t="s">
        <v>167</v>
      </c>
      <c r="I2583" t="s">
        <v>45</v>
      </c>
      <c r="K2583">
        <v>202506208088079</v>
      </c>
      <c r="L2583">
        <v>1023308725549</v>
      </c>
      <c r="M2583">
        <v>20250620</v>
      </c>
      <c r="N2583" t="s">
        <v>659</v>
      </c>
      <c r="Q2583" t="s">
        <v>170</v>
      </c>
      <c r="R2583">
        <v>528303.46</v>
      </c>
      <c r="S2583">
        <v>0</v>
      </c>
      <c r="T2583">
        <v>89612</v>
      </c>
      <c r="U2583" t="s">
        <v>2577</v>
      </c>
      <c r="V2583" t="s">
        <v>2578</v>
      </c>
      <c r="W2583" t="s">
        <v>69</v>
      </c>
      <c r="X2583" t="s">
        <v>74</v>
      </c>
      <c r="Y2583" t="s">
        <v>51</v>
      </c>
      <c r="Z2583">
        <v>1306</v>
      </c>
      <c r="AH2583">
        <v>0</v>
      </c>
      <c r="AI2583">
        <v>202506</v>
      </c>
      <c r="AJ2583" t="s">
        <v>56</v>
      </c>
      <c r="AK2583">
        <v>0</v>
      </c>
      <c r="AL2583">
        <v>1</v>
      </c>
      <c r="AO2583">
        <v>0</v>
      </c>
      <c r="AP2583" t="s">
        <v>3015</v>
      </c>
      <c r="AQ2583" t="s">
        <v>3021</v>
      </c>
      <c r="AR2583" t="s">
        <v>3022</v>
      </c>
      <c r="AT2583" t="s">
        <v>3017</v>
      </c>
      <c r="AU2583" t="s">
        <v>3014</v>
      </c>
    </row>
    <row r="2584" spans="1:47" x14ac:dyDescent="0.35">
      <c r="A2584">
        <v>360314</v>
      </c>
      <c r="B2584" t="s">
        <v>178</v>
      </c>
      <c r="C2584" t="s">
        <v>179</v>
      </c>
      <c r="D2584" s="2">
        <v>45829</v>
      </c>
      <c r="E2584">
        <v>53850</v>
      </c>
      <c r="F2584">
        <v>170</v>
      </c>
      <c r="G2584" t="s">
        <v>211</v>
      </c>
      <c r="H2584" t="s">
        <v>167</v>
      </c>
      <c r="I2584" t="s">
        <v>45</v>
      </c>
      <c r="K2584" t="s">
        <v>2543</v>
      </c>
      <c r="L2584">
        <v>1703306290293</v>
      </c>
      <c r="M2584">
        <v>20250620</v>
      </c>
      <c r="N2584" t="s">
        <v>3136</v>
      </c>
      <c r="Q2584" t="s">
        <v>170</v>
      </c>
      <c r="R2584">
        <v>2709.98</v>
      </c>
      <c r="S2584">
        <v>0</v>
      </c>
      <c r="T2584">
        <v>4406751</v>
      </c>
      <c r="U2584" t="s">
        <v>2563</v>
      </c>
      <c r="V2584" t="s">
        <v>2564</v>
      </c>
      <c r="W2584" t="s">
        <v>187</v>
      </c>
      <c r="Y2584" t="s">
        <v>51</v>
      </c>
      <c r="Z2584">
        <v>1667</v>
      </c>
      <c r="AH2584">
        <v>0</v>
      </c>
      <c r="AI2584">
        <v>202506</v>
      </c>
      <c r="AJ2584" t="s">
        <v>86</v>
      </c>
      <c r="AK2584">
        <v>1</v>
      </c>
      <c r="AL2584">
        <v>1</v>
      </c>
      <c r="AO2584">
        <v>1</v>
      </c>
      <c r="AP2584" t="s">
        <v>3015</v>
      </c>
      <c r="AQ2584" t="s">
        <v>3044</v>
      </c>
      <c r="AR2584" t="s">
        <v>3045</v>
      </c>
      <c r="AS2584" t="s">
        <v>3046</v>
      </c>
      <c r="AU2584" t="s">
        <v>3046</v>
      </c>
    </row>
    <row r="2585" spans="1:47" x14ac:dyDescent="0.35">
      <c r="A2585">
        <v>360313</v>
      </c>
      <c r="B2585" t="s">
        <v>193</v>
      </c>
      <c r="C2585" t="s">
        <v>194</v>
      </c>
      <c r="D2585" s="2">
        <v>45829</v>
      </c>
      <c r="E2585">
        <v>53850</v>
      </c>
      <c r="F2585">
        <v>102</v>
      </c>
      <c r="G2585" t="s">
        <v>151</v>
      </c>
      <c r="H2585" t="s">
        <v>167</v>
      </c>
      <c r="I2585" t="s">
        <v>45</v>
      </c>
      <c r="K2585">
        <v>202506208088579</v>
      </c>
      <c r="L2585">
        <v>1023308724565</v>
      </c>
      <c r="M2585">
        <v>20250620</v>
      </c>
      <c r="N2585" t="s">
        <v>266</v>
      </c>
      <c r="Q2585" t="s">
        <v>47</v>
      </c>
      <c r="R2585">
        <v>16000</v>
      </c>
      <c r="S2585">
        <v>16000</v>
      </c>
      <c r="T2585">
        <v>4922754</v>
      </c>
      <c r="U2585">
        <v>7863910720</v>
      </c>
      <c r="V2585" t="s">
        <v>2579</v>
      </c>
      <c r="W2585" t="s">
        <v>190</v>
      </c>
      <c r="X2585" t="s">
        <v>131</v>
      </c>
      <c r="Y2585" t="s">
        <v>51</v>
      </c>
      <c r="Z2585">
        <v>979</v>
      </c>
      <c r="AH2585">
        <v>0</v>
      </c>
      <c r="AI2585">
        <v>202506</v>
      </c>
      <c r="AJ2585" t="s">
        <v>52</v>
      </c>
      <c r="AK2585">
        <v>0</v>
      </c>
      <c r="AL2585">
        <v>1</v>
      </c>
      <c r="AO2585">
        <v>0</v>
      </c>
      <c r="AP2585" t="s">
        <v>3033</v>
      </c>
      <c r="AQ2585" t="s">
        <v>3047</v>
      </c>
      <c r="AR2585" t="s">
        <v>3048</v>
      </c>
      <c r="AS2585" t="s">
        <v>3049</v>
      </c>
      <c r="AU2585" t="s">
        <v>3049</v>
      </c>
    </row>
    <row r="2586" spans="1:47" x14ac:dyDescent="0.35">
      <c r="A2586">
        <v>360312</v>
      </c>
      <c r="B2586" t="s">
        <v>193</v>
      </c>
      <c r="C2586" t="s">
        <v>194</v>
      </c>
      <c r="D2586" s="2">
        <v>45829</v>
      </c>
      <c r="E2586">
        <v>53850</v>
      </c>
      <c r="F2586">
        <v>174</v>
      </c>
      <c r="G2586" t="s">
        <v>224</v>
      </c>
      <c r="H2586" t="s">
        <v>167</v>
      </c>
      <c r="I2586" t="s">
        <v>45</v>
      </c>
      <c r="K2586" t="s">
        <v>2535</v>
      </c>
      <c r="L2586">
        <v>1743302879903</v>
      </c>
      <c r="M2586">
        <v>20250620</v>
      </c>
      <c r="N2586" t="s">
        <v>175</v>
      </c>
      <c r="Q2586" t="s">
        <v>47</v>
      </c>
      <c r="R2586">
        <v>37429.83</v>
      </c>
      <c r="S2586">
        <v>31000</v>
      </c>
      <c r="T2586">
        <v>4928259</v>
      </c>
      <c r="U2586">
        <v>8287320728</v>
      </c>
      <c r="V2586" t="s">
        <v>1171</v>
      </c>
      <c r="W2586" t="s">
        <v>49</v>
      </c>
      <c r="X2586" t="s">
        <v>117</v>
      </c>
      <c r="Y2586" t="s">
        <v>51</v>
      </c>
      <c r="Z2586">
        <v>448</v>
      </c>
      <c r="AH2586">
        <v>0</v>
      </c>
      <c r="AI2586">
        <v>202506</v>
      </c>
      <c r="AJ2586" t="s">
        <v>86</v>
      </c>
      <c r="AK2586">
        <v>1</v>
      </c>
      <c r="AL2586">
        <v>1</v>
      </c>
      <c r="AM2586">
        <v>4928259</v>
      </c>
      <c r="AN2586">
        <v>1</v>
      </c>
      <c r="AO2586">
        <v>1</v>
      </c>
      <c r="AP2586" t="s">
        <v>3029</v>
      </c>
      <c r="AQ2586" t="s">
        <v>3012</v>
      </c>
      <c r="AR2586" t="s">
        <v>3030</v>
      </c>
      <c r="AS2586" t="s">
        <v>3014</v>
      </c>
      <c r="AU2586" t="s">
        <v>3014</v>
      </c>
    </row>
    <row r="2587" spans="1:47" x14ac:dyDescent="0.35">
      <c r="A2587">
        <v>360311</v>
      </c>
      <c r="B2587" t="s">
        <v>193</v>
      </c>
      <c r="C2587" t="s">
        <v>194</v>
      </c>
      <c r="D2587" s="2">
        <v>45829</v>
      </c>
      <c r="E2587">
        <v>53850</v>
      </c>
      <c r="F2587">
        <v>134</v>
      </c>
      <c r="G2587" t="s">
        <v>804</v>
      </c>
      <c r="H2587" t="s">
        <v>167</v>
      </c>
      <c r="I2587" t="s">
        <v>45</v>
      </c>
      <c r="K2587" t="s">
        <v>2535</v>
      </c>
      <c r="L2587">
        <v>1343300002724</v>
      </c>
      <c r="M2587">
        <v>20250620</v>
      </c>
      <c r="N2587" t="s">
        <v>175</v>
      </c>
      <c r="Q2587" t="s">
        <v>47</v>
      </c>
      <c r="R2587">
        <v>35683.06</v>
      </c>
      <c r="S2587">
        <v>31820</v>
      </c>
      <c r="T2587">
        <v>4876967</v>
      </c>
      <c r="U2587" t="s">
        <v>1353</v>
      </c>
      <c r="V2587" t="s">
        <v>1354</v>
      </c>
      <c r="W2587" t="s">
        <v>69</v>
      </c>
      <c r="X2587" t="s">
        <v>1355</v>
      </c>
      <c r="Y2587" t="s">
        <v>51</v>
      </c>
      <c r="Z2587">
        <v>1562</v>
      </c>
      <c r="AH2587">
        <v>0</v>
      </c>
      <c r="AI2587">
        <v>202506</v>
      </c>
      <c r="AJ2587" t="s">
        <v>119</v>
      </c>
      <c r="AK2587">
        <v>1</v>
      </c>
      <c r="AL2587">
        <v>1</v>
      </c>
      <c r="AM2587">
        <v>4876967</v>
      </c>
      <c r="AN2587">
        <v>1</v>
      </c>
      <c r="AO2587">
        <v>1</v>
      </c>
      <c r="AP2587" t="s">
        <v>3015</v>
      </c>
      <c r="AQ2587" t="s">
        <v>3021</v>
      </c>
      <c r="AR2587" t="s">
        <v>3022</v>
      </c>
      <c r="AT2587" t="s">
        <v>3017</v>
      </c>
      <c r="AU2587" t="s">
        <v>3014</v>
      </c>
    </row>
    <row r="2588" spans="1:47" x14ac:dyDescent="0.35">
      <c r="A2588">
        <v>360310</v>
      </c>
      <c r="B2588" t="s">
        <v>172</v>
      </c>
      <c r="C2588" t="s">
        <v>173</v>
      </c>
      <c r="D2588" s="2">
        <v>45829</v>
      </c>
      <c r="E2588">
        <v>53850</v>
      </c>
      <c r="F2588">
        <v>108</v>
      </c>
      <c r="G2588" t="s">
        <v>124</v>
      </c>
      <c r="H2588" t="s">
        <v>167</v>
      </c>
      <c r="I2588" t="s">
        <v>45</v>
      </c>
      <c r="K2588" t="s">
        <v>2535</v>
      </c>
      <c r="L2588">
        <v>1083306290559</v>
      </c>
      <c r="M2588">
        <v>20250620</v>
      </c>
      <c r="N2588" t="s">
        <v>175</v>
      </c>
      <c r="Q2588" t="s">
        <v>47</v>
      </c>
      <c r="R2588">
        <v>112670.82</v>
      </c>
      <c r="S2588">
        <v>0</v>
      </c>
      <c r="T2588">
        <v>4902977</v>
      </c>
      <c r="U2588">
        <v>8081970728</v>
      </c>
      <c r="V2588" t="s">
        <v>2044</v>
      </c>
      <c r="W2588" t="s">
        <v>49</v>
      </c>
      <c r="X2588" t="s">
        <v>397</v>
      </c>
      <c r="Y2588" t="s">
        <v>51</v>
      </c>
      <c r="Z2588">
        <v>1058</v>
      </c>
      <c r="AH2588">
        <v>0</v>
      </c>
      <c r="AI2588">
        <v>202506</v>
      </c>
      <c r="AJ2588" t="s">
        <v>86</v>
      </c>
      <c r="AK2588">
        <v>1</v>
      </c>
      <c r="AL2588">
        <v>1</v>
      </c>
      <c r="AO2588">
        <v>1</v>
      </c>
      <c r="AP2588" t="s">
        <v>3015</v>
      </c>
      <c r="AQ2588" t="s">
        <v>3012</v>
      </c>
      <c r="AR2588" t="s">
        <v>3016</v>
      </c>
      <c r="AT2588" t="s">
        <v>3017</v>
      </c>
      <c r="AU2588" t="s">
        <v>3018</v>
      </c>
    </row>
    <row r="2589" spans="1:47" x14ac:dyDescent="0.35">
      <c r="A2589">
        <v>360309</v>
      </c>
      <c r="B2589" t="s">
        <v>333</v>
      </c>
      <c r="C2589" t="s">
        <v>334</v>
      </c>
      <c r="D2589" s="2">
        <v>45829</v>
      </c>
      <c r="E2589">
        <v>53850</v>
      </c>
      <c r="F2589">
        <v>99</v>
      </c>
      <c r="G2589" t="s">
        <v>335</v>
      </c>
      <c r="H2589" t="s">
        <v>167</v>
      </c>
      <c r="I2589" t="s">
        <v>45</v>
      </c>
      <c r="K2589" t="s">
        <v>2562</v>
      </c>
      <c r="M2589">
        <v>20250620</v>
      </c>
      <c r="N2589" t="s">
        <v>3136</v>
      </c>
      <c r="Q2589" t="s">
        <v>170</v>
      </c>
      <c r="R2589">
        <v>2709.98</v>
      </c>
      <c r="S2589">
        <v>0</v>
      </c>
      <c r="T2589">
        <v>4101931</v>
      </c>
      <c r="U2589" t="s">
        <v>2544</v>
      </c>
      <c r="V2589" t="s">
        <v>2545</v>
      </c>
      <c r="W2589" t="s">
        <v>187</v>
      </c>
      <c r="Y2589" t="s">
        <v>51</v>
      </c>
      <c r="Z2589">
        <v>1667</v>
      </c>
      <c r="AH2589">
        <v>0</v>
      </c>
      <c r="AI2589">
        <v>202506</v>
      </c>
      <c r="AJ2589" t="s">
        <v>86</v>
      </c>
      <c r="AK2589">
        <v>1</v>
      </c>
      <c r="AL2589">
        <v>0</v>
      </c>
      <c r="AO2589">
        <v>1</v>
      </c>
      <c r="AP2589" t="s">
        <v>3015</v>
      </c>
      <c r="AQ2589" t="s">
        <v>3044</v>
      </c>
      <c r="AR2589" t="s">
        <v>3045</v>
      </c>
      <c r="AS2589" t="s">
        <v>3046</v>
      </c>
      <c r="AU2589" t="s">
        <v>3046</v>
      </c>
    </row>
    <row r="2590" spans="1:47" x14ac:dyDescent="0.35">
      <c r="A2590">
        <v>360308</v>
      </c>
      <c r="B2590" t="s">
        <v>164</v>
      </c>
      <c r="C2590" t="s">
        <v>165</v>
      </c>
      <c r="D2590" s="2">
        <v>45829</v>
      </c>
      <c r="E2590">
        <v>53850</v>
      </c>
      <c r="F2590">
        <v>104</v>
      </c>
      <c r="G2590" t="s">
        <v>108</v>
      </c>
      <c r="H2590" t="s">
        <v>167</v>
      </c>
      <c r="I2590" t="s">
        <v>45</v>
      </c>
      <c r="K2590">
        <v>202506198086477</v>
      </c>
      <c r="L2590">
        <v>1043309503913</v>
      </c>
      <c r="M2590">
        <v>20250619</v>
      </c>
      <c r="N2590" t="s">
        <v>168</v>
      </c>
      <c r="P2590" t="s">
        <v>203</v>
      </c>
      <c r="Q2590" t="s">
        <v>170</v>
      </c>
      <c r="R2590">
        <v>9173.81</v>
      </c>
      <c r="S2590">
        <v>0</v>
      </c>
      <c r="T2590">
        <v>424944</v>
      </c>
      <c r="U2590">
        <v>3454860721</v>
      </c>
      <c r="V2590" t="s">
        <v>118</v>
      </c>
      <c r="W2590" t="s">
        <v>49</v>
      </c>
      <c r="X2590" t="s">
        <v>117</v>
      </c>
      <c r="Y2590" t="s">
        <v>51</v>
      </c>
      <c r="Z2590">
        <v>1696</v>
      </c>
      <c r="AH2590">
        <v>0</v>
      </c>
      <c r="AI2590">
        <v>202506</v>
      </c>
      <c r="AJ2590" t="s">
        <v>86</v>
      </c>
      <c r="AK2590">
        <v>1</v>
      </c>
      <c r="AL2590">
        <v>1</v>
      </c>
      <c r="AO2590">
        <v>0</v>
      </c>
      <c r="AP2590" t="s">
        <v>3029</v>
      </c>
      <c r="AQ2590" t="s">
        <v>3012</v>
      </c>
      <c r="AR2590" t="s">
        <v>3030</v>
      </c>
      <c r="AS2590" t="s">
        <v>3014</v>
      </c>
      <c r="AU2590" t="s">
        <v>3014</v>
      </c>
    </row>
    <row r="2591" spans="1:47" x14ac:dyDescent="0.35">
      <c r="A2591">
        <v>360307</v>
      </c>
      <c r="B2591" t="s">
        <v>178</v>
      </c>
      <c r="C2591" t="s">
        <v>179</v>
      </c>
      <c r="D2591" s="2">
        <v>45828</v>
      </c>
      <c r="E2591">
        <v>53850</v>
      </c>
      <c r="F2591">
        <v>102</v>
      </c>
      <c r="G2591" t="s">
        <v>151</v>
      </c>
      <c r="H2591" t="s">
        <v>167</v>
      </c>
      <c r="I2591" t="s">
        <v>45</v>
      </c>
      <c r="K2591">
        <v>202506208085363</v>
      </c>
      <c r="L2591">
        <v>1025507000167</v>
      </c>
      <c r="M2591">
        <v>20250620</v>
      </c>
      <c r="N2591" t="s">
        <v>808</v>
      </c>
      <c r="Q2591" t="s">
        <v>47</v>
      </c>
      <c r="R2591">
        <v>300431</v>
      </c>
      <c r="S2591">
        <v>0</v>
      </c>
      <c r="T2591">
        <v>25092</v>
      </c>
      <c r="U2591" t="s">
        <v>1940</v>
      </c>
      <c r="V2591" t="s">
        <v>1941</v>
      </c>
      <c r="W2591" t="s">
        <v>187</v>
      </c>
      <c r="Y2591" t="s">
        <v>51</v>
      </c>
      <c r="Z2591">
        <v>1431</v>
      </c>
      <c r="AH2591">
        <v>0</v>
      </c>
      <c r="AI2591">
        <v>202506</v>
      </c>
      <c r="AJ2591" t="s">
        <v>52</v>
      </c>
      <c r="AK2591">
        <v>0</v>
      </c>
      <c r="AL2591">
        <v>1</v>
      </c>
      <c r="AO2591">
        <v>0</v>
      </c>
      <c r="AP2591" t="s">
        <v>3015</v>
      </c>
      <c r="AQ2591" t="s">
        <v>3044</v>
      </c>
      <c r="AR2591" t="s">
        <v>3045</v>
      </c>
      <c r="AS2591" t="s">
        <v>3046</v>
      </c>
      <c r="AU2591" t="s">
        <v>3046</v>
      </c>
    </row>
    <row r="2592" spans="1:47" x14ac:dyDescent="0.35">
      <c r="A2592">
        <v>360306</v>
      </c>
      <c r="B2592" t="s">
        <v>178</v>
      </c>
      <c r="C2592" t="s">
        <v>179</v>
      </c>
      <c r="D2592" s="2">
        <v>45828</v>
      </c>
      <c r="E2592">
        <v>53850</v>
      </c>
      <c r="F2592">
        <v>102</v>
      </c>
      <c r="G2592" t="s">
        <v>151</v>
      </c>
      <c r="H2592" t="s">
        <v>167</v>
      </c>
      <c r="I2592" t="s">
        <v>45</v>
      </c>
      <c r="K2592">
        <v>202506208085364</v>
      </c>
      <c r="L2592">
        <v>1025507000167</v>
      </c>
      <c r="M2592">
        <v>20250620</v>
      </c>
      <c r="N2592" t="s">
        <v>1587</v>
      </c>
      <c r="Q2592" t="s">
        <v>47</v>
      </c>
      <c r="R2592">
        <v>300431</v>
      </c>
      <c r="S2592">
        <v>0</v>
      </c>
      <c r="T2592">
        <v>25092</v>
      </c>
      <c r="U2592" t="s">
        <v>1940</v>
      </c>
      <c r="V2592" t="s">
        <v>1941</v>
      </c>
      <c r="W2592" t="s">
        <v>187</v>
      </c>
      <c r="Y2592" t="s">
        <v>51</v>
      </c>
      <c r="Z2592">
        <v>1431</v>
      </c>
      <c r="AH2592">
        <v>0</v>
      </c>
      <c r="AI2592">
        <v>202506</v>
      </c>
      <c r="AJ2592" t="s">
        <v>52</v>
      </c>
      <c r="AK2592">
        <v>0</v>
      </c>
      <c r="AL2592">
        <v>1</v>
      </c>
      <c r="AO2592">
        <v>0</v>
      </c>
      <c r="AP2592" t="s">
        <v>3015</v>
      </c>
      <c r="AQ2592" t="s">
        <v>3044</v>
      </c>
      <c r="AR2592" t="s">
        <v>3045</v>
      </c>
      <c r="AS2592" t="s">
        <v>3046</v>
      </c>
      <c r="AU2592" t="s">
        <v>3046</v>
      </c>
    </row>
    <row r="2593" spans="1:47" x14ac:dyDescent="0.35">
      <c r="A2593">
        <v>360305</v>
      </c>
      <c r="B2593" t="s">
        <v>172</v>
      </c>
      <c r="C2593" t="s">
        <v>173</v>
      </c>
      <c r="D2593" s="2">
        <v>45828</v>
      </c>
      <c r="E2593">
        <v>53850</v>
      </c>
      <c r="F2593">
        <v>171</v>
      </c>
      <c r="G2593" t="s">
        <v>198</v>
      </c>
      <c r="H2593" t="s">
        <v>167</v>
      </c>
      <c r="I2593" t="s">
        <v>45</v>
      </c>
      <c r="K2593" t="s">
        <v>2580</v>
      </c>
      <c r="L2593">
        <v>1713305728950</v>
      </c>
      <c r="M2593">
        <v>20250619</v>
      </c>
      <c r="N2593" t="s">
        <v>195</v>
      </c>
      <c r="Q2593" t="s">
        <v>47</v>
      </c>
      <c r="R2593">
        <v>272782.3</v>
      </c>
      <c r="S2593">
        <v>272782.3</v>
      </c>
      <c r="T2593">
        <v>572895</v>
      </c>
      <c r="U2593">
        <v>4161600723</v>
      </c>
      <c r="V2593" t="s">
        <v>199</v>
      </c>
      <c r="W2593" t="s">
        <v>49</v>
      </c>
      <c r="X2593" t="s">
        <v>200</v>
      </c>
      <c r="Y2593" t="s">
        <v>51</v>
      </c>
      <c r="Z2593">
        <v>1903</v>
      </c>
      <c r="AH2593">
        <v>0</v>
      </c>
      <c r="AI2593">
        <v>202506</v>
      </c>
      <c r="AJ2593" t="s">
        <v>119</v>
      </c>
      <c r="AK2593">
        <v>1</v>
      </c>
      <c r="AL2593">
        <v>1</v>
      </c>
      <c r="AM2593">
        <v>572895</v>
      </c>
      <c r="AN2593">
        <v>1</v>
      </c>
      <c r="AO2593">
        <v>0</v>
      </c>
      <c r="AP2593" t="s">
        <v>3015</v>
      </c>
      <c r="AQ2593" t="s">
        <v>3012</v>
      </c>
      <c r="AR2593" t="s">
        <v>3016</v>
      </c>
      <c r="AT2593" t="s">
        <v>3017</v>
      </c>
      <c r="AU2593" t="s">
        <v>3018</v>
      </c>
    </row>
    <row r="2594" spans="1:47" x14ac:dyDescent="0.35">
      <c r="A2594">
        <v>360304</v>
      </c>
      <c r="B2594" t="s">
        <v>164</v>
      </c>
      <c r="C2594" t="s">
        <v>165</v>
      </c>
      <c r="D2594" s="2">
        <v>45828</v>
      </c>
      <c r="E2594">
        <v>53850</v>
      </c>
      <c r="F2594">
        <v>116</v>
      </c>
      <c r="G2594" t="s">
        <v>126</v>
      </c>
      <c r="H2594" t="s">
        <v>167</v>
      </c>
      <c r="I2594" t="s">
        <v>45</v>
      </c>
      <c r="K2594">
        <v>202506198085278</v>
      </c>
      <c r="L2594">
        <v>1163307620827</v>
      </c>
      <c r="M2594">
        <v>20250619</v>
      </c>
      <c r="N2594" t="s">
        <v>168</v>
      </c>
      <c r="P2594" t="s">
        <v>435</v>
      </c>
      <c r="Q2594" t="s">
        <v>170</v>
      </c>
      <c r="R2594">
        <v>25668.65</v>
      </c>
      <c r="S2594">
        <v>0</v>
      </c>
      <c r="T2594">
        <v>4871871</v>
      </c>
      <c r="U2594">
        <v>2516140726</v>
      </c>
      <c r="V2594" t="s">
        <v>1304</v>
      </c>
      <c r="W2594" t="s">
        <v>49</v>
      </c>
      <c r="X2594" t="s">
        <v>59</v>
      </c>
      <c r="Y2594" t="s">
        <v>51</v>
      </c>
      <c r="Z2594">
        <v>1903</v>
      </c>
      <c r="AH2594">
        <v>0</v>
      </c>
      <c r="AI2594">
        <v>202506</v>
      </c>
      <c r="AJ2594" t="s">
        <v>114</v>
      </c>
      <c r="AK2594">
        <v>1</v>
      </c>
      <c r="AL2594">
        <v>1</v>
      </c>
      <c r="AO2594">
        <v>0</v>
      </c>
      <c r="AP2594" t="s">
        <v>3015</v>
      </c>
      <c r="AQ2594" t="s">
        <v>3012</v>
      </c>
      <c r="AR2594" t="s">
        <v>3016</v>
      </c>
      <c r="AT2594" t="s">
        <v>3017</v>
      </c>
      <c r="AU2594" t="s">
        <v>3018</v>
      </c>
    </row>
    <row r="2595" spans="1:47" x14ac:dyDescent="0.35">
      <c r="A2595">
        <v>360303</v>
      </c>
      <c r="B2595" t="s">
        <v>178</v>
      </c>
      <c r="C2595" t="s">
        <v>179</v>
      </c>
      <c r="D2595" s="2">
        <v>45828</v>
      </c>
      <c r="E2595">
        <v>53850</v>
      </c>
      <c r="F2595">
        <v>145</v>
      </c>
      <c r="G2595" t="s">
        <v>115</v>
      </c>
      <c r="H2595" t="s">
        <v>167</v>
      </c>
      <c r="I2595" t="s">
        <v>45</v>
      </c>
      <c r="K2595" t="s">
        <v>2581</v>
      </c>
      <c r="L2595">
        <v>1453300001145</v>
      </c>
      <c r="M2595">
        <v>20250619</v>
      </c>
      <c r="N2595" t="s">
        <v>3136</v>
      </c>
      <c r="Q2595" t="s">
        <v>170</v>
      </c>
      <c r="R2595">
        <v>3864.15</v>
      </c>
      <c r="S2595">
        <v>0</v>
      </c>
      <c r="T2595">
        <v>4019</v>
      </c>
      <c r="U2595" t="s">
        <v>2582</v>
      </c>
      <c r="V2595" t="s">
        <v>2583</v>
      </c>
      <c r="W2595" t="s">
        <v>187</v>
      </c>
      <c r="Y2595" t="s">
        <v>51</v>
      </c>
      <c r="Z2595">
        <v>1222</v>
      </c>
      <c r="AH2595">
        <v>0</v>
      </c>
      <c r="AI2595">
        <v>202506</v>
      </c>
      <c r="AJ2595" t="s">
        <v>86</v>
      </c>
      <c r="AK2595">
        <v>1</v>
      </c>
      <c r="AL2595">
        <v>1</v>
      </c>
      <c r="AO2595">
        <v>1</v>
      </c>
      <c r="AP2595" t="s">
        <v>3015</v>
      </c>
      <c r="AQ2595" t="s">
        <v>3044</v>
      </c>
      <c r="AR2595" t="s">
        <v>3045</v>
      </c>
      <c r="AS2595" t="s">
        <v>3046</v>
      </c>
      <c r="AU2595" t="s">
        <v>3046</v>
      </c>
    </row>
    <row r="2596" spans="1:47" x14ac:dyDescent="0.35">
      <c r="A2596">
        <v>360302</v>
      </c>
      <c r="B2596" t="s">
        <v>193</v>
      </c>
      <c r="C2596" t="s">
        <v>194</v>
      </c>
      <c r="D2596" s="2">
        <v>45828</v>
      </c>
      <c r="E2596">
        <v>53850</v>
      </c>
      <c r="F2596">
        <v>171</v>
      </c>
      <c r="G2596" t="s">
        <v>198</v>
      </c>
      <c r="H2596" t="s">
        <v>167</v>
      </c>
      <c r="I2596" t="s">
        <v>45</v>
      </c>
      <c r="K2596" t="s">
        <v>2580</v>
      </c>
      <c r="L2596">
        <v>1713305728950</v>
      </c>
      <c r="M2596">
        <v>20250619</v>
      </c>
      <c r="N2596" t="s">
        <v>195</v>
      </c>
      <c r="Q2596" t="s">
        <v>47</v>
      </c>
      <c r="R2596">
        <v>272782.3</v>
      </c>
      <c r="S2596">
        <v>272782.3</v>
      </c>
      <c r="T2596">
        <v>572895</v>
      </c>
      <c r="U2596">
        <v>4161600723</v>
      </c>
      <c r="V2596" t="s">
        <v>199</v>
      </c>
      <c r="W2596" t="s">
        <v>49</v>
      </c>
      <c r="X2596" t="s">
        <v>200</v>
      </c>
      <c r="Y2596" t="s">
        <v>51</v>
      </c>
      <c r="Z2596">
        <v>1903</v>
      </c>
      <c r="AH2596">
        <v>0</v>
      </c>
      <c r="AI2596">
        <v>202506</v>
      </c>
      <c r="AJ2596" t="s">
        <v>119</v>
      </c>
      <c r="AK2596">
        <v>1</v>
      </c>
      <c r="AL2596">
        <v>1</v>
      </c>
      <c r="AM2596">
        <v>572895</v>
      </c>
      <c r="AN2596">
        <v>1</v>
      </c>
      <c r="AO2596">
        <v>0</v>
      </c>
      <c r="AP2596" t="s">
        <v>3015</v>
      </c>
      <c r="AQ2596" t="s">
        <v>3012</v>
      </c>
      <c r="AR2596" t="s">
        <v>3016</v>
      </c>
      <c r="AT2596" t="s">
        <v>3017</v>
      </c>
      <c r="AU2596" t="s">
        <v>3018</v>
      </c>
    </row>
    <row r="2597" spans="1:47" x14ac:dyDescent="0.35">
      <c r="A2597">
        <v>360301</v>
      </c>
      <c r="B2597" t="s">
        <v>164</v>
      </c>
      <c r="C2597" t="s">
        <v>165</v>
      </c>
      <c r="D2597" s="2">
        <v>45828</v>
      </c>
      <c r="E2597">
        <v>53850</v>
      </c>
      <c r="F2597">
        <v>109</v>
      </c>
      <c r="G2597" t="s">
        <v>89</v>
      </c>
      <c r="H2597" t="s">
        <v>167</v>
      </c>
      <c r="I2597" t="s">
        <v>45</v>
      </c>
      <c r="K2597">
        <v>202506198085264</v>
      </c>
      <c r="L2597">
        <v>1093306675116</v>
      </c>
      <c r="M2597">
        <v>20250619</v>
      </c>
      <c r="N2597" t="s">
        <v>168</v>
      </c>
      <c r="P2597" t="s">
        <v>435</v>
      </c>
      <c r="Q2597" t="s">
        <v>47</v>
      </c>
      <c r="R2597">
        <v>7800</v>
      </c>
      <c r="S2597">
        <v>0</v>
      </c>
      <c r="T2597">
        <v>4889439</v>
      </c>
      <c r="U2597" t="s">
        <v>2584</v>
      </c>
      <c r="V2597" t="s">
        <v>2585</v>
      </c>
      <c r="W2597" t="s">
        <v>187</v>
      </c>
      <c r="Y2597" t="s">
        <v>51</v>
      </c>
      <c r="Z2597">
        <v>507</v>
      </c>
      <c r="AH2597">
        <v>0</v>
      </c>
      <c r="AI2597">
        <v>202506</v>
      </c>
      <c r="AJ2597" t="s">
        <v>86</v>
      </c>
      <c r="AK2597">
        <v>1</v>
      </c>
      <c r="AL2597">
        <v>1</v>
      </c>
      <c r="AO2597">
        <v>0</v>
      </c>
      <c r="AP2597" t="s">
        <v>3015</v>
      </c>
      <c r="AQ2597" t="s">
        <v>3044</v>
      </c>
      <c r="AR2597" t="s">
        <v>3045</v>
      </c>
      <c r="AS2597" t="s">
        <v>3046</v>
      </c>
      <c r="AU2597" t="s">
        <v>3046</v>
      </c>
    </row>
    <row r="2598" spans="1:47" x14ac:dyDescent="0.35">
      <c r="A2598">
        <v>360300</v>
      </c>
      <c r="B2598" t="s">
        <v>172</v>
      </c>
      <c r="C2598" t="s">
        <v>173</v>
      </c>
      <c r="D2598" s="2">
        <v>45828</v>
      </c>
      <c r="E2598">
        <v>53850</v>
      </c>
      <c r="F2598">
        <v>105</v>
      </c>
      <c r="G2598" t="s">
        <v>60</v>
      </c>
      <c r="H2598" t="s">
        <v>167</v>
      </c>
      <c r="I2598" t="s">
        <v>45</v>
      </c>
      <c r="K2598">
        <v>202506198085919</v>
      </c>
      <c r="L2598">
        <v>1053306291588</v>
      </c>
      <c r="M2598">
        <v>20250619</v>
      </c>
      <c r="N2598" t="s">
        <v>231</v>
      </c>
      <c r="Q2598" t="s">
        <v>47</v>
      </c>
      <c r="R2598">
        <v>80000</v>
      </c>
      <c r="S2598">
        <v>0</v>
      </c>
      <c r="T2598">
        <v>446742</v>
      </c>
      <c r="U2598" t="s">
        <v>2586</v>
      </c>
      <c r="V2598" t="s">
        <v>2587</v>
      </c>
      <c r="W2598" t="s">
        <v>69</v>
      </c>
      <c r="X2598" t="s">
        <v>131</v>
      </c>
      <c r="Y2598" t="s">
        <v>51</v>
      </c>
      <c r="Z2598">
        <v>1947</v>
      </c>
      <c r="AH2598">
        <v>0</v>
      </c>
      <c r="AI2598">
        <v>202506</v>
      </c>
      <c r="AJ2598" t="s">
        <v>86</v>
      </c>
      <c r="AK2598">
        <v>1</v>
      </c>
      <c r="AL2598">
        <v>1</v>
      </c>
      <c r="AO2598">
        <v>0</v>
      </c>
      <c r="AP2598" t="s">
        <v>3033</v>
      </c>
      <c r="AQ2598" t="s">
        <v>3021</v>
      </c>
      <c r="AR2598" t="s">
        <v>3054</v>
      </c>
      <c r="AS2598" t="s">
        <v>3055</v>
      </c>
      <c r="AU2598" t="s">
        <v>3055</v>
      </c>
    </row>
    <row r="2599" spans="1:47" x14ac:dyDescent="0.35">
      <c r="A2599">
        <v>360299</v>
      </c>
      <c r="B2599" t="s">
        <v>193</v>
      </c>
      <c r="C2599" t="s">
        <v>194</v>
      </c>
      <c r="D2599" s="2">
        <v>45828</v>
      </c>
      <c r="E2599">
        <v>53850</v>
      </c>
      <c r="F2599">
        <v>195</v>
      </c>
      <c r="G2599" t="s">
        <v>498</v>
      </c>
      <c r="H2599" t="s">
        <v>167</v>
      </c>
      <c r="I2599" t="s">
        <v>45</v>
      </c>
      <c r="K2599">
        <v>202506198085746</v>
      </c>
      <c r="L2599">
        <v>1953300026976</v>
      </c>
      <c r="M2599">
        <v>20250619</v>
      </c>
      <c r="N2599" t="s">
        <v>195</v>
      </c>
      <c r="Q2599" t="s">
        <v>47</v>
      </c>
      <c r="R2599">
        <v>31400</v>
      </c>
      <c r="S2599">
        <v>31400</v>
      </c>
      <c r="T2599">
        <v>4081785</v>
      </c>
      <c r="U2599" t="s">
        <v>499</v>
      </c>
      <c r="V2599" t="s">
        <v>500</v>
      </c>
      <c r="W2599" t="s">
        <v>69</v>
      </c>
      <c r="X2599" t="s">
        <v>501</v>
      </c>
      <c r="Y2599" t="s">
        <v>51</v>
      </c>
      <c r="Z2599">
        <v>938</v>
      </c>
      <c r="AH2599">
        <v>0</v>
      </c>
      <c r="AI2599">
        <v>202506</v>
      </c>
      <c r="AJ2599" t="s">
        <v>119</v>
      </c>
      <c r="AK2599">
        <v>1</v>
      </c>
      <c r="AL2599">
        <v>1</v>
      </c>
      <c r="AM2599">
        <v>4081785</v>
      </c>
      <c r="AN2599">
        <v>1</v>
      </c>
      <c r="AO2599">
        <v>0</v>
      </c>
      <c r="AP2599" t="s">
        <v>3015</v>
      </c>
      <c r="AQ2599" t="s">
        <v>3021</v>
      </c>
      <c r="AR2599" t="s">
        <v>3022</v>
      </c>
      <c r="AT2599" t="s">
        <v>3017</v>
      </c>
      <c r="AU2599" t="s">
        <v>3014</v>
      </c>
    </row>
    <row r="2600" spans="1:47" x14ac:dyDescent="0.35">
      <c r="A2600">
        <v>360298</v>
      </c>
      <c r="B2600" t="s">
        <v>333</v>
      </c>
      <c r="C2600" t="s">
        <v>334</v>
      </c>
      <c r="D2600" s="2">
        <v>45828</v>
      </c>
      <c r="E2600">
        <v>53850</v>
      </c>
      <c r="F2600">
        <v>99</v>
      </c>
      <c r="G2600" t="s">
        <v>335</v>
      </c>
      <c r="H2600" t="s">
        <v>167</v>
      </c>
      <c r="I2600" t="s">
        <v>45</v>
      </c>
      <c r="K2600">
        <v>202506198085852</v>
      </c>
      <c r="M2600">
        <v>20250619</v>
      </c>
      <c r="N2600" t="s">
        <v>3136</v>
      </c>
      <c r="Q2600" t="s">
        <v>170</v>
      </c>
      <c r="R2600">
        <v>30423.34</v>
      </c>
      <c r="S2600">
        <v>0</v>
      </c>
      <c r="T2600">
        <v>1627137</v>
      </c>
      <c r="U2600" t="s">
        <v>2588</v>
      </c>
      <c r="V2600" t="s">
        <v>2589</v>
      </c>
      <c r="W2600" t="s">
        <v>187</v>
      </c>
      <c r="Y2600" t="s">
        <v>51</v>
      </c>
      <c r="Z2600">
        <v>1802</v>
      </c>
      <c r="AH2600">
        <v>0</v>
      </c>
      <c r="AI2600">
        <v>202506</v>
      </c>
      <c r="AJ2600" t="s">
        <v>52</v>
      </c>
      <c r="AK2600">
        <v>0</v>
      </c>
      <c r="AL2600">
        <v>0</v>
      </c>
      <c r="AO2600">
        <v>1</v>
      </c>
      <c r="AP2600" t="s">
        <v>3015</v>
      </c>
      <c r="AQ2600" t="s">
        <v>3044</v>
      </c>
      <c r="AR2600" t="s">
        <v>3045</v>
      </c>
      <c r="AS2600" t="s">
        <v>3046</v>
      </c>
      <c r="AU2600" t="s">
        <v>3046</v>
      </c>
    </row>
    <row r="2601" spans="1:47" x14ac:dyDescent="0.35">
      <c r="A2601">
        <v>360297</v>
      </c>
      <c r="B2601" t="s">
        <v>193</v>
      </c>
      <c r="C2601" t="s">
        <v>194</v>
      </c>
      <c r="D2601" s="2">
        <v>45828</v>
      </c>
      <c r="E2601">
        <v>53850</v>
      </c>
      <c r="F2601">
        <v>116</v>
      </c>
      <c r="G2601" t="s">
        <v>126</v>
      </c>
      <c r="H2601" t="s">
        <v>167</v>
      </c>
      <c r="I2601" t="s">
        <v>45</v>
      </c>
      <c r="K2601">
        <v>202506198085768</v>
      </c>
      <c r="L2601">
        <v>2343300010453</v>
      </c>
      <c r="M2601">
        <v>20250619</v>
      </c>
      <c r="N2601" t="s">
        <v>195</v>
      </c>
      <c r="Q2601" t="s">
        <v>47</v>
      </c>
      <c r="R2601">
        <v>48291.95</v>
      </c>
      <c r="S2601">
        <v>48291.95</v>
      </c>
      <c r="T2601">
        <v>4247777</v>
      </c>
      <c r="U2601">
        <v>233470236</v>
      </c>
      <c r="V2601" t="s">
        <v>206</v>
      </c>
      <c r="W2601" t="s">
        <v>49</v>
      </c>
      <c r="X2601" t="s">
        <v>117</v>
      </c>
      <c r="Y2601" t="s">
        <v>51</v>
      </c>
      <c r="Z2601">
        <v>1696</v>
      </c>
      <c r="AH2601">
        <v>0</v>
      </c>
      <c r="AI2601">
        <v>202506</v>
      </c>
      <c r="AJ2601" t="s">
        <v>86</v>
      </c>
      <c r="AK2601">
        <v>1</v>
      </c>
      <c r="AL2601">
        <v>1</v>
      </c>
      <c r="AM2601">
        <v>4247777</v>
      </c>
      <c r="AN2601">
        <v>1</v>
      </c>
      <c r="AO2601">
        <v>0</v>
      </c>
      <c r="AP2601" t="s">
        <v>3029</v>
      </c>
      <c r="AQ2601" t="s">
        <v>3012</v>
      </c>
      <c r="AR2601" t="s">
        <v>3030</v>
      </c>
      <c r="AS2601" t="s">
        <v>3014</v>
      </c>
      <c r="AU2601" t="s">
        <v>3014</v>
      </c>
    </row>
    <row r="2602" spans="1:47" x14ac:dyDescent="0.35">
      <c r="A2602">
        <v>360296</v>
      </c>
      <c r="B2602" t="s">
        <v>178</v>
      </c>
      <c r="C2602" t="s">
        <v>179</v>
      </c>
      <c r="D2602" s="2">
        <v>45828</v>
      </c>
      <c r="E2602">
        <v>53850</v>
      </c>
      <c r="F2602">
        <v>145</v>
      </c>
      <c r="G2602" t="s">
        <v>115</v>
      </c>
      <c r="H2602" t="s">
        <v>167</v>
      </c>
      <c r="I2602" t="s">
        <v>45</v>
      </c>
      <c r="K2602" t="s">
        <v>2581</v>
      </c>
      <c r="L2602">
        <v>1453300001145</v>
      </c>
      <c r="M2602">
        <v>20250619</v>
      </c>
      <c r="N2602" t="s">
        <v>3136</v>
      </c>
      <c r="Q2602" t="s">
        <v>170</v>
      </c>
      <c r="R2602">
        <v>3864.15</v>
      </c>
      <c r="S2602">
        <v>0</v>
      </c>
      <c r="T2602">
        <v>5170</v>
      </c>
      <c r="U2602" t="s">
        <v>2590</v>
      </c>
      <c r="V2602" t="s">
        <v>2591</v>
      </c>
      <c r="W2602" t="s">
        <v>187</v>
      </c>
      <c r="Y2602" t="s">
        <v>51</v>
      </c>
      <c r="Z2602">
        <v>1222</v>
      </c>
      <c r="AH2602">
        <v>0</v>
      </c>
      <c r="AI2602">
        <v>202506</v>
      </c>
      <c r="AJ2602" t="s">
        <v>86</v>
      </c>
      <c r="AK2602">
        <v>1</v>
      </c>
      <c r="AL2602">
        <v>1</v>
      </c>
      <c r="AO2602">
        <v>1</v>
      </c>
      <c r="AP2602" t="s">
        <v>3015</v>
      </c>
      <c r="AQ2602" t="s">
        <v>3044</v>
      </c>
      <c r="AR2602" t="s">
        <v>3045</v>
      </c>
      <c r="AS2602" t="s">
        <v>3046</v>
      </c>
      <c r="AU2602" t="s">
        <v>3046</v>
      </c>
    </row>
    <row r="2603" spans="1:47" x14ac:dyDescent="0.35">
      <c r="A2603">
        <v>360295</v>
      </c>
      <c r="B2603" t="s">
        <v>178</v>
      </c>
      <c r="C2603" t="s">
        <v>179</v>
      </c>
      <c r="D2603" s="2">
        <v>45828</v>
      </c>
      <c r="E2603">
        <v>53850</v>
      </c>
      <c r="F2603">
        <v>121</v>
      </c>
      <c r="G2603" t="s">
        <v>140</v>
      </c>
      <c r="H2603" t="s">
        <v>167</v>
      </c>
      <c r="I2603" t="s">
        <v>45</v>
      </c>
      <c r="K2603">
        <v>202506198084101</v>
      </c>
      <c r="L2603">
        <v>1213300002600</v>
      </c>
      <c r="M2603">
        <v>20250619</v>
      </c>
      <c r="N2603" t="s">
        <v>236</v>
      </c>
      <c r="P2603" t="s">
        <v>51</v>
      </c>
      <c r="Q2603" t="s">
        <v>170</v>
      </c>
      <c r="R2603">
        <v>1069910.22</v>
      </c>
      <c r="S2603">
        <v>0</v>
      </c>
      <c r="T2603">
        <v>4939345</v>
      </c>
      <c r="U2603">
        <v>5754810728</v>
      </c>
      <c r="V2603" t="s">
        <v>570</v>
      </c>
      <c r="W2603" t="s">
        <v>49</v>
      </c>
      <c r="X2603" t="s">
        <v>117</v>
      </c>
      <c r="Y2603" t="s">
        <v>51</v>
      </c>
      <c r="Z2603">
        <v>1058</v>
      </c>
      <c r="AH2603">
        <v>0</v>
      </c>
      <c r="AI2603">
        <v>202506</v>
      </c>
      <c r="AJ2603" t="s">
        <v>119</v>
      </c>
      <c r="AK2603">
        <v>1</v>
      </c>
      <c r="AL2603">
        <v>1</v>
      </c>
      <c r="AO2603">
        <v>0</v>
      </c>
      <c r="AP2603" t="s">
        <v>3029</v>
      </c>
      <c r="AQ2603" t="s">
        <v>3012</v>
      </c>
      <c r="AR2603" t="s">
        <v>3030</v>
      </c>
      <c r="AS2603" t="s">
        <v>3014</v>
      </c>
      <c r="AU2603" t="s">
        <v>3014</v>
      </c>
    </row>
    <row r="2604" spans="1:47" x14ac:dyDescent="0.35">
      <c r="A2604">
        <v>360294</v>
      </c>
      <c r="B2604" t="s">
        <v>193</v>
      </c>
      <c r="C2604" t="s">
        <v>194</v>
      </c>
      <c r="D2604" s="2">
        <v>45828</v>
      </c>
      <c r="E2604">
        <v>53850</v>
      </c>
      <c r="F2604">
        <v>268</v>
      </c>
      <c r="G2604" t="s">
        <v>83</v>
      </c>
      <c r="H2604" t="s">
        <v>167</v>
      </c>
      <c r="I2604" t="s">
        <v>45</v>
      </c>
      <c r="K2604" t="s">
        <v>2580</v>
      </c>
      <c r="L2604">
        <v>2683300006675</v>
      </c>
      <c r="M2604">
        <v>20250619</v>
      </c>
      <c r="N2604" t="s">
        <v>266</v>
      </c>
      <c r="Q2604" t="s">
        <v>47</v>
      </c>
      <c r="R2604">
        <v>25000</v>
      </c>
      <c r="S2604">
        <v>25000</v>
      </c>
      <c r="T2604">
        <v>1704753</v>
      </c>
      <c r="U2604" t="s">
        <v>2592</v>
      </c>
      <c r="V2604" t="s">
        <v>2593</v>
      </c>
      <c r="W2604" t="s">
        <v>69</v>
      </c>
      <c r="X2604" t="s">
        <v>131</v>
      </c>
      <c r="Y2604" t="s">
        <v>51</v>
      </c>
      <c r="Z2604">
        <v>1870</v>
      </c>
      <c r="AH2604">
        <v>0</v>
      </c>
      <c r="AI2604">
        <v>202506</v>
      </c>
      <c r="AJ2604" t="s">
        <v>86</v>
      </c>
      <c r="AK2604">
        <v>1</v>
      </c>
      <c r="AL2604">
        <v>1</v>
      </c>
      <c r="AM2604">
        <v>1704753</v>
      </c>
      <c r="AN2604">
        <v>1</v>
      </c>
      <c r="AO2604">
        <v>0</v>
      </c>
      <c r="AP2604" t="s">
        <v>3033</v>
      </c>
      <c r="AQ2604" t="s">
        <v>3021</v>
      </c>
      <c r="AR2604" t="s">
        <v>3054</v>
      </c>
      <c r="AS2604" t="s">
        <v>3055</v>
      </c>
      <c r="AU2604" t="s">
        <v>3055</v>
      </c>
    </row>
    <row r="2605" spans="1:47" x14ac:dyDescent="0.35">
      <c r="A2605">
        <v>360293</v>
      </c>
      <c r="B2605" t="s">
        <v>172</v>
      </c>
      <c r="C2605" t="s">
        <v>173</v>
      </c>
      <c r="D2605" s="2">
        <v>45828</v>
      </c>
      <c r="E2605">
        <v>53850</v>
      </c>
      <c r="F2605">
        <v>103</v>
      </c>
      <c r="G2605" t="s">
        <v>80</v>
      </c>
      <c r="H2605" t="s">
        <v>167</v>
      </c>
      <c r="I2605" t="s">
        <v>45</v>
      </c>
      <c r="K2605">
        <v>202506198085897</v>
      </c>
      <c r="L2605">
        <v>1033300184830</v>
      </c>
      <c r="M2605">
        <v>20250619</v>
      </c>
      <c r="N2605" t="s">
        <v>231</v>
      </c>
      <c r="Q2605" t="s">
        <v>47</v>
      </c>
      <c r="R2605">
        <v>102817.51</v>
      </c>
      <c r="S2605">
        <v>0</v>
      </c>
      <c r="T2605">
        <v>18483</v>
      </c>
      <c r="U2605" t="s">
        <v>2594</v>
      </c>
      <c r="V2605" t="s">
        <v>2595</v>
      </c>
      <c r="W2605" t="s">
        <v>187</v>
      </c>
      <c r="Y2605" t="s">
        <v>51</v>
      </c>
      <c r="Z2605">
        <v>806</v>
      </c>
      <c r="AH2605">
        <v>0</v>
      </c>
      <c r="AI2605">
        <v>202506</v>
      </c>
      <c r="AJ2605" t="s">
        <v>86</v>
      </c>
      <c r="AK2605">
        <v>1</v>
      </c>
      <c r="AL2605">
        <v>1</v>
      </c>
      <c r="AO2605">
        <v>0</v>
      </c>
      <c r="AP2605" t="s">
        <v>3015</v>
      </c>
      <c r="AQ2605" t="s">
        <v>3044</v>
      </c>
      <c r="AR2605" t="s">
        <v>3045</v>
      </c>
      <c r="AS2605" t="s">
        <v>3046</v>
      </c>
      <c r="AU2605" t="s">
        <v>3046</v>
      </c>
    </row>
    <row r="2606" spans="1:47" x14ac:dyDescent="0.35">
      <c r="A2606">
        <v>360292</v>
      </c>
      <c r="B2606" t="s">
        <v>178</v>
      </c>
      <c r="C2606" t="s">
        <v>179</v>
      </c>
      <c r="D2606" s="2">
        <v>45828</v>
      </c>
      <c r="E2606">
        <v>53850</v>
      </c>
      <c r="F2606">
        <v>282</v>
      </c>
      <c r="G2606" t="s">
        <v>433</v>
      </c>
      <c r="H2606" t="s">
        <v>167</v>
      </c>
      <c r="I2606" t="s">
        <v>45</v>
      </c>
      <c r="K2606">
        <v>202506198085851</v>
      </c>
      <c r="L2606">
        <v>2823300002468</v>
      </c>
      <c r="M2606">
        <v>20250619</v>
      </c>
      <c r="N2606" t="s">
        <v>3136</v>
      </c>
      <c r="Q2606" t="s">
        <v>170</v>
      </c>
      <c r="R2606">
        <v>30423.34</v>
      </c>
      <c r="S2606">
        <v>0</v>
      </c>
      <c r="T2606">
        <v>1627137</v>
      </c>
      <c r="U2606" t="s">
        <v>2588</v>
      </c>
      <c r="V2606" t="s">
        <v>2589</v>
      </c>
      <c r="W2606" t="s">
        <v>187</v>
      </c>
      <c r="Y2606" t="s">
        <v>51</v>
      </c>
      <c r="Z2606">
        <v>1802</v>
      </c>
      <c r="AH2606">
        <v>0</v>
      </c>
      <c r="AI2606">
        <v>202506</v>
      </c>
      <c r="AJ2606" t="s">
        <v>52</v>
      </c>
      <c r="AK2606">
        <v>0</v>
      </c>
      <c r="AL2606">
        <v>1</v>
      </c>
      <c r="AO2606">
        <v>1</v>
      </c>
      <c r="AP2606" t="s">
        <v>3015</v>
      </c>
      <c r="AQ2606" t="s">
        <v>3044</v>
      </c>
      <c r="AR2606" t="s">
        <v>3045</v>
      </c>
      <c r="AS2606" t="s">
        <v>3046</v>
      </c>
      <c r="AU2606" t="s">
        <v>3046</v>
      </c>
    </row>
    <row r="2607" spans="1:47" x14ac:dyDescent="0.35">
      <c r="A2607">
        <v>360291</v>
      </c>
      <c r="B2607" t="s">
        <v>193</v>
      </c>
      <c r="C2607" t="s">
        <v>194</v>
      </c>
      <c r="D2607" s="2">
        <v>45828</v>
      </c>
      <c r="E2607">
        <v>53850</v>
      </c>
      <c r="F2607">
        <v>175</v>
      </c>
      <c r="G2607" t="s">
        <v>99</v>
      </c>
      <c r="H2607" t="s">
        <v>167</v>
      </c>
      <c r="I2607" t="s">
        <v>45</v>
      </c>
      <c r="K2607" t="s">
        <v>2580</v>
      </c>
      <c r="L2607">
        <v>1753302203127</v>
      </c>
      <c r="M2607">
        <v>20250619</v>
      </c>
      <c r="N2607" t="s">
        <v>175</v>
      </c>
      <c r="Q2607" t="s">
        <v>47</v>
      </c>
      <c r="R2607">
        <v>110629.17</v>
      </c>
      <c r="S2607">
        <v>100650</v>
      </c>
      <c r="T2607">
        <v>4160138</v>
      </c>
      <c r="U2607">
        <v>484200779</v>
      </c>
      <c r="V2607" t="s">
        <v>100</v>
      </c>
      <c r="W2607" t="s">
        <v>49</v>
      </c>
      <c r="X2607" t="s">
        <v>101</v>
      </c>
      <c r="Y2607" t="s">
        <v>51</v>
      </c>
      <c r="Z2607">
        <v>739</v>
      </c>
      <c r="AH2607">
        <v>0</v>
      </c>
      <c r="AI2607">
        <v>202506</v>
      </c>
      <c r="AJ2607" t="s">
        <v>86</v>
      </c>
      <c r="AK2607">
        <v>1</v>
      </c>
      <c r="AL2607">
        <v>1</v>
      </c>
      <c r="AM2607">
        <v>4160138</v>
      </c>
      <c r="AN2607">
        <v>1</v>
      </c>
      <c r="AO2607">
        <v>1</v>
      </c>
      <c r="AP2607" t="s">
        <v>3015</v>
      </c>
      <c r="AQ2607" t="s">
        <v>3012</v>
      </c>
      <c r="AR2607" t="s">
        <v>3016</v>
      </c>
      <c r="AT2607" t="s">
        <v>3017</v>
      </c>
      <c r="AU2607" t="s">
        <v>3018</v>
      </c>
    </row>
    <row r="2608" spans="1:47" x14ac:dyDescent="0.35">
      <c r="A2608">
        <v>360290</v>
      </c>
      <c r="B2608" t="s">
        <v>172</v>
      </c>
      <c r="C2608" t="s">
        <v>173</v>
      </c>
      <c r="D2608" s="2">
        <v>45828</v>
      </c>
      <c r="E2608">
        <v>53850</v>
      </c>
      <c r="F2608">
        <v>175</v>
      </c>
      <c r="G2608" t="s">
        <v>99</v>
      </c>
      <c r="H2608" t="s">
        <v>167</v>
      </c>
      <c r="I2608" t="s">
        <v>45</v>
      </c>
      <c r="K2608" t="s">
        <v>2580</v>
      </c>
      <c r="L2608">
        <v>1753302203127</v>
      </c>
      <c r="M2608">
        <v>20250619</v>
      </c>
      <c r="N2608" t="s">
        <v>175</v>
      </c>
      <c r="Q2608" t="s">
        <v>47</v>
      </c>
      <c r="R2608">
        <v>110629.17</v>
      </c>
      <c r="S2608">
        <v>100650</v>
      </c>
      <c r="T2608">
        <v>4160138</v>
      </c>
      <c r="U2608">
        <v>484200779</v>
      </c>
      <c r="V2608" t="s">
        <v>100</v>
      </c>
      <c r="W2608" t="s">
        <v>49</v>
      </c>
      <c r="X2608" t="s">
        <v>101</v>
      </c>
      <c r="Y2608" t="s">
        <v>51</v>
      </c>
      <c r="Z2608">
        <v>739</v>
      </c>
      <c r="AH2608">
        <v>0</v>
      </c>
      <c r="AI2608">
        <v>202506</v>
      </c>
      <c r="AJ2608" t="s">
        <v>86</v>
      </c>
      <c r="AK2608">
        <v>1</v>
      </c>
      <c r="AL2608">
        <v>1</v>
      </c>
      <c r="AM2608">
        <v>4160138</v>
      </c>
      <c r="AN2608">
        <v>1</v>
      </c>
      <c r="AO2608">
        <v>1</v>
      </c>
      <c r="AP2608" t="s">
        <v>3015</v>
      </c>
      <c r="AQ2608" t="s">
        <v>3012</v>
      </c>
      <c r="AR2608" t="s">
        <v>3016</v>
      </c>
      <c r="AT2608" t="s">
        <v>3017</v>
      </c>
      <c r="AU2608" t="s">
        <v>3018</v>
      </c>
    </row>
    <row r="2609" spans="1:47" x14ac:dyDescent="0.35">
      <c r="A2609">
        <v>360289</v>
      </c>
      <c r="B2609" t="s">
        <v>214</v>
      </c>
      <c r="C2609" t="s">
        <v>215</v>
      </c>
      <c r="D2609" s="2">
        <v>45828</v>
      </c>
      <c r="E2609">
        <v>53850</v>
      </c>
      <c r="F2609">
        <v>110</v>
      </c>
      <c r="G2609" t="s">
        <v>230</v>
      </c>
      <c r="H2609" t="s">
        <v>167</v>
      </c>
      <c r="I2609" t="s">
        <v>45</v>
      </c>
      <c r="K2609">
        <v>202506198085268</v>
      </c>
      <c r="L2609">
        <v>1103306288240</v>
      </c>
      <c r="M2609">
        <v>20250619</v>
      </c>
      <c r="N2609" t="s">
        <v>168</v>
      </c>
      <c r="P2609" t="s">
        <v>752</v>
      </c>
      <c r="Q2609" t="s">
        <v>47</v>
      </c>
      <c r="R2609">
        <v>103567.01</v>
      </c>
      <c r="S2609">
        <v>0</v>
      </c>
      <c r="T2609">
        <v>4960705</v>
      </c>
      <c r="U2609">
        <v>8520490726</v>
      </c>
      <c r="V2609" t="s">
        <v>753</v>
      </c>
      <c r="W2609" t="s">
        <v>49</v>
      </c>
      <c r="X2609" t="s">
        <v>110</v>
      </c>
      <c r="Y2609" t="s">
        <v>51</v>
      </c>
      <c r="Z2609">
        <v>1696</v>
      </c>
      <c r="AH2609">
        <v>0</v>
      </c>
      <c r="AI2609">
        <v>202506</v>
      </c>
      <c r="AJ2609" t="s">
        <v>86</v>
      </c>
      <c r="AK2609">
        <v>1</v>
      </c>
      <c r="AL2609">
        <v>1</v>
      </c>
      <c r="AO2609">
        <v>0</v>
      </c>
      <c r="AP2609" t="s">
        <v>3026</v>
      </c>
      <c r="AQ2609" t="s">
        <v>3012</v>
      </c>
      <c r="AR2609" t="s">
        <v>3027</v>
      </c>
      <c r="AS2609" t="s">
        <v>3028</v>
      </c>
      <c r="AU2609" t="s">
        <v>3028</v>
      </c>
    </row>
    <row r="2610" spans="1:47" x14ac:dyDescent="0.35">
      <c r="A2610">
        <v>360288</v>
      </c>
      <c r="B2610" t="s">
        <v>172</v>
      </c>
      <c r="C2610" t="s">
        <v>173</v>
      </c>
      <c r="D2610" s="2">
        <v>45828</v>
      </c>
      <c r="E2610">
        <v>53850</v>
      </c>
      <c r="F2610">
        <v>171</v>
      </c>
      <c r="G2610" t="s">
        <v>198</v>
      </c>
      <c r="H2610" t="s">
        <v>167</v>
      </c>
      <c r="I2610" t="s">
        <v>45</v>
      </c>
      <c r="K2610" t="s">
        <v>2580</v>
      </c>
      <c r="L2610">
        <v>1713302214147</v>
      </c>
      <c r="M2610">
        <v>20250619</v>
      </c>
      <c r="N2610" t="s">
        <v>195</v>
      </c>
      <c r="Q2610" t="s">
        <v>47</v>
      </c>
      <c r="R2610">
        <v>145850</v>
      </c>
      <c r="S2610">
        <v>145850</v>
      </c>
      <c r="T2610">
        <v>4199319</v>
      </c>
      <c r="U2610">
        <v>6037810725</v>
      </c>
      <c r="V2610" t="s">
        <v>1144</v>
      </c>
      <c r="W2610" t="s">
        <v>49</v>
      </c>
      <c r="X2610" t="s">
        <v>200</v>
      </c>
      <c r="Y2610" t="s">
        <v>51</v>
      </c>
      <c r="Z2610">
        <v>1903</v>
      </c>
      <c r="AH2610">
        <v>0</v>
      </c>
      <c r="AI2610">
        <v>202506</v>
      </c>
      <c r="AJ2610" t="s">
        <v>86</v>
      </c>
      <c r="AK2610">
        <v>1</v>
      </c>
      <c r="AL2610">
        <v>1</v>
      </c>
      <c r="AM2610">
        <v>4199319</v>
      </c>
      <c r="AN2610">
        <v>1</v>
      </c>
      <c r="AO2610">
        <v>0</v>
      </c>
      <c r="AP2610" t="s">
        <v>3015</v>
      </c>
      <c r="AQ2610" t="s">
        <v>3012</v>
      </c>
      <c r="AR2610" t="s">
        <v>3016</v>
      </c>
      <c r="AT2610" t="s">
        <v>3017</v>
      </c>
      <c r="AU2610" t="s">
        <v>3018</v>
      </c>
    </row>
    <row r="2611" spans="1:47" x14ac:dyDescent="0.35">
      <c r="A2611">
        <v>360287</v>
      </c>
      <c r="B2611" t="s">
        <v>214</v>
      </c>
      <c r="C2611" t="s">
        <v>215</v>
      </c>
      <c r="D2611" s="2">
        <v>45828</v>
      </c>
      <c r="E2611">
        <v>53850</v>
      </c>
      <c r="F2611">
        <v>137</v>
      </c>
      <c r="G2611" t="s">
        <v>166</v>
      </c>
      <c r="H2611" t="s">
        <v>167</v>
      </c>
      <c r="I2611" t="s">
        <v>45</v>
      </c>
      <c r="K2611">
        <v>202506198085272</v>
      </c>
      <c r="L2611">
        <v>1371204172627</v>
      </c>
      <c r="M2611">
        <v>20250619</v>
      </c>
      <c r="N2611" t="s">
        <v>168</v>
      </c>
      <c r="P2611" t="s">
        <v>520</v>
      </c>
      <c r="Q2611" t="s">
        <v>170</v>
      </c>
      <c r="R2611">
        <v>53581.85</v>
      </c>
      <c r="S2611">
        <v>0</v>
      </c>
      <c r="T2611">
        <v>4172627</v>
      </c>
      <c r="U2611">
        <v>820790707</v>
      </c>
      <c r="V2611" t="s">
        <v>2244</v>
      </c>
      <c r="W2611" t="s">
        <v>49</v>
      </c>
      <c r="X2611" t="s">
        <v>110</v>
      </c>
      <c r="Y2611" t="s">
        <v>51</v>
      </c>
      <c r="Z2611">
        <v>1856</v>
      </c>
      <c r="AH2611">
        <v>0</v>
      </c>
      <c r="AI2611">
        <v>202506</v>
      </c>
      <c r="AJ2611" t="s">
        <v>86</v>
      </c>
      <c r="AK2611">
        <v>1</v>
      </c>
      <c r="AL2611">
        <v>1</v>
      </c>
      <c r="AO2611">
        <v>0</v>
      </c>
      <c r="AP2611" t="s">
        <v>3026</v>
      </c>
      <c r="AQ2611" t="s">
        <v>3012</v>
      </c>
      <c r="AR2611" t="s">
        <v>3027</v>
      </c>
      <c r="AS2611" t="s">
        <v>3028</v>
      </c>
      <c r="AU2611" t="s">
        <v>3028</v>
      </c>
    </row>
    <row r="2612" spans="1:47" x14ac:dyDescent="0.35">
      <c r="A2612">
        <v>360286</v>
      </c>
      <c r="B2612" t="s">
        <v>178</v>
      </c>
      <c r="C2612" t="s">
        <v>179</v>
      </c>
      <c r="D2612" s="2">
        <v>45828</v>
      </c>
      <c r="E2612">
        <v>53850</v>
      </c>
      <c r="F2612">
        <v>122</v>
      </c>
      <c r="G2612" t="s">
        <v>43</v>
      </c>
      <c r="H2612" t="s">
        <v>167</v>
      </c>
      <c r="I2612" t="s">
        <v>45</v>
      </c>
      <c r="K2612">
        <v>202506198084762</v>
      </c>
      <c r="L2612">
        <v>1223300001682</v>
      </c>
      <c r="M2612">
        <v>20250619</v>
      </c>
      <c r="N2612" t="s">
        <v>46</v>
      </c>
      <c r="P2612" t="s">
        <v>51</v>
      </c>
      <c r="Q2612" t="s">
        <v>47</v>
      </c>
      <c r="R2612">
        <v>888195.89</v>
      </c>
      <c r="S2612">
        <v>0</v>
      </c>
      <c r="T2612">
        <v>3711207</v>
      </c>
      <c r="U2612">
        <v>8825020723</v>
      </c>
      <c r="V2612" t="s">
        <v>48</v>
      </c>
      <c r="W2612" t="s">
        <v>49</v>
      </c>
      <c r="X2612" t="s">
        <v>50</v>
      </c>
      <c r="Y2612" t="s">
        <v>51</v>
      </c>
      <c r="Z2612">
        <v>1696</v>
      </c>
      <c r="AH2612">
        <v>0</v>
      </c>
      <c r="AI2612">
        <v>202506</v>
      </c>
      <c r="AJ2612" t="s">
        <v>86</v>
      </c>
      <c r="AK2612">
        <v>1</v>
      </c>
      <c r="AL2612">
        <v>1</v>
      </c>
      <c r="AO2612">
        <v>0</v>
      </c>
      <c r="AP2612" t="s">
        <v>3011</v>
      </c>
      <c r="AQ2612" t="s">
        <v>3012</v>
      </c>
      <c r="AR2612" t="s">
        <v>3013</v>
      </c>
      <c r="AS2612" t="s">
        <v>3014</v>
      </c>
      <c r="AU2612" t="s">
        <v>3014</v>
      </c>
    </row>
    <row r="2613" spans="1:47" x14ac:dyDescent="0.35">
      <c r="A2613">
        <v>360285</v>
      </c>
      <c r="B2613" t="s">
        <v>193</v>
      </c>
      <c r="C2613" t="s">
        <v>194</v>
      </c>
      <c r="D2613" s="2">
        <v>45828</v>
      </c>
      <c r="E2613">
        <v>53850</v>
      </c>
      <c r="F2613">
        <v>102</v>
      </c>
      <c r="G2613" t="s">
        <v>151</v>
      </c>
      <c r="H2613" t="s">
        <v>167</v>
      </c>
      <c r="I2613" t="s">
        <v>45</v>
      </c>
      <c r="K2613">
        <v>202506198085573</v>
      </c>
      <c r="L2613">
        <v>1183306279201</v>
      </c>
      <c r="M2613">
        <v>20250619</v>
      </c>
      <c r="N2613" t="s">
        <v>195</v>
      </c>
      <c r="Q2613" t="s">
        <v>47</v>
      </c>
      <c r="R2613">
        <v>35020</v>
      </c>
      <c r="S2613">
        <v>35020</v>
      </c>
      <c r="T2613">
        <v>4875916</v>
      </c>
      <c r="U2613">
        <v>7972250729</v>
      </c>
      <c r="V2613" t="s">
        <v>2596</v>
      </c>
      <c r="W2613" t="s">
        <v>49</v>
      </c>
      <c r="X2613" t="s">
        <v>397</v>
      </c>
      <c r="Y2613" t="s">
        <v>51</v>
      </c>
      <c r="Z2613">
        <v>979</v>
      </c>
      <c r="AH2613">
        <v>0</v>
      </c>
      <c r="AI2613">
        <v>202506</v>
      </c>
      <c r="AJ2613" t="s">
        <v>86</v>
      </c>
      <c r="AK2613">
        <v>1</v>
      </c>
      <c r="AL2613">
        <v>1</v>
      </c>
      <c r="AM2613">
        <v>4875916</v>
      </c>
      <c r="AN2613">
        <v>1</v>
      </c>
      <c r="AO2613">
        <v>0</v>
      </c>
      <c r="AP2613" t="s">
        <v>3015</v>
      </c>
      <c r="AQ2613" t="s">
        <v>3012</v>
      </c>
      <c r="AR2613" t="s">
        <v>3016</v>
      </c>
      <c r="AT2613" t="s">
        <v>3017</v>
      </c>
      <c r="AU2613" t="s">
        <v>3018</v>
      </c>
    </row>
    <row r="2614" spans="1:47" x14ac:dyDescent="0.35">
      <c r="A2614">
        <v>360284</v>
      </c>
      <c r="B2614" t="s">
        <v>214</v>
      </c>
      <c r="C2614" t="s">
        <v>215</v>
      </c>
      <c r="D2614" s="2">
        <v>45828</v>
      </c>
      <c r="E2614">
        <v>53850</v>
      </c>
      <c r="F2614">
        <v>137</v>
      </c>
      <c r="G2614" t="s">
        <v>166</v>
      </c>
      <c r="H2614" t="s">
        <v>167</v>
      </c>
      <c r="I2614" t="s">
        <v>45</v>
      </c>
      <c r="K2614">
        <v>202506198085274</v>
      </c>
      <c r="L2614">
        <v>1371204172627</v>
      </c>
      <c r="M2614">
        <v>20250619</v>
      </c>
      <c r="N2614" t="s">
        <v>168</v>
      </c>
      <c r="P2614" t="s">
        <v>520</v>
      </c>
      <c r="Q2614" t="s">
        <v>170</v>
      </c>
      <c r="R2614">
        <v>90567.13</v>
      </c>
      <c r="S2614">
        <v>0</v>
      </c>
      <c r="T2614">
        <v>4172627</v>
      </c>
      <c r="U2614">
        <v>820790707</v>
      </c>
      <c r="V2614" t="s">
        <v>2244</v>
      </c>
      <c r="W2614" t="s">
        <v>49</v>
      </c>
      <c r="X2614" t="s">
        <v>110</v>
      </c>
      <c r="Y2614" t="s">
        <v>51</v>
      </c>
      <c r="Z2614">
        <v>1856</v>
      </c>
      <c r="AH2614">
        <v>0</v>
      </c>
      <c r="AI2614">
        <v>202506</v>
      </c>
      <c r="AJ2614" t="s">
        <v>86</v>
      </c>
      <c r="AK2614">
        <v>1</v>
      </c>
      <c r="AL2614">
        <v>1</v>
      </c>
      <c r="AO2614">
        <v>0</v>
      </c>
      <c r="AP2614" t="s">
        <v>3026</v>
      </c>
      <c r="AQ2614" t="s">
        <v>3012</v>
      </c>
      <c r="AR2614" t="s">
        <v>3027</v>
      </c>
      <c r="AS2614" t="s">
        <v>3028</v>
      </c>
      <c r="AU2614" t="s">
        <v>3028</v>
      </c>
    </row>
    <row r="2615" spans="1:47" x14ac:dyDescent="0.35">
      <c r="A2615">
        <v>360283</v>
      </c>
      <c r="B2615" t="s">
        <v>193</v>
      </c>
      <c r="C2615" t="s">
        <v>194</v>
      </c>
      <c r="D2615" s="2">
        <v>45828</v>
      </c>
      <c r="E2615">
        <v>53850</v>
      </c>
      <c r="F2615">
        <v>188</v>
      </c>
      <c r="G2615" t="s">
        <v>419</v>
      </c>
      <c r="H2615" t="s">
        <v>167</v>
      </c>
      <c r="I2615" t="s">
        <v>45</v>
      </c>
      <c r="K2615">
        <v>202506198085720</v>
      </c>
      <c r="L2615">
        <v>1873300111215</v>
      </c>
      <c r="M2615">
        <v>20250619</v>
      </c>
      <c r="N2615" t="s">
        <v>195</v>
      </c>
      <c r="Q2615" t="s">
        <v>47</v>
      </c>
      <c r="R2615">
        <v>18150</v>
      </c>
      <c r="S2615">
        <v>18150</v>
      </c>
      <c r="T2615">
        <v>4951886</v>
      </c>
      <c r="U2615" t="s">
        <v>2597</v>
      </c>
      <c r="V2615" t="s">
        <v>2598</v>
      </c>
      <c r="W2615" t="s">
        <v>187</v>
      </c>
      <c r="Y2615" t="s">
        <v>51</v>
      </c>
      <c r="AH2615">
        <v>0</v>
      </c>
      <c r="AI2615">
        <v>202506</v>
      </c>
      <c r="AJ2615" t="s">
        <v>86</v>
      </c>
      <c r="AK2615">
        <v>1</v>
      </c>
      <c r="AL2615">
        <v>1</v>
      </c>
      <c r="AO2615">
        <v>0</v>
      </c>
      <c r="AP2615" t="s">
        <v>3015</v>
      </c>
      <c r="AQ2615" t="s">
        <v>3044</v>
      </c>
      <c r="AR2615" t="s">
        <v>3045</v>
      </c>
      <c r="AS2615" t="s">
        <v>3046</v>
      </c>
      <c r="AU2615" t="s">
        <v>3046</v>
      </c>
    </row>
    <row r="2616" spans="1:47" x14ac:dyDescent="0.35">
      <c r="A2616">
        <v>360282</v>
      </c>
      <c r="B2616" t="s">
        <v>193</v>
      </c>
      <c r="C2616" t="s">
        <v>194</v>
      </c>
      <c r="D2616" s="2">
        <v>45828</v>
      </c>
      <c r="E2616">
        <v>53850</v>
      </c>
      <c r="F2616">
        <v>273</v>
      </c>
      <c r="G2616" t="s">
        <v>133</v>
      </c>
      <c r="H2616" t="s">
        <v>167</v>
      </c>
      <c r="I2616" t="s">
        <v>45</v>
      </c>
      <c r="K2616" t="s">
        <v>2580</v>
      </c>
      <c r="L2616">
        <v>2733300001040</v>
      </c>
      <c r="M2616">
        <v>20250619</v>
      </c>
      <c r="N2616" t="s">
        <v>195</v>
      </c>
      <c r="Q2616" t="s">
        <v>47</v>
      </c>
      <c r="R2616">
        <v>35670</v>
      </c>
      <c r="S2616">
        <v>35670</v>
      </c>
      <c r="T2616">
        <v>1615776</v>
      </c>
      <c r="U2616" t="s">
        <v>384</v>
      </c>
      <c r="V2616" t="s">
        <v>385</v>
      </c>
      <c r="W2616" t="s">
        <v>69</v>
      </c>
      <c r="X2616" t="s">
        <v>55</v>
      </c>
      <c r="Y2616" t="s">
        <v>51</v>
      </c>
      <c r="Z2616">
        <v>1765</v>
      </c>
      <c r="AH2616">
        <v>0</v>
      </c>
      <c r="AI2616">
        <v>202506</v>
      </c>
      <c r="AJ2616" t="s">
        <v>119</v>
      </c>
      <c r="AK2616">
        <v>1</v>
      </c>
      <c r="AL2616">
        <v>1</v>
      </c>
      <c r="AM2616">
        <v>1615776</v>
      </c>
      <c r="AN2616">
        <v>1</v>
      </c>
      <c r="AO2616">
        <v>0</v>
      </c>
      <c r="AP2616" t="s">
        <v>3015</v>
      </c>
      <c r="AQ2616" t="s">
        <v>3021</v>
      </c>
      <c r="AR2616" t="s">
        <v>3022</v>
      </c>
      <c r="AT2616" t="s">
        <v>3017</v>
      </c>
      <c r="AU2616" t="s">
        <v>3014</v>
      </c>
    </row>
    <row r="2617" spans="1:47" x14ac:dyDescent="0.35">
      <c r="A2617">
        <v>360281</v>
      </c>
      <c r="B2617" t="s">
        <v>178</v>
      </c>
      <c r="C2617" t="s">
        <v>179</v>
      </c>
      <c r="D2617" s="2">
        <v>45828</v>
      </c>
      <c r="E2617">
        <v>53850</v>
      </c>
      <c r="F2617">
        <v>187</v>
      </c>
      <c r="G2617" t="s">
        <v>251</v>
      </c>
      <c r="H2617" t="s">
        <v>167</v>
      </c>
      <c r="I2617" t="s">
        <v>45</v>
      </c>
      <c r="K2617">
        <v>202506198084382</v>
      </c>
      <c r="L2617">
        <v>1873300106975</v>
      </c>
      <c r="M2617">
        <v>20250619</v>
      </c>
      <c r="N2617" t="s">
        <v>46</v>
      </c>
      <c r="P2617" t="s">
        <v>51</v>
      </c>
      <c r="Q2617" t="s">
        <v>47</v>
      </c>
      <c r="R2617">
        <v>220000</v>
      </c>
      <c r="S2617">
        <v>0</v>
      </c>
      <c r="T2617">
        <v>4487788</v>
      </c>
      <c r="U2617" t="s">
        <v>2599</v>
      </c>
      <c r="V2617" t="s">
        <v>2600</v>
      </c>
      <c r="W2617" t="s">
        <v>187</v>
      </c>
      <c r="Y2617" t="s">
        <v>51</v>
      </c>
      <c r="Z2617">
        <v>1162</v>
      </c>
      <c r="AH2617">
        <v>0</v>
      </c>
      <c r="AI2617">
        <v>202506</v>
      </c>
      <c r="AJ2617" t="s">
        <v>86</v>
      </c>
      <c r="AK2617">
        <v>1</v>
      </c>
      <c r="AL2617">
        <v>1</v>
      </c>
      <c r="AO2617">
        <v>0</v>
      </c>
      <c r="AP2617" t="s">
        <v>3015</v>
      </c>
      <c r="AQ2617" t="s">
        <v>3044</v>
      </c>
      <c r="AR2617" t="s">
        <v>3045</v>
      </c>
      <c r="AS2617" t="s">
        <v>3046</v>
      </c>
      <c r="AU2617" t="s">
        <v>3046</v>
      </c>
    </row>
    <row r="2618" spans="1:47" x14ac:dyDescent="0.35">
      <c r="A2618">
        <v>360280</v>
      </c>
      <c r="B2618" t="s">
        <v>164</v>
      </c>
      <c r="C2618" t="s">
        <v>165</v>
      </c>
      <c r="D2618" s="2">
        <v>45828</v>
      </c>
      <c r="E2618">
        <v>53850</v>
      </c>
      <c r="F2618">
        <v>134</v>
      </c>
      <c r="G2618" t="s">
        <v>804</v>
      </c>
      <c r="H2618" t="s">
        <v>167</v>
      </c>
      <c r="I2618" t="s">
        <v>45</v>
      </c>
      <c r="K2618" t="s">
        <v>2601</v>
      </c>
      <c r="L2618">
        <v>1303300000237</v>
      </c>
      <c r="M2618">
        <v>20250619</v>
      </c>
      <c r="N2618" t="s">
        <v>168</v>
      </c>
      <c r="P2618" t="s">
        <v>255</v>
      </c>
      <c r="Q2618" t="s">
        <v>47</v>
      </c>
      <c r="R2618">
        <v>4000</v>
      </c>
      <c r="S2618">
        <v>0</v>
      </c>
      <c r="T2618">
        <v>4005541</v>
      </c>
      <c r="U2618" t="s">
        <v>806</v>
      </c>
      <c r="V2618" t="s">
        <v>807</v>
      </c>
      <c r="W2618" t="s">
        <v>187</v>
      </c>
      <c r="Y2618" t="s">
        <v>51</v>
      </c>
      <c r="Z2618">
        <v>1659</v>
      </c>
      <c r="AH2618">
        <v>0</v>
      </c>
      <c r="AI2618">
        <v>202506</v>
      </c>
      <c r="AJ2618" t="s">
        <v>119</v>
      </c>
      <c r="AK2618">
        <v>1</v>
      </c>
      <c r="AL2618">
        <v>1</v>
      </c>
      <c r="AO2618">
        <v>0</v>
      </c>
      <c r="AP2618" t="s">
        <v>3015</v>
      </c>
      <c r="AQ2618" t="s">
        <v>3044</v>
      </c>
      <c r="AR2618" t="s">
        <v>3045</v>
      </c>
      <c r="AS2618" t="s">
        <v>3046</v>
      </c>
      <c r="AU2618" t="s">
        <v>3046</v>
      </c>
    </row>
    <row r="2619" spans="1:47" x14ac:dyDescent="0.35">
      <c r="A2619">
        <v>360279</v>
      </c>
      <c r="B2619" t="s">
        <v>193</v>
      </c>
      <c r="C2619" t="s">
        <v>194</v>
      </c>
      <c r="D2619" s="2">
        <v>45828</v>
      </c>
      <c r="E2619">
        <v>53850</v>
      </c>
      <c r="F2619">
        <v>284</v>
      </c>
      <c r="G2619" t="s">
        <v>184</v>
      </c>
      <c r="H2619" t="s">
        <v>167</v>
      </c>
      <c r="I2619" t="s">
        <v>45</v>
      </c>
      <c r="K2619" t="s">
        <v>2580</v>
      </c>
      <c r="L2619">
        <v>2843300001336</v>
      </c>
      <c r="M2619">
        <v>20250619</v>
      </c>
      <c r="N2619" t="s">
        <v>175</v>
      </c>
      <c r="Q2619" t="s">
        <v>47</v>
      </c>
      <c r="R2619">
        <v>78211.259999999995</v>
      </c>
      <c r="S2619">
        <v>75000</v>
      </c>
      <c r="T2619">
        <v>1684901</v>
      </c>
      <c r="U2619">
        <v>2403010693</v>
      </c>
      <c r="V2619" t="s">
        <v>557</v>
      </c>
      <c r="W2619" t="s">
        <v>49</v>
      </c>
      <c r="X2619" t="s">
        <v>299</v>
      </c>
      <c r="Y2619" t="s">
        <v>51</v>
      </c>
      <c r="Z2619">
        <v>1767</v>
      </c>
      <c r="AH2619">
        <v>0</v>
      </c>
      <c r="AI2619">
        <v>202506</v>
      </c>
      <c r="AJ2619" t="s">
        <v>56</v>
      </c>
      <c r="AK2619">
        <v>0</v>
      </c>
      <c r="AL2619">
        <v>1</v>
      </c>
      <c r="AO2619">
        <v>1</v>
      </c>
      <c r="AP2619" t="s">
        <v>3015</v>
      </c>
      <c r="AQ2619" t="s">
        <v>3012</v>
      </c>
      <c r="AR2619" t="s">
        <v>3016</v>
      </c>
      <c r="AT2619" t="s">
        <v>3017</v>
      </c>
      <c r="AU2619" t="s">
        <v>3018</v>
      </c>
    </row>
    <row r="2620" spans="1:47" x14ac:dyDescent="0.35">
      <c r="A2620">
        <v>360278</v>
      </c>
      <c r="B2620" t="s">
        <v>193</v>
      </c>
      <c r="C2620" t="s">
        <v>194</v>
      </c>
      <c r="D2620" s="2">
        <v>45828</v>
      </c>
      <c r="E2620">
        <v>53850</v>
      </c>
      <c r="F2620">
        <v>188</v>
      </c>
      <c r="G2620" t="s">
        <v>419</v>
      </c>
      <c r="H2620" t="s">
        <v>167</v>
      </c>
      <c r="I2620" t="s">
        <v>45</v>
      </c>
      <c r="K2620">
        <v>202506198085720</v>
      </c>
      <c r="L2620">
        <v>1873300111215</v>
      </c>
      <c r="M2620">
        <v>20250619</v>
      </c>
      <c r="N2620" t="s">
        <v>195</v>
      </c>
      <c r="Q2620" t="s">
        <v>47</v>
      </c>
      <c r="R2620">
        <v>18150</v>
      </c>
      <c r="S2620">
        <v>18150</v>
      </c>
      <c r="T2620">
        <v>3733944</v>
      </c>
      <c r="U2620" t="s">
        <v>2602</v>
      </c>
      <c r="V2620" t="s">
        <v>2603</v>
      </c>
      <c r="W2620" t="s">
        <v>187</v>
      </c>
      <c r="Y2620" t="s">
        <v>51</v>
      </c>
      <c r="AH2620">
        <v>0</v>
      </c>
      <c r="AI2620">
        <v>202506</v>
      </c>
      <c r="AJ2620" t="s">
        <v>86</v>
      </c>
      <c r="AK2620">
        <v>1</v>
      </c>
      <c r="AL2620">
        <v>1</v>
      </c>
      <c r="AO2620">
        <v>0</v>
      </c>
      <c r="AP2620" t="s">
        <v>3015</v>
      </c>
      <c r="AQ2620" t="s">
        <v>3044</v>
      </c>
      <c r="AR2620" t="s">
        <v>3045</v>
      </c>
      <c r="AS2620" t="s">
        <v>3046</v>
      </c>
      <c r="AU2620" t="s">
        <v>3046</v>
      </c>
    </row>
    <row r="2621" spans="1:47" x14ac:dyDescent="0.35">
      <c r="A2621">
        <v>360277</v>
      </c>
      <c r="B2621" t="s">
        <v>178</v>
      </c>
      <c r="C2621" t="s">
        <v>179</v>
      </c>
      <c r="D2621" s="2">
        <v>45828</v>
      </c>
      <c r="E2621">
        <v>53850</v>
      </c>
      <c r="F2621">
        <v>282</v>
      </c>
      <c r="G2621" t="s">
        <v>433</v>
      </c>
      <c r="H2621" t="s">
        <v>167</v>
      </c>
      <c r="I2621" t="s">
        <v>45</v>
      </c>
      <c r="K2621">
        <v>202506198085851</v>
      </c>
      <c r="L2621">
        <v>2823300002468</v>
      </c>
      <c r="M2621">
        <v>20250619</v>
      </c>
      <c r="N2621" t="s">
        <v>3136</v>
      </c>
      <c r="Q2621" t="s">
        <v>170</v>
      </c>
      <c r="R2621">
        <v>30423.34</v>
      </c>
      <c r="S2621">
        <v>0</v>
      </c>
      <c r="T2621">
        <v>1681594</v>
      </c>
      <c r="U2621" t="s">
        <v>2604</v>
      </c>
      <c r="V2621" t="s">
        <v>2605</v>
      </c>
      <c r="W2621" t="s">
        <v>187</v>
      </c>
      <c r="Y2621" t="s">
        <v>51</v>
      </c>
      <c r="Z2621">
        <v>1802</v>
      </c>
      <c r="AH2621">
        <v>0</v>
      </c>
      <c r="AI2621">
        <v>202506</v>
      </c>
      <c r="AJ2621" t="s">
        <v>52</v>
      </c>
      <c r="AK2621">
        <v>0</v>
      </c>
      <c r="AL2621">
        <v>1</v>
      </c>
      <c r="AO2621">
        <v>1</v>
      </c>
      <c r="AP2621" t="s">
        <v>3015</v>
      </c>
      <c r="AQ2621" t="s">
        <v>3044</v>
      </c>
      <c r="AR2621" t="s">
        <v>3045</v>
      </c>
      <c r="AS2621" t="s">
        <v>3046</v>
      </c>
      <c r="AU2621" t="s">
        <v>3046</v>
      </c>
    </row>
    <row r="2622" spans="1:47" x14ac:dyDescent="0.35">
      <c r="A2622">
        <v>360276</v>
      </c>
      <c r="B2622" t="s">
        <v>178</v>
      </c>
      <c r="C2622" t="s">
        <v>179</v>
      </c>
      <c r="D2622" s="2">
        <v>45828</v>
      </c>
      <c r="E2622">
        <v>53850</v>
      </c>
      <c r="F2622">
        <v>174</v>
      </c>
      <c r="G2622" t="s">
        <v>224</v>
      </c>
      <c r="H2622" t="s">
        <v>167</v>
      </c>
      <c r="I2622" t="s">
        <v>45</v>
      </c>
      <c r="K2622">
        <v>202506198086111</v>
      </c>
      <c r="L2622">
        <v>1743302881057</v>
      </c>
      <c r="M2622">
        <v>20250619</v>
      </c>
      <c r="N2622" t="s">
        <v>3136</v>
      </c>
      <c r="Q2622" t="s">
        <v>170</v>
      </c>
      <c r="R2622">
        <v>13074.56</v>
      </c>
      <c r="S2622">
        <v>0</v>
      </c>
      <c r="T2622">
        <v>610011</v>
      </c>
      <c r="U2622" t="s">
        <v>2606</v>
      </c>
      <c r="V2622" t="s">
        <v>2607</v>
      </c>
      <c r="W2622" t="s">
        <v>69</v>
      </c>
      <c r="X2622" t="s">
        <v>131</v>
      </c>
      <c r="Y2622" t="s">
        <v>51</v>
      </c>
      <c r="Z2622">
        <v>720</v>
      </c>
      <c r="AH2622">
        <v>0</v>
      </c>
      <c r="AI2622">
        <v>202506</v>
      </c>
      <c r="AJ2622" t="s">
        <v>86</v>
      </c>
      <c r="AK2622">
        <v>1</v>
      </c>
      <c r="AL2622">
        <v>1</v>
      </c>
      <c r="AO2622">
        <v>1</v>
      </c>
      <c r="AP2622" t="s">
        <v>3033</v>
      </c>
      <c r="AQ2622" t="s">
        <v>3021</v>
      </c>
      <c r="AR2622" t="s">
        <v>3054</v>
      </c>
      <c r="AS2622" t="s">
        <v>3055</v>
      </c>
      <c r="AU2622" t="s">
        <v>3055</v>
      </c>
    </row>
    <row r="2623" spans="1:47" x14ac:dyDescent="0.35">
      <c r="A2623">
        <v>360275</v>
      </c>
      <c r="B2623" t="s">
        <v>333</v>
      </c>
      <c r="C2623" t="s">
        <v>334</v>
      </c>
      <c r="D2623" s="2">
        <v>45828</v>
      </c>
      <c r="E2623">
        <v>53850</v>
      </c>
      <c r="F2623">
        <v>99</v>
      </c>
      <c r="G2623" t="s">
        <v>335</v>
      </c>
      <c r="H2623" t="s">
        <v>167</v>
      </c>
      <c r="I2623" t="s">
        <v>45</v>
      </c>
      <c r="K2623">
        <v>202506198085852</v>
      </c>
      <c r="M2623">
        <v>20250619</v>
      </c>
      <c r="N2623" t="s">
        <v>3136</v>
      </c>
      <c r="Q2623" t="s">
        <v>170</v>
      </c>
      <c r="R2623">
        <v>30423.34</v>
      </c>
      <c r="S2623">
        <v>0</v>
      </c>
      <c r="T2623">
        <v>1681594</v>
      </c>
      <c r="U2623" t="s">
        <v>2604</v>
      </c>
      <c r="V2623" t="s">
        <v>2605</v>
      </c>
      <c r="W2623" t="s">
        <v>187</v>
      </c>
      <c r="Y2623" t="s">
        <v>51</v>
      </c>
      <c r="Z2623">
        <v>1802</v>
      </c>
      <c r="AH2623">
        <v>0</v>
      </c>
      <c r="AI2623">
        <v>202506</v>
      </c>
      <c r="AJ2623" t="s">
        <v>52</v>
      </c>
      <c r="AK2623">
        <v>0</v>
      </c>
      <c r="AL2623">
        <v>0</v>
      </c>
      <c r="AO2623">
        <v>1</v>
      </c>
      <c r="AP2623" t="s">
        <v>3015</v>
      </c>
      <c r="AQ2623" t="s">
        <v>3044</v>
      </c>
      <c r="AR2623" t="s">
        <v>3045</v>
      </c>
      <c r="AS2623" t="s">
        <v>3046</v>
      </c>
      <c r="AU2623" t="s">
        <v>3046</v>
      </c>
    </row>
    <row r="2624" spans="1:47" x14ac:dyDescent="0.35">
      <c r="A2624">
        <v>360274</v>
      </c>
      <c r="B2624" t="s">
        <v>193</v>
      </c>
      <c r="C2624" t="s">
        <v>194</v>
      </c>
      <c r="D2624" s="2">
        <v>45828</v>
      </c>
      <c r="E2624">
        <v>53850</v>
      </c>
      <c r="F2624">
        <v>102</v>
      </c>
      <c r="G2624" t="s">
        <v>151</v>
      </c>
      <c r="H2624" t="s">
        <v>167</v>
      </c>
      <c r="I2624" t="s">
        <v>45</v>
      </c>
      <c r="K2624">
        <v>202506198085503</v>
      </c>
      <c r="L2624">
        <v>1023308722503</v>
      </c>
      <c r="M2624">
        <v>20250619</v>
      </c>
      <c r="N2624" t="s">
        <v>195</v>
      </c>
      <c r="Q2624" t="s">
        <v>47</v>
      </c>
      <c r="R2624">
        <v>33150</v>
      </c>
      <c r="S2624">
        <v>33150</v>
      </c>
      <c r="T2624">
        <v>413650</v>
      </c>
      <c r="U2624">
        <v>3657230722</v>
      </c>
      <c r="V2624" t="s">
        <v>196</v>
      </c>
      <c r="W2624" t="s">
        <v>190</v>
      </c>
      <c r="X2624" t="s">
        <v>197</v>
      </c>
      <c r="Y2624" t="s">
        <v>51</v>
      </c>
      <c r="Z2624">
        <v>1306</v>
      </c>
      <c r="AH2624">
        <v>0</v>
      </c>
      <c r="AI2624">
        <v>202506</v>
      </c>
      <c r="AJ2624" t="s">
        <v>119</v>
      </c>
      <c r="AK2624">
        <v>1</v>
      </c>
      <c r="AL2624">
        <v>1</v>
      </c>
      <c r="AM2624">
        <v>413650</v>
      </c>
      <c r="AN2624">
        <v>1</v>
      </c>
      <c r="AO2624">
        <v>0</v>
      </c>
      <c r="AP2624" t="s">
        <v>3050</v>
      </c>
      <c r="AQ2624" t="s">
        <v>3047</v>
      </c>
      <c r="AR2624" t="s">
        <v>3051</v>
      </c>
      <c r="AS2624" t="s">
        <v>3049</v>
      </c>
      <c r="AU2624" t="s">
        <v>3049</v>
      </c>
    </row>
    <row r="2625" spans="1:47" x14ac:dyDescent="0.35">
      <c r="A2625">
        <v>360273</v>
      </c>
      <c r="B2625" t="s">
        <v>178</v>
      </c>
      <c r="C2625" t="s">
        <v>179</v>
      </c>
      <c r="D2625" s="2">
        <v>45828</v>
      </c>
      <c r="E2625">
        <v>53850</v>
      </c>
      <c r="F2625">
        <v>102</v>
      </c>
      <c r="G2625" t="s">
        <v>151</v>
      </c>
      <c r="H2625" t="s">
        <v>167</v>
      </c>
      <c r="I2625" t="s">
        <v>45</v>
      </c>
      <c r="K2625">
        <v>202506198085865</v>
      </c>
      <c r="L2625">
        <v>1023308724399</v>
      </c>
      <c r="M2625">
        <v>20250619</v>
      </c>
      <c r="N2625" t="s">
        <v>1002</v>
      </c>
      <c r="Q2625" t="s">
        <v>47</v>
      </c>
      <c r="R2625">
        <v>200000</v>
      </c>
      <c r="S2625">
        <v>0</v>
      </c>
      <c r="T2625">
        <v>116692</v>
      </c>
      <c r="U2625" t="s">
        <v>2608</v>
      </c>
      <c r="V2625" t="s">
        <v>2609</v>
      </c>
      <c r="W2625" t="s">
        <v>187</v>
      </c>
      <c r="Y2625" t="s">
        <v>51</v>
      </c>
      <c r="Z2625">
        <v>1335</v>
      </c>
      <c r="AH2625">
        <v>0</v>
      </c>
      <c r="AI2625">
        <v>202506</v>
      </c>
      <c r="AJ2625" t="s">
        <v>56</v>
      </c>
      <c r="AK2625">
        <v>0</v>
      </c>
      <c r="AL2625">
        <v>1</v>
      </c>
      <c r="AO2625">
        <v>0</v>
      </c>
      <c r="AP2625" t="s">
        <v>3015</v>
      </c>
      <c r="AQ2625" t="s">
        <v>3044</v>
      </c>
      <c r="AR2625" t="s">
        <v>3045</v>
      </c>
      <c r="AS2625" t="s">
        <v>3046</v>
      </c>
      <c r="AU2625" t="s">
        <v>3046</v>
      </c>
    </row>
    <row r="2626" spans="1:47" x14ac:dyDescent="0.35">
      <c r="A2626">
        <v>360272</v>
      </c>
      <c r="B2626" t="s">
        <v>193</v>
      </c>
      <c r="C2626" t="s">
        <v>194</v>
      </c>
      <c r="D2626" s="2">
        <v>45828</v>
      </c>
      <c r="E2626">
        <v>53850</v>
      </c>
      <c r="F2626">
        <v>171</v>
      </c>
      <c r="G2626" t="s">
        <v>198</v>
      </c>
      <c r="H2626" t="s">
        <v>167</v>
      </c>
      <c r="I2626" t="s">
        <v>45</v>
      </c>
      <c r="K2626" t="s">
        <v>2580</v>
      </c>
      <c r="L2626">
        <v>1713302214147</v>
      </c>
      <c r="M2626">
        <v>20250619</v>
      </c>
      <c r="N2626" t="s">
        <v>195</v>
      </c>
      <c r="Q2626" t="s">
        <v>47</v>
      </c>
      <c r="R2626">
        <v>145850</v>
      </c>
      <c r="S2626">
        <v>145850</v>
      </c>
      <c r="T2626">
        <v>4199319</v>
      </c>
      <c r="U2626">
        <v>6037810725</v>
      </c>
      <c r="V2626" t="s">
        <v>1144</v>
      </c>
      <c r="W2626" t="s">
        <v>49</v>
      </c>
      <c r="X2626" t="s">
        <v>200</v>
      </c>
      <c r="Y2626" t="s">
        <v>51</v>
      </c>
      <c r="Z2626">
        <v>1903</v>
      </c>
      <c r="AH2626">
        <v>0</v>
      </c>
      <c r="AI2626">
        <v>202506</v>
      </c>
      <c r="AJ2626" t="s">
        <v>86</v>
      </c>
      <c r="AK2626">
        <v>1</v>
      </c>
      <c r="AL2626">
        <v>1</v>
      </c>
      <c r="AM2626">
        <v>4199319</v>
      </c>
      <c r="AN2626">
        <v>1</v>
      </c>
      <c r="AO2626">
        <v>0</v>
      </c>
      <c r="AP2626" t="s">
        <v>3015</v>
      </c>
      <c r="AQ2626" t="s">
        <v>3012</v>
      </c>
      <c r="AR2626" t="s">
        <v>3016</v>
      </c>
      <c r="AT2626" t="s">
        <v>3017</v>
      </c>
      <c r="AU2626" t="s">
        <v>3018</v>
      </c>
    </row>
    <row r="2627" spans="1:47" x14ac:dyDescent="0.35">
      <c r="A2627">
        <v>360271</v>
      </c>
      <c r="B2627" t="s">
        <v>178</v>
      </c>
      <c r="C2627" t="s">
        <v>179</v>
      </c>
      <c r="D2627" s="2">
        <v>45827</v>
      </c>
      <c r="E2627">
        <v>53850</v>
      </c>
      <c r="F2627">
        <v>120</v>
      </c>
      <c r="G2627" t="s">
        <v>411</v>
      </c>
      <c r="H2627" t="s">
        <v>167</v>
      </c>
      <c r="I2627" t="s">
        <v>45</v>
      </c>
      <c r="K2627">
        <v>202506188082748</v>
      </c>
      <c r="L2627">
        <v>1203300002958</v>
      </c>
      <c r="M2627">
        <v>20250618</v>
      </c>
      <c r="N2627" t="s">
        <v>659</v>
      </c>
      <c r="Q2627" t="s">
        <v>170</v>
      </c>
      <c r="R2627">
        <v>789550.6</v>
      </c>
      <c r="S2627">
        <v>0</v>
      </c>
      <c r="T2627">
        <v>4589937</v>
      </c>
      <c r="U2627">
        <v>503900771</v>
      </c>
      <c r="V2627" t="s">
        <v>2242</v>
      </c>
      <c r="W2627" t="s">
        <v>49</v>
      </c>
      <c r="X2627" t="s">
        <v>135</v>
      </c>
      <c r="Y2627" t="s">
        <v>51</v>
      </c>
      <c r="Z2627">
        <v>1058</v>
      </c>
      <c r="AH2627">
        <v>0</v>
      </c>
      <c r="AI2627">
        <v>202506</v>
      </c>
      <c r="AJ2627" t="s">
        <v>86</v>
      </c>
      <c r="AK2627">
        <v>1</v>
      </c>
      <c r="AL2627">
        <v>1</v>
      </c>
      <c r="AO2627">
        <v>0</v>
      </c>
      <c r="AP2627" t="s">
        <v>3015</v>
      </c>
      <c r="AQ2627" t="s">
        <v>3012</v>
      </c>
      <c r="AR2627" t="s">
        <v>3016</v>
      </c>
      <c r="AT2627" t="s">
        <v>3017</v>
      </c>
      <c r="AU2627" t="s">
        <v>3018</v>
      </c>
    </row>
    <row r="2628" spans="1:47" x14ac:dyDescent="0.35">
      <c r="A2628">
        <v>360270</v>
      </c>
      <c r="B2628" t="s">
        <v>172</v>
      </c>
      <c r="C2628" t="s">
        <v>173</v>
      </c>
      <c r="D2628" s="2">
        <v>45827</v>
      </c>
      <c r="E2628">
        <v>53850</v>
      </c>
      <c r="F2628">
        <v>121</v>
      </c>
      <c r="G2628" t="s">
        <v>140</v>
      </c>
      <c r="H2628" t="s">
        <v>167</v>
      </c>
      <c r="I2628" t="s">
        <v>45</v>
      </c>
      <c r="K2628">
        <v>202506188083420</v>
      </c>
      <c r="L2628">
        <v>1213300003619</v>
      </c>
      <c r="M2628">
        <v>20250618</v>
      </c>
      <c r="N2628" t="s">
        <v>81</v>
      </c>
      <c r="Q2628" t="s">
        <v>47</v>
      </c>
      <c r="R2628">
        <v>90000</v>
      </c>
      <c r="S2628">
        <v>0</v>
      </c>
      <c r="T2628">
        <v>3745843</v>
      </c>
      <c r="U2628" t="s">
        <v>2610</v>
      </c>
      <c r="V2628" t="s">
        <v>2611</v>
      </c>
      <c r="W2628" t="s">
        <v>69</v>
      </c>
      <c r="X2628" t="s">
        <v>234</v>
      </c>
      <c r="Y2628" t="s">
        <v>51</v>
      </c>
      <c r="Z2628">
        <v>928</v>
      </c>
      <c r="AH2628">
        <v>0</v>
      </c>
      <c r="AI2628">
        <v>202506</v>
      </c>
      <c r="AJ2628" t="s">
        <v>86</v>
      </c>
      <c r="AK2628">
        <v>1</v>
      </c>
      <c r="AL2628">
        <v>1</v>
      </c>
      <c r="AO2628">
        <v>0</v>
      </c>
      <c r="AP2628" t="s">
        <v>3015</v>
      </c>
      <c r="AQ2628" t="s">
        <v>3021</v>
      </c>
      <c r="AR2628" t="s">
        <v>3022</v>
      </c>
      <c r="AT2628" t="s">
        <v>3017</v>
      </c>
      <c r="AU2628" t="s">
        <v>3014</v>
      </c>
    </row>
    <row r="2629" spans="1:47" x14ac:dyDescent="0.35">
      <c r="A2629">
        <v>360269</v>
      </c>
      <c r="B2629" t="s">
        <v>756</v>
      </c>
      <c r="C2629" t="s">
        <v>757</v>
      </c>
      <c r="D2629" s="2">
        <v>45827</v>
      </c>
      <c r="E2629">
        <v>53850</v>
      </c>
      <c r="F2629">
        <v>102</v>
      </c>
      <c r="G2629" t="s">
        <v>151</v>
      </c>
      <c r="H2629" t="s">
        <v>167</v>
      </c>
      <c r="I2629" t="s">
        <v>45</v>
      </c>
      <c r="K2629">
        <v>202506188083279</v>
      </c>
      <c r="L2629">
        <v>1026004012631</v>
      </c>
      <c r="M2629">
        <v>20250618</v>
      </c>
      <c r="N2629" t="s">
        <v>242</v>
      </c>
      <c r="Q2629" t="s">
        <v>170</v>
      </c>
      <c r="R2629">
        <v>125000</v>
      </c>
      <c r="S2629">
        <v>125000</v>
      </c>
      <c r="T2629">
        <v>488085</v>
      </c>
      <c r="U2629" t="s">
        <v>2612</v>
      </c>
      <c r="V2629" t="s">
        <v>2613</v>
      </c>
      <c r="W2629" t="s">
        <v>187</v>
      </c>
      <c r="Y2629" t="s">
        <v>51</v>
      </c>
      <c r="Z2629">
        <v>1431</v>
      </c>
      <c r="AH2629">
        <v>0</v>
      </c>
      <c r="AI2629">
        <v>202506</v>
      </c>
      <c r="AJ2629" t="s">
        <v>56</v>
      </c>
      <c r="AK2629">
        <v>0</v>
      </c>
      <c r="AL2629">
        <v>0</v>
      </c>
      <c r="AM2629">
        <v>488085</v>
      </c>
      <c r="AN2629">
        <v>1</v>
      </c>
      <c r="AO2629">
        <v>0</v>
      </c>
      <c r="AP2629" t="s">
        <v>3015</v>
      </c>
      <c r="AQ2629" t="s">
        <v>3044</v>
      </c>
      <c r="AR2629" t="s">
        <v>3045</v>
      </c>
      <c r="AS2629" t="s">
        <v>3046</v>
      </c>
      <c r="AU2629" t="s">
        <v>3046</v>
      </c>
    </row>
    <row r="2630" spans="1:47" x14ac:dyDescent="0.35">
      <c r="A2630">
        <v>360268</v>
      </c>
      <c r="B2630" t="s">
        <v>178</v>
      </c>
      <c r="C2630" t="s">
        <v>179</v>
      </c>
      <c r="D2630" s="2">
        <v>45827</v>
      </c>
      <c r="E2630">
        <v>53850</v>
      </c>
      <c r="F2630">
        <v>226</v>
      </c>
      <c r="G2630" t="s">
        <v>129</v>
      </c>
      <c r="H2630" t="s">
        <v>167</v>
      </c>
      <c r="I2630" t="s">
        <v>45</v>
      </c>
      <c r="K2630">
        <v>202506188081279</v>
      </c>
      <c r="L2630">
        <v>2263300011992</v>
      </c>
      <c r="M2630">
        <v>20250618</v>
      </c>
      <c r="N2630" t="s">
        <v>46</v>
      </c>
      <c r="P2630" t="s">
        <v>51</v>
      </c>
      <c r="Q2630" t="s">
        <v>47</v>
      </c>
      <c r="R2630">
        <v>165166.66</v>
      </c>
      <c r="S2630">
        <v>0</v>
      </c>
      <c r="T2630">
        <v>4847196</v>
      </c>
      <c r="U2630" t="s">
        <v>1465</v>
      </c>
      <c r="V2630" t="s">
        <v>1466</v>
      </c>
      <c r="W2630" t="s">
        <v>69</v>
      </c>
      <c r="X2630" t="s">
        <v>131</v>
      </c>
      <c r="Y2630" t="s">
        <v>51</v>
      </c>
      <c r="Z2630">
        <v>746</v>
      </c>
      <c r="AH2630">
        <v>0</v>
      </c>
      <c r="AI2630">
        <v>202506</v>
      </c>
      <c r="AJ2630" t="s">
        <v>56</v>
      </c>
      <c r="AK2630">
        <v>0</v>
      </c>
      <c r="AL2630">
        <v>1</v>
      </c>
      <c r="AM2630">
        <v>4847196</v>
      </c>
      <c r="AN2630">
        <v>1</v>
      </c>
      <c r="AO2630">
        <v>0</v>
      </c>
      <c r="AP2630" t="s">
        <v>3033</v>
      </c>
      <c r="AQ2630" t="s">
        <v>3021</v>
      </c>
      <c r="AR2630" t="s">
        <v>3054</v>
      </c>
      <c r="AS2630" t="s">
        <v>3055</v>
      </c>
      <c r="AU2630" t="s">
        <v>3055</v>
      </c>
    </row>
    <row r="2631" spans="1:47" x14ac:dyDescent="0.35">
      <c r="A2631">
        <v>360267</v>
      </c>
      <c r="B2631" t="s">
        <v>756</v>
      </c>
      <c r="C2631" t="s">
        <v>757</v>
      </c>
      <c r="D2631" s="2">
        <v>45827</v>
      </c>
      <c r="E2631">
        <v>53850</v>
      </c>
      <c r="F2631">
        <v>102</v>
      </c>
      <c r="G2631" t="s">
        <v>151</v>
      </c>
      <c r="H2631" t="s">
        <v>167</v>
      </c>
      <c r="I2631" t="s">
        <v>45</v>
      </c>
      <c r="K2631">
        <v>202506188083278</v>
      </c>
      <c r="L2631">
        <v>1026004012630</v>
      </c>
      <c r="M2631">
        <v>20250618</v>
      </c>
      <c r="N2631" t="s">
        <v>242</v>
      </c>
      <c r="Q2631" t="s">
        <v>170</v>
      </c>
      <c r="R2631">
        <v>117000</v>
      </c>
      <c r="S2631">
        <v>117000</v>
      </c>
      <c r="T2631">
        <v>488085</v>
      </c>
      <c r="U2631" t="s">
        <v>2612</v>
      </c>
      <c r="V2631" t="s">
        <v>2613</v>
      </c>
      <c r="W2631" t="s">
        <v>187</v>
      </c>
      <c r="Y2631" t="s">
        <v>51</v>
      </c>
      <c r="Z2631">
        <v>1431</v>
      </c>
      <c r="AH2631">
        <v>0</v>
      </c>
      <c r="AI2631">
        <v>202506</v>
      </c>
      <c r="AJ2631" t="s">
        <v>56</v>
      </c>
      <c r="AK2631">
        <v>0</v>
      </c>
      <c r="AL2631">
        <v>0</v>
      </c>
      <c r="AM2631">
        <v>488085</v>
      </c>
      <c r="AN2631">
        <v>1</v>
      </c>
      <c r="AO2631">
        <v>0</v>
      </c>
      <c r="AP2631" t="s">
        <v>3015</v>
      </c>
      <c r="AQ2631" t="s">
        <v>3044</v>
      </c>
      <c r="AR2631" t="s">
        <v>3045</v>
      </c>
      <c r="AS2631" t="s">
        <v>3046</v>
      </c>
      <c r="AU2631" t="s">
        <v>3046</v>
      </c>
    </row>
    <row r="2632" spans="1:47" x14ac:dyDescent="0.35">
      <c r="A2632">
        <v>360266</v>
      </c>
      <c r="B2632" t="s">
        <v>193</v>
      </c>
      <c r="C2632" t="s">
        <v>194</v>
      </c>
      <c r="D2632" s="2">
        <v>45827</v>
      </c>
      <c r="E2632">
        <v>53850</v>
      </c>
      <c r="F2632">
        <v>170</v>
      </c>
      <c r="G2632" t="s">
        <v>211</v>
      </c>
      <c r="H2632" t="s">
        <v>167</v>
      </c>
      <c r="I2632" t="s">
        <v>45</v>
      </c>
      <c r="K2632" t="s">
        <v>2533</v>
      </c>
      <c r="L2632">
        <v>1703306291169</v>
      </c>
      <c r="M2632">
        <v>20250618</v>
      </c>
      <c r="N2632" t="s">
        <v>175</v>
      </c>
      <c r="Q2632" t="s">
        <v>47</v>
      </c>
      <c r="R2632">
        <v>37350</v>
      </c>
      <c r="S2632">
        <v>36350</v>
      </c>
      <c r="T2632">
        <v>3744312</v>
      </c>
      <c r="U2632" t="s">
        <v>2614</v>
      </c>
      <c r="V2632" t="s">
        <v>2615</v>
      </c>
      <c r="W2632" t="s">
        <v>187</v>
      </c>
      <c r="Y2632" t="s">
        <v>51</v>
      </c>
      <c r="AH2632">
        <v>0</v>
      </c>
      <c r="AI2632">
        <v>202506</v>
      </c>
      <c r="AJ2632" t="s">
        <v>86</v>
      </c>
      <c r="AK2632">
        <v>1</v>
      </c>
      <c r="AL2632">
        <v>1</v>
      </c>
      <c r="AO2632">
        <v>1</v>
      </c>
      <c r="AP2632" t="s">
        <v>3015</v>
      </c>
      <c r="AQ2632" t="s">
        <v>3044</v>
      </c>
      <c r="AR2632" t="s">
        <v>3045</v>
      </c>
      <c r="AS2632" t="s">
        <v>3046</v>
      </c>
      <c r="AU2632" t="s">
        <v>3046</v>
      </c>
    </row>
    <row r="2633" spans="1:47" x14ac:dyDescent="0.35">
      <c r="A2633">
        <v>360265</v>
      </c>
      <c r="B2633" t="s">
        <v>178</v>
      </c>
      <c r="C2633" t="s">
        <v>179</v>
      </c>
      <c r="D2633" s="2">
        <v>45827</v>
      </c>
      <c r="E2633">
        <v>53850</v>
      </c>
      <c r="F2633">
        <v>153</v>
      </c>
      <c r="G2633" t="s">
        <v>63</v>
      </c>
      <c r="H2633" t="s">
        <v>167</v>
      </c>
      <c r="I2633" t="s">
        <v>45</v>
      </c>
      <c r="K2633">
        <v>202506188081647</v>
      </c>
      <c r="L2633">
        <v>1533300663155</v>
      </c>
      <c r="M2633">
        <v>20250618</v>
      </c>
      <c r="N2633" t="s">
        <v>46</v>
      </c>
      <c r="P2633" t="s">
        <v>51</v>
      </c>
      <c r="Q2633" t="s">
        <v>47</v>
      </c>
      <c r="R2633">
        <v>655478.15</v>
      </c>
      <c r="S2633">
        <v>0</v>
      </c>
      <c r="T2633">
        <v>4847459</v>
      </c>
      <c r="U2633">
        <v>12699191008</v>
      </c>
      <c r="V2633" t="s">
        <v>2616</v>
      </c>
      <c r="W2633" t="s">
        <v>49</v>
      </c>
      <c r="X2633" t="s">
        <v>364</v>
      </c>
      <c r="Y2633" t="s">
        <v>51</v>
      </c>
      <c r="Z2633">
        <v>1256</v>
      </c>
      <c r="AH2633">
        <v>0</v>
      </c>
      <c r="AI2633">
        <v>202506</v>
      </c>
      <c r="AJ2633" t="s">
        <v>119</v>
      </c>
      <c r="AK2633">
        <v>1</v>
      </c>
      <c r="AL2633">
        <v>1</v>
      </c>
      <c r="AO2633">
        <v>0</v>
      </c>
      <c r="AP2633" t="s">
        <v>3062</v>
      </c>
      <c r="AQ2633" t="s">
        <v>3012</v>
      </c>
      <c r="AR2633" t="s">
        <v>3063</v>
      </c>
      <c r="AS2633" t="s">
        <v>3014</v>
      </c>
      <c r="AU2633" t="s">
        <v>3014</v>
      </c>
    </row>
    <row r="2634" spans="1:47" x14ac:dyDescent="0.35">
      <c r="A2634">
        <v>360264</v>
      </c>
      <c r="B2634" t="s">
        <v>193</v>
      </c>
      <c r="C2634" t="s">
        <v>194</v>
      </c>
      <c r="D2634" s="2">
        <v>45827</v>
      </c>
      <c r="E2634">
        <v>53850</v>
      </c>
      <c r="F2634">
        <v>154</v>
      </c>
      <c r="G2634" t="s">
        <v>53</v>
      </c>
      <c r="H2634" t="s">
        <v>167</v>
      </c>
      <c r="I2634" t="s">
        <v>45</v>
      </c>
      <c r="K2634" t="s">
        <v>2533</v>
      </c>
      <c r="L2634">
        <v>1543300002125</v>
      </c>
      <c r="M2634">
        <v>20250618</v>
      </c>
      <c r="N2634" t="s">
        <v>195</v>
      </c>
      <c r="Q2634" t="s">
        <v>47</v>
      </c>
      <c r="R2634">
        <v>16550</v>
      </c>
      <c r="S2634">
        <v>16550</v>
      </c>
      <c r="T2634">
        <v>4206100</v>
      </c>
      <c r="U2634">
        <v>4051440651</v>
      </c>
      <c r="V2634" t="s">
        <v>2617</v>
      </c>
      <c r="W2634" t="s">
        <v>190</v>
      </c>
      <c r="X2634" t="s">
        <v>131</v>
      </c>
      <c r="Y2634" t="s">
        <v>51</v>
      </c>
      <c r="Z2634">
        <v>1256</v>
      </c>
      <c r="AH2634">
        <v>0</v>
      </c>
      <c r="AI2634">
        <v>202506</v>
      </c>
      <c r="AJ2634" t="s">
        <v>119</v>
      </c>
      <c r="AK2634">
        <v>1</v>
      </c>
      <c r="AL2634">
        <v>1</v>
      </c>
      <c r="AM2634">
        <v>4206100</v>
      </c>
      <c r="AN2634">
        <v>1</v>
      </c>
      <c r="AO2634">
        <v>0</v>
      </c>
      <c r="AP2634" t="s">
        <v>3033</v>
      </c>
      <c r="AQ2634" t="s">
        <v>3047</v>
      </c>
      <c r="AR2634" t="s">
        <v>3048</v>
      </c>
      <c r="AS2634" t="s">
        <v>3049</v>
      </c>
      <c r="AU2634" t="s">
        <v>3049</v>
      </c>
    </row>
    <row r="2635" spans="1:47" x14ac:dyDescent="0.35">
      <c r="A2635">
        <v>360263</v>
      </c>
      <c r="B2635" t="s">
        <v>193</v>
      </c>
      <c r="C2635" t="s">
        <v>194</v>
      </c>
      <c r="D2635" s="2">
        <v>45827</v>
      </c>
      <c r="E2635">
        <v>53850</v>
      </c>
      <c r="F2635">
        <v>114</v>
      </c>
      <c r="G2635" t="s">
        <v>188</v>
      </c>
      <c r="H2635" t="s">
        <v>167</v>
      </c>
      <c r="I2635" t="s">
        <v>45</v>
      </c>
      <c r="K2635">
        <v>202506188083401</v>
      </c>
      <c r="L2635">
        <v>1143306280621</v>
      </c>
      <c r="M2635">
        <v>20250618</v>
      </c>
      <c r="N2635" t="s">
        <v>266</v>
      </c>
      <c r="Q2635" t="s">
        <v>47</v>
      </c>
      <c r="R2635">
        <v>46800</v>
      </c>
      <c r="S2635">
        <v>46800</v>
      </c>
      <c r="T2635">
        <v>4658875</v>
      </c>
      <c r="U2635">
        <v>3230890711</v>
      </c>
      <c r="V2635" t="s">
        <v>1363</v>
      </c>
      <c r="W2635" t="s">
        <v>49</v>
      </c>
      <c r="X2635" t="s">
        <v>131</v>
      </c>
      <c r="Y2635" t="s">
        <v>51</v>
      </c>
      <c r="Z2635">
        <v>870</v>
      </c>
      <c r="AH2635">
        <v>0</v>
      </c>
      <c r="AI2635">
        <v>202506</v>
      </c>
      <c r="AJ2635" t="s">
        <v>56</v>
      </c>
      <c r="AK2635">
        <v>0</v>
      </c>
      <c r="AL2635">
        <v>1</v>
      </c>
      <c r="AM2635">
        <v>4658875</v>
      </c>
      <c r="AN2635">
        <v>1</v>
      </c>
      <c r="AO2635">
        <v>0</v>
      </c>
      <c r="AP2635" t="s">
        <v>3033</v>
      </c>
      <c r="AQ2635" t="s">
        <v>3012</v>
      </c>
      <c r="AR2635" t="s">
        <v>3034</v>
      </c>
      <c r="AS2635" t="s">
        <v>3014</v>
      </c>
      <c r="AU2635" t="s">
        <v>3014</v>
      </c>
    </row>
    <row r="2636" spans="1:47" x14ac:dyDescent="0.35">
      <c r="A2636">
        <v>360262</v>
      </c>
      <c r="B2636" t="s">
        <v>178</v>
      </c>
      <c r="C2636" t="s">
        <v>179</v>
      </c>
      <c r="D2636" s="2">
        <v>45827</v>
      </c>
      <c r="E2636">
        <v>53850</v>
      </c>
      <c r="F2636">
        <v>120</v>
      </c>
      <c r="G2636" t="s">
        <v>411</v>
      </c>
      <c r="H2636" t="s">
        <v>167</v>
      </c>
      <c r="I2636" t="s">
        <v>45</v>
      </c>
      <c r="K2636">
        <v>202506188082674</v>
      </c>
      <c r="L2636">
        <v>1203300004162</v>
      </c>
      <c r="M2636">
        <v>20250618</v>
      </c>
      <c r="N2636" t="s">
        <v>659</v>
      </c>
      <c r="Q2636" t="s">
        <v>170</v>
      </c>
      <c r="R2636">
        <v>828630.56</v>
      </c>
      <c r="S2636">
        <v>0</v>
      </c>
      <c r="T2636">
        <v>3740500</v>
      </c>
      <c r="U2636">
        <v>337000947</v>
      </c>
      <c r="V2636" t="s">
        <v>2618</v>
      </c>
      <c r="W2636" t="s">
        <v>49</v>
      </c>
      <c r="X2636" t="s">
        <v>2619</v>
      </c>
      <c r="Y2636" t="s">
        <v>51</v>
      </c>
      <c r="Z2636">
        <v>1058</v>
      </c>
      <c r="AH2636">
        <v>0</v>
      </c>
      <c r="AI2636">
        <v>202506</v>
      </c>
      <c r="AJ2636" t="s">
        <v>86</v>
      </c>
      <c r="AK2636">
        <v>1</v>
      </c>
      <c r="AL2636">
        <v>1</v>
      </c>
      <c r="AO2636">
        <v>0</v>
      </c>
      <c r="AP2636" t="s">
        <v>3015</v>
      </c>
      <c r="AQ2636" t="s">
        <v>3012</v>
      </c>
      <c r="AR2636" t="s">
        <v>3016</v>
      </c>
      <c r="AT2636" t="s">
        <v>3017</v>
      </c>
      <c r="AU2636" t="s">
        <v>3018</v>
      </c>
    </row>
    <row r="2637" spans="1:47" x14ac:dyDescent="0.35">
      <c r="A2637">
        <v>360261</v>
      </c>
      <c r="B2637" t="s">
        <v>178</v>
      </c>
      <c r="C2637" t="s">
        <v>179</v>
      </c>
      <c r="D2637" s="2">
        <v>45827</v>
      </c>
      <c r="E2637">
        <v>53850</v>
      </c>
      <c r="F2637">
        <v>109</v>
      </c>
      <c r="G2637" t="s">
        <v>89</v>
      </c>
      <c r="H2637" t="s">
        <v>167</v>
      </c>
      <c r="I2637" t="s">
        <v>45</v>
      </c>
      <c r="K2637">
        <v>202506188083380</v>
      </c>
      <c r="L2637">
        <v>1093304728910</v>
      </c>
      <c r="M2637">
        <v>20250618</v>
      </c>
      <c r="N2637" t="s">
        <v>344</v>
      </c>
      <c r="Q2637" t="s">
        <v>170</v>
      </c>
      <c r="R2637">
        <v>258000</v>
      </c>
      <c r="S2637">
        <v>0</v>
      </c>
      <c r="T2637">
        <v>472891</v>
      </c>
      <c r="U2637" t="s">
        <v>1392</v>
      </c>
      <c r="V2637" t="s">
        <v>1393</v>
      </c>
      <c r="W2637" t="s">
        <v>187</v>
      </c>
      <c r="Y2637" t="s">
        <v>51</v>
      </c>
      <c r="Z2637">
        <v>778</v>
      </c>
      <c r="AH2637">
        <v>0</v>
      </c>
      <c r="AI2637">
        <v>202506</v>
      </c>
      <c r="AJ2637" t="s">
        <v>86</v>
      </c>
      <c r="AK2637">
        <v>1</v>
      </c>
      <c r="AL2637">
        <v>1</v>
      </c>
      <c r="AO2637">
        <v>0</v>
      </c>
      <c r="AP2637" t="s">
        <v>3015</v>
      </c>
      <c r="AQ2637" t="s">
        <v>3044</v>
      </c>
      <c r="AR2637" t="s">
        <v>3045</v>
      </c>
      <c r="AS2637" t="s">
        <v>3046</v>
      </c>
      <c r="AU2637" t="s">
        <v>3046</v>
      </c>
    </row>
    <row r="2638" spans="1:47" x14ac:dyDescent="0.35">
      <c r="A2638">
        <v>360260</v>
      </c>
      <c r="B2638" t="s">
        <v>178</v>
      </c>
      <c r="C2638" t="s">
        <v>179</v>
      </c>
      <c r="D2638" s="2">
        <v>45827</v>
      </c>
      <c r="E2638">
        <v>53850</v>
      </c>
      <c r="F2638">
        <v>282</v>
      </c>
      <c r="G2638" t="s">
        <v>433</v>
      </c>
      <c r="H2638" t="s">
        <v>167</v>
      </c>
      <c r="I2638" t="s">
        <v>45</v>
      </c>
      <c r="K2638">
        <v>202506188081966</v>
      </c>
      <c r="L2638">
        <v>2823300002829</v>
      </c>
      <c r="M2638">
        <v>20250618</v>
      </c>
      <c r="N2638" t="s">
        <v>46</v>
      </c>
      <c r="P2638" t="s">
        <v>51</v>
      </c>
      <c r="Q2638" t="s">
        <v>47</v>
      </c>
      <c r="R2638">
        <v>169337.73</v>
      </c>
      <c r="S2638">
        <v>0</v>
      </c>
      <c r="T2638">
        <v>1625385</v>
      </c>
      <c r="U2638" t="s">
        <v>2481</v>
      </c>
      <c r="V2638" t="s">
        <v>2482</v>
      </c>
      <c r="W2638" t="s">
        <v>69</v>
      </c>
      <c r="X2638" t="s">
        <v>131</v>
      </c>
      <c r="Y2638" t="s">
        <v>51</v>
      </c>
      <c r="Z2638">
        <v>1387</v>
      </c>
      <c r="AH2638">
        <v>0</v>
      </c>
      <c r="AI2638">
        <v>202506</v>
      </c>
      <c r="AJ2638" t="s">
        <v>119</v>
      </c>
      <c r="AK2638">
        <v>1</v>
      </c>
      <c r="AL2638">
        <v>1</v>
      </c>
      <c r="AM2638">
        <v>1625385</v>
      </c>
      <c r="AN2638">
        <v>1</v>
      </c>
      <c r="AO2638">
        <v>0</v>
      </c>
      <c r="AP2638" t="s">
        <v>3033</v>
      </c>
      <c r="AQ2638" t="s">
        <v>3021</v>
      </c>
      <c r="AR2638" t="s">
        <v>3054</v>
      </c>
      <c r="AS2638" t="s">
        <v>3055</v>
      </c>
      <c r="AU2638" t="s">
        <v>3055</v>
      </c>
    </row>
    <row r="2639" spans="1:47" x14ac:dyDescent="0.35">
      <c r="A2639">
        <v>360259</v>
      </c>
      <c r="B2639" t="s">
        <v>193</v>
      </c>
      <c r="C2639" t="s">
        <v>194</v>
      </c>
      <c r="D2639" s="2">
        <v>45827</v>
      </c>
      <c r="E2639">
        <v>53850</v>
      </c>
      <c r="F2639">
        <v>170</v>
      </c>
      <c r="G2639" t="s">
        <v>211</v>
      </c>
      <c r="H2639" t="s">
        <v>167</v>
      </c>
      <c r="I2639" t="s">
        <v>45</v>
      </c>
      <c r="K2639" t="s">
        <v>2533</v>
      </c>
      <c r="L2639">
        <v>1703306291169</v>
      </c>
      <c r="M2639">
        <v>20250618</v>
      </c>
      <c r="N2639" t="s">
        <v>175</v>
      </c>
      <c r="Q2639" t="s">
        <v>47</v>
      </c>
      <c r="R2639">
        <v>37350</v>
      </c>
      <c r="S2639">
        <v>36350</v>
      </c>
      <c r="T2639">
        <v>4882714</v>
      </c>
      <c r="U2639" t="s">
        <v>2620</v>
      </c>
      <c r="V2639" t="s">
        <v>2621</v>
      </c>
      <c r="W2639" t="s">
        <v>187</v>
      </c>
      <c r="Y2639" t="s">
        <v>51</v>
      </c>
      <c r="Z2639">
        <v>1667</v>
      </c>
      <c r="AH2639">
        <v>0</v>
      </c>
      <c r="AI2639">
        <v>202506</v>
      </c>
      <c r="AJ2639" t="s">
        <v>86</v>
      </c>
      <c r="AK2639">
        <v>1</v>
      </c>
      <c r="AL2639">
        <v>1</v>
      </c>
      <c r="AM2639">
        <v>4882714</v>
      </c>
      <c r="AN2639">
        <v>1</v>
      </c>
      <c r="AO2639">
        <v>1</v>
      </c>
      <c r="AP2639" t="s">
        <v>3015</v>
      </c>
      <c r="AQ2639" t="s">
        <v>3044</v>
      </c>
      <c r="AR2639" t="s">
        <v>3045</v>
      </c>
      <c r="AS2639" t="s">
        <v>3046</v>
      </c>
      <c r="AU2639" t="s">
        <v>3046</v>
      </c>
    </row>
    <row r="2640" spans="1:47" x14ac:dyDescent="0.35">
      <c r="A2640">
        <v>360258</v>
      </c>
      <c r="B2640" t="s">
        <v>164</v>
      </c>
      <c r="C2640" t="s">
        <v>165</v>
      </c>
      <c r="D2640" s="2">
        <v>45827</v>
      </c>
      <c r="E2640">
        <v>53850</v>
      </c>
      <c r="F2640">
        <v>102</v>
      </c>
      <c r="G2640" t="s">
        <v>151</v>
      </c>
      <c r="H2640" t="s">
        <v>167</v>
      </c>
      <c r="I2640" t="s">
        <v>45</v>
      </c>
      <c r="K2640">
        <v>202506188082025</v>
      </c>
      <c r="L2640">
        <v>2583300001294</v>
      </c>
      <c r="M2640">
        <v>20250618</v>
      </c>
      <c r="N2640" t="s">
        <v>168</v>
      </c>
      <c r="P2640" t="s">
        <v>2267</v>
      </c>
      <c r="Q2640" t="s">
        <v>47</v>
      </c>
      <c r="R2640">
        <v>28511.85</v>
      </c>
      <c r="S2640">
        <v>0</v>
      </c>
      <c r="T2640">
        <v>4923983</v>
      </c>
      <c r="U2640">
        <v>8254330726</v>
      </c>
      <c r="V2640" t="s">
        <v>2622</v>
      </c>
      <c r="W2640" t="s">
        <v>49</v>
      </c>
      <c r="X2640" t="s">
        <v>257</v>
      </c>
      <c r="Y2640" t="s">
        <v>51</v>
      </c>
      <c r="Z2640">
        <v>1949</v>
      </c>
      <c r="AH2640">
        <v>0</v>
      </c>
      <c r="AI2640">
        <v>202506</v>
      </c>
      <c r="AJ2640" t="s">
        <v>86</v>
      </c>
      <c r="AK2640">
        <v>1</v>
      </c>
      <c r="AL2640">
        <v>1</v>
      </c>
      <c r="AO2640">
        <v>0</v>
      </c>
      <c r="AP2640" t="s">
        <v>3015</v>
      </c>
      <c r="AQ2640" t="s">
        <v>3012</v>
      </c>
      <c r="AR2640" t="s">
        <v>3016</v>
      </c>
      <c r="AT2640" t="s">
        <v>3017</v>
      </c>
      <c r="AU2640" t="s">
        <v>3018</v>
      </c>
    </row>
    <row r="2641" spans="1:47" x14ac:dyDescent="0.35">
      <c r="A2641">
        <v>360257</v>
      </c>
      <c r="B2641" t="s">
        <v>756</v>
      </c>
      <c r="C2641" t="s">
        <v>757</v>
      </c>
      <c r="D2641" s="2">
        <v>45827</v>
      </c>
      <c r="E2641">
        <v>53850</v>
      </c>
      <c r="F2641">
        <v>118</v>
      </c>
      <c r="G2641" t="s">
        <v>254</v>
      </c>
      <c r="H2641" t="s">
        <v>167</v>
      </c>
      <c r="I2641" t="s">
        <v>45</v>
      </c>
      <c r="K2641">
        <v>202506188083283</v>
      </c>
      <c r="L2641">
        <v>1186004012639</v>
      </c>
      <c r="M2641">
        <v>20250618</v>
      </c>
      <c r="N2641" t="s">
        <v>242</v>
      </c>
      <c r="Q2641" t="s">
        <v>170</v>
      </c>
      <c r="R2641">
        <v>145000</v>
      </c>
      <c r="S2641">
        <v>145000</v>
      </c>
      <c r="T2641">
        <v>201632</v>
      </c>
      <c r="U2641" t="s">
        <v>2623</v>
      </c>
      <c r="V2641" t="s">
        <v>2624</v>
      </c>
      <c r="W2641" t="s">
        <v>187</v>
      </c>
      <c r="Y2641" t="s">
        <v>51</v>
      </c>
      <c r="Z2641">
        <v>724</v>
      </c>
      <c r="AH2641">
        <v>0</v>
      </c>
      <c r="AI2641">
        <v>202506</v>
      </c>
      <c r="AL2641">
        <v>0</v>
      </c>
      <c r="AO2641">
        <v>0</v>
      </c>
      <c r="AP2641" t="s">
        <v>3015</v>
      </c>
      <c r="AQ2641" t="s">
        <v>3044</v>
      </c>
      <c r="AR2641" t="s">
        <v>3045</v>
      </c>
      <c r="AS2641" t="s">
        <v>3046</v>
      </c>
      <c r="AU2641" t="s">
        <v>3046</v>
      </c>
    </row>
    <row r="2642" spans="1:47" x14ac:dyDescent="0.35">
      <c r="A2642">
        <v>360256</v>
      </c>
      <c r="B2642" t="s">
        <v>164</v>
      </c>
      <c r="C2642" t="s">
        <v>165</v>
      </c>
      <c r="D2642" s="2">
        <v>45827</v>
      </c>
      <c r="E2642">
        <v>53850</v>
      </c>
      <c r="F2642">
        <v>270</v>
      </c>
      <c r="G2642" t="s">
        <v>524</v>
      </c>
      <c r="H2642" t="s">
        <v>167</v>
      </c>
      <c r="I2642" t="s">
        <v>45</v>
      </c>
      <c r="K2642" t="s">
        <v>2625</v>
      </c>
      <c r="L2642">
        <v>2703300010699</v>
      </c>
      <c r="M2642">
        <v>20250618</v>
      </c>
      <c r="N2642" t="s">
        <v>168</v>
      </c>
      <c r="P2642" t="s">
        <v>255</v>
      </c>
      <c r="Q2642" t="s">
        <v>170</v>
      </c>
      <c r="R2642">
        <v>4000</v>
      </c>
      <c r="S2642">
        <v>0</v>
      </c>
      <c r="T2642">
        <v>3728961</v>
      </c>
      <c r="U2642" t="s">
        <v>2626</v>
      </c>
      <c r="V2642" t="s">
        <v>2627</v>
      </c>
      <c r="W2642" t="s">
        <v>187</v>
      </c>
      <c r="Y2642" t="s">
        <v>51</v>
      </c>
      <c r="Z2642">
        <v>1809</v>
      </c>
      <c r="AH2642">
        <v>0</v>
      </c>
      <c r="AI2642">
        <v>202506</v>
      </c>
      <c r="AJ2642" t="s">
        <v>119</v>
      </c>
      <c r="AK2642">
        <v>1</v>
      </c>
      <c r="AL2642">
        <v>1</v>
      </c>
      <c r="AO2642">
        <v>0</v>
      </c>
      <c r="AP2642" t="s">
        <v>3015</v>
      </c>
      <c r="AQ2642" t="s">
        <v>3044</v>
      </c>
      <c r="AR2642" t="s">
        <v>3045</v>
      </c>
      <c r="AS2642" t="s">
        <v>3046</v>
      </c>
      <c r="AU2642" t="s">
        <v>3046</v>
      </c>
    </row>
    <row r="2643" spans="1:47" x14ac:dyDescent="0.35">
      <c r="A2643">
        <v>360255</v>
      </c>
      <c r="B2643" t="s">
        <v>178</v>
      </c>
      <c r="C2643" t="s">
        <v>179</v>
      </c>
      <c r="D2643" s="2">
        <v>45827</v>
      </c>
      <c r="E2643">
        <v>53850</v>
      </c>
      <c r="F2643">
        <v>109</v>
      </c>
      <c r="G2643" t="s">
        <v>89</v>
      </c>
      <c r="H2643" t="s">
        <v>167</v>
      </c>
      <c r="I2643" t="s">
        <v>45</v>
      </c>
      <c r="K2643">
        <v>202506188083383</v>
      </c>
      <c r="L2643">
        <v>1093306673740</v>
      </c>
      <c r="M2643">
        <v>20250618</v>
      </c>
      <c r="N2643" t="s">
        <v>416</v>
      </c>
      <c r="Q2643" t="s">
        <v>170</v>
      </c>
      <c r="R2643">
        <v>806087.88</v>
      </c>
      <c r="S2643">
        <v>0</v>
      </c>
      <c r="T2643">
        <v>4536482</v>
      </c>
      <c r="U2643">
        <v>268480720</v>
      </c>
      <c r="V2643" t="s">
        <v>158</v>
      </c>
      <c r="W2643" t="s">
        <v>49</v>
      </c>
      <c r="X2643" t="s">
        <v>91</v>
      </c>
      <c r="Y2643" t="s">
        <v>51</v>
      </c>
      <c r="Z2643">
        <v>1919</v>
      </c>
      <c r="AH2643">
        <v>0</v>
      </c>
      <c r="AI2643">
        <v>202506</v>
      </c>
      <c r="AJ2643" t="s">
        <v>86</v>
      </c>
      <c r="AK2643">
        <v>1</v>
      </c>
      <c r="AL2643">
        <v>1</v>
      </c>
      <c r="AO2643">
        <v>0</v>
      </c>
      <c r="AP2643" t="s">
        <v>1100</v>
      </c>
      <c r="AQ2643" t="s">
        <v>3012</v>
      </c>
      <c r="AR2643" t="s">
        <v>3023</v>
      </c>
      <c r="AS2643" t="s">
        <v>3014</v>
      </c>
      <c r="AU2643" t="s">
        <v>3014</v>
      </c>
    </row>
    <row r="2644" spans="1:47" x14ac:dyDescent="0.35">
      <c r="A2644">
        <v>360254</v>
      </c>
      <c r="B2644" t="s">
        <v>164</v>
      </c>
      <c r="C2644" t="s">
        <v>165</v>
      </c>
      <c r="D2644" s="2">
        <v>45827</v>
      </c>
      <c r="E2644">
        <v>53850</v>
      </c>
      <c r="F2644">
        <v>129</v>
      </c>
      <c r="G2644" t="s">
        <v>227</v>
      </c>
      <c r="H2644" t="s">
        <v>167</v>
      </c>
      <c r="I2644" t="s">
        <v>45</v>
      </c>
      <c r="K2644">
        <v>202506188081995</v>
      </c>
      <c r="L2644">
        <v>1293300002811</v>
      </c>
      <c r="M2644">
        <v>20250618</v>
      </c>
      <c r="N2644" t="s">
        <v>168</v>
      </c>
      <c r="P2644" t="s">
        <v>169</v>
      </c>
      <c r="Q2644" t="s">
        <v>47</v>
      </c>
      <c r="R2644">
        <v>39222.199999999997</v>
      </c>
      <c r="S2644">
        <v>0</v>
      </c>
      <c r="T2644">
        <v>4972184</v>
      </c>
      <c r="U2644">
        <v>7780290727</v>
      </c>
      <c r="V2644" t="s">
        <v>720</v>
      </c>
      <c r="W2644" t="s">
        <v>49</v>
      </c>
      <c r="X2644" t="s">
        <v>721</v>
      </c>
      <c r="Y2644" t="s">
        <v>51</v>
      </c>
      <c r="Z2644">
        <v>1058</v>
      </c>
      <c r="AH2644">
        <v>0</v>
      </c>
      <c r="AI2644">
        <v>202506</v>
      </c>
      <c r="AJ2644" t="s">
        <v>86</v>
      </c>
      <c r="AK2644">
        <v>1</v>
      </c>
      <c r="AL2644">
        <v>1</v>
      </c>
      <c r="AO2644">
        <v>0</v>
      </c>
      <c r="AP2644" t="s">
        <v>3015</v>
      </c>
      <c r="AQ2644" t="s">
        <v>3012</v>
      </c>
      <c r="AR2644" t="s">
        <v>3016</v>
      </c>
      <c r="AT2644" t="s">
        <v>3017</v>
      </c>
      <c r="AU2644" t="s">
        <v>3018</v>
      </c>
    </row>
    <row r="2645" spans="1:47" x14ac:dyDescent="0.35">
      <c r="A2645">
        <v>360253</v>
      </c>
      <c r="B2645" t="s">
        <v>193</v>
      </c>
      <c r="C2645" t="s">
        <v>194</v>
      </c>
      <c r="D2645" s="2">
        <v>45827</v>
      </c>
      <c r="E2645">
        <v>53850</v>
      </c>
      <c r="F2645">
        <v>189</v>
      </c>
      <c r="G2645" t="s">
        <v>286</v>
      </c>
      <c r="H2645" t="s">
        <v>167</v>
      </c>
      <c r="I2645" t="s">
        <v>45</v>
      </c>
      <c r="K2645" t="s">
        <v>2533</v>
      </c>
      <c r="L2645">
        <v>1893300023546</v>
      </c>
      <c r="M2645">
        <v>20250618</v>
      </c>
      <c r="N2645" t="s">
        <v>175</v>
      </c>
      <c r="Q2645" t="s">
        <v>47</v>
      </c>
      <c r="R2645">
        <v>59790</v>
      </c>
      <c r="S2645">
        <v>58190</v>
      </c>
      <c r="T2645">
        <v>3064562</v>
      </c>
      <c r="U2645" t="s">
        <v>287</v>
      </c>
      <c r="V2645" t="s">
        <v>288</v>
      </c>
      <c r="W2645" t="s">
        <v>69</v>
      </c>
      <c r="X2645" t="s">
        <v>55</v>
      </c>
      <c r="Y2645" t="s">
        <v>51</v>
      </c>
      <c r="Z2645">
        <v>1620</v>
      </c>
      <c r="AH2645">
        <v>0</v>
      </c>
      <c r="AI2645">
        <v>202506</v>
      </c>
      <c r="AJ2645" t="s">
        <v>56</v>
      </c>
      <c r="AK2645">
        <v>0</v>
      </c>
      <c r="AL2645">
        <v>1</v>
      </c>
      <c r="AM2645">
        <v>3064562</v>
      </c>
      <c r="AN2645">
        <v>1</v>
      </c>
      <c r="AO2645">
        <v>1</v>
      </c>
      <c r="AP2645" t="s">
        <v>3015</v>
      </c>
      <c r="AQ2645" t="s">
        <v>3021</v>
      </c>
      <c r="AR2645" t="s">
        <v>3022</v>
      </c>
      <c r="AT2645" t="s">
        <v>3017</v>
      </c>
      <c r="AU2645" t="s">
        <v>3014</v>
      </c>
    </row>
    <row r="2646" spans="1:47" x14ac:dyDescent="0.35">
      <c r="A2646">
        <v>360252</v>
      </c>
      <c r="B2646" t="s">
        <v>178</v>
      </c>
      <c r="C2646" t="s">
        <v>179</v>
      </c>
      <c r="D2646" s="2">
        <v>45827</v>
      </c>
      <c r="E2646">
        <v>53850</v>
      </c>
      <c r="F2646">
        <v>161</v>
      </c>
      <c r="G2646" t="s">
        <v>111</v>
      </c>
      <c r="H2646" t="s">
        <v>167</v>
      </c>
      <c r="I2646" t="s">
        <v>45</v>
      </c>
      <c r="K2646">
        <v>202506188083491</v>
      </c>
      <c r="L2646">
        <v>1613300029995</v>
      </c>
      <c r="M2646">
        <v>20250618</v>
      </c>
      <c r="N2646" t="s">
        <v>3136</v>
      </c>
      <c r="Q2646" t="s">
        <v>170</v>
      </c>
      <c r="R2646">
        <v>69564.13</v>
      </c>
      <c r="S2646">
        <v>0</v>
      </c>
      <c r="T2646">
        <v>513170</v>
      </c>
      <c r="U2646" t="s">
        <v>2628</v>
      </c>
      <c r="V2646" t="s">
        <v>2629</v>
      </c>
      <c r="W2646" t="s">
        <v>187</v>
      </c>
      <c r="Y2646" t="s">
        <v>51</v>
      </c>
      <c r="Z2646">
        <v>863</v>
      </c>
      <c r="AH2646">
        <v>0</v>
      </c>
      <c r="AI2646">
        <v>202506</v>
      </c>
      <c r="AJ2646" t="s">
        <v>86</v>
      </c>
      <c r="AK2646">
        <v>1</v>
      </c>
      <c r="AL2646">
        <v>1</v>
      </c>
      <c r="AO2646">
        <v>1</v>
      </c>
      <c r="AP2646" t="s">
        <v>3015</v>
      </c>
      <c r="AQ2646" t="s">
        <v>3044</v>
      </c>
      <c r="AR2646" t="s">
        <v>3045</v>
      </c>
      <c r="AS2646" t="s">
        <v>3046</v>
      </c>
      <c r="AU2646" t="s">
        <v>3046</v>
      </c>
    </row>
    <row r="2647" spans="1:47" x14ac:dyDescent="0.35">
      <c r="A2647">
        <v>360251</v>
      </c>
      <c r="B2647" t="s">
        <v>164</v>
      </c>
      <c r="C2647" t="s">
        <v>165</v>
      </c>
      <c r="D2647" s="2">
        <v>45827</v>
      </c>
      <c r="E2647">
        <v>53850</v>
      </c>
      <c r="F2647">
        <v>271</v>
      </c>
      <c r="G2647" t="s">
        <v>275</v>
      </c>
      <c r="H2647" t="s">
        <v>167</v>
      </c>
      <c r="I2647" t="s">
        <v>45</v>
      </c>
      <c r="K2647">
        <v>202506188082049</v>
      </c>
      <c r="L2647">
        <v>2713300010112</v>
      </c>
      <c r="M2647">
        <v>20250618</v>
      </c>
      <c r="N2647" t="s">
        <v>168</v>
      </c>
      <c r="P2647" t="s">
        <v>435</v>
      </c>
      <c r="Q2647" t="s">
        <v>47</v>
      </c>
      <c r="R2647">
        <v>5000</v>
      </c>
      <c r="S2647">
        <v>0</v>
      </c>
      <c r="T2647">
        <v>1611557</v>
      </c>
      <c r="U2647" t="s">
        <v>890</v>
      </c>
      <c r="V2647" t="s">
        <v>891</v>
      </c>
      <c r="W2647" t="s">
        <v>69</v>
      </c>
      <c r="X2647" t="s">
        <v>402</v>
      </c>
      <c r="Y2647" t="s">
        <v>51</v>
      </c>
      <c r="Z2647">
        <v>1850</v>
      </c>
      <c r="AH2647">
        <v>0</v>
      </c>
      <c r="AI2647">
        <v>202506</v>
      </c>
      <c r="AJ2647" t="s">
        <v>52</v>
      </c>
      <c r="AK2647">
        <v>0</v>
      </c>
      <c r="AL2647">
        <v>1</v>
      </c>
      <c r="AO2647">
        <v>0</v>
      </c>
      <c r="AP2647" t="s">
        <v>3015</v>
      </c>
      <c r="AQ2647" t="s">
        <v>3021</v>
      </c>
      <c r="AR2647" t="s">
        <v>3022</v>
      </c>
      <c r="AT2647" t="s">
        <v>3017</v>
      </c>
      <c r="AU2647" t="s">
        <v>3014</v>
      </c>
    </row>
    <row r="2648" spans="1:47" x14ac:dyDescent="0.35">
      <c r="A2648">
        <v>360250</v>
      </c>
      <c r="B2648" t="s">
        <v>214</v>
      </c>
      <c r="C2648" t="s">
        <v>215</v>
      </c>
      <c r="D2648" s="2">
        <v>45827</v>
      </c>
      <c r="E2648">
        <v>53850</v>
      </c>
      <c r="F2648">
        <v>109</v>
      </c>
      <c r="G2648" t="s">
        <v>89</v>
      </c>
      <c r="H2648" t="s">
        <v>167</v>
      </c>
      <c r="I2648" t="s">
        <v>45</v>
      </c>
      <c r="K2648">
        <v>202506188082032</v>
      </c>
      <c r="L2648">
        <v>1093306667367</v>
      </c>
      <c r="M2648">
        <v>20250618</v>
      </c>
      <c r="N2648" t="s">
        <v>168</v>
      </c>
      <c r="P2648" t="s">
        <v>511</v>
      </c>
      <c r="Q2648" t="s">
        <v>47</v>
      </c>
      <c r="R2648">
        <v>103298.9</v>
      </c>
      <c r="S2648">
        <v>0</v>
      </c>
      <c r="T2648">
        <v>4026861</v>
      </c>
      <c r="U2648">
        <v>5195820724</v>
      </c>
      <c r="V2648" t="s">
        <v>1011</v>
      </c>
      <c r="W2648" t="s">
        <v>49</v>
      </c>
      <c r="X2648" t="s">
        <v>131</v>
      </c>
      <c r="Y2648" t="s">
        <v>51</v>
      </c>
      <c r="Z2648">
        <v>1696</v>
      </c>
      <c r="AH2648">
        <v>0</v>
      </c>
      <c r="AI2648">
        <v>202506</v>
      </c>
      <c r="AJ2648" t="s">
        <v>56</v>
      </c>
      <c r="AK2648">
        <v>0</v>
      </c>
      <c r="AL2648">
        <v>1</v>
      </c>
      <c r="AM2648">
        <v>4026861</v>
      </c>
      <c r="AN2648">
        <v>1</v>
      </c>
      <c r="AO2648">
        <v>0</v>
      </c>
      <c r="AP2648" t="s">
        <v>3033</v>
      </c>
      <c r="AQ2648" t="s">
        <v>3012</v>
      </c>
      <c r="AR2648" t="s">
        <v>3034</v>
      </c>
      <c r="AS2648" t="s">
        <v>3014</v>
      </c>
      <c r="AU2648" t="s">
        <v>3014</v>
      </c>
    </row>
    <row r="2649" spans="1:47" x14ac:dyDescent="0.35">
      <c r="A2649">
        <v>360249</v>
      </c>
      <c r="B2649" t="s">
        <v>178</v>
      </c>
      <c r="C2649" t="s">
        <v>179</v>
      </c>
      <c r="D2649" s="2">
        <v>45827</v>
      </c>
      <c r="E2649">
        <v>53850</v>
      </c>
      <c r="F2649">
        <v>161</v>
      </c>
      <c r="G2649" t="s">
        <v>111</v>
      </c>
      <c r="H2649" t="s">
        <v>167</v>
      </c>
      <c r="I2649" t="s">
        <v>45</v>
      </c>
      <c r="K2649">
        <v>202506188083491</v>
      </c>
      <c r="L2649">
        <v>1613300029995</v>
      </c>
      <c r="M2649">
        <v>20250618</v>
      </c>
      <c r="N2649" t="s">
        <v>3136</v>
      </c>
      <c r="Q2649" t="s">
        <v>170</v>
      </c>
      <c r="R2649">
        <v>69564.13</v>
      </c>
      <c r="S2649">
        <v>0</v>
      </c>
      <c r="T2649">
        <v>4131274</v>
      </c>
      <c r="U2649" t="s">
        <v>2630</v>
      </c>
      <c r="V2649" t="s">
        <v>2631</v>
      </c>
      <c r="W2649" t="s">
        <v>187</v>
      </c>
      <c r="Y2649" t="s">
        <v>51</v>
      </c>
      <c r="Z2649">
        <v>863</v>
      </c>
      <c r="AH2649">
        <v>0</v>
      </c>
      <c r="AI2649">
        <v>202506</v>
      </c>
      <c r="AJ2649" t="s">
        <v>86</v>
      </c>
      <c r="AK2649">
        <v>1</v>
      </c>
      <c r="AL2649">
        <v>1</v>
      </c>
      <c r="AO2649">
        <v>1</v>
      </c>
      <c r="AP2649" t="s">
        <v>3015</v>
      </c>
      <c r="AQ2649" t="s">
        <v>3044</v>
      </c>
      <c r="AR2649" t="s">
        <v>3045</v>
      </c>
      <c r="AS2649" t="s">
        <v>3046</v>
      </c>
      <c r="AU2649" t="s">
        <v>3046</v>
      </c>
    </row>
    <row r="2650" spans="1:47" x14ac:dyDescent="0.35">
      <c r="A2650">
        <v>360248</v>
      </c>
      <c r="B2650" t="s">
        <v>193</v>
      </c>
      <c r="C2650" t="s">
        <v>194</v>
      </c>
      <c r="D2650" s="2">
        <v>45827</v>
      </c>
      <c r="E2650">
        <v>53850</v>
      </c>
      <c r="F2650">
        <v>102</v>
      </c>
      <c r="G2650" t="s">
        <v>151</v>
      </c>
      <c r="H2650" t="s">
        <v>167</v>
      </c>
      <c r="I2650" t="s">
        <v>45</v>
      </c>
      <c r="K2650" t="s">
        <v>2533</v>
      </c>
      <c r="L2650">
        <v>1023308722503</v>
      </c>
      <c r="M2650">
        <v>20250618</v>
      </c>
      <c r="N2650" t="s">
        <v>195</v>
      </c>
      <c r="Q2650" t="s">
        <v>47</v>
      </c>
      <c r="R2650">
        <v>21810</v>
      </c>
      <c r="S2650">
        <v>21810</v>
      </c>
      <c r="T2650">
        <v>413650</v>
      </c>
      <c r="U2650">
        <v>3657230722</v>
      </c>
      <c r="V2650" t="s">
        <v>196</v>
      </c>
      <c r="W2650" t="s">
        <v>190</v>
      </c>
      <c r="X2650" t="s">
        <v>197</v>
      </c>
      <c r="Y2650" t="s">
        <v>51</v>
      </c>
      <c r="Z2650">
        <v>1306</v>
      </c>
      <c r="AH2650">
        <v>0</v>
      </c>
      <c r="AI2650">
        <v>202506</v>
      </c>
      <c r="AJ2650" t="s">
        <v>119</v>
      </c>
      <c r="AK2650">
        <v>1</v>
      </c>
      <c r="AL2650">
        <v>1</v>
      </c>
      <c r="AM2650">
        <v>413650</v>
      </c>
      <c r="AN2650">
        <v>1</v>
      </c>
      <c r="AO2650">
        <v>0</v>
      </c>
      <c r="AP2650" t="s">
        <v>3050</v>
      </c>
      <c r="AQ2650" t="s">
        <v>3047</v>
      </c>
      <c r="AR2650" t="s">
        <v>3051</v>
      </c>
      <c r="AS2650" t="s">
        <v>3049</v>
      </c>
      <c r="AU2650" t="s">
        <v>3049</v>
      </c>
    </row>
    <row r="2651" spans="1:47" x14ac:dyDescent="0.35">
      <c r="A2651">
        <v>360247</v>
      </c>
      <c r="B2651" t="s">
        <v>214</v>
      </c>
      <c r="C2651" t="s">
        <v>215</v>
      </c>
      <c r="D2651" s="2">
        <v>45827</v>
      </c>
      <c r="E2651">
        <v>53850</v>
      </c>
      <c r="F2651">
        <v>190</v>
      </c>
      <c r="G2651" t="s">
        <v>145</v>
      </c>
      <c r="H2651" t="s">
        <v>167</v>
      </c>
      <c r="I2651" t="s">
        <v>45</v>
      </c>
      <c r="K2651">
        <v>202506188082052</v>
      </c>
      <c r="L2651">
        <v>1903300017388</v>
      </c>
      <c r="M2651">
        <v>20250618</v>
      </c>
      <c r="N2651" t="s">
        <v>168</v>
      </c>
      <c r="P2651" t="s">
        <v>217</v>
      </c>
      <c r="Q2651" t="s">
        <v>47</v>
      </c>
      <c r="R2651">
        <v>23790</v>
      </c>
      <c r="S2651">
        <v>0</v>
      </c>
      <c r="T2651">
        <v>4884959</v>
      </c>
      <c r="U2651">
        <v>6732580722</v>
      </c>
      <c r="V2651" t="s">
        <v>146</v>
      </c>
      <c r="W2651" t="s">
        <v>49</v>
      </c>
      <c r="X2651" t="s">
        <v>710</v>
      </c>
      <c r="Y2651" t="s">
        <v>51</v>
      </c>
      <c r="Z2651">
        <v>1926</v>
      </c>
      <c r="AH2651">
        <v>0</v>
      </c>
      <c r="AI2651">
        <v>202506</v>
      </c>
      <c r="AJ2651" t="s">
        <v>86</v>
      </c>
      <c r="AK2651">
        <v>1</v>
      </c>
      <c r="AL2651">
        <v>1</v>
      </c>
      <c r="AO2651">
        <v>0</v>
      </c>
      <c r="AP2651" t="s">
        <v>3015</v>
      </c>
      <c r="AQ2651" t="s">
        <v>3012</v>
      </c>
      <c r="AR2651" t="s">
        <v>3016</v>
      </c>
      <c r="AT2651" t="s">
        <v>3017</v>
      </c>
      <c r="AU2651" t="s">
        <v>3018</v>
      </c>
    </row>
    <row r="2652" spans="1:47" x14ac:dyDescent="0.35">
      <c r="A2652">
        <v>360246</v>
      </c>
      <c r="B2652" t="s">
        <v>172</v>
      </c>
      <c r="C2652" t="s">
        <v>173</v>
      </c>
      <c r="D2652" s="2">
        <v>45827</v>
      </c>
      <c r="E2652">
        <v>53850</v>
      </c>
      <c r="F2652">
        <v>279</v>
      </c>
      <c r="G2652" t="s">
        <v>587</v>
      </c>
      <c r="H2652" t="s">
        <v>167</v>
      </c>
      <c r="I2652" t="s">
        <v>45</v>
      </c>
      <c r="K2652">
        <v>202506188083720</v>
      </c>
      <c r="L2652">
        <v>2793300000491</v>
      </c>
      <c r="M2652">
        <v>20250618</v>
      </c>
      <c r="N2652" t="s">
        <v>231</v>
      </c>
      <c r="Q2652" t="s">
        <v>47</v>
      </c>
      <c r="R2652">
        <v>138000</v>
      </c>
      <c r="S2652">
        <v>0</v>
      </c>
      <c r="T2652">
        <v>1659317</v>
      </c>
      <c r="U2652" t="s">
        <v>2632</v>
      </c>
      <c r="V2652" t="s">
        <v>2633</v>
      </c>
      <c r="W2652" t="s">
        <v>69</v>
      </c>
      <c r="X2652" t="s">
        <v>432</v>
      </c>
      <c r="Y2652" t="s">
        <v>51</v>
      </c>
      <c r="Z2652">
        <v>1786</v>
      </c>
      <c r="AH2652">
        <v>0</v>
      </c>
      <c r="AI2652">
        <v>202506</v>
      </c>
      <c r="AJ2652" t="s">
        <v>86</v>
      </c>
      <c r="AK2652">
        <v>1</v>
      </c>
      <c r="AL2652">
        <v>1</v>
      </c>
      <c r="AO2652">
        <v>0</v>
      </c>
      <c r="AP2652" t="s">
        <v>3015</v>
      </c>
      <c r="AQ2652" t="s">
        <v>3021</v>
      </c>
      <c r="AR2652" t="s">
        <v>3022</v>
      </c>
      <c r="AT2652" t="s">
        <v>3017</v>
      </c>
      <c r="AU2652" t="s">
        <v>3014</v>
      </c>
    </row>
    <row r="2653" spans="1:47" x14ac:dyDescent="0.35">
      <c r="A2653">
        <v>360245</v>
      </c>
      <c r="B2653" t="s">
        <v>193</v>
      </c>
      <c r="C2653" t="s">
        <v>194</v>
      </c>
      <c r="D2653" s="2">
        <v>45827</v>
      </c>
      <c r="E2653">
        <v>53850</v>
      </c>
      <c r="F2653">
        <v>154</v>
      </c>
      <c r="G2653" t="s">
        <v>53</v>
      </c>
      <c r="H2653" t="s">
        <v>167</v>
      </c>
      <c r="I2653" t="s">
        <v>45</v>
      </c>
      <c r="K2653">
        <v>202506188083485</v>
      </c>
      <c r="L2653">
        <v>1543300000968</v>
      </c>
      <c r="M2653">
        <v>20250618</v>
      </c>
      <c r="N2653" t="s">
        <v>266</v>
      </c>
      <c r="Q2653" t="s">
        <v>47</v>
      </c>
      <c r="R2653">
        <v>19600</v>
      </c>
      <c r="S2653">
        <v>19600</v>
      </c>
      <c r="T2653">
        <v>4277348</v>
      </c>
      <c r="U2653" t="s">
        <v>2634</v>
      </c>
      <c r="V2653" t="s">
        <v>2635</v>
      </c>
      <c r="W2653" t="s">
        <v>187</v>
      </c>
      <c r="Y2653" t="s">
        <v>51</v>
      </c>
      <c r="Z2653">
        <v>1434</v>
      </c>
      <c r="AH2653">
        <v>0</v>
      </c>
      <c r="AI2653">
        <v>202506</v>
      </c>
      <c r="AJ2653" t="s">
        <v>86</v>
      </c>
      <c r="AK2653">
        <v>1</v>
      </c>
      <c r="AL2653">
        <v>1</v>
      </c>
      <c r="AO2653">
        <v>0</v>
      </c>
      <c r="AP2653" t="s">
        <v>3015</v>
      </c>
      <c r="AQ2653" t="s">
        <v>3044</v>
      </c>
      <c r="AR2653" t="s">
        <v>3045</v>
      </c>
      <c r="AS2653" t="s">
        <v>3046</v>
      </c>
      <c r="AU2653" t="s">
        <v>3046</v>
      </c>
    </row>
    <row r="2654" spans="1:47" x14ac:dyDescent="0.35">
      <c r="A2654">
        <v>360244</v>
      </c>
      <c r="B2654" t="s">
        <v>193</v>
      </c>
      <c r="C2654" t="s">
        <v>194</v>
      </c>
      <c r="D2654" s="2">
        <v>45827</v>
      </c>
      <c r="E2654">
        <v>53850</v>
      </c>
      <c r="F2654">
        <v>268</v>
      </c>
      <c r="G2654" t="s">
        <v>83</v>
      </c>
      <c r="H2654" t="s">
        <v>167</v>
      </c>
      <c r="I2654" t="s">
        <v>45</v>
      </c>
      <c r="K2654">
        <v>202506188083246</v>
      </c>
      <c r="L2654">
        <v>2683300010030</v>
      </c>
      <c r="M2654">
        <v>20250618</v>
      </c>
      <c r="N2654" t="s">
        <v>195</v>
      </c>
      <c r="Q2654" t="s">
        <v>47</v>
      </c>
      <c r="R2654">
        <v>30040</v>
      </c>
      <c r="S2654">
        <v>30040</v>
      </c>
      <c r="T2654">
        <v>4966939</v>
      </c>
      <c r="U2654" t="s">
        <v>221</v>
      </c>
      <c r="V2654" t="s">
        <v>222</v>
      </c>
      <c r="W2654" t="s">
        <v>69</v>
      </c>
      <c r="X2654" t="s">
        <v>55</v>
      </c>
      <c r="Y2654" t="s">
        <v>51</v>
      </c>
      <c r="Z2654">
        <v>1870</v>
      </c>
      <c r="AH2654">
        <v>0</v>
      </c>
      <c r="AI2654">
        <v>202506</v>
      </c>
      <c r="AJ2654" t="s">
        <v>56</v>
      </c>
      <c r="AK2654">
        <v>0</v>
      </c>
      <c r="AL2654">
        <v>1</v>
      </c>
      <c r="AM2654">
        <v>4966939</v>
      </c>
      <c r="AN2654">
        <v>1</v>
      </c>
      <c r="AO2654">
        <v>0</v>
      </c>
      <c r="AP2654" t="s">
        <v>3015</v>
      </c>
      <c r="AQ2654" t="s">
        <v>3021</v>
      </c>
      <c r="AR2654" t="s">
        <v>3022</v>
      </c>
      <c r="AT2654" t="s">
        <v>3017</v>
      </c>
      <c r="AU2654" t="s">
        <v>3014</v>
      </c>
    </row>
    <row r="2655" spans="1:47" x14ac:dyDescent="0.35">
      <c r="A2655">
        <v>360243</v>
      </c>
      <c r="B2655" t="s">
        <v>193</v>
      </c>
      <c r="C2655" t="s">
        <v>194</v>
      </c>
      <c r="D2655" s="2">
        <v>45827</v>
      </c>
      <c r="E2655">
        <v>53850</v>
      </c>
      <c r="F2655">
        <v>108</v>
      </c>
      <c r="G2655" t="s">
        <v>124</v>
      </c>
      <c r="H2655" t="s">
        <v>167</v>
      </c>
      <c r="I2655" t="s">
        <v>45</v>
      </c>
      <c r="K2655" t="s">
        <v>2533</v>
      </c>
      <c r="L2655">
        <v>1083305200700</v>
      </c>
      <c r="M2655">
        <v>20250618</v>
      </c>
      <c r="N2655" t="s">
        <v>175</v>
      </c>
      <c r="Q2655" t="s">
        <v>47</v>
      </c>
      <c r="R2655">
        <v>36822.47</v>
      </c>
      <c r="S2655">
        <v>27470</v>
      </c>
      <c r="T2655">
        <v>520070</v>
      </c>
      <c r="U2655">
        <v>4357120726</v>
      </c>
      <c r="V2655" t="s">
        <v>457</v>
      </c>
      <c r="W2655" t="s">
        <v>49</v>
      </c>
      <c r="X2655" t="s">
        <v>110</v>
      </c>
      <c r="Y2655" t="s">
        <v>51</v>
      </c>
      <c r="Z2655">
        <v>1058</v>
      </c>
      <c r="AH2655">
        <v>0</v>
      </c>
      <c r="AI2655">
        <v>202506</v>
      </c>
      <c r="AJ2655" t="s">
        <v>86</v>
      </c>
      <c r="AK2655">
        <v>1</v>
      </c>
      <c r="AL2655">
        <v>1</v>
      </c>
      <c r="AO2655">
        <v>1</v>
      </c>
      <c r="AP2655" t="s">
        <v>3026</v>
      </c>
      <c r="AQ2655" t="s">
        <v>3012</v>
      </c>
      <c r="AR2655" t="s">
        <v>3027</v>
      </c>
      <c r="AS2655" t="s">
        <v>3028</v>
      </c>
      <c r="AU2655" t="s">
        <v>3028</v>
      </c>
    </row>
    <row r="2656" spans="1:47" x14ac:dyDescent="0.35">
      <c r="A2656">
        <v>360242</v>
      </c>
      <c r="B2656" t="s">
        <v>756</v>
      </c>
      <c r="C2656" t="s">
        <v>757</v>
      </c>
      <c r="D2656" s="2">
        <v>45827</v>
      </c>
      <c r="E2656">
        <v>53850</v>
      </c>
      <c r="F2656">
        <v>118</v>
      </c>
      <c r="G2656" t="s">
        <v>254</v>
      </c>
      <c r="H2656" t="s">
        <v>167</v>
      </c>
      <c r="I2656" t="s">
        <v>45</v>
      </c>
      <c r="K2656">
        <v>202506188083282</v>
      </c>
      <c r="L2656">
        <v>1186004012629</v>
      </c>
      <c r="M2656">
        <v>20250618</v>
      </c>
      <c r="N2656" t="s">
        <v>242</v>
      </c>
      <c r="Q2656" t="s">
        <v>170</v>
      </c>
      <c r="R2656">
        <v>145000</v>
      </c>
      <c r="S2656">
        <v>145000</v>
      </c>
      <c r="T2656">
        <v>201632</v>
      </c>
      <c r="U2656" t="s">
        <v>2623</v>
      </c>
      <c r="V2656" t="s">
        <v>2624</v>
      </c>
      <c r="W2656" t="s">
        <v>187</v>
      </c>
      <c r="Y2656" t="s">
        <v>51</v>
      </c>
      <c r="Z2656">
        <v>724</v>
      </c>
      <c r="AH2656">
        <v>0</v>
      </c>
      <c r="AI2656">
        <v>202506</v>
      </c>
      <c r="AL2656">
        <v>0</v>
      </c>
      <c r="AO2656">
        <v>0</v>
      </c>
      <c r="AP2656" t="s">
        <v>3015</v>
      </c>
      <c r="AQ2656" t="s">
        <v>3044</v>
      </c>
      <c r="AR2656" t="s">
        <v>3045</v>
      </c>
      <c r="AS2656" t="s">
        <v>3046</v>
      </c>
      <c r="AU2656" t="s">
        <v>3046</v>
      </c>
    </row>
    <row r="2657" spans="1:47" x14ac:dyDescent="0.35">
      <c r="A2657">
        <v>360241</v>
      </c>
      <c r="B2657" t="s">
        <v>214</v>
      </c>
      <c r="C2657" t="s">
        <v>215</v>
      </c>
      <c r="D2657" s="2">
        <v>45827</v>
      </c>
      <c r="E2657">
        <v>53850</v>
      </c>
      <c r="F2657">
        <v>267</v>
      </c>
      <c r="G2657" t="s">
        <v>349</v>
      </c>
      <c r="H2657" t="s">
        <v>167</v>
      </c>
      <c r="I2657" t="s">
        <v>45</v>
      </c>
      <c r="K2657">
        <v>202506188082048</v>
      </c>
      <c r="L2657">
        <v>2673300010274</v>
      </c>
      <c r="M2657">
        <v>20250618</v>
      </c>
      <c r="N2657" t="s">
        <v>168</v>
      </c>
      <c r="P2657" t="s">
        <v>339</v>
      </c>
      <c r="Q2657" t="s">
        <v>170</v>
      </c>
      <c r="R2657">
        <v>36905.599999999999</v>
      </c>
      <c r="S2657">
        <v>0</v>
      </c>
      <c r="T2657">
        <v>4992646</v>
      </c>
      <c r="U2657">
        <v>3152440792</v>
      </c>
      <c r="V2657" t="s">
        <v>2240</v>
      </c>
      <c r="W2657" t="s">
        <v>49</v>
      </c>
      <c r="X2657" t="s">
        <v>710</v>
      </c>
      <c r="Y2657" t="s">
        <v>51</v>
      </c>
      <c r="Z2657">
        <v>1627</v>
      </c>
      <c r="AH2657">
        <v>0</v>
      </c>
      <c r="AI2657">
        <v>202506</v>
      </c>
      <c r="AJ2657" t="s">
        <v>86</v>
      </c>
      <c r="AK2657">
        <v>1</v>
      </c>
      <c r="AL2657">
        <v>1</v>
      </c>
      <c r="AO2657">
        <v>0</v>
      </c>
      <c r="AP2657" t="s">
        <v>3015</v>
      </c>
      <c r="AQ2657" t="s">
        <v>3012</v>
      </c>
      <c r="AR2657" t="s">
        <v>3016</v>
      </c>
      <c r="AT2657" t="s">
        <v>3017</v>
      </c>
      <c r="AU2657" t="s">
        <v>3018</v>
      </c>
    </row>
    <row r="2658" spans="1:47" x14ac:dyDescent="0.35">
      <c r="A2658">
        <v>360240</v>
      </c>
      <c r="B2658" t="s">
        <v>193</v>
      </c>
      <c r="C2658" t="s">
        <v>194</v>
      </c>
      <c r="D2658" s="2">
        <v>45826</v>
      </c>
      <c r="E2658">
        <v>53850</v>
      </c>
      <c r="F2658">
        <v>161</v>
      </c>
      <c r="G2658" t="s">
        <v>111</v>
      </c>
      <c r="H2658" t="s">
        <v>167</v>
      </c>
      <c r="I2658" t="s">
        <v>45</v>
      </c>
      <c r="K2658" t="s">
        <v>2636</v>
      </c>
      <c r="L2658">
        <v>1613300031333</v>
      </c>
      <c r="M2658">
        <v>20250617</v>
      </c>
      <c r="N2658" t="s">
        <v>175</v>
      </c>
      <c r="Q2658" t="s">
        <v>47</v>
      </c>
      <c r="R2658">
        <v>40508.400000000001</v>
      </c>
      <c r="S2658">
        <v>35555</v>
      </c>
      <c r="T2658">
        <v>511904</v>
      </c>
      <c r="U2658" t="s">
        <v>388</v>
      </c>
      <c r="V2658" t="s">
        <v>389</v>
      </c>
      <c r="W2658" t="s">
        <v>69</v>
      </c>
      <c r="X2658" t="s">
        <v>55</v>
      </c>
      <c r="Y2658" t="s">
        <v>51</v>
      </c>
      <c r="Z2658">
        <v>857</v>
      </c>
      <c r="AH2658">
        <v>0</v>
      </c>
      <c r="AI2658">
        <v>202506</v>
      </c>
      <c r="AJ2658" t="s">
        <v>119</v>
      </c>
      <c r="AK2658">
        <v>1</v>
      </c>
      <c r="AL2658">
        <v>1</v>
      </c>
      <c r="AM2658">
        <v>511904</v>
      </c>
      <c r="AN2658">
        <v>1</v>
      </c>
      <c r="AO2658">
        <v>1</v>
      </c>
      <c r="AP2658" t="s">
        <v>3015</v>
      </c>
      <c r="AQ2658" t="s">
        <v>3021</v>
      </c>
      <c r="AR2658" t="s">
        <v>3022</v>
      </c>
      <c r="AT2658" t="s">
        <v>3017</v>
      </c>
      <c r="AU2658" t="s">
        <v>3014</v>
      </c>
    </row>
    <row r="2659" spans="1:47" x14ac:dyDescent="0.35">
      <c r="A2659">
        <v>360239</v>
      </c>
      <c r="B2659" t="s">
        <v>172</v>
      </c>
      <c r="C2659" t="s">
        <v>173</v>
      </c>
      <c r="D2659" s="2">
        <v>45826</v>
      </c>
      <c r="E2659">
        <v>53850</v>
      </c>
      <c r="F2659">
        <v>170</v>
      </c>
      <c r="G2659" t="s">
        <v>211</v>
      </c>
      <c r="H2659" t="s">
        <v>167</v>
      </c>
      <c r="I2659" t="s">
        <v>45</v>
      </c>
      <c r="K2659">
        <v>202506178080208</v>
      </c>
      <c r="L2659">
        <v>1703306290627</v>
      </c>
      <c r="M2659">
        <v>20250617</v>
      </c>
      <c r="N2659" t="s">
        <v>81</v>
      </c>
      <c r="Q2659" t="s">
        <v>47</v>
      </c>
      <c r="R2659">
        <v>512400</v>
      </c>
      <c r="S2659">
        <v>0</v>
      </c>
      <c r="T2659">
        <v>4530011</v>
      </c>
      <c r="U2659">
        <v>6876700722</v>
      </c>
      <c r="V2659" t="s">
        <v>2637</v>
      </c>
      <c r="W2659" t="s">
        <v>49</v>
      </c>
      <c r="X2659" t="s">
        <v>59</v>
      </c>
      <c r="Y2659" t="s">
        <v>51</v>
      </c>
      <c r="Z2659">
        <v>1920</v>
      </c>
      <c r="AH2659">
        <v>0</v>
      </c>
      <c r="AI2659">
        <v>202506</v>
      </c>
      <c r="AJ2659" t="s">
        <v>86</v>
      </c>
      <c r="AK2659">
        <v>1</v>
      </c>
      <c r="AL2659">
        <v>1</v>
      </c>
      <c r="AO2659">
        <v>0</v>
      </c>
      <c r="AP2659" t="s">
        <v>3015</v>
      </c>
      <c r="AQ2659" t="s">
        <v>3012</v>
      </c>
      <c r="AR2659" t="s">
        <v>3016</v>
      </c>
      <c r="AT2659" t="s">
        <v>3017</v>
      </c>
      <c r="AU2659" t="s">
        <v>3018</v>
      </c>
    </row>
    <row r="2660" spans="1:47" x14ac:dyDescent="0.35">
      <c r="A2660">
        <v>360238</v>
      </c>
      <c r="B2660" t="s">
        <v>178</v>
      </c>
      <c r="C2660" t="s">
        <v>179</v>
      </c>
      <c r="D2660" s="2">
        <v>45826</v>
      </c>
      <c r="E2660">
        <v>53850</v>
      </c>
      <c r="F2660">
        <v>153</v>
      </c>
      <c r="G2660" t="s">
        <v>63</v>
      </c>
      <c r="H2660" t="s">
        <v>167</v>
      </c>
      <c r="I2660" t="s">
        <v>45</v>
      </c>
      <c r="K2660" t="s">
        <v>2638</v>
      </c>
      <c r="L2660">
        <v>1533300661079</v>
      </c>
      <c r="M2660">
        <v>20250617</v>
      </c>
      <c r="N2660" t="s">
        <v>3136</v>
      </c>
      <c r="Q2660" t="s">
        <v>170</v>
      </c>
      <c r="R2660">
        <v>3578.04</v>
      </c>
      <c r="S2660">
        <v>0</v>
      </c>
      <c r="T2660">
        <v>2012658</v>
      </c>
      <c r="U2660" t="s">
        <v>2639</v>
      </c>
      <c r="V2660" t="s">
        <v>2640</v>
      </c>
      <c r="W2660" t="s">
        <v>187</v>
      </c>
      <c r="Y2660" t="s">
        <v>51</v>
      </c>
      <c r="Z2660">
        <v>1059</v>
      </c>
      <c r="AH2660">
        <v>0</v>
      </c>
      <c r="AI2660">
        <v>202506</v>
      </c>
      <c r="AJ2660" t="s">
        <v>86</v>
      </c>
      <c r="AK2660">
        <v>1</v>
      </c>
      <c r="AL2660">
        <v>1</v>
      </c>
      <c r="AO2660">
        <v>1</v>
      </c>
      <c r="AP2660" t="s">
        <v>3015</v>
      </c>
      <c r="AQ2660" t="s">
        <v>3044</v>
      </c>
      <c r="AR2660" t="s">
        <v>3045</v>
      </c>
      <c r="AS2660" t="s">
        <v>3046</v>
      </c>
      <c r="AU2660" t="s">
        <v>3046</v>
      </c>
    </row>
    <row r="2661" spans="1:47" x14ac:dyDescent="0.35">
      <c r="A2661">
        <v>360237</v>
      </c>
      <c r="B2661" t="s">
        <v>193</v>
      </c>
      <c r="C2661" t="s">
        <v>194</v>
      </c>
      <c r="D2661" s="2">
        <v>45826</v>
      </c>
      <c r="E2661">
        <v>53850</v>
      </c>
      <c r="F2661">
        <v>102</v>
      </c>
      <c r="G2661" t="s">
        <v>151</v>
      </c>
      <c r="H2661" t="s">
        <v>167</v>
      </c>
      <c r="I2661" t="s">
        <v>45</v>
      </c>
      <c r="K2661" t="s">
        <v>2636</v>
      </c>
      <c r="L2661">
        <v>1023308724142</v>
      </c>
      <c r="M2661">
        <v>20250617</v>
      </c>
      <c r="N2661" t="s">
        <v>195</v>
      </c>
      <c r="Q2661" t="s">
        <v>47</v>
      </c>
      <c r="R2661">
        <v>61650</v>
      </c>
      <c r="S2661">
        <v>61650</v>
      </c>
      <c r="T2661">
        <v>4713700</v>
      </c>
      <c r="U2661" t="s">
        <v>2641</v>
      </c>
      <c r="V2661" t="s">
        <v>2642</v>
      </c>
      <c r="W2661" t="s">
        <v>187</v>
      </c>
      <c r="Y2661" t="s">
        <v>51</v>
      </c>
      <c r="Z2661">
        <v>1576</v>
      </c>
      <c r="AH2661">
        <v>0</v>
      </c>
      <c r="AI2661">
        <v>202506</v>
      </c>
      <c r="AJ2661" t="s">
        <v>86</v>
      </c>
      <c r="AK2661">
        <v>1</v>
      </c>
      <c r="AL2661">
        <v>1</v>
      </c>
      <c r="AM2661">
        <v>4713700</v>
      </c>
      <c r="AN2661">
        <v>1</v>
      </c>
      <c r="AO2661">
        <v>0</v>
      </c>
      <c r="AP2661" t="s">
        <v>3015</v>
      </c>
      <c r="AQ2661" t="s">
        <v>3044</v>
      </c>
      <c r="AR2661" t="s">
        <v>3045</v>
      </c>
      <c r="AS2661" t="s">
        <v>3046</v>
      </c>
      <c r="AU2661" t="s">
        <v>3046</v>
      </c>
    </row>
    <row r="2662" spans="1:47" x14ac:dyDescent="0.35">
      <c r="A2662">
        <v>360236</v>
      </c>
      <c r="B2662" t="s">
        <v>193</v>
      </c>
      <c r="C2662" t="s">
        <v>194</v>
      </c>
      <c r="D2662" s="2">
        <v>45826</v>
      </c>
      <c r="E2662">
        <v>53850</v>
      </c>
      <c r="F2662">
        <v>126</v>
      </c>
      <c r="G2662" t="s">
        <v>1148</v>
      </c>
      <c r="H2662" t="s">
        <v>167</v>
      </c>
      <c r="I2662" t="s">
        <v>45</v>
      </c>
      <c r="K2662" t="s">
        <v>2636</v>
      </c>
      <c r="L2662">
        <v>1263300003354</v>
      </c>
      <c r="M2662">
        <v>20250617</v>
      </c>
      <c r="N2662" t="s">
        <v>175</v>
      </c>
      <c r="Q2662" t="s">
        <v>47</v>
      </c>
      <c r="R2662">
        <v>39980</v>
      </c>
      <c r="S2662">
        <v>33680</v>
      </c>
      <c r="T2662">
        <v>4955149</v>
      </c>
      <c r="U2662" t="s">
        <v>2643</v>
      </c>
      <c r="V2662" t="s">
        <v>2644</v>
      </c>
      <c r="W2662" t="s">
        <v>69</v>
      </c>
      <c r="X2662" t="s">
        <v>234</v>
      </c>
      <c r="Y2662" t="s">
        <v>51</v>
      </c>
      <c r="Z2662">
        <v>1942</v>
      </c>
      <c r="AH2662">
        <v>0</v>
      </c>
      <c r="AI2662">
        <v>202506</v>
      </c>
      <c r="AJ2662" t="s">
        <v>86</v>
      </c>
      <c r="AK2662">
        <v>1</v>
      </c>
      <c r="AL2662">
        <v>1</v>
      </c>
      <c r="AO2662">
        <v>1</v>
      </c>
      <c r="AP2662" t="s">
        <v>3015</v>
      </c>
      <c r="AQ2662" t="s">
        <v>3021</v>
      </c>
      <c r="AR2662" t="s">
        <v>3022</v>
      </c>
      <c r="AT2662" t="s">
        <v>3017</v>
      </c>
      <c r="AU2662" t="s">
        <v>3014</v>
      </c>
    </row>
    <row r="2663" spans="1:47" x14ac:dyDescent="0.35">
      <c r="A2663">
        <v>360235</v>
      </c>
      <c r="B2663" t="s">
        <v>164</v>
      </c>
      <c r="C2663" t="s">
        <v>165</v>
      </c>
      <c r="D2663" s="2">
        <v>45826</v>
      </c>
      <c r="E2663">
        <v>53850</v>
      </c>
      <c r="F2663">
        <v>148</v>
      </c>
      <c r="G2663" t="s">
        <v>78</v>
      </c>
      <c r="H2663" t="s">
        <v>167</v>
      </c>
      <c r="I2663" t="s">
        <v>45</v>
      </c>
      <c r="K2663" t="s">
        <v>2645</v>
      </c>
      <c r="L2663">
        <v>1483300003580</v>
      </c>
      <c r="M2663">
        <v>20250617</v>
      </c>
      <c r="N2663" t="s">
        <v>168</v>
      </c>
      <c r="P2663" t="s">
        <v>169</v>
      </c>
      <c r="Q2663" t="s">
        <v>47</v>
      </c>
      <c r="R2663">
        <v>1500</v>
      </c>
      <c r="S2663">
        <v>0</v>
      </c>
      <c r="T2663">
        <v>4771374</v>
      </c>
      <c r="U2663" t="s">
        <v>845</v>
      </c>
      <c r="V2663" t="s">
        <v>846</v>
      </c>
      <c r="W2663" t="s">
        <v>187</v>
      </c>
      <c r="Y2663" t="s">
        <v>51</v>
      </c>
      <c r="Z2663">
        <v>1064</v>
      </c>
      <c r="AH2663">
        <v>0</v>
      </c>
      <c r="AI2663">
        <v>202506</v>
      </c>
      <c r="AJ2663" t="s">
        <v>86</v>
      </c>
      <c r="AK2663">
        <v>1</v>
      </c>
      <c r="AL2663">
        <v>1</v>
      </c>
      <c r="AO2663">
        <v>0</v>
      </c>
      <c r="AP2663" t="s">
        <v>3015</v>
      </c>
      <c r="AQ2663" t="s">
        <v>3044</v>
      </c>
      <c r="AR2663" t="s">
        <v>3045</v>
      </c>
      <c r="AS2663" t="s">
        <v>3046</v>
      </c>
      <c r="AU2663" t="s">
        <v>3046</v>
      </c>
    </row>
    <row r="2664" spans="1:47" x14ac:dyDescent="0.35">
      <c r="A2664">
        <v>360234</v>
      </c>
      <c r="B2664" t="s">
        <v>214</v>
      </c>
      <c r="C2664" t="s">
        <v>215</v>
      </c>
      <c r="D2664" s="2">
        <v>45826</v>
      </c>
      <c r="E2664">
        <v>53850</v>
      </c>
      <c r="F2664">
        <v>121</v>
      </c>
      <c r="G2664" t="s">
        <v>140</v>
      </c>
      <c r="H2664" t="s">
        <v>167</v>
      </c>
      <c r="I2664" t="s">
        <v>45</v>
      </c>
      <c r="K2664">
        <v>202506178078774</v>
      </c>
      <c r="L2664">
        <v>1213300002600</v>
      </c>
      <c r="M2664">
        <v>20250617</v>
      </c>
      <c r="N2664" t="s">
        <v>168</v>
      </c>
      <c r="P2664" t="s">
        <v>2292</v>
      </c>
      <c r="Q2664" t="s">
        <v>47</v>
      </c>
      <c r="R2664">
        <v>38000</v>
      </c>
      <c r="S2664">
        <v>0</v>
      </c>
      <c r="T2664">
        <v>4939345</v>
      </c>
      <c r="U2664">
        <v>5754810728</v>
      </c>
      <c r="V2664" t="s">
        <v>570</v>
      </c>
      <c r="W2664" t="s">
        <v>49</v>
      </c>
      <c r="X2664" t="s">
        <v>117</v>
      </c>
      <c r="Y2664" t="s">
        <v>51</v>
      </c>
      <c r="Z2664">
        <v>1058</v>
      </c>
      <c r="AH2664">
        <v>0</v>
      </c>
      <c r="AI2664">
        <v>202506</v>
      </c>
      <c r="AJ2664" t="s">
        <v>119</v>
      </c>
      <c r="AK2664">
        <v>1</v>
      </c>
      <c r="AL2664">
        <v>1</v>
      </c>
      <c r="AO2664">
        <v>0</v>
      </c>
      <c r="AP2664" t="s">
        <v>3029</v>
      </c>
      <c r="AQ2664" t="s">
        <v>3012</v>
      </c>
      <c r="AR2664" t="s">
        <v>3030</v>
      </c>
      <c r="AS2664" t="s">
        <v>3014</v>
      </c>
      <c r="AU2664" t="s">
        <v>3014</v>
      </c>
    </row>
    <row r="2665" spans="1:47" x14ac:dyDescent="0.35">
      <c r="A2665">
        <v>360233</v>
      </c>
      <c r="B2665" t="s">
        <v>172</v>
      </c>
      <c r="C2665" t="s">
        <v>173</v>
      </c>
      <c r="D2665" s="2">
        <v>45826</v>
      </c>
      <c r="E2665">
        <v>53850</v>
      </c>
      <c r="F2665">
        <v>170</v>
      </c>
      <c r="G2665" t="s">
        <v>211</v>
      </c>
      <c r="H2665" t="s">
        <v>167</v>
      </c>
      <c r="I2665" t="s">
        <v>45</v>
      </c>
      <c r="K2665">
        <v>202506178080209</v>
      </c>
      <c r="L2665">
        <v>1703306290713</v>
      </c>
      <c r="M2665">
        <v>20250617</v>
      </c>
      <c r="N2665" t="s">
        <v>231</v>
      </c>
      <c r="Q2665" t="s">
        <v>47</v>
      </c>
      <c r="R2665">
        <v>156000</v>
      </c>
      <c r="S2665">
        <v>0</v>
      </c>
      <c r="T2665">
        <v>4206269</v>
      </c>
      <c r="U2665" t="s">
        <v>2646</v>
      </c>
      <c r="V2665" t="s">
        <v>2647</v>
      </c>
      <c r="W2665" t="s">
        <v>187</v>
      </c>
      <c r="Y2665" t="s">
        <v>51</v>
      </c>
      <c r="Z2665">
        <v>1476</v>
      </c>
      <c r="AH2665">
        <v>0</v>
      </c>
      <c r="AI2665">
        <v>202506</v>
      </c>
      <c r="AJ2665" t="s">
        <v>86</v>
      </c>
      <c r="AK2665">
        <v>1</v>
      </c>
      <c r="AL2665">
        <v>1</v>
      </c>
      <c r="AO2665">
        <v>0</v>
      </c>
      <c r="AP2665" t="s">
        <v>3015</v>
      </c>
      <c r="AQ2665" t="s">
        <v>3044</v>
      </c>
      <c r="AR2665" t="s">
        <v>3045</v>
      </c>
      <c r="AS2665" t="s">
        <v>3046</v>
      </c>
      <c r="AU2665" t="s">
        <v>3046</v>
      </c>
    </row>
    <row r="2666" spans="1:47" x14ac:dyDescent="0.35">
      <c r="A2666">
        <v>360232</v>
      </c>
      <c r="B2666" t="s">
        <v>164</v>
      </c>
      <c r="C2666" t="s">
        <v>165</v>
      </c>
      <c r="D2666" s="2">
        <v>45826</v>
      </c>
      <c r="E2666">
        <v>53850</v>
      </c>
      <c r="F2666">
        <v>187</v>
      </c>
      <c r="G2666" t="s">
        <v>251</v>
      </c>
      <c r="H2666" t="s">
        <v>167</v>
      </c>
      <c r="I2666" t="s">
        <v>45</v>
      </c>
      <c r="K2666">
        <v>202506178078563</v>
      </c>
      <c r="L2666">
        <v>1873300102696</v>
      </c>
      <c r="M2666">
        <v>20250617</v>
      </c>
      <c r="N2666" t="s">
        <v>168</v>
      </c>
      <c r="P2666" t="s">
        <v>255</v>
      </c>
      <c r="Q2666" t="s">
        <v>47</v>
      </c>
      <c r="R2666">
        <v>5492.42</v>
      </c>
      <c r="S2666">
        <v>0</v>
      </c>
      <c r="T2666">
        <v>4000559</v>
      </c>
      <c r="U2666">
        <v>2099160737</v>
      </c>
      <c r="V2666" t="s">
        <v>528</v>
      </c>
      <c r="W2666" t="s">
        <v>49</v>
      </c>
      <c r="X2666" t="s">
        <v>117</v>
      </c>
      <c r="Y2666" t="s">
        <v>51</v>
      </c>
      <c r="Z2666">
        <v>1627</v>
      </c>
      <c r="AH2666">
        <v>0</v>
      </c>
      <c r="AI2666">
        <v>202506</v>
      </c>
      <c r="AJ2666" t="s">
        <v>56</v>
      </c>
      <c r="AK2666">
        <v>0</v>
      </c>
      <c r="AL2666">
        <v>1</v>
      </c>
      <c r="AO2666">
        <v>0</v>
      </c>
      <c r="AP2666" t="s">
        <v>3029</v>
      </c>
      <c r="AQ2666" t="s">
        <v>3012</v>
      </c>
      <c r="AR2666" t="s">
        <v>3030</v>
      </c>
      <c r="AS2666" t="s">
        <v>3014</v>
      </c>
      <c r="AU2666" t="s">
        <v>3014</v>
      </c>
    </row>
    <row r="2667" spans="1:47" x14ac:dyDescent="0.35">
      <c r="A2667">
        <v>360231</v>
      </c>
      <c r="B2667" t="s">
        <v>164</v>
      </c>
      <c r="C2667" t="s">
        <v>165</v>
      </c>
      <c r="D2667" s="2">
        <v>45826</v>
      </c>
      <c r="E2667">
        <v>53850</v>
      </c>
      <c r="F2667">
        <v>114</v>
      </c>
      <c r="G2667" t="s">
        <v>188</v>
      </c>
      <c r="H2667" t="s">
        <v>167</v>
      </c>
      <c r="I2667" t="s">
        <v>45</v>
      </c>
      <c r="K2667" t="s">
        <v>2648</v>
      </c>
      <c r="L2667">
        <v>1143300001238</v>
      </c>
      <c r="M2667">
        <v>20250617</v>
      </c>
      <c r="N2667" t="s">
        <v>168</v>
      </c>
      <c r="P2667" t="s">
        <v>255</v>
      </c>
      <c r="Q2667" t="s">
        <v>47</v>
      </c>
      <c r="R2667">
        <v>4000</v>
      </c>
      <c r="S2667">
        <v>0</v>
      </c>
      <c r="T2667">
        <v>4747564</v>
      </c>
      <c r="U2667" t="s">
        <v>577</v>
      </c>
      <c r="V2667" t="s">
        <v>578</v>
      </c>
      <c r="W2667" t="s">
        <v>187</v>
      </c>
      <c r="Y2667" t="s">
        <v>51</v>
      </c>
      <c r="Z2667">
        <v>804</v>
      </c>
      <c r="AH2667">
        <v>0</v>
      </c>
      <c r="AI2667">
        <v>202506</v>
      </c>
      <c r="AJ2667" t="s">
        <v>52</v>
      </c>
      <c r="AK2667">
        <v>0</v>
      </c>
      <c r="AL2667">
        <v>1</v>
      </c>
      <c r="AO2667">
        <v>0</v>
      </c>
      <c r="AP2667" t="s">
        <v>3015</v>
      </c>
      <c r="AQ2667" t="s">
        <v>3044</v>
      </c>
      <c r="AR2667" t="s">
        <v>3045</v>
      </c>
      <c r="AS2667" t="s">
        <v>3046</v>
      </c>
      <c r="AU2667" t="s">
        <v>3046</v>
      </c>
    </row>
    <row r="2668" spans="1:47" x14ac:dyDescent="0.35">
      <c r="A2668">
        <v>360230</v>
      </c>
      <c r="B2668" t="s">
        <v>193</v>
      </c>
      <c r="C2668" t="s">
        <v>194</v>
      </c>
      <c r="D2668" s="2">
        <v>45826</v>
      </c>
      <c r="E2668">
        <v>53850</v>
      </c>
      <c r="F2668">
        <v>185</v>
      </c>
      <c r="G2668" t="s">
        <v>235</v>
      </c>
      <c r="H2668" t="s">
        <v>167</v>
      </c>
      <c r="I2668" t="s">
        <v>45</v>
      </c>
      <c r="K2668" t="s">
        <v>2636</v>
      </c>
      <c r="L2668">
        <v>1853300027828</v>
      </c>
      <c r="M2668">
        <v>20250617</v>
      </c>
      <c r="N2668" t="s">
        <v>175</v>
      </c>
      <c r="Q2668" t="s">
        <v>47</v>
      </c>
      <c r="R2668">
        <v>50489.8</v>
      </c>
      <c r="S2668">
        <v>40374</v>
      </c>
      <c r="T2668">
        <v>4451007</v>
      </c>
      <c r="U2668">
        <v>2677780732</v>
      </c>
      <c r="V2668" t="s">
        <v>2649</v>
      </c>
      <c r="W2668" t="s">
        <v>49</v>
      </c>
      <c r="X2668" t="s">
        <v>117</v>
      </c>
      <c r="Y2668" t="s">
        <v>51</v>
      </c>
      <c r="Z2668">
        <v>773</v>
      </c>
      <c r="AH2668">
        <v>0</v>
      </c>
      <c r="AI2668">
        <v>202506</v>
      </c>
      <c r="AJ2668" t="s">
        <v>86</v>
      </c>
      <c r="AK2668">
        <v>1</v>
      </c>
      <c r="AL2668">
        <v>1</v>
      </c>
      <c r="AO2668">
        <v>1</v>
      </c>
      <c r="AP2668" t="s">
        <v>3029</v>
      </c>
      <c r="AQ2668" t="s">
        <v>3012</v>
      </c>
      <c r="AR2668" t="s">
        <v>3030</v>
      </c>
      <c r="AS2668" t="s">
        <v>3014</v>
      </c>
      <c r="AU2668" t="s">
        <v>3014</v>
      </c>
    </row>
    <row r="2669" spans="1:47" x14ac:dyDescent="0.35">
      <c r="A2669">
        <v>360229</v>
      </c>
      <c r="B2669" t="s">
        <v>214</v>
      </c>
      <c r="C2669" t="s">
        <v>215</v>
      </c>
      <c r="D2669" s="2">
        <v>45826</v>
      </c>
      <c r="E2669">
        <v>53850</v>
      </c>
      <c r="F2669">
        <v>121</v>
      </c>
      <c r="G2669" t="s">
        <v>140</v>
      </c>
      <c r="H2669" t="s">
        <v>167</v>
      </c>
      <c r="I2669" t="s">
        <v>45</v>
      </c>
      <c r="K2669">
        <v>202506178078767</v>
      </c>
      <c r="L2669">
        <v>1213300002600</v>
      </c>
      <c r="M2669">
        <v>20250617</v>
      </c>
      <c r="N2669" t="s">
        <v>168</v>
      </c>
      <c r="P2669" t="s">
        <v>2292</v>
      </c>
      <c r="Q2669" t="s">
        <v>47</v>
      </c>
      <c r="R2669">
        <v>17367.63</v>
      </c>
      <c r="S2669">
        <v>0</v>
      </c>
      <c r="T2669">
        <v>4939345</v>
      </c>
      <c r="U2669">
        <v>5754810728</v>
      </c>
      <c r="V2669" t="s">
        <v>570</v>
      </c>
      <c r="W2669" t="s">
        <v>49</v>
      </c>
      <c r="X2669" t="s">
        <v>117</v>
      </c>
      <c r="Y2669" t="s">
        <v>51</v>
      </c>
      <c r="Z2669">
        <v>1058</v>
      </c>
      <c r="AH2669">
        <v>0</v>
      </c>
      <c r="AI2669">
        <v>202506</v>
      </c>
      <c r="AJ2669" t="s">
        <v>119</v>
      </c>
      <c r="AK2669">
        <v>1</v>
      </c>
      <c r="AL2669">
        <v>1</v>
      </c>
      <c r="AO2669">
        <v>0</v>
      </c>
      <c r="AP2669" t="s">
        <v>3029</v>
      </c>
      <c r="AQ2669" t="s">
        <v>3012</v>
      </c>
      <c r="AR2669" t="s">
        <v>3030</v>
      </c>
      <c r="AS2669" t="s">
        <v>3014</v>
      </c>
      <c r="AU2669" t="s">
        <v>3014</v>
      </c>
    </row>
    <row r="2670" spans="1:47" x14ac:dyDescent="0.35">
      <c r="A2670">
        <v>360228</v>
      </c>
      <c r="B2670" t="s">
        <v>172</v>
      </c>
      <c r="C2670" t="s">
        <v>173</v>
      </c>
      <c r="D2670" s="2">
        <v>45826</v>
      </c>
      <c r="E2670">
        <v>53850</v>
      </c>
      <c r="F2670">
        <v>121</v>
      </c>
      <c r="G2670" t="s">
        <v>140</v>
      </c>
      <c r="H2670" t="s">
        <v>167</v>
      </c>
      <c r="I2670" t="s">
        <v>45</v>
      </c>
      <c r="K2670">
        <v>202506178080058</v>
      </c>
      <c r="L2670">
        <v>1213300002971</v>
      </c>
      <c r="M2670">
        <v>20250617</v>
      </c>
      <c r="N2670" t="s">
        <v>81</v>
      </c>
      <c r="Q2670" t="s">
        <v>47</v>
      </c>
      <c r="R2670">
        <v>343000</v>
      </c>
      <c r="S2670">
        <v>0</v>
      </c>
      <c r="T2670">
        <v>4859756</v>
      </c>
      <c r="U2670">
        <v>7229510727</v>
      </c>
      <c r="V2670" t="s">
        <v>1564</v>
      </c>
      <c r="W2670" t="s">
        <v>49</v>
      </c>
      <c r="X2670" t="s">
        <v>381</v>
      </c>
      <c r="Y2670" t="s">
        <v>51</v>
      </c>
      <c r="Z2670">
        <v>1058</v>
      </c>
      <c r="AH2670">
        <v>0</v>
      </c>
      <c r="AI2670">
        <v>202506</v>
      </c>
      <c r="AJ2670" t="s">
        <v>86</v>
      </c>
      <c r="AK2670">
        <v>1</v>
      </c>
      <c r="AL2670">
        <v>1</v>
      </c>
      <c r="AO2670">
        <v>0</v>
      </c>
      <c r="AP2670" t="s">
        <v>3015</v>
      </c>
      <c r="AQ2670" t="s">
        <v>3012</v>
      </c>
      <c r="AR2670" t="s">
        <v>3016</v>
      </c>
      <c r="AT2670" t="s">
        <v>3017</v>
      </c>
      <c r="AU2670" t="s">
        <v>3018</v>
      </c>
    </row>
    <row r="2671" spans="1:47" x14ac:dyDescent="0.35">
      <c r="A2671">
        <v>360227</v>
      </c>
      <c r="B2671" t="s">
        <v>193</v>
      </c>
      <c r="C2671" t="s">
        <v>194</v>
      </c>
      <c r="D2671" s="2">
        <v>45826</v>
      </c>
      <c r="E2671">
        <v>53850</v>
      </c>
      <c r="F2671">
        <v>171</v>
      </c>
      <c r="G2671" t="s">
        <v>198</v>
      </c>
      <c r="H2671" t="s">
        <v>167</v>
      </c>
      <c r="I2671" t="s">
        <v>45</v>
      </c>
      <c r="K2671" t="s">
        <v>2636</v>
      </c>
      <c r="L2671">
        <v>1713305728950</v>
      </c>
      <c r="M2671">
        <v>20250617</v>
      </c>
      <c r="N2671" t="s">
        <v>175</v>
      </c>
      <c r="Q2671" t="s">
        <v>47</v>
      </c>
      <c r="R2671">
        <v>260070</v>
      </c>
      <c r="S2671">
        <v>254570</v>
      </c>
      <c r="T2671">
        <v>572895</v>
      </c>
      <c r="U2671">
        <v>4161600723</v>
      </c>
      <c r="V2671" t="s">
        <v>199</v>
      </c>
      <c r="W2671" t="s">
        <v>49</v>
      </c>
      <c r="X2671" t="s">
        <v>200</v>
      </c>
      <c r="Y2671" t="s">
        <v>51</v>
      </c>
      <c r="Z2671">
        <v>1903</v>
      </c>
      <c r="AH2671">
        <v>0</v>
      </c>
      <c r="AI2671">
        <v>202506</v>
      </c>
      <c r="AJ2671" t="s">
        <v>119</v>
      </c>
      <c r="AK2671">
        <v>1</v>
      </c>
      <c r="AL2671">
        <v>1</v>
      </c>
      <c r="AM2671">
        <v>572895</v>
      </c>
      <c r="AN2671">
        <v>1</v>
      </c>
      <c r="AO2671">
        <v>1</v>
      </c>
      <c r="AP2671" t="s">
        <v>3015</v>
      </c>
      <c r="AQ2671" t="s">
        <v>3012</v>
      </c>
      <c r="AR2671" t="s">
        <v>3016</v>
      </c>
      <c r="AT2671" t="s">
        <v>3017</v>
      </c>
      <c r="AU2671" t="s">
        <v>3018</v>
      </c>
    </row>
    <row r="2672" spans="1:47" x14ac:dyDescent="0.35">
      <c r="A2672">
        <v>360226</v>
      </c>
      <c r="B2672" t="s">
        <v>178</v>
      </c>
      <c r="C2672" t="s">
        <v>179</v>
      </c>
      <c r="D2672" s="2">
        <v>45826</v>
      </c>
      <c r="E2672">
        <v>53850</v>
      </c>
      <c r="F2672">
        <v>286</v>
      </c>
      <c r="G2672" t="s">
        <v>408</v>
      </c>
      <c r="H2672" t="s">
        <v>167</v>
      </c>
      <c r="I2672" t="s">
        <v>45</v>
      </c>
      <c r="K2672">
        <v>202506178080414</v>
      </c>
      <c r="L2672">
        <v>2863300010203</v>
      </c>
      <c r="M2672">
        <v>20250617</v>
      </c>
      <c r="N2672" t="s">
        <v>3136</v>
      </c>
      <c r="Q2672" t="s">
        <v>170</v>
      </c>
      <c r="R2672">
        <v>99775.63</v>
      </c>
      <c r="S2672">
        <v>0</v>
      </c>
      <c r="T2672">
        <v>1655834</v>
      </c>
      <c r="U2672" t="s">
        <v>2650</v>
      </c>
      <c r="V2672" t="s">
        <v>2651</v>
      </c>
      <c r="W2672" t="s">
        <v>187</v>
      </c>
      <c r="Y2672" t="s">
        <v>51</v>
      </c>
      <c r="Z2672">
        <v>1837</v>
      </c>
      <c r="AH2672">
        <v>0</v>
      </c>
      <c r="AI2672">
        <v>202506</v>
      </c>
      <c r="AJ2672" t="s">
        <v>52</v>
      </c>
      <c r="AK2672">
        <v>0</v>
      </c>
      <c r="AL2672">
        <v>1</v>
      </c>
      <c r="AO2672">
        <v>1</v>
      </c>
      <c r="AP2672" t="s">
        <v>3015</v>
      </c>
      <c r="AQ2672" t="s">
        <v>3044</v>
      </c>
      <c r="AR2672" t="s">
        <v>3045</v>
      </c>
      <c r="AS2672" t="s">
        <v>3046</v>
      </c>
      <c r="AU2672" t="s">
        <v>3046</v>
      </c>
    </row>
    <row r="2673" spans="1:47" x14ac:dyDescent="0.35">
      <c r="A2673">
        <v>360225</v>
      </c>
      <c r="B2673" t="s">
        <v>164</v>
      </c>
      <c r="C2673" t="s">
        <v>165</v>
      </c>
      <c r="D2673" s="2">
        <v>45826</v>
      </c>
      <c r="E2673">
        <v>53850</v>
      </c>
      <c r="F2673">
        <v>187</v>
      </c>
      <c r="G2673" t="s">
        <v>251</v>
      </c>
      <c r="H2673" t="s">
        <v>167</v>
      </c>
      <c r="I2673" t="s">
        <v>45</v>
      </c>
      <c r="K2673" t="s">
        <v>2652</v>
      </c>
      <c r="L2673">
        <v>1873300102696</v>
      </c>
      <c r="M2673">
        <v>20250617</v>
      </c>
      <c r="N2673" t="s">
        <v>168</v>
      </c>
      <c r="P2673" t="s">
        <v>255</v>
      </c>
      <c r="Q2673" t="s">
        <v>47</v>
      </c>
      <c r="R2673">
        <v>3651.1</v>
      </c>
      <c r="S2673">
        <v>0</v>
      </c>
      <c r="T2673">
        <v>4000559</v>
      </c>
      <c r="U2673">
        <v>2099160737</v>
      </c>
      <c r="V2673" t="s">
        <v>528</v>
      </c>
      <c r="W2673" t="s">
        <v>49</v>
      </c>
      <c r="X2673" t="s">
        <v>117</v>
      </c>
      <c r="Y2673" t="s">
        <v>51</v>
      </c>
      <c r="Z2673">
        <v>1627</v>
      </c>
      <c r="AH2673">
        <v>0</v>
      </c>
      <c r="AI2673">
        <v>202506</v>
      </c>
      <c r="AJ2673" t="s">
        <v>56</v>
      </c>
      <c r="AK2673">
        <v>0</v>
      </c>
      <c r="AL2673">
        <v>1</v>
      </c>
      <c r="AO2673">
        <v>0</v>
      </c>
      <c r="AP2673" t="s">
        <v>3029</v>
      </c>
      <c r="AQ2673" t="s">
        <v>3012</v>
      </c>
      <c r="AR2673" t="s">
        <v>3030</v>
      </c>
      <c r="AS2673" t="s">
        <v>3014</v>
      </c>
      <c r="AU2673" t="s">
        <v>3014</v>
      </c>
    </row>
    <row r="2674" spans="1:47" x14ac:dyDescent="0.35">
      <c r="A2674">
        <v>360224</v>
      </c>
      <c r="B2674" t="s">
        <v>193</v>
      </c>
      <c r="C2674" t="s">
        <v>194</v>
      </c>
      <c r="D2674" s="2">
        <v>45826</v>
      </c>
      <c r="E2674">
        <v>53850</v>
      </c>
      <c r="F2674">
        <v>102</v>
      </c>
      <c r="G2674" t="s">
        <v>151</v>
      </c>
      <c r="H2674" t="s">
        <v>167</v>
      </c>
      <c r="I2674" t="s">
        <v>45</v>
      </c>
      <c r="K2674">
        <v>202506178079326</v>
      </c>
      <c r="L2674">
        <v>1023308722503</v>
      </c>
      <c r="M2674">
        <v>20250617</v>
      </c>
      <c r="N2674" t="s">
        <v>195</v>
      </c>
      <c r="Q2674" t="s">
        <v>47</v>
      </c>
      <c r="R2674">
        <v>32650</v>
      </c>
      <c r="S2674">
        <v>32650</v>
      </c>
      <c r="T2674">
        <v>413650</v>
      </c>
      <c r="U2674">
        <v>3657230722</v>
      </c>
      <c r="V2674" t="s">
        <v>196</v>
      </c>
      <c r="W2674" t="s">
        <v>190</v>
      </c>
      <c r="X2674" t="s">
        <v>197</v>
      </c>
      <c r="Y2674" t="s">
        <v>51</v>
      </c>
      <c r="Z2674">
        <v>1306</v>
      </c>
      <c r="AH2674">
        <v>0</v>
      </c>
      <c r="AI2674">
        <v>202506</v>
      </c>
      <c r="AJ2674" t="s">
        <v>119</v>
      </c>
      <c r="AK2674">
        <v>1</v>
      </c>
      <c r="AL2674">
        <v>1</v>
      </c>
      <c r="AM2674">
        <v>413650</v>
      </c>
      <c r="AN2674">
        <v>1</v>
      </c>
      <c r="AO2674">
        <v>0</v>
      </c>
      <c r="AP2674" t="s">
        <v>3050</v>
      </c>
      <c r="AQ2674" t="s">
        <v>3047</v>
      </c>
      <c r="AR2674" t="s">
        <v>3051</v>
      </c>
      <c r="AS2674" t="s">
        <v>3049</v>
      </c>
      <c r="AU2674" t="s">
        <v>3049</v>
      </c>
    </row>
    <row r="2675" spans="1:47" x14ac:dyDescent="0.35">
      <c r="A2675">
        <v>360223</v>
      </c>
      <c r="B2675" t="s">
        <v>193</v>
      </c>
      <c r="C2675" t="s">
        <v>194</v>
      </c>
      <c r="D2675" s="2">
        <v>45826</v>
      </c>
      <c r="E2675">
        <v>53850</v>
      </c>
      <c r="F2675">
        <v>171</v>
      </c>
      <c r="G2675" t="s">
        <v>198</v>
      </c>
      <c r="H2675" t="s">
        <v>167</v>
      </c>
      <c r="I2675" t="s">
        <v>45</v>
      </c>
      <c r="K2675" t="s">
        <v>2636</v>
      </c>
      <c r="L2675">
        <v>1713302214147</v>
      </c>
      <c r="M2675">
        <v>20250617</v>
      </c>
      <c r="N2675" t="s">
        <v>175</v>
      </c>
      <c r="Q2675" t="s">
        <v>47</v>
      </c>
      <c r="R2675">
        <v>49935</v>
      </c>
      <c r="S2675">
        <v>48135</v>
      </c>
      <c r="T2675">
        <v>4199319</v>
      </c>
      <c r="U2675">
        <v>6037810725</v>
      </c>
      <c r="V2675" t="s">
        <v>1144</v>
      </c>
      <c r="W2675" t="s">
        <v>49</v>
      </c>
      <c r="X2675" t="s">
        <v>200</v>
      </c>
      <c r="Y2675" t="s">
        <v>51</v>
      </c>
      <c r="Z2675">
        <v>1903</v>
      </c>
      <c r="AH2675">
        <v>0</v>
      </c>
      <c r="AI2675">
        <v>202506</v>
      </c>
      <c r="AJ2675" t="s">
        <v>86</v>
      </c>
      <c r="AK2675">
        <v>1</v>
      </c>
      <c r="AL2675">
        <v>1</v>
      </c>
      <c r="AM2675">
        <v>4199319</v>
      </c>
      <c r="AN2675">
        <v>1</v>
      </c>
      <c r="AO2675">
        <v>1</v>
      </c>
      <c r="AP2675" t="s">
        <v>3015</v>
      </c>
      <c r="AQ2675" t="s">
        <v>3012</v>
      </c>
      <c r="AR2675" t="s">
        <v>3016</v>
      </c>
      <c r="AT2675" t="s">
        <v>3017</v>
      </c>
      <c r="AU2675" t="s">
        <v>3018</v>
      </c>
    </row>
    <row r="2676" spans="1:47" x14ac:dyDescent="0.35">
      <c r="A2676">
        <v>360222</v>
      </c>
      <c r="B2676" t="s">
        <v>164</v>
      </c>
      <c r="C2676" t="s">
        <v>165</v>
      </c>
      <c r="D2676" s="2">
        <v>45826</v>
      </c>
      <c r="E2676">
        <v>53850</v>
      </c>
      <c r="F2676">
        <v>147</v>
      </c>
      <c r="G2676" t="s">
        <v>771</v>
      </c>
      <c r="H2676" t="s">
        <v>167</v>
      </c>
      <c r="I2676" t="s">
        <v>45</v>
      </c>
      <c r="K2676" t="s">
        <v>2653</v>
      </c>
      <c r="L2676">
        <v>1473300005217</v>
      </c>
      <c r="M2676">
        <v>20250617</v>
      </c>
      <c r="N2676" t="s">
        <v>168</v>
      </c>
      <c r="P2676" t="s">
        <v>255</v>
      </c>
      <c r="Q2676" t="s">
        <v>170</v>
      </c>
      <c r="R2676">
        <v>1770</v>
      </c>
      <c r="S2676">
        <v>0</v>
      </c>
      <c r="T2676">
        <v>3724704</v>
      </c>
      <c r="U2676">
        <v>4306130610</v>
      </c>
      <c r="V2676" t="s">
        <v>773</v>
      </c>
      <c r="W2676" t="s">
        <v>49</v>
      </c>
      <c r="X2676" t="s">
        <v>686</v>
      </c>
      <c r="Y2676" t="s">
        <v>51</v>
      </c>
      <c r="Z2676">
        <v>1196</v>
      </c>
      <c r="AH2676">
        <v>0</v>
      </c>
      <c r="AI2676">
        <v>202506</v>
      </c>
      <c r="AJ2676" t="s">
        <v>86</v>
      </c>
      <c r="AK2676">
        <v>1</v>
      </c>
      <c r="AL2676">
        <v>1</v>
      </c>
      <c r="AO2676">
        <v>0</v>
      </c>
      <c r="AP2676" t="s">
        <v>3015</v>
      </c>
      <c r="AQ2676" t="s">
        <v>3012</v>
      </c>
      <c r="AR2676" t="s">
        <v>3016</v>
      </c>
      <c r="AT2676" t="s">
        <v>3017</v>
      </c>
      <c r="AU2676" t="s">
        <v>3018</v>
      </c>
    </row>
    <row r="2677" spans="1:47" x14ac:dyDescent="0.35">
      <c r="A2677">
        <v>360221</v>
      </c>
      <c r="B2677" t="s">
        <v>193</v>
      </c>
      <c r="C2677" t="s">
        <v>194</v>
      </c>
      <c r="D2677" s="2">
        <v>45826</v>
      </c>
      <c r="E2677">
        <v>53850</v>
      </c>
      <c r="F2677">
        <v>120</v>
      </c>
      <c r="G2677" t="s">
        <v>411</v>
      </c>
      <c r="H2677" t="s">
        <v>167</v>
      </c>
      <c r="I2677" t="s">
        <v>45</v>
      </c>
      <c r="K2677" t="s">
        <v>2636</v>
      </c>
      <c r="L2677">
        <v>1203300001670</v>
      </c>
      <c r="M2677">
        <v>20250617</v>
      </c>
      <c r="N2677" t="s">
        <v>175</v>
      </c>
      <c r="Q2677" t="s">
        <v>47</v>
      </c>
      <c r="R2677">
        <v>73360</v>
      </c>
      <c r="S2677">
        <v>71560</v>
      </c>
      <c r="T2677">
        <v>4510434</v>
      </c>
      <c r="U2677">
        <v>6789440721</v>
      </c>
      <c r="V2677" t="s">
        <v>412</v>
      </c>
      <c r="W2677" t="s">
        <v>190</v>
      </c>
      <c r="X2677" t="s">
        <v>413</v>
      </c>
      <c r="Y2677" t="s">
        <v>51</v>
      </c>
      <c r="Z2677">
        <v>1640</v>
      </c>
      <c r="AH2677">
        <v>0</v>
      </c>
      <c r="AI2677">
        <v>202506</v>
      </c>
      <c r="AJ2677" t="s">
        <v>119</v>
      </c>
      <c r="AK2677">
        <v>1</v>
      </c>
      <c r="AL2677">
        <v>1</v>
      </c>
      <c r="AM2677">
        <v>4510434</v>
      </c>
      <c r="AN2677">
        <v>1</v>
      </c>
      <c r="AO2677">
        <v>1</v>
      </c>
      <c r="AP2677" t="s">
        <v>3015</v>
      </c>
      <c r="AQ2677" t="s">
        <v>3047</v>
      </c>
      <c r="AR2677" t="s">
        <v>3056</v>
      </c>
      <c r="AT2677" t="s">
        <v>3017</v>
      </c>
      <c r="AU2677" t="s">
        <v>3057</v>
      </c>
    </row>
    <row r="2678" spans="1:47" x14ac:dyDescent="0.35">
      <c r="A2678">
        <v>360220</v>
      </c>
      <c r="B2678" t="s">
        <v>178</v>
      </c>
      <c r="C2678" t="s">
        <v>179</v>
      </c>
      <c r="D2678" s="2">
        <v>45826</v>
      </c>
      <c r="E2678">
        <v>53850</v>
      </c>
      <c r="F2678">
        <v>161</v>
      </c>
      <c r="G2678" t="s">
        <v>111</v>
      </c>
      <c r="H2678" t="s">
        <v>167</v>
      </c>
      <c r="I2678" t="s">
        <v>45</v>
      </c>
      <c r="K2678">
        <v>202506178078566</v>
      </c>
      <c r="L2678">
        <v>1613300029653</v>
      </c>
      <c r="M2678">
        <v>20250617</v>
      </c>
      <c r="N2678" t="s">
        <v>46</v>
      </c>
      <c r="P2678" t="s">
        <v>51</v>
      </c>
      <c r="Q2678" t="s">
        <v>47</v>
      </c>
      <c r="R2678">
        <v>390000</v>
      </c>
      <c r="S2678">
        <v>0</v>
      </c>
      <c r="T2678">
        <v>4088769</v>
      </c>
      <c r="U2678">
        <v>5150120722</v>
      </c>
      <c r="V2678" t="s">
        <v>270</v>
      </c>
      <c r="W2678" t="s">
        <v>49</v>
      </c>
      <c r="X2678" t="s">
        <v>110</v>
      </c>
      <c r="Y2678" t="s">
        <v>51</v>
      </c>
      <c r="Z2678">
        <v>1903</v>
      </c>
      <c r="AH2678">
        <v>0</v>
      </c>
      <c r="AI2678">
        <v>202506</v>
      </c>
      <c r="AJ2678" t="s">
        <v>56</v>
      </c>
      <c r="AK2678">
        <v>0</v>
      </c>
      <c r="AL2678">
        <v>1</v>
      </c>
      <c r="AM2678">
        <v>4088769</v>
      </c>
      <c r="AN2678">
        <v>1</v>
      </c>
      <c r="AO2678">
        <v>0</v>
      </c>
      <c r="AP2678" t="s">
        <v>3026</v>
      </c>
      <c r="AQ2678" t="s">
        <v>3012</v>
      </c>
      <c r="AR2678" t="s">
        <v>3027</v>
      </c>
      <c r="AS2678" t="s">
        <v>3028</v>
      </c>
      <c r="AU2678" t="s">
        <v>3028</v>
      </c>
    </row>
    <row r="2679" spans="1:47" x14ac:dyDescent="0.35">
      <c r="A2679">
        <v>360219</v>
      </c>
      <c r="B2679" t="s">
        <v>164</v>
      </c>
      <c r="C2679" t="s">
        <v>165</v>
      </c>
      <c r="D2679" s="2">
        <v>45826</v>
      </c>
      <c r="E2679">
        <v>53850</v>
      </c>
      <c r="F2679">
        <v>176</v>
      </c>
      <c r="G2679" t="s">
        <v>390</v>
      </c>
      <c r="H2679" t="s">
        <v>167</v>
      </c>
      <c r="I2679" t="s">
        <v>45</v>
      </c>
      <c r="K2679" t="s">
        <v>2654</v>
      </c>
      <c r="L2679">
        <v>1763300019661</v>
      </c>
      <c r="M2679">
        <v>20250617</v>
      </c>
      <c r="N2679" t="s">
        <v>168</v>
      </c>
      <c r="P2679" t="s">
        <v>203</v>
      </c>
      <c r="Q2679" t="s">
        <v>47</v>
      </c>
      <c r="R2679">
        <v>4000</v>
      </c>
      <c r="S2679">
        <v>0</v>
      </c>
      <c r="T2679">
        <v>4875036</v>
      </c>
      <c r="U2679">
        <v>1291610770</v>
      </c>
      <c r="V2679" t="s">
        <v>2655</v>
      </c>
      <c r="W2679" t="s">
        <v>190</v>
      </c>
      <c r="X2679" t="s">
        <v>2656</v>
      </c>
      <c r="Y2679" t="s">
        <v>51</v>
      </c>
      <c r="Z2679">
        <v>440</v>
      </c>
      <c r="AH2679">
        <v>0</v>
      </c>
      <c r="AI2679">
        <v>202506</v>
      </c>
      <c r="AJ2679" t="s">
        <v>86</v>
      </c>
      <c r="AK2679">
        <v>1</v>
      </c>
      <c r="AL2679">
        <v>1</v>
      </c>
      <c r="AO2679">
        <v>0</v>
      </c>
      <c r="AP2679" t="s">
        <v>3015</v>
      </c>
      <c r="AQ2679" t="s">
        <v>3047</v>
      </c>
      <c r="AR2679" t="s">
        <v>3056</v>
      </c>
      <c r="AT2679" t="s">
        <v>3017</v>
      </c>
      <c r="AU2679" t="s">
        <v>3057</v>
      </c>
    </row>
    <row r="2680" spans="1:47" x14ac:dyDescent="0.35">
      <c r="A2680">
        <v>360218</v>
      </c>
      <c r="B2680" t="s">
        <v>193</v>
      </c>
      <c r="C2680" t="s">
        <v>194</v>
      </c>
      <c r="D2680" s="2">
        <v>45826</v>
      </c>
      <c r="E2680">
        <v>53850</v>
      </c>
      <c r="F2680">
        <v>267</v>
      </c>
      <c r="G2680" t="s">
        <v>349</v>
      </c>
      <c r="H2680" t="s">
        <v>167</v>
      </c>
      <c r="I2680" t="s">
        <v>45</v>
      </c>
      <c r="K2680">
        <v>202506178080352</v>
      </c>
      <c r="L2680">
        <v>2673300003600</v>
      </c>
      <c r="M2680">
        <v>20250617</v>
      </c>
      <c r="N2680" t="s">
        <v>266</v>
      </c>
      <c r="Q2680" t="s">
        <v>47</v>
      </c>
      <c r="R2680">
        <v>100000</v>
      </c>
      <c r="S2680">
        <v>100000</v>
      </c>
      <c r="T2680">
        <v>1705101</v>
      </c>
      <c r="U2680">
        <v>2896870793</v>
      </c>
      <c r="V2680" t="s">
        <v>439</v>
      </c>
      <c r="W2680" t="s">
        <v>190</v>
      </c>
      <c r="X2680" t="s">
        <v>200</v>
      </c>
      <c r="Y2680" t="s">
        <v>51</v>
      </c>
      <c r="Z2680">
        <v>1878</v>
      </c>
      <c r="AH2680">
        <v>0</v>
      </c>
      <c r="AI2680">
        <v>202506</v>
      </c>
      <c r="AJ2680" t="s">
        <v>119</v>
      </c>
      <c r="AK2680">
        <v>1</v>
      </c>
      <c r="AL2680">
        <v>1</v>
      </c>
      <c r="AM2680">
        <v>1705101</v>
      </c>
      <c r="AN2680">
        <v>1</v>
      </c>
      <c r="AO2680">
        <v>0</v>
      </c>
      <c r="AP2680" t="s">
        <v>3015</v>
      </c>
      <c r="AQ2680" t="s">
        <v>3047</v>
      </c>
      <c r="AR2680" t="s">
        <v>3056</v>
      </c>
      <c r="AT2680" t="s">
        <v>3017</v>
      </c>
      <c r="AU2680" t="s">
        <v>3057</v>
      </c>
    </row>
    <row r="2681" spans="1:47" x14ac:dyDescent="0.35">
      <c r="A2681">
        <v>360217</v>
      </c>
      <c r="B2681" t="s">
        <v>178</v>
      </c>
      <c r="C2681" t="s">
        <v>179</v>
      </c>
      <c r="D2681" s="2">
        <v>45826</v>
      </c>
      <c r="E2681">
        <v>53850</v>
      </c>
      <c r="F2681">
        <v>182</v>
      </c>
      <c r="G2681" t="s">
        <v>318</v>
      </c>
      <c r="H2681" t="s">
        <v>167</v>
      </c>
      <c r="I2681" t="s">
        <v>45</v>
      </c>
      <c r="K2681">
        <v>202506178078572</v>
      </c>
      <c r="L2681">
        <v>1823300058518</v>
      </c>
      <c r="M2681">
        <v>20250617</v>
      </c>
      <c r="N2681" t="s">
        <v>46</v>
      </c>
      <c r="P2681" t="s">
        <v>51</v>
      </c>
      <c r="Q2681" t="s">
        <v>47</v>
      </c>
      <c r="R2681">
        <v>4000000</v>
      </c>
      <c r="S2681">
        <v>0</v>
      </c>
      <c r="T2681">
        <v>3001876</v>
      </c>
      <c r="U2681">
        <v>90112650735</v>
      </c>
      <c r="V2681" t="s">
        <v>2380</v>
      </c>
      <c r="W2681" t="s">
        <v>685</v>
      </c>
      <c r="X2681" t="s">
        <v>746</v>
      </c>
      <c r="Y2681" t="s">
        <v>51</v>
      </c>
      <c r="Z2681">
        <v>676</v>
      </c>
      <c r="AH2681">
        <v>0</v>
      </c>
      <c r="AI2681">
        <v>202506</v>
      </c>
      <c r="AJ2681" t="s">
        <v>86</v>
      </c>
      <c r="AK2681">
        <v>1</v>
      </c>
      <c r="AL2681">
        <v>1</v>
      </c>
      <c r="AO2681">
        <v>0</v>
      </c>
      <c r="AP2681" t="s">
        <v>3015</v>
      </c>
      <c r="AQ2681" t="s">
        <v>3082</v>
      </c>
      <c r="AR2681" t="s">
        <v>3083</v>
      </c>
      <c r="AT2681" t="s">
        <v>3017</v>
      </c>
      <c r="AU2681" t="s">
        <v>3018</v>
      </c>
    </row>
    <row r="2682" spans="1:47" x14ac:dyDescent="0.35">
      <c r="A2682">
        <v>360216</v>
      </c>
      <c r="B2682" t="s">
        <v>172</v>
      </c>
      <c r="C2682" t="s">
        <v>173</v>
      </c>
      <c r="D2682" s="2">
        <v>45826</v>
      </c>
      <c r="E2682">
        <v>53850</v>
      </c>
      <c r="F2682">
        <v>267</v>
      </c>
      <c r="G2682" t="s">
        <v>349</v>
      </c>
      <c r="H2682" t="s">
        <v>167</v>
      </c>
      <c r="I2682" t="s">
        <v>45</v>
      </c>
      <c r="K2682">
        <v>202506178080352</v>
      </c>
      <c r="L2682">
        <v>2673300003600</v>
      </c>
      <c r="M2682">
        <v>20250617</v>
      </c>
      <c r="N2682" t="s">
        <v>266</v>
      </c>
      <c r="Q2682" t="s">
        <v>47</v>
      </c>
      <c r="R2682">
        <v>100000</v>
      </c>
      <c r="S2682">
        <v>100000</v>
      </c>
      <c r="T2682">
        <v>1705101</v>
      </c>
      <c r="U2682">
        <v>2896870793</v>
      </c>
      <c r="V2682" t="s">
        <v>439</v>
      </c>
      <c r="W2682" t="s">
        <v>190</v>
      </c>
      <c r="X2682" t="s">
        <v>200</v>
      </c>
      <c r="Y2682" t="s">
        <v>51</v>
      </c>
      <c r="Z2682">
        <v>1878</v>
      </c>
      <c r="AH2682">
        <v>0</v>
      </c>
      <c r="AI2682">
        <v>202506</v>
      </c>
      <c r="AJ2682" t="s">
        <v>119</v>
      </c>
      <c r="AK2682">
        <v>1</v>
      </c>
      <c r="AL2682">
        <v>1</v>
      </c>
      <c r="AM2682">
        <v>1705101</v>
      </c>
      <c r="AN2682">
        <v>1</v>
      </c>
      <c r="AO2682">
        <v>0</v>
      </c>
      <c r="AP2682" t="s">
        <v>3015</v>
      </c>
      <c r="AQ2682" t="s">
        <v>3047</v>
      </c>
      <c r="AR2682" t="s">
        <v>3056</v>
      </c>
      <c r="AT2682" t="s">
        <v>3017</v>
      </c>
      <c r="AU2682" t="s">
        <v>3057</v>
      </c>
    </row>
    <row r="2683" spans="1:47" x14ac:dyDescent="0.35">
      <c r="A2683">
        <v>360215</v>
      </c>
      <c r="B2683" t="s">
        <v>193</v>
      </c>
      <c r="C2683" t="s">
        <v>194</v>
      </c>
      <c r="D2683" s="2">
        <v>45826</v>
      </c>
      <c r="E2683">
        <v>53850</v>
      </c>
      <c r="F2683">
        <v>116</v>
      </c>
      <c r="G2683" t="s">
        <v>126</v>
      </c>
      <c r="H2683" t="s">
        <v>167</v>
      </c>
      <c r="I2683" t="s">
        <v>45</v>
      </c>
      <c r="K2683">
        <v>202506178079797</v>
      </c>
      <c r="L2683">
        <v>2343300010453</v>
      </c>
      <c r="M2683">
        <v>20250617</v>
      </c>
      <c r="N2683" t="s">
        <v>195</v>
      </c>
      <c r="Q2683" t="s">
        <v>47</v>
      </c>
      <c r="R2683">
        <v>153050.04999999999</v>
      </c>
      <c r="S2683">
        <v>153050.04999999999</v>
      </c>
      <c r="T2683">
        <v>4247777</v>
      </c>
      <c r="U2683">
        <v>233470236</v>
      </c>
      <c r="V2683" t="s">
        <v>206</v>
      </c>
      <c r="W2683" t="s">
        <v>49</v>
      </c>
      <c r="X2683" t="s">
        <v>117</v>
      </c>
      <c r="Y2683" t="s">
        <v>51</v>
      </c>
      <c r="Z2683">
        <v>1696</v>
      </c>
      <c r="AH2683">
        <v>0</v>
      </c>
      <c r="AI2683">
        <v>202506</v>
      </c>
      <c r="AJ2683" t="s">
        <v>86</v>
      </c>
      <c r="AK2683">
        <v>1</v>
      </c>
      <c r="AL2683">
        <v>1</v>
      </c>
      <c r="AM2683">
        <v>4247777</v>
      </c>
      <c r="AN2683">
        <v>1</v>
      </c>
      <c r="AO2683">
        <v>0</v>
      </c>
      <c r="AP2683" t="s">
        <v>3029</v>
      </c>
      <c r="AQ2683" t="s">
        <v>3012</v>
      </c>
      <c r="AR2683" t="s">
        <v>3030</v>
      </c>
      <c r="AS2683" t="s">
        <v>3014</v>
      </c>
      <c r="AU2683" t="s">
        <v>3014</v>
      </c>
    </row>
    <row r="2684" spans="1:47" x14ac:dyDescent="0.35">
      <c r="A2684">
        <v>360214</v>
      </c>
      <c r="B2684" t="s">
        <v>172</v>
      </c>
      <c r="C2684" t="s">
        <v>173</v>
      </c>
      <c r="D2684" s="2">
        <v>45826</v>
      </c>
      <c r="E2684">
        <v>53850</v>
      </c>
      <c r="F2684">
        <v>116</v>
      </c>
      <c r="G2684" t="s">
        <v>126</v>
      </c>
      <c r="H2684" t="s">
        <v>167</v>
      </c>
      <c r="I2684" t="s">
        <v>45</v>
      </c>
      <c r="K2684">
        <v>202506178079797</v>
      </c>
      <c r="L2684">
        <v>2343300010453</v>
      </c>
      <c r="M2684">
        <v>20250617</v>
      </c>
      <c r="N2684" t="s">
        <v>195</v>
      </c>
      <c r="Q2684" t="s">
        <v>47</v>
      </c>
      <c r="R2684">
        <v>153050.04999999999</v>
      </c>
      <c r="S2684">
        <v>153050.04999999999</v>
      </c>
      <c r="T2684">
        <v>4247777</v>
      </c>
      <c r="U2684">
        <v>233470236</v>
      </c>
      <c r="V2684" t="s">
        <v>206</v>
      </c>
      <c r="W2684" t="s">
        <v>49</v>
      </c>
      <c r="X2684" t="s">
        <v>117</v>
      </c>
      <c r="Y2684" t="s">
        <v>51</v>
      </c>
      <c r="Z2684">
        <v>1696</v>
      </c>
      <c r="AH2684">
        <v>0</v>
      </c>
      <c r="AI2684">
        <v>202506</v>
      </c>
      <c r="AJ2684" t="s">
        <v>86</v>
      </c>
      <c r="AK2684">
        <v>1</v>
      </c>
      <c r="AL2684">
        <v>1</v>
      </c>
      <c r="AM2684">
        <v>4247777</v>
      </c>
      <c r="AN2684">
        <v>1</v>
      </c>
      <c r="AO2684">
        <v>0</v>
      </c>
      <c r="AP2684" t="s">
        <v>3029</v>
      </c>
      <c r="AQ2684" t="s">
        <v>3012</v>
      </c>
      <c r="AR2684" t="s">
        <v>3030</v>
      </c>
      <c r="AS2684" t="s">
        <v>3014</v>
      </c>
      <c r="AU2684" t="s">
        <v>3014</v>
      </c>
    </row>
    <row r="2685" spans="1:47" x14ac:dyDescent="0.35">
      <c r="A2685">
        <v>360213</v>
      </c>
      <c r="B2685" t="s">
        <v>172</v>
      </c>
      <c r="C2685" t="s">
        <v>173</v>
      </c>
      <c r="D2685" s="2">
        <v>45826</v>
      </c>
      <c r="E2685">
        <v>53850</v>
      </c>
      <c r="F2685">
        <v>170</v>
      </c>
      <c r="G2685" t="s">
        <v>211</v>
      </c>
      <c r="H2685" t="s">
        <v>167</v>
      </c>
      <c r="I2685" t="s">
        <v>45</v>
      </c>
      <c r="K2685">
        <v>202506178080209</v>
      </c>
      <c r="L2685">
        <v>1703306290713</v>
      </c>
      <c r="M2685">
        <v>20250617</v>
      </c>
      <c r="N2685" t="s">
        <v>231</v>
      </c>
      <c r="Q2685" t="s">
        <v>47</v>
      </c>
      <c r="R2685">
        <v>156000</v>
      </c>
      <c r="S2685">
        <v>0</v>
      </c>
      <c r="T2685">
        <v>4206297</v>
      </c>
      <c r="U2685" t="s">
        <v>2657</v>
      </c>
      <c r="V2685" t="s">
        <v>2658</v>
      </c>
      <c r="W2685" t="s">
        <v>187</v>
      </c>
      <c r="Y2685" t="s">
        <v>51</v>
      </c>
      <c r="Z2685">
        <v>1476</v>
      </c>
      <c r="AH2685">
        <v>0</v>
      </c>
      <c r="AI2685">
        <v>202506</v>
      </c>
      <c r="AJ2685" t="s">
        <v>86</v>
      </c>
      <c r="AK2685">
        <v>1</v>
      </c>
      <c r="AL2685">
        <v>1</v>
      </c>
      <c r="AO2685">
        <v>0</v>
      </c>
      <c r="AP2685" t="s">
        <v>3015</v>
      </c>
      <c r="AQ2685" t="s">
        <v>3044</v>
      </c>
      <c r="AR2685" t="s">
        <v>3045</v>
      </c>
      <c r="AS2685" t="s">
        <v>3046</v>
      </c>
      <c r="AU2685" t="s">
        <v>3046</v>
      </c>
    </row>
    <row r="2686" spans="1:47" x14ac:dyDescent="0.35">
      <c r="A2686">
        <v>360212</v>
      </c>
      <c r="B2686" t="s">
        <v>193</v>
      </c>
      <c r="C2686" t="s">
        <v>194</v>
      </c>
      <c r="D2686" s="2">
        <v>45826</v>
      </c>
      <c r="E2686">
        <v>53850</v>
      </c>
      <c r="F2686">
        <v>114</v>
      </c>
      <c r="G2686" t="s">
        <v>188</v>
      </c>
      <c r="H2686" t="s">
        <v>167</v>
      </c>
      <c r="I2686" t="s">
        <v>45</v>
      </c>
      <c r="K2686" t="s">
        <v>2636</v>
      </c>
      <c r="L2686">
        <v>1143306285135</v>
      </c>
      <c r="M2686">
        <v>20250617</v>
      </c>
      <c r="N2686" t="s">
        <v>175</v>
      </c>
      <c r="Q2686" t="s">
        <v>47</v>
      </c>
      <c r="R2686">
        <v>28900</v>
      </c>
      <c r="S2686">
        <v>18050</v>
      </c>
      <c r="T2686">
        <v>3730898</v>
      </c>
      <c r="U2686" t="s">
        <v>835</v>
      </c>
      <c r="V2686" t="s">
        <v>836</v>
      </c>
      <c r="W2686" t="s">
        <v>69</v>
      </c>
      <c r="X2686" t="s">
        <v>131</v>
      </c>
      <c r="Y2686" t="s">
        <v>51</v>
      </c>
      <c r="Z2686">
        <v>869</v>
      </c>
      <c r="AH2686">
        <v>0</v>
      </c>
      <c r="AI2686">
        <v>202506</v>
      </c>
      <c r="AJ2686" t="s">
        <v>56</v>
      </c>
      <c r="AK2686">
        <v>0</v>
      </c>
      <c r="AL2686">
        <v>1</v>
      </c>
      <c r="AM2686">
        <v>3730898</v>
      </c>
      <c r="AN2686">
        <v>1</v>
      </c>
      <c r="AO2686">
        <v>1</v>
      </c>
      <c r="AP2686" t="s">
        <v>3033</v>
      </c>
      <c r="AQ2686" t="s">
        <v>3021</v>
      </c>
      <c r="AR2686" t="s">
        <v>3054</v>
      </c>
      <c r="AS2686" t="s">
        <v>3055</v>
      </c>
      <c r="AU2686" t="s">
        <v>3055</v>
      </c>
    </row>
    <row r="2687" spans="1:47" x14ac:dyDescent="0.35">
      <c r="A2687">
        <v>360211</v>
      </c>
      <c r="B2687" t="s">
        <v>178</v>
      </c>
      <c r="C2687" t="s">
        <v>179</v>
      </c>
      <c r="D2687" s="2">
        <v>45826</v>
      </c>
      <c r="E2687">
        <v>53850</v>
      </c>
      <c r="F2687">
        <v>145</v>
      </c>
      <c r="G2687" t="s">
        <v>115</v>
      </c>
      <c r="H2687" t="s">
        <v>167</v>
      </c>
      <c r="I2687" t="s">
        <v>45</v>
      </c>
      <c r="K2687">
        <v>202506178080127</v>
      </c>
      <c r="L2687">
        <v>1453300003728</v>
      </c>
      <c r="M2687">
        <v>20250617</v>
      </c>
      <c r="N2687" t="s">
        <v>3136</v>
      </c>
      <c r="Q2687" t="s">
        <v>170</v>
      </c>
      <c r="R2687">
        <v>67272.490000000005</v>
      </c>
      <c r="S2687">
        <v>0</v>
      </c>
      <c r="T2687">
        <v>4019</v>
      </c>
      <c r="U2687" t="s">
        <v>2582</v>
      </c>
      <c r="V2687" t="s">
        <v>2583</v>
      </c>
      <c r="W2687" t="s">
        <v>187</v>
      </c>
      <c r="Y2687" t="s">
        <v>51</v>
      </c>
      <c r="Z2687">
        <v>1222</v>
      </c>
      <c r="AH2687">
        <v>0</v>
      </c>
      <c r="AI2687">
        <v>202506</v>
      </c>
      <c r="AJ2687" t="s">
        <v>86</v>
      </c>
      <c r="AK2687">
        <v>1</v>
      </c>
      <c r="AL2687">
        <v>1</v>
      </c>
      <c r="AO2687">
        <v>1</v>
      </c>
      <c r="AP2687" t="s">
        <v>3015</v>
      </c>
      <c r="AQ2687" t="s">
        <v>3044</v>
      </c>
      <c r="AR2687" t="s">
        <v>3045</v>
      </c>
      <c r="AS2687" t="s">
        <v>3046</v>
      </c>
      <c r="AU2687" t="s">
        <v>3046</v>
      </c>
    </row>
    <row r="2688" spans="1:47" x14ac:dyDescent="0.35">
      <c r="A2688">
        <v>360210</v>
      </c>
      <c r="B2688" t="s">
        <v>178</v>
      </c>
      <c r="C2688" t="s">
        <v>179</v>
      </c>
      <c r="D2688" s="2">
        <v>45826</v>
      </c>
      <c r="E2688">
        <v>53850</v>
      </c>
      <c r="F2688">
        <v>105</v>
      </c>
      <c r="G2688" t="s">
        <v>60</v>
      </c>
      <c r="H2688" t="s">
        <v>167</v>
      </c>
      <c r="I2688" t="s">
        <v>45</v>
      </c>
      <c r="K2688">
        <v>202506178078195</v>
      </c>
      <c r="L2688">
        <v>1053306287103</v>
      </c>
      <c r="M2688">
        <v>20250617</v>
      </c>
      <c r="N2688" t="s">
        <v>46</v>
      </c>
      <c r="P2688" t="s">
        <v>51</v>
      </c>
      <c r="Q2688" t="s">
        <v>47</v>
      </c>
      <c r="R2688">
        <v>2704796</v>
      </c>
      <c r="S2688">
        <v>0</v>
      </c>
      <c r="T2688">
        <v>4263360</v>
      </c>
      <c r="U2688">
        <v>5982300724</v>
      </c>
      <c r="V2688" t="s">
        <v>61</v>
      </c>
      <c r="W2688" t="s">
        <v>49</v>
      </c>
      <c r="X2688" t="s">
        <v>62</v>
      </c>
      <c r="Y2688" t="s">
        <v>51</v>
      </c>
      <c r="Z2688">
        <v>1058</v>
      </c>
      <c r="AH2688">
        <v>0</v>
      </c>
      <c r="AI2688">
        <v>202506</v>
      </c>
      <c r="AJ2688" t="s">
        <v>86</v>
      </c>
      <c r="AK2688">
        <v>1</v>
      </c>
      <c r="AL2688">
        <v>1</v>
      </c>
      <c r="AO2688">
        <v>0</v>
      </c>
      <c r="AP2688" t="s">
        <v>3015</v>
      </c>
      <c r="AQ2688" t="s">
        <v>3012</v>
      </c>
      <c r="AR2688" t="s">
        <v>3016</v>
      </c>
      <c r="AT2688" t="s">
        <v>3017</v>
      </c>
      <c r="AU2688" t="s">
        <v>3018</v>
      </c>
    </row>
    <row r="2689" spans="1:47" x14ac:dyDescent="0.35">
      <c r="A2689">
        <v>360209</v>
      </c>
      <c r="B2689" t="s">
        <v>172</v>
      </c>
      <c r="C2689" t="s">
        <v>173</v>
      </c>
      <c r="D2689" s="2">
        <v>45826</v>
      </c>
      <c r="E2689">
        <v>53850</v>
      </c>
      <c r="F2689">
        <v>171</v>
      </c>
      <c r="G2689" t="s">
        <v>198</v>
      </c>
      <c r="H2689" t="s">
        <v>167</v>
      </c>
      <c r="I2689" t="s">
        <v>45</v>
      </c>
      <c r="K2689" t="s">
        <v>2636</v>
      </c>
      <c r="L2689">
        <v>1713305728950</v>
      </c>
      <c r="M2689">
        <v>20250617</v>
      </c>
      <c r="N2689" t="s">
        <v>175</v>
      </c>
      <c r="Q2689" t="s">
        <v>47</v>
      </c>
      <c r="R2689">
        <v>260070</v>
      </c>
      <c r="S2689">
        <v>254570</v>
      </c>
      <c r="T2689">
        <v>572895</v>
      </c>
      <c r="U2689">
        <v>4161600723</v>
      </c>
      <c r="V2689" t="s">
        <v>199</v>
      </c>
      <c r="W2689" t="s">
        <v>49</v>
      </c>
      <c r="X2689" t="s">
        <v>200</v>
      </c>
      <c r="Y2689" t="s">
        <v>51</v>
      </c>
      <c r="Z2689">
        <v>1903</v>
      </c>
      <c r="AH2689">
        <v>0</v>
      </c>
      <c r="AI2689">
        <v>202506</v>
      </c>
      <c r="AJ2689" t="s">
        <v>119</v>
      </c>
      <c r="AK2689">
        <v>1</v>
      </c>
      <c r="AL2689">
        <v>1</v>
      </c>
      <c r="AM2689">
        <v>572895</v>
      </c>
      <c r="AN2689">
        <v>1</v>
      </c>
      <c r="AO2689">
        <v>1</v>
      </c>
      <c r="AP2689" t="s">
        <v>3015</v>
      </c>
      <c r="AQ2689" t="s">
        <v>3012</v>
      </c>
      <c r="AR2689" t="s">
        <v>3016</v>
      </c>
      <c r="AT2689" t="s">
        <v>3017</v>
      </c>
      <c r="AU2689" t="s">
        <v>3018</v>
      </c>
    </row>
    <row r="2690" spans="1:47" x14ac:dyDescent="0.35">
      <c r="A2690">
        <v>360208</v>
      </c>
      <c r="B2690" t="s">
        <v>172</v>
      </c>
      <c r="C2690" t="s">
        <v>173</v>
      </c>
      <c r="D2690" s="2">
        <v>45826</v>
      </c>
      <c r="E2690">
        <v>53850</v>
      </c>
      <c r="F2690">
        <v>170</v>
      </c>
      <c r="G2690" t="s">
        <v>211</v>
      </c>
      <c r="H2690" t="s">
        <v>167</v>
      </c>
      <c r="I2690" t="s">
        <v>45</v>
      </c>
      <c r="K2690">
        <v>202506178080210</v>
      </c>
      <c r="L2690">
        <v>1703306287143</v>
      </c>
      <c r="M2690">
        <v>20250617</v>
      </c>
      <c r="N2690" t="s">
        <v>231</v>
      </c>
      <c r="Q2690" t="s">
        <v>47</v>
      </c>
      <c r="R2690">
        <v>156000</v>
      </c>
      <c r="S2690">
        <v>0</v>
      </c>
      <c r="T2690">
        <v>4206269</v>
      </c>
      <c r="U2690" t="s">
        <v>2646</v>
      </c>
      <c r="V2690" t="s">
        <v>2647</v>
      </c>
      <c r="W2690" t="s">
        <v>187</v>
      </c>
      <c r="Y2690" t="s">
        <v>51</v>
      </c>
      <c r="Z2690">
        <v>1476</v>
      </c>
      <c r="AH2690">
        <v>0</v>
      </c>
      <c r="AI2690">
        <v>202506</v>
      </c>
      <c r="AJ2690" t="s">
        <v>86</v>
      </c>
      <c r="AK2690">
        <v>1</v>
      </c>
      <c r="AL2690">
        <v>1</v>
      </c>
      <c r="AO2690">
        <v>0</v>
      </c>
      <c r="AP2690" t="s">
        <v>3015</v>
      </c>
      <c r="AQ2690" t="s">
        <v>3044</v>
      </c>
      <c r="AR2690" t="s">
        <v>3045</v>
      </c>
      <c r="AS2690" t="s">
        <v>3046</v>
      </c>
      <c r="AU2690" t="s">
        <v>3046</v>
      </c>
    </row>
    <row r="2691" spans="1:47" x14ac:dyDescent="0.35">
      <c r="A2691">
        <v>360207</v>
      </c>
      <c r="B2691" t="s">
        <v>178</v>
      </c>
      <c r="C2691" t="s">
        <v>179</v>
      </c>
      <c r="D2691" s="2">
        <v>45826</v>
      </c>
      <c r="E2691">
        <v>53850</v>
      </c>
      <c r="F2691">
        <v>286</v>
      </c>
      <c r="G2691" t="s">
        <v>408</v>
      </c>
      <c r="H2691" t="s">
        <v>167</v>
      </c>
      <c r="I2691" t="s">
        <v>45</v>
      </c>
      <c r="K2691">
        <v>202506178080414</v>
      </c>
      <c r="L2691">
        <v>2863300010203</v>
      </c>
      <c r="M2691">
        <v>20250617</v>
      </c>
      <c r="N2691" t="s">
        <v>3136</v>
      </c>
      <c r="Q2691" t="s">
        <v>170</v>
      </c>
      <c r="R2691">
        <v>99775.63</v>
      </c>
      <c r="S2691">
        <v>0</v>
      </c>
      <c r="T2691">
        <v>4995327</v>
      </c>
      <c r="U2691" t="s">
        <v>2659</v>
      </c>
      <c r="V2691" t="s">
        <v>2660</v>
      </c>
      <c r="W2691" t="s">
        <v>187</v>
      </c>
      <c r="Y2691" t="s">
        <v>51</v>
      </c>
      <c r="AH2691">
        <v>0</v>
      </c>
      <c r="AI2691">
        <v>202506</v>
      </c>
      <c r="AJ2691" t="s">
        <v>52</v>
      </c>
      <c r="AK2691">
        <v>0</v>
      </c>
      <c r="AL2691">
        <v>1</v>
      </c>
      <c r="AO2691">
        <v>1</v>
      </c>
      <c r="AP2691" t="s">
        <v>3015</v>
      </c>
      <c r="AQ2691" t="s">
        <v>3044</v>
      </c>
      <c r="AR2691" t="s">
        <v>3045</v>
      </c>
      <c r="AS2691" t="s">
        <v>3046</v>
      </c>
      <c r="AU2691" t="s">
        <v>3046</v>
      </c>
    </row>
    <row r="2692" spans="1:47" x14ac:dyDescent="0.35">
      <c r="A2692">
        <v>360206</v>
      </c>
      <c r="B2692" t="s">
        <v>172</v>
      </c>
      <c r="C2692" t="s">
        <v>173</v>
      </c>
      <c r="D2692" s="2">
        <v>45826</v>
      </c>
      <c r="E2692">
        <v>53850</v>
      </c>
      <c r="F2692">
        <v>170</v>
      </c>
      <c r="G2692" t="s">
        <v>211</v>
      </c>
      <c r="H2692" t="s">
        <v>167</v>
      </c>
      <c r="I2692" t="s">
        <v>45</v>
      </c>
      <c r="K2692">
        <v>202506178080210</v>
      </c>
      <c r="L2692">
        <v>1703306287143</v>
      </c>
      <c r="M2692">
        <v>20250617</v>
      </c>
      <c r="N2692" t="s">
        <v>231</v>
      </c>
      <c r="Q2692" t="s">
        <v>47</v>
      </c>
      <c r="R2692">
        <v>156000</v>
      </c>
      <c r="S2692">
        <v>0</v>
      </c>
      <c r="T2692">
        <v>4462405</v>
      </c>
      <c r="U2692" t="s">
        <v>2661</v>
      </c>
      <c r="V2692" t="s">
        <v>2662</v>
      </c>
      <c r="W2692" t="s">
        <v>187</v>
      </c>
      <c r="Y2692" t="s">
        <v>51</v>
      </c>
      <c r="Z2692">
        <v>1476</v>
      </c>
      <c r="AH2692">
        <v>0</v>
      </c>
      <c r="AI2692">
        <v>202506</v>
      </c>
      <c r="AJ2692" t="s">
        <v>86</v>
      </c>
      <c r="AK2692">
        <v>1</v>
      </c>
      <c r="AL2692">
        <v>1</v>
      </c>
      <c r="AO2692">
        <v>0</v>
      </c>
      <c r="AP2692" t="s">
        <v>3015</v>
      </c>
      <c r="AQ2692" t="s">
        <v>3044</v>
      </c>
      <c r="AR2692" t="s">
        <v>3045</v>
      </c>
      <c r="AS2692" t="s">
        <v>3046</v>
      </c>
      <c r="AU2692" t="s">
        <v>3046</v>
      </c>
    </row>
    <row r="2693" spans="1:47" x14ac:dyDescent="0.35">
      <c r="A2693">
        <v>360205</v>
      </c>
      <c r="B2693" t="s">
        <v>178</v>
      </c>
      <c r="C2693" t="s">
        <v>179</v>
      </c>
      <c r="D2693" s="2">
        <v>45826</v>
      </c>
      <c r="E2693">
        <v>53850</v>
      </c>
      <c r="F2693">
        <v>286</v>
      </c>
      <c r="G2693" t="s">
        <v>408</v>
      </c>
      <c r="H2693" t="s">
        <v>167</v>
      </c>
      <c r="I2693" t="s">
        <v>45</v>
      </c>
      <c r="K2693">
        <v>202506178080414</v>
      </c>
      <c r="L2693">
        <v>2863300010203</v>
      </c>
      <c r="M2693">
        <v>20250617</v>
      </c>
      <c r="N2693" t="s">
        <v>3136</v>
      </c>
      <c r="Q2693" t="s">
        <v>170</v>
      </c>
      <c r="R2693">
        <v>99775.63</v>
      </c>
      <c r="S2693">
        <v>0</v>
      </c>
      <c r="T2693">
        <v>1688503</v>
      </c>
      <c r="U2693" t="s">
        <v>2663</v>
      </c>
      <c r="V2693" t="s">
        <v>2664</v>
      </c>
      <c r="W2693" t="s">
        <v>187</v>
      </c>
      <c r="Y2693" t="s">
        <v>51</v>
      </c>
      <c r="Z2693">
        <v>1798</v>
      </c>
      <c r="AH2693">
        <v>0</v>
      </c>
      <c r="AI2693">
        <v>202506</v>
      </c>
      <c r="AJ2693" t="s">
        <v>52</v>
      </c>
      <c r="AK2693">
        <v>0</v>
      </c>
      <c r="AL2693">
        <v>1</v>
      </c>
      <c r="AO2693">
        <v>1</v>
      </c>
      <c r="AP2693" t="s">
        <v>3015</v>
      </c>
      <c r="AQ2693" t="s">
        <v>3044</v>
      </c>
      <c r="AR2693" t="s">
        <v>3045</v>
      </c>
      <c r="AS2693" t="s">
        <v>3046</v>
      </c>
      <c r="AU2693" t="s">
        <v>3046</v>
      </c>
    </row>
    <row r="2694" spans="1:47" x14ac:dyDescent="0.35">
      <c r="A2694">
        <v>360204</v>
      </c>
      <c r="B2694" t="s">
        <v>164</v>
      </c>
      <c r="C2694" t="s">
        <v>165</v>
      </c>
      <c r="D2694" s="2">
        <v>45826</v>
      </c>
      <c r="E2694">
        <v>53850</v>
      </c>
      <c r="F2694">
        <v>129</v>
      </c>
      <c r="G2694" t="s">
        <v>227</v>
      </c>
      <c r="H2694" t="s">
        <v>167</v>
      </c>
      <c r="I2694" t="s">
        <v>45</v>
      </c>
      <c r="K2694" t="s">
        <v>2665</v>
      </c>
      <c r="L2694">
        <v>1293300002811</v>
      </c>
      <c r="M2694">
        <v>20250617</v>
      </c>
      <c r="N2694" t="s">
        <v>168</v>
      </c>
      <c r="P2694" t="s">
        <v>169</v>
      </c>
      <c r="Q2694" t="s">
        <v>47</v>
      </c>
      <c r="R2694">
        <v>1489.94</v>
      </c>
      <c r="S2694">
        <v>0</v>
      </c>
      <c r="T2694">
        <v>4972184</v>
      </c>
      <c r="U2694">
        <v>7780290727</v>
      </c>
      <c r="V2694" t="s">
        <v>720</v>
      </c>
      <c r="W2694" t="s">
        <v>49</v>
      </c>
      <c r="X2694" t="s">
        <v>721</v>
      </c>
      <c r="Y2694" t="s">
        <v>51</v>
      </c>
      <c r="Z2694">
        <v>1058</v>
      </c>
      <c r="AH2694">
        <v>0</v>
      </c>
      <c r="AI2694">
        <v>202506</v>
      </c>
      <c r="AJ2694" t="s">
        <v>86</v>
      </c>
      <c r="AK2694">
        <v>1</v>
      </c>
      <c r="AL2694">
        <v>1</v>
      </c>
      <c r="AO2694">
        <v>0</v>
      </c>
      <c r="AP2694" t="s">
        <v>3015</v>
      </c>
      <c r="AQ2694" t="s">
        <v>3012</v>
      </c>
      <c r="AR2694" t="s">
        <v>3016</v>
      </c>
      <c r="AT2694" t="s">
        <v>3017</v>
      </c>
      <c r="AU2694" t="s">
        <v>3018</v>
      </c>
    </row>
    <row r="2695" spans="1:47" x14ac:dyDescent="0.35">
      <c r="A2695">
        <v>360203</v>
      </c>
      <c r="B2695" t="s">
        <v>178</v>
      </c>
      <c r="C2695" t="s">
        <v>179</v>
      </c>
      <c r="D2695" s="2">
        <v>45826</v>
      </c>
      <c r="E2695">
        <v>53850</v>
      </c>
      <c r="F2695">
        <v>273</v>
      </c>
      <c r="G2695" t="s">
        <v>133</v>
      </c>
      <c r="H2695" t="s">
        <v>167</v>
      </c>
      <c r="I2695" t="s">
        <v>45</v>
      </c>
      <c r="K2695">
        <v>202506178079863</v>
      </c>
      <c r="L2695">
        <v>2733300000026</v>
      </c>
      <c r="M2695">
        <v>20250617</v>
      </c>
      <c r="N2695" t="s">
        <v>258</v>
      </c>
      <c r="Q2695" t="s">
        <v>170</v>
      </c>
      <c r="R2695">
        <v>334000</v>
      </c>
      <c r="S2695">
        <v>0</v>
      </c>
      <c r="T2695">
        <v>1601535</v>
      </c>
      <c r="U2695" t="s">
        <v>2666</v>
      </c>
      <c r="V2695" t="s">
        <v>2667</v>
      </c>
      <c r="W2695" t="s">
        <v>187</v>
      </c>
      <c r="Y2695" t="s">
        <v>51</v>
      </c>
      <c r="Z2695">
        <v>1295</v>
      </c>
      <c r="AH2695">
        <v>0</v>
      </c>
      <c r="AI2695">
        <v>202506</v>
      </c>
      <c r="AJ2695" t="s">
        <v>86</v>
      </c>
      <c r="AK2695">
        <v>1</v>
      </c>
      <c r="AL2695">
        <v>1</v>
      </c>
      <c r="AO2695">
        <v>0</v>
      </c>
      <c r="AP2695" t="s">
        <v>3015</v>
      </c>
      <c r="AQ2695" t="s">
        <v>3044</v>
      </c>
      <c r="AR2695" t="s">
        <v>3045</v>
      </c>
      <c r="AS2695" t="s">
        <v>3046</v>
      </c>
      <c r="AU2695" t="s">
        <v>3046</v>
      </c>
    </row>
    <row r="2696" spans="1:47" x14ac:dyDescent="0.35">
      <c r="A2696">
        <v>360202</v>
      </c>
      <c r="B2696" t="s">
        <v>193</v>
      </c>
      <c r="C2696" t="s">
        <v>194</v>
      </c>
      <c r="D2696" s="2">
        <v>45826</v>
      </c>
      <c r="E2696">
        <v>53850</v>
      </c>
      <c r="F2696">
        <v>110</v>
      </c>
      <c r="G2696" t="s">
        <v>230</v>
      </c>
      <c r="H2696" t="s">
        <v>167</v>
      </c>
      <c r="I2696" t="s">
        <v>45</v>
      </c>
      <c r="K2696" t="s">
        <v>2668</v>
      </c>
      <c r="L2696">
        <v>1103306290380</v>
      </c>
      <c r="M2696">
        <v>20250616</v>
      </c>
      <c r="N2696" t="s">
        <v>175</v>
      </c>
      <c r="Q2696" t="s">
        <v>47</v>
      </c>
      <c r="R2696">
        <v>24400</v>
      </c>
      <c r="S2696">
        <v>19700</v>
      </c>
      <c r="T2696">
        <v>3738956</v>
      </c>
      <c r="U2696" t="s">
        <v>2669</v>
      </c>
      <c r="V2696" t="s">
        <v>2670</v>
      </c>
      <c r="W2696" t="s">
        <v>187</v>
      </c>
      <c r="Y2696" t="s">
        <v>51</v>
      </c>
      <c r="AH2696">
        <v>0</v>
      </c>
      <c r="AI2696">
        <v>202506</v>
      </c>
      <c r="AJ2696" t="s">
        <v>86</v>
      </c>
      <c r="AK2696">
        <v>1</v>
      </c>
      <c r="AL2696">
        <v>1</v>
      </c>
      <c r="AO2696">
        <v>1</v>
      </c>
      <c r="AP2696" t="s">
        <v>3015</v>
      </c>
      <c r="AQ2696" t="s">
        <v>3044</v>
      </c>
      <c r="AR2696" t="s">
        <v>3045</v>
      </c>
      <c r="AS2696" t="s">
        <v>3046</v>
      </c>
      <c r="AU2696" t="s">
        <v>3046</v>
      </c>
    </row>
    <row r="2697" spans="1:47" x14ac:dyDescent="0.35">
      <c r="A2697">
        <v>360201</v>
      </c>
      <c r="B2697" t="s">
        <v>172</v>
      </c>
      <c r="C2697" t="s">
        <v>173</v>
      </c>
      <c r="D2697" s="2">
        <v>45826</v>
      </c>
      <c r="E2697">
        <v>53850</v>
      </c>
      <c r="F2697">
        <v>103</v>
      </c>
      <c r="G2697" t="s">
        <v>80</v>
      </c>
      <c r="H2697" t="s">
        <v>167</v>
      </c>
      <c r="I2697" t="s">
        <v>45</v>
      </c>
      <c r="K2697">
        <v>202506168076304</v>
      </c>
      <c r="L2697">
        <v>1033300511030</v>
      </c>
      <c r="M2697">
        <v>20250616</v>
      </c>
      <c r="N2697" t="s">
        <v>81</v>
      </c>
      <c r="Q2697" t="s">
        <v>47</v>
      </c>
      <c r="R2697">
        <v>190000</v>
      </c>
      <c r="S2697">
        <v>0</v>
      </c>
      <c r="T2697">
        <v>51103</v>
      </c>
      <c r="U2697" t="s">
        <v>2280</v>
      </c>
      <c r="V2697" t="s">
        <v>2281</v>
      </c>
      <c r="W2697" t="s">
        <v>187</v>
      </c>
      <c r="Y2697" t="s">
        <v>51</v>
      </c>
      <c r="Z2697">
        <v>407</v>
      </c>
      <c r="AH2697">
        <v>0</v>
      </c>
      <c r="AI2697">
        <v>202506</v>
      </c>
      <c r="AJ2697" t="s">
        <v>86</v>
      </c>
      <c r="AK2697">
        <v>1</v>
      </c>
      <c r="AL2697">
        <v>1</v>
      </c>
      <c r="AO2697">
        <v>0</v>
      </c>
      <c r="AP2697" t="s">
        <v>3015</v>
      </c>
      <c r="AQ2697" t="s">
        <v>3044</v>
      </c>
      <c r="AR2697" t="s">
        <v>3045</v>
      </c>
      <c r="AS2697" t="s">
        <v>3046</v>
      </c>
      <c r="AU2697" t="s">
        <v>3046</v>
      </c>
    </row>
    <row r="2698" spans="1:47" x14ac:dyDescent="0.35">
      <c r="A2698">
        <v>360200</v>
      </c>
      <c r="B2698" t="s">
        <v>214</v>
      </c>
      <c r="C2698" t="s">
        <v>215</v>
      </c>
      <c r="D2698" s="2">
        <v>45826</v>
      </c>
      <c r="E2698">
        <v>53850</v>
      </c>
      <c r="F2698">
        <v>102</v>
      </c>
      <c r="G2698" t="s">
        <v>151</v>
      </c>
      <c r="H2698" t="s">
        <v>167</v>
      </c>
      <c r="I2698" t="s">
        <v>45</v>
      </c>
      <c r="K2698">
        <v>202506168073975</v>
      </c>
      <c r="L2698">
        <v>1023308723686</v>
      </c>
      <c r="M2698">
        <v>20250616</v>
      </c>
      <c r="N2698" t="s">
        <v>168</v>
      </c>
      <c r="P2698" t="s">
        <v>217</v>
      </c>
      <c r="Q2698" t="s">
        <v>47</v>
      </c>
      <c r="R2698">
        <v>30000</v>
      </c>
      <c r="S2698">
        <v>0</v>
      </c>
      <c r="T2698">
        <v>531420</v>
      </c>
      <c r="U2698" t="s">
        <v>744</v>
      </c>
      <c r="V2698" t="s">
        <v>745</v>
      </c>
      <c r="W2698" t="s">
        <v>69</v>
      </c>
      <c r="X2698" t="s">
        <v>746</v>
      </c>
      <c r="Y2698" t="s">
        <v>51</v>
      </c>
      <c r="Z2698">
        <v>1306</v>
      </c>
      <c r="AH2698">
        <v>0</v>
      </c>
      <c r="AI2698">
        <v>202506</v>
      </c>
      <c r="AJ2698" t="s">
        <v>56</v>
      </c>
      <c r="AK2698">
        <v>0</v>
      </c>
      <c r="AL2698">
        <v>1</v>
      </c>
      <c r="AM2698">
        <v>531420</v>
      </c>
      <c r="AN2698">
        <v>1</v>
      </c>
      <c r="AO2698">
        <v>0</v>
      </c>
      <c r="AP2698" t="s">
        <v>3015</v>
      </c>
      <c r="AQ2698" t="s">
        <v>3021</v>
      </c>
      <c r="AR2698" t="s">
        <v>3022</v>
      </c>
      <c r="AT2698" t="s">
        <v>3017</v>
      </c>
      <c r="AU2698" t="s">
        <v>3014</v>
      </c>
    </row>
    <row r="2699" spans="1:47" x14ac:dyDescent="0.35">
      <c r="A2699">
        <v>360199</v>
      </c>
      <c r="B2699" t="s">
        <v>172</v>
      </c>
      <c r="C2699" t="s">
        <v>173</v>
      </c>
      <c r="D2699" s="2">
        <v>45826</v>
      </c>
      <c r="E2699">
        <v>53850</v>
      </c>
      <c r="F2699">
        <v>175</v>
      </c>
      <c r="G2699" t="s">
        <v>99</v>
      </c>
      <c r="H2699" t="s">
        <v>167</v>
      </c>
      <c r="I2699" t="s">
        <v>45</v>
      </c>
      <c r="K2699" t="s">
        <v>2668</v>
      </c>
      <c r="L2699">
        <v>1753302203127</v>
      </c>
      <c r="M2699">
        <v>20250616</v>
      </c>
      <c r="N2699" t="s">
        <v>175</v>
      </c>
      <c r="Q2699" t="s">
        <v>47</v>
      </c>
      <c r="R2699">
        <v>102538.68</v>
      </c>
      <c r="S2699">
        <v>20880</v>
      </c>
      <c r="T2699">
        <v>4160138</v>
      </c>
      <c r="U2699">
        <v>484200779</v>
      </c>
      <c r="V2699" t="s">
        <v>100</v>
      </c>
      <c r="W2699" t="s">
        <v>49</v>
      </c>
      <c r="X2699" t="s">
        <v>101</v>
      </c>
      <c r="Y2699" t="s">
        <v>51</v>
      </c>
      <c r="Z2699">
        <v>739</v>
      </c>
      <c r="AH2699">
        <v>0</v>
      </c>
      <c r="AI2699">
        <v>202506</v>
      </c>
      <c r="AJ2699" t="s">
        <v>86</v>
      </c>
      <c r="AK2699">
        <v>1</v>
      </c>
      <c r="AL2699">
        <v>1</v>
      </c>
      <c r="AM2699">
        <v>4160138</v>
      </c>
      <c r="AN2699">
        <v>1</v>
      </c>
      <c r="AO2699">
        <v>1</v>
      </c>
      <c r="AP2699" t="s">
        <v>3015</v>
      </c>
      <c r="AQ2699" t="s">
        <v>3012</v>
      </c>
      <c r="AR2699" t="s">
        <v>3016</v>
      </c>
      <c r="AT2699" t="s">
        <v>3017</v>
      </c>
      <c r="AU2699" t="s">
        <v>3018</v>
      </c>
    </row>
    <row r="2700" spans="1:47" x14ac:dyDescent="0.35">
      <c r="A2700">
        <v>360198</v>
      </c>
      <c r="B2700" t="s">
        <v>178</v>
      </c>
      <c r="C2700" t="s">
        <v>179</v>
      </c>
      <c r="D2700" s="2">
        <v>45826</v>
      </c>
      <c r="E2700">
        <v>53850</v>
      </c>
      <c r="F2700">
        <v>161</v>
      </c>
      <c r="G2700" t="s">
        <v>111</v>
      </c>
      <c r="H2700" t="s">
        <v>167</v>
      </c>
      <c r="I2700" t="s">
        <v>45</v>
      </c>
      <c r="K2700">
        <v>202506168072764</v>
      </c>
      <c r="L2700">
        <v>1613300029653</v>
      </c>
      <c r="M2700">
        <v>20250616</v>
      </c>
      <c r="N2700" t="s">
        <v>236</v>
      </c>
      <c r="P2700" t="s">
        <v>51</v>
      </c>
      <c r="Q2700" t="s">
        <v>170</v>
      </c>
      <c r="R2700">
        <v>450000</v>
      </c>
      <c r="S2700">
        <v>0</v>
      </c>
      <c r="T2700">
        <v>4088769</v>
      </c>
      <c r="U2700">
        <v>5150120722</v>
      </c>
      <c r="V2700" t="s">
        <v>270</v>
      </c>
      <c r="W2700" t="s">
        <v>49</v>
      </c>
      <c r="X2700" t="s">
        <v>110</v>
      </c>
      <c r="Y2700" t="s">
        <v>51</v>
      </c>
      <c r="Z2700">
        <v>1903</v>
      </c>
      <c r="AH2700">
        <v>0</v>
      </c>
      <c r="AI2700">
        <v>202506</v>
      </c>
      <c r="AJ2700" t="s">
        <v>56</v>
      </c>
      <c r="AK2700">
        <v>0</v>
      </c>
      <c r="AL2700">
        <v>1</v>
      </c>
      <c r="AM2700">
        <v>4088769</v>
      </c>
      <c r="AN2700">
        <v>1</v>
      </c>
      <c r="AO2700">
        <v>0</v>
      </c>
      <c r="AP2700" t="s">
        <v>3026</v>
      </c>
      <c r="AQ2700" t="s">
        <v>3012</v>
      </c>
      <c r="AR2700" t="s">
        <v>3027</v>
      </c>
      <c r="AS2700" t="s">
        <v>3028</v>
      </c>
      <c r="AU2700" t="s">
        <v>3028</v>
      </c>
    </row>
    <row r="2701" spans="1:47" x14ac:dyDescent="0.35">
      <c r="A2701">
        <v>360197</v>
      </c>
      <c r="B2701" t="s">
        <v>172</v>
      </c>
      <c r="C2701" t="s">
        <v>173</v>
      </c>
      <c r="D2701" s="2">
        <v>45826</v>
      </c>
      <c r="E2701">
        <v>53850</v>
      </c>
      <c r="F2701">
        <v>116</v>
      </c>
      <c r="G2701" t="s">
        <v>126</v>
      </c>
      <c r="H2701" t="s">
        <v>167</v>
      </c>
      <c r="I2701" t="s">
        <v>45</v>
      </c>
      <c r="K2701">
        <v>202506168076436</v>
      </c>
      <c r="L2701">
        <v>1423306288020</v>
      </c>
      <c r="M2701">
        <v>20250616</v>
      </c>
      <c r="N2701" t="s">
        <v>231</v>
      </c>
      <c r="Q2701" t="s">
        <v>47</v>
      </c>
      <c r="R2701">
        <v>118000</v>
      </c>
      <c r="S2701">
        <v>0</v>
      </c>
      <c r="T2701">
        <v>4559385</v>
      </c>
      <c r="U2701" t="s">
        <v>2671</v>
      </c>
      <c r="V2701" t="s">
        <v>2672</v>
      </c>
      <c r="W2701" t="s">
        <v>187</v>
      </c>
      <c r="Y2701" t="s">
        <v>51</v>
      </c>
      <c r="AH2701">
        <v>0</v>
      </c>
      <c r="AI2701">
        <v>202506</v>
      </c>
      <c r="AJ2701" t="s">
        <v>86</v>
      </c>
      <c r="AK2701">
        <v>1</v>
      </c>
      <c r="AL2701">
        <v>1</v>
      </c>
      <c r="AO2701">
        <v>0</v>
      </c>
      <c r="AP2701" t="s">
        <v>3015</v>
      </c>
      <c r="AQ2701" t="s">
        <v>3044</v>
      </c>
      <c r="AR2701" t="s">
        <v>3045</v>
      </c>
      <c r="AS2701" t="s">
        <v>3046</v>
      </c>
      <c r="AU2701" t="s">
        <v>3046</v>
      </c>
    </row>
    <row r="2702" spans="1:47" x14ac:dyDescent="0.35">
      <c r="A2702">
        <v>360196</v>
      </c>
      <c r="B2702" t="s">
        <v>193</v>
      </c>
      <c r="C2702" t="s">
        <v>194</v>
      </c>
      <c r="D2702" s="2">
        <v>45826</v>
      </c>
      <c r="E2702">
        <v>53850</v>
      </c>
      <c r="F2702">
        <v>182</v>
      </c>
      <c r="G2702" t="s">
        <v>318</v>
      </c>
      <c r="H2702" t="s">
        <v>167</v>
      </c>
      <c r="I2702" t="s">
        <v>45</v>
      </c>
      <c r="K2702" t="s">
        <v>2668</v>
      </c>
      <c r="L2702">
        <v>1823300169301</v>
      </c>
      <c r="M2702">
        <v>20250616</v>
      </c>
      <c r="N2702" t="s">
        <v>195</v>
      </c>
      <c r="Q2702" t="s">
        <v>47</v>
      </c>
      <c r="R2702">
        <v>40825</v>
      </c>
      <c r="S2702">
        <v>40825</v>
      </c>
      <c r="T2702">
        <v>4284957</v>
      </c>
      <c r="U2702" t="s">
        <v>455</v>
      </c>
      <c r="V2702" t="s">
        <v>456</v>
      </c>
      <c r="W2702" t="s">
        <v>69</v>
      </c>
      <c r="X2702" t="s">
        <v>197</v>
      </c>
      <c r="Y2702" t="s">
        <v>51</v>
      </c>
      <c r="Z2702">
        <v>1656</v>
      </c>
      <c r="AH2702">
        <v>0</v>
      </c>
      <c r="AI2702">
        <v>202506</v>
      </c>
      <c r="AJ2702" t="s">
        <v>119</v>
      </c>
      <c r="AK2702">
        <v>1</v>
      </c>
      <c r="AL2702">
        <v>1</v>
      </c>
      <c r="AM2702">
        <v>4284957</v>
      </c>
      <c r="AN2702">
        <v>1</v>
      </c>
      <c r="AO2702">
        <v>0</v>
      </c>
      <c r="AP2702" t="s">
        <v>3050</v>
      </c>
      <c r="AQ2702" t="s">
        <v>3021</v>
      </c>
      <c r="AR2702" t="s">
        <v>3070</v>
      </c>
      <c r="AS2702" t="s">
        <v>3055</v>
      </c>
      <c r="AU2702" t="s">
        <v>3055</v>
      </c>
    </row>
    <row r="2703" spans="1:47" x14ac:dyDescent="0.35">
      <c r="A2703">
        <v>360195</v>
      </c>
      <c r="B2703" t="s">
        <v>193</v>
      </c>
      <c r="C2703" t="s">
        <v>194</v>
      </c>
      <c r="D2703" s="2">
        <v>45826</v>
      </c>
      <c r="E2703">
        <v>53850</v>
      </c>
      <c r="F2703">
        <v>114</v>
      </c>
      <c r="G2703" t="s">
        <v>188</v>
      </c>
      <c r="H2703" t="s">
        <v>167</v>
      </c>
      <c r="I2703" t="s">
        <v>45</v>
      </c>
      <c r="K2703">
        <v>202506168076422</v>
      </c>
      <c r="L2703">
        <v>1143306280621</v>
      </c>
      <c r="M2703">
        <v>20250616</v>
      </c>
      <c r="N2703" t="s">
        <v>266</v>
      </c>
      <c r="Q2703" t="s">
        <v>47</v>
      </c>
      <c r="R2703">
        <v>58000</v>
      </c>
      <c r="S2703">
        <v>58000</v>
      </c>
      <c r="T2703">
        <v>4658875</v>
      </c>
      <c r="U2703">
        <v>3230890711</v>
      </c>
      <c r="V2703" t="s">
        <v>1363</v>
      </c>
      <c r="W2703" t="s">
        <v>49</v>
      </c>
      <c r="X2703" t="s">
        <v>131</v>
      </c>
      <c r="Y2703" t="s">
        <v>51</v>
      </c>
      <c r="Z2703">
        <v>870</v>
      </c>
      <c r="AH2703">
        <v>0</v>
      </c>
      <c r="AI2703">
        <v>202506</v>
      </c>
      <c r="AJ2703" t="s">
        <v>56</v>
      </c>
      <c r="AK2703">
        <v>0</v>
      </c>
      <c r="AL2703">
        <v>1</v>
      </c>
      <c r="AM2703">
        <v>4658875</v>
      </c>
      <c r="AN2703">
        <v>1</v>
      </c>
      <c r="AO2703">
        <v>0</v>
      </c>
      <c r="AP2703" t="s">
        <v>3033</v>
      </c>
      <c r="AQ2703" t="s">
        <v>3012</v>
      </c>
      <c r="AR2703" t="s">
        <v>3034</v>
      </c>
      <c r="AS2703" t="s">
        <v>3014</v>
      </c>
      <c r="AU2703" t="s">
        <v>3014</v>
      </c>
    </row>
    <row r="2704" spans="1:47" x14ac:dyDescent="0.35">
      <c r="A2704">
        <v>360194</v>
      </c>
      <c r="B2704" t="s">
        <v>178</v>
      </c>
      <c r="C2704" t="s">
        <v>179</v>
      </c>
      <c r="D2704" s="2">
        <v>45826</v>
      </c>
      <c r="E2704">
        <v>53850</v>
      </c>
      <c r="F2704">
        <v>102</v>
      </c>
      <c r="G2704" t="s">
        <v>151</v>
      </c>
      <c r="H2704" t="s">
        <v>167</v>
      </c>
      <c r="I2704" t="s">
        <v>45</v>
      </c>
      <c r="K2704">
        <v>202506168075337</v>
      </c>
      <c r="L2704">
        <v>1023300113820</v>
      </c>
      <c r="M2704">
        <v>20250616</v>
      </c>
      <c r="N2704" t="s">
        <v>416</v>
      </c>
      <c r="Q2704" t="s">
        <v>170</v>
      </c>
      <c r="R2704">
        <v>1173658.6100000001</v>
      </c>
      <c r="S2704">
        <v>0</v>
      </c>
      <c r="T2704">
        <v>11382</v>
      </c>
      <c r="U2704">
        <v>252420724</v>
      </c>
      <c r="V2704" t="s">
        <v>1010</v>
      </c>
      <c r="W2704" t="s">
        <v>49</v>
      </c>
      <c r="X2704" t="s">
        <v>597</v>
      </c>
      <c r="Y2704" t="s">
        <v>51</v>
      </c>
      <c r="Z2704">
        <v>1203</v>
      </c>
      <c r="AH2704">
        <v>0</v>
      </c>
      <c r="AI2704">
        <v>202506</v>
      </c>
      <c r="AJ2704" t="s">
        <v>86</v>
      </c>
      <c r="AK2704">
        <v>1</v>
      </c>
      <c r="AL2704">
        <v>1</v>
      </c>
      <c r="AO2704">
        <v>0</v>
      </c>
      <c r="AP2704" t="s">
        <v>3015</v>
      </c>
      <c r="AQ2704" t="s">
        <v>3012</v>
      </c>
      <c r="AR2704" t="s">
        <v>3016</v>
      </c>
      <c r="AT2704" t="s">
        <v>3017</v>
      </c>
      <c r="AU2704" t="s">
        <v>3018</v>
      </c>
    </row>
    <row r="2705" spans="1:47" x14ac:dyDescent="0.35">
      <c r="A2705">
        <v>360193</v>
      </c>
      <c r="B2705" t="s">
        <v>178</v>
      </c>
      <c r="C2705" t="s">
        <v>179</v>
      </c>
      <c r="D2705" s="2">
        <v>45826</v>
      </c>
      <c r="E2705">
        <v>53850</v>
      </c>
      <c r="F2705">
        <v>120</v>
      </c>
      <c r="G2705" t="s">
        <v>411</v>
      </c>
      <c r="H2705" t="s">
        <v>167</v>
      </c>
      <c r="I2705" t="s">
        <v>45</v>
      </c>
      <c r="K2705">
        <v>202506168074698</v>
      </c>
      <c r="L2705">
        <v>1203300002401</v>
      </c>
      <c r="M2705">
        <v>20250616</v>
      </c>
      <c r="N2705" t="s">
        <v>659</v>
      </c>
      <c r="Q2705" t="s">
        <v>170</v>
      </c>
      <c r="R2705">
        <v>3108595.6</v>
      </c>
      <c r="S2705">
        <v>0</v>
      </c>
      <c r="T2705">
        <v>613876</v>
      </c>
      <c r="U2705">
        <v>574290722</v>
      </c>
      <c r="V2705" t="s">
        <v>545</v>
      </c>
      <c r="W2705" t="s">
        <v>546</v>
      </c>
      <c r="X2705" t="s">
        <v>421</v>
      </c>
      <c r="Y2705" t="s">
        <v>51</v>
      </c>
      <c r="Z2705">
        <v>1058</v>
      </c>
      <c r="AH2705">
        <v>0</v>
      </c>
      <c r="AI2705">
        <v>202506</v>
      </c>
      <c r="AJ2705" t="s">
        <v>119</v>
      </c>
      <c r="AK2705">
        <v>1</v>
      </c>
      <c r="AL2705">
        <v>1</v>
      </c>
      <c r="AM2705">
        <v>613876</v>
      </c>
      <c r="AN2705">
        <v>1</v>
      </c>
      <c r="AO2705">
        <v>0</v>
      </c>
      <c r="AP2705" t="s">
        <v>3015</v>
      </c>
      <c r="AQ2705" t="s">
        <v>3076</v>
      </c>
      <c r="AR2705" t="s">
        <v>3077</v>
      </c>
      <c r="AT2705" t="s">
        <v>3017</v>
      </c>
      <c r="AU2705" t="s">
        <v>3014</v>
      </c>
    </row>
    <row r="2706" spans="1:47" x14ac:dyDescent="0.35">
      <c r="A2706">
        <v>360192</v>
      </c>
      <c r="B2706" t="s">
        <v>193</v>
      </c>
      <c r="C2706" t="s">
        <v>194</v>
      </c>
      <c r="D2706" s="2">
        <v>45826</v>
      </c>
      <c r="E2706">
        <v>53850</v>
      </c>
      <c r="F2706">
        <v>171</v>
      </c>
      <c r="G2706" t="s">
        <v>198</v>
      </c>
      <c r="H2706" t="s">
        <v>167</v>
      </c>
      <c r="I2706" t="s">
        <v>45</v>
      </c>
      <c r="K2706" t="s">
        <v>2668</v>
      </c>
      <c r="L2706">
        <v>1713302214147</v>
      </c>
      <c r="M2706">
        <v>20250616</v>
      </c>
      <c r="N2706" t="s">
        <v>195</v>
      </c>
      <c r="Q2706" t="s">
        <v>47</v>
      </c>
      <c r="R2706">
        <v>97482.13</v>
      </c>
      <c r="S2706">
        <v>97482.13</v>
      </c>
      <c r="T2706">
        <v>4199319</v>
      </c>
      <c r="U2706">
        <v>6037810725</v>
      </c>
      <c r="V2706" t="s">
        <v>1144</v>
      </c>
      <c r="W2706" t="s">
        <v>49</v>
      </c>
      <c r="X2706" t="s">
        <v>200</v>
      </c>
      <c r="Y2706" t="s">
        <v>51</v>
      </c>
      <c r="Z2706">
        <v>1903</v>
      </c>
      <c r="AH2706">
        <v>0</v>
      </c>
      <c r="AI2706">
        <v>202506</v>
      </c>
      <c r="AJ2706" t="s">
        <v>86</v>
      </c>
      <c r="AK2706">
        <v>1</v>
      </c>
      <c r="AL2706">
        <v>1</v>
      </c>
      <c r="AM2706">
        <v>4199319</v>
      </c>
      <c r="AN2706">
        <v>1</v>
      </c>
      <c r="AO2706">
        <v>0</v>
      </c>
      <c r="AP2706" t="s">
        <v>3015</v>
      </c>
      <c r="AQ2706" t="s">
        <v>3012</v>
      </c>
      <c r="AR2706" t="s">
        <v>3016</v>
      </c>
      <c r="AT2706" t="s">
        <v>3017</v>
      </c>
      <c r="AU2706" t="s">
        <v>3018</v>
      </c>
    </row>
    <row r="2707" spans="1:47" x14ac:dyDescent="0.35">
      <c r="A2707">
        <v>360191</v>
      </c>
      <c r="B2707" t="s">
        <v>178</v>
      </c>
      <c r="C2707" t="s">
        <v>179</v>
      </c>
      <c r="D2707" s="2">
        <v>45826</v>
      </c>
      <c r="E2707">
        <v>53850</v>
      </c>
      <c r="F2707">
        <v>102</v>
      </c>
      <c r="G2707" t="s">
        <v>151</v>
      </c>
      <c r="H2707" t="s">
        <v>167</v>
      </c>
      <c r="I2707" t="s">
        <v>45</v>
      </c>
      <c r="K2707">
        <v>202506168073579</v>
      </c>
      <c r="L2707">
        <v>1023308726073</v>
      </c>
      <c r="M2707">
        <v>20250616</v>
      </c>
      <c r="N2707" t="s">
        <v>46</v>
      </c>
      <c r="P2707" t="s">
        <v>51</v>
      </c>
      <c r="Q2707" t="s">
        <v>47</v>
      </c>
      <c r="R2707">
        <v>1055576.55</v>
      </c>
      <c r="S2707">
        <v>0</v>
      </c>
      <c r="T2707">
        <v>4972446</v>
      </c>
      <c r="U2707">
        <v>8406920721</v>
      </c>
      <c r="V2707" t="s">
        <v>824</v>
      </c>
      <c r="W2707" t="s">
        <v>49</v>
      </c>
      <c r="X2707" t="s">
        <v>364</v>
      </c>
      <c r="Y2707" t="s">
        <v>51</v>
      </c>
      <c r="Z2707">
        <v>739</v>
      </c>
      <c r="AH2707">
        <v>0</v>
      </c>
      <c r="AI2707">
        <v>202506</v>
      </c>
      <c r="AJ2707" t="s">
        <v>86</v>
      </c>
      <c r="AK2707">
        <v>1</v>
      </c>
      <c r="AL2707">
        <v>1</v>
      </c>
      <c r="AO2707">
        <v>0</v>
      </c>
      <c r="AP2707" t="s">
        <v>3062</v>
      </c>
      <c r="AQ2707" t="s">
        <v>3012</v>
      </c>
      <c r="AR2707" t="s">
        <v>3063</v>
      </c>
      <c r="AS2707" t="s">
        <v>3014</v>
      </c>
      <c r="AU2707" t="s">
        <v>3014</v>
      </c>
    </row>
    <row r="2708" spans="1:47" x14ac:dyDescent="0.35">
      <c r="A2708">
        <v>360190</v>
      </c>
      <c r="B2708" t="s">
        <v>193</v>
      </c>
      <c r="C2708" t="s">
        <v>194</v>
      </c>
      <c r="D2708" s="2">
        <v>45826</v>
      </c>
      <c r="E2708">
        <v>53850</v>
      </c>
      <c r="F2708">
        <v>170</v>
      </c>
      <c r="G2708" t="s">
        <v>211</v>
      </c>
      <c r="H2708" t="s">
        <v>167</v>
      </c>
      <c r="I2708" t="s">
        <v>45</v>
      </c>
      <c r="K2708" t="s">
        <v>2668</v>
      </c>
      <c r="L2708">
        <v>1703300000428</v>
      </c>
      <c r="M2708">
        <v>20250616</v>
      </c>
      <c r="N2708" t="s">
        <v>195</v>
      </c>
      <c r="Q2708" t="s">
        <v>47</v>
      </c>
      <c r="R2708">
        <v>50000</v>
      </c>
      <c r="S2708">
        <v>50000</v>
      </c>
      <c r="T2708">
        <v>4833134</v>
      </c>
      <c r="U2708">
        <v>7323170725</v>
      </c>
      <c r="V2708" t="s">
        <v>425</v>
      </c>
      <c r="W2708" t="s">
        <v>49</v>
      </c>
      <c r="X2708" t="s">
        <v>413</v>
      </c>
      <c r="Y2708" t="s">
        <v>51</v>
      </c>
      <c r="Z2708">
        <v>694</v>
      </c>
      <c r="AH2708">
        <v>0</v>
      </c>
      <c r="AI2708">
        <v>202506</v>
      </c>
      <c r="AJ2708" t="s">
        <v>56</v>
      </c>
      <c r="AK2708">
        <v>0</v>
      </c>
      <c r="AL2708">
        <v>1</v>
      </c>
      <c r="AM2708">
        <v>4833134</v>
      </c>
      <c r="AN2708">
        <v>1</v>
      </c>
      <c r="AO2708">
        <v>0</v>
      </c>
      <c r="AP2708" t="s">
        <v>3015</v>
      </c>
      <c r="AQ2708" t="s">
        <v>3012</v>
      </c>
      <c r="AR2708" t="s">
        <v>3016</v>
      </c>
      <c r="AT2708" t="s">
        <v>3017</v>
      </c>
      <c r="AU2708" t="s">
        <v>3018</v>
      </c>
    </row>
    <row r="2709" spans="1:47" x14ac:dyDescent="0.35">
      <c r="A2709">
        <v>360189</v>
      </c>
      <c r="B2709" t="s">
        <v>178</v>
      </c>
      <c r="C2709" t="s">
        <v>179</v>
      </c>
      <c r="D2709" s="2">
        <v>45826</v>
      </c>
      <c r="E2709">
        <v>53850</v>
      </c>
      <c r="F2709">
        <v>192</v>
      </c>
      <c r="G2709" t="s">
        <v>66</v>
      </c>
      <c r="H2709" t="s">
        <v>167</v>
      </c>
      <c r="I2709" t="s">
        <v>45</v>
      </c>
      <c r="K2709">
        <v>202506168076721</v>
      </c>
      <c r="L2709">
        <v>1923300180425</v>
      </c>
      <c r="M2709">
        <v>20250616</v>
      </c>
      <c r="N2709" t="s">
        <v>3136</v>
      </c>
      <c r="Q2709" t="s">
        <v>170</v>
      </c>
      <c r="R2709">
        <v>43636.14</v>
      </c>
      <c r="S2709">
        <v>0</v>
      </c>
      <c r="T2709">
        <v>4374507</v>
      </c>
      <c r="U2709" t="s">
        <v>2673</v>
      </c>
      <c r="V2709" t="s">
        <v>2674</v>
      </c>
      <c r="W2709" t="s">
        <v>69</v>
      </c>
      <c r="X2709" t="s">
        <v>2675</v>
      </c>
      <c r="Y2709" t="s">
        <v>51</v>
      </c>
      <c r="Z2709">
        <v>1907</v>
      </c>
      <c r="AH2709">
        <v>0</v>
      </c>
      <c r="AI2709">
        <v>202506</v>
      </c>
      <c r="AJ2709" t="s">
        <v>119</v>
      </c>
      <c r="AK2709">
        <v>1</v>
      </c>
      <c r="AL2709">
        <v>1</v>
      </c>
      <c r="AO2709">
        <v>1</v>
      </c>
      <c r="AP2709" t="s">
        <v>3015</v>
      </c>
      <c r="AQ2709" t="s">
        <v>3021</v>
      </c>
      <c r="AR2709" t="s">
        <v>3022</v>
      </c>
      <c r="AT2709" t="s">
        <v>3017</v>
      </c>
      <c r="AU2709" t="s">
        <v>3014</v>
      </c>
    </row>
    <row r="2710" spans="1:47" x14ac:dyDescent="0.35">
      <c r="A2710">
        <v>360188</v>
      </c>
      <c r="B2710" t="s">
        <v>178</v>
      </c>
      <c r="C2710" t="s">
        <v>179</v>
      </c>
      <c r="D2710" s="2">
        <v>45826</v>
      </c>
      <c r="E2710">
        <v>53850</v>
      </c>
      <c r="F2710">
        <v>102</v>
      </c>
      <c r="G2710" t="s">
        <v>151</v>
      </c>
      <c r="H2710" t="s">
        <v>167</v>
      </c>
      <c r="I2710" t="s">
        <v>45</v>
      </c>
      <c r="K2710">
        <v>202506168073535</v>
      </c>
      <c r="L2710">
        <v>1023308723686</v>
      </c>
      <c r="M2710">
        <v>20250616</v>
      </c>
      <c r="N2710" t="s">
        <v>46</v>
      </c>
      <c r="P2710" t="s">
        <v>51</v>
      </c>
      <c r="Q2710" t="s">
        <v>47</v>
      </c>
      <c r="R2710">
        <v>620000</v>
      </c>
      <c r="S2710">
        <v>0</v>
      </c>
      <c r="T2710">
        <v>531420</v>
      </c>
      <c r="U2710" t="s">
        <v>744</v>
      </c>
      <c r="V2710" t="s">
        <v>745</v>
      </c>
      <c r="W2710" t="s">
        <v>69</v>
      </c>
      <c r="X2710" t="s">
        <v>746</v>
      </c>
      <c r="Y2710" t="s">
        <v>51</v>
      </c>
      <c r="Z2710">
        <v>1306</v>
      </c>
      <c r="AH2710">
        <v>0</v>
      </c>
      <c r="AI2710">
        <v>202506</v>
      </c>
      <c r="AJ2710" t="s">
        <v>56</v>
      </c>
      <c r="AK2710">
        <v>0</v>
      </c>
      <c r="AL2710">
        <v>1</v>
      </c>
      <c r="AM2710">
        <v>531420</v>
      </c>
      <c r="AN2710">
        <v>1</v>
      </c>
      <c r="AO2710">
        <v>0</v>
      </c>
      <c r="AP2710" t="s">
        <v>3015</v>
      </c>
      <c r="AQ2710" t="s">
        <v>3021</v>
      </c>
      <c r="AR2710" t="s">
        <v>3022</v>
      </c>
      <c r="AT2710" t="s">
        <v>3017</v>
      </c>
      <c r="AU2710" t="s">
        <v>3014</v>
      </c>
    </row>
    <row r="2711" spans="1:47" x14ac:dyDescent="0.35">
      <c r="A2711">
        <v>360187</v>
      </c>
      <c r="B2711" t="s">
        <v>193</v>
      </c>
      <c r="C2711" t="s">
        <v>194</v>
      </c>
      <c r="D2711" s="2">
        <v>45826</v>
      </c>
      <c r="E2711">
        <v>53850</v>
      </c>
      <c r="F2711">
        <v>131</v>
      </c>
      <c r="G2711" t="s">
        <v>216</v>
      </c>
      <c r="H2711" t="s">
        <v>167</v>
      </c>
      <c r="I2711" t="s">
        <v>45</v>
      </c>
      <c r="K2711" t="s">
        <v>2668</v>
      </c>
      <c r="L2711">
        <v>1313300002205</v>
      </c>
      <c r="M2711">
        <v>20250616</v>
      </c>
      <c r="N2711" t="s">
        <v>175</v>
      </c>
      <c r="Q2711" t="s">
        <v>47</v>
      </c>
      <c r="R2711">
        <v>27000</v>
      </c>
      <c r="S2711">
        <v>27000</v>
      </c>
      <c r="T2711">
        <v>4055163</v>
      </c>
      <c r="U2711" t="s">
        <v>522</v>
      </c>
      <c r="V2711" t="s">
        <v>523</v>
      </c>
      <c r="W2711" t="s">
        <v>69</v>
      </c>
      <c r="X2711" t="s">
        <v>131</v>
      </c>
      <c r="Y2711" t="s">
        <v>51</v>
      </c>
      <c r="Z2711">
        <v>915</v>
      </c>
      <c r="AH2711">
        <v>0</v>
      </c>
      <c r="AI2711">
        <v>202506</v>
      </c>
      <c r="AJ2711" t="s">
        <v>119</v>
      </c>
      <c r="AK2711">
        <v>1</v>
      </c>
      <c r="AL2711">
        <v>1</v>
      </c>
      <c r="AM2711">
        <v>4055163</v>
      </c>
      <c r="AN2711">
        <v>1</v>
      </c>
      <c r="AO2711">
        <v>1</v>
      </c>
      <c r="AP2711" t="s">
        <v>3033</v>
      </c>
      <c r="AQ2711" t="s">
        <v>3021</v>
      </c>
      <c r="AR2711" t="s">
        <v>3054</v>
      </c>
      <c r="AS2711" t="s">
        <v>3055</v>
      </c>
      <c r="AU2711" t="s">
        <v>3055</v>
      </c>
    </row>
    <row r="2712" spans="1:47" x14ac:dyDescent="0.35">
      <c r="A2712">
        <v>360186</v>
      </c>
      <c r="B2712" t="s">
        <v>193</v>
      </c>
      <c r="C2712" t="s">
        <v>194</v>
      </c>
      <c r="D2712" s="2">
        <v>45826</v>
      </c>
      <c r="E2712">
        <v>53850</v>
      </c>
      <c r="F2712">
        <v>103</v>
      </c>
      <c r="G2712" t="s">
        <v>80</v>
      </c>
      <c r="H2712" t="s">
        <v>167</v>
      </c>
      <c r="I2712" t="s">
        <v>45</v>
      </c>
      <c r="K2712">
        <v>202506168076310</v>
      </c>
      <c r="L2712">
        <v>1033306986170</v>
      </c>
      <c r="M2712">
        <v>20250616</v>
      </c>
      <c r="N2712" t="s">
        <v>266</v>
      </c>
      <c r="Q2712" t="s">
        <v>47</v>
      </c>
      <c r="R2712">
        <v>34850</v>
      </c>
      <c r="S2712">
        <v>34850</v>
      </c>
      <c r="T2712">
        <v>4258575</v>
      </c>
      <c r="U2712" t="s">
        <v>2676</v>
      </c>
      <c r="V2712" t="s">
        <v>2677</v>
      </c>
      <c r="W2712" t="s">
        <v>187</v>
      </c>
      <c r="Y2712" t="s">
        <v>51</v>
      </c>
      <c r="Z2712">
        <v>451</v>
      </c>
      <c r="AH2712">
        <v>0</v>
      </c>
      <c r="AI2712">
        <v>202506</v>
      </c>
      <c r="AJ2712" t="s">
        <v>86</v>
      </c>
      <c r="AK2712">
        <v>1</v>
      </c>
      <c r="AL2712">
        <v>1</v>
      </c>
      <c r="AO2712">
        <v>0</v>
      </c>
      <c r="AP2712" t="s">
        <v>3015</v>
      </c>
      <c r="AQ2712" t="s">
        <v>3044</v>
      </c>
      <c r="AR2712" t="s">
        <v>3045</v>
      </c>
      <c r="AS2712" t="s">
        <v>3046</v>
      </c>
      <c r="AU2712" t="s">
        <v>3046</v>
      </c>
    </row>
    <row r="2713" spans="1:47" x14ac:dyDescent="0.35">
      <c r="A2713">
        <v>360185</v>
      </c>
      <c r="B2713" t="s">
        <v>172</v>
      </c>
      <c r="C2713" t="s">
        <v>173</v>
      </c>
      <c r="D2713" s="2">
        <v>45826</v>
      </c>
      <c r="E2713">
        <v>53850</v>
      </c>
      <c r="F2713">
        <v>182</v>
      </c>
      <c r="G2713" t="s">
        <v>318</v>
      </c>
      <c r="H2713" t="s">
        <v>167</v>
      </c>
      <c r="I2713" t="s">
        <v>45</v>
      </c>
      <c r="K2713" t="s">
        <v>2668</v>
      </c>
      <c r="L2713">
        <v>1823300169301</v>
      </c>
      <c r="M2713">
        <v>20250616</v>
      </c>
      <c r="N2713" t="s">
        <v>195</v>
      </c>
      <c r="Q2713" t="s">
        <v>47</v>
      </c>
      <c r="R2713">
        <v>40825</v>
      </c>
      <c r="S2713">
        <v>40825</v>
      </c>
      <c r="T2713">
        <v>4284957</v>
      </c>
      <c r="U2713" t="s">
        <v>455</v>
      </c>
      <c r="V2713" t="s">
        <v>456</v>
      </c>
      <c r="W2713" t="s">
        <v>69</v>
      </c>
      <c r="X2713" t="s">
        <v>197</v>
      </c>
      <c r="Y2713" t="s">
        <v>51</v>
      </c>
      <c r="Z2713">
        <v>1656</v>
      </c>
      <c r="AH2713">
        <v>0</v>
      </c>
      <c r="AI2713">
        <v>202506</v>
      </c>
      <c r="AJ2713" t="s">
        <v>119</v>
      </c>
      <c r="AK2713">
        <v>1</v>
      </c>
      <c r="AL2713">
        <v>1</v>
      </c>
      <c r="AM2713">
        <v>4284957</v>
      </c>
      <c r="AN2713">
        <v>1</v>
      </c>
      <c r="AO2713">
        <v>0</v>
      </c>
      <c r="AP2713" t="s">
        <v>3050</v>
      </c>
      <c r="AQ2713" t="s">
        <v>3021</v>
      </c>
      <c r="AR2713" t="s">
        <v>3070</v>
      </c>
      <c r="AS2713" t="s">
        <v>3055</v>
      </c>
      <c r="AU2713" t="s">
        <v>3055</v>
      </c>
    </row>
    <row r="2714" spans="1:47" x14ac:dyDescent="0.35">
      <c r="A2714">
        <v>360184</v>
      </c>
      <c r="B2714" t="s">
        <v>193</v>
      </c>
      <c r="C2714" t="s">
        <v>194</v>
      </c>
      <c r="D2714" s="2">
        <v>45826</v>
      </c>
      <c r="E2714">
        <v>53850</v>
      </c>
      <c r="F2714">
        <v>102</v>
      </c>
      <c r="G2714" t="s">
        <v>151</v>
      </c>
      <c r="H2714" t="s">
        <v>167</v>
      </c>
      <c r="I2714" t="s">
        <v>45</v>
      </c>
      <c r="K2714">
        <v>202506168076287</v>
      </c>
      <c r="L2714">
        <v>1023308722071</v>
      </c>
      <c r="M2714">
        <v>20250616</v>
      </c>
      <c r="N2714" t="s">
        <v>266</v>
      </c>
      <c r="Q2714" t="s">
        <v>47</v>
      </c>
      <c r="R2714">
        <v>31570</v>
      </c>
      <c r="S2714">
        <v>31570</v>
      </c>
      <c r="T2714">
        <v>194802</v>
      </c>
      <c r="U2714">
        <v>3151820721</v>
      </c>
      <c r="V2714" t="s">
        <v>586</v>
      </c>
      <c r="W2714" t="s">
        <v>49</v>
      </c>
      <c r="X2714" t="s">
        <v>131</v>
      </c>
      <c r="Y2714" t="s">
        <v>51</v>
      </c>
      <c r="Z2714">
        <v>1203</v>
      </c>
      <c r="AH2714">
        <v>0</v>
      </c>
      <c r="AI2714">
        <v>202506</v>
      </c>
      <c r="AJ2714" t="s">
        <v>86</v>
      </c>
      <c r="AK2714">
        <v>1</v>
      </c>
      <c r="AL2714">
        <v>1</v>
      </c>
      <c r="AM2714">
        <v>194802</v>
      </c>
      <c r="AN2714">
        <v>1</v>
      </c>
      <c r="AO2714">
        <v>0</v>
      </c>
      <c r="AP2714" t="s">
        <v>3033</v>
      </c>
      <c r="AQ2714" t="s">
        <v>3012</v>
      </c>
      <c r="AR2714" t="s">
        <v>3034</v>
      </c>
      <c r="AS2714" t="s">
        <v>3014</v>
      </c>
      <c r="AU2714" t="s">
        <v>3014</v>
      </c>
    </row>
    <row r="2715" spans="1:47" x14ac:dyDescent="0.35">
      <c r="A2715">
        <v>360183</v>
      </c>
      <c r="B2715" t="s">
        <v>193</v>
      </c>
      <c r="C2715" t="s">
        <v>194</v>
      </c>
      <c r="D2715" s="2">
        <v>45826</v>
      </c>
      <c r="E2715">
        <v>53850</v>
      </c>
      <c r="F2715">
        <v>108</v>
      </c>
      <c r="G2715" t="s">
        <v>124</v>
      </c>
      <c r="H2715" t="s">
        <v>167</v>
      </c>
      <c r="I2715" t="s">
        <v>45</v>
      </c>
      <c r="K2715" t="s">
        <v>2668</v>
      </c>
      <c r="L2715">
        <v>1083305200700</v>
      </c>
      <c r="M2715">
        <v>20250616</v>
      </c>
      <c r="N2715" t="s">
        <v>175</v>
      </c>
      <c r="Q2715" t="s">
        <v>47</v>
      </c>
      <c r="R2715">
        <v>40842.83</v>
      </c>
      <c r="S2715">
        <v>29230</v>
      </c>
      <c r="T2715">
        <v>520070</v>
      </c>
      <c r="U2715">
        <v>4357120726</v>
      </c>
      <c r="V2715" t="s">
        <v>457</v>
      </c>
      <c r="W2715" t="s">
        <v>49</v>
      </c>
      <c r="X2715" t="s">
        <v>110</v>
      </c>
      <c r="Y2715" t="s">
        <v>51</v>
      </c>
      <c r="Z2715">
        <v>1058</v>
      </c>
      <c r="AH2715">
        <v>0</v>
      </c>
      <c r="AI2715">
        <v>202506</v>
      </c>
      <c r="AJ2715" t="s">
        <v>86</v>
      </c>
      <c r="AK2715">
        <v>1</v>
      </c>
      <c r="AL2715">
        <v>1</v>
      </c>
      <c r="AO2715">
        <v>1</v>
      </c>
      <c r="AP2715" t="s">
        <v>3026</v>
      </c>
      <c r="AQ2715" t="s">
        <v>3012</v>
      </c>
      <c r="AR2715" t="s">
        <v>3027</v>
      </c>
      <c r="AS2715" t="s">
        <v>3028</v>
      </c>
      <c r="AU2715" t="s">
        <v>3028</v>
      </c>
    </row>
    <row r="2716" spans="1:47" x14ac:dyDescent="0.35">
      <c r="A2716">
        <v>360182</v>
      </c>
      <c r="B2716" t="s">
        <v>172</v>
      </c>
      <c r="C2716" t="s">
        <v>173</v>
      </c>
      <c r="D2716" s="2">
        <v>45826</v>
      </c>
      <c r="E2716">
        <v>53850</v>
      </c>
      <c r="F2716">
        <v>105</v>
      </c>
      <c r="G2716" t="s">
        <v>60</v>
      </c>
      <c r="H2716" t="s">
        <v>167</v>
      </c>
      <c r="I2716" t="s">
        <v>45</v>
      </c>
      <c r="K2716">
        <v>202506168076346</v>
      </c>
      <c r="L2716">
        <v>1053306290053</v>
      </c>
      <c r="M2716">
        <v>20250616</v>
      </c>
      <c r="N2716" t="s">
        <v>325</v>
      </c>
      <c r="Q2716" t="s">
        <v>47</v>
      </c>
      <c r="R2716">
        <v>98000</v>
      </c>
      <c r="S2716">
        <v>0</v>
      </c>
      <c r="T2716">
        <v>55359</v>
      </c>
      <c r="U2716">
        <v>296600729</v>
      </c>
      <c r="V2716" t="s">
        <v>776</v>
      </c>
      <c r="W2716" t="s">
        <v>49</v>
      </c>
      <c r="X2716" t="s">
        <v>343</v>
      </c>
      <c r="Y2716" t="s">
        <v>51</v>
      </c>
      <c r="Z2716">
        <v>1058</v>
      </c>
      <c r="AH2716">
        <v>0</v>
      </c>
      <c r="AI2716">
        <v>202506</v>
      </c>
      <c r="AJ2716" t="s">
        <v>119</v>
      </c>
      <c r="AK2716">
        <v>1</v>
      </c>
      <c r="AL2716">
        <v>1</v>
      </c>
      <c r="AO2716">
        <v>0</v>
      </c>
      <c r="AP2716" t="s">
        <v>3086</v>
      </c>
      <c r="AQ2716" t="s">
        <v>3012</v>
      </c>
      <c r="AR2716" t="s">
        <v>3087</v>
      </c>
      <c r="AS2716" t="s">
        <v>3014</v>
      </c>
      <c r="AU2716" t="s">
        <v>3014</v>
      </c>
    </row>
    <row r="2717" spans="1:47" x14ac:dyDescent="0.35">
      <c r="A2717">
        <v>360181</v>
      </c>
      <c r="B2717" t="s">
        <v>172</v>
      </c>
      <c r="C2717" t="s">
        <v>173</v>
      </c>
      <c r="D2717" s="2">
        <v>45826</v>
      </c>
      <c r="E2717">
        <v>53850</v>
      </c>
      <c r="F2717">
        <v>171</v>
      </c>
      <c r="G2717" t="s">
        <v>198</v>
      </c>
      <c r="H2717" t="s">
        <v>167</v>
      </c>
      <c r="I2717" t="s">
        <v>45</v>
      </c>
      <c r="K2717" t="s">
        <v>2668</v>
      </c>
      <c r="L2717">
        <v>1713305728950</v>
      </c>
      <c r="M2717">
        <v>20250616</v>
      </c>
      <c r="N2717" t="s">
        <v>195</v>
      </c>
      <c r="Q2717" t="s">
        <v>47</v>
      </c>
      <c r="R2717">
        <v>341597.17</v>
      </c>
      <c r="S2717">
        <v>341597.17</v>
      </c>
      <c r="T2717">
        <v>572895</v>
      </c>
      <c r="U2717">
        <v>4161600723</v>
      </c>
      <c r="V2717" t="s">
        <v>199</v>
      </c>
      <c r="W2717" t="s">
        <v>49</v>
      </c>
      <c r="X2717" t="s">
        <v>200</v>
      </c>
      <c r="Y2717" t="s">
        <v>51</v>
      </c>
      <c r="Z2717">
        <v>1903</v>
      </c>
      <c r="AH2717">
        <v>0</v>
      </c>
      <c r="AI2717">
        <v>202506</v>
      </c>
      <c r="AJ2717" t="s">
        <v>119</v>
      </c>
      <c r="AK2717">
        <v>1</v>
      </c>
      <c r="AL2717">
        <v>1</v>
      </c>
      <c r="AM2717">
        <v>572895</v>
      </c>
      <c r="AN2717">
        <v>1</v>
      </c>
      <c r="AO2717">
        <v>0</v>
      </c>
      <c r="AP2717" t="s">
        <v>3015</v>
      </c>
      <c r="AQ2717" t="s">
        <v>3012</v>
      </c>
      <c r="AR2717" t="s">
        <v>3016</v>
      </c>
      <c r="AT2717" t="s">
        <v>3017</v>
      </c>
      <c r="AU2717" t="s">
        <v>3018</v>
      </c>
    </row>
    <row r="2718" spans="1:47" x14ac:dyDescent="0.35">
      <c r="A2718">
        <v>360180</v>
      </c>
      <c r="B2718" t="s">
        <v>193</v>
      </c>
      <c r="C2718" t="s">
        <v>194</v>
      </c>
      <c r="D2718" s="2">
        <v>45826</v>
      </c>
      <c r="E2718">
        <v>53850</v>
      </c>
      <c r="F2718">
        <v>110</v>
      </c>
      <c r="G2718" t="s">
        <v>230</v>
      </c>
      <c r="H2718" t="s">
        <v>167</v>
      </c>
      <c r="I2718" t="s">
        <v>45</v>
      </c>
      <c r="K2718" t="s">
        <v>2668</v>
      </c>
      <c r="L2718">
        <v>1103300093700</v>
      </c>
      <c r="M2718">
        <v>20250616</v>
      </c>
      <c r="N2718" t="s">
        <v>195</v>
      </c>
      <c r="Q2718" t="s">
        <v>47</v>
      </c>
      <c r="R2718">
        <v>48755</v>
      </c>
      <c r="S2718">
        <v>48755</v>
      </c>
      <c r="T2718">
        <v>4871243</v>
      </c>
      <c r="U2718">
        <v>7961820722</v>
      </c>
      <c r="V2718" t="s">
        <v>328</v>
      </c>
      <c r="W2718" t="s">
        <v>190</v>
      </c>
      <c r="X2718" t="s">
        <v>117</v>
      </c>
      <c r="Y2718" t="s">
        <v>51</v>
      </c>
      <c r="Z2718">
        <v>746</v>
      </c>
      <c r="AH2718">
        <v>0</v>
      </c>
      <c r="AI2718">
        <v>202506</v>
      </c>
      <c r="AJ2718" t="s">
        <v>86</v>
      </c>
      <c r="AK2718">
        <v>1</v>
      </c>
      <c r="AL2718">
        <v>1</v>
      </c>
      <c r="AM2718">
        <v>4871243</v>
      </c>
      <c r="AN2718">
        <v>1</v>
      </c>
      <c r="AO2718">
        <v>0</v>
      </c>
      <c r="AP2718" t="s">
        <v>3015</v>
      </c>
      <c r="AQ2718" t="s">
        <v>3047</v>
      </c>
      <c r="AR2718" t="s">
        <v>3056</v>
      </c>
      <c r="AT2718" t="s">
        <v>3017</v>
      </c>
      <c r="AU2718" t="s">
        <v>3057</v>
      </c>
    </row>
    <row r="2719" spans="1:47" x14ac:dyDescent="0.35">
      <c r="A2719">
        <v>360179</v>
      </c>
      <c r="B2719" t="s">
        <v>178</v>
      </c>
      <c r="C2719" t="s">
        <v>179</v>
      </c>
      <c r="D2719" s="2">
        <v>45826</v>
      </c>
      <c r="E2719">
        <v>53850</v>
      </c>
      <c r="F2719">
        <v>182</v>
      </c>
      <c r="G2719" t="s">
        <v>318</v>
      </c>
      <c r="H2719" t="s">
        <v>167</v>
      </c>
      <c r="I2719" t="s">
        <v>45</v>
      </c>
      <c r="K2719">
        <v>202506168076694</v>
      </c>
      <c r="L2719">
        <v>1823300174068</v>
      </c>
      <c r="M2719">
        <v>20250616</v>
      </c>
      <c r="N2719" t="s">
        <v>1002</v>
      </c>
      <c r="Q2719" t="s">
        <v>47</v>
      </c>
      <c r="R2719">
        <v>180000</v>
      </c>
      <c r="S2719">
        <v>0</v>
      </c>
      <c r="T2719">
        <v>4957173</v>
      </c>
      <c r="U2719" t="s">
        <v>2678</v>
      </c>
      <c r="V2719" t="s">
        <v>2679</v>
      </c>
      <c r="W2719" t="s">
        <v>2680</v>
      </c>
      <c r="Y2719" t="s">
        <v>2681</v>
      </c>
      <c r="Z2719">
        <v>616</v>
      </c>
      <c r="AH2719">
        <v>0</v>
      </c>
      <c r="AI2719">
        <v>202506</v>
      </c>
      <c r="AJ2719" t="s">
        <v>86</v>
      </c>
      <c r="AK2719">
        <v>1</v>
      </c>
      <c r="AL2719">
        <v>1</v>
      </c>
      <c r="AO2719">
        <v>0</v>
      </c>
      <c r="AP2719" t="s">
        <v>3015</v>
      </c>
      <c r="AQ2719" t="s">
        <v>3130</v>
      </c>
      <c r="AR2719" t="s">
        <v>3131</v>
      </c>
      <c r="AS2719" t="s">
        <v>3046</v>
      </c>
      <c r="AU2719" t="s">
        <v>3046</v>
      </c>
    </row>
    <row r="2720" spans="1:47" x14ac:dyDescent="0.35">
      <c r="A2720">
        <v>360178</v>
      </c>
      <c r="B2720" t="s">
        <v>193</v>
      </c>
      <c r="C2720" t="s">
        <v>194</v>
      </c>
      <c r="D2720" s="2">
        <v>45826</v>
      </c>
      <c r="E2720">
        <v>53850</v>
      </c>
      <c r="F2720">
        <v>103</v>
      </c>
      <c r="G2720" t="s">
        <v>80</v>
      </c>
      <c r="H2720" t="s">
        <v>167</v>
      </c>
      <c r="I2720" t="s">
        <v>45</v>
      </c>
      <c r="K2720">
        <v>202506168076310</v>
      </c>
      <c r="L2720">
        <v>1033306986170</v>
      </c>
      <c r="M2720">
        <v>20250616</v>
      </c>
      <c r="N2720" t="s">
        <v>266</v>
      </c>
      <c r="Q2720" t="s">
        <v>47</v>
      </c>
      <c r="R2720">
        <v>34850</v>
      </c>
      <c r="S2720">
        <v>34850</v>
      </c>
      <c r="T2720">
        <v>4898659</v>
      </c>
      <c r="U2720" t="s">
        <v>2682</v>
      </c>
      <c r="V2720" t="s">
        <v>2683</v>
      </c>
      <c r="W2720" t="s">
        <v>187</v>
      </c>
      <c r="Y2720" t="s">
        <v>51</v>
      </c>
      <c r="Z2720">
        <v>1099</v>
      </c>
      <c r="AH2720">
        <v>0</v>
      </c>
      <c r="AI2720">
        <v>202506</v>
      </c>
      <c r="AJ2720" t="s">
        <v>86</v>
      </c>
      <c r="AK2720">
        <v>1</v>
      </c>
      <c r="AL2720">
        <v>1</v>
      </c>
      <c r="AO2720">
        <v>0</v>
      </c>
      <c r="AP2720" t="s">
        <v>3015</v>
      </c>
      <c r="AQ2720" t="s">
        <v>3044</v>
      </c>
      <c r="AR2720" t="s">
        <v>3045</v>
      </c>
      <c r="AS2720" t="s">
        <v>3046</v>
      </c>
      <c r="AU2720" t="s">
        <v>3046</v>
      </c>
    </row>
    <row r="2721" spans="1:47" x14ac:dyDescent="0.35">
      <c r="A2721">
        <v>360177</v>
      </c>
      <c r="B2721" t="s">
        <v>193</v>
      </c>
      <c r="C2721" t="s">
        <v>194</v>
      </c>
      <c r="D2721" s="2">
        <v>45826</v>
      </c>
      <c r="E2721">
        <v>53850</v>
      </c>
      <c r="F2721">
        <v>108</v>
      </c>
      <c r="G2721" t="s">
        <v>124</v>
      </c>
      <c r="H2721" t="s">
        <v>167</v>
      </c>
      <c r="I2721" t="s">
        <v>45</v>
      </c>
      <c r="K2721" t="s">
        <v>2668</v>
      </c>
      <c r="L2721">
        <v>1083306291105</v>
      </c>
      <c r="M2721">
        <v>20250616</v>
      </c>
      <c r="N2721" t="s">
        <v>175</v>
      </c>
      <c r="Q2721" t="s">
        <v>47</v>
      </c>
      <c r="R2721">
        <v>180060.56</v>
      </c>
      <c r="S2721">
        <v>94090</v>
      </c>
      <c r="T2721">
        <v>4227057</v>
      </c>
      <c r="U2721">
        <v>4874620729</v>
      </c>
      <c r="V2721" t="s">
        <v>250</v>
      </c>
      <c r="W2721" t="s">
        <v>49</v>
      </c>
      <c r="X2721" t="s">
        <v>62</v>
      </c>
      <c r="Y2721" t="s">
        <v>51</v>
      </c>
      <c r="Z2721">
        <v>1058</v>
      </c>
      <c r="AH2721">
        <v>0</v>
      </c>
      <c r="AI2721">
        <v>202506</v>
      </c>
      <c r="AJ2721" t="s">
        <v>119</v>
      </c>
      <c r="AK2721">
        <v>1</v>
      </c>
      <c r="AL2721">
        <v>1</v>
      </c>
      <c r="AM2721">
        <v>4227057</v>
      </c>
      <c r="AN2721">
        <v>1</v>
      </c>
      <c r="AO2721">
        <v>1</v>
      </c>
      <c r="AP2721" t="s">
        <v>3015</v>
      </c>
      <c r="AQ2721" t="s">
        <v>3012</v>
      </c>
      <c r="AR2721" t="s">
        <v>3016</v>
      </c>
      <c r="AT2721" t="s">
        <v>3017</v>
      </c>
      <c r="AU2721" t="s">
        <v>3018</v>
      </c>
    </row>
    <row r="2722" spans="1:47" x14ac:dyDescent="0.35">
      <c r="A2722">
        <v>360176</v>
      </c>
      <c r="B2722" t="s">
        <v>178</v>
      </c>
      <c r="C2722" t="s">
        <v>179</v>
      </c>
      <c r="D2722" s="2">
        <v>45826</v>
      </c>
      <c r="E2722">
        <v>53850</v>
      </c>
      <c r="F2722">
        <v>192</v>
      </c>
      <c r="G2722" t="s">
        <v>66</v>
      </c>
      <c r="H2722" t="s">
        <v>167</v>
      </c>
      <c r="I2722" t="s">
        <v>45</v>
      </c>
      <c r="K2722">
        <v>202506168076721</v>
      </c>
      <c r="L2722">
        <v>1923300180425</v>
      </c>
      <c r="M2722">
        <v>20250616</v>
      </c>
      <c r="N2722" t="s">
        <v>3136</v>
      </c>
      <c r="Q2722" t="s">
        <v>170</v>
      </c>
      <c r="R2722">
        <v>43636.14</v>
      </c>
      <c r="S2722">
        <v>0</v>
      </c>
      <c r="T2722">
        <v>4374509</v>
      </c>
      <c r="U2722" t="s">
        <v>2684</v>
      </c>
      <c r="V2722" t="s">
        <v>2685</v>
      </c>
      <c r="W2722" t="s">
        <v>187</v>
      </c>
      <c r="Y2722" t="s">
        <v>51</v>
      </c>
      <c r="Z2722">
        <v>363</v>
      </c>
      <c r="AH2722">
        <v>0</v>
      </c>
      <c r="AI2722">
        <v>202506</v>
      </c>
      <c r="AJ2722" t="s">
        <v>86</v>
      </c>
      <c r="AK2722">
        <v>1</v>
      </c>
      <c r="AL2722">
        <v>1</v>
      </c>
      <c r="AO2722">
        <v>1</v>
      </c>
      <c r="AP2722" t="s">
        <v>3015</v>
      </c>
      <c r="AQ2722" t="s">
        <v>3044</v>
      </c>
      <c r="AR2722" t="s">
        <v>3045</v>
      </c>
      <c r="AS2722" t="s">
        <v>3046</v>
      </c>
      <c r="AU2722" t="s">
        <v>3046</v>
      </c>
    </row>
    <row r="2723" spans="1:47" x14ac:dyDescent="0.35">
      <c r="A2723">
        <v>360175</v>
      </c>
      <c r="B2723" t="s">
        <v>178</v>
      </c>
      <c r="C2723" t="s">
        <v>179</v>
      </c>
      <c r="D2723" s="2">
        <v>45826</v>
      </c>
      <c r="E2723">
        <v>53850</v>
      </c>
      <c r="F2723">
        <v>120</v>
      </c>
      <c r="G2723" t="s">
        <v>411</v>
      </c>
      <c r="H2723" t="s">
        <v>167</v>
      </c>
      <c r="I2723" t="s">
        <v>45</v>
      </c>
      <c r="K2723">
        <v>202506168074882</v>
      </c>
      <c r="L2723">
        <v>1203300002852</v>
      </c>
      <c r="M2723">
        <v>20250616</v>
      </c>
      <c r="N2723" t="s">
        <v>659</v>
      </c>
      <c r="Q2723" t="s">
        <v>170</v>
      </c>
      <c r="R2723">
        <v>748118.96</v>
      </c>
      <c r="S2723">
        <v>0</v>
      </c>
      <c r="T2723">
        <v>4078085</v>
      </c>
      <c r="U2723">
        <v>4806600724</v>
      </c>
      <c r="V2723" t="s">
        <v>2686</v>
      </c>
      <c r="W2723" t="s">
        <v>49</v>
      </c>
      <c r="X2723" t="s">
        <v>1062</v>
      </c>
      <c r="Y2723" t="s">
        <v>51</v>
      </c>
      <c r="Z2723">
        <v>1058</v>
      </c>
      <c r="AH2723">
        <v>0</v>
      </c>
      <c r="AI2723">
        <v>202506</v>
      </c>
      <c r="AJ2723" t="s">
        <v>86</v>
      </c>
      <c r="AK2723">
        <v>1</v>
      </c>
      <c r="AL2723">
        <v>1</v>
      </c>
      <c r="AO2723">
        <v>0</v>
      </c>
      <c r="AP2723" t="s">
        <v>3015</v>
      </c>
      <c r="AQ2723" t="s">
        <v>3012</v>
      </c>
      <c r="AR2723" t="s">
        <v>3016</v>
      </c>
      <c r="AT2723" t="s">
        <v>3017</v>
      </c>
      <c r="AU2723" t="s">
        <v>3018</v>
      </c>
    </row>
    <row r="2724" spans="1:47" x14ac:dyDescent="0.35">
      <c r="A2724">
        <v>360174</v>
      </c>
      <c r="B2724" t="s">
        <v>193</v>
      </c>
      <c r="C2724" t="s">
        <v>194</v>
      </c>
      <c r="D2724" s="2">
        <v>45826</v>
      </c>
      <c r="E2724">
        <v>53850</v>
      </c>
      <c r="F2724">
        <v>268</v>
      </c>
      <c r="G2724" t="s">
        <v>83</v>
      </c>
      <c r="H2724" t="s">
        <v>167</v>
      </c>
      <c r="I2724" t="s">
        <v>45</v>
      </c>
      <c r="K2724" t="s">
        <v>2668</v>
      </c>
      <c r="L2724">
        <v>2683300010030</v>
      </c>
      <c r="M2724">
        <v>20250616</v>
      </c>
      <c r="N2724" t="s">
        <v>195</v>
      </c>
      <c r="Q2724" t="s">
        <v>47</v>
      </c>
      <c r="R2724">
        <v>48295</v>
      </c>
      <c r="S2724">
        <v>48295</v>
      </c>
      <c r="T2724">
        <v>4966939</v>
      </c>
      <c r="U2724" t="s">
        <v>221</v>
      </c>
      <c r="V2724" t="s">
        <v>222</v>
      </c>
      <c r="W2724" t="s">
        <v>69</v>
      </c>
      <c r="X2724" t="s">
        <v>55</v>
      </c>
      <c r="Y2724" t="s">
        <v>51</v>
      </c>
      <c r="Z2724">
        <v>1870</v>
      </c>
      <c r="AH2724">
        <v>0</v>
      </c>
      <c r="AI2724">
        <v>202506</v>
      </c>
      <c r="AJ2724" t="s">
        <v>56</v>
      </c>
      <c r="AK2724">
        <v>0</v>
      </c>
      <c r="AL2724">
        <v>1</v>
      </c>
      <c r="AM2724">
        <v>4966939</v>
      </c>
      <c r="AN2724">
        <v>1</v>
      </c>
      <c r="AO2724">
        <v>0</v>
      </c>
      <c r="AP2724" t="s">
        <v>3015</v>
      </c>
      <c r="AQ2724" t="s">
        <v>3021</v>
      </c>
      <c r="AR2724" t="s">
        <v>3022</v>
      </c>
      <c r="AT2724" t="s">
        <v>3017</v>
      </c>
      <c r="AU2724" t="s">
        <v>3014</v>
      </c>
    </row>
    <row r="2725" spans="1:47" x14ac:dyDescent="0.35">
      <c r="A2725">
        <v>360173</v>
      </c>
      <c r="B2725" t="s">
        <v>172</v>
      </c>
      <c r="C2725" t="s">
        <v>173</v>
      </c>
      <c r="D2725" s="2">
        <v>45826</v>
      </c>
      <c r="E2725">
        <v>53850</v>
      </c>
      <c r="F2725">
        <v>116</v>
      </c>
      <c r="G2725" t="s">
        <v>126</v>
      </c>
      <c r="H2725" t="s">
        <v>167</v>
      </c>
      <c r="I2725" t="s">
        <v>45</v>
      </c>
      <c r="K2725">
        <v>202506168076436</v>
      </c>
      <c r="L2725">
        <v>1423306288020</v>
      </c>
      <c r="M2725">
        <v>20250616</v>
      </c>
      <c r="N2725" t="s">
        <v>231</v>
      </c>
      <c r="Q2725" t="s">
        <v>47</v>
      </c>
      <c r="R2725">
        <v>118000</v>
      </c>
      <c r="S2725">
        <v>0</v>
      </c>
      <c r="T2725">
        <v>4559384</v>
      </c>
      <c r="U2725" t="s">
        <v>2687</v>
      </c>
      <c r="V2725" t="s">
        <v>2688</v>
      </c>
      <c r="W2725" t="s">
        <v>187</v>
      </c>
      <c r="Y2725" t="s">
        <v>51</v>
      </c>
      <c r="Z2725">
        <v>655</v>
      </c>
      <c r="AH2725">
        <v>0</v>
      </c>
      <c r="AI2725">
        <v>202506</v>
      </c>
      <c r="AJ2725" t="s">
        <v>86</v>
      </c>
      <c r="AK2725">
        <v>1</v>
      </c>
      <c r="AL2725">
        <v>1</v>
      </c>
      <c r="AO2725">
        <v>0</v>
      </c>
      <c r="AP2725" t="s">
        <v>3015</v>
      </c>
      <c r="AQ2725" t="s">
        <v>3044</v>
      </c>
      <c r="AR2725" t="s">
        <v>3045</v>
      </c>
      <c r="AS2725" t="s">
        <v>3046</v>
      </c>
      <c r="AU2725" t="s">
        <v>3046</v>
      </c>
    </row>
    <row r="2726" spans="1:47" x14ac:dyDescent="0.35">
      <c r="A2726">
        <v>360172</v>
      </c>
      <c r="B2726" t="s">
        <v>172</v>
      </c>
      <c r="C2726" t="s">
        <v>173</v>
      </c>
      <c r="D2726" s="2">
        <v>45826</v>
      </c>
      <c r="E2726">
        <v>53850</v>
      </c>
      <c r="F2726">
        <v>108</v>
      </c>
      <c r="G2726" t="s">
        <v>124</v>
      </c>
      <c r="H2726" t="s">
        <v>167</v>
      </c>
      <c r="I2726" t="s">
        <v>45</v>
      </c>
      <c r="K2726" t="s">
        <v>2668</v>
      </c>
      <c r="L2726">
        <v>1083306291105</v>
      </c>
      <c r="M2726">
        <v>20250616</v>
      </c>
      <c r="N2726" t="s">
        <v>175</v>
      </c>
      <c r="Q2726" t="s">
        <v>47</v>
      </c>
      <c r="R2726">
        <v>180060.56</v>
      </c>
      <c r="S2726">
        <v>94090</v>
      </c>
      <c r="T2726">
        <v>4227057</v>
      </c>
      <c r="U2726">
        <v>4874620729</v>
      </c>
      <c r="V2726" t="s">
        <v>250</v>
      </c>
      <c r="W2726" t="s">
        <v>49</v>
      </c>
      <c r="X2726" t="s">
        <v>62</v>
      </c>
      <c r="Y2726" t="s">
        <v>51</v>
      </c>
      <c r="Z2726">
        <v>1058</v>
      </c>
      <c r="AH2726">
        <v>0</v>
      </c>
      <c r="AI2726">
        <v>202506</v>
      </c>
      <c r="AJ2726" t="s">
        <v>119</v>
      </c>
      <c r="AK2726">
        <v>1</v>
      </c>
      <c r="AL2726">
        <v>1</v>
      </c>
      <c r="AM2726">
        <v>4227057</v>
      </c>
      <c r="AN2726">
        <v>1</v>
      </c>
      <c r="AO2726">
        <v>1</v>
      </c>
      <c r="AP2726" t="s">
        <v>3015</v>
      </c>
      <c r="AQ2726" t="s">
        <v>3012</v>
      </c>
      <c r="AR2726" t="s">
        <v>3016</v>
      </c>
      <c r="AT2726" t="s">
        <v>3017</v>
      </c>
      <c r="AU2726" t="s">
        <v>3018</v>
      </c>
    </row>
    <row r="2727" spans="1:47" x14ac:dyDescent="0.35">
      <c r="A2727">
        <v>360171</v>
      </c>
      <c r="B2727" t="s">
        <v>178</v>
      </c>
      <c r="C2727" t="s">
        <v>179</v>
      </c>
      <c r="D2727" s="2">
        <v>45826</v>
      </c>
      <c r="E2727">
        <v>53850</v>
      </c>
      <c r="F2727">
        <v>170</v>
      </c>
      <c r="G2727" t="s">
        <v>211</v>
      </c>
      <c r="H2727" t="s">
        <v>167</v>
      </c>
      <c r="I2727" t="s">
        <v>45</v>
      </c>
      <c r="K2727">
        <v>202506168072803</v>
      </c>
      <c r="L2727">
        <v>1703306290830</v>
      </c>
      <c r="M2727">
        <v>20250616</v>
      </c>
      <c r="N2727" t="s">
        <v>310</v>
      </c>
      <c r="Q2727" t="s">
        <v>170</v>
      </c>
      <c r="R2727">
        <v>778325.33</v>
      </c>
      <c r="S2727">
        <v>0</v>
      </c>
      <c r="T2727">
        <v>4934769</v>
      </c>
      <c r="U2727">
        <v>2791590728</v>
      </c>
      <c r="V2727" t="s">
        <v>1810</v>
      </c>
      <c r="W2727" t="s">
        <v>49</v>
      </c>
      <c r="X2727" t="s">
        <v>784</v>
      </c>
      <c r="Y2727" t="s">
        <v>51</v>
      </c>
      <c r="Z2727">
        <v>1919</v>
      </c>
      <c r="AH2727">
        <v>0</v>
      </c>
      <c r="AI2727">
        <v>202506</v>
      </c>
      <c r="AJ2727" t="s">
        <v>86</v>
      </c>
      <c r="AK2727">
        <v>1</v>
      </c>
      <c r="AL2727">
        <v>1</v>
      </c>
      <c r="AO2727">
        <v>0</v>
      </c>
      <c r="AP2727" t="s">
        <v>3090</v>
      </c>
      <c r="AQ2727" t="s">
        <v>3012</v>
      </c>
      <c r="AR2727" t="s">
        <v>3091</v>
      </c>
      <c r="AS2727" t="s">
        <v>3014</v>
      </c>
      <c r="AU2727" t="s">
        <v>3014</v>
      </c>
    </row>
    <row r="2728" spans="1:47" x14ac:dyDescent="0.35">
      <c r="A2728">
        <v>360170</v>
      </c>
      <c r="B2728" t="s">
        <v>178</v>
      </c>
      <c r="C2728" t="s">
        <v>179</v>
      </c>
      <c r="D2728" s="2">
        <v>45826</v>
      </c>
      <c r="E2728">
        <v>53850</v>
      </c>
      <c r="F2728">
        <v>102</v>
      </c>
      <c r="G2728" t="s">
        <v>151</v>
      </c>
      <c r="H2728" t="s">
        <v>167</v>
      </c>
      <c r="I2728" t="s">
        <v>45</v>
      </c>
      <c r="K2728">
        <v>202506168073611</v>
      </c>
      <c r="L2728">
        <v>1023308719190</v>
      </c>
      <c r="M2728">
        <v>20250616</v>
      </c>
      <c r="N2728" t="s">
        <v>46</v>
      </c>
      <c r="P2728" t="s">
        <v>51</v>
      </c>
      <c r="Q2728" t="s">
        <v>47</v>
      </c>
      <c r="R2728">
        <v>1601412.8</v>
      </c>
      <c r="S2728">
        <v>0</v>
      </c>
      <c r="T2728">
        <v>4233192</v>
      </c>
      <c r="U2728">
        <v>4107060966</v>
      </c>
      <c r="V2728" t="s">
        <v>802</v>
      </c>
      <c r="W2728" t="s">
        <v>803</v>
      </c>
      <c r="X2728" t="s">
        <v>210</v>
      </c>
      <c r="Y2728" t="s">
        <v>51</v>
      </c>
      <c r="Z2728">
        <v>739</v>
      </c>
      <c r="AH2728">
        <v>0</v>
      </c>
      <c r="AI2728">
        <v>202506</v>
      </c>
      <c r="AJ2728" t="s">
        <v>86</v>
      </c>
      <c r="AK2728">
        <v>1</v>
      </c>
      <c r="AL2728">
        <v>1</v>
      </c>
      <c r="AO2728">
        <v>0</v>
      </c>
      <c r="AP2728" t="s">
        <v>3015</v>
      </c>
      <c r="AQ2728" t="s">
        <v>3088</v>
      </c>
      <c r="AR2728" t="s">
        <v>3089</v>
      </c>
      <c r="AT2728" t="s">
        <v>3017</v>
      </c>
      <c r="AU2728" t="s">
        <v>3037</v>
      </c>
    </row>
    <row r="2729" spans="1:47" x14ac:dyDescent="0.35">
      <c r="A2729">
        <v>360169</v>
      </c>
      <c r="B2729" t="s">
        <v>333</v>
      </c>
      <c r="C2729" t="s">
        <v>334</v>
      </c>
      <c r="D2729" s="2">
        <v>45826</v>
      </c>
      <c r="E2729">
        <v>53850</v>
      </c>
      <c r="F2729">
        <v>143</v>
      </c>
      <c r="G2729" t="s">
        <v>654</v>
      </c>
      <c r="H2729" t="s">
        <v>167</v>
      </c>
      <c r="I2729" t="s">
        <v>45</v>
      </c>
      <c r="K2729">
        <v>202506168076535</v>
      </c>
      <c r="M2729">
        <v>20250616</v>
      </c>
      <c r="N2729" t="s">
        <v>1356</v>
      </c>
      <c r="Q2729" t="s">
        <v>170</v>
      </c>
      <c r="R2729">
        <v>30000</v>
      </c>
      <c r="S2729">
        <v>0</v>
      </c>
      <c r="T2729">
        <v>3745532</v>
      </c>
      <c r="U2729" t="s">
        <v>2689</v>
      </c>
      <c r="V2729" t="s">
        <v>2690</v>
      </c>
      <c r="W2729" t="s">
        <v>187</v>
      </c>
      <c r="Y2729" t="s">
        <v>51</v>
      </c>
      <c r="AH2729">
        <v>0</v>
      </c>
      <c r="AI2729">
        <v>202506</v>
      </c>
      <c r="AL2729">
        <v>0</v>
      </c>
      <c r="AO2729">
        <v>0</v>
      </c>
      <c r="AP2729" t="s">
        <v>3015</v>
      </c>
      <c r="AQ2729" t="s">
        <v>3044</v>
      </c>
      <c r="AR2729" t="s">
        <v>3045</v>
      </c>
      <c r="AS2729" t="s">
        <v>3046</v>
      </c>
      <c r="AU2729" t="s">
        <v>3046</v>
      </c>
    </row>
    <row r="2730" spans="1:47" x14ac:dyDescent="0.35">
      <c r="A2730">
        <v>360168</v>
      </c>
      <c r="B2730" t="s">
        <v>193</v>
      </c>
      <c r="C2730" t="s">
        <v>194</v>
      </c>
      <c r="D2730" s="2">
        <v>45826</v>
      </c>
      <c r="E2730">
        <v>53850</v>
      </c>
      <c r="F2730">
        <v>116</v>
      </c>
      <c r="G2730" t="s">
        <v>126</v>
      </c>
      <c r="H2730" t="s">
        <v>167</v>
      </c>
      <c r="I2730" t="s">
        <v>45</v>
      </c>
      <c r="K2730">
        <v>202506168076065</v>
      </c>
      <c r="L2730">
        <v>2343300010453</v>
      </c>
      <c r="M2730">
        <v>20250616</v>
      </c>
      <c r="N2730" t="s">
        <v>195</v>
      </c>
      <c r="Q2730" t="s">
        <v>47</v>
      </c>
      <c r="R2730">
        <v>168441.45</v>
      </c>
      <c r="S2730">
        <v>168441.45</v>
      </c>
      <c r="T2730">
        <v>4247777</v>
      </c>
      <c r="U2730">
        <v>233470236</v>
      </c>
      <c r="V2730" t="s">
        <v>206</v>
      </c>
      <c r="W2730" t="s">
        <v>49</v>
      </c>
      <c r="X2730" t="s">
        <v>117</v>
      </c>
      <c r="Y2730" t="s">
        <v>51</v>
      </c>
      <c r="Z2730">
        <v>1696</v>
      </c>
      <c r="AH2730">
        <v>0</v>
      </c>
      <c r="AI2730">
        <v>202506</v>
      </c>
      <c r="AJ2730" t="s">
        <v>86</v>
      </c>
      <c r="AK2730">
        <v>1</v>
      </c>
      <c r="AL2730">
        <v>1</v>
      </c>
      <c r="AM2730">
        <v>4247777</v>
      </c>
      <c r="AN2730">
        <v>1</v>
      </c>
      <c r="AO2730">
        <v>0</v>
      </c>
      <c r="AP2730" t="s">
        <v>3029</v>
      </c>
      <c r="AQ2730" t="s">
        <v>3012</v>
      </c>
      <c r="AR2730" t="s">
        <v>3030</v>
      </c>
      <c r="AS2730" t="s">
        <v>3014</v>
      </c>
      <c r="AU2730" t="s">
        <v>3014</v>
      </c>
    </row>
    <row r="2731" spans="1:47" x14ac:dyDescent="0.35">
      <c r="A2731">
        <v>360167</v>
      </c>
      <c r="B2731" t="s">
        <v>178</v>
      </c>
      <c r="C2731" t="s">
        <v>179</v>
      </c>
      <c r="D2731" s="2">
        <v>45826</v>
      </c>
      <c r="E2731">
        <v>53850</v>
      </c>
      <c r="F2731">
        <v>141</v>
      </c>
      <c r="G2731" t="s">
        <v>105</v>
      </c>
      <c r="H2731" t="s">
        <v>167</v>
      </c>
      <c r="I2731" t="s">
        <v>45</v>
      </c>
      <c r="K2731">
        <v>202506168075148</v>
      </c>
      <c r="L2731">
        <v>1413300003749</v>
      </c>
      <c r="M2731">
        <v>20250616</v>
      </c>
      <c r="N2731" t="s">
        <v>659</v>
      </c>
      <c r="Q2731" t="s">
        <v>170</v>
      </c>
      <c r="R2731">
        <v>862601.61</v>
      </c>
      <c r="S2731">
        <v>0</v>
      </c>
      <c r="T2731">
        <v>4835947</v>
      </c>
      <c r="U2731">
        <v>3351210756</v>
      </c>
      <c r="V2731" t="s">
        <v>148</v>
      </c>
      <c r="W2731" t="s">
        <v>49</v>
      </c>
      <c r="X2731" t="s">
        <v>50</v>
      </c>
      <c r="Y2731" t="s">
        <v>51</v>
      </c>
      <c r="Z2731">
        <v>1627</v>
      </c>
      <c r="AH2731">
        <v>0</v>
      </c>
      <c r="AI2731">
        <v>202506</v>
      </c>
      <c r="AJ2731" t="s">
        <v>56</v>
      </c>
      <c r="AK2731">
        <v>0</v>
      </c>
      <c r="AL2731">
        <v>1</v>
      </c>
      <c r="AO2731">
        <v>0</v>
      </c>
      <c r="AP2731" t="s">
        <v>3011</v>
      </c>
      <c r="AQ2731" t="s">
        <v>3012</v>
      </c>
      <c r="AR2731" t="s">
        <v>3013</v>
      </c>
      <c r="AS2731" t="s">
        <v>3014</v>
      </c>
      <c r="AU2731" t="s">
        <v>3014</v>
      </c>
    </row>
    <row r="2732" spans="1:47" x14ac:dyDescent="0.35">
      <c r="A2732">
        <v>360166</v>
      </c>
      <c r="B2732" t="s">
        <v>193</v>
      </c>
      <c r="C2732" t="s">
        <v>194</v>
      </c>
      <c r="D2732" s="2">
        <v>45826</v>
      </c>
      <c r="E2732">
        <v>53850</v>
      </c>
      <c r="F2732">
        <v>110</v>
      </c>
      <c r="G2732" t="s">
        <v>230</v>
      </c>
      <c r="H2732" t="s">
        <v>167</v>
      </c>
      <c r="I2732" t="s">
        <v>45</v>
      </c>
      <c r="K2732" t="s">
        <v>2668</v>
      </c>
      <c r="L2732">
        <v>1103306290380</v>
      </c>
      <c r="M2732">
        <v>20250616</v>
      </c>
      <c r="N2732" t="s">
        <v>175</v>
      </c>
      <c r="Q2732" t="s">
        <v>47</v>
      </c>
      <c r="R2732">
        <v>24400</v>
      </c>
      <c r="S2732">
        <v>19700</v>
      </c>
      <c r="T2732">
        <v>4808863</v>
      </c>
      <c r="U2732" t="s">
        <v>2691</v>
      </c>
      <c r="V2732" t="s">
        <v>2692</v>
      </c>
      <c r="W2732" t="s">
        <v>187</v>
      </c>
      <c r="Y2732" t="s">
        <v>51</v>
      </c>
      <c r="Z2732">
        <v>1359</v>
      </c>
      <c r="AH2732">
        <v>0</v>
      </c>
      <c r="AI2732">
        <v>202506</v>
      </c>
      <c r="AJ2732" t="s">
        <v>86</v>
      </c>
      <c r="AK2732">
        <v>1</v>
      </c>
      <c r="AL2732">
        <v>1</v>
      </c>
      <c r="AO2732">
        <v>1</v>
      </c>
      <c r="AP2732" t="s">
        <v>3015</v>
      </c>
      <c r="AQ2732" t="s">
        <v>3044</v>
      </c>
      <c r="AR2732" t="s">
        <v>3045</v>
      </c>
      <c r="AS2732" t="s">
        <v>3046</v>
      </c>
      <c r="AU2732" t="s">
        <v>3046</v>
      </c>
    </row>
    <row r="2733" spans="1:47" x14ac:dyDescent="0.35">
      <c r="A2733">
        <v>360165</v>
      </c>
      <c r="B2733" t="s">
        <v>178</v>
      </c>
      <c r="C2733" t="s">
        <v>179</v>
      </c>
      <c r="D2733" s="2">
        <v>45826</v>
      </c>
      <c r="E2733">
        <v>53850</v>
      </c>
      <c r="F2733">
        <v>273</v>
      </c>
      <c r="G2733" t="s">
        <v>133</v>
      </c>
      <c r="H2733" t="s">
        <v>167</v>
      </c>
      <c r="I2733" t="s">
        <v>45</v>
      </c>
      <c r="K2733">
        <v>202506168075284</v>
      </c>
      <c r="L2733">
        <v>2733300010399</v>
      </c>
      <c r="M2733">
        <v>20250616</v>
      </c>
      <c r="N2733" t="s">
        <v>659</v>
      </c>
      <c r="Q2733" t="s">
        <v>170</v>
      </c>
      <c r="R2733">
        <v>703898.06</v>
      </c>
      <c r="S2733">
        <v>0</v>
      </c>
      <c r="T2733">
        <v>4994923</v>
      </c>
      <c r="U2733">
        <v>2753720693</v>
      </c>
      <c r="V2733" t="s">
        <v>1464</v>
      </c>
      <c r="W2733" t="s">
        <v>49</v>
      </c>
      <c r="X2733" t="s">
        <v>364</v>
      </c>
      <c r="Y2733" t="s">
        <v>51</v>
      </c>
      <c r="Z2733">
        <v>1805</v>
      </c>
      <c r="AH2733">
        <v>0</v>
      </c>
      <c r="AI2733">
        <v>202506</v>
      </c>
      <c r="AJ2733" t="s">
        <v>52</v>
      </c>
      <c r="AK2733">
        <v>0</v>
      </c>
      <c r="AL2733">
        <v>1</v>
      </c>
      <c r="AO2733">
        <v>0</v>
      </c>
      <c r="AP2733" t="s">
        <v>3062</v>
      </c>
      <c r="AQ2733" t="s">
        <v>3012</v>
      </c>
      <c r="AR2733" t="s">
        <v>3063</v>
      </c>
      <c r="AS2733" t="s">
        <v>3014</v>
      </c>
      <c r="AU2733" t="s">
        <v>3014</v>
      </c>
    </row>
    <row r="2734" spans="1:47" x14ac:dyDescent="0.35">
      <c r="A2734">
        <v>360164</v>
      </c>
      <c r="B2734" t="s">
        <v>164</v>
      </c>
      <c r="C2734" t="s">
        <v>165</v>
      </c>
      <c r="D2734" s="2">
        <v>45826</v>
      </c>
      <c r="E2734">
        <v>53850</v>
      </c>
      <c r="F2734">
        <v>149</v>
      </c>
      <c r="G2734" t="s">
        <v>449</v>
      </c>
      <c r="H2734" t="s">
        <v>167</v>
      </c>
      <c r="I2734" t="s">
        <v>45</v>
      </c>
      <c r="K2734">
        <v>202506168073240</v>
      </c>
      <c r="L2734">
        <v>1493300663564</v>
      </c>
      <c r="M2734">
        <v>20250616</v>
      </c>
      <c r="N2734" t="s">
        <v>168</v>
      </c>
      <c r="P2734" t="s">
        <v>255</v>
      </c>
      <c r="Q2734" t="s">
        <v>47</v>
      </c>
      <c r="R2734">
        <v>11200</v>
      </c>
      <c r="S2734">
        <v>0</v>
      </c>
      <c r="T2734">
        <v>4851736</v>
      </c>
      <c r="U2734">
        <v>8243781211</v>
      </c>
      <c r="V2734" t="s">
        <v>1240</v>
      </c>
      <c r="W2734" t="s">
        <v>49</v>
      </c>
      <c r="X2734" t="s">
        <v>451</v>
      </c>
      <c r="Y2734" t="s">
        <v>51</v>
      </c>
      <c r="Z2734">
        <v>1256</v>
      </c>
      <c r="AH2734">
        <v>0</v>
      </c>
      <c r="AI2734">
        <v>202506</v>
      </c>
      <c r="AJ2734" t="s">
        <v>86</v>
      </c>
      <c r="AK2734">
        <v>1</v>
      </c>
      <c r="AL2734">
        <v>1</v>
      </c>
      <c r="AO2734">
        <v>0</v>
      </c>
      <c r="AP2734" t="s">
        <v>3015</v>
      </c>
      <c r="AQ2734" t="s">
        <v>3012</v>
      </c>
      <c r="AR2734" t="s">
        <v>3016</v>
      </c>
      <c r="AT2734" t="s">
        <v>3017</v>
      </c>
      <c r="AU2734" t="s">
        <v>3018</v>
      </c>
    </row>
    <row r="2735" spans="1:47" x14ac:dyDescent="0.35">
      <c r="A2735">
        <v>360163</v>
      </c>
      <c r="B2735" t="s">
        <v>214</v>
      </c>
      <c r="C2735" t="s">
        <v>215</v>
      </c>
      <c r="D2735" s="2">
        <v>45826</v>
      </c>
      <c r="E2735">
        <v>53850</v>
      </c>
      <c r="F2735">
        <v>170</v>
      </c>
      <c r="G2735" t="s">
        <v>211</v>
      </c>
      <c r="H2735" t="s">
        <v>167</v>
      </c>
      <c r="I2735" t="s">
        <v>45</v>
      </c>
      <c r="K2735">
        <v>202506168074355</v>
      </c>
      <c r="L2735">
        <v>1703306288195</v>
      </c>
      <c r="M2735">
        <v>20250616</v>
      </c>
      <c r="N2735" t="s">
        <v>168</v>
      </c>
      <c r="P2735" t="s">
        <v>339</v>
      </c>
      <c r="Q2735" t="s">
        <v>170</v>
      </c>
      <c r="R2735">
        <v>116377.34</v>
      </c>
      <c r="S2735">
        <v>0</v>
      </c>
      <c r="T2735">
        <v>4401631</v>
      </c>
      <c r="U2735">
        <v>4724350725</v>
      </c>
      <c r="V2735" t="s">
        <v>949</v>
      </c>
      <c r="W2735" t="s">
        <v>49</v>
      </c>
      <c r="X2735" t="s">
        <v>241</v>
      </c>
      <c r="Y2735" t="s">
        <v>51</v>
      </c>
      <c r="Z2735">
        <v>1919</v>
      </c>
      <c r="AH2735">
        <v>0</v>
      </c>
      <c r="AI2735">
        <v>202506</v>
      </c>
      <c r="AJ2735" t="s">
        <v>86</v>
      </c>
      <c r="AK2735">
        <v>1</v>
      </c>
      <c r="AL2735">
        <v>1</v>
      </c>
      <c r="AO2735">
        <v>0</v>
      </c>
      <c r="AP2735" t="s">
        <v>3015</v>
      </c>
      <c r="AQ2735" t="s">
        <v>3012</v>
      </c>
      <c r="AR2735" t="s">
        <v>3016</v>
      </c>
      <c r="AT2735" t="s">
        <v>3017</v>
      </c>
      <c r="AU2735" t="s">
        <v>3018</v>
      </c>
    </row>
    <row r="2736" spans="1:47" x14ac:dyDescent="0.35">
      <c r="A2736">
        <v>360162</v>
      </c>
      <c r="B2736" t="s">
        <v>178</v>
      </c>
      <c r="C2736" t="s">
        <v>179</v>
      </c>
      <c r="D2736" s="2">
        <v>45826</v>
      </c>
      <c r="E2736">
        <v>53850</v>
      </c>
      <c r="F2736">
        <v>182</v>
      </c>
      <c r="G2736" t="s">
        <v>318</v>
      </c>
      <c r="H2736" t="s">
        <v>167</v>
      </c>
      <c r="I2736" t="s">
        <v>45</v>
      </c>
      <c r="K2736">
        <v>202506168073882</v>
      </c>
      <c r="L2736">
        <v>1823300072312</v>
      </c>
      <c r="M2736">
        <v>20250616</v>
      </c>
      <c r="N2736" t="s">
        <v>46</v>
      </c>
      <c r="P2736" t="s">
        <v>51</v>
      </c>
      <c r="Q2736" t="s">
        <v>47</v>
      </c>
      <c r="R2736">
        <v>1326792.8700000001</v>
      </c>
      <c r="S2736">
        <v>0</v>
      </c>
      <c r="T2736">
        <v>3072878</v>
      </c>
      <c r="U2736">
        <v>333580736</v>
      </c>
      <c r="V2736" t="s">
        <v>454</v>
      </c>
      <c r="W2736" t="s">
        <v>49</v>
      </c>
      <c r="X2736" t="s">
        <v>421</v>
      </c>
      <c r="Y2736" t="s">
        <v>51</v>
      </c>
      <c r="Z2736">
        <v>1627</v>
      </c>
      <c r="AH2736">
        <v>0</v>
      </c>
      <c r="AI2736">
        <v>202506</v>
      </c>
      <c r="AJ2736" t="s">
        <v>86</v>
      </c>
      <c r="AK2736">
        <v>1</v>
      </c>
      <c r="AL2736">
        <v>1</v>
      </c>
      <c r="AO2736">
        <v>0</v>
      </c>
      <c r="AP2736" t="s">
        <v>3015</v>
      </c>
      <c r="AQ2736" t="s">
        <v>3012</v>
      </c>
      <c r="AR2736" t="s">
        <v>3016</v>
      </c>
      <c r="AT2736" t="s">
        <v>3017</v>
      </c>
      <c r="AU2736" t="s">
        <v>3018</v>
      </c>
    </row>
    <row r="2737" spans="1:47" x14ac:dyDescent="0.35">
      <c r="A2737">
        <v>360161</v>
      </c>
      <c r="B2737" t="s">
        <v>172</v>
      </c>
      <c r="C2737" t="s">
        <v>173</v>
      </c>
      <c r="D2737" s="2">
        <v>45826</v>
      </c>
      <c r="E2737">
        <v>53850</v>
      </c>
      <c r="F2737">
        <v>287</v>
      </c>
      <c r="G2737" t="s">
        <v>707</v>
      </c>
      <c r="H2737" t="s">
        <v>167</v>
      </c>
      <c r="I2737" t="s">
        <v>45</v>
      </c>
      <c r="K2737" t="s">
        <v>2668</v>
      </c>
      <c r="L2737">
        <v>2873300001853</v>
      </c>
      <c r="M2737">
        <v>20250616</v>
      </c>
      <c r="N2737" t="s">
        <v>175</v>
      </c>
      <c r="Q2737" t="s">
        <v>47</v>
      </c>
      <c r="R2737">
        <v>114258.15</v>
      </c>
      <c r="S2737">
        <v>15000</v>
      </c>
      <c r="T2737">
        <v>3722213</v>
      </c>
      <c r="U2737">
        <v>2021570698</v>
      </c>
      <c r="V2737" t="s">
        <v>708</v>
      </c>
      <c r="W2737" t="s">
        <v>49</v>
      </c>
      <c r="X2737" t="s">
        <v>117</v>
      </c>
      <c r="Y2737" t="s">
        <v>51</v>
      </c>
      <c r="Z2737">
        <v>1877</v>
      </c>
      <c r="AH2737">
        <v>0</v>
      </c>
      <c r="AI2737">
        <v>202506</v>
      </c>
      <c r="AJ2737" t="s">
        <v>86</v>
      </c>
      <c r="AK2737">
        <v>1</v>
      </c>
      <c r="AL2737">
        <v>1</v>
      </c>
      <c r="AM2737">
        <v>3722213</v>
      </c>
      <c r="AN2737">
        <v>1</v>
      </c>
      <c r="AO2737">
        <v>1</v>
      </c>
      <c r="AP2737" t="s">
        <v>3029</v>
      </c>
      <c r="AQ2737" t="s">
        <v>3012</v>
      </c>
      <c r="AR2737" t="s">
        <v>3030</v>
      </c>
      <c r="AS2737" t="s">
        <v>3014</v>
      </c>
      <c r="AU2737" t="s">
        <v>3014</v>
      </c>
    </row>
    <row r="2738" spans="1:47" x14ac:dyDescent="0.35">
      <c r="A2738">
        <v>360160</v>
      </c>
      <c r="B2738" t="s">
        <v>172</v>
      </c>
      <c r="C2738" t="s">
        <v>173</v>
      </c>
      <c r="D2738" s="2">
        <v>45826</v>
      </c>
      <c r="E2738">
        <v>53850</v>
      </c>
      <c r="F2738">
        <v>116</v>
      </c>
      <c r="G2738" t="s">
        <v>126</v>
      </c>
      <c r="H2738" t="s">
        <v>167</v>
      </c>
      <c r="I2738" t="s">
        <v>45</v>
      </c>
      <c r="K2738">
        <v>202506168076065</v>
      </c>
      <c r="L2738">
        <v>2343300010453</v>
      </c>
      <c r="M2738">
        <v>20250616</v>
      </c>
      <c r="N2738" t="s">
        <v>195</v>
      </c>
      <c r="Q2738" t="s">
        <v>47</v>
      </c>
      <c r="R2738">
        <v>168441.45</v>
      </c>
      <c r="S2738">
        <v>168441.45</v>
      </c>
      <c r="T2738">
        <v>4247777</v>
      </c>
      <c r="U2738">
        <v>233470236</v>
      </c>
      <c r="V2738" t="s">
        <v>206</v>
      </c>
      <c r="W2738" t="s">
        <v>49</v>
      </c>
      <c r="X2738" t="s">
        <v>117</v>
      </c>
      <c r="Y2738" t="s">
        <v>51</v>
      </c>
      <c r="Z2738">
        <v>1696</v>
      </c>
      <c r="AH2738">
        <v>0</v>
      </c>
      <c r="AI2738">
        <v>202506</v>
      </c>
      <c r="AJ2738" t="s">
        <v>86</v>
      </c>
      <c r="AK2738">
        <v>1</v>
      </c>
      <c r="AL2738">
        <v>1</v>
      </c>
      <c r="AM2738">
        <v>4247777</v>
      </c>
      <c r="AN2738">
        <v>1</v>
      </c>
      <c r="AO2738">
        <v>0</v>
      </c>
      <c r="AP2738" t="s">
        <v>3029</v>
      </c>
      <c r="AQ2738" t="s">
        <v>3012</v>
      </c>
      <c r="AR2738" t="s">
        <v>3030</v>
      </c>
      <c r="AS2738" t="s">
        <v>3014</v>
      </c>
      <c r="AU2738" t="s">
        <v>3014</v>
      </c>
    </row>
    <row r="2739" spans="1:47" x14ac:dyDescent="0.35">
      <c r="A2739">
        <v>360159</v>
      </c>
      <c r="B2739" t="s">
        <v>333</v>
      </c>
      <c r="C2739" t="s">
        <v>334</v>
      </c>
      <c r="D2739" s="2">
        <v>45826</v>
      </c>
      <c r="E2739">
        <v>53850</v>
      </c>
      <c r="F2739">
        <v>143</v>
      </c>
      <c r="G2739" t="s">
        <v>654</v>
      </c>
      <c r="H2739" t="s">
        <v>167</v>
      </c>
      <c r="I2739" t="s">
        <v>45</v>
      </c>
      <c r="K2739">
        <v>202506168076530</v>
      </c>
      <c r="M2739">
        <v>20250616</v>
      </c>
      <c r="N2739" t="s">
        <v>1356</v>
      </c>
      <c r="Q2739" t="s">
        <v>170</v>
      </c>
      <c r="R2739">
        <v>16667</v>
      </c>
      <c r="S2739">
        <v>0</v>
      </c>
      <c r="T2739">
        <v>4511147</v>
      </c>
      <c r="U2739" t="s">
        <v>2693</v>
      </c>
      <c r="V2739" t="s">
        <v>2694</v>
      </c>
      <c r="W2739" t="s">
        <v>187</v>
      </c>
      <c r="Y2739" t="s">
        <v>51</v>
      </c>
      <c r="Z2739">
        <v>860</v>
      </c>
      <c r="AH2739">
        <v>0</v>
      </c>
      <c r="AI2739">
        <v>202506</v>
      </c>
      <c r="AL2739">
        <v>0</v>
      </c>
      <c r="AO2739">
        <v>0</v>
      </c>
      <c r="AP2739" t="s">
        <v>3015</v>
      </c>
      <c r="AQ2739" t="s">
        <v>3044</v>
      </c>
      <c r="AR2739" t="s">
        <v>3045</v>
      </c>
      <c r="AS2739" t="s">
        <v>3046</v>
      </c>
      <c r="AU2739" t="s">
        <v>3046</v>
      </c>
    </row>
    <row r="2740" spans="1:47" x14ac:dyDescent="0.35">
      <c r="A2740">
        <v>360158</v>
      </c>
      <c r="B2740" t="s">
        <v>172</v>
      </c>
      <c r="C2740" t="s">
        <v>173</v>
      </c>
      <c r="D2740" s="2">
        <v>45826</v>
      </c>
      <c r="E2740">
        <v>53850</v>
      </c>
      <c r="F2740">
        <v>267</v>
      </c>
      <c r="G2740" t="s">
        <v>349</v>
      </c>
      <c r="H2740" t="s">
        <v>167</v>
      </c>
      <c r="I2740" t="s">
        <v>45</v>
      </c>
      <c r="K2740" t="s">
        <v>2668</v>
      </c>
      <c r="L2740">
        <v>2673300000259</v>
      </c>
      <c r="M2740">
        <v>20250616</v>
      </c>
      <c r="N2740" t="s">
        <v>175</v>
      </c>
      <c r="Q2740" t="s">
        <v>47</v>
      </c>
      <c r="R2740">
        <v>105930</v>
      </c>
      <c r="S2740">
        <v>19000</v>
      </c>
      <c r="T2740">
        <v>1616725</v>
      </c>
      <c r="U2740">
        <v>2694030798</v>
      </c>
      <c r="V2740" t="s">
        <v>641</v>
      </c>
      <c r="W2740" t="s">
        <v>49</v>
      </c>
      <c r="X2740" t="s">
        <v>200</v>
      </c>
      <c r="Y2740" t="s">
        <v>51</v>
      </c>
      <c r="Z2740">
        <v>1878</v>
      </c>
      <c r="AH2740">
        <v>0</v>
      </c>
      <c r="AI2740">
        <v>202506</v>
      </c>
      <c r="AJ2740" t="s">
        <v>119</v>
      </c>
      <c r="AK2740">
        <v>1</v>
      </c>
      <c r="AL2740">
        <v>1</v>
      </c>
      <c r="AM2740">
        <v>1616725</v>
      </c>
      <c r="AN2740">
        <v>1</v>
      </c>
      <c r="AO2740">
        <v>1</v>
      </c>
      <c r="AP2740" t="s">
        <v>3015</v>
      </c>
      <c r="AQ2740" t="s">
        <v>3012</v>
      </c>
      <c r="AR2740" t="s">
        <v>3016</v>
      </c>
      <c r="AT2740" t="s">
        <v>3017</v>
      </c>
      <c r="AU2740" t="s">
        <v>3018</v>
      </c>
    </row>
    <row r="2741" spans="1:47" x14ac:dyDescent="0.35">
      <c r="A2741">
        <v>360157</v>
      </c>
      <c r="B2741" t="s">
        <v>164</v>
      </c>
      <c r="C2741" t="s">
        <v>165</v>
      </c>
      <c r="D2741" s="2">
        <v>45826</v>
      </c>
      <c r="E2741">
        <v>53850</v>
      </c>
      <c r="F2741">
        <v>164</v>
      </c>
      <c r="G2741" t="s">
        <v>651</v>
      </c>
      <c r="H2741" t="s">
        <v>167</v>
      </c>
      <c r="I2741" t="s">
        <v>45</v>
      </c>
      <c r="K2741">
        <v>202506168072667</v>
      </c>
      <c r="L2741">
        <v>1643300370785</v>
      </c>
      <c r="M2741">
        <v>20250616</v>
      </c>
      <c r="N2741" t="s">
        <v>168</v>
      </c>
      <c r="P2741" t="s">
        <v>255</v>
      </c>
      <c r="Q2741" t="s">
        <v>170</v>
      </c>
      <c r="R2741">
        <v>12685.04</v>
      </c>
      <c r="S2741">
        <v>0</v>
      </c>
      <c r="T2741">
        <v>3732249</v>
      </c>
      <c r="U2741">
        <v>4127610717</v>
      </c>
      <c r="V2741" t="s">
        <v>1900</v>
      </c>
      <c r="W2741" t="s">
        <v>49</v>
      </c>
      <c r="X2741" t="s">
        <v>595</v>
      </c>
      <c r="Y2741" t="s">
        <v>51</v>
      </c>
      <c r="Z2741">
        <v>677</v>
      </c>
      <c r="AH2741">
        <v>0</v>
      </c>
      <c r="AI2741">
        <v>202506</v>
      </c>
      <c r="AJ2741" t="s">
        <v>56</v>
      </c>
      <c r="AK2741">
        <v>0</v>
      </c>
      <c r="AL2741">
        <v>1</v>
      </c>
      <c r="AO2741">
        <v>0</v>
      </c>
      <c r="AP2741" t="s">
        <v>3015</v>
      </c>
      <c r="AQ2741" t="s">
        <v>3012</v>
      </c>
      <c r="AR2741" t="s">
        <v>3016</v>
      </c>
      <c r="AT2741" t="s">
        <v>3017</v>
      </c>
      <c r="AU2741" t="s">
        <v>3018</v>
      </c>
    </row>
    <row r="2742" spans="1:47" x14ac:dyDescent="0.35">
      <c r="A2742">
        <v>360156</v>
      </c>
      <c r="B2742" t="s">
        <v>333</v>
      </c>
      <c r="C2742" t="s">
        <v>334</v>
      </c>
      <c r="D2742" s="2">
        <v>45826</v>
      </c>
      <c r="E2742">
        <v>53850</v>
      </c>
      <c r="F2742">
        <v>143</v>
      </c>
      <c r="G2742" t="s">
        <v>654</v>
      </c>
      <c r="H2742" t="s">
        <v>167</v>
      </c>
      <c r="I2742" t="s">
        <v>45</v>
      </c>
      <c r="K2742">
        <v>202506168076534</v>
      </c>
      <c r="M2742">
        <v>20250616</v>
      </c>
      <c r="N2742" t="s">
        <v>515</v>
      </c>
      <c r="Q2742" t="s">
        <v>170</v>
      </c>
      <c r="R2742">
        <v>19840</v>
      </c>
      <c r="S2742">
        <v>0</v>
      </c>
      <c r="T2742">
        <v>3745532</v>
      </c>
      <c r="U2742" t="s">
        <v>2689</v>
      </c>
      <c r="V2742" t="s">
        <v>2690</v>
      </c>
      <c r="W2742" t="s">
        <v>187</v>
      </c>
      <c r="Y2742" t="s">
        <v>51</v>
      </c>
      <c r="AH2742">
        <v>0</v>
      </c>
      <c r="AI2742">
        <v>202506</v>
      </c>
      <c r="AL2742">
        <v>0</v>
      </c>
      <c r="AO2742">
        <v>0</v>
      </c>
      <c r="AP2742" t="s">
        <v>3015</v>
      </c>
      <c r="AQ2742" t="s">
        <v>3044</v>
      </c>
      <c r="AR2742" t="s">
        <v>3045</v>
      </c>
      <c r="AS2742" t="s">
        <v>3046</v>
      </c>
      <c r="AU2742" t="s">
        <v>3046</v>
      </c>
    </row>
    <row r="2743" spans="1:47" x14ac:dyDescent="0.35">
      <c r="A2743">
        <v>360155</v>
      </c>
      <c r="B2743" t="s">
        <v>178</v>
      </c>
      <c r="C2743" t="s">
        <v>179</v>
      </c>
      <c r="D2743" s="2">
        <v>45826</v>
      </c>
      <c r="E2743">
        <v>53850</v>
      </c>
      <c r="F2743">
        <v>102</v>
      </c>
      <c r="G2743" t="s">
        <v>151</v>
      </c>
      <c r="H2743" t="s">
        <v>167</v>
      </c>
      <c r="I2743" t="s">
        <v>45</v>
      </c>
      <c r="K2743">
        <v>202506168075393</v>
      </c>
      <c r="L2743">
        <v>1023308719190</v>
      </c>
      <c r="M2743">
        <v>20250616</v>
      </c>
      <c r="N2743" t="s">
        <v>659</v>
      </c>
      <c r="Q2743" t="s">
        <v>170</v>
      </c>
      <c r="R2743">
        <v>1639507.11</v>
      </c>
      <c r="S2743">
        <v>0</v>
      </c>
      <c r="T2743">
        <v>4233192</v>
      </c>
      <c r="U2743">
        <v>4107060966</v>
      </c>
      <c r="V2743" t="s">
        <v>802</v>
      </c>
      <c r="W2743" t="s">
        <v>803</v>
      </c>
      <c r="X2743" t="s">
        <v>210</v>
      </c>
      <c r="Y2743" t="s">
        <v>51</v>
      </c>
      <c r="Z2743">
        <v>739</v>
      </c>
      <c r="AH2743">
        <v>0</v>
      </c>
      <c r="AI2743">
        <v>202506</v>
      </c>
      <c r="AJ2743" t="s">
        <v>86</v>
      </c>
      <c r="AK2743">
        <v>1</v>
      </c>
      <c r="AL2743">
        <v>1</v>
      </c>
      <c r="AO2743">
        <v>0</v>
      </c>
      <c r="AP2743" t="s">
        <v>3015</v>
      </c>
      <c r="AQ2743" t="s">
        <v>3088</v>
      </c>
      <c r="AR2743" t="s">
        <v>3089</v>
      </c>
      <c r="AT2743" t="s">
        <v>3017</v>
      </c>
      <c r="AU2743" t="s">
        <v>3037</v>
      </c>
    </row>
    <row r="2744" spans="1:47" x14ac:dyDescent="0.35">
      <c r="A2744">
        <v>360154</v>
      </c>
      <c r="B2744" t="s">
        <v>193</v>
      </c>
      <c r="C2744" t="s">
        <v>194</v>
      </c>
      <c r="D2744" s="2">
        <v>45826</v>
      </c>
      <c r="E2744">
        <v>53850</v>
      </c>
      <c r="F2744">
        <v>171</v>
      </c>
      <c r="G2744" t="s">
        <v>198</v>
      </c>
      <c r="H2744" t="s">
        <v>167</v>
      </c>
      <c r="I2744" t="s">
        <v>45</v>
      </c>
      <c r="K2744" t="s">
        <v>2668</v>
      </c>
      <c r="L2744">
        <v>1713305728950</v>
      </c>
      <c r="M2744">
        <v>20250616</v>
      </c>
      <c r="N2744" t="s">
        <v>195</v>
      </c>
      <c r="Q2744" t="s">
        <v>47</v>
      </c>
      <c r="R2744">
        <v>341597.17</v>
      </c>
      <c r="S2744">
        <v>341597.17</v>
      </c>
      <c r="T2744">
        <v>572895</v>
      </c>
      <c r="U2744">
        <v>4161600723</v>
      </c>
      <c r="V2744" t="s">
        <v>199</v>
      </c>
      <c r="W2744" t="s">
        <v>49</v>
      </c>
      <c r="X2744" t="s">
        <v>200</v>
      </c>
      <c r="Y2744" t="s">
        <v>51</v>
      </c>
      <c r="Z2744">
        <v>1903</v>
      </c>
      <c r="AH2744">
        <v>0</v>
      </c>
      <c r="AI2744">
        <v>202506</v>
      </c>
      <c r="AJ2744" t="s">
        <v>119</v>
      </c>
      <c r="AK2744">
        <v>1</v>
      </c>
      <c r="AL2744">
        <v>1</v>
      </c>
      <c r="AM2744">
        <v>572895</v>
      </c>
      <c r="AN2744">
        <v>1</v>
      </c>
      <c r="AO2744">
        <v>0</v>
      </c>
      <c r="AP2744" t="s">
        <v>3015</v>
      </c>
      <c r="AQ2744" t="s">
        <v>3012</v>
      </c>
      <c r="AR2744" t="s">
        <v>3016</v>
      </c>
      <c r="AT2744" t="s">
        <v>3017</v>
      </c>
      <c r="AU2744" t="s">
        <v>3018</v>
      </c>
    </row>
    <row r="2745" spans="1:47" x14ac:dyDescent="0.35">
      <c r="A2745">
        <v>360153</v>
      </c>
      <c r="B2745" t="s">
        <v>193</v>
      </c>
      <c r="C2745" t="s">
        <v>194</v>
      </c>
      <c r="D2745" s="2">
        <v>45826</v>
      </c>
      <c r="E2745">
        <v>53850</v>
      </c>
      <c r="F2745">
        <v>102</v>
      </c>
      <c r="G2745" t="s">
        <v>151</v>
      </c>
      <c r="H2745" t="s">
        <v>167</v>
      </c>
      <c r="I2745" t="s">
        <v>45</v>
      </c>
      <c r="K2745" t="s">
        <v>2695</v>
      </c>
      <c r="L2745">
        <v>1023308722503</v>
      </c>
      <c r="M2745">
        <v>20250614</v>
      </c>
      <c r="N2745" t="s">
        <v>195</v>
      </c>
      <c r="Q2745" t="s">
        <v>47</v>
      </c>
      <c r="R2745">
        <v>40580</v>
      </c>
      <c r="S2745">
        <v>40580</v>
      </c>
      <c r="T2745">
        <v>413650</v>
      </c>
      <c r="U2745">
        <v>3657230722</v>
      </c>
      <c r="V2745" t="s">
        <v>196</v>
      </c>
      <c r="W2745" t="s">
        <v>190</v>
      </c>
      <c r="X2745" t="s">
        <v>197</v>
      </c>
      <c r="Y2745" t="s">
        <v>51</v>
      </c>
      <c r="Z2745">
        <v>1306</v>
      </c>
      <c r="AH2745">
        <v>0</v>
      </c>
      <c r="AI2745">
        <v>202506</v>
      </c>
      <c r="AJ2745" t="s">
        <v>119</v>
      </c>
      <c r="AK2745">
        <v>1</v>
      </c>
      <c r="AL2745">
        <v>1</v>
      </c>
      <c r="AM2745">
        <v>413650</v>
      </c>
      <c r="AN2745">
        <v>1</v>
      </c>
      <c r="AO2745">
        <v>0</v>
      </c>
      <c r="AP2745" t="s">
        <v>3050</v>
      </c>
      <c r="AQ2745" t="s">
        <v>3047</v>
      </c>
      <c r="AR2745" t="s">
        <v>3051</v>
      </c>
      <c r="AS2745" t="s">
        <v>3049</v>
      </c>
      <c r="AU2745" t="s">
        <v>3049</v>
      </c>
    </row>
    <row r="2746" spans="1:47" x14ac:dyDescent="0.35">
      <c r="A2746">
        <v>360152</v>
      </c>
      <c r="B2746" t="s">
        <v>164</v>
      </c>
      <c r="C2746" t="s">
        <v>165</v>
      </c>
      <c r="D2746" s="2">
        <v>45826</v>
      </c>
      <c r="E2746">
        <v>53850</v>
      </c>
      <c r="F2746">
        <v>141</v>
      </c>
      <c r="G2746" t="s">
        <v>105</v>
      </c>
      <c r="H2746" t="s">
        <v>167</v>
      </c>
      <c r="I2746" t="s">
        <v>45</v>
      </c>
      <c r="K2746">
        <v>202506138072430</v>
      </c>
      <c r="L2746">
        <v>1413300004416</v>
      </c>
      <c r="M2746">
        <v>20250613</v>
      </c>
      <c r="N2746" t="s">
        <v>168</v>
      </c>
      <c r="P2746" t="s">
        <v>203</v>
      </c>
      <c r="Q2746" t="s">
        <v>170</v>
      </c>
      <c r="R2746">
        <v>27973.52</v>
      </c>
      <c r="S2746">
        <v>0</v>
      </c>
      <c r="T2746">
        <v>3731116</v>
      </c>
      <c r="U2746">
        <v>4522200759</v>
      </c>
      <c r="V2746" t="s">
        <v>2696</v>
      </c>
      <c r="W2746" t="s">
        <v>49</v>
      </c>
      <c r="X2746" t="s">
        <v>123</v>
      </c>
      <c r="Y2746" t="s">
        <v>51</v>
      </c>
      <c r="Z2746">
        <v>1627</v>
      </c>
      <c r="AH2746">
        <v>0</v>
      </c>
      <c r="AI2746">
        <v>202506</v>
      </c>
      <c r="AJ2746" t="s">
        <v>86</v>
      </c>
      <c r="AK2746">
        <v>1</v>
      </c>
      <c r="AL2746">
        <v>1</v>
      </c>
      <c r="AO2746">
        <v>0</v>
      </c>
      <c r="AP2746" t="s">
        <v>3031</v>
      </c>
      <c r="AQ2746" t="s">
        <v>3012</v>
      </c>
      <c r="AR2746" t="s">
        <v>3032</v>
      </c>
      <c r="AS2746" t="s">
        <v>3014</v>
      </c>
      <c r="AU2746" t="s">
        <v>3014</v>
      </c>
    </row>
    <row r="2747" spans="1:47" x14ac:dyDescent="0.35">
      <c r="A2747">
        <v>360151</v>
      </c>
      <c r="B2747" t="s">
        <v>164</v>
      </c>
      <c r="C2747" t="s">
        <v>165</v>
      </c>
      <c r="D2747" s="2">
        <v>45825</v>
      </c>
      <c r="E2747">
        <v>53850</v>
      </c>
      <c r="F2747">
        <v>168</v>
      </c>
      <c r="G2747" t="s">
        <v>616</v>
      </c>
      <c r="H2747" t="s">
        <v>167</v>
      </c>
      <c r="I2747" t="s">
        <v>45</v>
      </c>
      <c r="K2747" t="s">
        <v>2697</v>
      </c>
      <c r="L2747">
        <v>1683306277308</v>
      </c>
      <c r="M2747">
        <v>20250616</v>
      </c>
      <c r="N2747" t="s">
        <v>168</v>
      </c>
      <c r="P2747" t="s">
        <v>255</v>
      </c>
      <c r="Q2747" t="s">
        <v>170</v>
      </c>
      <c r="R2747">
        <v>2150</v>
      </c>
      <c r="S2747">
        <v>0</v>
      </c>
      <c r="T2747">
        <v>4950606</v>
      </c>
      <c r="U2747">
        <v>7856760728</v>
      </c>
      <c r="V2747" t="s">
        <v>1325</v>
      </c>
      <c r="W2747" t="s">
        <v>49</v>
      </c>
      <c r="X2747" t="s">
        <v>686</v>
      </c>
      <c r="Y2747" t="s">
        <v>51</v>
      </c>
      <c r="Z2747">
        <v>1926</v>
      </c>
      <c r="AH2747">
        <v>0</v>
      </c>
      <c r="AI2747">
        <v>202506</v>
      </c>
      <c r="AJ2747" t="s">
        <v>86</v>
      </c>
      <c r="AK2747">
        <v>1</v>
      </c>
      <c r="AL2747">
        <v>1</v>
      </c>
      <c r="AO2747">
        <v>0</v>
      </c>
      <c r="AP2747" t="s">
        <v>3015</v>
      </c>
      <c r="AQ2747" t="s">
        <v>3012</v>
      </c>
      <c r="AR2747" t="s">
        <v>3016</v>
      </c>
      <c r="AT2747" t="s">
        <v>3017</v>
      </c>
      <c r="AU2747" t="s">
        <v>3018</v>
      </c>
    </row>
    <row r="2748" spans="1:47" x14ac:dyDescent="0.35">
      <c r="A2748">
        <v>360150</v>
      </c>
      <c r="B2748" t="s">
        <v>164</v>
      </c>
      <c r="C2748" t="s">
        <v>165</v>
      </c>
      <c r="D2748" s="2">
        <v>45825</v>
      </c>
      <c r="E2748">
        <v>53850</v>
      </c>
      <c r="F2748">
        <v>270</v>
      </c>
      <c r="G2748" t="s">
        <v>524</v>
      </c>
      <c r="H2748" t="s">
        <v>167</v>
      </c>
      <c r="I2748" t="s">
        <v>45</v>
      </c>
      <c r="K2748" t="s">
        <v>2698</v>
      </c>
      <c r="L2748">
        <v>2703300010699</v>
      </c>
      <c r="M2748">
        <v>20250616</v>
      </c>
      <c r="N2748" t="s">
        <v>168</v>
      </c>
      <c r="P2748" t="s">
        <v>255</v>
      </c>
      <c r="Q2748" t="s">
        <v>170</v>
      </c>
      <c r="R2748">
        <v>4000</v>
      </c>
      <c r="S2748">
        <v>0</v>
      </c>
      <c r="T2748">
        <v>3728961</v>
      </c>
      <c r="U2748" t="s">
        <v>2626</v>
      </c>
      <c r="V2748" t="s">
        <v>2627</v>
      </c>
      <c r="W2748" t="s">
        <v>187</v>
      </c>
      <c r="Y2748" t="s">
        <v>51</v>
      </c>
      <c r="Z2748">
        <v>1809</v>
      </c>
      <c r="AH2748">
        <v>0</v>
      </c>
      <c r="AI2748">
        <v>202506</v>
      </c>
      <c r="AJ2748" t="s">
        <v>119</v>
      </c>
      <c r="AK2748">
        <v>1</v>
      </c>
      <c r="AL2748">
        <v>1</v>
      </c>
      <c r="AO2748">
        <v>0</v>
      </c>
      <c r="AP2748" t="s">
        <v>3015</v>
      </c>
      <c r="AQ2748" t="s">
        <v>3044</v>
      </c>
      <c r="AR2748" t="s">
        <v>3045</v>
      </c>
      <c r="AS2748" t="s">
        <v>3046</v>
      </c>
      <c r="AU2748" t="s">
        <v>3046</v>
      </c>
    </row>
    <row r="2749" spans="1:47" x14ac:dyDescent="0.35">
      <c r="A2749">
        <v>360149</v>
      </c>
      <c r="B2749" t="s">
        <v>164</v>
      </c>
      <c r="C2749" t="s">
        <v>165</v>
      </c>
      <c r="D2749" s="2">
        <v>45825</v>
      </c>
      <c r="E2749">
        <v>53850</v>
      </c>
      <c r="F2749">
        <v>119</v>
      </c>
      <c r="G2749" t="s">
        <v>207</v>
      </c>
      <c r="H2749" t="s">
        <v>167</v>
      </c>
      <c r="I2749" t="s">
        <v>45</v>
      </c>
      <c r="K2749" t="s">
        <v>2699</v>
      </c>
      <c r="L2749">
        <v>1193308875001</v>
      </c>
      <c r="M2749">
        <v>20250616</v>
      </c>
      <c r="N2749" t="s">
        <v>168</v>
      </c>
      <c r="P2749" t="s">
        <v>255</v>
      </c>
      <c r="Q2749" t="s">
        <v>47</v>
      </c>
      <c r="R2749">
        <v>2800</v>
      </c>
      <c r="S2749">
        <v>0</v>
      </c>
      <c r="T2749">
        <v>4926288</v>
      </c>
      <c r="U2749" t="s">
        <v>848</v>
      </c>
      <c r="V2749" t="s">
        <v>849</v>
      </c>
      <c r="W2749" t="s">
        <v>69</v>
      </c>
      <c r="X2749" t="s">
        <v>850</v>
      </c>
      <c r="Y2749" t="s">
        <v>51</v>
      </c>
      <c r="Z2749">
        <v>656</v>
      </c>
      <c r="AH2749">
        <v>0</v>
      </c>
      <c r="AI2749">
        <v>202506</v>
      </c>
      <c r="AJ2749" t="s">
        <v>86</v>
      </c>
      <c r="AK2749">
        <v>1</v>
      </c>
      <c r="AL2749">
        <v>1</v>
      </c>
      <c r="AO2749">
        <v>0</v>
      </c>
      <c r="AP2749" t="s">
        <v>3015</v>
      </c>
      <c r="AQ2749" t="s">
        <v>3021</v>
      </c>
      <c r="AR2749" t="s">
        <v>3022</v>
      </c>
      <c r="AT2749" t="s">
        <v>3017</v>
      </c>
      <c r="AU2749" t="s">
        <v>3014</v>
      </c>
    </row>
    <row r="2750" spans="1:47" x14ac:dyDescent="0.35">
      <c r="A2750">
        <v>360148</v>
      </c>
      <c r="B2750" t="s">
        <v>164</v>
      </c>
      <c r="C2750" t="s">
        <v>165</v>
      </c>
      <c r="D2750" s="2">
        <v>45825</v>
      </c>
      <c r="E2750">
        <v>53850</v>
      </c>
      <c r="F2750">
        <v>187</v>
      </c>
      <c r="G2750" t="s">
        <v>251</v>
      </c>
      <c r="H2750" t="s">
        <v>167</v>
      </c>
      <c r="I2750" t="s">
        <v>45</v>
      </c>
      <c r="K2750" t="s">
        <v>2700</v>
      </c>
      <c r="L2750">
        <v>1873300102696</v>
      </c>
      <c r="M2750">
        <v>20250616</v>
      </c>
      <c r="N2750" t="s">
        <v>168</v>
      </c>
      <c r="P2750" t="s">
        <v>255</v>
      </c>
      <c r="Q2750" t="s">
        <v>47</v>
      </c>
      <c r="R2750">
        <v>1386.68</v>
      </c>
      <c r="S2750">
        <v>0</v>
      </c>
      <c r="T2750">
        <v>4000559</v>
      </c>
      <c r="U2750">
        <v>2099160737</v>
      </c>
      <c r="V2750" t="s">
        <v>528</v>
      </c>
      <c r="W2750" t="s">
        <v>49</v>
      </c>
      <c r="X2750" t="s">
        <v>117</v>
      </c>
      <c r="Y2750" t="s">
        <v>51</v>
      </c>
      <c r="Z2750">
        <v>1627</v>
      </c>
      <c r="AH2750">
        <v>0</v>
      </c>
      <c r="AI2750">
        <v>202506</v>
      </c>
      <c r="AJ2750" t="s">
        <v>56</v>
      </c>
      <c r="AK2750">
        <v>0</v>
      </c>
      <c r="AL2750">
        <v>1</v>
      </c>
      <c r="AO2750">
        <v>0</v>
      </c>
      <c r="AP2750" t="s">
        <v>3029</v>
      </c>
      <c r="AQ2750" t="s">
        <v>3012</v>
      </c>
      <c r="AR2750" t="s">
        <v>3030</v>
      </c>
      <c r="AS2750" t="s">
        <v>3014</v>
      </c>
      <c r="AU2750" t="s">
        <v>3014</v>
      </c>
    </row>
    <row r="2751" spans="1:47" x14ac:dyDescent="0.35">
      <c r="A2751">
        <v>360147</v>
      </c>
      <c r="B2751" t="s">
        <v>164</v>
      </c>
      <c r="C2751" t="s">
        <v>165</v>
      </c>
      <c r="D2751" s="2">
        <v>45825</v>
      </c>
      <c r="E2751">
        <v>53850</v>
      </c>
      <c r="F2751">
        <v>261</v>
      </c>
      <c r="G2751" t="s">
        <v>136</v>
      </c>
      <c r="H2751" t="s">
        <v>167</v>
      </c>
      <c r="I2751" t="s">
        <v>45</v>
      </c>
      <c r="K2751" t="s">
        <v>2701</v>
      </c>
      <c r="L2751">
        <v>2613300001265</v>
      </c>
      <c r="M2751">
        <v>20250616</v>
      </c>
      <c r="N2751" t="s">
        <v>168</v>
      </c>
      <c r="P2751" t="s">
        <v>203</v>
      </c>
      <c r="Q2751" t="s">
        <v>47</v>
      </c>
      <c r="R2751">
        <v>3500</v>
      </c>
      <c r="S2751">
        <v>0</v>
      </c>
      <c r="T2751">
        <v>1625403</v>
      </c>
      <c r="U2751" t="s">
        <v>870</v>
      </c>
      <c r="V2751" t="s">
        <v>871</v>
      </c>
      <c r="W2751" t="s">
        <v>187</v>
      </c>
      <c r="Y2751" t="s">
        <v>51</v>
      </c>
      <c r="Z2751">
        <v>1755</v>
      </c>
      <c r="AH2751">
        <v>0</v>
      </c>
      <c r="AI2751">
        <v>202506</v>
      </c>
      <c r="AJ2751" t="s">
        <v>56</v>
      </c>
      <c r="AK2751">
        <v>0</v>
      </c>
      <c r="AL2751">
        <v>1</v>
      </c>
      <c r="AO2751">
        <v>0</v>
      </c>
      <c r="AP2751" t="s">
        <v>3015</v>
      </c>
      <c r="AQ2751" t="s">
        <v>3044</v>
      </c>
      <c r="AR2751" t="s">
        <v>3045</v>
      </c>
      <c r="AS2751" t="s">
        <v>3046</v>
      </c>
      <c r="AU2751" t="s">
        <v>3046</v>
      </c>
    </row>
    <row r="2752" spans="1:47" x14ac:dyDescent="0.35">
      <c r="A2752">
        <v>360146</v>
      </c>
      <c r="B2752" t="s">
        <v>164</v>
      </c>
      <c r="C2752" t="s">
        <v>165</v>
      </c>
      <c r="D2752" s="2">
        <v>45825</v>
      </c>
      <c r="E2752">
        <v>53850</v>
      </c>
      <c r="F2752">
        <v>167</v>
      </c>
      <c r="G2752" t="s">
        <v>278</v>
      </c>
      <c r="H2752" t="s">
        <v>167</v>
      </c>
      <c r="I2752" t="s">
        <v>45</v>
      </c>
      <c r="K2752" t="s">
        <v>2702</v>
      </c>
      <c r="L2752">
        <v>1673301672632</v>
      </c>
      <c r="M2752">
        <v>20250616</v>
      </c>
      <c r="N2752" t="s">
        <v>168</v>
      </c>
      <c r="P2752" t="s">
        <v>203</v>
      </c>
      <c r="Q2752" t="s">
        <v>47</v>
      </c>
      <c r="R2752">
        <v>4500</v>
      </c>
      <c r="S2752">
        <v>0</v>
      </c>
      <c r="T2752">
        <v>4662729</v>
      </c>
      <c r="U2752">
        <v>7212610724</v>
      </c>
      <c r="V2752" t="s">
        <v>2703</v>
      </c>
      <c r="W2752" t="s">
        <v>49</v>
      </c>
      <c r="X2752" t="s">
        <v>2704</v>
      </c>
      <c r="Y2752" t="s">
        <v>51</v>
      </c>
      <c r="Z2752">
        <v>1175</v>
      </c>
      <c r="AH2752">
        <v>0</v>
      </c>
      <c r="AI2752">
        <v>202506</v>
      </c>
      <c r="AJ2752" t="s">
        <v>86</v>
      </c>
      <c r="AK2752">
        <v>1</v>
      </c>
      <c r="AL2752">
        <v>1</v>
      </c>
      <c r="AO2752">
        <v>0</v>
      </c>
      <c r="AP2752" t="s">
        <v>3132</v>
      </c>
      <c r="AQ2752" t="s">
        <v>3012</v>
      </c>
      <c r="AR2752" t="s">
        <v>3133</v>
      </c>
      <c r="AS2752" t="s">
        <v>3014</v>
      </c>
      <c r="AU2752" t="s">
        <v>3014</v>
      </c>
    </row>
    <row r="2753" spans="1:47" x14ac:dyDescent="0.35">
      <c r="A2753">
        <v>348982</v>
      </c>
      <c r="B2753" t="s">
        <v>178</v>
      </c>
      <c r="C2753" t="s">
        <v>179</v>
      </c>
      <c r="D2753" s="2">
        <v>45822</v>
      </c>
      <c r="E2753">
        <v>53850</v>
      </c>
      <c r="F2753">
        <v>109</v>
      </c>
      <c r="G2753" t="s">
        <v>89</v>
      </c>
      <c r="H2753" t="s">
        <v>167</v>
      </c>
      <c r="I2753" t="s">
        <v>45</v>
      </c>
      <c r="K2753">
        <v>202506138067916</v>
      </c>
      <c r="L2753">
        <v>1093306673740</v>
      </c>
      <c r="M2753">
        <v>20250613</v>
      </c>
      <c r="N2753" t="s">
        <v>416</v>
      </c>
      <c r="Q2753" t="s">
        <v>170</v>
      </c>
      <c r="R2753">
        <v>342784.79</v>
      </c>
      <c r="S2753">
        <v>0</v>
      </c>
      <c r="T2753">
        <v>4536482</v>
      </c>
      <c r="U2753">
        <v>268480720</v>
      </c>
      <c r="V2753" t="s">
        <v>158</v>
      </c>
      <c r="W2753" t="s">
        <v>49</v>
      </c>
      <c r="X2753" t="s">
        <v>91</v>
      </c>
      <c r="Y2753" t="s">
        <v>51</v>
      </c>
      <c r="Z2753">
        <v>1919</v>
      </c>
      <c r="AH2753">
        <v>0</v>
      </c>
      <c r="AI2753">
        <v>202506</v>
      </c>
      <c r="AJ2753" t="s">
        <v>86</v>
      </c>
      <c r="AK2753">
        <v>1</v>
      </c>
      <c r="AL2753">
        <v>1</v>
      </c>
      <c r="AO2753">
        <v>0</v>
      </c>
      <c r="AP2753" t="s">
        <v>1100</v>
      </c>
      <c r="AQ2753" t="s">
        <v>3012</v>
      </c>
      <c r="AR2753" t="s">
        <v>3023</v>
      </c>
      <c r="AS2753" t="s">
        <v>3014</v>
      </c>
      <c r="AU2753" t="s">
        <v>3014</v>
      </c>
    </row>
    <row r="2754" spans="1:47" x14ac:dyDescent="0.35">
      <c r="A2754">
        <v>348981</v>
      </c>
      <c r="B2754" t="s">
        <v>178</v>
      </c>
      <c r="C2754" t="s">
        <v>179</v>
      </c>
      <c r="D2754" s="2">
        <v>45822</v>
      </c>
      <c r="E2754">
        <v>53850</v>
      </c>
      <c r="F2754">
        <v>102</v>
      </c>
      <c r="G2754" t="s">
        <v>151</v>
      </c>
      <c r="H2754" t="s">
        <v>167</v>
      </c>
      <c r="I2754" t="s">
        <v>45</v>
      </c>
      <c r="K2754">
        <v>202506138067809</v>
      </c>
      <c r="L2754">
        <v>1023308725616</v>
      </c>
      <c r="M2754">
        <v>20250613</v>
      </c>
      <c r="N2754" t="s">
        <v>3136</v>
      </c>
      <c r="Q2754" t="s">
        <v>170</v>
      </c>
      <c r="R2754">
        <v>77170.3</v>
      </c>
      <c r="S2754">
        <v>0</v>
      </c>
      <c r="T2754">
        <v>72722</v>
      </c>
      <c r="U2754" t="s">
        <v>2705</v>
      </c>
      <c r="V2754" t="s">
        <v>2706</v>
      </c>
      <c r="W2754" t="s">
        <v>187</v>
      </c>
      <c r="Y2754" t="s">
        <v>51</v>
      </c>
      <c r="Z2754">
        <v>1335</v>
      </c>
      <c r="AH2754">
        <v>0</v>
      </c>
      <c r="AI2754">
        <v>202506</v>
      </c>
      <c r="AJ2754" t="s">
        <v>86</v>
      </c>
      <c r="AK2754">
        <v>1</v>
      </c>
      <c r="AL2754">
        <v>1</v>
      </c>
      <c r="AO2754">
        <v>1</v>
      </c>
      <c r="AP2754" t="s">
        <v>3015</v>
      </c>
      <c r="AQ2754" t="s">
        <v>3044</v>
      </c>
      <c r="AR2754" t="s">
        <v>3045</v>
      </c>
      <c r="AS2754" t="s">
        <v>3046</v>
      </c>
      <c r="AU2754" t="s">
        <v>3046</v>
      </c>
    </row>
    <row r="2755" spans="1:47" x14ac:dyDescent="0.35">
      <c r="A2755">
        <v>348980</v>
      </c>
      <c r="B2755" t="s">
        <v>193</v>
      </c>
      <c r="C2755" t="s">
        <v>194</v>
      </c>
      <c r="D2755" s="2">
        <v>45822</v>
      </c>
      <c r="E2755">
        <v>53850</v>
      </c>
      <c r="F2755">
        <v>117</v>
      </c>
      <c r="G2755" t="s">
        <v>490</v>
      </c>
      <c r="H2755" t="s">
        <v>167</v>
      </c>
      <c r="I2755" t="s">
        <v>45</v>
      </c>
      <c r="K2755" t="s">
        <v>2707</v>
      </c>
      <c r="L2755">
        <v>1173300538726</v>
      </c>
      <c r="M2755">
        <v>20250613</v>
      </c>
      <c r="N2755" t="s">
        <v>175</v>
      </c>
      <c r="Q2755" t="s">
        <v>47</v>
      </c>
      <c r="R2755">
        <v>48164.92</v>
      </c>
      <c r="S2755">
        <v>35745</v>
      </c>
      <c r="T2755">
        <v>4784989</v>
      </c>
      <c r="U2755">
        <v>1269590772</v>
      </c>
      <c r="V2755" t="s">
        <v>492</v>
      </c>
      <c r="W2755" t="s">
        <v>49</v>
      </c>
      <c r="X2755" t="s">
        <v>413</v>
      </c>
      <c r="Y2755" t="s">
        <v>51</v>
      </c>
      <c r="Z2755">
        <v>1926</v>
      </c>
      <c r="AH2755">
        <v>0</v>
      </c>
      <c r="AI2755">
        <v>202506</v>
      </c>
      <c r="AJ2755" t="s">
        <v>119</v>
      </c>
      <c r="AK2755">
        <v>1</v>
      </c>
      <c r="AL2755">
        <v>1</v>
      </c>
      <c r="AM2755">
        <v>4784989</v>
      </c>
      <c r="AN2755">
        <v>1</v>
      </c>
      <c r="AO2755">
        <v>1</v>
      </c>
      <c r="AP2755" t="s">
        <v>3015</v>
      </c>
      <c r="AQ2755" t="s">
        <v>3012</v>
      </c>
      <c r="AR2755" t="s">
        <v>3016</v>
      </c>
      <c r="AT2755" t="s">
        <v>3017</v>
      </c>
      <c r="AU2755" t="s">
        <v>3018</v>
      </c>
    </row>
    <row r="2756" spans="1:47" x14ac:dyDescent="0.35">
      <c r="A2756">
        <v>348979</v>
      </c>
      <c r="B2756" t="s">
        <v>193</v>
      </c>
      <c r="C2756" t="s">
        <v>194</v>
      </c>
      <c r="D2756" s="2">
        <v>45822</v>
      </c>
      <c r="E2756">
        <v>53850</v>
      </c>
      <c r="F2756">
        <v>116</v>
      </c>
      <c r="G2756" t="s">
        <v>126</v>
      </c>
      <c r="H2756" t="s">
        <v>167</v>
      </c>
      <c r="I2756" t="s">
        <v>45</v>
      </c>
      <c r="K2756">
        <v>202506138067738</v>
      </c>
      <c r="L2756">
        <v>2343300010453</v>
      </c>
      <c r="M2756">
        <v>20250613</v>
      </c>
      <c r="N2756" t="s">
        <v>195</v>
      </c>
      <c r="Q2756" t="s">
        <v>47</v>
      </c>
      <c r="R2756">
        <v>62488</v>
      </c>
      <c r="S2756">
        <v>62488</v>
      </c>
      <c r="T2756">
        <v>4247777</v>
      </c>
      <c r="U2756">
        <v>233470236</v>
      </c>
      <c r="V2756" t="s">
        <v>206</v>
      </c>
      <c r="W2756" t="s">
        <v>49</v>
      </c>
      <c r="X2756" t="s">
        <v>117</v>
      </c>
      <c r="Y2756" t="s">
        <v>51</v>
      </c>
      <c r="Z2756">
        <v>1696</v>
      </c>
      <c r="AH2756">
        <v>0</v>
      </c>
      <c r="AI2756">
        <v>202506</v>
      </c>
      <c r="AJ2756" t="s">
        <v>86</v>
      </c>
      <c r="AK2756">
        <v>1</v>
      </c>
      <c r="AL2756">
        <v>1</v>
      </c>
      <c r="AM2756">
        <v>4247777</v>
      </c>
      <c r="AN2756">
        <v>1</v>
      </c>
      <c r="AO2756">
        <v>0</v>
      </c>
      <c r="AP2756" t="s">
        <v>3029</v>
      </c>
      <c r="AQ2756" t="s">
        <v>3012</v>
      </c>
      <c r="AR2756" t="s">
        <v>3030</v>
      </c>
      <c r="AS2756" t="s">
        <v>3014</v>
      </c>
      <c r="AU2756" t="s">
        <v>3014</v>
      </c>
    </row>
    <row r="2757" spans="1:47" x14ac:dyDescent="0.35">
      <c r="A2757">
        <v>348978</v>
      </c>
      <c r="B2757" t="s">
        <v>193</v>
      </c>
      <c r="C2757" t="s">
        <v>194</v>
      </c>
      <c r="D2757" s="2">
        <v>45822</v>
      </c>
      <c r="E2757">
        <v>53850</v>
      </c>
      <c r="F2757">
        <v>264</v>
      </c>
      <c r="G2757" t="s">
        <v>71</v>
      </c>
      <c r="H2757" t="s">
        <v>167</v>
      </c>
      <c r="I2757" t="s">
        <v>45</v>
      </c>
      <c r="K2757">
        <v>202506138067751</v>
      </c>
      <c r="L2757">
        <v>2643300002175</v>
      </c>
      <c r="M2757">
        <v>20250613</v>
      </c>
      <c r="N2757" t="s">
        <v>195</v>
      </c>
      <c r="Q2757" t="s">
        <v>47</v>
      </c>
      <c r="R2757">
        <v>24000</v>
      </c>
      <c r="S2757">
        <v>24000</v>
      </c>
      <c r="T2757">
        <v>1705205</v>
      </c>
      <c r="U2757" t="s">
        <v>2708</v>
      </c>
      <c r="V2757" t="s">
        <v>2709</v>
      </c>
      <c r="W2757" t="s">
        <v>69</v>
      </c>
      <c r="X2757" t="s">
        <v>131</v>
      </c>
      <c r="Y2757" t="s">
        <v>51</v>
      </c>
      <c r="Z2757">
        <v>1851</v>
      </c>
      <c r="AH2757">
        <v>0</v>
      </c>
      <c r="AI2757">
        <v>202506</v>
      </c>
      <c r="AJ2757" t="s">
        <v>114</v>
      </c>
      <c r="AK2757">
        <v>1</v>
      </c>
      <c r="AL2757">
        <v>1</v>
      </c>
      <c r="AM2757">
        <v>1705205</v>
      </c>
      <c r="AN2757">
        <v>1</v>
      </c>
      <c r="AO2757">
        <v>0</v>
      </c>
      <c r="AP2757" t="s">
        <v>3033</v>
      </c>
      <c r="AQ2757" t="s">
        <v>3021</v>
      </c>
      <c r="AR2757" t="s">
        <v>3054</v>
      </c>
      <c r="AS2757" t="s">
        <v>3055</v>
      </c>
      <c r="AU2757" t="s">
        <v>3055</v>
      </c>
    </row>
    <row r="2758" spans="1:47" x14ac:dyDescent="0.35">
      <c r="A2758">
        <v>348977</v>
      </c>
      <c r="B2758" t="s">
        <v>178</v>
      </c>
      <c r="C2758" t="s">
        <v>179</v>
      </c>
      <c r="D2758" s="2">
        <v>45822</v>
      </c>
      <c r="E2758">
        <v>53850</v>
      </c>
      <c r="F2758">
        <v>149</v>
      </c>
      <c r="G2758" t="s">
        <v>449</v>
      </c>
      <c r="H2758" t="s">
        <v>167</v>
      </c>
      <c r="I2758" t="s">
        <v>45</v>
      </c>
      <c r="K2758">
        <v>202506138066117</v>
      </c>
      <c r="L2758">
        <v>1493300665012</v>
      </c>
      <c r="M2758">
        <v>20250613</v>
      </c>
      <c r="N2758" t="s">
        <v>46</v>
      </c>
      <c r="P2758" t="s">
        <v>51</v>
      </c>
      <c r="Q2758" t="s">
        <v>47</v>
      </c>
      <c r="R2758">
        <v>1186083.8799999999</v>
      </c>
      <c r="S2758">
        <v>0</v>
      </c>
      <c r="T2758">
        <v>3711346</v>
      </c>
      <c r="U2758">
        <v>9125231218</v>
      </c>
      <c r="V2758" t="s">
        <v>1007</v>
      </c>
      <c r="W2758" t="s">
        <v>49</v>
      </c>
      <c r="X2758" t="s">
        <v>686</v>
      </c>
      <c r="Y2758" t="s">
        <v>51</v>
      </c>
      <c r="Z2758">
        <v>1910</v>
      </c>
      <c r="AH2758">
        <v>0</v>
      </c>
      <c r="AI2758">
        <v>202506</v>
      </c>
      <c r="AJ2758" t="s">
        <v>86</v>
      </c>
      <c r="AK2758">
        <v>1</v>
      </c>
      <c r="AL2758">
        <v>1</v>
      </c>
      <c r="AO2758">
        <v>0</v>
      </c>
      <c r="AP2758" t="s">
        <v>3015</v>
      </c>
      <c r="AQ2758" t="s">
        <v>3012</v>
      </c>
      <c r="AR2758" t="s">
        <v>3016</v>
      </c>
      <c r="AT2758" t="s">
        <v>3017</v>
      </c>
      <c r="AU2758" t="s">
        <v>3018</v>
      </c>
    </row>
    <row r="2759" spans="1:47" x14ac:dyDescent="0.35">
      <c r="A2759">
        <v>348976</v>
      </c>
      <c r="B2759" t="s">
        <v>178</v>
      </c>
      <c r="C2759" t="s">
        <v>179</v>
      </c>
      <c r="D2759" s="2">
        <v>45822</v>
      </c>
      <c r="E2759">
        <v>53850</v>
      </c>
      <c r="F2759">
        <v>102</v>
      </c>
      <c r="G2759" t="s">
        <v>151</v>
      </c>
      <c r="H2759" t="s">
        <v>167</v>
      </c>
      <c r="I2759" t="s">
        <v>45</v>
      </c>
      <c r="K2759">
        <v>202506138067807</v>
      </c>
      <c r="L2759">
        <v>1023308723080</v>
      </c>
      <c r="M2759">
        <v>20250613</v>
      </c>
      <c r="N2759" t="s">
        <v>3136</v>
      </c>
      <c r="Q2759" t="s">
        <v>170</v>
      </c>
      <c r="R2759">
        <v>7502.77</v>
      </c>
      <c r="S2759">
        <v>0</v>
      </c>
      <c r="T2759">
        <v>4856954</v>
      </c>
      <c r="U2759" t="s">
        <v>2710</v>
      </c>
      <c r="V2759" t="s">
        <v>2711</v>
      </c>
      <c r="W2759" t="s">
        <v>187</v>
      </c>
      <c r="Y2759" t="s">
        <v>51</v>
      </c>
      <c r="Z2759">
        <v>638</v>
      </c>
      <c r="AH2759">
        <v>0</v>
      </c>
      <c r="AI2759">
        <v>202506</v>
      </c>
      <c r="AJ2759" t="s">
        <v>86</v>
      </c>
      <c r="AK2759">
        <v>1</v>
      </c>
      <c r="AL2759">
        <v>1</v>
      </c>
      <c r="AO2759">
        <v>1</v>
      </c>
      <c r="AP2759" t="s">
        <v>3015</v>
      </c>
      <c r="AQ2759" t="s">
        <v>3044</v>
      </c>
      <c r="AR2759" t="s">
        <v>3045</v>
      </c>
      <c r="AS2759" t="s">
        <v>3046</v>
      </c>
      <c r="AU2759" t="s">
        <v>3046</v>
      </c>
    </row>
    <row r="2760" spans="1:47" x14ac:dyDescent="0.35">
      <c r="A2760">
        <v>348975</v>
      </c>
      <c r="B2760" t="s">
        <v>178</v>
      </c>
      <c r="C2760" t="s">
        <v>179</v>
      </c>
      <c r="D2760" s="2">
        <v>45822</v>
      </c>
      <c r="E2760">
        <v>53850</v>
      </c>
      <c r="F2760">
        <v>102</v>
      </c>
      <c r="G2760" t="s">
        <v>151</v>
      </c>
      <c r="H2760" t="s">
        <v>167</v>
      </c>
      <c r="I2760" t="s">
        <v>45</v>
      </c>
      <c r="K2760">
        <v>202506138066969</v>
      </c>
      <c r="L2760">
        <v>1023308719287</v>
      </c>
      <c r="M2760">
        <v>20250613</v>
      </c>
      <c r="N2760" t="s">
        <v>46</v>
      </c>
      <c r="P2760" t="s">
        <v>51</v>
      </c>
      <c r="Q2760" t="s">
        <v>47</v>
      </c>
      <c r="R2760">
        <v>1000000</v>
      </c>
      <c r="S2760">
        <v>0</v>
      </c>
      <c r="T2760">
        <v>491975</v>
      </c>
      <c r="U2760">
        <v>4231470727</v>
      </c>
      <c r="V2760" t="s">
        <v>1048</v>
      </c>
      <c r="W2760" t="s">
        <v>49</v>
      </c>
      <c r="X2760" t="s">
        <v>65</v>
      </c>
      <c r="Y2760" t="s">
        <v>51</v>
      </c>
      <c r="Z2760">
        <v>739</v>
      </c>
      <c r="AH2760">
        <v>0</v>
      </c>
      <c r="AI2760">
        <v>202506</v>
      </c>
      <c r="AJ2760" t="s">
        <v>86</v>
      </c>
      <c r="AK2760">
        <v>1</v>
      </c>
      <c r="AL2760">
        <v>1</v>
      </c>
      <c r="AO2760">
        <v>0</v>
      </c>
      <c r="AP2760" t="s">
        <v>3019</v>
      </c>
      <c r="AQ2760" t="s">
        <v>3012</v>
      </c>
      <c r="AR2760" t="s">
        <v>3020</v>
      </c>
      <c r="AS2760" t="s">
        <v>3014</v>
      </c>
      <c r="AU2760" t="s">
        <v>3014</v>
      </c>
    </row>
    <row r="2761" spans="1:47" x14ac:dyDescent="0.35">
      <c r="A2761">
        <v>348974</v>
      </c>
      <c r="B2761" t="s">
        <v>193</v>
      </c>
      <c r="C2761" t="s">
        <v>194</v>
      </c>
      <c r="D2761" s="2">
        <v>45822</v>
      </c>
      <c r="E2761">
        <v>53850</v>
      </c>
      <c r="F2761">
        <v>129</v>
      </c>
      <c r="G2761" t="s">
        <v>227</v>
      </c>
      <c r="H2761" t="s">
        <v>167</v>
      </c>
      <c r="I2761" t="s">
        <v>45</v>
      </c>
      <c r="K2761">
        <v>202506138068010</v>
      </c>
      <c r="L2761">
        <v>1293300000754</v>
      </c>
      <c r="M2761">
        <v>20250613</v>
      </c>
      <c r="N2761" t="s">
        <v>266</v>
      </c>
      <c r="Q2761" t="s">
        <v>47</v>
      </c>
      <c r="R2761">
        <v>15810</v>
      </c>
      <c r="S2761">
        <v>15810</v>
      </c>
      <c r="T2761">
        <v>4370923</v>
      </c>
      <c r="U2761">
        <v>2778200721</v>
      </c>
      <c r="V2761" t="s">
        <v>1554</v>
      </c>
      <c r="W2761" t="s">
        <v>190</v>
      </c>
      <c r="X2761" t="s">
        <v>131</v>
      </c>
      <c r="Y2761" t="s">
        <v>51</v>
      </c>
      <c r="Z2761">
        <v>1355</v>
      </c>
      <c r="AH2761">
        <v>0</v>
      </c>
      <c r="AI2761">
        <v>202506</v>
      </c>
      <c r="AJ2761" t="s">
        <v>119</v>
      </c>
      <c r="AK2761">
        <v>1</v>
      </c>
      <c r="AL2761">
        <v>1</v>
      </c>
      <c r="AM2761">
        <v>4370923</v>
      </c>
      <c r="AN2761">
        <v>1</v>
      </c>
      <c r="AO2761">
        <v>0</v>
      </c>
      <c r="AP2761" t="s">
        <v>3033</v>
      </c>
      <c r="AQ2761" t="s">
        <v>3047</v>
      </c>
      <c r="AR2761" t="s">
        <v>3048</v>
      </c>
      <c r="AS2761" t="s">
        <v>3049</v>
      </c>
      <c r="AU2761" t="s">
        <v>3049</v>
      </c>
    </row>
    <row r="2762" spans="1:47" x14ac:dyDescent="0.35">
      <c r="A2762">
        <v>348973</v>
      </c>
      <c r="B2762" t="s">
        <v>193</v>
      </c>
      <c r="C2762" t="s">
        <v>194</v>
      </c>
      <c r="D2762" s="2">
        <v>45822</v>
      </c>
      <c r="E2762">
        <v>53850</v>
      </c>
      <c r="F2762">
        <v>108</v>
      </c>
      <c r="G2762" t="s">
        <v>124</v>
      </c>
      <c r="H2762" t="s">
        <v>167</v>
      </c>
      <c r="I2762" t="s">
        <v>45</v>
      </c>
      <c r="K2762" t="s">
        <v>2707</v>
      </c>
      <c r="L2762">
        <v>1083306291105</v>
      </c>
      <c r="M2762">
        <v>20250613</v>
      </c>
      <c r="N2762" t="s">
        <v>175</v>
      </c>
      <c r="Q2762" t="s">
        <v>47</v>
      </c>
      <c r="R2762">
        <v>93321.93</v>
      </c>
      <c r="S2762">
        <v>47998.8</v>
      </c>
      <c r="T2762">
        <v>4227057</v>
      </c>
      <c r="U2762">
        <v>4874620729</v>
      </c>
      <c r="V2762" t="s">
        <v>250</v>
      </c>
      <c r="W2762" t="s">
        <v>49</v>
      </c>
      <c r="X2762" t="s">
        <v>62</v>
      </c>
      <c r="Y2762" t="s">
        <v>51</v>
      </c>
      <c r="Z2762">
        <v>1058</v>
      </c>
      <c r="AH2762">
        <v>0</v>
      </c>
      <c r="AI2762">
        <v>202506</v>
      </c>
      <c r="AJ2762" t="s">
        <v>119</v>
      </c>
      <c r="AK2762">
        <v>1</v>
      </c>
      <c r="AL2762">
        <v>1</v>
      </c>
      <c r="AM2762">
        <v>4227057</v>
      </c>
      <c r="AN2762">
        <v>1</v>
      </c>
      <c r="AO2762">
        <v>1</v>
      </c>
      <c r="AP2762" t="s">
        <v>3015</v>
      </c>
      <c r="AQ2762" t="s">
        <v>3012</v>
      </c>
      <c r="AR2762" t="s">
        <v>3016</v>
      </c>
      <c r="AT2762" t="s">
        <v>3017</v>
      </c>
      <c r="AU2762" t="s">
        <v>3018</v>
      </c>
    </row>
    <row r="2763" spans="1:47" x14ac:dyDescent="0.35">
      <c r="A2763">
        <v>348972</v>
      </c>
      <c r="B2763" t="s">
        <v>164</v>
      </c>
      <c r="C2763" t="s">
        <v>165</v>
      </c>
      <c r="D2763" s="2">
        <v>45822</v>
      </c>
      <c r="E2763">
        <v>53850</v>
      </c>
      <c r="F2763">
        <v>120</v>
      </c>
      <c r="G2763" t="s">
        <v>411</v>
      </c>
      <c r="H2763" t="s">
        <v>167</v>
      </c>
      <c r="I2763" t="s">
        <v>45</v>
      </c>
      <c r="K2763" t="s">
        <v>2712</v>
      </c>
      <c r="L2763">
        <v>1203300002401</v>
      </c>
      <c r="M2763">
        <v>20250613</v>
      </c>
      <c r="N2763" t="s">
        <v>168</v>
      </c>
      <c r="P2763" t="s">
        <v>903</v>
      </c>
      <c r="Q2763" t="s">
        <v>47</v>
      </c>
      <c r="R2763">
        <v>3967</v>
      </c>
      <c r="S2763">
        <v>0</v>
      </c>
      <c r="T2763">
        <v>613876</v>
      </c>
      <c r="U2763">
        <v>574290722</v>
      </c>
      <c r="V2763" t="s">
        <v>545</v>
      </c>
      <c r="W2763" t="s">
        <v>546</v>
      </c>
      <c r="X2763" t="s">
        <v>421</v>
      </c>
      <c r="Y2763" t="s">
        <v>51</v>
      </c>
      <c r="Z2763">
        <v>1058</v>
      </c>
      <c r="AH2763">
        <v>0</v>
      </c>
      <c r="AI2763">
        <v>202506</v>
      </c>
      <c r="AJ2763" t="s">
        <v>119</v>
      </c>
      <c r="AK2763">
        <v>1</v>
      </c>
      <c r="AL2763">
        <v>1</v>
      </c>
      <c r="AM2763">
        <v>613876</v>
      </c>
      <c r="AN2763">
        <v>1</v>
      </c>
      <c r="AO2763">
        <v>0</v>
      </c>
      <c r="AP2763" t="s">
        <v>3015</v>
      </c>
      <c r="AQ2763" t="s">
        <v>3076</v>
      </c>
      <c r="AR2763" t="s">
        <v>3077</v>
      </c>
      <c r="AT2763" t="s">
        <v>3017</v>
      </c>
      <c r="AU2763" t="s">
        <v>3014</v>
      </c>
    </row>
    <row r="2764" spans="1:47" x14ac:dyDescent="0.35">
      <c r="A2764">
        <v>348971</v>
      </c>
      <c r="B2764" t="s">
        <v>178</v>
      </c>
      <c r="C2764" t="s">
        <v>179</v>
      </c>
      <c r="D2764" s="2">
        <v>45822</v>
      </c>
      <c r="E2764">
        <v>53850</v>
      </c>
      <c r="F2764">
        <v>102</v>
      </c>
      <c r="G2764" t="s">
        <v>151</v>
      </c>
      <c r="H2764" t="s">
        <v>167</v>
      </c>
      <c r="I2764" t="s">
        <v>45</v>
      </c>
      <c r="K2764">
        <v>202506138067362</v>
      </c>
      <c r="L2764">
        <v>1023300722320</v>
      </c>
      <c r="M2764">
        <v>20250613</v>
      </c>
      <c r="N2764" t="s">
        <v>258</v>
      </c>
      <c r="Q2764" t="s">
        <v>170</v>
      </c>
      <c r="R2764">
        <v>220000</v>
      </c>
      <c r="S2764">
        <v>0</v>
      </c>
      <c r="T2764">
        <v>72232</v>
      </c>
      <c r="U2764" t="s">
        <v>2713</v>
      </c>
      <c r="V2764" t="s">
        <v>2714</v>
      </c>
      <c r="W2764" t="s">
        <v>187</v>
      </c>
      <c r="Y2764" t="s">
        <v>51</v>
      </c>
      <c r="Z2764">
        <v>1335</v>
      </c>
      <c r="AH2764">
        <v>0</v>
      </c>
      <c r="AI2764">
        <v>202506</v>
      </c>
      <c r="AJ2764" t="s">
        <v>86</v>
      </c>
      <c r="AK2764">
        <v>1</v>
      </c>
      <c r="AL2764">
        <v>1</v>
      </c>
      <c r="AO2764">
        <v>0</v>
      </c>
      <c r="AP2764" t="s">
        <v>3015</v>
      </c>
      <c r="AQ2764" t="s">
        <v>3044</v>
      </c>
      <c r="AR2764" t="s">
        <v>3045</v>
      </c>
      <c r="AS2764" t="s">
        <v>3046</v>
      </c>
      <c r="AU2764" t="s">
        <v>3046</v>
      </c>
    </row>
    <row r="2765" spans="1:47" x14ac:dyDescent="0.35">
      <c r="A2765">
        <v>348970</v>
      </c>
      <c r="B2765" t="s">
        <v>172</v>
      </c>
      <c r="C2765" t="s">
        <v>173</v>
      </c>
      <c r="D2765" s="2">
        <v>45822</v>
      </c>
      <c r="E2765">
        <v>53850</v>
      </c>
      <c r="F2765">
        <v>267</v>
      </c>
      <c r="G2765" t="s">
        <v>349</v>
      </c>
      <c r="H2765" t="s">
        <v>167</v>
      </c>
      <c r="I2765" t="s">
        <v>45</v>
      </c>
      <c r="K2765">
        <v>202506138068290</v>
      </c>
      <c r="L2765">
        <v>2673300001267</v>
      </c>
      <c r="M2765">
        <v>20250613</v>
      </c>
      <c r="N2765" t="s">
        <v>231</v>
      </c>
      <c r="Q2765" t="s">
        <v>47</v>
      </c>
      <c r="R2765">
        <v>141886.81</v>
      </c>
      <c r="S2765">
        <v>0</v>
      </c>
      <c r="T2765">
        <v>1643364</v>
      </c>
      <c r="U2765" t="s">
        <v>2715</v>
      </c>
      <c r="V2765" t="s">
        <v>2716</v>
      </c>
      <c r="W2765" t="s">
        <v>187</v>
      </c>
      <c r="Y2765" t="s">
        <v>51</v>
      </c>
      <c r="Z2765">
        <v>1832</v>
      </c>
      <c r="AH2765">
        <v>0</v>
      </c>
      <c r="AI2765">
        <v>202506</v>
      </c>
      <c r="AJ2765" t="s">
        <v>86</v>
      </c>
      <c r="AK2765">
        <v>1</v>
      </c>
      <c r="AL2765">
        <v>1</v>
      </c>
      <c r="AO2765">
        <v>0</v>
      </c>
      <c r="AP2765" t="s">
        <v>3015</v>
      </c>
      <c r="AQ2765" t="s">
        <v>3044</v>
      </c>
      <c r="AR2765" t="s">
        <v>3045</v>
      </c>
      <c r="AS2765" t="s">
        <v>3046</v>
      </c>
      <c r="AU2765" t="s">
        <v>3046</v>
      </c>
    </row>
    <row r="2766" spans="1:47" x14ac:dyDescent="0.35">
      <c r="A2766">
        <v>348969</v>
      </c>
      <c r="B2766" t="s">
        <v>193</v>
      </c>
      <c r="C2766" t="s">
        <v>194</v>
      </c>
      <c r="D2766" s="2">
        <v>45822</v>
      </c>
      <c r="E2766">
        <v>53850</v>
      </c>
      <c r="F2766">
        <v>109</v>
      </c>
      <c r="G2766" t="s">
        <v>89</v>
      </c>
      <c r="H2766" t="s">
        <v>167</v>
      </c>
      <c r="I2766" t="s">
        <v>45</v>
      </c>
      <c r="K2766">
        <v>202506138067913</v>
      </c>
      <c r="L2766">
        <v>1093306675356</v>
      </c>
      <c r="M2766">
        <v>20250613</v>
      </c>
      <c r="N2766" t="s">
        <v>266</v>
      </c>
      <c r="Q2766" t="s">
        <v>47</v>
      </c>
      <c r="R2766">
        <v>35100</v>
      </c>
      <c r="S2766">
        <v>35100</v>
      </c>
      <c r="T2766">
        <v>4976123</v>
      </c>
      <c r="U2766">
        <v>8630940727</v>
      </c>
      <c r="V2766" t="s">
        <v>717</v>
      </c>
      <c r="W2766" t="s">
        <v>49</v>
      </c>
      <c r="X2766" t="s">
        <v>131</v>
      </c>
      <c r="Y2766" t="s">
        <v>51</v>
      </c>
      <c r="Z2766">
        <v>502</v>
      </c>
      <c r="AH2766">
        <v>0</v>
      </c>
      <c r="AI2766">
        <v>202506</v>
      </c>
      <c r="AJ2766" t="s">
        <v>56</v>
      </c>
      <c r="AK2766">
        <v>0</v>
      </c>
      <c r="AL2766">
        <v>1</v>
      </c>
      <c r="AM2766">
        <v>4976123</v>
      </c>
      <c r="AN2766">
        <v>1</v>
      </c>
      <c r="AO2766">
        <v>0</v>
      </c>
      <c r="AP2766" t="s">
        <v>3033</v>
      </c>
      <c r="AQ2766" t="s">
        <v>3012</v>
      </c>
      <c r="AR2766" t="s">
        <v>3034</v>
      </c>
      <c r="AS2766" t="s">
        <v>3014</v>
      </c>
      <c r="AU2766" t="s">
        <v>3014</v>
      </c>
    </row>
    <row r="2767" spans="1:47" x14ac:dyDescent="0.35">
      <c r="A2767">
        <v>348968</v>
      </c>
      <c r="B2767" t="s">
        <v>193</v>
      </c>
      <c r="C2767" t="s">
        <v>194</v>
      </c>
      <c r="D2767" s="2">
        <v>45822</v>
      </c>
      <c r="E2767">
        <v>53850</v>
      </c>
      <c r="F2767">
        <v>190</v>
      </c>
      <c r="G2767" t="s">
        <v>145</v>
      </c>
      <c r="H2767" t="s">
        <v>167</v>
      </c>
      <c r="I2767" t="s">
        <v>45</v>
      </c>
      <c r="K2767">
        <v>202506138067685</v>
      </c>
      <c r="L2767">
        <v>1903300007929</v>
      </c>
      <c r="M2767">
        <v>20250613</v>
      </c>
      <c r="N2767" t="s">
        <v>195</v>
      </c>
      <c r="Q2767" t="s">
        <v>47</v>
      </c>
      <c r="R2767">
        <v>16800</v>
      </c>
      <c r="S2767">
        <v>16800</v>
      </c>
      <c r="T2767">
        <v>3034190</v>
      </c>
      <c r="U2767" t="s">
        <v>1964</v>
      </c>
      <c r="V2767" t="s">
        <v>1965</v>
      </c>
      <c r="W2767" t="s">
        <v>69</v>
      </c>
      <c r="X2767" t="s">
        <v>131</v>
      </c>
      <c r="Y2767" t="s">
        <v>51</v>
      </c>
      <c r="Z2767">
        <v>1361</v>
      </c>
      <c r="AH2767">
        <v>0</v>
      </c>
      <c r="AI2767">
        <v>202506</v>
      </c>
      <c r="AJ2767" t="s">
        <v>114</v>
      </c>
      <c r="AK2767">
        <v>1</v>
      </c>
      <c r="AL2767">
        <v>1</v>
      </c>
      <c r="AM2767">
        <v>3034190</v>
      </c>
      <c r="AN2767">
        <v>1</v>
      </c>
      <c r="AO2767">
        <v>0</v>
      </c>
      <c r="AP2767" t="s">
        <v>3033</v>
      </c>
      <c r="AQ2767" t="s">
        <v>3021</v>
      </c>
      <c r="AR2767" t="s">
        <v>3054</v>
      </c>
      <c r="AS2767" t="s">
        <v>3055</v>
      </c>
      <c r="AU2767" t="s">
        <v>3055</v>
      </c>
    </row>
    <row r="2768" spans="1:47" x14ac:dyDescent="0.35">
      <c r="A2768">
        <v>348967</v>
      </c>
      <c r="B2768" t="s">
        <v>172</v>
      </c>
      <c r="C2768" t="s">
        <v>173</v>
      </c>
      <c r="D2768" s="2">
        <v>45822</v>
      </c>
      <c r="E2768">
        <v>53850</v>
      </c>
      <c r="F2768">
        <v>170</v>
      </c>
      <c r="G2768" t="s">
        <v>211</v>
      </c>
      <c r="H2768" t="s">
        <v>167</v>
      </c>
      <c r="I2768" t="s">
        <v>45</v>
      </c>
      <c r="K2768">
        <v>202506138068129</v>
      </c>
      <c r="L2768">
        <v>1703306287412</v>
      </c>
      <c r="M2768">
        <v>20250613</v>
      </c>
      <c r="N2768" t="s">
        <v>231</v>
      </c>
      <c r="Q2768" t="s">
        <v>47</v>
      </c>
      <c r="R2768">
        <v>188729.33</v>
      </c>
      <c r="S2768">
        <v>0</v>
      </c>
      <c r="T2768">
        <v>4206289</v>
      </c>
      <c r="U2768" t="s">
        <v>2717</v>
      </c>
      <c r="V2768" t="s">
        <v>2718</v>
      </c>
      <c r="W2768" t="s">
        <v>187</v>
      </c>
      <c r="Y2768" t="s">
        <v>51</v>
      </c>
      <c r="Z2768">
        <v>1476</v>
      </c>
      <c r="AH2768">
        <v>0</v>
      </c>
      <c r="AI2768">
        <v>202506</v>
      </c>
      <c r="AJ2768" t="s">
        <v>86</v>
      </c>
      <c r="AK2768">
        <v>1</v>
      </c>
      <c r="AL2768">
        <v>1</v>
      </c>
      <c r="AO2768">
        <v>0</v>
      </c>
      <c r="AP2768" t="s">
        <v>3015</v>
      </c>
      <c r="AQ2768" t="s">
        <v>3044</v>
      </c>
      <c r="AR2768" t="s">
        <v>3045</v>
      </c>
      <c r="AS2768" t="s">
        <v>3046</v>
      </c>
      <c r="AU2768" t="s">
        <v>3046</v>
      </c>
    </row>
    <row r="2769" spans="1:47" x14ac:dyDescent="0.35">
      <c r="A2769">
        <v>348966</v>
      </c>
      <c r="B2769" t="s">
        <v>178</v>
      </c>
      <c r="C2769" t="s">
        <v>179</v>
      </c>
      <c r="D2769" s="2">
        <v>45822</v>
      </c>
      <c r="E2769">
        <v>53850</v>
      </c>
      <c r="F2769">
        <v>170</v>
      </c>
      <c r="G2769" t="s">
        <v>211</v>
      </c>
      <c r="H2769" t="s">
        <v>167</v>
      </c>
      <c r="I2769" t="s">
        <v>45</v>
      </c>
      <c r="K2769">
        <v>202506138067021</v>
      </c>
      <c r="L2769">
        <v>1703306289070</v>
      </c>
      <c r="M2769">
        <v>20250613</v>
      </c>
      <c r="N2769" t="s">
        <v>46</v>
      </c>
      <c r="P2769" t="s">
        <v>51</v>
      </c>
      <c r="Q2769" t="s">
        <v>47</v>
      </c>
      <c r="R2769">
        <v>246593.07</v>
      </c>
      <c r="S2769">
        <v>0</v>
      </c>
      <c r="T2769">
        <v>4423910</v>
      </c>
      <c r="U2769" t="s">
        <v>2719</v>
      </c>
      <c r="V2769" t="s">
        <v>2720</v>
      </c>
      <c r="W2769" t="s">
        <v>187</v>
      </c>
      <c r="Y2769" t="s">
        <v>51</v>
      </c>
      <c r="Z2769">
        <v>1476</v>
      </c>
      <c r="AH2769">
        <v>0</v>
      </c>
      <c r="AI2769">
        <v>202506</v>
      </c>
      <c r="AJ2769" t="s">
        <v>56</v>
      </c>
      <c r="AK2769">
        <v>0</v>
      </c>
      <c r="AL2769">
        <v>1</v>
      </c>
      <c r="AO2769">
        <v>0</v>
      </c>
      <c r="AP2769" t="s">
        <v>3015</v>
      </c>
      <c r="AQ2769" t="s">
        <v>3044</v>
      </c>
      <c r="AR2769" t="s">
        <v>3045</v>
      </c>
      <c r="AS2769" t="s">
        <v>3046</v>
      </c>
      <c r="AU2769" t="s">
        <v>3046</v>
      </c>
    </row>
    <row r="2770" spans="1:47" x14ac:dyDescent="0.35">
      <c r="A2770">
        <v>348965</v>
      </c>
      <c r="B2770" t="s">
        <v>193</v>
      </c>
      <c r="C2770" t="s">
        <v>194</v>
      </c>
      <c r="D2770" s="2">
        <v>45822</v>
      </c>
      <c r="E2770">
        <v>53850</v>
      </c>
      <c r="F2770">
        <v>175</v>
      </c>
      <c r="G2770" t="s">
        <v>99</v>
      </c>
      <c r="H2770" t="s">
        <v>167</v>
      </c>
      <c r="I2770" t="s">
        <v>45</v>
      </c>
      <c r="K2770" t="s">
        <v>2707</v>
      </c>
      <c r="L2770">
        <v>1753302203965</v>
      </c>
      <c r="M2770">
        <v>20250613</v>
      </c>
      <c r="N2770" t="s">
        <v>266</v>
      </c>
      <c r="Q2770" t="s">
        <v>47</v>
      </c>
      <c r="R2770">
        <v>27295</v>
      </c>
      <c r="S2770">
        <v>27295</v>
      </c>
      <c r="T2770">
        <v>4932268</v>
      </c>
      <c r="U2770">
        <v>1360580771</v>
      </c>
      <c r="V2770" t="s">
        <v>470</v>
      </c>
      <c r="W2770" t="s">
        <v>49</v>
      </c>
      <c r="X2770" t="s">
        <v>197</v>
      </c>
      <c r="Y2770" t="s">
        <v>51</v>
      </c>
      <c r="Z2770">
        <v>1110</v>
      </c>
      <c r="AH2770">
        <v>0</v>
      </c>
      <c r="AI2770">
        <v>202506</v>
      </c>
      <c r="AJ2770" t="s">
        <v>119</v>
      </c>
      <c r="AK2770">
        <v>1</v>
      </c>
      <c r="AL2770">
        <v>1</v>
      </c>
      <c r="AM2770">
        <v>4932268</v>
      </c>
      <c r="AN2770">
        <v>1</v>
      </c>
      <c r="AO2770">
        <v>0</v>
      </c>
      <c r="AP2770" t="s">
        <v>3050</v>
      </c>
      <c r="AQ2770" t="s">
        <v>3012</v>
      </c>
      <c r="AR2770" t="s">
        <v>3071</v>
      </c>
      <c r="AS2770" t="s">
        <v>3028</v>
      </c>
      <c r="AU2770" t="s">
        <v>3028</v>
      </c>
    </row>
    <row r="2771" spans="1:47" x14ac:dyDescent="0.35">
      <c r="A2771">
        <v>348964</v>
      </c>
      <c r="B2771" t="s">
        <v>178</v>
      </c>
      <c r="C2771" t="s">
        <v>179</v>
      </c>
      <c r="D2771" s="2">
        <v>45822</v>
      </c>
      <c r="E2771">
        <v>53850</v>
      </c>
      <c r="F2771">
        <v>141</v>
      </c>
      <c r="G2771" t="s">
        <v>105</v>
      </c>
      <c r="H2771" t="s">
        <v>167</v>
      </c>
      <c r="I2771" t="s">
        <v>45</v>
      </c>
      <c r="K2771">
        <v>202506138065787</v>
      </c>
      <c r="L2771">
        <v>1413300003855</v>
      </c>
      <c r="M2771">
        <v>20250613</v>
      </c>
      <c r="N2771" t="s">
        <v>236</v>
      </c>
      <c r="P2771" t="s">
        <v>51</v>
      </c>
      <c r="Q2771" t="s">
        <v>170</v>
      </c>
      <c r="R2771">
        <v>1500000</v>
      </c>
      <c r="S2771">
        <v>0</v>
      </c>
      <c r="T2771">
        <v>4968719</v>
      </c>
      <c r="U2771">
        <v>5154150758</v>
      </c>
      <c r="V2771" t="s">
        <v>2258</v>
      </c>
      <c r="W2771" t="s">
        <v>49</v>
      </c>
      <c r="X2771" t="s">
        <v>2619</v>
      </c>
      <c r="Y2771" t="s">
        <v>51</v>
      </c>
      <c r="Z2771">
        <v>1627</v>
      </c>
      <c r="AH2771">
        <v>0</v>
      </c>
      <c r="AI2771">
        <v>202506</v>
      </c>
      <c r="AJ2771" t="s">
        <v>56</v>
      </c>
      <c r="AK2771">
        <v>0</v>
      </c>
      <c r="AL2771">
        <v>1</v>
      </c>
      <c r="AO2771">
        <v>0</v>
      </c>
      <c r="AP2771" t="s">
        <v>3015</v>
      </c>
      <c r="AQ2771" t="s">
        <v>3012</v>
      </c>
      <c r="AR2771" t="s">
        <v>3016</v>
      </c>
      <c r="AT2771" t="s">
        <v>3017</v>
      </c>
      <c r="AU2771" t="s">
        <v>3018</v>
      </c>
    </row>
    <row r="2772" spans="1:47" x14ac:dyDescent="0.35">
      <c r="A2772">
        <v>348963</v>
      </c>
      <c r="B2772" t="s">
        <v>193</v>
      </c>
      <c r="C2772" t="s">
        <v>194</v>
      </c>
      <c r="D2772" s="2">
        <v>45822</v>
      </c>
      <c r="E2772">
        <v>53850</v>
      </c>
      <c r="F2772">
        <v>171</v>
      </c>
      <c r="G2772" t="s">
        <v>198</v>
      </c>
      <c r="H2772" t="s">
        <v>167</v>
      </c>
      <c r="I2772" t="s">
        <v>45</v>
      </c>
      <c r="K2772" t="s">
        <v>2707</v>
      </c>
      <c r="L2772">
        <v>1713302214147</v>
      </c>
      <c r="M2772">
        <v>20250613</v>
      </c>
      <c r="N2772" t="s">
        <v>195</v>
      </c>
      <c r="Q2772" t="s">
        <v>47</v>
      </c>
      <c r="R2772">
        <v>43830</v>
      </c>
      <c r="S2772">
        <v>43830</v>
      </c>
      <c r="T2772">
        <v>4199319</v>
      </c>
      <c r="U2772">
        <v>6037810725</v>
      </c>
      <c r="V2772" t="s">
        <v>1144</v>
      </c>
      <c r="W2772" t="s">
        <v>49</v>
      </c>
      <c r="X2772" t="s">
        <v>200</v>
      </c>
      <c r="Y2772" t="s">
        <v>51</v>
      </c>
      <c r="Z2772">
        <v>1903</v>
      </c>
      <c r="AH2772">
        <v>0</v>
      </c>
      <c r="AI2772">
        <v>202506</v>
      </c>
      <c r="AJ2772" t="s">
        <v>86</v>
      </c>
      <c r="AK2772">
        <v>1</v>
      </c>
      <c r="AL2772">
        <v>1</v>
      </c>
      <c r="AM2772">
        <v>4199319</v>
      </c>
      <c r="AN2772">
        <v>1</v>
      </c>
      <c r="AO2772">
        <v>0</v>
      </c>
      <c r="AP2772" t="s">
        <v>3015</v>
      </c>
      <c r="AQ2772" t="s">
        <v>3012</v>
      </c>
      <c r="AR2772" t="s">
        <v>3016</v>
      </c>
      <c r="AT2772" t="s">
        <v>3017</v>
      </c>
      <c r="AU2772" t="s">
        <v>3018</v>
      </c>
    </row>
    <row r="2773" spans="1:47" x14ac:dyDescent="0.35">
      <c r="A2773">
        <v>348962</v>
      </c>
      <c r="B2773" t="s">
        <v>193</v>
      </c>
      <c r="C2773" t="s">
        <v>194</v>
      </c>
      <c r="D2773" s="2">
        <v>45822</v>
      </c>
      <c r="E2773">
        <v>53850</v>
      </c>
      <c r="F2773">
        <v>173</v>
      </c>
      <c r="G2773" t="s">
        <v>1409</v>
      </c>
      <c r="H2773" t="s">
        <v>167</v>
      </c>
      <c r="I2773" t="s">
        <v>45</v>
      </c>
      <c r="K2773">
        <v>202506138068139</v>
      </c>
      <c r="L2773">
        <v>1733302706246</v>
      </c>
      <c r="M2773">
        <v>20250613</v>
      </c>
      <c r="N2773" t="s">
        <v>266</v>
      </c>
      <c r="Q2773" t="s">
        <v>47</v>
      </c>
      <c r="R2773">
        <v>15200</v>
      </c>
      <c r="S2773">
        <v>15200</v>
      </c>
      <c r="T2773">
        <v>4972146</v>
      </c>
      <c r="U2773" t="s">
        <v>2721</v>
      </c>
      <c r="V2773" t="s">
        <v>2722</v>
      </c>
      <c r="W2773" t="s">
        <v>187</v>
      </c>
      <c r="Y2773" t="s">
        <v>51</v>
      </c>
      <c r="Z2773">
        <v>564</v>
      </c>
      <c r="AH2773">
        <v>0</v>
      </c>
      <c r="AI2773">
        <v>202506</v>
      </c>
      <c r="AJ2773" t="s">
        <v>52</v>
      </c>
      <c r="AK2773">
        <v>0</v>
      </c>
      <c r="AL2773">
        <v>1</v>
      </c>
      <c r="AO2773">
        <v>0</v>
      </c>
      <c r="AP2773" t="s">
        <v>3015</v>
      </c>
      <c r="AQ2773" t="s">
        <v>3044</v>
      </c>
      <c r="AR2773" t="s">
        <v>3045</v>
      </c>
      <c r="AS2773" t="s">
        <v>3046</v>
      </c>
      <c r="AU2773" t="s">
        <v>3046</v>
      </c>
    </row>
    <row r="2774" spans="1:47" x14ac:dyDescent="0.35">
      <c r="A2774">
        <v>348961</v>
      </c>
      <c r="B2774" t="s">
        <v>333</v>
      </c>
      <c r="C2774" t="s">
        <v>334</v>
      </c>
      <c r="D2774" s="2">
        <v>45822</v>
      </c>
      <c r="E2774">
        <v>53850</v>
      </c>
      <c r="F2774">
        <v>99</v>
      </c>
      <c r="G2774" t="s">
        <v>335</v>
      </c>
      <c r="H2774" t="s">
        <v>167</v>
      </c>
      <c r="I2774" t="s">
        <v>45</v>
      </c>
      <c r="K2774">
        <v>202506138067808</v>
      </c>
      <c r="M2774">
        <v>20250613</v>
      </c>
      <c r="N2774" t="s">
        <v>3136</v>
      </c>
      <c r="Q2774" t="s">
        <v>170</v>
      </c>
      <c r="R2774">
        <v>7502.77</v>
      </c>
      <c r="S2774">
        <v>0</v>
      </c>
      <c r="T2774">
        <v>4856954</v>
      </c>
      <c r="U2774" t="s">
        <v>2710</v>
      </c>
      <c r="V2774" t="s">
        <v>2711</v>
      </c>
      <c r="W2774" t="s">
        <v>187</v>
      </c>
      <c r="Y2774" t="s">
        <v>51</v>
      </c>
      <c r="Z2774">
        <v>638</v>
      </c>
      <c r="AH2774">
        <v>0</v>
      </c>
      <c r="AI2774">
        <v>202506</v>
      </c>
      <c r="AJ2774" t="s">
        <v>86</v>
      </c>
      <c r="AK2774">
        <v>1</v>
      </c>
      <c r="AL2774">
        <v>0</v>
      </c>
      <c r="AO2774">
        <v>1</v>
      </c>
      <c r="AP2774" t="s">
        <v>3015</v>
      </c>
      <c r="AQ2774" t="s">
        <v>3044</v>
      </c>
      <c r="AR2774" t="s">
        <v>3045</v>
      </c>
      <c r="AS2774" t="s">
        <v>3046</v>
      </c>
      <c r="AU2774" t="s">
        <v>3046</v>
      </c>
    </row>
    <row r="2775" spans="1:47" x14ac:dyDescent="0.35">
      <c r="A2775">
        <v>348960</v>
      </c>
      <c r="B2775" t="s">
        <v>178</v>
      </c>
      <c r="C2775" t="s">
        <v>179</v>
      </c>
      <c r="D2775" s="2">
        <v>45822</v>
      </c>
      <c r="E2775">
        <v>53850</v>
      </c>
      <c r="F2775">
        <v>273</v>
      </c>
      <c r="G2775" t="s">
        <v>133</v>
      </c>
      <c r="H2775" t="s">
        <v>167</v>
      </c>
      <c r="I2775" t="s">
        <v>45</v>
      </c>
      <c r="K2775">
        <v>202506138068322</v>
      </c>
      <c r="L2775">
        <v>2733300002819</v>
      </c>
      <c r="M2775">
        <v>20250613</v>
      </c>
      <c r="N2775" t="s">
        <v>3136</v>
      </c>
      <c r="Q2775" t="s">
        <v>170</v>
      </c>
      <c r="R2775">
        <v>11675.26</v>
      </c>
      <c r="S2775">
        <v>0</v>
      </c>
      <c r="T2775">
        <v>1681969</v>
      </c>
      <c r="U2775" t="s">
        <v>2723</v>
      </c>
      <c r="V2775" t="s">
        <v>2724</v>
      </c>
      <c r="W2775" t="s">
        <v>187</v>
      </c>
      <c r="Y2775" t="s">
        <v>51</v>
      </c>
      <c r="Z2775">
        <v>1752</v>
      </c>
      <c r="AH2775">
        <v>0</v>
      </c>
      <c r="AI2775">
        <v>202506</v>
      </c>
      <c r="AJ2775" t="s">
        <v>52</v>
      </c>
      <c r="AK2775">
        <v>0</v>
      </c>
      <c r="AL2775">
        <v>1</v>
      </c>
      <c r="AO2775">
        <v>1</v>
      </c>
      <c r="AP2775" t="s">
        <v>3015</v>
      </c>
      <c r="AQ2775" t="s">
        <v>3044</v>
      </c>
      <c r="AR2775" t="s">
        <v>3045</v>
      </c>
      <c r="AS2775" t="s">
        <v>3046</v>
      </c>
      <c r="AU2775" t="s">
        <v>3046</v>
      </c>
    </row>
    <row r="2776" spans="1:47" x14ac:dyDescent="0.35">
      <c r="A2776">
        <v>348959</v>
      </c>
      <c r="B2776" t="s">
        <v>172</v>
      </c>
      <c r="C2776" t="s">
        <v>173</v>
      </c>
      <c r="D2776" s="2">
        <v>45822</v>
      </c>
      <c r="E2776">
        <v>53850</v>
      </c>
      <c r="F2776">
        <v>267</v>
      </c>
      <c r="G2776" t="s">
        <v>349</v>
      </c>
      <c r="H2776" t="s">
        <v>167</v>
      </c>
      <c r="I2776" t="s">
        <v>45</v>
      </c>
      <c r="K2776">
        <v>202506138068290</v>
      </c>
      <c r="L2776">
        <v>2673300001267</v>
      </c>
      <c r="M2776">
        <v>20250613</v>
      </c>
      <c r="N2776" t="s">
        <v>231</v>
      </c>
      <c r="Q2776" t="s">
        <v>47</v>
      </c>
      <c r="R2776">
        <v>141886.81</v>
      </c>
      <c r="S2776">
        <v>0</v>
      </c>
      <c r="T2776">
        <v>1643258</v>
      </c>
      <c r="U2776" t="s">
        <v>2725</v>
      </c>
      <c r="V2776" t="s">
        <v>2726</v>
      </c>
      <c r="W2776" t="s">
        <v>187</v>
      </c>
      <c r="Y2776" t="s">
        <v>51</v>
      </c>
      <c r="Z2776">
        <v>1832</v>
      </c>
      <c r="AH2776">
        <v>0</v>
      </c>
      <c r="AI2776">
        <v>202506</v>
      </c>
      <c r="AJ2776" t="s">
        <v>86</v>
      </c>
      <c r="AK2776">
        <v>1</v>
      </c>
      <c r="AL2776">
        <v>1</v>
      </c>
      <c r="AO2776">
        <v>0</v>
      </c>
      <c r="AP2776" t="s">
        <v>3015</v>
      </c>
      <c r="AQ2776" t="s">
        <v>3044</v>
      </c>
      <c r="AR2776" t="s">
        <v>3045</v>
      </c>
      <c r="AS2776" t="s">
        <v>3046</v>
      </c>
      <c r="AU2776" t="s">
        <v>3046</v>
      </c>
    </row>
    <row r="2777" spans="1:47" x14ac:dyDescent="0.35">
      <c r="A2777">
        <v>348958</v>
      </c>
      <c r="B2777" t="s">
        <v>193</v>
      </c>
      <c r="C2777" t="s">
        <v>194</v>
      </c>
      <c r="D2777" s="2">
        <v>45822</v>
      </c>
      <c r="E2777">
        <v>53850</v>
      </c>
      <c r="F2777">
        <v>174</v>
      </c>
      <c r="G2777" t="s">
        <v>224</v>
      </c>
      <c r="H2777" t="s">
        <v>167</v>
      </c>
      <c r="I2777" t="s">
        <v>45</v>
      </c>
      <c r="K2777" t="s">
        <v>2707</v>
      </c>
      <c r="L2777">
        <v>1743302879903</v>
      </c>
      <c r="M2777">
        <v>20250613</v>
      </c>
      <c r="N2777" t="s">
        <v>175</v>
      </c>
      <c r="Q2777" t="s">
        <v>47</v>
      </c>
      <c r="R2777">
        <v>55675.34</v>
      </c>
      <c r="S2777">
        <v>41400</v>
      </c>
      <c r="T2777">
        <v>4928259</v>
      </c>
      <c r="U2777">
        <v>8287320728</v>
      </c>
      <c r="V2777" t="s">
        <v>1171</v>
      </c>
      <c r="W2777" t="s">
        <v>49</v>
      </c>
      <c r="X2777" t="s">
        <v>117</v>
      </c>
      <c r="Y2777" t="s">
        <v>51</v>
      </c>
      <c r="Z2777">
        <v>448</v>
      </c>
      <c r="AH2777">
        <v>0</v>
      </c>
      <c r="AI2777">
        <v>202506</v>
      </c>
      <c r="AJ2777" t="s">
        <v>86</v>
      </c>
      <c r="AK2777">
        <v>1</v>
      </c>
      <c r="AL2777">
        <v>1</v>
      </c>
      <c r="AM2777">
        <v>4928259</v>
      </c>
      <c r="AN2777">
        <v>1</v>
      </c>
      <c r="AO2777">
        <v>1</v>
      </c>
      <c r="AP2777" t="s">
        <v>3029</v>
      </c>
      <c r="AQ2777" t="s">
        <v>3012</v>
      </c>
      <c r="AR2777" t="s">
        <v>3030</v>
      </c>
      <c r="AS2777" t="s">
        <v>3014</v>
      </c>
      <c r="AU2777" t="s">
        <v>3014</v>
      </c>
    </row>
    <row r="2778" spans="1:47" x14ac:dyDescent="0.35">
      <c r="A2778">
        <v>348957</v>
      </c>
      <c r="B2778" t="s">
        <v>333</v>
      </c>
      <c r="C2778" t="s">
        <v>334</v>
      </c>
      <c r="D2778" s="2">
        <v>45822</v>
      </c>
      <c r="E2778">
        <v>53850</v>
      </c>
      <c r="F2778">
        <v>99</v>
      </c>
      <c r="G2778" t="s">
        <v>335</v>
      </c>
      <c r="H2778" t="s">
        <v>167</v>
      </c>
      <c r="I2778" t="s">
        <v>45</v>
      </c>
      <c r="K2778">
        <v>202506138067810</v>
      </c>
      <c r="M2778">
        <v>20250613</v>
      </c>
      <c r="N2778" t="s">
        <v>3136</v>
      </c>
      <c r="Q2778" t="s">
        <v>170</v>
      </c>
      <c r="R2778">
        <v>77170.3</v>
      </c>
      <c r="S2778">
        <v>0</v>
      </c>
      <c r="T2778">
        <v>72722</v>
      </c>
      <c r="U2778" t="s">
        <v>2705</v>
      </c>
      <c r="V2778" t="s">
        <v>2706</v>
      </c>
      <c r="W2778" t="s">
        <v>187</v>
      </c>
      <c r="Y2778" t="s">
        <v>51</v>
      </c>
      <c r="Z2778">
        <v>1335</v>
      </c>
      <c r="AH2778">
        <v>0</v>
      </c>
      <c r="AI2778">
        <v>202506</v>
      </c>
      <c r="AJ2778" t="s">
        <v>86</v>
      </c>
      <c r="AK2778">
        <v>1</v>
      </c>
      <c r="AL2778">
        <v>0</v>
      </c>
      <c r="AO2778">
        <v>1</v>
      </c>
      <c r="AP2778" t="s">
        <v>3015</v>
      </c>
      <c r="AQ2778" t="s">
        <v>3044</v>
      </c>
      <c r="AR2778" t="s">
        <v>3045</v>
      </c>
      <c r="AS2778" t="s">
        <v>3046</v>
      </c>
      <c r="AU2778" t="s">
        <v>3046</v>
      </c>
    </row>
    <row r="2779" spans="1:47" x14ac:dyDescent="0.35">
      <c r="A2779">
        <v>348956</v>
      </c>
      <c r="B2779" t="s">
        <v>178</v>
      </c>
      <c r="C2779" t="s">
        <v>179</v>
      </c>
      <c r="D2779" s="2">
        <v>45822</v>
      </c>
      <c r="E2779">
        <v>53850</v>
      </c>
      <c r="F2779">
        <v>120</v>
      </c>
      <c r="G2779" t="s">
        <v>411</v>
      </c>
      <c r="H2779" t="s">
        <v>167</v>
      </c>
      <c r="I2779" t="s">
        <v>45</v>
      </c>
      <c r="K2779">
        <v>202506138066946</v>
      </c>
      <c r="L2779">
        <v>1203300002401</v>
      </c>
      <c r="M2779">
        <v>20250613</v>
      </c>
      <c r="N2779" t="s">
        <v>46</v>
      </c>
      <c r="P2779" t="s">
        <v>51</v>
      </c>
      <c r="Q2779" t="s">
        <v>47</v>
      </c>
      <c r="R2779">
        <v>9247000</v>
      </c>
      <c r="S2779">
        <v>0</v>
      </c>
      <c r="T2779">
        <v>613876</v>
      </c>
      <c r="U2779">
        <v>574290722</v>
      </c>
      <c r="V2779" t="s">
        <v>545</v>
      </c>
      <c r="W2779" t="s">
        <v>546</v>
      </c>
      <c r="X2779" t="s">
        <v>421</v>
      </c>
      <c r="Y2779" t="s">
        <v>51</v>
      </c>
      <c r="Z2779">
        <v>1058</v>
      </c>
      <c r="AH2779">
        <v>0</v>
      </c>
      <c r="AI2779">
        <v>202506</v>
      </c>
      <c r="AJ2779" t="s">
        <v>119</v>
      </c>
      <c r="AK2779">
        <v>1</v>
      </c>
      <c r="AL2779">
        <v>1</v>
      </c>
      <c r="AM2779">
        <v>613876</v>
      </c>
      <c r="AN2779">
        <v>1</v>
      </c>
      <c r="AO2779">
        <v>0</v>
      </c>
      <c r="AP2779" t="s">
        <v>3015</v>
      </c>
      <c r="AQ2779" t="s">
        <v>3076</v>
      </c>
      <c r="AR2779" t="s">
        <v>3077</v>
      </c>
      <c r="AT2779" t="s">
        <v>3017</v>
      </c>
      <c r="AU2779" t="s">
        <v>3014</v>
      </c>
    </row>
    <row r="2780" spans="1:47" x14ac:dyDescent="0.35">
      <c r="A2780">
        <v>348955</v>
      </c>
      <c r="B2780" t="s">
        <v>193</v>
      </c>
      <c r="C2780" t="s">
        <v>194</v>
      </c>
      <c r="D2780" s="2">
        <v>45822</v>
      </c>
      <c r="E2780">
        <v>53850</v>
      </c>
      <c r="F2780">
        <v>114</v>
      </c>
      <c r="G2780" t="s">
        <v>188</v>
      </c>
      <c r="H2780" t="s">
        <v>167</v>
      </c>
      <c r="I2780" t="s">
        <v>45</v>
      </c>
      <c r="K2780">
        <v>202506138067960</v>
      </c>
      <c r="L2780">
        <v>1143306280621</v>
      </c>
      <c r="M2780">
        <v>20250613</v>
      </c>
      <c r="N2780" t="s">
        <v>266</v>
      </c>
      <c r="Q2780" t="s">
        <v>47</v>
      </c>
      <c r="R2780">
        <v>48750</v>
      </c>
      <c r="S2780">
        <v>48750</v>
      </c>
      <c r="T2780">
        <v>4658875</v>
      </c>
      <c r="U2780">
        <v>3230890711</v>
      </c>
      <c r="V2780" t="s">
        <v>1363</v>
      </c>
      <c r="W2780" t="s">
        <v>49</v>
      </c>
      <c r="X2780" t="s">
        <v>131</v>
      </c>
      <c r="Y2780" t="s">
        <v>51</v>
      </c>
      <c r="Z2780">
        <v>870</v>
      </c>
      <c r="AH2780">
        <v>0</v>
      </c>
      <c r="AI2780">
        <v>202506</v>
      </c>
      <c r="AJ2780" t="s">
        <v>56</v>
      </c>
      <c r="AK2780">
        <v>0</v>
      </c>
      <c r="AL2780">
        <v>1</v>
      </c>
      <c r="AM2780">
        <v>4658875</v>
      </c>
      <c r="AN2780">
        <v>1</v>
      </c>
      <c r="AO2780">
        <v>0</v>
      </c>
      <c r="AP2780" t="s">
        <v>3033</v>
      </c>
      <c r="AQ2780" t="s">
        <v>3012</v>
      </c>
      <c r="AR2780" t="s">
        <v>3034</v>
      </c>
      <c r="AS2780" t="s">
        <v>3014</v>
      </c>
      <c r="AU2780" t="s">
        <v>3014</v>
      </c>
    </row>
    <row r="2781" spans="1:47" x14ac:dyDescent="0.35">
      <c r="A2781">
        <v>348954</v>
      </c>
      <c r="B2781" t="s">
        <v>164</v>
      </c>
      <c r="C2781" t="s">
        <v>165</v>
      </c>
      <c r="D2781" s="2">
        <v>45822</v>
      </c>
      <c r="E2781">
        <v>53850</v>
      </c>
      <c r="F2781">
        <v>270</v>
      </c>
      <c r="G2781" t="s">
        <v>524</v>
      </c>
      <c r="H2781" t="s">
        <v>167</v>
      </c>
      <c r="I2781" t="s">
        <v>45</v>
      </c>
      <c r="K2781">
        <v>202506138067072</v>
      </c>
      <c r="L2781">
        <v>2703300001237</v>
      </c>
      <c r="M2781">
        <v>20250613</v>
      </c>
      <c r="N2781" t="s">
        <v>168</v>
      </c>
      <c r="P2781" t="s">
        <v>255</v>
      </c>
      <c r="Q2781" t="s">
        <v>47</v>
      </c>
      <c r="R2781">
        <v>6000</v>
      </c>
      <c r="S2781">
        <v>0</v>
      </c>
      <c r="T2781">
        <v>1634558</v>
      </c>
      <c r="U2781">
        <v>2513350690</v>
      </c>
      <c r="V2781" t="s">
        <v>2727</v>
      </c>
      <c r="W2781" t="s">
        <v>49</v>
      </c>
      <c r="X2781" t="s">
        <v>91</v>
      </c>
      <c r="Y2781" t="s">
        <v>51</v>
      </c>
      <c r="Z2781">
        <v>1935</v>
      </c>
      <c r="AH2781">
        <v>0</v>
      </c>
      <c r="AI2781">
        <v>202506</v>
      </c>
      <c r="AJ2781" t="s">
        <v>119</v>
      </c>
      <c r="AK2781">
        <v>1</v>
      </c>
      <c r="AL2781">
        <v>1</v>
      </c>
      <c r="AO2781">
        <v>0</v>
      </c>
      <c r="AP2781" t="s">
        <v>1100</v>
      </c>
      <c r="AQ2781" t="s">
        <v>3012</v>
      </c>
      <c r="AR2781" t="s">
        <v>3023</v>
      </c>
      <c r="AS2781" t="s">
        <v>3014</v>
      </c>
      <c r="AU2781" t="s">
        <v>3014</v>
      </c>
    </row>
    <row r="2782" spans="1:47" x14ac:dyDescent="0.35">
      <c r="A2782">
        <v>348953</v>
      </c>
      <c r="B2782" t="s">
        <v>178</v>
      </c>
      <c r="C2782" t="s">
        <v>179</v>
      </c>
      <c r="D2782" s="2">
        <v>45822</v>
      </c>
      <c r="E2782">
        <v>53850</v>
      </c>
      <c r="F2782">
        <v>170</v>
      </c>
      <c r="G2782" t="s">
        <v>211</v>
      </c>
      <c r="H2782" t="s">
        <v>167</v>
      </c>
      <c r="I2782" t="s">
        <v>45</v>
      </c>
      <c r="K2782">
        <v>202506138066990</v>
      </c>
      <c r="L2782">
        <v>1703306289070</v>
      </c>
      <c r="M2782">
        <v>20250613</v>
      </c>
      <c r="N2782" t="s">
        <v>46</v>
      </c>
      <c r="P2782" t="s">
        <v>51</v>
      </c>
      <c r="Q2782" t="s">
        <v>47</v>
      </c>
      <c r="R2782">
        <v>246375.52</v>
      </c>
      <c r="S2782">
        <v>0</v>
      </c>
      <c r="T2782">
        <v>4423910</v>
      </c>
      <c r="U2782" t="s">
        <v>2719</v>
      </c>
      <c r="V2782" t="s">
        <v>2720</v>
      </c>
      <c r="W2782" t="s">
        <v>187</v>
      </c>
      <c r="Y2782" t="s">
        <v>51</v>
      </c>
      <c r="Z2782">
        <v>1476</v>
      </c>
      <c r="AH2782">
        <v>0</v>
      </c>
      <c r="AI2782">
        <v>202506</v>
      </c>
      <c r="AJ2782" t="s">
        <v>56</v>
      </c>
      <c r="AK2782">
        <v>0</v>
      </c>
      <c r="AL2782">
        <v>1</v>
      </c>
      <c r="AO2782">
        <v>0</v>
      </c>
      <c r="AP2782" t="s">
        <v>3015</v>
      </c>
      <c r="AQ2782" t="s">
        <v>3044</v>
      </c>
      <c r="AR2782" t="s">
        <v>3045</v>
      </c>
      <c r="AS2782" t="s">
        <v>3046</v>
      </c>
      <c r="AU2782" t="s">
        <v>3046</v>
      </c>
    </row>
    <row r="2783" spans="1:47" x14ac:dyDescent="0.35">
      <c r="A2783">
        <v>348952</v>
      </c>
      <c r="B2783" t="s">
        <v>164</v>
      </c>
      <c r="C2783" t="s">
        <v>165</v>
      </c>
      <c r="D2783" s="2">
        <v>45821</v>
      </c>
      <c r="E2783">
        <v>53850</v>
      </c>
      <c r="F2783">
        <v>129</v>
      </c>
      <c r="G2783" t="s">
        <v>227</v>
      </c>
      <c r="H2783" t="s">
        <v>167</v>
      </c>
      <c r="I2783" t="s">
        <v>45</v>
      </c>
      <c r="K2783">
        <v>202506128063913</v>
      </c>
      <c r="L2783">
        <v>1293300002811</v>
      </c>
      <c r="M2783">
        <v>20250612</v>
      </c>
      <c r="N2783" t="s">
        <v>168</v>
      </c>
      <c r="P2783" t="s">
        <v>169</v>
      </c>
      <c r="Q2783" t="s">
        <v>47</v>
      </c>
      <c r="R2783">
        <v>21192.92</v>
      </c>
      <c r="S2783">
        <v>0</v>
      </c>
      <c r="T2783">
        <v>4972184</v>
      </c>
      <c r="U2783">
        <v>7780290727</v>
      </c>
      <c r="V2783" t="s">
        <v>720</v>
      </c>
      <c r="W2783" t="s">
        <v>49</v>
      </c>
      <c r="X2783" t="s">
        <v>721</v>
      </c>
      <c r="Y2783" t="s">
        <v>51</v>
      </c>
      <c r="Z2783">
        <v>1058</v>
      </c>
      <c r="AH2783">
        <v>0</v>
      </c>
      <c r="AI2783">
        <v>202506</v>
      </c>
      <c r="AJ2783" t="s">
        <v>86</v>
      </c>
      <c r="AK2783">
        <v>1</v>
      </c>
      <c r="AL2783">
        <v>1</v>
      </c>
      <c r="AO2783">
        <v>0</v>
      </c>
      <c r="AP2783" t="s">
        <v>3015</v>
      </c>
      <c r="AQ2783" t="s">
        <v>3012</v>
      </c>
      <c r="AR2783" t="s">
        <v>3016</v>
      </c>
      <c r="AT2783" t="s">
        <v>3017</v>
      </c>
      <c r="AU2783" t="s">
        <v>3018</v>
      </c>
    </row>
    <row r="2784" spans="1:47" x14ac:dyDescent="0.35">
      <c r="A2784">
        <v>348951</v>
      </c>
      <c r="B2784" t="s">
        <v>164</v>
      </c>
      <c r="C2784" t="s">
        <v>165</v>
      </c>
      <c r="D2784" s="2">
        <v>45821</v>
      </c>
      <c r="E2784">
        <v>53850</v>
      </c>
      <c r="F2784">
        <v>273</v>
      </c>
      <c r="G2784" t="s">
        <v>133</v>
      </c>
      <c r="H2784" t="s">
        <v>167</v>
      </c>
      <c r="I2784" t="s">
        <v>45</v>
      </c>
      <c r="K2784">
        <v>202506128062656</v>
      </c>
      <c r="L2784">
        <v>2733300011179</v>
      </c>
      <c r="M2784">
        <v>20250612</v>
      </c>
      <c r="N2784" t="s">
        <v>168</v>
      </c>
      <c r="P2784" t="s">
        <v>255</v>
      </c>
      <c r="Q2784" t="s">
        <v>170</v>
      </c>
      <c r="R2784">
        <v>25000</v>
      </c>
      <c r="S2784">
        <v>0</v>
      </c>
      <c r="T2784">
        <v>4973829</v>
      </c>
      <c r="U2784">
        <v>11952460969</v>
      </c>
      <c r="V2784" t="s">
        <v>2728</v>
      </c>
      <c r="W2784" t="s">
        <v>49</v>
      </c>
      <c r="X2784" t="s">
        <v>2105</v>
      </c>
      <c r="Y2784" t="s">
        <v>51</v>
      </c>
      <c r="Z2784">
        <v>1805</v>
      </c>
      <c r="AH2784">
        <v>0</v>
      </c>
      <c r="AI2784">
        <v>202506</v>
      </c>
      <c r="AJ2784" t="s">
        <v>86</v>
      </c>
      <c r="AK2784">
        <v>1</v>
      </c>
      <c r="AL2784">
        <v>1</v>
      </c>
      <c r="AO2784">
        <v>0</v>
      </c>
      <c r="AP2784" t="s">
        <v>3015</v>
      </c>
      <c r="AQ2784" t="s">
        <v>3012</v>
      </c>
      <c r="AR2784" t="s">
        <v>3016</v>
      </c>
      <c r="AT2784" t="s">
        <v>3017</v>
      </c>
      <c r="AU2784" t="s">
        <v>3018</v>
      </c>
    </row>
    <row r="2785" spans="1:47" x14ac:dyDescent="0.35">
      <c r="A2785">
        <v>348950</v>
      </c>
      <c r="B2785" t="s">
        <v>178</v>
      </c>
      <c r="C2785" t="s">
        <v>179</v>
      </c>
      <c r="D2785" s="2">
        <v>45821</v>
      </c>
      <c r="E2785">
        <v>53850</v>
      </c>
      <c r="F2785">
        <v>175</v>
      </c>
      <c r="G2785" t="s">
        <v>99</v>
      </c>
      <c r="H2785" t="s">
        <v>167</v>
      </c>
      <c r="I2785" t="s">
        <v>45</v>
      </c>
      <c r="K2785">
        <v>202506128065123</v>
      </c>
      <c r="L2785">
        <v>1753302205244</v>
      </c>
      <c r="M2785">
        <v>20250612</v>
      </c>
      <c r="N2785" t="s">
        <v>659</v>
      </c>
      <c r="Q2785" t="s">
        <v>170</v>
      </c>
      <c r="R2785">
        <v>165984.04</v>
      </c>
      <c r="S2785">
        <v>0</v>
      </c>
      <c r="T2785">
        <v>4284103</v>
      </c>
      <c r="U2785" t="s">
        <v>2729</v>
      </c>
      <c r="V2785" t="s">
        <v>2730</v>
      </c>
      <c r="W2785" t="s">
        <v>187</v>
      </c>
      <c r="Y2785" t="s">
        <v>51</v>
      </c>
      <c r="Z2785">
        <v>1093</v>
      </c>
      <c r="AH2785">
        <v>0</v>
      </c>
      <c r="AI2785">
        <v>202506</v>
      </c>
      <c r="AJ2785" t="s">
        <v>86</v>
      </c>
      <c r="AK2785">
        <v>1</v>
      </c>
      <c r="AL2785">
        <v>1</v>
      </c>
      <c r="AO2785">
        <v>0</v>
      </c>
      <c r="AP2785" t="s">
        <v>3015</v>
      </c>
      <c r="AQ2785" t="s">
        <v>3044</v>
      </c>
      <c r="AR2785" t="s">
        <v>3045</v>
      </c>
      <c r="AS2785" t="s">
        <v>3046</v>
      </c>
      <c r="AU2785" t="s">
        <v>3046</v>
      </c>
    </row>
    <row r="2786" spans="1:47" x14ac:dyDescent="0.35">
      <c r="A2786">
        <v>348949</v>
      </c>
      <c r="B2786" t="s">
        <v>172</v>
      </c>
      <c r="C2786" t="s">
        <v>173</v>
      </c>
      <c r="D2786" s="2">
        <v>45821</v>
      </c>
      <c r="E2786">
        <v>53850</v>
      </c>
      <c r="F2786">
        <v>106</v>
      </c>
      <c r="G2786" t="s">
        <v>291</v>
      </c>
      <c r="H2786" t="s">
        <v>167</v>
      </c>
      <c r="I2786" t="s">
        <v>45</v>
      </c>
      <c r="K2786">
        <v>202506128064930</v>
      </c>
      <c r="L2786">
        <v>1063302771425</v>
      </c>
      <c r="M2786">
        <v>20250612</v>
      </c>
      <c r="N2786" t="s">
        <v>325</v>
      </c>
      <c r="Q2786" t="s">
        <v>47</v>
      </c>
      <c r="R2786">
        <v>118000</v>
      </c>
      <c r="S2786">
        <v>0</v>
      </c>
      <c r="T2786">
        <v>4533753</v>
      </c>
      <c r="U2786" t="s">
        <v>2731</v>
      </c>
      <c r="V2786" t="s">
        <v>2732</v>
      </c>
      <c r="W2786" t="s">
        <v>69</v>
      </c>
      <c r="X2786" t="s">
        <v>724</v>
      </c>
      <c r="Y2786" t="s">
        <v>51</v>
      </c>
      <c r="Z2786">
        <v>1630</v>
      </c>
      <c r="AH2786">
        <v>0</v>
      </c>
      <c r="AI2786">
        <v>202506</v>
      </c>
      <c r="AJ2786" t="s">
        <v>86</v>
      </c>
      <c r="AK2786">
        <v>1</v>
      </c>
      <c r="AL2786">
        <v>1</v>
      </c>
      <c r="AO2786">
        <v>0</v>
      </c>
      <c r="AP2786" t="s">
        <v>3015</v>
      </c>
      <c r="AQ2786" t="s">
        <v>3021</v>
      </c>
      <c r="AR2786" t="s">
        <v>3022</v>
      </c>
      <c r="AT2786" t="s">
        <v>3017</v>
      </c>
      <c r="AU2786" t="s">
        <v>3014</v>
      </c>
    </row>
    <row r="2787" spans="1:47" x14ac:dyDescent="0.35">
      <c r="A2787">
        <v>348948</v>
      </c>
      <c r="B2787" t="s">
        <v>172</v>
      </c>
      <c r="C2787" t="s">
        <v>173</v>
      </c>
      <c r="D2787" s="2">
        <v>45821</v>
      </c>
      <c r="E2787">
        <v>53850</v>
      </c>
      <c r="F2787">
        <v>171</v>
      </c>
      <c r="G2787" t="s">
        <v>198</v>
      </c>
      <c r="H2787" t="s">
        <v>167</v>
      </c>
      <c r="I2787" t="s">
        <v>45</v>
      </c>
      <c r="K2787" t="s">
        <v>2733</v>
      </c>
      <c r="L2787">
        <v>1713302214147</v>
      </c>
      <c r="M2787">
        <v>20250612</v>
      </c>
      <c r="N2787" t="s">
        <v>195</v>
      </c>
      <c r="Q2787" t="s">
        <v>47</v>
      </c>
      <c r="R2787">
        <v>119000</v>
      </c>
      <c r="S2787">
        <v>119000</v>
      </c>
      <c r="T2787">
        <v>4199319</v>
      </c>
      <c r="U2787">
        <v>6037810725</v>
      </c>
      <c r="V2787" t="s">
        <v>1144</v>
      </c>
      <c r="W2787" t="s">
        <v>49</v>
      </c>
      <c r="X2787" t="s">
        <v>200</v>
      </c>
      <c r="Y2787" t="s">
        <v>51</v>
      </c>
      <c r="Z2787">
        <v>1903</v>
      </c>
      <c r="AH2787">
        <v>0</v>
      </c>
      <c r="AI2787">
        <v>202506</v>
      </c>
      <c r="AJ2787" t="s">
        <v>86</v>
      </c>
      <c r="AK2787">
        <v>1</v>
      </c>
      <c r="AL2787">
        <v>1</v>
      </c>
      <c r="AM2787">
        <v>4199319</v>
      </c>
      <c r="AN2787">
        <v>1</v>
      </c>
      <c r="AO2787">
        <v>0</v>
      </c>
      <c r="AP2787" t="s">
        <v>3015</v>
      </c>
      <c r="AQ2787" t="s">
        <v>3012</v>
      </c>
      <c r="AR2787" t="s">
        <v>3016</v>
      </c>
      <c r="AT2787" t="s">
        <v>3017</v>
      </c>
      <c r="AU2787" t="s">
        <v>3018</v>
      </c>
    </row>
    <row r="2788" spans="1:47" x14ac:dyDescent="0.35">
      <c r="A2788">
        <v>348947</v>
      </c>
      <c r="B2788" t="s">
        <v>164</v>
      </c>
      <c r="C2788" t="s">
        <v>165</v>
      </c>
      <c r="D2788" s="2">
        <v>45821</v>
      </c>
      <c r="E2788">
        <v>53850</v>
      </c>
      <c r="F2788">
        <v>271</v>
      </c>
      <c r="G2788" t="s">
        <v>275</v>
      </c>
      <c r="H2788" t="s">
        <v>167</v>
      </c>
      <c r="I2788" t="s">
        <v>45</v>
      </c>
      <c r="K2788">
        <v>202506128064052</v>
      </c>
      <c r="L2788">
        <v>2713300010112</v>
      </c>
      <c r="M2788">
        <v>20250612</v>
      </c>
      <c r="N2788" t="s">
        <v>168</v>
      </c>
      <c r="P2788" t="s">
        <v>435</v>
      </c>
      <c r="Q2788" t="s">
        <v>47</v>
      </c>
      <c r="R2788">
        <v>5000</v>
      </c>
      <c r="S2788">
        <v>0</v>
      </c>
      <c r="T2788">
        <v>1611557</v>
      </c>
      <c r="U2788" t="s">
        <v>890</v>
      </c>
      <c r="V2788" t="s">
        <v>891</v>
      </c>
      <c r="W2788" t="s">
        <v>69</v>
      </c>
      <c r="X2788" t="s">
        <v>402</v>
      </c>
      <c r="Y2788" t="s">
        <v>51</v>
      </c>
      <c r="Z2788">
        <v>1850</v>
      </c>
      <c r="AH2788">
        <v>0</v>
      </c>
      <c r="AI2788">
        <v>202506</v>
      </c>
      <c r="AJ2788" t="s">
        <v>52</v>
      </c>
      <c r="AK2788">
        <v>0</v>
      </c>
      <c r="AL2788">
        <v>1</v>
      </c>
      <c r="AO2788">
        <v>0</v>
      </c>
      <c r="AP2788" t="s">
        <v>3015</v>
      </c>
      <c r="AQ2788" t="s">
        <v>3021</v>
      </c>
      <c r="AR2788" t="s">
        <v>3022</v>
      </c>
      <c r="AT2788" t="s">
        <v>3017</v>
      </c>
      <c r="AU2788" t="s">
        <v>3014</v>
      </c>
    </row>
    <row r="2789" spans="1:47" x14ac:dyDescent="0.35">
      <c r="A2789">
        <v>348946</v>
      </c>
      <c r="B2789" t="s">
        <v>178</v>
      </c>
      <c r="C2789" t="s">
        <v>179</v>
      </c>
      <c r="D2789" s="2">
        <v>45821</v>
      </c>
      <c r="E2789">
        <v>53850</v>
      </c>
      <c r="F2789">
        <v>125</v>
      </c>
      <c r="G2789" t="s">
        <v>75</v>
      </c>
      <c r="H2789" t="s">
        <v>167</v>
      </c>
      <c r="I2789" t="s">
        <v>45</v>
      </c>
      <c r="K2789">
        <v>202506128062688</v>
      </c>
      <c r="L2789">
        <v>1253300010173</v>
      </c>
      <c r="M2789">
        <v>20250612</v>
      </c>
      <c r="N2789" t="s">
        <v>236</v>
      </c>
      <c r="P2789" t="s">
        <v>51</v>
      </c>
      <c r="Q2789" t="s">
        <v>170</v>
      </c>
      <c r="R2789">
        <v>820180.79</v>
      </c>
      <c r="S2789">
        <v>0</v>
      </c>
      <c r="T2789">
        <v>4209453</v>
      </c>
      <c r="U2789">
        <v>448310615</v>
      </c>
      <c r="V2789" t="s">
        <v>2734</v>
      </c>
      <c r="W2789" t="s">
        <v>49</v>
      </c>
      <c r="X2789" t="s">
        <v>110</v>
      </c>
      <c r="Y2789" t="s">
        <v>51</v>
      </c>
      <c r="Z2789">
        <v>982</v>
      </c>
      <c r="AH2789">
        <v>0</v>
      </c>
      <c r="AI2789">
        <v>202506</v>
      </c>
      <c r="AJ2789" t="s">
        <v>86</v>
      </c>
      <c r="AK2789">
        <v>1</v>
      </c>
      <c r="AL2789">
        <v>1</v>
      </c>
      <c r="AO2789">
        <v>0</v>
      </c>
      <c r="AP2789" t="s">
        <v>3026</v>
      </c>
      <c r="AQ2789" t="s">
        <v>3012</v>
      </c>
      <c r="AR2789" t="s">
        <v>3027</v>
      </c>
      <c r="AS2789" t="s">
        <v>3028</v>
      </c>
      <c r="AU2789" t="s">
        <v>3028</v>
      </c>
    </row>
    <row r="2790" spans="1:47" x14ac:dyDescent="0.35">
      <c r="A2790">
        <v>348945</v>
      </c>
      <c r="B2790" t="s">
        <v>164</v>
      </c>
      <c r="C2790" t="s">
        <v>165</v>
      </c>
      <c r="D2790" s="2">
        <v>45821</v>
      </c>
      <c r="E2790">
        <v>53850</v>
      </c>
      <c r="F2790">
        <v>168</v>
      </c>
      <c r="G2790" t="s">
        <v>616</v>
      </c>
      <c r="H2790" t="s">
        <v>167</v>
      </c>
      <c r="I2790" t="s">
        <v>45</v>
      </c>
      <c r="K2790" t="s">
        <v>2735</v>
      </c>
      <c r="L2790">
        <v>1683306274557</v>
      </c>
      <c r="M2790">
        <v>20250612</v>
      </c>
      <c r="N2790" t="s">
        <v>168</v>
      </c>
      <c r="P2790" t="s">
        <v>255</v>
      </c>
      <c r="Q2790" t="s">
        <v>170</v>
      </c>
      <c r="R2790">
        <v>1450</v>
      </c>
      <c r="S2790">
        <v>0</v>
      </c>
      <c r="T2790">
        <v>4091384</v>
      </c>
      <c r="U2790">
        <v>5530850725</v>
      </c>
      <c r="V2790" t="s">
        <v>1653</v>
      </c>
      <c r="W2790" t="s">
        <v>49</v>
      </c>
      <c r="X2790" t="s">
        <v>686</v>
      </c>
      <c r="Y2790" t="s">
        <v>51</v>
      </c>
      <c r="Z2790">
        <v>1926</v>
      </c>
      <c r="AH2790">
        <v>0</v>
      </c>
      <c r="AI2790">
        <v>202506</v>
      </c>
      <c r="AJ2790" t="s">
        <v>86</v>
      </c>
      <c r="AK2790">
        <v>1</v>
      </c>
      <c r="AL2790">
        <v>1</v>
      </c>
      <c r="AO2790">
        <v>0</v>
      </c>
      <c r="AP2790" t="s">
        <v>3015</v>
      </c>
      <c r="AQ2790" t="s">
        <v>3012</v>
      </c>
      <c r="AR2790" t="s">
        <v>3016</v>
      </c>
      <c r="AT2790" t="s">
        <v>3017</v>
      </c>
      <c r="AU2790" t="s">
        <v>3018</v>
      </c>
    </row>
    <row r="2791" spans="1:47" x14ac:dyDescent="0.35">
      <c r="A2791">
        <v>348944</v>
      </c>
      <c r="B2791" t="s">
        <v>214</v>
      </c>
      <c r="C2791" t="s">
        <v>215</v>
      </c>
      <c r="D2791" s="2">
        <v>45821</v>
      </c>
      <c r="E2791">
        <v>53850</v>
      </c>
      <c r="F2791">
        <v>109</v>
      </c>
      <c r="G2791" t="s">
        <v>89</v>
      </c>
      <c r="H2791" t="s">
        <v>167</v>
      </c>
      <c r="I2791" t="s">
        <v>45</v>
      </c>
      <c r="K2791">
        <v>202506128064054</v>
      </c>
      <c r="L2791">
        <v>1093306675068</v>
      </c>
      <c r="M2791">
        <v>20250612</v>
      </c>
      <c r="N2791" t="s">
        <v>168</v>
      </c>
      <c r="P2791" t="s">
        <v>520</v>
      </c>
      <c r="Q2791" t="s">
        <v>170</v>
      </c>
      <c r="R2791">
        <v>47802.5</v>
      </c>
      <c r="S2791">
        <v>0</v>
      </c>
      <c r="T2791">
        <v>4960923</v>
      </c>
      <c r="U2791">
        <v>7910610729</v>
      </c>
      <c r="V2791" t="s">
        <v>2736</v>
      </c>
      <c r="W2791" t="s">
        <v>49</v>
      </c>
      <c r="X2791" t="s">
        <v>110</v>
      </c>
      <c r="Y2791" t="s">
        <v>51</v>
      </c>
      <c r="Z2791">
        <v>1107</v>
      </c>
      <c r="AH2791">
        <v>0</v>
      </c>
      <c r="AI2791">
        <v>202506</v>
      </c>
      <c r="AJ2791" t="s">
        <v>119</v>
      </c>
      <c r="AK2791">
        <v>1</v>
      </c>
      <c r="AL2791">
        <v>1</v>
      </c>
      <c r="AO2791">
        <v>0</v>
      </c>
      <c r="AP2791" t="s">
        <v>3026</v>
      </c>
      <c r="AQ2791" t="s">
        <v>3012</v>
      </c>
      <c r="AR2791" t="s">
        <v>3027</v>
      </c>
      <c r="AS2791" t="s">
        <v>3028</v>
      </c>
      <c r="AU2791" t="s">
        <v>3028</v>
      </c>
    </row>
    <row r="2792" spans="1:47" x14ac:dyDescent="0.35">
      <c r="A2792">
        <v>348943</v>
      </c>
      <c r="B2792" t="s">
        <v>172</v>
      </c>
      <c r="C2792" t="s">
        <v>173</v>
      </c>
      <c r="D2792" s="2">
        <v>45821</v>
      </c>
      <c r="E2792">
        <v>53850</v>
      </c>
      <c r="F2792">
        <v>171</v>
      </c>
      <c r="G2792" t="s">
        <v>198</v>
      </c>
      <c r="H2792" t="s">
        <v>167</v>
      </c>
      <c r="I2792" t="s">
        <v>45</v>
      </c>
      <c r="K2792" t="s">
        <v>2733</v>
      </c>
      <c r="L2792">
        <v>1713305728950</v>
      </c>
      <c r="M2792">
        <v>20250612</v>
      </c>
      <c r="N2792" t="s">
        <v>195</v>
      </c>
      <c r="Q2792" t="s">
        <v>47</v>
      </c>
      <c r="R2792">
        <v>411342.35</v>
      </c>
      <c r="S2792">
        <v>411342.35</v>
      </c>
      <c r="T2792">
        <v>572895</v>
      </c>
      <c r="U2792">
        <v>4161600723</v>
      </c>
      <c r="V2792" t="s">
        <v>199</v>
      </c>
      <c r="W2792" t="s">
        <v>49</v>
      </c>
      <c r="X2792" t="s">
        <v>200</v>
      </c>
      <c r="Y2792" t="s">
        <v>51</v>
      </c>
      <c r="Z2792">
        <v>1903</v>
      </c>
      <c r="AH2792">
        <v>0</v>
      </c>
      <c r="AI2792">
        <v>202506</v>
      </c>
      <c r="AJ2792" t="s">
        <v>119</v>
      </c>
      <c r="AK2792">
        <v>1</v>
      </c>
      <c r="AL2792">
        <v>1</v>
      </c>
      <c r="AM2792">
        <v>572895</v>
      </c>
      <c r="AN2792">
        <v>1</v>
      </c>
      <c r="AO2792">
        <v>0</v>
      </c>
      <c r="AP2792" t="s">
        <v>3015</v>
      </c>
      <c r="AQ2792" t="s">
        <v>3012</v>
      </c>
      <c r="AR2792" t="s">
        <v>3016</v>
      </c>
      <c r="AT2792" t="s">
        <v>3017</v>
      </c>
      <c r="AU2792" t="s">
        <v>3018</v>
      </c>
    </row>
    <row r="2793" spans="1:47" x14ac:dyDescent="0.35">
      <c r="A2793">
        <v>348942</v>
      </c>
      <c r="B2793" t="s">
        <v>193</v>
      </c>
      <c r="C2793" t="s">
        <v>194</v>
      </c>
      <c r="D2793" s="2">
        <v>45821</v>
      </c>
      <c r="E2793">
        <v>53850</v>
      </c>
      <c r="F2793">
        <v>269</v>
      </c>
      <c r="G2793" t="s">
        <v>265</v>
      </c>
      <c r="H2793" t="s">
        <v>167</v>
      </c>
      <c r="I2793" t="s">
        <v>45</v>
      </c>
      <c r="K2793" t="s">
        <v>2733</v>
      </c>
      <c r="L2793">
        <v>2693300001614</v>
      </c>
      <c r="M2793">
        <v>20250612</v>
      </c>
      <c r="N2793" t="s">
        <v>266</v>
      </c>
      <c r="Q2793" t="s">
        <v>47</v>
      </c>
      <c r="R2793">
        <v>39710</v>
      </c>
      <c r="S2793">
        <v>39710</v>
      </c>
      <c r="T2793">
        <v>1695085</v>
      </c>
      <c r="U2793" t="s">
        <v>267</v>
      </c>
      <c r="V2793" t="s">
        <v>268</v>
      </c>
      <c r="W2793" t="s">
        <v>69</v>
      </c>
      <c r="X2793" t="s">
        <v>55</v>
      </c>
      <c r="Y2793" t="s">
        <v>51</v>
      </c>
      <c r="Z2793">
        <v>1805</v>
      </c>
      <c r="AH2793">
        <v>0</v>
      </c>
      <c r="AI2793">
        <v>202506</v>
      </c>
      <c r="AJ2793" t="s">
        <v>119</v>
      </c>
      <c r="AK2793">
        <v>1</v>
      </c>
      <c r="AL2793">
        <v>1</v>
      </c>
      <c r="AM2793">
        <v>1695085</v>
      </c>
      <c r="AN2793">
        <v>1</v>
      </c>
      <c r="AO2793">
        <v>0</v>
      </c>
      <c r="AP2793" t="s">
        <v>3015</v>
      </c>
      <c r="AQ2793" t="s">
        <v>3021</v>
      </c>
      <c r="AR2793" t="s">
        <v>3022</v>
      </c>
      <c r="AT2793" t="s">
        <v>3017</v>
      </c>
      <c r="AU2793" t="s">
        <v>3014</v>
      </c>
    </row>
    <row r="2794" spans="1:47" x14ac:dyDescent="0.35">
      <c r="A2794">
        <v>348941</v>
      </c>
      <c r="B2794" t="s">
        <v>178</v>
      </c>
      <c r="C2794" t="s">
        <v>179</v>
      </c>
      <c r="D2794" s="2">
        <v>45821</v>
      </c>
      <c r="E2794">
        <v>53850</v>
      </c>
      <c r="F2794">
        <v>226</v>
      </c>
      <c r="G2794" t="s">
        <v>129</v>
      </c>
      <c r="H2794" t="s">
        <v>167</v>
      </c>
      <c r="I2794" t="s">
        <v>45</v>
      </c>
      <c r="K2794">
        <v>202506128062973</v>
      </c>
      <c r="L2794">
        <v>2263300011983</v>
      </c>
      <c r="M2794">
        <v>20250612</v>
      </c>
      <c r="N2794" t="s">
        <v>46</v>
      </c>
      <c r="P2794" t="s">
        <v>51</v>
      </c>
      <c r="Q2794" t="s">
        <v>47</v>
      </c>
      <c r="R2794">
        <v>14500000</v>
      </c>
      <c r="S2794">
        <v>0</v>
      </c>
      <c r="T2794">
        <v>4877514</v>
      </c>
      <c r="U2794">
        <v>1149290726</v>
      </c>
      <c r="V2794" t="s">
        <v>2238</v>
      </c>
      <c r="W2794" t="s">
        <v>1860</v>
      </c>
      <c r="X2794" t="s">
        <v>825</v>
      </c>
      <c r="Y2794" t="s">
        <v>51</v>
      </c>
      <c r="Z2794">
        <v>1696</v>
      </c>
      <c r="AH2794">
        <v>0</v>
      </c>
      <c r="AI2794">
        <v>202506</v>
      </c>
      <c r="AJ2794" t="s">
        <v>86</v>
      </c>
      <c r="AK2794">
        <v>1</v>
      </c>
      <c r="AL2794">
        <v>1</v>
      </c>
      <c r="AO2794">
        <v>0</v>
      </c>
      <c r="AP2794" t="s">
        <v>3015</v>
      </c>
      <c r="AQ2794" t="s">
        <v>3121</v>
      </c>
      <c r="AR2794" t="s">
        <v>3122</v>
      </c>
      <c r="AT2794" t="s">
        <v>3017</v>
      </c>
      <c r="AU2794" t="s">
        <v>3037</v>
      </c>
    </row>
    <row r="2795" spans="1:47" x14ac:dyDescent="0.35">
      <c r="A2795">
        <v>348940</v>
      </c>
      <c r="B2795" t="s">
        <v>193</v>
      </c>
      <c r="C2795" t="s">
        <v>194</v>
      </c>
      <c r="D2795" s="2">
        <v>45821</v>
      </c>
      <c r="E2795">
        <v>53850</v>
      </c>
      <c r="F2795">
        <v>102</v>
      </c>
      <c r="G2795" t="s">
        <v>151</v>
      </c>
      <c r="H2795" t="s">
        <v>167</v>
      </c>
      <c r="I2795" t="s">
        <v>45</v>
      </c>
      <c r="K2795" t="s">
        <v>2733</v>
      </c>
      <c r="L2795">
        <v>1023308723527</v>
      </c>
      <c r="M2795">
        <v>20250612</v>
      </c>
      <c r="N2795" t="s">
        <v>195</v>
      </c>
      <c r="Q2795" t="s">
        <v>47</v>
      </c>
      <c r="R2795">
        <v>22005</v>
      </c>
      <c r="S2795">
        <v>22005</v>
      </c>
      <c r="T2795">
        <v>4883007</v>
      </c>
      <c r="U2795">
        <v>8028310723</v>
      </c>
      <c r="V2795" t="s">
        <v>2737</v>
      </c>
      <c r="W2795" t="s">
        <v>190</v>
      </c>
      <c r="X2795" t="s">
        <v>131</v>
      </c>
      <c r="Y2795" t="s">
        <v>51</v>
      </c>
      <c r="Z2795">
        <v>1949</v>
      </c>
      <c r="AH2795">
        <v>0</v>
      </c>
      <c r="AI2795">
        <v>202506</v>
      </c>
      <c r="AJ2795" t="s">
        <v>119</v>
      </c>
      <c r="AK2795">
        <v>1</v>
      </c>
      <c r="AL2795">
        <v>1</v>
      </c>
      <c r="AM2795">
        <v>4883007</v>
      </c>
      <c r="AN2795">
        <v>1</v>
      </c>
      <c r="AO2795">
        <v>0</v>
      </c>
      <c r="AP2795" t="s">
        <v>3033</v>
      </c>
      <c r="AQ2795" t="s">
        <v>3047</v>
      </c>
      <c r="AR2795" t="s">
        <v>3048</v>
      </c>
      <c r="AS2795" t="s">
        <v>3049</v>
      </c>
      <c r="AU2795" t="s">
        <v>3049</v>
      </c>
    </row>
    <row r="2796" spans="1:47" x14ac:dyDescent="0.35">
      <c r="A2796">
        <v>348939</v>
      </c>
      <c r="B2796" t="s">
        <v>178</v>
      </c>
      <c r="C2796" t="s">
        <v>179</v>
      </c>
      <c r="D2796" s="2">
        <v>45821</v>
      </c>
      <c r="E2796">
        <v>53850</v>
      </c>
      <c r="F2796">
        <v>192</v>
      </c>
      <c r="G2796" t="s">
        <v>66</v>
      </c>
      <c r="H2796" t="s">
        <v>167</v>
      </c>
      <c r="I2796" t="s">
        <v>45</v>
      </c>
      <c r="K2796">
        <v>202506128065175</v>
      </c>
      <c r="L2796">
        <v>1923300183163</v>
      </c>
      <c r="M2796">
        <v>20250612</v>
      </c>
      <c r="N2796" t="s">
        <v>236</v>
      </c>
      <c r="P2796" t="s">
        <v>51</v>
      </c>
      <c r="Q2796" t="s">
        <v>170</v>
      </c>
      <c r="R2796">
        <v>1435000</v>
      </c>
      <c r="S2796">
        <v>0</v>
      </c>
      <c r="T2796">
        <v>4695944</v>
      </c>
      <c r="U2796" t="s">
        <v>67</v>
      </c>
      <c r="V2796" t="s">
        <v>68</v>
      </c>
      <c r="W2796" t="s">
        <v>69</v>
      </c>
      <c r="X2796" t="s">
        <v>70</v>
      </c>
      <c r="Y2796" t="s">
        <v>51</v>
      </c>
      <c r="Z2796">
        <v>481</v>
      </c>
      <c r="AH2796">
        <v>0</v>
      </c>
      <c r="AI2796">
        <v>202506</v>
      </c>
      <c r="AJ2796" t="s">
        <v>56</v>
      </c>
      <c r="AK2796">
        <v>0</v>
      </c>
      <c r="AL2796">
        <v>1</v>
      </c>
      <c r="AM2796">
        <v>4695944</v>
      </c>
      <c r="AN2796">
        <v>1</v>
      </c>
      <c r="AO2796">
        <v>0</v>
      </c>
      <c r="AP2796" t="s">
        <v>3015</v>
      </c>
      <c r="AQ2796" t="s">
        <v>3021</v>
      </c>
      <c r="AR2796" t="s">
        <v>3022</v>
      </c>
      <c r="AT2796" t="s">
        <v>3017</v>
      </c>
      <c r="AU2796" t="s">
        <v>3014</v>
      </c>
    </row>
    <row r="2797" spans="1:47" x14ac:dyDescent="0.35">
      <c r="A2797">
        <v>348938</v>
      </c>
      <c r="B2797" t="s">
        <v>178</v>
      </c>
      <c r="C2797" t="s">
        <v>179</v>
      </c>
      <c r="D2797" s="2">
        <v>45821</v>
      </c>
      <c r="E2797">
        <v>53850</v>
      </c>
      <c r="F2797">
        <v>226</v>
      </c>
      <c r="G2797" t="s">
        <v>129</v>
      </c>
      <c r="H2797" t="s">
        <v>167</v>
      </c>
      <c r="I2797" t="s">
        <v>45</v>
      </c>
      <c r="K2797">
        <v>202506128062193</v>
      </c>
      <c r="L2797">
        <v>2263300011983</v>
      </c>
      <c r="M2797">
        <v>20250612</v>
      </c>
      <c r="N2797" t="s">
        <v>236</v>
      </c>
      <c r="P2797" t="s">
        <v>51</v>
      </c>
      <c r="Q2797" t="s">
        <v>170</v>
      </c>
      <c r="R2797">
        <v>2111394.35</v>
      </c>
      <c r="S2797">
        <v>0</v>
      </c>
      <c r="T2797">
        <v>4877514</v>
      </c>
      <c r="U2797">
        <v>1149290726</v>
      </c>
      <c r="V2797" t="s">
        <v>2238</v>
      </c>
      <c r="W2797" t="s">
        <v>1860</v>
      </c>
      <c r="X2797" t="s">
        <v>825</v>
      </c>
      <c r="Y2797" t="s">
        <v>51</v>
      </c>
      <c r="Z2797">
        <v>1696</v>
      </c>
      <c r="AH2797">
        <v>0</v>
      </c>
      <c r="AI2797">
        <v>202506</v>
      </c>
      <c r="AJ2797" t="s">
        <v>86</v>
      </c>
      <c r="AK2797">
        <v>1</v>
      </c>
      <c r="AL2797">
        <v>1</v>
      </c>
      <c r="AO2797">
        <v>0</v>
      </c>
      <c r="AP2797" t="s">
        <v>3015</v>
      </c>
      <c r="AQ2797" t="s">
        <v>3121</v>
      </c>
      <c r="AR2797" t="s">
        <v>3122</v>
      </c>
      <c r="AT2797" t="s">
        <v>3017</v>
      </c>
      <c r="AU2797" t="s">
        <v>3037</v>
      </c>
    </row>
    <row r="2798" spans="1:47" x14ac:dyDescent="0.35">
      <c r="A2798">
        <v>348937</v>
      </c>
      <c r="B2798" t="s">
        <v>178</v>
      </c>
      <c r="C2798" t="s">
        <v>179</v>
      </c>
      <c r="D2798" s="2">
        <v>45821</v>
      </c>
      <c r="E2798">
        <v>53850</v>
      </c>
      <c r="F2798">
        <v>125</v>
      </c>
      <c r="G2798" t="s">
        <v>75</v>
      </c>
      <c r="H2798" t="s">
        <v>167</v>
      </c>
      <c r="I2798" t="s">
        <v>45</v>
      </c>
      <c r="K2798">
        <v>202506128062689</v>
      </c>
      <c r="L2798">
        <v>1253300010173</v>
      </c>
      <c r="M2798">
        <v>20250612</v>
      </c>
      <c r="N2798" t="s">
        <v>236</v>
      </c>
      <c r="P2798" t="s">
        <v>51</v>
      </c>
      <c r="Q2798" t="s">
        <v>170</v>
      </c>
      <c r="R2798">
        <v>541148.47</v>
      </c>
      <c r="S2798">
        <v>0</v>
      </c>
      <c r="T2798">
        <v>4209453</v>
      </c>
      <c r="U2798">
        <v>448310615</v>
      </c>
      <c r="V2798" t="s">
        <v>2734</v>
      </c>
      <c r="W2798" t="s">
        <v>49</v>
      </c>
      <c r="X2798" t="s">
        <v>110</v>
      </c>
      <c r="Y2798" t="s">
        <v>51</v>
      </c>
      <c r="Z2798">
        <v>982</v>
      </c>
      <c r="AH2798">
        <v>0</v>
      </c>
      <c r="AI2798">
        <v>202506</v>
      </c>
      <c r="AJ2798" t="s">
        <v>86</v>
      </c>
      <c r="AK2798">
        <v>1</v>
      </c>
      <c r="AL2798">
        <v>1</v>
      </c>
      <c r="AO2798">
        <v>0</v>
      </c>
      <c r="AP2798" t="s">
        <v>3026</v>
      </c>
      <c r="AQ2798" t="s">
        <v>3012</v>
      </c>
      <c r="AR2798" t="s">
        <v>3027</v>
      </c>
      <c r="AS2798" t="s">
        <v>3028</v>
      </c>
      <c r="AU2798" t="s">
        <v>3028</v>
      </c>
    </row>
    <row r="2799" spans="1:47" x14ac:dyDescent="0.35">
      <c r="A2799">
        <v>348936</v>
      </c>
      <c r="B2799" t="s">
        <v>164</v>
      </c>
      <c r="C2799" t="s">
        <v>165</v>
      </c>
      <c r="D2799" s="2">
        <v>45821</v>
      </c>
      <c r="E2799">
        <v>53850</v>
      </c>
      <c r="F2799">
        <v>273</v>
      </c>
      <c r="G2799" t="s">
        <v>133</v>
      </c>
      <c r="H2799" t="s">
        <v>167</v>
      </c>
      <c r="I2799" t="s">
        <v>45</v>
      </c>
      <c r="K2799">
        <v>202506128062655</v>
      </c>
      <c r="L2799">
        <v>2733300011179</v>
      </c>
      <c r="M2799">
        <v>20250612</v>
      </c>
      <c r="N2799" t="s">
        <v>168</v>
      </c>
      <c r="P2799" t="s">
        <v>255</v>
      </c>
      <c r="Q2799" t="s">
        <v>170</v>
      </c>
      <c r="R2799">
        <v>20000</v>
      </c>
      <c r="S2799">
        <v>0</v>
      </c>
      <c r="T2799">
        <v>4973829</v>
      </c>
      <c r="U2799">
        <v>11952460969</v>
      </c>
      <c r="V2799" t="s">
        <v>2728</v>
      </c>
      <c r="W2799" t="s">
        <v>49</v>
      </c>
      <c r="X2799" t="s">
        <v>2105</v>
      </c>
      <c r="Y2799" t="s">
        <v>51</v>
      </c>
      <c r="Z2799">
        <v>1805</v>
      </c>
      <c r="AH2799">
        <v>0</v>
      </c>
      <c r="AI2799">
        <v>202506</v>
      </c>
      <c r="AJ2799" t="s">
        <v>86</v>
      </c>
      <c r="AK2799">
        <v>1</v>
      </c>
      <c r="AL2799">
        <v>1</v>
      </c>
      <c r="AO2799">
        <v>0</v>
      </c>
      <c r="AP2799" t="s">
        <v>3015</v>
      </c>
      <c r="AQ2799" t="s">
        <v>3012</v>
      </c>
      <c r="AR2799" t="s">
        <v>3016</v>
      </c>
      <c r="AT2799" t="s">
        <v>3017</v>
      </c>
      <c r="AU2799" t="s">
        <v>3018</v>
      </c>
    </row>
    <row r="2800" spans="1:47" x14ac:dyDescent="0.35">
      <c r="A2800">
        <v>348935</v>
      </c>
      <c r="B2800" t="s">
        <v>193</v>
      </c>
      <c r="C2800" t="s">
        <v>194</v>
      </c>
      <c r="D2800" s="2">
        <v>45821</v>
      </c>
      <c r="E2800">
        <v>53850</v>
      </c>
      <c r="F2800">
        <v>102</v>
      </c>
      <c r="G2800" t="s">
        <v>151</v>
      </c>
      <c r="H2800" t="s">
        <v>167</v>
      </c>
      <c r="I2800" t="s">
        <v>45</v>
      </c>
      <c r="K2800">
        <v>202506128064468</v>
      </c>
      <c r="L2800">
        <v>1023308722503</v>
      </c>
      <c r="M2800">
        <v>20250612</v>
      </c>
      <c r="N2800" t="s">
        <v>195</v>
      </c>
      <c r="Q2800" t="s">
        <v>47</v>
      </c>
      <c r="R2800">
        <v>21720</v>
      </c>
      <c r="S2800">
        <v>21720</v>
      </c>
      <c r="T2800">
        <v>413650</v>
      </c>
      <c r="U2800">
        <v>3657230722</v>
      </c>
      <c r="V2800" t="s">
        <v>196</v>
      </c>
      <c r="W2800" t="s">
        <v>190</v>
      </c>
      <c r="X2800" t="s">
        <v>197</v>
      </c>
      <c r="Y2800" t="s">
        <v>51</v>
      </c>
      <c r="Z2800">
        <v>1306</v>
      </c>
      <c r="AH2800">
        <v>0</v>
      </c>
      <c r="AI2800">
        <v>202506</v>
      </c>
      <c r="AJ2800" t="s">
        <v>119</v>
      </c>
      <c r="AK2800">
        <v>1</v>
      </c>
      <c r="AL2800">
        <v>1</v>
      </c>
      <c r="AM2800">
        <v>413650</v>
      </c>
      <c r="AN2800">
        <v>1</v>
      </c>
      <c r="AO2800">
        <v>0</v>
      </c>
      <c r="AP2800" t="s">
        <v>3050</v>
      </c>
      <c r="AQ2800" t="s">
        <v>3047</v>
      </c>
      <c r="AR2800" t="s">
        <v>3051</v>
      </c>
      <c r="AS2800" t="s">
        <v>3049</v>
      </c>
      <c r="AU2800" t="s">
        <v>3049</v>
      </c>
    </row>
    <row r="2801" spans="1:47" x14ac:dyDescent="0.35">
      <c r="A2801">
        <v>348934</v>
      </c>
      <c r="B2801" t="s">
        <v>172</v>
      </c>
      <c r="C2801" t="s">
        <v>173</v>
      </c>
      <c r="D2801" s="2">
        <v>45821</v>
      </c>
      <c r="E2801">
        <v>53850</v>
      </c>
      <c r="F2801">
        <v>204</v>
      </c>
      <c r="G2801" t="s">
        <v>329</v>
      </c>
      <c r="H2801" t="s">
        <v>167</v>
      </c>
      <c r="I2801" t="s">
        <v>45</v>
      </c>
      <c r="K2801">
        <v>202506128065217</v>
      </c>
      <c r="L2801">
        <v>2043300010790</v>
      </c>
      <c r="M2801">
        <v>20250612</v>
      </c>
      <c r="N2801" t="s">
        <v>231</v>
      </c>
      <c r="Q2801" t="s">
        <v>47</v>
      </c>
      <c r="R2801">
        <v>157500</v>
      </c>
      <c r="S2801">
        <v>0</v>
      </c>
      <c r="T2801">
        <v>4362444</v>
      </c>
      <c r="U2801" t="s">
        <v>2738</v>
      </c>
      <c r="V2801" t="s">
        <v>2739</v>
      </c>
      <c r="W2801" t="s">
        <v>187</v>
      </c>
      <c r="Y2801" t="s">
        <v>51</v>
      </c>
      <c r="Z2801">
        <v>1285</v>
      </c>
      <c r="AH2801">
        <v>0</v>
      </c>
      <c r="AI2801">
        <v>202506</v>
      </c>
      <c r="AJ2801" t="s">
        <v>86</v>
      </c>
      <c r="AK2801">
        <v>1</v>
      </c>
      <c r="AL2801">
        <v>1</v>
      </c>
      <c r="AO2801">
        <v>0</v>
      </c>
      <c r="AP2801" t="s">
        <v>3015</v>
      </c>
      <c r="AQ2801" t="s">
        <v>3044</v>
      </c>
      <c r="AR2801" t="s">
        <v>3045</v>
      </c>
      <c r="AS2801" t="s">
        <v>3046</v>
      </c>
      <c r="AU2801" t="s">
        <v>3046</v>
      </c>
    </row>
    <row r="2802" spans="1:47" x14ac:dyDescent="0.35">
      <c r="A2802">
        <v>348933</v>
      </c>
      <c r="B2802" t="s">
        <v>164</v>
      </c>
      <c r="C2802" t="s">
        <v>165</v>
      </c>
      <c r="D2802" s="2">
        <v>45821</v>
      </c>
      <c r="E2802">
        <v>53850</v>
      </c>
      <c r="F2802">
        <v>103</v>
      </c>
      <c r="G2802" t="s">
        <v>80</v>
      </c>
      <c r="H2802" t="s">
        <v>167</v>
      </c>
      <c r="I2802" t="s">
        <v>45</v>
      </c>
      <c r="K2802" t="s">
        <v>2740</v>
      </c>
      <c r="L2802">
        <v>1033301641631</v>
      </c>
      <c r="M2802">
        <v>20250612</v>
      </c>
      <c r="N2802" t="s">
        <v>168</v>
      </c>
      <c r="P2802" t="s">
        <v>255</v>
      </c>
      <c r="Q2802" t="s">
        <v>47</v>
      </c>
      <c r="R2802">
        <v>1455.42</v>
      </c>
      <c r="S2802">
        <v>0</v>
      </c>
      <c r="T2802">
        <v>164163</v>
      </c>
      <c r="U2802">
        <v>3485840726</v>
      </c>
      <c r="V2802" t="s">
        <v>983</v>
      </c>
      <c r="W2802" t="s">
        <v>49</v>
      </c>
      <c r="X2802" t="s">
        <v>984</v>
      </c>
      <c r="Y2802" t="s">
        <v>51</v>
      </c>
      <c r="Z2802">
        <v>1274</v>
      </c>
      <c r="AH2802">
        <v>0</v>
      </c>
      <c r="AI2802">
        <v>202506</v>
      </c>
      <c r="AJ2802" t="s">
        <v>86</v>
      </c>
      <c r="AK2802">
        <v>1</v>
      </c>
      <c r="AL2802">
        <v>1</v>
      </c>
      <c r="AO2802">
        <v>0</v>
      </c>
      <c r="AP2802" t="s">
        <v>3096</v>
      </c>
      <c r="AQ2802" t="s">
        <v>3012</v>
      </c>
      <c r="AR2802" t="s">
        <v>3097</v>
      </c>
      <c r="AS2802" t="s">
        <v>3014</v>
      </c>
      <c r="AU2802" t="s">
        <v>3014</v>
      </c>
    </row>
    <row r="2803" spans="1:47" x14ac:dyDescent="0.35">
      <c r="A2803">
        <v>348932</v>
      </c>
      <c r="B2803" t="s">
        <v>193</v>
      </c>
      <c r="C2803" t="s">
        <v>194</v>
      </c>
      <c r="D2803" s="2">
        <v>45821</v>
      </c>
      <c r="E2803">
        <v>53850</v>
      </c>
      <c r="F2803">
        <v>171</v>
      </c>
      <c r="G2803" t="s">
        <v>198</v>
      </c>
      <c r="H2803" t="s">
        <v>167</v>
      </c>
      <c r="I2803" t="s">
        <v>45</v>
      </c>
      <c r="K2803" t="s">
        <v>2733</v>
      </c>
      <c r="L2803">
        <v>1713302214147</v>
      </c>
      <c r="M2803">
        <v>20250612</v>
      </c>
      <c r="N2803" t="s">
        <v>195</v>
      </c>
      <c r="Q2803" t="s">
        <v>47</v>
      </c>
      <c r="R2803">
        <v>119000</v>
      </c>
      <c r="S2803">
        <v>119000</v>
      </c>
      <c r="T2803">
        <v>4199319</v>
      </c>
      <c r="U2803">
        <v>6037810725</v>
      </c>
      <c r="V2803" t="s">
        <v>1144</v>
      </c>
      <c r="W2803" t="s">
        <v>49</v>
      </c>
      <c r="X2803" t="s">
        <v>200</v>
      </c>
      <c r="Y2803" t="s">
        <v>51</v>
      </c>
      <c r="Z2803">
        <v>1903</v>
      </c>
      <c r="AH2803">
        <v>0</v>
      </c>
      <c r="AI2803">
        <v>202506</v>
      </c>
      <c r="AJ2803" t="s">
        <v>86</v>
      </c>
      <c r="AK2803">
        <v>1</v>
      </c>
      <c r="AL2803">
        <v>1</v>
      </c>
      <c r="AM2803">
        <v>4199319</v>
      </c>
      <c r="AN2803">
        <v>1</v>
      </c>
      <c r="AO2803">
        <v>0</v>
      </c>
      <c r="AP2803" t="s">
        <v>3015</v>
      </c>
      <c r="AQ2803" t="s">
        <v>3012</v>
      </c>
      <c r="AR2803" t="s">
        <v>3016</v>
      </c>
      <c r="AT2803" t="s">
        <v>3017</v>
      </c>
      <c r="AU2803" t="s">
        <v>3018</v>
      </c>
    </row>
    <row r="2804" spans="1:47" x14ac:dyDescent="0.35">
      <c r="A2804">
        <v>348931</v>
      </c>
      <c r="B2804" t="s">
        <v>164</v>
      </c>
      <c r="C2804" t="s">
        <v>165</v>
      </c>
      <c r="D2804" s="2">
        <v>45821</v>
      </c>
      <c r="E2804">
        <v>53850</v>
      </c>
      <c r="F2804">
        <v>226</v>
      </c>
      <c r="G2804" t="s">
        <v>129</v>
      </c>
      <c r="H2804" t="s">
        <v>167</v>
      </c>
      <c r="I2804" t="s">
        <v>45</v>
      </c>
      <c r="K2804">
        <v>202506128062263</v>
      </c>
      <c r="L2804">
        <v>2263300011983</v>
      </c>
      <c r="M2804">
        <v>20250612</v>
      </c>
      <c r="N2804" t="s">
        <v>168</v>
      </c>
      <c r="P2804" t="s">
        <v>169</v>
      </c>
      <c r="Q2804" t="s">
        <v>170</v>
      </c>
      <c r="R2804">
        <v>27910.38</v>
      </c>
      <c r="S2804">
        <v>0</v>
      </c>
      <c r="T2804">
        <v>4877514</v>
      </c>
      <c r="U2804">
        <v>1149290726</v>
      </c>
      <c r="V2804" t="s">
        <v>2238</v>
      </c>
      <c r="W2804" t="s">
        <v>1860</v>
      </c>
      <c r="X2804" t="s">
        <v>825</v>
      </c>
      <c r="Y2804" t="s">
        <v>51</v>
      </c>
      <c r="Z2804">
        <v>1696</v>
      </c>
      <c r="AH2804">
        <v>0</v>
      </c>
      <c r="AI2804">
        <v>202506</v>
      </c>
      <c r="AJ2804" t="s">
        <v>86</v>
      </c>
      <c r="AK2804">
        <v>1</v>
      </c>
      <c r="AL2804">
        <v>1</v>
      </c>
      <c r="AO2804">
        <v>0</v>
      </c>
      <c r="AP2804" t="s">
        <v>3015</v>
      </c>
      <c r="AQ2804" t="s">
        <v>3121</v>
      </c>
      <c r="AR2804" t="s">
        <v>3122</v>
      </c>
      <c r="AT2804" t="s">
        <v>3017</v>
      </c>
      <c r="AU2804" t="s">
        <v>3037</v>
      </c>
    </row>
    <row r="2805" spans="1:47" x14ac:dyDescent="0.35">
      <c r="A2805">
        <v>348930</v>
      </c>
      <c r="B2805" t="s">
        <v>178</v>
      </c>
      <c r="C2805" t="s">
        <v>179</v>
      </c>
      <c r="D2805" s="2">
        <v>45821</v>
      </c>
      <c r="E2805">
        <v>53850</v>
      </c>
      <c r="F2805">
        <v>121</v>
      </c>
      <c r="G2805" t="s">
        <v>140</v>
      </c>
      <c r="H2805" t="s">
        <v>167</v>
      </c>
      <c r="I2805" t="s">
        <v>45</v>
      </c>
      <c r="K2805">
        <v>202506128063030</v>
      </c>
      <c r="L2805">
        <v>1213300003612</v>
      </c>
      <c r="M2805">
        <v>20250612</v>
      </c>
      <c r="N2805" t="s">
        <v>46</v>
      </c>
      <c r="P2805" t="s">
        <v>51</v>
      </c>
      <c r="Q2805" t="s">
        <v>47</v>
      </c>
      <c r="R2805">
        <v>115366.42</v>
      </c>
      <c r="S2805">
        <v>0</v>
      </c>
      <c r="T2805">
        <v>3745029</v>
      </c>
      <c r="U2805" t="s">
        <v>2741</v>
      </c>
      <c r="V2805" t="s">
        <v>2742</v>
      </c>
      <c r="W2805" t="s">
        <v>69</v>
      </c>
      <c r="X2805" t="s">
        <v>131</v>
      </c>
      <c r="Y2805" t="s">
        <v>51</v>
      </c>
      <c r="Z2805">
        <v>928</v>
      </c>
      <c r="AH2805">
        <v>0</v>
      </c>
      <c r="AI2805">
        <v>202506</v>
      </c>
      <c r="AJ2805" t="s">
        <v>86</v>
      </c>
      <c r="AK2805">
        <v>1</v>
      </c>
      <c r="AL2805">
        <v>1</v>
      </c>
      <c r="AO2805">
        <v>0</v>
      </c>
      <c r="AP2805" t="s">
        <v>3033</v>
      </c>
      <c r="AQ2805" t="s">
        <v>3021</v>
      </c>
      <c r="AR2805" t="s">
        <v>3054</v>
      </c>
      <c r="AS2805" t="s">
        <v>3055</v>
      </c>
      <c r="AU2805" t="s">
        <v>3055</v>
      </c>
    </row>
    <row r="2806" spans="1:47" x14ac:dyDescent="0.35">
      <c r="A2806">
        <v>348929</v>
      </c>
      <c r="B2806" t="s">
        <v>164</v>
      </c>
      <c r="C2806" t="s">
        <v>165</v>
      </c>
      <c r="D2806" s="2">
        <v>45821</v>
      </c>
      <c r="E2806">
        <v>53850</v>
      </c>
      <c r="F2806">
        <v>129</v>
      </c>
      <c r="G2806" t="s">
        <v>227</v>
      </c>
      <c r="H2806" t="s">
        <v>167</v>
      </c>
      <c r="I2806" t="s">
        <v>45</v>
      </c>
      <c r="K2806" t="s">
        <v>2743</v>
      </c>
      <c r="L2806">
        <v>1293300002811</v>
      </c>
      <c r="M2806">
        <v>20250612</v>
      </c>
      <c r="N2806" t="s">
        <v>168</v>
      </c>
      <c r="P2806" t="s">
        <v>169</v>
      </c>
      <c r="Q2806" t="s">
        <v>47</v>
      </c>
      <c r="R2806">
        <v>3171.75</v>
      </c>
      <c r="S2806">
        <v>0</v>
      </c>
      <c r="T2806">
        <v>4972184</v>
      </c>
      <c r="U2806">
        <v>7780290727</v>
      </c>
      <c r="V2806" t="s">
        <v>720</v>
      </c>
      <c r="W2806" t="s">
        <v>49</v>
      </c>
      <c r="X2806" t="s">
        <v>721</v>
      </c>
      <c r="Y2806" t="s">
        <v>51</v>
      </c>
      <c r="Z2806">
        <v>1058</v>
      </c>
      <c r="AH2806">
        <v>0</v>
      </c>
      <c r="AI2806">
        <v>202506</v>
      </c>
      <c r="AJ2806" t="s">
        <v>86</v>
      </c>
      <c r="AK2806">
        <v>1</v>
      </c>
      <c r="AL2806">
        <v>1</v>
      </c>
      <c r="AO2806">
        <v>0</v>
      </c>
      <c r="AP2806" t="s">
        <v>3015</v>
      </c>
      <c r="AQ2806" t="s">
        <v>3012</v>
      </c>
      <c r="AR2806" t="s">
        <v>3016</v>
      </c>
      <c r="AT2806" t="s">
        <v>3017</v>
      </c>
      <c r="AU2806" t="s">
        <v>3018</v>
      </c>
    </row>
    <row r="2807" spans="1:47" x14ac:dyDescent="0.35">
      <c r="A2807">
        <v>348928</v>
      </c>
      <c r="B2807" t="s">
        <v>172</v>
      </c>
      <c r="C2807" t="s">
        <v>173</v>
      </c>
      <c r="D2807" s="2">
        <v>45821</v>
      </c>
      <c r="E2807">
        <v>53850</v>
      </c>
      <c r="F2807">
        <v>132</v>
      </c>
      <c r="G2807" t="s">
        <v>92</v>
      </c>
      <c r="H2807" t="s">
        <v>167</v>
      </c>
      <c r="I2807" t="s">
        <v>45</v>
      </c>
      <c r="K2807">
        <v>202506128065012</v>
      </c>
      <c r="L2807">
        <v>1323300002272</v>
      </c>
      <c r="M2807">
        <v>20250612</v>
      </c>
      <c r="N2807" t="s">
        <v>231</v>
      </c>
      <c r="Q2807" t="s">
        <v>47</v>
      </c>
      <c r="R2807">
        <v>1160000</v>
      </c>
      <c r="S2807">
        <v>0</v>
      </c>
      <c r="T2807">
        <v>4846311</v>
      </c>
      <c r="U2807">
        <v>1788310769</v>
      </c>
      <c r="V2807" t="s">
        <v>2744</v>
      </c>
      <c r="W2807" t="s">
        <v>49</v>
      </c>
      <c r="X2807" t="s">
        <v>402</v>
      </c>
      <c r="Y2807" t="s">
        <v>51</v>
      </c>
      <c r="Z2807">
        <v>1959</v>
      </c>
      <c r="AH2807">
        <v>0</v>
      </c>
      <c r="AI2807">
        <v>202506</v>
      </c>
      <c r="AJ2807" t="s">
        <v>86</v>
      </c>
      <c r="AK2807">
        <v>1</v>
      </c>
      <c r="AL2807">
        <v>1</v>
      </c>
      <c r="AO2807">
        <v>0</v>
      </c>
      <c r="AP2807" t="s">
        <v>3015</v>
      </c>
      <c r="AQ2807" t="s">
        <v>3012</v>
      </c>
      <c r="AR2807" t="s">
        <v>3016</v>
      </c>
      <c r="AT2807" t="s">
        <v>3017</v>
      </c>
      <c r="AU2807" t="s">
        <v>3018</v>
      </c>
    </row>
    <row r="2808" spans="1:47" x14ac:dyDescent="0.35">
      <c r="A2808">
        <v>348927</v>
      </c>
      <c r="B2808" t="s">
        <v>333</v>
      </c>
      <c r="C2808" t="s">
        <v>334</v>
      </c>
      <c r="D2808" s="2">
        <v>45821</v>
      </c>
      <c r="E2808">
        <v>53850</v>
      </c>
      <c r="F2808">
        <v>132</v>
      </c>
      <c r="G2808" t="s">
        <v>92</v>
      </c>
      <c r="H2808" t="s">
        <v>167</v>
      </c>
      <c r="I2808" t="s">
        <v>45</v>
      </c>
      <c r="K2808">
        <v>202506128065014</v>
      </c>
      <c r="M2808">
        <v>20250612</v>
      </c>
      <c r="N2808" t="s">
        <v>915</v>
      </c>
      <c r="Q2808" t="s">
        <v>170</v>
      </c>
      <c r="R2808">
        <v>15005.07</v>
      </c>
      <c r="S2808">
        <v>14</v>
      </c>
      <c r="T2808">
        <v>4114660</v>
      </c>
      <c r="U2808" t="s">
        <v>2745</v>
      </c>
      <c r="V2808" t="s">
        <v>2746</v>
      </c>
      <c r="W2808" t="s">
        <v>187</v>
      </c>
      <c r="Y2808" t="s">
        <v>51</v>
      </c>
      <c r="AH2808">
        <v>0</v>
      </c>
      <c r="AI2808">
        <v>202506</v>
      </c>
      <c r="AL2808">
        <v>0</v>
      </c>
      <c r="AO2808">
        <v>0</v>
      </c>
      <c r="AP2808" t="s">
        <v>3015</v>
      </c>
      <c r="AQ2808" t="s">
        <v>3044</v>
      </c>
      <c r="AR2808" t="s">
        <v>3045</v>
      </c>
      <c r="AS2808" t="s">
        <v>3046</v>
      </c>
      <c r="AU2808" t="s">
        <v>3046</v>
      </c>
    </row>
    <row r="2809" spans="1:47" x14ac:dyDescent="0.35">
      <c r="A2809">
        <v>348926</v>
      </c>
      <c r="B2809" t="s">
        <v>193</v>
      </c>
      <c r="C2809" t="s">
        <v>194</v>
      </c>
      <c r="D2809" s="2">
        <v>45821</v>
      </c>
      <c r="E2809">
        <v>53850</v>
      </c>
      <c r="F2809">
        <v>171</v>
      </c>
      <c r="G2809" t="s">
        <v>198</v>
      </c>
      <c r="H2809" t="s">
        <v>167</v>
      </c>
      <c r="I2809" t="s">
        <v>45</v>
      </c>
      <c r="K2809" t="s">
        <v>2733</v>
      </c>
      <c r="L2809">
        <v>1713305728950</v>
      </c>
      <c r="M2809">
        <v>20250612</v>
      </c>
      <c r="N2809" t="s">
        <v>195</v>
      </c>
      <c r="Q2809" t="s">
        <v>47</v>
      </c>
      <c r="R2809">
        <v>411342.35</v>
      </c>
      <c r="S2809">
        <v>411342.35</v>
      </c>
      <c r="T2809">
        <v>572895</v>
      </c>
      <c r="U2809">
        <v>4161600723</v>
      </c>
      <c r="V2809" t="s">
        <v>199</v>
      </c>
      <c r="W2809" t="s">
        <v>49</v>
      </c>
      <c r="X2809" t="s">
        <v>200</v>
      </c>
      <c r="Y2809" t="s">
        <v>51</v>
      </c>
      <c r="Z2809">
        <v>1903</v>
      </c>
      <c r="AH2809">
        <v>0</v>
      </c>
      <c r="AI2809">
        <v>202506</v>
      </c>
      <c r="AJ2809" t="s">
        <v>119</v>
      </c>
      <c r="AK2809">
        <v>1</v>
      </c>
      <c r="AL2809">
        <v>1</v>
      </c>
      <c r="AM2809">
        <v>572895</v>
      </c>
      <c r="AN2809">
        <v>1</v>
      </c>
      <c r="AO2809">
        <v>0</v>
      </c>
      <c r="AP2809" t="s">
        <v>3015</v>
      </c>
      <c r="AQ2809" t="s">
        <v>3012</v>
      </c>
      <c r="AR2809" t="s">
        <v>3016</v>
      </c>
      <c r="AT2809" t="s">
        <v>3017</v>
      </c>
      <c r="AU2809" t="s">
        <v>3018</v>
      </c>
    </row>
    <row r="2810" spans="1:47" x14ac:dyDescent="0.35">
      <c r="A2810">
        <v>348925</v>
      </c>
      <c r="B2810" t="s">
        <v>193</v>
      </c>
      <c r="C2810" t="s">
        <v>194</v>
      </c>
      <c r="D2810" s="2">
        <v>45821</v>
      </c>
      <c r="E2810">
        <v>53850</v>
      </c>
      <c r="F2810">
        <v>265</v>
      </c>
      <c r="G2810" t="s">
        <v>758</v>
      </c>
      <c r="H2810" t="s">
        <v>167</v>
      </c>
      <c r="I2810" t="s">
        <v>45</v>
      </c>
      <c r="K2810" t="s">
        <v>2733</v>
      </c>
      <c r="L2810">
        <v>2653300000199</v>
      </c>
      <c r="M2810">
        <v>20250612</v>
      </c>
      <c r="N2810" t="s">
        <v>266</v>
      </c>
      <c r="Q2810" t="s">
        <v>47</v>
      </c>
      <c r="R2810">
        <v>37500</v>
      </c>
      <c r="S2810">
        <v>37500</v>
      </c>
      <c r="T2810">
        <v>4823512</v>
      </c>
      <c r="U2810">
        <v>2745850731</v>
      </c>
      <c r="V2810" t="s">
        <v>2747</v>
      </c>
      <c r="W2810" t="s">
        <v>190</v>
      </c>
      <c r="X2810" t="s">
        <v>413</v>
      </c>
      <c r="Y2810" t="s">
        <v>51</v>
      </c>
      <c r="Z2810">
        <v>1769</v>
      </c>
      <c r="AH2810">
        <v>0</v>
      </c>
      <c r="AI2810">
        <v>202506</v>
      </c>
      <c r="AJ2810" t="s">
        <v>119</v>
      </c>
      <c r="AK2810">
        <v>1</v>
      </c>
      <c r="AL2810">
        <v>1</v>
      </c>
      <c r="AM2810">
        <v>4823512</v>
      </c>
      <c r="AN2810">
        <v>1</v>
      </c>
      <c r="AO2810">
        <v>0</v>
      </c>
      <c r="AP2810" t="s">
        <v>3015</v>
      </c>
      <c r="AQ2810" t="s">
        <v>3047</v>
      </c>
      <c r="AR2810" t="s">
        <v>3056</v>
      </c>
      <c r="AT2810" t="s">
        <v>3017</v>
      </c>
      <c r="AU2810" t="s">
        <v>3057</v>
      </c>
    </row>
    <row r="2811" spans="1:47" x14ac:dyDescent="0.35">
      <c r="A2811">
        <v>348924</v>
      </c>
      <c r="B2811" t="s">
        <v>164</v>
      </c>
      <c r="C2811" t="s">
        <v>165</v>
      </c>
      <c r="D2811" s="2">
        <v>45821</v>
      </c>
      <c r="E2811">
        <v>53850</v>
      </c>
      <c r="F2811">
        <v>118</v>
      </c>
      <c r="G2811" t="s">
        <v>254</v>
      </c>
      <c r="H2811" t="s">
        <v>167</v>
      </c>
      <c r="I2811" t="s">
        <v>45</v>
      </c>
      <c r="K2811">
        <v>202506128064045</v>
      </c>
      <c r="L2811">
        <v>1183306280497</v>
      </c>
      <c r="M2811">
        <v>20250612</v>
      </c>
      <c r="N2811" t="s">
        <v>168</v>
      </c>
      <c r="P2811" t="s">
        <v>2748</v>
      </c>
      <c r="Q2811" t="s">
        <v>47</v>
      </c>
      <c r="R2811">
        <v>6299.37</v>
      </c>
      <c r="S2811">
        <v>0</v>
      </c>
      <c r="T2811">
        <v>4992180</v>
      </c>
      <c r="U2811">
        <v>8763070722</v>
      </c>
      <c r="V2811" t="s">
        <v>2749</v>
      </c>
      <c r="W2811" t="s">
        <v>49</v>
      </c>
      <c r="X2811" t="s">
        <v>257</v>
      </c>
      <c r="Y2811" t="s">
        <v>51</v>
      </c>
      <c r="Z2811">
        <v>1649</v>
      </c>
      <c r="AH2811">
        <v>0</v>
      </c>
      <c r="AI2811">
        <v>202506</v>
      </c>
      <c r="AJ2811" t="s">
        <v>86</v>
      </c>
      <c r="AK2811">
        <v>1</v>
      </c>
      <c r="AL2811">
        <v>1</v>
      </c>
      <c r="AO2811">
        <v>0</v>
      </c>
      <c r="AP2811" t="s">
        <v>3015</v>
      </c>
      <c r="AQ2811" t="s">
        <v>3012</v>
      </c>
      <c r="AR2811" t="s">
        <v>3016</v>
      </c>
      <c r="AT2811" t="s">
        <v>3017</v>
      </c>
      <c r="AU2811" t="s">
        <v>3018</v>
      </c>
    </row>
    <row r="2812" spans="1:47" x14ac:dyDescent="0.35">
      <c r="A2812">
        <v>348923</v>
      </c>
      <c r="B2812" t="s">
        <v>172</v>
      </c>
      <c r="C2812" t="s">
        <v>173</v>
      </c>
      <c r="D2812" s="2">
        <v>45820</v>
      </c>
      <c r="E2812">
        <v>53850</v>
      </c>
      <c r="F2812">
        <v>273</v>
      </c>
      <c r="G2812" t="s">
        <v>133</v>
      </c>
      <c r="H2812" t="s">
        <v>167</v>
      </c>
      <c r="I2812" t="s">
        <v>45</v>
      </c>
      <c r="K2812">
        <v>202506118062086</v>
      </c>
      <c r="L2812">
        <v>2733300011950</v>
      </c>
      <c r="M2812">
        <v>20250611</v>
      </c>
      <c r="N2812" t="s">
        <v>231</v>
      </c>
      <c r="Q2812" t="s">
        <v>47</v>
      </c>
      <c r="R2812">
        <v>196000</v>
      </c>
      <c r="S2812">
        <v>0</v>
      </c>
      <c r="T2812">
        <v>3730680</v>
      </c>
      <c r="U2812">
        <v>4508770718</v>
      </c>
      <c r="V2812" t="s">
        <v>2750</v>
      </c>
      <c r="W2812" t="s">
        <v>49</v>
      </c>
      <c r="X2812" t="s">
        <v>611</v>
      </c>
      <c r="Y2812" t="s">
        <v>51</v>
      </c>
      <c r="Z2812">
        <v>1801</v>
      </c>
      <c r="AH2812">
        <v>0</v>
      </c>
      <c r="AI2812">
        <v>202506</v>
      </c>
      <c r="AJ2812" t="s">
        <v>86</v>
      </c>
      <c r="AK2812">
        <v>1</v>
      </c>
      <c r="AL2812">
        <v>1</v>
      </c>
      <c r="AO2812">
        <v>0</v>
      </c>
      <c r="AP2812" t="s">
        <v>3015</v>
      </c>
      <c r="AQ2812" t="s">
        <v>3012</v>
      </c>
      <c r="AR2812" t="s">
        <v>3016</v>
      </c>
      <c r="AT2812" t="s">
        <v>3017</v>
      </c>
      <c r="AU2812" t="s">
        <v>3018</v>
      </c>
    </row>
    <row r="2813" spans="1:47" x14ac:dyDescent="0.35">
      <c r="A2813">
        <v>348922</v>
      </c>
      <c r="B2813" t="s">
        <v>193</v>
      </c>
      <c r="C2813" t="s">
        <v>194</v>
      </c>
      <c r="D2813" s="2">
        <v>45820</v>
      </c>
      <c r="E2813">
        <v>53850</v>
      </c>
      <c r="F2813">
        <v>116</v>
      </c>
      <c r="G2813" t="s">
        <v>126</v>
      </c>
      <c r="H2813" t="s">
        <v>167</v>
      </c>
      <c r="I2813" t="s">
        <v>45</v>
      </c>
      <c r="K2813">
        <v>202506118061485</v>
      </c>
      <c r="L2813">
        <v>2343300010453</v>
      </c>
      <c r="M2813">
        <v>20250611</v>
      </c>
      <c r="N2813" t="s">
        <v>195</v>
      </c>
      <c r="Q2813" t="s">
        <v>47</v>
      </c>
      <c r="R2813">
        <v>87896.5</v>
      </c>
      <c r="S2813">
        <v>87896.5</v>
      </c>
      <c r="T2813">
        <v>4247777</v>
      </c>
      <c r="U2813">
        <v>233470236</v>
      </c>
      <c r="V2813" t="s">
        <v>206</v>
      </c>
      <c r="W2813" t="s">
        <v>49</v>
      </c>
      <c r="X2813" t="s">
        <v>117</v>
      </c>
      <c r="Y2813" t="s">
        <v>51</v>
      </c>
      <c r="Z2813">
        <v>1696</v>
      </c>
      <c r="AH2813">
        <v>0</v>
      </c>
      <c r="AI2813">
        <v>202506</v>
      </c>
      <c r="AJ2813" t="s">
        <v>86</v>
      </c>
      <c r="AK2813">
        <v>1</v>
      </c>
      <c r="AL2813">
        <v>1</v>
      </c>
      <c r="AM2813">
        <v>4247777</v>
      </c>
      <c r="AN2813">
        <v>1</v>
      </c>
      <c r="AO2813">
        <v>0</v>
      </c>
      <c r="AP2813" t="s">
        <v>3029</v>
      </c>
      <c r="AQ2813" t="s">
        <v>3012</v>
      </c>
      <c r="AR2813" t="s">
        <v>3030</v>
      </c>
      <c r="AS2813" t="s">
        <v>3014</v>
      </c>
      <c r="AU2813" t="s">
        <v>3014</v>
      </c>
    </row>
    <row r="2814" spans="1:47" x14ac:dyDescent="0.35">
      <c r="A2814">
        <v>348921</v>
      </c>
      <c r="B2814" t="s">
        <v>178</v>
      </c>
      <c r="C2814" t="s">
        <v>179</v>
      </c>
      <c r="D2814" s="2">
        <v>45820</v>
      </c>
      <c r="E2814">
        <v>53850</v>
      </c>
      <c r="F2814">
        <v>102</v>
      </c>
      <c r="G2814" t="s">
        <v>151</v>
      </c>
      <c r="H2814" t="s">
        <v>167</v>
      </c>
      <c r="I2814" t="s">
        <v>45</v>
      </c>
      <c r="K2814">
        <v>202506118059615</v>
      </c>
      <c r="L2814">
        <v>1503300003188</v>
      </c>
      <c r="M2814">
        <v>20250611</v>
      </c>
      <c r="N2814" t="s">
        <v>236</v>
      </c>
      <c r="P2814" t="s">
        <v>51</v>
      </c>
      <c r="Q2814" t="s">
        <v>170</v>
      </c>
      <c r="R2814">
        <v>15000000</v>
      </c>
      <c r="S2814">
        <v>0</v>
      </c>
      <c r="T2814">
        <v>4269640</v>
      </c>
      <c r="U2814">
        <v>4797080969</v>
      </c>
      <c r="V2814" t="s">
        <v>152</v>
      </c>
      <c r="W2814" t="s">
        <v>153</v>
      </c>
      <c r="X2814" t="s">
        <v>210</v>
      </c>
      <c r="Y2814" t="s">
        <v>51</v>
      </c>
      <c r="Z2814">
        <v>1926</v>
      </c>
      <c r="AH2814">
        <v>0</v>
      </c>
      <c r="AI2814">
        <v>202506</v>
      </c>
      <c r="AJ2814" t="s">
        <v>86</v>
      </c>
      <c r="AK2814">
        <v>1</v>
      </c>
      <c r="AL2814">
        <v>1</v>
      </c>
      <c r="AO2814">
        <v>0</v>
      </c>
      <c r="AP2814" t="s">
        <v>3015</v>
      </c>
      <c r="AQ2814" t="s">
        <v>3035</v>
      </c>
      <c r="AR2814" t="s">
        <v>3036</v>
      </c>
      <c r="AT2814" t="s">
        <v>3017</v>
      </c>
      <c r="AU2814" t="s">
        <v>3037</v>
      </c>
    </row>
    <row r="2815" spans="1:47" x14ac:dyDescent="0.35">
      <c r="A2815">
        <v>348920</v>
      </c>
      <c r="B2815" t="s">
        <v>172</v>
      </c>
      <c r="C2815" t="s">
        <v>173</v>
      </c>
      <c r="D2815" s="2">
        <v>45820</v>
      </c>
      <c r="E2815">
        <v>53850</v>
      </c>
      <c r="F2815">
        <v>114</v>
      </c>
      <c r="G2815" t="s">
        <v>188</v>
      </c>
      <c r="H2815" t="s">
        <v>167</v>
      </c>
      <c r="I2815" t="s">
        <v>45</v>
      </c>
      <c r="K2815">
        <v>202506118061751</v>
      </c>
      <c r="L2815">
        <v>1143306278902</v>
      </c>
      <c r="M2815">
        <v>20250611</v>
      </c>
      <c r="N2815" t="s">
        <v>231</v>
      </c>
      <c r="Q2815" t="s">
        <v>47</v>
      </c>
      <c r="R2815">
        <v>125000</v>
      </c>
      <c r="S2815">
        <v>0</v>
      </c>
      <c r="T2815">
        <v>4210170</v>
      </c>
      <c r="U2815" t="s">
        <v>2751</v>
      </c>
      <c r="V2815" t="s">
        <v>2752</v>
      </c>
      <c r="W2815" t="s">
        <v>187</v>
      </c>
      <c r="Y2815" t="s">
        <v>51</v>
      </c>
      <c r="Z2815">
        <v>907</v>
      </c>
      <c r="AH2815">
        <v>0</v>
      </c>
      <c r="AI2815">
        <v>202506</v>
      </c>
      <c r="AJ2815" t="s">
        <v>119</v>
      </c>
      <c r="AK2815">
        <v>1</v>
      </c>
      <c r="AL2815">
        <v>1</v>
      </c>
      <c r="AO2815">
        <v>0</v>
      </c>
      <c r="AP2815" t="s">
        <v>3015</v>
      </c>
      <c r="AQ2815" t="s">
        <v>3044</v>
      </c>
      <c r="AR2815" t="s">
        <v>3045</v>
      </c>
      <c r="AS2815" t="s">
        <v>3046</v>
      </c>
      <c r="AU2815" t="s">
        <v>3046</v>
      </c>
    </row>
    <row r="2816" spans="1:47" x14ac:dyDescent="0.35">
      <c r="A2816">
        <v>348919</v>
      </c>
      <c r="B2816" t="s">
        <v>178</v>
      </c>
      <c r="C2816" t="s">
        <v>179</v>
      </c>
      <c r="D2816" s="2">
        <v>45820</v>
      </c>
      <c r="E2816">
        <v>53850</v>
      </c>
      <c r="F2816">
        <v>149</v>
      </c>
      <c r="G2816" t="s">
        <v>449</v>
      </c>
      <c r="H2816" t="s">
        <v>167</v>
      </c>
      <c r="I2816" t="s">
        <v>45</v>
      </c>
      <c r="K2816">
        <v>202506118061013</v>
      </c>
      <c r="L2816">
        <v>1490050026458</v>
      </c>
      <c r="M2816">
        <v>20250611</v>
      </c>
      <c r="N2816" t="s">
        <v>1228</v>
      </c>
      <c r="Q2816" t="s">
        <v>47</v>
      </c>
      <c r="R2816">
        <v>200000</v>
      </c>
      <c r="S2816">
        <v>0</v>
      </c>
      <c r="T2816">
        <v>2011620</v>
      </c>
      <c r="U2816" t="s">
        <v>2428</v>
      </c>
      <c r="V2816" t="s">
        <v>2429</v>
      </c>
      <c r="W2816" t="s">
        <v>187</v>
      </c>
      <c r="Y2816" t="s">
        <v>51</v>
      </c>
      <c r="Z2816">
        <v>1231</v>
      </c>
      <c r="AH2816">
        <v>0</v>
      </c>
      <c r="AI2816">
        <v>202506</v>
      </c>
      <c r="AJ2816" t="s">
        <v>56</v>
      </c>
      <c r="AK2816">
        <v>0</v>
      </c>
      <c r="AL2816">
        <v>1</v>
      </c>
      <c r="AO2816">
        <v>0</v>
      </c>
      <c r="AP2816" t="s">
        <v>3015</v>
      </c>
      <c r="AQ2816" t="s">
        <v>3044</v>
      </c>
      <c r="AR2816" t="s">
        <v>3045</v>
      </c>
      <c r="AS2816" t="s">
        <v>3046</v>
      </c>
      <c r="AU2816" t="s">
        <v>3046</v>
      </c>
    </row>
    <row r="2817" spans="1:47" x14ac:dyDescent="0.35">
      <c r="A2817">
        <v>348918</v>
      </c>
      <c r="B2817" t="s">
        <v>178</v>
      </c>
      <c r="C2817" t="s">
        <v>179</v>
      </c>
      <c r="D2817" s="2">
        <v>45820</v>
      </c>
      <c r="E2817">
        <v>53850</v>
      </c>
      <c r="F2817">
        <v>118</v>
      </c>
      <c r="G2817" t="s">
        <v>254</v>
      </c>
      <c r="H2817" t="s">
        <v>167</v>
      </c>
      <c r="I2817" t="s">
        <v>45</v>
      </c>
      <c r="K2817" t="s">
        <v>2753</v>
      </c>
      <c r="L2817">
        <v>1183306278085</v>
      </c>
      <c r="M2817">
        <v>20250611</v>
      </c>
      <c r="N2817" t="s">
        <v>3136</v>
      </c>
      <c r="Q2817" t="s">
        <v>170</v>
      </c>
      <c r="R2817">
        <v>1787.56</v>
      </c>
      <c r="S2817">
        <v>0</v>
      </c>
      <c r="T2817">
        <v>490902</v>
      </c>
      <c r="U2817" t="s">
        <v>371</v>
      </c>
      <c r="V2817" t="s">
        <v>372</v>
      </c>
      <c r="W2817" t="s">
        <v>69</v>
      </c>
      <c r="X2817" t="s">
        <v>55</v>
      </c>
      <c r="Y2817" t="s">
        <v>51</v>
      </c>
      <c r="Z2817">
        <v>979</v>
      </c>
      <c r="AH2817">
        <v>0</v>
      </c>
      <c r="AI2817">
        <v>202506</v>
      </c>
      <c r="AJ2817" t="s">
        <v>114</v>
      </c>
      <c r="AK2817">
        <v>1</v>
      </c>
      <c r="AL2817">
        <v>1</v>
      </c>
      <c r="AM2817">
        <v>490902</v>
      </c>
      <c r="AN2817">
        <v>1</v>
      </c>
      <c r="AO2817">
        <v>1</v>
      </c>
      <c r="AP2817" t="s">
        <v>3015</v>
      </c>
      <c r="AQ2817" t="s">
        <v>3021</v>
      </c>
      <c r="AR2817" t="s">
        <v>3022</v>
      </c>
      <c r="AT2817" t="s">
        <v>3017</v>
      </c>
      <c r="AU2817" t="s">
        <v>3014</v>
      </c>
    </row>
    <row r="2818" spans="1:47" x14ac:dyDescent="0.35">
      <c r="A2818">
        <v>348917</v>
      </c>
      <c r="B2818" t="s">
        <v>172</v>
      </c>
      <c r="C2818" t="s">
        <v>173</v>
      </c>
      <c r="D2818" s="2">
        <v>45820</v>
      </c>
      <c r="E2818">
        <v>53850</v>
      </c>
      <c r="F2818">
        <v>108</v>
      </c>
      <c r="G2818" t="s">
        <v>124</v>
      </c>
      <c r="H2818" t="s">
        <v>167</v>
      </c>
      <c r="I2818" t="s">
        <v>45</v>
      </c>
      <c r="K2818" t="s">
        <v>2754</v>
      </c>
      <c r="L2818">
        <v>1083300011180</v>
      </c>
      <c r="M2818">
        <v>20250611</v>
      </c>
      <c r="N2818" t="s">
        <v>175</v>
      </c>
      <c r="Q2818" t="s">
        <v>47</v>
      </c>
      <c r="R2818">
        <v>115507.85</v>
      </c>
      <c r="S2818">
        <v>0</v>
      </c>
      <c r="T2818">
        <v>1118</v>
      </c>
      <c r="U2818">
        <v>3246700722</v>
      </c>
      <c r="V2818" t="s">
        <v>125</v>
      </c>
      <c r="W2818" t="s">
        <v>49</v>
      </c>
      <c r="X2818" t="s">
        <v>96</v>
      </c>
      <c r="Y2818" t="s">
        <v>51</v>
      </c>
      <c r="Z2818">
        <v>1058</v>
      </c>
      <c r="AH2818">
        <v>0</v>
      </c>
      <c r="AI2818">
        <v>202506</v>
      </c>
      <c r="AJ2818" t="s">
        <v>86</v>
      </c>
      <c r="AK2818">
        <v>1</v>
      </c>
      <c r="AL2818">
        <v>1</v>
      </c>
      <c r="AO2818">
        <v>1</v>
      </c>
      <c r="AP2818" t="s">
        <v>3015</v>
      </c>
      <c r="AQ2818" t="s">
        <v>3012</v>
      </c>
      <c r="AR2818" t="s">
        <v>3016</v>
      </c>
      <c r="AT2818" t="s">
        <v>3017</v>
      </c>
      <c r="AU2818" t="s">
        <v>3018</v>
      </c>
    </row>
    <row r="2819" spans="1:47" x14ac:dyDescent="0.35">
      <c r="A2819">
        <v>348916</v>
      </c>
      <c r="B2819" t="s">
        <v>178</v>
      </c>
      <c r="C2819" t="s">
        <v>179</v>
      </c>
      <c r="D2819" s="2">
        <v>45820</v>
      </c>
      <c r="E2819">
        <v>53850</v>
      </c>
      <c r="F2819">
        <v>182</v>
      </c>
      <c r="G2819" t="s">
        <v>318</v>
      </c>
      <c r="H2819" t="s">
        <v>167</v>
      </c>
      <c r="I2819" t="s">
        <v>45</v>
      </c>
      <c r="K2819">
        <v>202506118061965</v>
      </c>
      <c r="L2819">
        <v>1823300170963</v>
      </c>
      <c r="M2819">
        <v>20250611</v>
      </c>
      <c r="N2819" t="s">
        <v>1002</v>
      </c>
      <c r="Q2819" t="s">
        <v>47</v>
      </c>
      <c r="R2819">
        <v>210000</v>
      </c>
      <c r="S2819">
        <v>0</v>
      </c>
      <c r="T2819">
        <v>3001452</v>
      </c>
      <c r="U2819" t="s">
        <v>2755</v>
      </c>
      <c r="V2819" t="s">
        <v>2756</v>
      </c>
      <c r="W2819" t="s">
        <v>187</v>
      </c>
      <c r="Y2819" t="s">
        <v>51</v>
      </c>
      <c r="Z2819">
        <v>616</v>
      </c>
      <c r="AH2819">
        <v>0</v>
      </c>
      <c r="AI2819">
        <v>202506</v>
      </c>
      <c r="AJ2819" t="s">
        <v>86</v>
      </c>
      <c r="AK2819">
        <v>1</v>
      </c>
      <c r="AL2819">
        <v>1</v>
      </c>
      <c r="AO2819">
        <v>0</v>
      </c>
      <c r="AP2819" t="s">
        <v>3015</v>
      </c>
      <c r="AQ2819" t="s">
        <v>3044</v>
      </c>
      <c r="AR2819" t="s">
        <v>3045</v>
      </c>
      <c r="AS2819" t="s">
        <v>3046</v>
      </c>
      <c r="AU2819" t="s">
        <v>3046</v>
      </c>
    </row>
    <row r="2820" spans="1:47" x14ac:dyDescent="0.35">
      <c r="A2820">
        <v>348915</v>
      </c>
      <c r="B2820" t="s">
        <v>214</v>
      </c>
      <c r="C2820" t="s">
        <v>215</v>
      </c>
      <c r="D2820" s="2">
        <v>45820</v>
      </c>
      <c r="E2820">
        <v>53850</v>
      </c>
      <c r="F2820">
        <v>268</v>
      </c>
      <c r="G2820" t="s">
        <v>83</v>
      </c>
      <c r="H2820" t="s">
        <v>167</v>
      </c>
      <c r="I2820" t="s">
        <v>45</v>
      </c>
      <c r="K2820">
        <v>202506118060521</v>
      </c>
      <c r="L2820">
        <v>2683300005644</v>
      </c>
      <c r="M2820">
        <v>20250611</v>
      </c>
      <c r="N2820" t="s">
        <v>168</v>
      </c>
      <c r="P2820" t="s">
        <v>217</v>
      </c>
      <c r="Q2820" t="s">
        <v>47</v>
      </c>
      <c r="R2820">
        <v>67000</v>
      </c>
      <c r="S2820">
        <v>0</v>
      </c>
      <c r="T2820">
        <v>1695582</v>
      </c>
      <c r="U2820" t="s">
        <v>2757</v>
      </c>
      <c r="V2820" t="s">
        <v>2758</v>
      </c>
      <c r="W2820" t="s">
        <v>69</v>
      </c>
      <c r="X2820" t="s">
        <v>70</v>
      </c>
      <c r="Y2820" t="s">
        <v>51</v>
      </c>
      <c r="Z2820">
        <v>1870</v>
      </c>
      <c r="AH2820">
        <v>0</v>
      </c>
      <c r="AI2820">
        <v>202506</v>
      </c>
      <c r="AJ2820" t="s">
        <v>56</v>
      </c>
      <c r="AK2820">
        <v>0</v>
      </c>
      <c r="AL2820">
        <v>1</v>
      </c>
      <c r="AM2820">
        <v>1695582</v>
      </c>
      <c r="AN2820">
        <v>1</v>
      </c>
      <c r="AO2820">
        <v>0</v>
      </c>
      <c r="AP2820" t="s">
        <v>3015</v>
      </c>
      <c r="AQ2820" t="s">
        <v>3021</v>
      </c>
      <c r="AR2820" t="s">
        <v>3022</v>
      </c>
      <c r="AT2820" t="s">
        <v>3017</v>
      </c>
      <c r="AU2820" t="s">
        <v>3014</v>
      </c>
    </row>
    <row r="2821" spans="1:47" x14ac:dyDescent="0.35">
      <c r="A2821">
        <v>348914</v>
      </c>
      <c r="B2821" t="s">
        <v>172</v>
      </c>
      <c r="C2821" t="s">
        <v>173</v>
      </c>
      <c r="D2821" s="2">
        <v>45820</v>
      </c>
      <c r="E2821">
        <v>53850</v>
      </c>
      <c r="F2821">
        <v>116</v>
      </c>
      <c r="G2821" t="s">
        <v>126</v>
      </c>
      <c r="H2821" t="s">
        <v>167</v>
      </c>
      <c r="I2821" t="s">
        <v>45</v>
      </c>
      <c r="K2821">
        <v>202506118061485</v>
      </c>
      <c r="L2821">
        <v>2343300010453</v>
      </c>
      <c r="M2821">
        <v>20250611</v>
      </c>
      <c r="N2821" t="s">
        <v>195</v>
      </c>
      <c r="Q2821" t="s">
        <v>47</v>
      </c>
      <c r="R2821">
        <v>87896.5</v>
      </c>
      <c r="S2821">
        <v>87896.5</v>
      </c>
      <c r="T2821">
        <v>4247777</v>
      </c>
      <c r="U2821">
        <v>233470236</v>
      </c>
      <c r="V2821" t="s">
        <v>206</v>
      </c>
      <c r="W2821" t="s">
        <v>49</v>
      </c>
      <c r="X2821" t="s">
        <v>117</v>
      </c>
      <c r="Y2821" t="s">
        <v>51</v>
      </c>
      <c r="Z2821">
        <v>1696</v>
      </c>
      <c r="AH2821">
        <v>0</v>
      </c>
      <c r="AI2821">
        <v>202506</v>
      </c>
      <c r="AJ2821" t="s">
        <v>86</v>
      </c>
      <c r="AK2821">
        <v>1</v>
      </c>
      <c r="AL2821">
        <v>1</v>
      </c>
      <c r="AM2821">
        <v>4247777</v>
      </c>
      <c r="AN2821">
        <v>1</v>
      </c>
      <c r="AO2821">
        <v>0</v>
      </c>
      <c r="AP2821" t="s">
        <v>3029</v>
      </c>
      <c r="AQ2821" t="s">
        <v>3012</v>
      </c>
      <c r="AR2821" t="s">
        <v>3030</v>
      </c>
      <c r="AS2821" t="s">
        <v>3014</v>
      </c>
      <c r="AU2821" t="s">
        <v>3014</v>
      </c>
    </row>
    <row r="2822" spans="1:47" x14ac:dyDescent="0.35">
      <c r="A2822">
        <v>348913</v>
      </c>
      <c r="B2822" t="s">
        <v>178</v>
      </c>
      <c r="C2822" t="s">
        <v>179</v>
      </c>
      <c r="D2822" s="2">
        <v>45820</v>
      </c>
      <c r="E2822">
        <v>53850</v>
      </c>
      <c r="F2822">
        <v>200</v>
      </c>
      <c r="G2822" t="s">
        <v>858</v>
      </c>
      <c r="H2822" t="s">
        <v>167</v>
      </c>
      <c r="I2822" t="s">
        <v>45</v>
      </c>
      <c r="K2822">
        <v>202506118062007</v>
      </c>
      <c r="L2822">
        <v>2003300003846</v>
      </c>
      <c r="M2822">
        <v>20250611</v>
      </c>
      <c r="N2822" t="s">
        <v>344</v>
      </c>
      <c r="Q2822" t="s">
        <v>170</v>
      </c>
      <c r="R2822">
        <v>295000</v>
      </c>
      <c r="S2822">
        <v>0</v>
      </c>
      <c r="T2822">
        <v>3742853</v>
      </c>
      <c r="U2822" t="s">
        <v>1507</v>
      </c>
      <c r="V2822" t="s">
        <v>1508</v>
      </c>
      <c r="W2822" t="s">
        <v>187</v>
      </c>
      <c r="Y2822" t="s">
        <v>51</v>
      </c>
      <c r="Z2822">
        <v>1837</v>
      </c>
      <c r="AH2822">
        <v>0</v>
      </c>
      <c r="AI2822">
        <v>202506</v>
      </c>
      <c r="AJ2822" t="s">
        <v>52</v>
      </c>
      <c r="AK2822">
        <v>0</v>
      </c>
      <c r="AL2822">
        <v>1</v>
      </c>
      <c r="AO2822">
        <v>0</v>
      </c>
      <c r="AP2822" t="s">
        <v>3015</v>
      </c>
      <c r="AQ2822" t="s">
        <v>3044</v>
      </c>
      <c r="AR2822" t="s">
        <v>3045</v>
      </c>
      <c r="AS2822" t="s">
        <v>3046</v>
      </c>
      <c r="AU2822" t="s">
        <v>3046</v>
      </c>
    </row>
    <row r="2823" spans="1:47" x14ac:dyDescent="0.35">
      <c r="A2823">
        <v>348912</v>
      </c>
      <c r="B2823" t="s">
        <v>193</v>
      </c>
      <c r="C2823" t="s">
        <v>194</v>
      </c>
      <c r="D2823" s="2">
        <v>45820</v>
      </c>
      <c r="E2823">
        <v>53850</v>
      </c>
      <c r="F2823">
        <v>189</v>
      </c>
      <c r="G2823" t="s">
        <v>286</v>
      </c>
      <c r="H2823" t="s">
        <v>167</v>
      </c>
      <c r="I2823" t="s">
        <v>45</v>
      </c>
      <c r="K2823">
        <v>202506118061974</v>
      </c>
      <c r="L2823">
        <v>1893300023546</v>
      </c>
      <c r="M2823">
        <v>20250611</v>
      </c>
      <c r="N2823" t="s">
        <v>266</v>
      </c>
      <c r="Q2823" t="s">
        <v>47</v>
      </c>
      <c r="R2823">
        <v>57070</v>
      </c>
      <c r="S2823">
        <v>57070</v>
      </c>
      <c r="T2823">
        <v>3064562</v>
      </c>
      <c r="U2823" t="s">
        <v>287</v>
      </c>
      <c r="V2823" t="s">
        <v>288</v>
      </c>
      <c r="W2823" t="s">
        <v>69</v>
      </c>
      <c r="X2823" t="s">
        <v>55</v>
      </c>
      <c r="Y2823" t="s">
        <v>51</v>
      </c>
      <c r="Z2823">
        <v>1620</v>
      </c>
      <c r="AH2823">
        <v>0</v>
      </c>
      <c r="AI2823">
        <v>202506</v>
      </c>
      <c r="AJ2823" t="s">
        <v>56</v>
      </c>
      <c r="AK2823">
        <v>0</v>
      </c>
      <c r="AL2823">
        <v>1</v>
      </c>
      <c r="AM2823">
        <v>3064562</v>
      </c>
      <c r="AN2823">
        <v>1</v>
      </c>
      <c r="AO2823">
        <v>0</v>
      </c>
      <c r="AP2823" t="s">
        <v>3015</v>
      </c>
      <c r="AQ2823" t="s">
        <v>3021</v>
      </c>
      <c r="AR2823" t="s">
        <v>3022</v>
      </c>
      <c r="AT2823" t="s">
        <v>3017</v>
      </c>
      <c r="AU2823" t="s">
        <v>3014</v>
      </c>
    </row>
    <row r="2824" spans="1:47" x14ac:dyDescent="0.35">
      <c r="A2824">
        <v>348911</v>
      </c>
      <c r="B2824" t="s">
        <v>178</v>
      </c>
      <c r="C2824" t="s">
        <v>179</v>
      </c>
      <c r="D2824" s="2">
        <v>45820</v>
      </c>
      <c r="E2824">
        <v>53850</v>
      </c>
      <c r="F2824">
        <v>161</v>
      </c>
      <c r="G2824" t="s">
        <v>111</v>
      </c>
      <c r="H2824" t="s">
        <v>167</v>
      </c>
      <c r="I2824" t="s">
        <v>45</v>
      </c>
      <c r="K2824">
        <v>202506118059292</v>
      </c>
      <c r="L2824">
        <v>1613300029653</v>
      </c>
      <c r="M2824">
        <v>20250611</v>
      </c>
      <c r="N2824" t="s">
        <v>236</v>
      </c>
      <c r="P2824" t="s">
        <v>51</v>
      </c>
      <c r="Q2824" t="s">
        <v>170</v>
      </c>
      <c r="R2824">
        <v>700000</v>
      </c>
      <c r="S2824">
        <v>0</v>
      </c>
      <c r="T2824">
        <v>4088769</v>
      </c>
      <c r="U2824">
        <v>5150120722</v>
      </c>
      <c r="V2824" t="s">
        <v>270</v>
      </c>
      <c r="W2824" t="s">
        <v>49</v>
      </c>
      <c r="X2824" t="s">
        <v>110</v>
      </c>
      <c r="Y2824" t="s">
        <v>51</v>
      </c>
      <c r="Z2824">
        <v>1903</v>
      </c>
      <c r="AH2824">
        <v>0</v>
      </c>
      <c r="AI2824">
        <v>202506</v>
      </c>
      <c r="AJ2824" t="s">
        <v>56</v>
      </c>
      <c r="AK2824">
        <v>0</v>
      </c>
      <c r="AL2824">
        <v>1</v>
      </c>
      <c r="AM2824">
        <v>4088769</v>
      </c>
      <c r="AN2824">
        <v>1</v>
      </c>
      <c r="AO2824">
        <v>0</v>
      </c>
      <c r="AP2824" t="s">
        <v>3026</v>
      </c>
      <c r="AQ2824" t="s">
        <v>3012</v>
      </c>
      <c r="AR2824" t="s">
        <v>3027</v>
      </c>
      <c r="AS2824" t="s">
        <v>3028</v>
      </c>
      <c r="AU2824" t="s">
        <v>3028</v>
      </c>
    </row>
    <row r="2825" spans="1:47" x14ac:dyDescent="0.35">
      <c r="A2825">
        <v>348910</v>
      </c>
      <c r="B2825" t="s">
        <v>178</v>
      </c>
      <c r="C2825" t="s">
        <v>179</v>
      </c>
      <c r="D2825" s="2">
        <v>45820</v>
      </c>
      <c r="E2825">
        <v>53850</v>
      </c>
      <c r="F2825">
        <v>105</v>
      </c>
      <c r="G2825" t="s">
        <v>60</v>
      </c>
      <c r="H2825" t="s">
        <v>167</v>
      </c>
      <c r="I2825" t="s">
        <v>45</v>
      </c>
      <c r="K2825">
        <v>202506118060359</v>
      </c>
      <c r="L2825">
        <v>1053300516650</v>
      </c>
      <c r="M2825">
        <v>20250611</v>
      </c>
      <c r="N2825" t="s">
        <v>46</v>
      </c>
      <c r="P2825" t="s">
        <v>51</v>
      </c>
      <c r="Q2825" t="s">
        <v>47</v>
      </c>
      <c r="R2825">
        <v>225092.72</v>
      </c>
      <c r="S2825">
        <v>0</v>
      </c>
      <c r="T2825">
        <v>51665</v>
      </c>
      <c r="U2825" t="s">
        <v>1457</v>
      </c>
      <c r="V2825" t="s">
        <v>1458</v>
      </c>
      <c r="W2825" t="s">
        <v>187</v>
      </c>
      <c r="Y2825" t="s">
        <v>51</v>
      </c>
      <c r="Z2825">
        <v>1471</v>
      </c>
      <c r="AH2825">
        <v>0</v>
      </c>
      <c r="AI2825">
        <v>202506</v>
      </c>
      <c r="AJ2825" t="s">
        <v>86</v>
      </c>
      <c r="AK2825">
        <v>1</v>
      </c>
      <c r="AL2825">
        <v>1</v>
      </c>
      <c r="AO2825">
        <v>0</v>
      </c>
      <c r="AP2825" t="s">
        <v>3015</v>
      </c>
      <c r="AQ2825" t="s">
        <v>3044</v>
      </c>
      <c r="AR2825" t="s">
        <v>3045</v>
      </c>
      <c r="AS2825" t="s">
        <v>3046</v>
      </c>
      <c r="AU2825" t="s">
        <v>3046</v>
      </c>
    </row>
    <row r="2826" spans="1:47" x14ac:dyDescent="0.35">
      <c r="A2826">
        <v>348909</v>
      </c>
      <c r="B2826" t="s">
        <v>178</v>
      </c>
      <c r="C2826" t="s">
        <v>179</v>
      </c>
      <c r="D2826" s="2">
        <v>45820</v>
      </c>
      <c r="E2826">
        <v>53850</v>
      </c>
      <c r="F2826">
        <v>200</v>
      </c>
      <c r="G2826" t="s">
        <v>858</v>
      </c>
      <c r="H2826" t="s">
        <v>167</v>
      </c>
      <c r="I2826" t="s">
        <v>45</v>
      </c>
      <c r="K2826">
        <v>202506118062007</v>
      </c>
      <c r="L2826">
        <v>2003300003846</v>
      </c>
      <c r="M2826">
        <v>20250611</v>
      </c>
      <c r="N2826" t="s">
        <v>344</v>
      </c>
      <c r="Q2826" t="s">
        <v>170</v>
      </c>
      <c r="R2826">
        <v>295000</v>
      </c>
      <c r="S2826">
        <v>0</v>
      </c>
      <c r="T2826">
        <v>3742834</v>
      </c>
      <c r="U2826" t="s">
        <v>1505</v>
      </c>
      <c r="V2826" t="s">
        <v>1506</v>
      </c>
      <c r="W2826" t="s">
        <v>187</v>
      </c>
      <c r="Y2826" t="s">
        <v>51</v>
      </c>
      <c r="Z2826">
        <v>1837</v>
      </c>
      <c r="AH2826">
        <v>0</v>
      </c>
      <c r="AI2826">
        <v>202506</v>
      </c>
      <c r="AJ2826" t="s">
        <v>52</v>
      </c>
      <c r="AK2826">
        <v>0</v>
      </c>
      <c r="AL2826">
        <v>1</v>
      </c>
      <c r="AO2826">
        <v>0</v>
      </c>
      <c r="AP2826" t="s">
        <v>3015</v>
      </c>
      <c r="AQ2826" t="s">
        <v>3044</v>
      </c>
      <c r="AR2826" t="s">
        <v>3045</v>
      </c>
      <c r="AS2826" t="s">
        <v>3046</v>
      </c>
      <c r="AU2826" t="s">
        <v>3046</v>
      </c>
    </row>
    <row r="2827" spans="1:47" x14ac:dyDescent="0.35">
      <c r="A2827">
        <v>348908</v>
      </c>
      <c r="B2827" t="s">
        <v>172</v>
      </c>
      <c r="C2827" t="s">
        <v>173</v>
      </c>
      <c r="D2827" s="2">
        <v>45820</v>
      </c>
      <c r="E2827">
        <v>53850</v>
      </c>
      <c r="F2827">
        <v>102</v>
      </c>
      <c r="G2827" t="s">
        <v>151</v>
      </c>
      <c r="H2827" t="s">
        <v>167</v>
      </c>
      <c r="I2827" t="s">
        <v>45</v>
      </c>
      <c r="K2827">
        <v>202506118061607</v>
      </c>
      <c r="L2827">
        <v>1023308720728</v>
      </c>
      <c r="M2827">
        <v>20250611</v>
      </c>
      <c r="N2827" t="s">
        <v>231</v>
      </c>
      <c r="Q2827" t="s">
        <v>47</v>
      </c>
      <c r="R2827">
        <v>160000</v>
      </c>
      <c r="S2827">
        <v>0</v>
      </c>
      <c r="T2827">
        <v>558487</v>
      </c>
      <c r="U2827" t="s">
        <v>2759</v>
      </c>
      <c r="V2827" t="s">
        <v>2760</v>
      </c>
      <c r="W2827" t="s">
        <v>187</v>
      </c>
      <c r="Y2827" t="s">
        <v>51</v>
      </c>
      <c r="Z2827">
        <v>1648</v>
      </c>
      <c r="AH2827">
        <v>0</v>
      </c>
      <c r="AI2827">
        <v>202506</v>
      </c>
      <c r="AJ2827" t="s">
        <v>86</v>
      </c>
      <c r="AK2827">
        <v>1</v>
      </c>
      <c r="AL2827">
        <v>1</v>
      </c>
      <c r="AO2827">
        <v>0</v>
      </c>
      <c r="AP2827" t="s">
        <v>3015</v>
      </c>
      <c r="AQ2827" t="s">
        <v>3044</v>
      </c>
      <c r="AR2827" t="s">
        <v>3045</v>
      </c>
      <c r="AS2827" t="s">
        <v>3046</v>
      </c>
      <c r="AU2827" t="s">
        <v>3046</v>
      </c>
    </row>
    <row r="2828" spans="1:47" x14ac:dyDescent="0.35">
      <c r="A2828">
        <v>348907</v>
      </c>
      <c r="B2828" t="s">
        <v>164</v>
      </c>
      <c r="C2828" t="s">
        <v>165</v>
      </c>
      <c r="D2828" s="2">
        <v>45820</v>
      </c>
      <c r="E2828">
        <v>53850</v>
      </c>
      <c r="F2828">
        <v>192</v>
      </c>
      <c r="G2828" t="s">
        <v>66</v>
      </c>
      <c r="H2828" t="s">
        <v>167</v>
      </c>
      <c r="I2828" t="s">
        <v>45</v>
      </c>
      <c r="K2828">
        <v>202506118060766</v>
      </c>
      <c r="L2828">
        <v>1923300181730</v>
      </c>
      <c r="M2828">
        <v>20250611</v>
      </c>
      <c r="N2828" t="s">
        <v>168</v>
      </c>
      <c r="P2828" t="s">
        <v>203</v>
      </c>
      <c r="Q2828" t="s">
        <v>47</v>
      </c>
      <c r="R2828">
        <v>7180</v>
      </c>
      <c r="S2828">
        <v>0</v>
      </c>
      <c r="T2828">
        <v>4728790</v>
      </c>
      <c r="U2828">
        <v>7892320966</v>
      </c>
      <c r="V2828" t="s">
        <v>2495</v>
      </c>
      <c r="W2828" t="s">
        <v>49</v>
      </c>
      <c r="X2828" t="s">
        <v>2496</v>
      </c>
      <c r="Y2828" t="s">
        <v>51</v>
      </c>
      <c r="Z2828">
        <v>1907</v>
      </c>
      <c r="AH2828">
        <v>0</v>
      </c>
      <c r="AI2828">
        <v>202506</v>
      </c>
      <c r="AJ2828" t="s">
        <v>86</v>
      </c>
      <c r="AK2828">
        <v>1</v>
      </c>
      <c r="AL2828">
        <v>1</v>
      </c>
      <c r="AO2828">
        <v>0</v>
      </c>
      <c r="AP2828" t="s">
        <v>3015</v>
      </c>
      <c r="AQ2828" t="s">
        <v>3012</v>
      </c>
      <c r="AR2828" t="s">
        <v>3016</v>
      </c>
      <c r="AT2828" t="s">
        <v>3017</v>
      </c>
      <c r="AU2828" t="s">
        <v>3018</v>
      </c>
    </row>
    <row r="2829" spans="1:47" x14ac:dyDescent="0.35">
      <c r="A2829">
        <v>348906</v>
      </c>
      <c r="B2829" t="s">
        <v>193</v>
      </c>
      <c r="C2829" t="s">
        <v>194</v>
      </c>
      <c r="D2829" s="2">
        <v>45820</v>
      </c>
      <c r="E2829">
        <v>53850</v>
      </c>
      <c r="F2829">
        <v>128</v>
      </c>
      <c r="G2829" t="s">
        <v>94</v>
      </c>
      <c r="H2829" t="s">
        <v>167</v>
      </c>
      <c r="I2829" t="s">
        <v>45</v>
      </c>
      <c r="K2829" t="s">
        <v>2754</v>
      </c>
      <c r="L2829">
        <v>1283300003941</v>
      </c>
      <c r="M2829">
        <v>20250611</v>
      </c>
      <c r="N2829" t="s">
        <v>195</v>
      </c>
      <c r="Q2829" t="s">
        <v>47</v>
      </c>
      <c r="R2829">
        <v>48300</v>
      </c>
      <c r="S2829">
        <v>48300</v>
      </c>
      <c r="T2829">
        <v>4916499</v>
      </c>
      <c r="U2829" t="s">
        <v>382</v>
      </c>
      <c r="V2829" t="s">
        <v>383</v>
      </c>
      <c r="W2829" t="s">
        <v>69</v>
      </c>
      <c r="X2829" t="s">
        <v>55</v>
      </c>
      <c r="Y2829" t="s">
        <v>51</v>
      </c>
      <c r="Z2829">
        <v>1166</v>
      </c>
      <c r="AH2829">
        <v>0</v>
      </c>
      <c r="AI2829">
        <v>202506</v>
      </c>
      <c r="AJ2829" t="s">
        <v>119</v>
      </c>
      <c r="AK2829">
        <v>1</v>
      </c>
      <c r="AL2829">
        <v>1</v>
      </c>
      <c r="AM2829">
        <v>4916499</v>
      </c>
      <c r="AN2829">
        <v>1</v>
      </c>
      <c r="AO2829">
        <v>0</v>
      </c>
      <c r="AP2829" t="s">
        <v>3015</v>
      </c>
      <c r="AQ2829" t="s">
        <v>3021</v>
      </c>
      <c r="AR2829" t="s">
        <v>3022</v>
      </c>
      <c r="AT2829" t="s">
        <v>3017</v>
      </c>
      <c r="AU2829" t="s">
        <v>3014</v>
      </c>
    </row>
    <row r="2830" spans="1:47" x14ac:dyDescent="0.35">
      <c r="A2830">
        <v>348905</v>
      </c>
      <c r="B2830" t="s">
        <v>178</v>
      </c>
      <c r="C2830" t="s">
        <v>179</v>
      </c>
      <c r="D2830" s="2">
        <v>45820</v>
      </c>
      <c r="E2830">
        <v>53850</v>
      </c>
      <c r="F2830">
        <v>182</v>
      </c>
      <c r="G2830" t="s">
        <v>318</v>
      </c>
      <c r="H2830" t="s">
        <v>167</v>
      </c>
      <c r="I2830" t="s">
        <v>45</v>
      </c>
      <c r="K2830">
        <v>202506118061965</v>
      </c>
      <c r="L2830">
        <v>1823300170963</v>
      </c>
      <c r="M2830">
        <v>20250611</v>
      </c>
      <c r="N2830" t="s">
        <v>1002</v>
      </c>
      <c r="Q2830" t="s">
        <v>47</v>
      </c>
      <c r="R2830">
        <v>210000</v>
      </c>
      <c r="S2830">
        <v>0</v>
      </c>
      <c r="T2830">
        <v>3066145</v>
      </c>
      <c r="U2830" t="s">
        <v>2761</v>
      </c>
      <c r="V2830" t="s">
        <v>2762</v>
      </c>
      <c r="W2830" t="s">
        <v>187</v>
      </c>
      <c r="Y2830" t="s">
        <v>51</v>
      </c>
      <c r="Z2830">
        <v>616</v>
      </c>
      <c r="AH2830">
        <v>0</v>
      </c>
      <c r="AI2830">
        <v>202506</v>
      </c>
      <c r="AJ2830" t="s">
        <v>86</v>
      </c>
      <c r="AK2830">
        <v>1</v>
      </c>
      <c r="AL2830">
        <v>1</v>
      </c>
      <c r="AO2830">
        <v>0</v>
      </c>
      <c r="AP2830" t="s">
        <v>3015</v>
      </c>
      <c r="AQ2830" t="s">
        <v>3044</v>
      </c>
      <c r="AR2830" t="s">
        <v>3045</v>
      </c>
      <c r="AS2830" t="s">
        <v>3046</v>
      </c>
      <c r="AU2830" t="s">
        <v>3046</v>
      </c>
    </row>
    <row r="2831" spans="1:47" x14ac:dyDescent="0.35">
      <c r="A2831">
        <v>348904</v>
      </c>
      <c r="B2831" t="s">
        <v>193</v>
      </c>
      <c r="C2831" t="s">
        <v>194</v>
      </c>
      <c r="D2831" s="2">
        <v>45820</v>
      </c>
      <c r="E2831">
        <v>53850</v>
      </c>
      <c r="F2831">
        <v>264</v>
      </c>
      <c r="G2831" t="s">
        <v>71</v>
      </c>
      <c r="H2831" t="s">
        <v>167</v>
      </c>
      <c r="I2831" t="s">
        <v>45</v>
      </c>
      <c r="K2831" t="s">
        <v>2754</v>
      </c>
      <c r="L2831">
        <v>2643300002171</v>
      </c>
      <c r="M2831">
        <v>20250611</v>
      </c>
      <c r="N2831" t="s">
        <v>195</v>
      </c>
      <c r="Q2831" t="s">
        <v>47</v>
      </c>
      <c r="R2831">
        <v>31620</v>
      </c>
      <c r="S2831">
        <v>31620</v>
      </c>
      <c r="T2831">
        <v>1705273</v>
      </c>
      <c r="U2831">
        <v>1112900772</v>
      </c>
      <c r="V2831" t="s">
        <v>502</v>
      </c>
      <c r="W2831" t="s">
        <v>190</v>
      </c>
      <c r="X2831" t="s">
        <v>131</v>
      </c>
      <c r="Y2831" t="s">
        <v>51</v>
      </c>
      <c r="Z2831">
        <v>936</v>
      </c>
      <c r="AH2831">
        <v>0</v>
      </c>
      <c r="AI2831">
        <v>202506</v>
      </c>
      <c r="AJ2831" t="s">
        <v>86</v>
      </c>
      <c r="AK2831">
        <v>1</v>
      </c>
      <c r="AL2831">
        <v>1</v>
      </c>
      <c r="AM2831">
        <v>1705273</v>
      </c>
      <c r="AN2831">
        <v>1</v>
      </c>
      <c r="AO2831">
        <v>0</v>
      </c>
      <c r="AP2831" t="s">
        <v>3033</v>
      </c>
      <c r="AQ2831" t="s">
        <v>3047</v>
      </c>
      <c r="AR2831" t="s">
        <v>3048</v>
      </c>
      <c r="AS2831" t="s">
        <v>3049</v>
      </c>
      <c r="AU2831" t="s">
        <v>3049</v>
      </c>
    </row>
    <row r="2832" spans="1:47" x14ac:dyDescent="0.35">
      <c r="A2832">
        <v>348903</v>
      </c>
      <c r="B2832" t="s">
        <v>193</v>
      </c>
      <c r="C2832" t="s">
        <v>194</v>
      </c>
      <c r="D2832" s="2">
        <v>45820</v>
      </c>
      <c r="E2832">
        <v>53850</v>
      </c>
      <c r="F2832">
        <v>102</v>
      </c>
      <c r="G2832" t="s">
        <v>151</v>
      </c>
      <c r="H2832" t="s">
        <v>167</v>
      </c>
      <c r="I2832" t="s">
        <v>45</v>
      </c>
      <c r="K2832" t="s">
        <v>2754</v>
      </c>
      <c r="L2832">
        <v>1023308722503</v>
      </c>
      <c r="M2832">
        <v>20250611</v>
      </c>
      <c r="N2832" t="s">
        <v>195</v>
      </c>
      <c r="Q2832" t="s">
        <v>47</v>
      </c>
      <c r="R2832">
        <v>27020</v>
      </c>
      <c r="S2832">
        <v>27020</v>
      </c>
      <c r="T2832">
        <v>413650</v>
      </c>
      <c r="U2832">
        <v>3657230722</v>
      </c>
      <c r="V2832" t="s">
        <v>196</v>
      </c>
      <c r="W2832" t="s">
        <v>190</v>
      </c>
      <c r="X2832" t="s">
        <v>197</v>
      </c>
      <c r="Y2832" t="s">
        <v>51</v>
      </c>
      <c r="Z2832">
        <v>1306</v>
      </c>
      <c r="AH2832">
        <v>0</v>
      </c>
      <c r="AI2832">
        <v>202506</v>
      </c>
      <c r="AJ2832" t="s">
        <v>119</v>
      </c>
      <c r="AK2832">
        <v>1</v>
      </c>
      <c r="AL2832">
        <v>1</v>
      </c>
      <c r="AM2832">
        <v>413650</v>
      </c>
      <c r="AN2832">
        <v>1</v>
      </c>
      <c r="AO2832">
        <v>0</v>
      </c>
      <c r="AP2832" t="s">
        <v>3050</v>
      </c>
      <c r="AQ2832" t="s">
        <v>3047</v>
      </c>
      <c r="AR2832" t="s">
        <v>3051</v>
      </c>
      <c r="AS2832" t="s">
        <v>3049</v>
      </c>
      <c r="AU2832" t="s">
        <v>3049</v>
      </c>
    </row>
    <row r="2833" spans="1:47" x14ac:dyDescent="0.35">
      <c r="A2833">
        <v>348902</v>
      </c>
      <c r="B2833" t="s">
        <v>178</v>
      </c>
      <c r="C2833" t="s">
        <v>179</v>
      </c>
      <c r="D2833" s="2">
        <v>45820</v>
      </c>
      <c r="E2833">
        <v>53850</v>
      </c>
      <c r="F2833">
        <v>173</v>
      </c>
      <c r="G2833" t="s">
        <v>1409</v>
      </c>
      <c r="H2833" t="s">
        <v>167</v>
      </c>
      <c r="I2833" t="s">
        <v>45</v>
      </c>
      <c r="K2833">
        <v>202506118061920</v>
      </c>
      <c r="L2833">
        <v>1733302704363</v>
      </c>
      <c r="M2833">
        <v>20250611</v>
      </c>
      <c r="N2833" t="s">
        <v>3136</v>
      </c>
      <c r="Q2833" t="s">
        <v>170</v>
      </c>
      <c r="R2833">
        <v>70990.02</v>
      </c>
      <c r="S2833">
        <v>0</v>
      </c>
      <c r="T2833">
        <v>4418266</v>
      </c>
      <c r="U2833" t="s">
        <v>2763</v>
      </c>
      <c r="V2833" t="s">
        <v>2764</v>
      </c>
      <c r="W2833" t="s">
        <v>187</v>
      </c>
      <c r="Y2833" t="s">
        <v>51</v>
      </c>
      <c r="Z2833">
        <v>1179</v>
      </c>
      <c r="AH2833">
        <v>0</v>
      </c>
      <c r="AI2833">
        <v>202506</v>
      </c>
      <c r="AJ2833" t="s">
        <v>86</v>
      </c>
      <c r="AK2833">
        <v>1</v>
      </c>
      <c r="AL2833">
        <v>1</v>
      </c>
      <c r="AO2833">
        <v>1</v>
      </c>
      <c r="AP2833" t="s">
        <v>3015</v>
      </c>
      <c r="AQ2833" t="s">
        <v>3044</v>
      </c>
      <c r="AR2833" t="s">
        <v>3045</v>
      </c>
      <c r="AS2833" t="s">
        <v>3046</v>
      </c>
      <c r="AU2833" t="s">
        <v>3046</v>
      </c>
    </row>
    <row r="2834" spans="1:47" x14ac:dyDescent="0.35">
      <c r="A2834">
        <v>348901</v>
      </c>
      <c r="B2834" t="s">
        <v>214</v>
      </c>
      <c r="C2834" t="s">
        <v>215</v>
      </c>
      <c r="D2834" s="2">
        <v>45820</v>
      </c>
      <c r="E2834">
        <v>53850</v>
      </c>
      <c r="F2834">
        <v>102</v>
      </c>
      <c r="G2834" t="s">
        <v>151</v>
      </c>
      <c r="H2834" t="s">
        <v>167</v>
      </c>
      <c r="I2834" t="s">
        <v>45</v>
      </c>
      <c r="K2834">
        <v>202506118060760</v>
      </c>
      <c r="L2834">
        <v>1023304893170</v>
      </c>
      <c r="M2834">
        <v>20250611</v>
      </c>
      <c r="N2834" t="s">
        <v>168</v>
      </c>
      <c r="P2834" t="s">
        <v>339</v>
      </c>
      <c r="Q2834" t="s">
        <v>170</v>
      </c>
      <c r="R2834">
        <v>16645.89</v>
      </c>
      <c r="S2834">
        <v>0</v>
      </c>
      <c r="T2834">
        <v>489317</v>
      </c>
      <c r="U2834">
        <v>4213260724</v>
      </c>
      <c r="V2834" t="s">
        <v>2427</v>
      </c>
      <c r="W2834" t="s">
        <v>49</v>
      </c>
      <c r="X2834" t="s">
        <v>110</v>
      </c>
      <c r="Y2834" t="s">
        <v>51</v>
      </c>
      <c r="Z2834">
        <v>1203</v>
      </c>
      <c r="AH2834">
        <v>0</v>
      </c>
      <c r="AI2834">
        <v>202506</v>
      </c>
      <c r="AJ2834" t="s">
        <v>86</v>
      </c>
      <c r="AK2834">
        <v>1</v>
      </c>
      <c r="AL2834">
        <v>1</v>
      </c>
      <c r="AO2834">
        <v>0</v>
      </c>
      <c r="AP2834" t="s">
        <v>3026</v>
      </c>
      <c r="AQ2834" t="s">
        <v>3012</v>
      </c>
      <c r="AR2834" t="s">
        <v>3027</v>
      </c>
      <c r="AS2834" t="s">
        <v>3028</v>
      </c>
      <c r="AU2834" t="s">
        <v>3028</v>
      </c>
    </row>
    <row r="2835" spans="1:47" x14ac:dyDescent="0.35">
      <c r="A2835">
        <v>348900</v>
      </c>
      <c r="B2835" t="s">
        <v>178</v>
      </c>
      <c r="C2835" t="s">
        <v>179</v>
      </c>
      <c r="D2835" s="2">
        <v>45820</v>
      </c>
      <c r="E2835">
        <v>53850</v>
      </c>
      <c r="F2835">
        <v>102</v>
      </c>
      <c r="G2835" t="s">
        <v>151</v>
      </c>
      <c r="H2835" t="s">
        <v>167</v>
      </c>
      <c r="I2835" t="s">
        <v>45</v>
      </c>
      <c r="K2835">
        <v>202506118061275</v>
      </c>
      <c r="L2835">
        <v>1503300003188</v>
      </c>
      <c r="M2835">
        <v>20250611</v>
      </c>
      <c r="N2835" t="s">
        <v>242</v>
      </c>
      <c r="Q2835" t="s">
        <v>47</v>
      </c>
      <c r="R2835">
        <v>15000000</v>
      </c>
      <c r="S2835">
        <v>0</v>
      </c>
      <c r="T2835">
        <v>4269640</v>
      </c>
      <c r="U2835">
        <v>4797080969</v>
      </c>
      <c r="V2835" t="s">
        <v>152</v>
      </c>
      <c r="W2835" t="s">
        <v>153</v>
      </c>
      <c r="X2835" t="s">
        <v>210</v>
      </c>
      <c r="Y2835" t="s">
        <v>51</v>
      </c>
      <c r="Z2835">
        <v>1926</v>
      </c>
      <c r="AH2835">
        <v>0</v>
      </c>
      <c r="AI2835">
        <v>202506</v>
      </c>
      <c r="AJ2835" t="s">
        <v>86</v>
      </c>
      <c r="AK2835">
        <v>1</v>
      </c>
      <c r="AL2835">
        <v>1</v>
      </c>
      <c r="AO2835">
        <v>0</v>
      </c>
      <c r="AP2835" t="s">
        <v>3015</v>
      </c>
      <c r="AQ2835" t="s">
        <v>3035</v>
      </c>
      <c r="AR2835" t="s">
        <v>3036</v>
      </c>
      <c r="AT2835" t="s">
        <v>3017</v>
      </c>
      <c r="AU2835" t="s">
        <v>3037</v>
      </c>
    </row>
    <row r="2836" spans="1:47" x14ac:dyDescent="0.35">
      <c r="A2836">
        <v>348899</v>
      </c>
      <c r="B2836" t="s">
        <v>193</v>
      </c>
      <c r="C2836" t="s">
        <v>194</v>
      </c>
      <c r="D2836" s="2">
        <v>45820</v>
      </c>
      <c r="E2836">
        <v>53850</v>
      </c>
      <c r="F2836">
        <v>192</v>
      </c>
      <c r="G2836" t="s">
        <v>66</v>
      </c>
      <c r="H2836" t="s">
        <v>167</v>
      </c>
      <c r="I2836" t="s">
        <v>45</v>
      </c>
      <c r="K2836" t="s">
        <v>2754</v>
      </c>
      <c r="L2836">
        <v>1923300179529</v>
      </c>
      <c r="M2836">
        <v>20250611</v>
      </c>
      <c r="N2836" t="s">
        <v>175</v>
      </c>
      <c r="Q2836" t="s">
        <v>47</v>
      </c>
      <c r="R2836">
        <v>19265.419999999998</v>
      </c>
      <c r="S2836">
        <v>15250</v>
      </c>
      <c r="T2836">
        <v>4198198</v>
      </c>
      <c r="U2836">
        <v>1934960731</v>
      </c>
      <c r="V2836" t="s">
        <v>508</v>
      </c>
      <c r="W2836" t="s">
        <v>190</v>
      </c>
      <c r="X2836" t="s">
        <v>131</v>
      </c>
      <c r="Y2836" t="s">
        <v>51</v>
      </c>
      <c r="Z2836">
        <v>1066</v>
      </c>
      <c r="AH2836">
        <v>0</v>
      </c>
      <c r="AI2836">
        <v>202506</v>
      </c>
      <c r="AJ2836" t="s">
        <v>86</v>
      </c>
      <c r="AK2836">
        <v>1</v>
      </c>
      <c r="AL2836">
        <v>1</v>
      </c>
      <c r="AM2836">
        <v>4198198</v>
      </c>
      <c r="AN2836">
        <v>1</v>
      </c>
      <c r="AO2836">
        <v>1</v>
      </c>
      <c r="AP2836" t="s">
        <v>3033</v>
      </c>
      <c r="AQ2836" t="s">
        <v>3047</v>
      </c>
      <c r="AR2836" t="s">
        <v>3048</v>
      </c>
      <c r="AS2836" t="s">
        <v>3049</v>
      </c>
      <c r="AU2836" t="s">
        <v>3049</v>
      </c>
    </row>
    <row r="2837" spans="1:47" x14ac:dyDescent="0.35">
      <c r="A2837">
        <v>348898</v>
      </c>
      <c r="B2837" t="s">
        <v>178</v>
      </c>
      <c r="C2837" t="s">
        <v>179</v>
      </c>
      <c r="D2837" s="2">
        <v>45820</v>
      </c>
      <c r="E2837">
        <v>53850</v>
      </c>
      <c r="F2837">
        <v>102</v>
      </c>
      <c r="G2837" t="s">
        <v>151</v>
      </c>
      <c r="H2837" t="s">
        <v>167</v>
      </c>
      <c r="I2837" t="s">
        <v>45</v>
      </c>
      <c r="K2837">
        <v>202506118058928</v>
      </c>
      <c r="L2837">
        <v>1023302279020</v>
      </c>
      <c r="M2837">
        <v>20250611</v>
      </c>
      <c r="N2837" t="s">
        <v>310</v>
      </c>
      <c r="Q2837" t="s">
        <v>170</v>
      </c>
      <c r="R2837">
        <v>469991.14</v>
      </c>
      <c r="S2837">
        <v>0</v>
      </c>
      <c r="T2837">
        <v>225102</v>
      </c>
      <c r="U2837">
        <v>3613570724</v>
      </c>
      <c r="V2837" t="s">
        <v>1913</v>
      </c>
      <c r="W2837" t="s">
        <v>49</v>
      </c>
      <c r="X2837" t="s">
        <v>343</v>
      </c>
      <c r="Y2837" t="s">
        <v>51</v>
      </c>
      <c r="Z2837">
        <v>1203</v>
      </c>
      <c r="AH2837">
        <v>0</v>
      </c>
      <c r="AI2837">
        <v>202506</v>
      </c>
      <c r="AJ2837" t="s">
        <v>86</v>
      </c>
      <c r="AK2837">
        <v>1</v>
      </c>
      <c r="AL2837">
        <v>1</v>
      </c>
      <c r="AO2837">
        <v>0</v>
      </c>
      <c r="AP2837" t="s">
        <v>3086</v>
      </c>
      <c r="AQ2837" t="s">
        <v>3012</v>
      </c>
      <c r="AR2837" t="s">
        <v>3087</v>
      </c>
      <c r="AS2837" t="s">
        <v>3014</v>
      </c>
      <c r="AU2837" t="s">
        <v>3014</v>
      </c>
    </row>
    <row r="2838" spans="1:47" x14ac:dyDescent="0.35">
      <c r="A2838">
        <v>348897</v>
      </c>
      <c r="B2838" t="s">
        <v>172</v>
      </c>
      <c r="C2838" t="s">
        <v>173</v>
      </c>
      <c r="D2838" s="2">
        <v>45820</v>
      </c>
      <c r="E2838">
        <v>53850</v>
      </c>
      <c r="F2838">
        <v>108</v>
      </c>
      <c r="G2838" t="s">
        <v>124</v>
      </c>
      <c r="H2838" t="s">
        <v>167</v>
      </c>
      <c r="I2838" t="s">
        <v>45</v>
      </c>
      <c r="K2838" t="s">
        <v>2754</v>
      </c>
      <c r="L2838">
        <v>1083306291105</v>
      </c>
      <c r="M2838">
        <v>20250611</v>
      </c>
      <c r="N2838" t="s">
        <v>175</v>
      </c>
      <c r="Q2838" t="s">
        <v>47</v>
      </c>
      <c r="R2838">
        <v>109896.81</v>
      </c>
      <c r="S2838">
        <v>76840.7</v>
      </c>
      <c r="T2838">
        <v>4227057</v>
      </c>
      <c r="U2838">
        <v>4874620729</v>
      </c>
      <c r="V2838" t="s">
        <v>250</v>
      </c>
      <c r="W2838" t="s">
        <v>49</v>
      </c>
      <c r="X2838" t="s">
        <v>62</v>
      </c>
      <c r="Y2838" t="s">
        <v>51</v>
      </c>
      <c r="Z2838">
        <v>1058</v>
      </c>
      <c r="AH2838">
        <v>0</v>
      </c>
      <c r="AI2838">
        <v>202506</v>
      </c>
      <c r="AJ2838" t="s">
        <v>119</v>
      </c>
      <c r="AK2838">
        <v>1</v>
      </c>
      <c r="AL2838">
        <v>1</v>
      </c>
      <c r="AM2838">
        <v>4227057</v>
      </c>
      <c r="AN2838">
        <v>1</v>
      </c>
      <c r="AO2838">
        <v>1</v>
      </c>
      <c r="AP2838" t="s">
        <v>3015</v>
      </c>
      <c r="AQ2838" t="s">
        <v>3012</v>
      </c>
      <c r="AR2838" t="s">
        <v>3016</v>
      </c>
      <c r="AT2838" t="s">
        <v>3017</v>
      </c>
      <c r="AU2838" t="s">
        <v>3018</v>
      </c>
    </row>
    <row r="2839" spans="1:47" x14ac:dyDescent="0.35">
      <c r="A2839">
        <v>348896</v>
      </c>
      <c r="B2839" t="s">
        <v>193</v>
      </c>
      <c r="C2839" t="s">
        <v>194</v>
      </c>
      <c r="D2839" s="2">
        <v>45820</v>
      </c>
      <c r="E2839">
        <v>53850</v>
      </c>
      <c r="F2839">
        <v>108</v>
      </c>
      <c r="G2839" t="s">
        <v>124</v>
      </c>
      <c r="H2839" t="s">
        <v>167</v>
      </c>
      <c r="I2839" t="s">
        <v>45</v>
      </c>
      <c r="K2839" t="s">
        <v>2754</v>
      </c>
      <c r="L2839">
        <v>1083306291105</v>
      </c>
      <c r="M2839">
        <v>20250611</v>
      </c>
      <c r="N2839" t="s">
        <v>175</v>
      </c>
      <c r="Q2839" t="s">
        <v>47</v>
      </c>
      <c r="R2839">
        <v>109896.81</v>
      </c>
      <c r="S2839">
        <v>76840.7</v>
      </c>
      <c r="T2839">
        <v>4227057</v>
      </c>
      <c r="U2839">
        <v>4874620729</v>
      </c>
      <c r="V2839" t="s">
        <v>250</v>
      </c>
      <c r="W2839" t="s">
        <v>49</v>
      </c>
      <c r="X2839" t="s">
        <v>62</v>
      </c>
      <c r="Y2839" t="s">
        <v>51</v>
      </c>
      <c r="Z2839">
        <v>1058</v>
      </c>
      <c r="AH2839">
        <v>0</v>
      </c>
      <c r="AI2839">
        <v>202506</v>
      </c>
      <c r="AJ2839" t="s">
        <v>119</v>
      </c>
      <c r="AK2839">
        <v>1</v>
      </c>
      <c r="AL2839">
        <v>1</v>
      </c>
      <c r="AM2839">
        <v>4227057</v>
      </c>
      <c r="AN2839">
        <v>1</v>
      </c>
      <c r="AO2839">
        <v>1</v>
      </c>
      <c r="AP2839" t="s">
        <v>3015</v>
      </c>
      <c r="AQ2839" t="s">
        <v>3012</v>
      </c>
      <c r="AR2839" t="s">
        <v>3016</v>
      </c>
      <c r="AT2839" t="s">
        <v>3017</v>
      </c>
      <c r="AU2839" t="s">
        <v>3018</v>
      </c>
    </row>
    <row r="2840" spans="1:47" x14ac:dyDescent="0.35">
      <c r="A2840">
        <v>348895</v>
      </c>
      <c r="B2840" t="s">
        <v>178</v>
      </c>
      <c r="C2840" t="s">
        <v>179</v>
      </c>
      <c r="D2840" s="2">
        <v>45820</v>
      </c>
      <c r="E2840">
        <v>53850</v>
      </c>
      <c r="F2840">
        <v>171</v>
      </c>
      <c r="G2840" t="s">
        <v>198</v>
      </c>
      <c r="H2840" t="s">
        <v>167</v>
      </c>
      <c r="I2840" t="s">
        <v>45</v>
      </c>
      <c r="K2840">
        <v>202506118061914</v>
      </c>
      <c r="L2840">
        <v>1713302219286</v>
      </c>
      <c r="M2840">
        <v>20250611</v>
      </c>
      <c r="N2840" t="s">
        <v>236</v>
      </c>
      <c r="P2840" t="s">
        <v>51</v>
      </c>
      <c r="Q2840" t="s">
        <v>170</v>
      </c>
      <c r="R2840">
        <v>257000</v>
      </c>
      <c r="S2840">
        <v>0</v>
      </c>
      <c r="T2840">
        <v>4928601</v>
      </c>
      <c r="U2840" t="s">
        <v>2765</v>
      </c>
      <c r="V2840" t="s">
        <v>2766</v>
      </c>
      <c r="W2840" t="s">
        <v>187</v>
      </c>
      <c r="Y2840" t="s">
        <v>51</v>
      </c>
      <c r="Z2840">
        <v>856</v>
      </c>
      <c r="AH2840">
        <v>0</v>
      </c>
      <c r="AI2840">
        <v>202506</v>
      </c>
      <c r="AJ2840" t="s">
        <v>52</v>
      </c>
      <c r="AK2840">
        <v>0</v>
      </c>
      <c r="AL2840">
        <v>1</v>
      </c>
      <c r="AO2840">
        <v>0</v>
      </c>
      <c r="AP2840" t="s">
        <v>3015</v>
      </c>
      <c r="AQ2840" t="s">
        <v>3044</v>
      </c>
      <c r="AR2840" t="s">
        <v>3045</v>
      </c>
      <c r="AS2840" t="s">
        <v>3046</v>
      </c>
      <c r="AU2840" t="s">
        <v>3046</v>
      </c>
    </row>
    <row r="2841" spans="1:47" x14ac:dyDescent="0.35">
      <c r="A2841">
        <v>348894</v>
      </c>
      <c r="B2841" t="s">
        <v>164</v>
      </c>
      <c r="C2841" t="s">
        <v>165</v>
      </c>
      <c r="D2841" s="2">
        <v>45820</v>
      </c>
      <c r="E2841">
        <v>53850</v>
      </c>
      <c r="F2841">
        <v>129</v>
      </c>
      <c r="G2841" t="s">
        <v>227</v>
      </c>
      <c r="H2841" t="s">
        <v>167</v>
      </c>
      <c r="I2841" t="s">
        <v>45</v>
      </c>
      <c r="K2841" t="s">
        <v>2767</v>
      </c>
      <c r="L2841">
        <v>1293300002811</v>
      </c>
      <c r="M2841">
        <v>20250611</v>
      </c>
      <c r="N2841" t="s">
        <v>168</v>
      </c>
      <c r="P2841" t="s">
        <v>169</v>
      </c>
      <c r="Q2841" t="s">
        <v>47</v>
      </c>
      <c r="R2841">
        <v>4732.6000000000004</v>
      </c>
      <c r="S2841">
        <v>0</v>
      </c>
      <c r="T2841">
        <v>4972184</v>
      </c>
      <c r="U2841">
        <v>7780290727</v>
      </c>
      <c r="V2841" t="s">
        <v>720</v>
      </c>
      <c r="W2841" t="s">
        <v>49</v>
      </c>
      <c r="X2841" t="s">
        <v>721</v>
      </c>
      <c r="Y2841" t="s">
        <v>51</v>
      </c>
      <c r="Z2841">
        <v>1058</v>
      </c>
      <c r="AH2841">
        <v>0</v>
      </c>
      <c r="AI2841">
        <v>202506</v>
      </c>
      <c r="AJ2841" t="s">
        <v>86</v>
      </c>
      <c r="AK2841">
        <v>1</v>
      </c>
      <c r="AL2841">
        <v>1</v>
      </c>
      <c r="AO2841">
        <v>0</v>
      </c>
      <c r="AP2841" t="s">
        <v>3015</v>
      </c>
      <c r="AQ2841" t="s">
        <v>3012</v>
      </c>
      <c r="AR2841" t="s">
        <v>3016</v>
      </c>
      <c r="AT2841" t="s">
        <v>3017</v>
      </c>
      <c r="AU2841" t="s">
        <v>3018</v>
      </c>
    </row>
    <row r="2842" spans="1:47" x14ac:dyDescent="0.35">
      <c r="A2842">
        <v>348893</v>
      </c>
      <c r="B2842" t="s">
        <v>172</v>
      </c>
      <c r="C2842" t="s">
        <v>173</v>
      </c>
      <c r="D2842" s="2">
        <v>45820</v>
      </c>
      <c r="E2842">
        <v>53850</v>
      </c>
      <c r="F2842">
        <v>188</v>
      </c>
      <c r="G2842" t="s">
        <v>419</v>
      </c>
      <c r="H2842" t="s">
        <v>167</v>
      </c>
      <c r="I2842" t="s">
        <v>45</v>
      </c>
      <c r="K2842">
        <v>202506118061973</v>
      </c>
      <c r="L2842">
        <v>1883309518885</v>
      </c>
      <c r="M2842">
        <v>20250611</v>
      </c>
      <c r="N2842" t="s">
        <v>81</v>
      </c>
      <c r="Q2842" t="s">
        <v>47</v>
      </c>
      <c r="R2842">
        <v>200000</v>
      </c>
      <c r="S2842">
        <v>0</v>
      </c>
      <c r="T2842">
        <v>3062147</v>
      </c>
      <c r="U2842" t="s">
        <v>2319</v>
      </c>
      <c r="V2842" t="s">
        <v>2320</v>
      </c>
      <c r="W2842" t="s">
        <v>69</v>
      </c>
      <c r="X2842" t="s">
        <v>131</v>
      </c>
      <c r="Y2842" t="s">
        <v>51</v>
      </c>
      <c r="Z2842">
        <v>637</v>
      </c>
      <c r="AH2842">
        <v>0</v>
      </c>
      <c r="AI2842">
        <v>202506</v>
      </c>
      <c r="AJ2842" t="s">
        <v>119</v>
      </c>
      <c r="AK2842">
        <v>1</v>
      </c>
      <c r="AL2842">
        <v>1</v>
      </c>
      <c r="AM2842">
        <v>3062147</v>
      </c>
      <c r="AN2842">
        <v>1</v>
      </c>
      <c r="AO2842">
        <v>0</v>
      </c>
      <c r="AP2842" t="s">
        <v>3033</v>
      </c>
      <c r="AQ2842" t="s">
        <v>3021</v>
      </c>
      <c r="AR2842" t="s">
        <v>3054</v>
      </c>
      <c r="AS2842" t="s">
        <v>3055</v>
      </c>
      <c r="AU2842" t="s">
        <v>3055</v>
      </c>
    </row>
    <row r="2843" spans="1:47" x14ac:dyDescent="0.35">
      <c r="A2843">
        <v>348892</v>
      </c>
      <c r="B2843" t="s">
        <v>333</v>
      </c>
      <c r="C2843" t="s">
        <v>334</v>
      </c>
      <c r="D2843" s="2">
        <v>45820</v>
      </c>
      <c r="E2843">
        <v>53850</v>
      </c>
      <c r="F2843">
        <v>103</v>
      </c>
      <c r="G2843" t="s">
        <v>80</v>
      </c>
      <c r="H2843" t="s">
        <v>167</v>
      </c>
      <c r="I2843" t="s">
        <v>45</v>
      </c>
      <c r="K2843">
        <v>202506118061660</v>
      </c>
      <c r="M2843">
        <v>20250611</v>
      </c>
      <c r="N2843" t="s">
        <v>1356</v>
      </c>
      <c r="Q2843" t="s">
        <v>170</v>
      </c>
      <c r="R2843">
        <v>50000</v>
      </c>
      <c r="S2843">
        <v>0</v>
      </c>
      <c r="T2843">
        <v>40743</v>
      </c>
      <c r="U2843" t="s">
        <v>2768</v>
      </c>
      <c r="V2843" t="s">
        <v>2769</v>
      </c>
      <c r="W2843" t="s">
        <v>187</v>
      </c>
      <c r="Y2843" t="s">
        <v>51</v>
      </c>
      <c r="Z2843">
        <v>407</v>
      </c>
      <c r="AH2843">
        <v>0</v>
      </c>
      <c r="AI2843">
        <v>202506</v>
      </c>
      <c r="AL2843">
        <v>0</v>
      </c>
      <c r="AO2843">
        <v>0</v>
      </c>
      <c r="AP2843" t="s">
        <v>3015</v>
      </c>
      <c r="AQ2843" t="s">
        <v>3044</v>
      </c>
      <c r="AR2843" t="s">
        <v>3045</v>
      </c>
      <c r="AS2843" t="s">
        <v>3046</v>
      </c>
      <c r="AU2843" t="s">
        <v>3046</v>
      </c>
    </row>
    <row r="2844" spans="1:47" x14ac:dyDescent="0.35">
      <c r="A2844">
        <v>348891</v>
      </c>
      <c r="B2844" t="s">
        <v>178</v>
      </c>
      <c r="C2844" t="s">
        <v>179</v>
      </c>
      <c r="D2844" s="2">
        <v>45820</v>
      </c>
      <c r="E2844">
        <v>53850</v>
      </c>
      <c r="F2844">
        <v>286</v>
      </c>
      <c r="G2844" t="s">
        <v>408</v>
      </c>
      <c r="H2844" t="s">
        <v>167</v>
      </c>
      <c r="I2844" t="s">
        <v>45</v>
      </c>
      <c r="K2844">
        <v>202506118059843</v>
      </c>
      <c r="L2844">
        <v>2863300003269</v>
      </c>
      <c r="M2844">
        <v>20250611</v>
      </c>
      <c r="N2844" t="s">
        <v>46</v>
      </c>
      <c r="P2844" t="s">
        <v>51</v>
      </c>
      <c r="Q2844" t="s">
        <v>47</v>
      </c>
      <c r="R2844">
        <v>1093229.97</v>
      </c>
      <c r="S2844">
        <v>0</v>
      </c>
      <c r="T2844">
        <v>1703846</v>
      </c>
      <c r="U2844">
        <v>2557890692</v>
      </c>
      <c r="V2844" t="s">
        <v>1170</v>
      </c>
      <c r="W2844" t="s">
        <v>49</v>
      </c>
      <c r="X2844" t="s">
        <v>1076</v>
      </c>
      <c r="Y2844" t="s">
        <v>51</v>
      </c>
      <c r="Z2844">
        <v>1877</v>
      </c>
      <c r="AH2844">
        <v>0</v>
      </c>
      <c r="AI2844">
        <v>202506</v>
      </c>
      <c r="AJ2844" t="s">
        <v>56</v>
      </c>
      <c r="AK2844">
        <v>0</v>
      </c>
      <c r="AL2844">
        <v>1</v>
      </c>
      <c r="AO2844">
        <v>0</v>
      </c>
      <c r="AP2844" t="s">
        <v>3015</v>
      </c>
      <c r="AQ2844" t="s">
        <v>3012</v>
      </c>
      <c r="AR2844" t="s">
        <v>3016</v>
      </c>
      <c r="AT2844" t="s">
        <v>3017</v>
      </c>
      <c r="AU2844" t="s">
        <v>3018</v>
      </c>
    </row>
    <row r="2845" spans="1:47" x14ac:dyDescent="0.35">
      <c r="A2845">
        <v>348890</v>
      </c>
      <c r="B2845" t="s">
        <v>178</v>
      </c>
      <c r="C2845" t="s">
        <v>179</v>
      </c>
      <c r="D2845" s="2">
        <v>45820</v>
      </c>
      <c r="E2845">
        <v>53850</v>
      </c>
      <c r="F2845">
        <v>102</v>
      </c>
      <c r="G2845" t="s">
        <v>151</v>
      </c>
      <c r="H2845" t="s">
        <v>167</v>
      </c>
      <c r="I2845" t="s">
        <v>45</v>
      </c>
      <c r="K2845">
        <v>202506118060223</v>
      </c>
      <c r="L2845">
        <v>1023302279020</v>
      </c>
      <c r="M2845">
        <v>20250611</v>
      </c>
      <c r="N2845" t="s">
        <v>168</v>
      </c>
      <c r="P2845" t="s">
        <v>2681</v>
      </c>
      <c r="Q2845" t="s">
        <v>47</v>
      </c>
      <c r="R2845">
        <v>700000</v>
      </c>
      <c r="S2845">
        <v>0</v>
      </c>
      <c r="T2845">
        <v>225102</v>
      </c>
      <c r="U2845">
        <v>3613570724</v>
      </c>
      <c r="V2845" t="s">
        <v>1913</v>
      </c>
      <c r="W2845" t="s">
        <v>49</v>
      </c>
      <c r="X2845" t="s">
        <v>343</v>
      </c>
      <c r="Y2845" t="s">
        <v>51</v>
      </c>
      <c r="Z2845">
        <v>1203</v>
      </c>
      <c r="AH2845">
        <v>0</v>
      </c>
      <c r="AI2845">
        <v>202506</v>
      </c>
      <c r="AJ2845" t="s">
        <v>86</v>
      </c>
      <c r="AK2845">
        <v>1</v>
      </c>
      <c r="AL2845">
        <v>1</v>
      </c>
      <c r="AO2845">
        <v>0</v>
      </c>
      <c r="AP2845" t="s">
        <v>3086</v>
      </c>
      <c r="AQ2845" t="s">
        <v>3012</v>
      </c>
      <c r="AR2845" t="s">
        <v>3087</v>
      </c>
      <c r="AS2845" t="s">
        <v>3014</v>
      </c>
      <c r="AU2845" t="s">
        <v>3014</v>
      </c>
    </row>
    <row r="2846" spans="1:47" x14ac:dyDescent="0.35">
      <c r="A2846">
        <v>348889</v>
      </c>
      <c r="B2846" t="s">
        <v>193</v>
      </c>
      <c r="C2846" t="s">
        <v>194</v>
      </c>
      <c r="D2846" s="2">
        <v>45820</v>
      </c>
      <c r="E2846">
        <v>53850</v>
      </c>
      <c r="F2846">
        <v>110</v>
      </c>
      <c r="G2846" t="s">
        <v>230</v>
      </c>
      <c r="H2846" t="s">
        <v>167</v>
      </c>
      <c r="I2846" t="s">
        <v>45</v>
      </c>
      <c r="K2846" t="s">
        <v>2754</v>
      </c>
      <c r="L2846">
        <v>1103300093700</v>
      </c>
      <c r="M2846">
        <v>20250611</v>
      </c>
      <c r="N2846" t="s">
        <v>175</v>
      </c>
      <c r="Q2846" t="s">
        <v>47</v>
      </c>
      <c r="R2846">
        <v>44040.31</v>
      </c>
      <c r="S2846">
        <v>33045</v>
      </c>
      <c r="T2846">
        <v>4871243</v>
      </c>
      <c r="U2846">
        <v>7961820722</v>
      </c>
      <c r="V2846" t="s">
        <v>328</v>
      </c>
      <c r="W2846" t="s">
        <v>190</v>
      </c>
      <c r="X2846" t="s">
        <v>117</v>
      </c>
      <c r="Y2846" t="s">
        <v>51</v>
      </c>
      <c r="Z2846">
        <v>746</v>
      </c>
      <c r="AH2846">
        <v>0</v>
      </c>
      <c r="AI2846">
        <v>202506</v>
      </c>
      <c r="AJ2846" t="s">
        <v>86</v>
      </c>
      <c r="AK2846">
        <v>1</v>
      </c>
      <c r="AL2846">
        <v>1</v>
      </c>
      <c r="AM2846">
        <v>4871243</v>
      </c>
      <c r="AN2846">
        <v>1</v>
      </c>
      <c r="AO2846">
        <v>1</v>
      </c>
      <c r="AP2846" t="s">
        <v>3015</v>
      </c>
      <c r="AQ2846" t="s">
        <v>3047</v>
      </c>
      <c r="AR2846" t="s">
        <v>3056</v>
      </c>
      <c r="AT2846" t="s">
        <v>3017</v>
      </c>
      <c r="AU2846" t="s">
        <v>3057</v>
      </c>
    </row>
    <row r="2847" spans="1:47" x14ac:dyDescent="0.35">
      <c r="A2847">
        <v>348888</v>
      </c>
      <c r="B2847" t="s">
        <v>178</v>
      </c>
      <c r="C2847" t="s">
        <v>179</v>
      </c>
      <c r="D2847" s="2">
        <v>45820</v>
      </c>
      <c r="E2847">
        <v>53850</v>
      </c>
      <c r="F2847">
        <v>149</v>
      </c>
      <c r="G2847" t="s">
        <v>449</v>
      </c>
      <c r="H2847" t="s">
        <v>167</v>
      </c>
      <c r="I2847" t="s">
        <v>45</v>
      </c>
      <c r="K2847">
        <v>202506118061012</v>
      </c>
      <c r="L2847">
        <v>1490060046823</v>
      </c>
      <c r="M2847">
        <v>20250611</v>
      </c>
      <c r="N2847" t="s">
        <v>1663</v>
      </c>
      <c r="Q2847" t="s">
        <v>170</v>
      </c>
      <c r="R2847">
        <v>200000</v>
      </c>
      <c r="S2847">
        <v>0</v>
      </c>
      <c r="T2847">
        <v>2011620</v>
      </c>
      <c r="U2847" t="s">
        <v>2428</v>
      </c>
      <c r="V2847" t="s">
        <v>2429</v>
      </c>
      <c r="W2847" t="s">
        <v>187</v>
      </c>
      <c r="Y2847" t="s">
        <v>51</v>
      </c>
      <c r="Z2847">
        <v>1231</v>
      </c>
      <c r="AH2847">
        <v>0</v>
      </c>
      <c r="AI2847">
        <v>202506</v>
      </c>
      <c r="AJ2847" t="s">
        <v>56</v>
      </c>
      <c r="AK2847">
        <v>0</v>
      </c>
      <c r="AL2847">
        <v>1</v>
      </c>
      <c r="AO2847">
        <v>0</v>
      </c>
      <c r="AP2847" t="s">
        <v>3015</v>
      </c>
      <c r="AQ2847" t="s">
        <v>3044</v>
      </c>
      <c r="AR2847" t="s">
        <v>3045</v>
      </c>
      <c r="AS2847" t="s">
        <v>3046</v>
      </c>
      <c r="AU2847" t="s">
        <v>3046</v>
      </c>
    </row>
    <row r="2848" spans="1:47" x14ac:dyDescent="0.35">
      <c r="A2848">
        <v>348887</v>
      </c>
      <c r="B2848" t="s">
        <v>178</v>
      </c>
      <c r="C2848" t="s">
        <v>179</v>
      </c>
      <c r="D2848" s="2">
        <v>45820</v>
      </c>
      <c r="E2848">
        <v>53850</v>
      </c>
      <c r="F2848">
        <v>161</v>
      </c>
      <c r="G2848" t="s">
        <v>111</v>
      </c>
      <c r="H2848" t="s">
        <v>167</v>
      </c>
      <c r="I2848" t="s">
        <v>45</v>
      </c>
      <c r="K2848">
        <v>202506118060648</v>
      </c>
      <c r="L2848">
        <v>1613300029653</v>
      </c>
      <c r="M2848">
        <v>20250611</v>
      </c>
      <c r="N2848" t="s">
        <v>46</v>
      </c>
      <c r="P2848" t="s">
        <v>51</v>
      </c>
      <c r="Q2848" t="s">
        <v>47</v>
      </c>
      <c r="R2848">
        <v>400000</v>
      </c>
      <c r="S2848">
        <v>0</v>
      </c>
      <c r="T2848">
        <v>4088769</v>
      </c>
      <c r="U2848">
        <v>5150120722</v>
      </c>
      <c r="V2848" t="s">
        <v>270</v>
      </c>
      <c r="W2848" t="s">
        <v>49</v>
      </c>
      <c r="X2848" t="s">
        <v>110</v>
      </c>
      <c r="Y2848" t="s">
        <v>51</v>
      </c>
      <c r="Z2848">
        <v>1903</v>
      </c>
      <c r="AH2848">
        <v>0</v>
      </c>
      <c r="AI2848">
        <v>202506</v>
      </c>
      <c r="AJ2848" t="s">
        <v>56</v>
      </c>
      <c r="AK2848">
        <v>0</v>
      </c>
      <c r="AL2848">
        <v>1</v>
      </c>
      <c r="AM2848">
        <v>4088769</v>
      </c>
      <c r="AN2848">
        <v>1</v>
      </c>
      <c r="AO2848">
        <v>0</v>
      </c>
      <c r="AP2848" t="s">
        <v>3026</v>
      </c>
      <c r="AQ2848" t="s">
        <v>3012</v>
      </c>
      <c r="AR2848" t="s">
        <v>3027</v>
      </c>
      <c r="AS2848" t="s">
        <v>3028</v>
      </c>
      <c r="AU2848" t="s">
        <v>3028</v>
      </c>
    </row>
    <row r="2849" spans="1:47" x14ac:dyDescent="0.35">
      <c r="A2849">
        <v>348886</v>
      </c>
      <c r="B2849" t="s">
        <v>193</v>
      </c>
      <c r="C2849" t="s">
        <v>194</v>
      </c>
      <c r="D2849" s="2">
        <v>45820</v>
      </c>
      <c r="E2849">
        <v>53850</v>
      </c>
      <c r="F2849">
        <v>171</v>
      </c>
      <c r="G2849" t="s">
        <v>198</v>
      </c>
      <c r="H2849" t="s">
        <v>167</v>
      </c>
      <c r="I2849" t="s">
        <v>45</v>
      </c>
      <c r="K2849" t="s">
        <v>2754</v>
      </c>
      <c r="L2849">
        <v>1713302214147</v>
      </c>
      <c r="M2849">
        <v>20250611</v>
      </c>
      <c r="N2849" t="s">
        <v>195</v>
      </c>
      <c r="Q2849" t="s">
        <v>47</v>
      </c>
      <c r="R2849">
        <v>58785</v>
      </c>
      <c r="S2849">
        <v>58785</v>
      </c>
      <c r="T2849">
        <v>4199319</v>
      </c>
      <c r="U2849">
        <v>6037810725</v>
      </c>
      <c r="V2849" t="s">
        <v>285</v>
      </c>
      <c r="W2849" t="s">
        <v>49</v>
      </c>
      <c r="X2849" t="s">
        <v>200</v>
      </c>
      <c r="Y2849" t="s">
        <v>51</v>
      </c>
      <c r="Z2849">
        <v>1903</v>
      </c>
      <c r="AH2849">
        <v>0</v>
      </c>
      <c r="AI2849">
        <v>202506</v>
      </c>
      <c r="AJ2849" t="s">
        <v>86</v>
      </c>
      <c r="AK2849">
        <v>1</v>
      </c>
      <c r="AL2849">
        <v>1</v>
      </c>
      <c r="AM2849">
        <v>4199319</v>
      </c>
      <c r="AN2849">
        <v>1</v>
      </c>
      <c r="AO2849">
        <v>0</v>
      </c>
      <c r="AP2849" t="s">
        <v>3015</v>
      </c>
      <c r="AQ2849" t="s">
        <v>3012</v>
      </c>
      <c r="AR2849" t="s">
        <v>3016</v>
      </c>
      <c r="AT2849" t="s">
        <v>3017</v>
      </c>
      <c r="AU2849" t="s">
        <v>3018</v>
      </c>
    </row>
    <row r="2850" spans="1:47" x14ac:dyDescent="0.35">
      <c r="A2850">
        <v>348885</v>
      </c>
      <c r="B2850" t="s">
        <v>178</v>
      </c>
      <c r="C2850" t="s">
        <v>179</v>
      </c>
      <c r="D2850" s="2">
        <v>45820</v>
      </c>
      <c r="E2850">
        <v>53850</v>
      </c>
      <c r="F2850">
        <v>102</v>
      </c>
      <c r="G2850" t="s">
        <v>151</v>
      </c>
      <c r="H2850" t="s">
        <v>167</v>
      </c>
      <c r="I2850" t="s">
        <v>45</v>
      </c>
      <c r="K2850">
        <v>202506118061628</v>
      </c>
      <c r="L2850">
        <v>1603300002981</v>
      </c>
      <c r="M2850">
        <v>20250611</v>
      </c>
      <c r="N2850" t="s">
        <v>659</v>
      </c>
      <c r="Q2850" t="s">
        <v>170</v>
      </c>
      <c r="R2850">
        <v>75195700.159999996</v>
      </c>
      <c r="S2850">
        <v>0</v>
      </c>
      <c r="T2850">
        <v>4990319</v>
      </c>
      <c r="U2850">
        <v>6655971007</v>
      </c>
      <c r="V2850" t="s">
        <v>1074</v>
      </c>
      <c r="W2850" t="s">
        <v>1075</v>
      </c>
      <c r="X2850" t="s">
        <v>1076</v>
      </c>
      <c r="Y2850" t="s">
        <v>51</v>
      </c>
      <c r="Z2850">
        <v>739</v>
      </c>
      <c r="AH2850">
        <v>0</v>
      </c>
      <c r="AI2850">
        <v>202506</v>
      </c>
      <c r="AJ2850" t="s">
        <v>86</v>
      </c>
      <c r="AK2850">
        <v>1</v>
      </c>
      <c r="AL2850">
        <v>1</v>
      </c>
      <c r="AO2850">
        <v>0</v>
      </c>
      <c r="AP2850" t="s">
        <v>3015</v>
      </c>
      <c r="AQ2850" t="s">
        <v>3100</v>
      </c>
      <c r="AR2850" t="s">
        <v>3101</v>
      </c>
      <c r="AT2850" t="s">
        <v>3017</v>
      </c>
      <c r="AU2850" t="s">
        <v>3018</v>
      </c>
    </row>
    <row r="2851" spans="1:47" x14ac:dyDescent="0.35">
      <c r="A2851">
        <v>348884</v>
      </c>
      <c r="B2851" t="s">
        <v>178</v>
      </c>
      <c r="C2851" t="s">
        <v>179</v>
      </c>
      <c r="D2851" s="2">
        <v>45820</v>
      </c>
      <c r="E2851">
        <v>53850</v>
      </c>
      <c r="F2851">
        <v>136</v>
      </c>
      <c r="G2851" t="s">
        <v>551</v>
      </c>
      <c r="H2851" t="s">
        <v>167</v>
      </c>
      <c r="I2851" t="s">
        <v>45</v>
      </c>
      <c r="K2851">
        <v>202506118060772</v>
      </c>
      <c r="L2851">
        <v>1361147800126</v>
      </c>
      <c r="M2851">
        <v>20250611</v>
      </c>
      <c r="N2851" t="s">
        <v>168</v>
      </c>
      <c r="P2851" t="s">
        <v>435</v>
      </c>
      <c r="Q2851" t="s">
        <v>170</v>
      </c>
      <c r="R2851">
        <v>1149602.8999999999</v>
      </c>
      <c r="S2851">
        <v>0</v>
      </c>
      <c r="T2851">
        <v>4395683</v>
      </c>
      <c r="U2851">
        <v>2036760037</v>
      </c>
      <c r="V2851" t="s">
        <v>553</v>
      </c>
      <c r="W2851" t="s">
        <v>49</v>
      </c>
      <c r="X2851" t="s">
        <v>554</v>
      </c>
      <c r="Y2851" t="s">
        <v>51</v>
      </c>
      <c r="Z2851">
        <v>1627</v>
      </c>
      <c r="AH2851">
        <v>0</v>
      </c>
      <c r="AI2851">
        <v>202506</v>
      </c>
      <c r="AJ2851" t="s">
        <v>56</v>
      </c>
      <c r="AK2851">
        <v>0</v>
      </c>
      <c r="AL2851">
        <v>1</v>
      </c>
      <c r="AO2851">
        <v>0</v>
      </c>
      <c r="AP2851" t="s">
        <v>3015</v>
      </c>
      <c r="AQ2851" t="s">
        <v>3012</v>
      </c>
      <c r="AR2851" t="s">
        <v>3016</v>
      </c>
      <c r="AT2851" t="s">
        <v>3017</v>
      </c>
      <c r="AU2851" t="s">
        <v>3018</v>
      </c>
    </row>
    <row r="2852" spans="1:47" x14ac:dyDescent="0.35">
      <c r="A2852">
        <v>348883</v>
      </c>
      <c r="B2852" t="s">
        <v>172</v>
      </c>
      <c r="C2852" t="s">
        <v>173</v>
      </c>
      <c r="D2852" s="2">
        <v>45820</v>
      </c>
      <c r="E2852">
        <v>53850</v>
      </c>
      <c r="F2852">
        <v>114</v>
      </c>
      <c r="G2852" t="s">
        <v>188</v>
      </c>
      <c r="H2852" t="s">
        <v>167</v>
      </c>
      <c r="I2852" t="s">
        <v>45</v>
      </c>
      <c r="K2852">
        <v>202506118061751</v>
      </c>
      <c r="L2852">
        <v>1143306278902</v>
      </c>
      <c r="M2852">
        <v>20250611</v>
      </c>
      <c r="N2852" t="s">
        <v>231</v>
      </c>
      <c r="Q2852" t="s">
        <v>47</v>
      </c>
      <c r="R2852">
        <v>125000</v>
      </c>
      <c r="S2852">
        <v>0</v>
      </c>
      <c r="T2852">
        <v>4210168</v>
      </c>
      <c r="U2852" t="s">
        <v>2770</v>
      </c>
      <c r="V2852" t="s">
        <v>2771</v>
      </c>
      <c r="W2852" t="s">
        <v>187</v>
      </c>
      <c r="Y2852" t="s">
        <v>51</v>
      </c>
      <c r="Z2852">
        <v>907</v>
      </c>
      <c r="AH2852">
        <v>0</v>
      </c>
      <c r="AI2852">
        <v>202506</v>
      </c>
      <c r="AJ2852" t="s">
        <v>119</v>
      </c>
      <c r="AK2852">
        <v>1</v>
      </c>
      <c r="AL2852">
        <v>1</v>
      </c>
      <c r="AO2852">
        <v>0</v>
      </c>
      <c r="AP2852" t="s">
        <v>3015</v>
      </c>
      <c r="AQ2852" t="s">
        <v>3044</v>
      </c>
      <c r="AR2852" t="s">
        <v>3045</v>
      </c>
      <c r="AS2852" t="s">
        <v>3046</v>
      </c>
      <c r="AU2852" t="s">
        <v>3046</v>
      </c>
    </row>
    <row r="2853" spans="1:47" x14ac:dyDescent="0.35">
      <c r="A2853">
        <v>348882</v>
      </c>
      <c r="B2853" t="s">
        <v>164</v>
      </c>
      <c r="C2853" t="s">
        <v>165</v>
      </c>
      <c r="D2853" s="2">
        <v>45820</v>
      </c>
      <c r="E2853">
        <v>53850</v>
      </c>
      <c r="F2853">
        <v>136</v>
      </c>
      <c r="G2853" t="s">
        <v>551</v>
      </c>
      <c r="H2853" t="s">
        <v>167</v>
      </c>
      <c r="I2853" t="s">
        <v>45</v>
      </c>
      <c r="K2853">
        <v>202506118060772</v>
      </c>
      <c r="L2853">
        <v>1361147800126</v>
      </c>
      <c r="M2853">
        <v>20250611</v>
      </c>
      <c r="N2853" t="s">
        <v>168</v>
      </c>
      <c r="P2853" t="s">
        <v>435</v>
      </c>
      <c r="Q2853" t="s">
        <v>170</v>
      </c>
      <c r="R2853">
        <v>1149602.8999999999</v>
      </c>
      <c r="S2853">
        <v>0</v>
      </c>
      <c r="T2853">
        <v>4395683</v>
      </c>
      <c r="U2853">
        <v>2036760037</v>
      </c>
      <c r="V2853" t="s">
        <v>553</v>
      </c>
      <c r="W2853" t="s">
        <v>49</v>
      </c>
      <c r="X2853" t="s">
        <v>554</v>
      </c>
      <c r="Y2853" t="s">
        <v>51</v>
      </c>
      <c r="Z2853">
        <v>1627</v>
      </c>
      <c r="AH2853">
        <v>0</v>
      </c>
      <c r="AI2853">
        <v>202506</v>
      </c>
      <c r="AJ2853" t="s">
        <v>56</v>
      </c>
      <c r="AK2853">
        <v>0</v>
      </c>
      <c r="AL2853">
        <v>1</v>
      </c>
      <c r="AO2853">
        <v>0</v>
      </c>
      <c r="AP2853" t="s">
        <v>3015</v>
      </c>
      <c r="AQ2853" t="s">
        <v>3012</v>
      </c>
      <c r="AR2853" t="s">
        <v>3016</v>
      </c>
      <c r="AT2853" t="s">
        <v>3017</v>
      </c>
      <c r="AU2853" t="s">
        <v>3018</v>
      </c>
    </row>
    <row r="2854" spans="1:47" x14ac:dyDescent="0.35">
      <c r="A2854">
        <v>348881</v>
      </c>
      <c r="B2854" t="s">
        <v>178</v>
      </c>
      <c r="C2854" t="s">
        <v>179</v>
      </c>
      <c r="D2854" s="2">
        <v>45820</v>
      </c>
      <c r="E2854">
        <v>53850</v>
      </c>
      <c r="F2854">
        <v>118</v>
      </c>
      <c r="G2854" t="s">
        <v>254</v>
      </c>
      <c r="H2854" t="s">
        <v>167</v>
      </c>
      <c r="I2854" t="s">
        <v>45</v>
      </c>
      <c r="K2854" t="s">
        <v>2753</v>
      </c>
      <c r="L2854">
        <v>1183306278085</v>
      </c>
      <c r="M2854">
        <v>20250611</v>
      </c>
      <c r="N2854" t="s">
        <v>3136</v>
      </c>
      <c r="Q2854" t="s">
        <v>170</v>
      </c>
      <c r="R2854">
        <v>1787.56</v>
      </c>
      <c r="S2854">
        <v>0</v>
      </c>
      <c r="T2854">
        <v>196672</v>
      </c>
      <c r="U2854" t="s">
        <v>2772</v>
      </c>
      <c r="V2854" t="s">
        <v>2773</v>
      </c>
      <c r="W2854" t="s">
        <v>187</v>
      </c>
      <c r="Y2854" t="s">
        <v>51</v>
      </c>
      <c r="AH2854">
        <v>0</v>
      </c>
      <c r="AI2854">
        <v>202506</v>
      </c>
      <c r="AJ2854" t="s">
        <v>86</v>
      </c>
      <c r="AK2854">
        <v>1</v>
      </c>
      <c r="AL2854">
        <v>1</v>
      </c>
      <c r="AO2854">
        <v>1</v>
      </c>
      <c r="AP2854" t="s">
        <v>3015</v>
      </c>
      <c r="AQ2854" t="s">
        <v>3044</v>
      </c>
      <c r="AR2854" t="s">
        <v>3045</v>
      </c>
      <c r="AS2854" t="s">
        <v>3046</v>
      </c>
      <c r="AU2854" t="s">
        <v>3046</v>
      </c>
    </row>
    <row r="2855" spans="1:47" x14ac:dyDescent="0.35">
      <c r="A2855">
        <v>348880</v>
      </c>
      <c r="B2855" t="s">
        <v>164</v>
      </c>
      <c r="C2855" t="s">
        <v>165</v>
      </c>
      <c r="D2855" s="2">
        <v>45820</v>
      </c>
      <c r="E2855">
        <v>53850</v>
      </c>
      <c r="F2855">
        <v>104</v>
      </c>
      <c r="G2855" t="s">
        <v>108</v>
      </c>
      <c r="H2855" t="s">
        <v>167</v>
      </c>
      <c r="I2855" t="s">
        <v>45</v>
      </c>
      <c r="K2855">
        <v>202506098058847</v>
      </c>
      <c r="L2855">
        <v>1043301449156</v>
      </c>
      <c r="M2855">
        <v>20250609</v>
      </c>
      <c r="N2855" t="s">
        <v>168</v>
      </c>
      <c r="P2855" t="s">
        <v>169</v>
      </c>
      <c r="Q2855" t="s">
        <v>170</v>
      </c>
      <c r="R2855">
        <v>56115</v>
      </c>
      <c r="S2855">
        <v>0</v>
      </c>
      <c r="T2855">
        <v>15014</v>
      </c>
      <c r="U2855">
        <v>252860721</v>
      </c>
      <c r="V2855" t="s">
        <v>269</v>
      </c>
      <c r="W2855" t="s">
        <v>49</v>
      </c>
      <c r="X2855" t="s">
        <v>177</v>
      </c>
      <c r="Y2855" t="s">
        <v>51</v>
      </c>
      <c r="Z2855">
        <v>1696</v>
      </c>
      <c r="AH2855">
        <v>0</v>
      </c>
      <c r="AI2855">
        <v>202506</v>
      </c>
      <c r="AJ2855" t="s">
        <v>114</v>
      </c>
      <c r="AK2855">
        <v>1</v>
      </c>
      <c r="AL2855">
        <v>1</v>
      </c>
      <c r="AO2855">
        <v>0</v>
      </c>
      <c r="AP2855" t="s">
        <v>3015</v>
      </c>
      <c r="AQ2855" t="s">
        <v>3012</v>
      </c>
      <c r="AR2855" t="s">
        <v>3016</v>
      </c>
      <c r="AT2855" t="s">
        <v>3017</v>
      </c>
      <c r="AU2855" t="s">
        <v>3018</v>
      </c>
    </row>
    <row r="2856" spans="1:47" x14ac:dyDescent="0.35">
      <c r="A2856">
        <v>348879</v>
      </c>
      <c r="B2856" t="s">
        <v>178</v>
      </c>
      <c r="C2856" t="s">
        <v>179</v>
      </c>
      <c r="D2856" s="2">
        <v>45819</v>
      </c>
      <c r="E2856">
        <v>53850</v>
      </c>
      <c r="F2856">
        <v>103</v>
      </c>
      <c r="G2856" t="s">
        <v>80</v>
      </c>
      <c r="H2856" t="s">
        <v>167</v>
      </c>
      <c r="I2856" t="s">
        <v>45</v>
      </c>
      <c r="K2856">
        <v>202506108056981</v>
      </c>
      <c r="L2856">
        <v>1033306974262</v>
      </c>
      <c r="M2856">
        <v>20250610</v>
      </c>
      <c r="N2856" t="s">
        <v>46</v>
      </c>
      <c r="P2856" t="s">
        <v>51</v>
      </c>
      <c r="Q2856" t="s">
        <v>47</v>
      </c>
      <c r="R2856">
        <v>800000</v>
      </c>
      <c r="S2856">
        <v>0</v>
      </c>
      <c r="T2856">
        <v>4679373</v>
      </c>
      <c r="U2856">
        <v>3294040724</v>
      </c>
      <c r="V2856" t="s">
        <v>380</v>
      </c>
      <c r="W2856" t="s">
        <v>190</v>
      </c>
      <c r="X2856" t="s">
        <v>381</v>
      </c>
      <c r="Y2856" t="s">
        <v>51</v>
      </c>
      <c r="Z2856">
        <v>1926</v>
      </c>
      <c r="AH2856">
        <v>0</v>
      </c>
      <c r="AI2856">
        <v>202506</v>
      </c>
      <c r="AJ2856" t="s">
        <v>86</v>
      </c>
      <c r="AK2856">
        <v>1</v>
      </c>
      <c r="AL2856">
        <v>1</v>
      </c>
      <c r="AO2856">
        <v>0</v>
      </c>
      <c r="AP2856" t="s">
        <v>3015</v>
      </c>
      <c r="AQ2856" t="s">
        <v>3047</v>
      </c>
      <c r="AR2856" t="s">
        <v>3056</v>
      </c>
      <c r="AT2856" t="s">
        <v>3017</v>
      </c>
      <c r="AU2856" t="s">
        <v>3057</v>
      </c>
    </row>
    <row r="2857" spans="1:47" x14ac:dyDescent="0.35">
      <c r="A2857">
        <v>348878</v>
      </c>
      <c r="B2857" t="s">
        <v>178</v>
      </c>
      <c r="C2857" t="s">
        <v>179</v>
      </c>
      <c r="D2857" s="2">
        <v>45819</v>
      </c>
      <c r="E2857">
        <v>53850</v>
      </c>
      <c r="F2857">
        <v>279</v>
      </c>
      <c r="G2857" t="s">
        <v>587</v>
      </c>
      <c r="H2857" t="s">
        <v>167</v>
      </c>
      <c r="I2857" t="s">
        <v>45</v>
      </c>
      <c r="K2857" t="s">
        <v>2774</v>
      </c>
      <c r="L2857">
        <v>2793300010143</v>
      </c>
      <c r="M2857">
        <v>20250610</v>
      </c>
      <c r="N2857" t="s">
        <v>3136</v>
      </c>
      <c r="Q2857" t="s">
        <v>170</v>
      </c>
      <c r="R2857">
        <v>1256.45</v>
      </c>
      <c r="S2857">
        <v>0</v>
      </c>
      <c r="T2857">
        <v>4995791</v>
      </c>
      <c r="U2857">
        <v>17098181005</v>
      </c>
      <c r="V2857" t="s">
        <v>2775</v>
      </c>
      <c r="W2857" t="s">
        <v>49</v>
      </c>
      <c r="X2857" t="s">
        <v>713</v>
      </c>
      <c r="Y2857" t="s">
        <v>51</v>
      </c>
      <c r="Z2857">
        <v>1786</v>
      </c>
      <c r="AH2857">
        <v>0</v>
      </c>
      <c r="AI2857">
        <v>202506</v>
      </c>
      <c r="AJ2857" t="s">
        <v>86</v>
      </c>
      <c r="AK2857">
        <v>1</v>
      </c>
      <c r="AL2857">
        <v>1</v>
      </c>
      <c r="AO2857">
        <v>1</v>
      </c>
      <c r="AP2857" t="s">
        <v>3015</v>
      </c>
      <c r="AQ2857" t="s">
        <v>3012</v>
      </c>
      <c r="AR2857" t="s">
        <v>3016</v>
      </c>
      <c r="AT2857" t="s">
        <v>3017</v>
      </c>
      <c r="AU2857" t="s">
        <v>3018</v>
      </c>
    </row>
    <row r="2858" spans="1:47" x14ac:dyDescent="0.35">
      <c r="A2858">
        <v>348877</v>
      </c>
      <c r="B2858" t="s">
        <v>178</v>
      </c>
      <c r="C2858" t="s">
        <v>179</v>
      </c>
      <c r="D2858" s="2">
        <v>45819</v>
      </c>
      <c r="E2858">
        <v>53850</v>
      </c>
      <c r="F2858">
        <v>102</v>
      </c>
      <c r="G2858" t="s">
        <v>151</v>
      </c>
      <c r="H2858" t="s">
        <v>167</v>
      </c>
      <c r="I2858" t="s">
        <v>45</v>
      </c>
      <c r="K2858">
        <v>202506108057024</v>
      </c>
      <c r="L2858">
        <v>1603300002981</v>
      </c>
      <c r="M2858">
        <v>20250610</v>
      </c>
      <c r="N2858" t="s">
        <v>46</v>
      </c>
      <c r="P2858" t="s">
        <v>51</v>
      </c>
      <c r="Q2858" t="s">
        <v>47</v>
      </c>
      <c r="R2858">
        <v>75195700.159999996</v>
      </c>
      <c r="S2858">
        <v>0</v>
      </c>
      <c r="T2858">
        <v>4990319</v>
      </c>
      <c r="U2858">
        <v>6655971007</v>
      </c>
      <c r="V2858" t="s">
        <v>1074</v>
      </c>
      <c r="W2858" t="s">
        <v>1075</v>
      </c>
      <c r="X2858" t="s">
        <v>1076</v>
      </c>
      <c r="Y2858" t="s">
        <v>51</v>
      </c>
      <c r="Z2858">
        <v>739</v>
      </c>
      <c r="AH2858">
        <v>0</v>
      </c>
      <c r="AI2858">
        <v>202506</v>
      </c>
      <c r="AJ2858" t="s">
        <v>86</v>
      </c>
      <c r="AK2858">
        <v>1</v>
      </c>
      <c r="AL2858">
        <v>1</v>
      </c>
      <c r="AO2858">
        <v>0</v>
      </c>
      <c r="AP2858" t="s">
        <v>3015</v>
      </c>
      <c r="AQ2858" t="s">
        <v>3100</v>
      </c>
      <c r="AR2858" t="s">
        <v>3101</v>
      </c>
      <c r="AT2858" t="s">
        <v>3017</v>
      </c>
      <c r="AU2858" t="s">
        <v>3018</v>
      </c>
    </row>
    <row r="2859" spans="1:47" x14ac:dyDescent="0.35">
      <c r="A2859">
        <v>348876</v>
      </c>
      <c r="B2859" t="s">
        <v>172</v>
      </c>
      <c r="C2859" t="s">
        <v>173</v>
      </c>
      <c r="D2859" s="2">
        <v>45819</v>
      </c>
      <c r="E2859">
        <v>53850</v>
      </c>
      <c r="F2859">
        <v>121</v>
      </c>
      <c r="G2859" t="s">
        <v>140</v>
      </c>
      <c r="H2859" t="s">
        <v>167</v>
      </c>
      <c r="I2859" t="s">
        <v>45</v>
      </c>
      <c r="K2859" t="s">
        <v>2776</v>
      </c>
      <c r="L2859">
        <v>1213300002600</v>
      </c>
      <c r="M2859">
        <v>20250610</v>
      </c>
      <c r="N2859" t="s">
        <v>175</v>
      </c>
      <c r="Q2859" t="s">
        <v>47</v>
      </c>
      <c r="R2859">
        <v>1045535.28</v>
      </c>
      <c r="S2859">
        <v>0</v>
      </c>
      <c r="T2859">
        <v>4939345</v>
      </c>
      <c r="U2859">
        <v>5754810728</v>
      </c>
      <c r="V2859" t="s">
        <v>570</v>
      </c>
      <c r="W2859" t="s">
        <v>49</v>
      </c>
      <c r="X2859" t="s">
        <v>117</v>
      </c>
      <c r="Y2859" t="s">
        <v>51</v>
      </c>
      <c r="Z2859">
        <v>1058</v>
      </c>
      <c r="AH2859">
        <v>0</v>
      </c>
      <c r="AI2859">
        <v>202506</v>
      </c>
      <c r="AJ2859" t="s">
        <v>119</v>
      </c>
      <c r="AK2859">
        <v>1</v>
      </c>
      <c r="AL2859">
        <v>1</v>
      </c>
      <c r="AO2859">
        <v>1</v>
      </c>
      <c r="AP2859" t="s">
        <v>3029</v>
      </c>
      <c r="AQ2859" t="s">
        <v>3012</v>
      </c>
      <c r="AR2859" t="s">
        <v>3030</v>
      </c>
      <c r="AS2859" t="s">
        <v>3014</v>
      </c>
      <c r="AU2859" t="s">
        <v>3014</v>
      </c>
    </row>
    <row r="2860" spans="1:47" x14ac:dyDescent="0.35">
      <c r="A2860">
        <v>348875</v>
      </c>
      <c r="B2860" t="s">
        <v>172</v>
      </c>
      <c r="C2860" t="s">
        <v>173</v>
      </c>
      <c r="D2860" s="2">
        <v>45819</v>
      </c>
      <c r="E2860">
        <v>53850</v>
      </c>
      <c r="F2860">
        <v>121</v>
      </c>
      <c r="G2860" t="s">
        <v>140</v>
      </c>
      <c r="H2860" t="s">
        <v>167</v>
      </c>
      <c r="I2860" t="s">
        <v>45</v>
      </c>
      <c r="K2860" t="s">
        <v>2776</v>
      </c>
      <c r="L2860">
        <v>1213300002971</v>
      </c>
      <c r="M2860">
        <v>20250610</v>
      </c>
      <c r="N2860" t="s">
        <v>175</v>
      </c>
      <c r="Q2860" t="s">
        <v>47</v>
      </c>
      <c r="R2860">
        <v>118962.43</v>
      </c>
      <c r="S2860">
        <v>0</v>
      </c>
      <c r="T2860">
        <v>4859756</v>
      </c>
      <c r="U2860">
        <v>7229510727</v>
      </c>
      <c r="V2860" t="s">
        <v>2777</v>
      </c>
      <c r="W2860" t="s">
        <v>49</v>
      </c>
      <c r="X2860" t="s">
        <v>381</v>
      </c>
      <c r="Y2860" t="s">
        <v>51</v>
      </c>
      <c r="Z2860">
        <v>1058</v>
      </c>
      <c r="AH2860">
        <v>0</v>
      </c>
      <c r="AI2860">
        <v>202506</v>
      </c>
      <c r="AJ2860" t="s">
        <v>86</v>
      </c>
      <c r="AK2860">
        <v>1</v>
      </c>
      <c r="AL2860">
        <v>1</v>
      </c>
      <c r="AO2860">
        <v>1</v>
      </c>
      <c r="AP2860" t="s">
        <v>3015</v>
      </c>
      <c r="AQ2860" t="s">
        <v>3012</v>
      </c>
      <c r="AR2860" t="s">
        <v>3016</v>
      </c>
      <c r="AT2860" t="s">
        <v>3017</v>
      </c>
      <c r="AU2860" t="s">
        <v>3018</v>
      </c>
    </row>
    <row r="2861" spans="1:47" x14ac:dyDescent="0.35">
      <c r="A2861">
        <v>348874</v>
      </c>
      <c r="B2861" t="s">
        <v>193</v>
      </c>
      <c r="C2861" t="s">
        <v>194</v>
      </c>
      <c r="D2861" s="2">
        <v>45819</v>
      </c>
      <c r="E2861">
        <v>53850</v>
      </c>
      <c r="F2861">
        <v>181</v>
      </c>
      <c r="G2861" t="s">
        <v>180</v>
      </c>
      <c r="H2861" t="s">
        <v>167</v>
      </c>
      <c r="I2861" t="s">
        <v>45</v>
      </c>
      <c r="K2861">
        <v>202506108058435</v>
      </c>
      <c r="L2861">
        <v>1813301028560</v>
      </c>
      <c r="M2861">
        <v>20250610</v>
      </c>
      <c r="N2861" t="s">
        <v>266</v>
      </c>
      <c r="Q2861" t="s">
        <v>47</v>
      </c>
      <c r="R2861">
        <v>28000</v>
      </c>
      <c r="S2861">
        <v>28000</v>
      </c>
      <c r="T2861">
        <v>454268</v>
      </c>
      <c r="U2861" t="s">
        <v>1209</v>
      </c>
      <c r="V2861" t="s">
        <v>1210</v>
      </c>
      <c r="W2861" t="s">
        <v>69</v>
      </c>
      <c r="X2861" t="s">
        <v>131</v>
      </c>
      <c r="Y2861" t="s">
        <v>51</v>
      </c>
      <c r="Z2861">
        <v>727</v>
      </c>
      <c r="AH2861">
        <v>0</v>
      </c>
      <c r="AI2861">
        <v>202506</v>
      </c>
      <c r="AJ2861" t="s">
        <v>56</v>
      </c>
      <c r="AK2861">
        <v>0</v>
      </c>
      <c r="AL2861">
        <v>1</v>
      </c>
      <c r="AM2861">
        <v>454268</v>
      </c>
      <c r="AN2861">
        <v>1</v>
      </c>
      <c r="AO2861">
        <v>0</v>
      </c>
      <c r="AP2861" t="s">
        <v>3033</v>
      </c>
      <c r="AQ2861" t="s">
        <v>3021</v>
      </c>
      <c r="AR2861" t="s">
        <v>3054</v>
      </c>
      <c r="AS2861" t="s">
        <v>3055</v>
      </c>
      <c r="AU2861" t="s">
        <v>3055</v>
      </c>
    </row>
    <row r="2862" spans="1:47" x14ac:dyDescent="0.35">
      <c r="A2862">
        <v>348873</v>
      </c>
      <c r="B2862" t="s">
        <v>172</v>
      </c>
      <c r="C2862" t="s">
        <v>173</v>
      </c>
      <c r="D2862" s="2">
        <v>45819</v>
      </c>
      <c r="E2862">
        <v>53850</v>
      </c>
      <c r="F2862">
        <v>103</v>
      </c>
      <c r="G2862" t="s">
        <v>80</v>
      </c>
      <c r="H2862" t="s">
        <v>167</v>
      </c>
      <c r="I2862" t="s">
        <v>45</v>
      </c>
      <c r="K2862">
        <v>202506108058114</v>
      </c>
      <c r="L2862">
        <v>1033306986160</v>
      </c>
      <c r="M2862">
        <v>20250610</v>
      </c>
      <c r="N2862" t="s">
        <v>325</v>
      </c>
      <c r="Q2862" t="s">
        <v>47</v>
      </c>
      <c r="R2862">
        <v>141000</v>
      </c>
      <c r="S2862">
        <v>0</v>
      </c>
      <c r="T2862">
        <v>557564</v>
      </c>
      <c r="U2862" t="s">
        <v>359</v>
      </c>
      <c r="V2862" t="s">
        <v>360</v>
      </c>
      <c r="W2862" t="s">
        <v>187</v>
      </c>
      <c r="Y2862" t="s">
        <v>51</v>
      </c>
      <c r="Z2862">
        <v>515</v>
      </c>
      <c r="AH2862">
        <v>0</v>
      </c>
      <c r="AI2862">
        <v>202506</v>
      </c>
      <c r="AJ2862" t="s">
        <v>86</v>
      </c>
      <c r="AK2862">
        <v>1</v>
      </c>
      <c r="AL2862">
        <v>1</v>
      </c>
      <c r="AO2862">
        <v>0</v>
      </c>
      <c r="AP2862" t="s">
        <v>3015</v>
      </c>
      <c r="AQ2862" t="s">
        <v>3044</v>
      </c>
      <c r="AR2862" t="s">
        <v>3045</v>
      </c>
      <c r="AS2862" t="s">
        <v>3046</v>
      </c>
      <c r="AU2862" t="s">
        <v>3046</v>
      </c>
    </row>
    <row r="2863" spans="1:47" x14ac:dyDescent="0.35">
      <c r="A2863">
        <v>348872</v>
      </c>
      <c r="B2863" t="s">
        <v>178</v>
      </c>
      <c r="C2863" t="s">
        <v>179</v>
      </c>
      <c r="D2863" s="2">
        <v>45819</v>
      </c>
      <c r="E2863">
        <v>53850</v>
      </c>
      <c r="F2863">
        <v>105</v>
      </c>
      <c r="G2863" t="s">
        <v>60</v>
      </c>
      <c r="H2863" t="s">
        <v>167</v>
      </c>
      <c r="I2863" t="s">
        <v>45</v>
      </c>
      <c r="K2863">
        <v>202506108058130</v>
      </c>
      <c r="L2863">
        <v>1053300336450</v>
      </c>
      <c r="M2863">
        <v>20250610</v>
      </c>
      <c r="N2863" t="s">
        <v>1002</v>
      </c>
      <c r="Q2863" t="s">
        <v>47</v>
      </c>
      <c r="R2863">
        <v>158000</v>
      </c>
      <c r="S2863">
        <v>0</v>
      </c>
      <c r="T2863">
        <v>33645</v>
      </c>
      <c r="U2863" t="s">
        <v>1793</v>
      </c>
      <c r="V2863" t="s">
        <v>1794</v>
      </c>
      <c r="W2863" t="s">
        <v>187</v>
      </c>
      <c r="Y2863" t="s">
        <v>51</v>
      </c>
      <c r="Z2863">
        <v>833</v>
      </c>
      <c r="AH2863">
        <v>0</v>
      </c>
      <c r="AI2863">
        <v>202506</v>
      </c>
      <c r="AJ2863" t="s">
        <v>86</v>
      </c>
      <c r="AK2863">
        <v>1</v>
      </c>
      <c r="AL2863">
        <v>1</v>
      </c>
      <c r="AO2863">
        <v>0</v>
      </c>
      <c r="AP2863" t="s">
        <v>3015</v>
      </c>
      <c r="AQ2863" t="s">
        <v>3044</v>
      </c>
      <c r="AR2863" t="s">
        <v>3045</v>
      </c>
      <c r="AS2863" t="s">
        <v>3046</v>
      </c>
      <c r="AU2863" t="s">
        <v>3046</v>
      </c>
    </row>
    <row r="2864" spans="1:47" x14ac:dyDescent="0.35">
      <c r="A2864">
        <v>348871</v>
      </c>
      <c r="B2864" t="s">
        <v>178</v>
      </c>
      <c r="C2864" t="s">
        <v>179</v>
      </c>
      <c r="D2864" s="2">
        <v>45819</v>
      </c>
      <c r="E2864">
        <v>53850</v>
      </c>
      <c r="F2864">
        <v>149</v>
      </c>
      <c r="G2864" t="s">
        <v>449</v>
      </c>
      <c r="H2864" t="s">
        <v>167</v>
      </c>
      <c r="I2864" t="s">
        <v>45</v>
      </c>
      <c r="K2864" t="s">
        <v>2778</v>
      </c>
      <c r="L2864">
        <v>1493300664043</v>
      </c>
      <c r="M2864">
        <v>20250610</v>
      </c>
      <c r="N2864" t="s">
        <v>3136</v>
      </c>
      <c r="Q2864" t="s">
        <v>170</v>
      </c>
      <c r="R2864">
        <v>3216.9</v>
      </c>
      <c r="S2864">
        <v>0</v>
      </c>
      <c r="T2864">
        <v>2012794</v>
      </c>
      <c r="U2864" t="s">
        <v>2779</v>
      </c>
      <c r="V2864" t="s">
        <v>2780</v>
      </c>
      <c r="W2864" t="s">
        <v>187</v>
      </c>
      <c r="Y2864" t="s">
        <v>51</v>
      </c>
      <c r="Z2864">
        <v>1046</v>
      </c>
      <c r="AH2864">
        <v>0</v>
      </c>
      <c r="AI2864">
        <v>202506</v>
      </c>
      <c r="AJ2864" t="s">
        <v>86</v>
      </c>
      <c r="AK2864">
        <v>1</v>
      </c>
      <c r="AL2864">
        <v>1</v>
      </c>
      <c r="AO2864">
        <v>1</v>
      </c>
      <c r="AP2864" t="s">
        <v>3015</v>
      </c>
      <c r="AQ2864" t="s">
        <v>3044</v>
      </c>
      <c r="AR2864" t="s">
        <v>3045</v>
      </c>
      <c r="AS2864" t="s">
        <v>3046</v>
      </c>
      <c r="AU2864" t="s">
        <v>3046</v>
      </c>
    </row>
    <row r="2865" spans="1:47" x14ac:dyDescent="0.35">
      <c r="A2865">
        <v>348870</v>
      </c>
      <c r="B2865" t="s">
        <v>193</v>
      </c>
      <c r="C2865" t="s">
        <v>194</v>
      </c>
      <c r="D2865" s="2">
        <v>45819</v>
      </c>
      <c r="E2865">
        <v>53850</v>
      </c>
      <c r="F2865">
        <v>171</v>
      </c>
      <c r="G2865" t="s">
        <v>198</v>
      </c>
      <c r="H2865" t="s">
        <v>167</v>
      </c>
      <c r="I2865" t="s">
        <v>45</v>
      </c>
      <c r="K2865" t="s">
        <v>2776</v>
      </c>
      <c r="L2865">
        <v>1713305728950</v>
      </c>
      <c r="M2865">
        <v>20250610</v>
      </c>
      <c r="N2865" t="s">
        <v>195</v>
      </c>
      <c r="Q2865" t="s">
        <v>47</v>
      </c>
      <c r="R2865">
        <v>191560</v>
      </c>
      <c r="S2865">
        <v>191560</v>
      </c>
      <c r="T2865">
        <v>572895</v>
      </c>
      <c r="U2865">
        <v>4161600723</v>
      </c>
      <c r="V2865" t="s">
        <v>199</v>
      </c>
      <c r="W2865" t="s">
        <v>49</v>
      </c>
      <c r="X2865" t="s">
        <v>200</v>
      </c>
      <c r="Y2865" t="s">
        <v>51</v>
      </c>
      <c r="Z2865">
        <v>1903</v>
      </c>
      <c r="AH2865">
        <v>0</v>
      </c>
      <c r="AI2865">
        <v>202506</v>
      </c>
      <c r="AJ2865" t="s">
        <v>119</v>
      </c>
      <c r="AK2865">
        <v>1</v>
      </c>
      <c r="AL2865">
        <v>1</v>
      </c>
      <c r="AM2865">
        <v>572895</v>
      </c>
      <c r="AN2865">
        <v>1</v>
      </c>
      <c r="AO2865">
        <v>0</v>
      </c>
      <c r="AP2865" t="s">
        <v>3015</v>
      </c>
      <c r="AQ2865" t="s">
        <v>3012</v>
      </c>
      <c r="AR2865" t="s">
        <v>3016</v>
      </c>
      <c r="AT2865" t="s">
        <v>3017</v>
      </c>
      <c r="AU2865" t="s">
        <v>3018</v>
      </c>
    </row>
    <row r="2866" spans="1:47" x14ac:dyDescent="0.35">
      <c r="A2866">
        <v>348869</v>
      </c>
      <c r="B2866" t="s">
        <v>193</v>
      </c>
      <c r="C2866" t="s">
        <v>194</v>
      </c>
      <c r="D2866" s="2">
        <v>45819</v>
      </c>
      <c r="E2866">
        <v>53850</v>
      </c>
      <c r="F2866">
        <v>148</v>
      </c>
      <c r="G2866" t="s">
        <v>78</v>
      </c>
      <c r="H2866" t="s">
        <v>167</v>
      </c>
      <c r="I2866" t="s">
        <v>45</v>
      </c>
      <c r="K2866">
        <v>202506108058310</v>
      </c>
      <c r="L2866">
        <v>1483300010620</v>
      </c>
      <c r="M2866">
        <v>20250610</v>
      </c>
      <c r="N2866" t="s">
        <v>266</v>
      </c>
      <c r="Q2866" t="s">
        <v>47</v>
      </c>
      <c r="R2866">
        <v>24160</v>
      </c>
      <c r="S2866">
        <v>24160</v>
      </c>
      <c r="T2866">
        <v>4247284</v>
      </c>
      <c r="U2866" t="s">
        <v>537</v>
      </c>
      <c r="V2866" t="s">
        <v>538</v>
      </c>
      <c r="W2866" t="s">
        <v>69</v>
      </c>
      <c r="X2866" t="s">
        <v>131</v>
      </c>
      <c r="Y2866" t="s">
        <v>51</v>
      </c>
      <c r="Z2866">
        <v>1063</v>
      </c>
      <c r="AH2866">
        <v>0</v>
      </c>
      <c r="AI2866">
        <v>202506</v>
      </c>
      <c r="AJ2866" t="s">
        <v>56</v>
      </c>
      <c r="AK2866">
        <v>0</v>
      </c>
      <c r="AL2866">
        <v>1</v>
      </c>
      <c r="AM2866">
        <v>4247284</v>
      </c>
      <c r="AN2866">
        <v>1</v>
      </c>
      <c r="AO2866">
        <v>0</v>
      </c>
      <c r="AP2866" t="s">
        <v>3033</v>
      </c>
      <c r="AQ2866" t="s">
        <v>3021</v>
      </c>
      <c r="AR2866" t="s">
        <v>3054</v>
      </c>
      <c r="AS2866" t="s">
        <v>3055</v>
      </c>
      <c r="AU2866" t="s">
        <v>3055</v>
      </c>
    </row>
    <row r="2867" spans="1:47" x14ac:dyDescent="0.35">
      <c r="A2867">
        <v>348868</v>
      </c>
      <c r="B2867" t="s">
        <v>333</v>
      </c>
      <c r="C2867" t="s">
        <v>334</v>
      </c>
      <c r="D2867" s="2">
        <v>45819</v>
      </c>
      <c r="E2867">
        <v>53850</v>
      </c>
      <c r="F2867">
        <v>261</v>
      </c>
      <c r="G2867" t="s">
        <v>136</v>
      </c>
      <c r="H2867" t="s">
        <v>167</v>
      </c>
      <c r="I2867" t="s">
        <v>45</v>
      </c>
      <c r="K2867">
        <v>202506108058512</v>
      </c>
      <c r="M2867">
        <v>20250610</v>
      </c>
      <c r="N2867" t="s">
        <v>915</v>
      </c>
      <c r="Q2867" t="s">
        <v>170</v>
      </c>
      <c r="R2867">
        <v>55010</v>
      </c>
      <c r="S2867">
        <v>0</v>
      </c>
      <c r="T2867">
        <v>4173710</v>
      </c>
      <c r="U2867" t="s">
        <v>916</v>
      </c>
      <c r="V2867" t="s">
        <v>917</v>
      </c>
      <c r="W2867" t="s">
        <v>187</v>
      </c>
      <c r="Y2867" t="s">
        <v>51</v>
      </c>
      <c r="AH2867">
        <v>0</v>
      </c>
      <c r="AI2867">
        <v>202506</v>
      </c>
      <c r="AL2867">
        <v>0</v>
      </c>
      <c r="AO2867">
        <v>0</v>
      </c>
      <c r="AP2867" t="s">
        <v>3015</v>
      </c>
      <c r="AQ2867" t="s">
        <v>3044</v>
      </c>
      <c r="AR2867" t="s">
        <v>3045</v>
      </c>
      <c r="AS2867" t="s">
        <v>3046</v>
      </c>
      <c r="AU2867" t="s">
        <v>3046</v>
      </c>
    </row>
    <row r="2868" spans="1:47" x14ac:dyDescent="0.35">
      <c r="A2868">
        <v>348867</v>
      </c>
      <c r="B2868" t="s">
        <v>178</v>
      </c>
      <c r="C2868" t="s">
        <v>179</v>
      </c>
      <c r="D2868" s="2">
        <v>45819</v>
      </c>
      <c r="E2868">
        <v>53850</v>
      </c>
      <c r="F2868">
        <v>268</v>
      </c>
      <c r="G2868" t="s">
        <v>83</v>
      </c>
      <c r="H2868" t="s">
        <v>167</v>
      </c>
      <c r="I2868" t="s">
        <v>45</v>
      </c>
      <c r="K2868" t="s">
        <v>2781</v>
      </c>
      <c r="L2868">
        <v>2683300000189</v>
      </c>
      <c r="M2868">
        <v>20250610</v>
      </c>
      <c r="N2868" t="s">
        <v>3136</v>
      </c>
      <c r="Q2868" t="s">
        <v>170</v>
      </c>
      <c r="R2868">
        <v>1039.8699999999999</v>
      </c>
      <c r="S2868">
        <v>0</v>
      </c>
      <c r="T2868">
        <v>1606414</v>
      </c>
      <c r="U2868">
        <v>1574540793</v>
      </c>
      <c r="V2868" t="s">
        <v>2782</v>
      </c>
      <c r="W2868" t="s">
        <v>49</v>
      </c>
      <c r="X2868" t="s">
        <v>501</v>
      </c>
      <c r="Y2868" t="s">
        <v>51</v>
      </c>
      <c r="Z2868">
        <v>1627</v>
      </c>
      <c r="AH2868">
        <v>0</v>
      </c>
      <c r="AI2868">
        <v>202506</v>
      </c>
      <c r="AJ2868" t="s">
        <v>86</v>
      </c>
      <c r="AK2868">
        <v>1</v>
      </c>
      <c r="AL2868">
        <v>1</v>
      </c>
      <c r="AM2868">
        <v>1606414</v>
      </c>
      <c r="AN2868">
        <v>1</v>
      </c>
      <c r="AO2868">
        <v>1</v>
      </c>
      <c r="AP2868" t="s">
        <v>3015</v>
      </c>
      <c r="AQ2868" t="s">
        <v>3012</v>
      </c>
      <c r="AR2868" t="s">
        <v>3016</v>
      </c>
      <c r="AT2868" t="s">
        <v>3017</v>
      </c>
      <c r="AU2868" t="s">
        <v>3018</v>
      </c>
    </row>
    <row r="2869" spans="1:47" x14ac:dyDescent="0.35">
      <c r="A2869">
        <v>348866</v>
      </c>
      <c r="B2869" t="s">
        <v>178</v>
      </c>
      <c r="C2869" t="s">
        <v>179</v>
      </c>
      <c r="D2869" s="2">
        <v>45819</v>
      </c>
      <c r="E2869">
        <v>53850</v>
      </c>
      <c r="F2869">
        <v>195</v>
      </c>
      <c r="G2869" t="s">
        <v>498</v>
      </c>
      <c r="H2869" t="s">
        <v>167</v>
      </c>
      <c r="I2869" t="s">
        <v>45</v>
      </c>
      <c r="K2869">
        <v>202506108058045</v>
      </c>
      <c r="L2869">
        <v>1953300019387</v>
      </c>
      <c r="M2869">
        <v>20250610</v>
      </c>
      <c r="N2869" t="s">
        <v>3136</v>
      </c>
      <c r="Q2869" t="s">
        <v>170</v>
      </c>
      <c r="R2869">
        <v>9833.6</v>
      </c>
      <c r="S2869">
        <v>0</v>
      </c>
      <c r="T2869">
        <v>3006477</v>
      </c>
      <c r="U2869" t="s">
        <v>2783</v>
      </c>
      <c r="V2869" t="s">
        <v>2784</v>
      </c>
      <c r="W2869" t="s">
        <v>187</v>
      </c>
      <c r="Y2869" t="s">
        <v>51</v>
      </c>
      <c r="Z2869">
        <v>1463</v>
      </c>
      <c r="AH2869">
        <v>0</v>
      </c>
      <c r="AI2869">
        <v>202506</v>
      </c>
      <c r="AJ2869" t="s">
        <v>86</v>
      </c>
      <c r="AK2869">
        <v>1</v>
      </c>
      <c r="AL2869">
        <v>1</v>
      </c>
      <c r="AO2869">
        <v>1</v>
      </c>
      <c r="AP2869" t="s">
        <v>3015</v>
      </c>
      <c r="AQ2869" t="s">
        <v>3044</v>
      </c>
      <c r="AR2869" t="s">
        <v>3045</v>
      </c>
      <c r="AS2869" t="s">
        <v>3046</v>
      </c>
      <c r="AU2869" t="s">
        <v>3046</v>
      </c>
    </row>
    <row r="2870" spans="1:47" x14ac:dyDescent="0.35">
      <c r="A2870">
        <v>348865</v>
      </c>
      <c r="B2870" t="s">
        <v>193</v>
      </c>
      <c r="C2870" t="s">
        <v>194</v>
      </c>
      <c r="D2870" s="2">
        <v>45819</v>
      </c>
      <c r="E2870">
        <v>53850</v>
      </c>
      <c r="F2870">
        <v>161</v>
      </c>
      <c r="G2870" t="s">
        <v>111</v>
      </c>
      <c r="H2870" t="s">
        <v>167</v>
      </c>
      <c r="I2870" t="s">
        <v>45</v>
      </c>
      <c r="K2870" t="s">
        <v>2776</v>
      </c>
      <c r="L2870">
        <v>1613300031333</v>
      </c>
      <c r="M2870">
        <v>20250610</v>
      </c>
      <c r="N2870" t="s">
        <v>175</v>
      </c>
      <c r="Q2870" t="s">
        <v>47</v>
      </c>
      <c r="R2870">
        <v>41006.400000000001</v>
      </c>
      <c r="S2870">
        <v>36700</v>
      </c>
      <c r="T2870">
        <v>511904</v>
      </c>
      <c r="U2870" t="s">
        <v>388</v>
      </c>
      <c r="V2870" t="s">
        <v>389</v>
      </c>
      <c r="W2870" t="s">
        <v>69</v>
      </c>
      <c r="X2870" t="s">
        <v>55</v>
      </c>
      <c r="Y2870" t="s">
        <v>51</v>
      </c>
      <c r="Z2870">
        <v>857</v>
      </c>
      <c r="AH2870">
        <v>0</v>
      </c>
      <c r="AI2870">
        <v>202506</v>
      </c>
      <c r="AJ2870" t="s">
        <v>119</v>
      </c>
      <c r="AK2870">
        <v>1</v>
      </c>
      <c r="AL2870">
        <v>1</v>
      </c>
      <c r="AM2870">
        <v>511904</v>
      </c>
      <c r="AN2870">
        <v>1</v>
      </c>
      <c r="AO2870">
        <v>1</v>
      </c>
      <c r="AP2870" t="s">
        <v>3015</v>
      </c>
      <c r="AQ2870" t="s">
        <v>3021</v>
      </c>
      <c r="AR2870" t="s">
        <v>3022</v>
      </c>
      <c r="AT2870" t="s">
        <v>3017</v>
      </c>
      <c r="AU2870" t="s">
        <v>3014</v>
      </c>
    </row>
    <row r="2871" spans="1:47" x14ac:dyDescent="0.35">
      <c r="A2871">
        <v>348864</v>
      </c>
      <c r="B2871" t="s">
        <v>172</v>
      </c>
      <c r="C2871" t="s">
        <v>173</v>
      </c>
      <c r="D2871" s="2">
        <v>45819</v>
      </c>
      <c r="E2871">
        <v>53850</v>
      </c>
      <c r="F2871">
        <v>104</v>
      </c>
      <c r="G2871" t="s">
        <v>108</v>
      </c>
      <c r="H2871" t="s">
        <v>167</v>
      </c>
      <c r="I2871" t="s">
        <v>45</v>
      </c>
      <c r="K2871" t="s">
        <v>2776</v>
      </c>
      <c r="L2871">
        <v>1043304173550</v>
      </c>
      <c r="M2871">
        <v>20250610</v>
      </c>
      <c r="N2871" t="s">
        <v>175</v>
      </c>
      <c r="Q2871" t="s">
        <v>47</v>
      </c>
      <c r="R2871">
        <v>106353.02</v>
      </c>
      <c r="S2871">
        <v>0</v>
      </c>
      <c r="T2871">
        <v>417355</v>
      </c>
      <c r="U2871">
        <v>374690725</v>
      </c>
      <c r="V2871" t="s">
        <v>109</v>
      </c>
      <c r="W2871" t="s">
        <v>49</v>
      </c>
      <c r="X2871" t="s">
        <v>110</v>
      </c>
      <c r="Y2871" t="s">
        <v>51</v>
      </c>
      <c r="Z2871">
        <v>1919</v>
      </c>
      <c r="AH2871">
        <v>0</v>
      </c>
      <c r="AI2871">
        <v>202506</v>
      </c>
      <c r="AJ2871" t="s">
        <v>86</v>
      </c>
      <c r="AK2871">
        <v>1</v>
      </c>
      <c r="AL2871">
        <v>1</v>
      </c>
      <c r="AM2871">
        <v>417355</v>
      </c>
      <c r="AN2871">
        <v>1</v>
      </c>
      <c r="AO2871">
        <v>1</v>
      </c>
      <c r="AP2871" t="s">
        <v>3026</v>
      </c>
      <c r="AQ2871" t="s">
        <v>3012</v>
      </c>
      <c r="AR2871" t="s">
        <v>3027</v>
      </c>
      <c r="AS2871" t="s">
        <v>3028</v>
      </c>
      <c r="AU2871" t="s">
        <v>3028</v>
      </c>
    </row>
    <row r="2872" spans="1:47" x14ac:dyDescent="0.35">
      <c r="A2872">
        <v>348863</v>
      </c>
      <c r="B2872" t="s">
        <v>178</v>
      </c>
      <c r="C2872" t="s">
        <v>179</v>
      </c>
      <c r="D2872" s="2">
        <v>45819</v>
      </c>
      <c r="E2872">
        <v>53850</v>
      </c>
      <c r="F2872">
        <v>116</v>
      </c>
      <c r="G2872" t="s">
        <v>126</v>
      </c>
      <c r="H2872" t="s">
        <v>167</v>
      </c>
      <c r="I2872" t="s">
        <v>45</v>
      </c>
      <c r="K2872">
        <v>202506108055575</v>
      </c>
      <c r="L2872">
        <v>2173300010307</v>
      </c>
      <c r="M2872">
        <v>20250610</v>
      </c>
      <c r="N2872" t="s">
        <v>236</v>
      </c>
      <c r="P2872" t="s">
        <v>51</v>
      </c>
      <c r="Q2872" t="s">
        <v>170</v>
      </c>
      <c r="R2872">
        <v>1230000</v>
      </c>
      <c r="S2872">
        <v>0</v>
      </c>
      <c r="T2872">
        <v>4434879</v>
      </c>
      <c r="U2872">
        <v>1595620061</v>
      </c>
      <c r="V2872" t="s">
        <v>1443</v>
      </c>
      <c r="W2872" t="s">
        <v>49</v>
      </c>
      <c r="X2872" t="s">
        <v>1444</v>
      </c>
      <c r="Y2872" t="s">
        <v>51</v>
      </c>
      <c r="Z2872">
        <v>1696</v>
      </c>
      <c r="AH2872">
        <v>0</v>
      </c>
      <c r="AI2872">
        <v>202506</v>
      </c>
      <c r="AJ2872" t="s">
        <v>86</v>
      </c>
      <c r="AK2872">
        <v>1</v>
      </c>
      <c r="AL2872">
        <v>1</v>
      </c>
      <c r="AO2872">
        <v>0</v>
      </c>
      <c r="AP2872" t="s">
        <v>3015</v>
      </c>
      <c r="AQ2872" t="s">
        <v>3012</v>
      </c>
      <c r="AR2872" t="s">
        <v>3016</v>
      </c>
      <c r="AT2872" t="s">
        <v>3017</v>
      </c>
      <c r="AU2872" t="s">
        <v>3018</v>
      </c>
    </row>
    <row r="2873" spans="1:47" x14ac:dyDescent="0.35">
      <c r="A2873">
        <v>348862</v>
      </c>
      <c r="B2873" t="s">
        <v>172</v>
      </c>
      <c r="C2873" t="s">
        <v>173</v>
      </c>
      <c r="D2873" s="2">
        <v>45819</v>
      </c>
      <c r="E2873">
        <v>53850</v>
      </c>
      <c r="F2873">
        <v>161</v>
      </c>
      <c r="G2873" t="s">
        <v>111</v>
      </c>
      <c r="H2873" t="s">
        <v>167</v>
      </c>
      <c r="I2873" t="s">
        <v>45</v>
      </c>
      <c r="K2873" t="s">
        <v>2776</v>
      </c>
      <c r="L2873">
        <v>1613300029653</v>
      </c>
      <c r="M2873">
        <v>20250610</v>
      </c>
      <c r="N2873" t="s">
        <v>175</v>
      </c>
      <c r="Q2873" t="s">
        <v>47</v>
      </c>
      <c r="R2873">
        <v>97229.53</v>
      </c>
      <c r="S2873">
        <v>8600</v>
      </c>
      <c r="T2873">
        <v>4088769</v>
      </c>
      <c r="U2873">
        <v>5150120722</v>
      </c>
      <c r="V2873" t="s">
        <v>270</v>
      </c>
      <c r="W2873" t="s">
        <v>49</v>
      </c>
      <c r="X2873" t="s">
        <v>110</v>
      </c>
      <c r="Y2873" t="s">
        <v>51</v>
      </c>
      <c r="Z2873">
        <v>1903</v>
      </c>
      <c r="AH2873">
        <v>0</v>
      </c>
      <c r="AI2873">
        <v>202506</v>
      </c>
      <c r="AJ2873" t="s">
        <v>56</v>
      </c>
      <c r="AK2873">
        <v>0</v>
      </c>
      <c r="AL2873">
        <v>1</v>
      </c>
      <c r="AM2873">
        <v>4088769</v>
      </c>
      <c r="AN2873">
        <v>1</v>
      </c>
      <c r="AO2873">
        <v>1</v>
      </c>
      <c r="AP2873" t="s">
        <v>3026</v>
      </c>
      <c r="AQ2873" t="s">
        <v>3012</v>
      </c>
      <c r="AR2873" t="s">
        <v>3027</v>
      </c>
      <c r="AS2873" t="s">
        <v>3028</v>
      </c>
      <c r="AU2873" t="s">
        <v>3028</v>
      </c>
    </row>
    <row r="2874" spans="1:47" x14ac:dyDescent="0.35">
      <c r="A2874">
        <v>348861</v>
      </c>
      <c r="B2874" t="s">
        <v>178</v>
      </c>
      <c r="C2874" t="s">
        <v>179</v>
      </c>
      <c r="D2874" s="2">
        <v>45819</v>
      </c>
      <c r="E2874">
        <v>53850</v>
      </c>
      <c r="F2874">
        <v>187</v>
      </c>
      <c r="G2874" t="s">
        <v>251</v>
      </c>
      <c r="H2874" t="s">
        <v>167</v>
      </c>
      <c r="I2874" t="s">
        <v>45</v>
      </c>
      <c r="K2874">
        <v>202506108055638</v>
      </c>
      <c r="L2874">
        <v>999361870311</v>
      </c>
      <c r="M2874">
        <v>20250610</v>
      </c>
      <c r="N2874" t="s">
        <v>236</v>
      </c>
      <c r="P2874" t="s">
        <v>51</v>
      </c>
      <c r="Q2874" t="s">
        <v>170</v>
      </c>
      <c r="R2874">
        <v>1362805.46</v>
      </c>
      <c r="S2874">
        <v>0</v>
      </c>
      <c r="T2874">
        <v>3004644</v>
      </c>
      <c r="U2874">
        <v>80008750731</v>
      </c>
      <c r="V2874" t="s">
        <v>252</v>
      </c>
      <c r="W2874" t="s">
        <v>253</v>
      </c>
      <c r="Y2874" t="s">
        <v>51</v>
      </c>
      <c r="Z2874">
        <v>1627</v>
      </c>
      <c r="AH2874">
        <v>0</v>
      </c>
      <c r="AI2874">
        <v>202506</v>
      </c>
      <c r="AJ2874" t="s">
        <v>56</v>
      </c>
      <c r="AK2874">
        <v>0</v>
      </c>
      <c r="AL2874">
        <v>1</v>
      </c>
      <c r="AO2874">
        <v>0</v>
      </c>
      <c r="AP2874" t="s">
        <v>3015</v>
      </c>
      <c r="AQ2874" t="s">
        <v>3052</v>
      </c>
      <c r="AR2874" t="s">
        <v>3053</v>
      </c>
      <c r="AS2874" t="s">
        <v>3037</v>
      </c>
      <c r="AU2874" t="s">
        <v>3037</v>
      </c>
    </row>
    <row r="2875" spans="1:47" x14ac:dyDescent="0.35">
      <c r="A2875">
        <v>348860</v>
      </c>
      <c r="B2875" t="s">
        <v>193</v>
      </c>
      <c r="C2875" t="s">
        <v>194</v>
      </c>
      <c r="D2875" s="2">
        <v>45819</v>
      </c>
      <c r="E2875">
        <v>53850</v>
      </c>
      <c r="F2875">
        <v>171</v>
      </c>
      <c r="G2875" t="s">
        <v>198</v>
      </c>
      <c r="H2875" t="s">
        <v>167</v>
      </c>
      <c r="I2875" t="s">
        <v>45</v>
      </c>
      <c r="K2875" t="s">
        <v>2776</v>
      </c>
      <c r="L2875">
        <v>1713302214147</v>
      </c>
      <c r="M2875">
        <v>20250610</v>
      </c>
      <c r="N2875" t="s">
        <v>195</v>
      </c>
      <c r="Q2875" t="s">
        <v>47</v>
      </c>
      <c r="R2875">
        <v>48645</v>
      </c>
      <c r="S2875">
        <v>48645</v>
      </c>
      <c r="T2875">
        <v>4199319</v>
      </c>
      <c r="U2875">
        <v>6037810725</v>
      </c>
      <c r="V2875" t="s">
        <v>285</v>
      </c>
      <c r="W2875" t="s">
        <v>49</v>
      </c>
      <c r="X2875" t="s">
        <v>200</v>
      </c>
      <c r="Y2875" t="s">
        <v>51</v>
      </c>
      <c r="Z2875">
        <v>1903</v>
      </c>
      <c r="AH2875">
        <v>0</v>
      </c>
      <c r="AI2875">
        <v>202506</v>
      </c>
      <c r="AJ2875" t="s">
        <v>86</v>
      </c>
      <c r="AK2875">
        <v>1</v>
      </c>
      <c r="AL2875">
        <v>1</v>
      </c>
      <c r="AM2875">
        <v>4199319</v>
      </c>
      <c r="AN2875">
        <v>1</v>
      </c>
      <c r="AO2875">
        <v>0</v>
      </c>
      <c r="AP2875" t="s">
        <v>3015</v>
      </c>
      <c r="AQ2875" t="s">
        <v>3012</v>
      </c>
      <c r="AR2875" t="s">
        <v>3016</v>
      </c>
      <c r="AT2875" t="s">
        <v>3017</v>
      </c>
      <c r="AU2875" t="s">
        <v>3018</v>
      </c>
    </row>
    <row r="2876" spans="1:47" x14ac:dyDescent="0.35">
      <c r="A2876">
        <v>348859</v>
      </c>
      <c r="B2876" t="s">
        <v>193</v>
      </c>
      <c r="C2876" t="s">
        <v>194</v>
      </c>
      <c r="D2876" s="2">
        <v>45819</v>
      </c>
      <c r="E2876">
        <v>53850</v>
      </c>
      <c r="F2876">
        <v>259</v>
      </c>
      <c r="G2876" t="s">
        <v>361</v>
      </c>
      <c r="H2876" t="s">
        <v>167</v>
      </c>
      <c r="I2876" t="s">
        <v>45</v>
      </c>
      <c r="K2876">
        <v>202506108057929</v>
      </c>
      <c r="L2876">
        <v>2593300000914</v>
      </c>
      <c r="M2876">
        <v>20250610</v>
      </c>
      <c r="N2876" t="s">
        <v>195</v>
      </c>
      <c r="Q2876" t="s">
        <v>47</v>
      </c>
      <c r="R2876">
        <v>35300</v>
      </c>
      <c r="S2876">
        <v>35300</v>
      </c>
      <c r="T2876">
        <v>4960187</v>
      </c>
      <c r="U2876">
        <v>8510340725</v>
      </c>
      <c r="V2876" t="s">
        <v>1683</v>
      </c>
      <c r="W2876" t="s">
        <v>49</v>
      </c>
      <c r="X2876" t="s">
        <v>131</v>
      </c>
      <c r="Y2876" t="s">
        <v>51</v>
      </c>
      <c r="Z2876">
        <v>1578</v>
      </c>
      <c r="AH2876">
        <v>0</v>
      </c>
      <c r="AI2876">
        <v>202506</v>
      </c>
      <c r="AJ2876" t="s">
        <v>56</v>
      </c>
      <c r="AK2876">
        <v>0</v>
      </c>
      <c r="AL2876">
        <v>1</v>
      </c>
      <c r="AM2876">
        <v>4960187</v>
      </c>
      <c r="AN2876">
        <v>1</v>
      </c>
      <c r="AO2876">
        <v>0</v>
      </c>
      <c r="AP2876" t="s">
        <v>3033</v>
      </c>
      <c r="AQ2876" t="s">
        <v>3012</v>
      </c>
      <c r="AR2876" t="s">
        <v>3034</v>
      </c>
      <c r="AS2876" t="s">
        <v>3014</v>
      </c>
      <c r="AU2876" t="s">
        <v>3014</v>
      </c>
    </row>
    <row r="2877" spans="1:47" x14ac:dyDescent="0.35">
      <c r="A2877">
        <v>348858</v>
      </c>
      <c r="B2877" t="s">
        <v>178</v>
      </c>
      <c r="C2877" t="s">
        <v>179</v>
      </c>
      <c r="D2877" s="2">
        <v>45819</v>
      </c>
      <c r="E2877">
        <v>53850</v>
      </c>
      <c r="F2877">
        <v>259</v>
      </c>
      <c r="G2877" t="s">
        <v>361</v>
      </c>
      <c r="H2877" t="s">
        <v>167</v>
      </c>
      <c r="I2877" t="s">
        <v>45</v>
      </c>
      <c r="K2877">
        <v>202506108056982</v>
      </c>
      <c r="L2877">
        <v>2593300001020</v>
      </c>
      <c r="M2877">
        <v>20250610</v>
      </c>
      <c r="N2877" t="s">
        <v>46</v>
      </c>
      <c r="P2877" t="s">
        <v>51</v>
      </c>
      <c r="Q2877" t="s">
        <v>47</v>
      </c>
      <c r="R2877">
        <v>1400000</v>
      </c>
      <c r="S2877">
        <v>0</v>
      </c>
      <c r="T2877">
        <v>4983845</v>
      </c>
      <c r="U2877">
        <v>8480620726</v>
      </c>
      <c r="V2877" t="s">
        <v>362</v>
      </c>
      <c r="W2877" t="s">
        <v>49</v>
      </c>
      <c r="X2877" t="s">
        <v>50</v>
      </c>
      <c r="Y2877" t="s">
        <v>51</v>
      </c>
      <c r="Z2877">
        <v>1058</v>
      </c>
      <c r="AH2877">
        <v>0</v>
      </c>
      <c r="AI2877">
        <v>202506</v>
      </c>
      <c r="AJ2877" t="s">
        <v>86</v>
      </c>
      <c r="AK2877">
        <v>1</v>
      </c>
      <c r="AL2877">
        <v>1</v>
      </c>
      <c r="AO2877">
        <v>0</v>
      </c>
      <c r="AP2877" t="s">
        <v>3011</v>
      </c>
      <c r="AQ2877" t="s">
        <v>3012</v>
      </c>
      <c r="AR2877" t="s">
        <v>3013</v>
      </c>
      <c r="AS2877" t="s">
        <v>3014</v>
      </c>
      <c r="AU2877" t="s">
        <v>3014</v>
      </c>
    </row>
    <row r="2878" spans="1:47" x14ac:dyDescent="0.35">
      <c r="A2878">
        <v>348857</v>
      </c>
      <c r="B2878" t="s">
        <v>178</v>
      </c>
      <c r="C2878" t="s">
        <v>179</v>
      </c>
      <c r="D2878" s="2">
        <v>45819</v>
      </c>
      <c r="E2878">
        <v>53850</v>
      </c>
      <c r="F2878">
        <v>149</v>
      </c>
      <c r="G2878" t="s">
        <v>449</v>
      </c>
      <c r="H2878" t="s">
        <v>167</v>
      </c>
      <c r="I2878" t="s">
        <v>45</v>
      </c>
      <c r="K2878" t="s">
        <v>2778</v>
      </c>
      <c r="L2878">
        <v>1493300664043</v>
      </c>
      <c r="M2878">
        <v>20250610</v>
      </c>
      <c r="N2878" t="s">
        <v>3136</v>
      </c>
      <c r="Q2878" t="s">
        <v>170</v>
      </c>
      <c r="R2878">
        <v>3216.9</v>
      </c>
      <c r="S2878">
        <v>0</v>
      </c>
      <c r="T2878">
        <v>4383917</v>
      </c>
      <c r="U2878" t="s">
        <v>2785</v>
      </c>
      <c r="V2878" t="s">
        <v>2786</v>
      </c>
      <c r="W2878" t="s">
        <v>187</v>
      </c>
      <c r="Y2878" t="s">
        <v>51</v>
      </c>
      <c r="Z2878">
        <v>1046</v>
      </c>
      <c r="AH2878">
        <v>0</v>
      </c>
      <c r="AI2878">
        <v>202506</v>
      </c>
      <c r="AJ2878" t="s">
        <v>86</v>
      </c>
      <c r="AK2878">
        <v>1</v>
      </c>
      <c r="AL2878">
        <v>1</v>
      </c>
      <c r="AO2878">
        <v>1</v>
      </c>
      <c r="AP2878" t="s">
        <v>3015</v>
      </c>
      <c r="AQ2878" t="s">
        <v>3044</v>
      </c>
      <c r="AR2878" t="s">
        <v>3045</v>
      </c>
      <c r="AS2878" t="s">
        <v>3046</v>
      </c>
      <c r="AU2878" t="s">
        <v>3046</v>
      </c>
    </row>
    <row r="2879" spans="1:47" x14ac:dyDescent="0.35">
      <c r="A2879">
        <v>348856</v>
      </c>
      <c r="B2879" t="s">
        <v>178</v>
      </c>
      <c r="C2879" t="s">
        <v>179</v>
      </c>
      <c r="D2879" s="2">
        <v>45819</v>
      </c>
      <c r="E2879">
        <v>53850</v>
      </c>
      <c r="F2879">
        <v>125</v>
      </c>
      <c r="G2879" t="s">
        <v>75</v>
      </c>
      <c r="H2879" t="s">
        <v>167</v>
      </c>
      <c r="I2879" t="s">
        <v>45</v>
      </c>
      <c r="K2879" t="s">
        <v>2787</v>
      </c>
      <c r="L2879">
        <v>1253300002492</v>
      </c>
      <c r="M2879">
        <v>20250610</v>
      </c>
      <c r="N2879" t="s">
        <v>3136</v>
      </c>
      <c r="Q2879" t="s">
        <v>170</v>
      </c>
      <c r="R2879">
        <v>1472.69</v>
      </c>
      <c r="S2879">
        <v>0</v>
      </c>
      <c r="T2879">
        <v>4930799</v>
      </c>
      <c r="U2879">
        <v>5212370638</v>
      </c>
      <c r="V2879" t="s">
        <v>1094</v>
      </c>
      <c r="W2879" t="s">
        <v>49</v>
      </c>
      <c r="X2879" t="s">
        <v>241</v>
      </c>
      <c r="Y2879" t="s">
        <v>51</v>
      </c>
      <c r="Z2879">
        <v>982</v>
      </c>
      <c r="AH2879">
        <v>0</v>
      </c>
      <c r="AI2879">
        <v>202506</v>
      </c>
      <c r="AJ2879" t="s">
        <v>86</v>
      </c>
      <c r="AK2879">
        <v>1</v>
      </c>
      <c r="AL2879">
        <v>1</v>
      </c>
      <c r="AO2879">
        <v>1</v>
      </c>
      <c r="AP2879" t="s">
        <v>3015</v>
      </c>
      <c r="AQ2879" t="s">
        <v>3012</v>
      </c>
      <c r="AR2879" t="s">
        <v>3016</v>
      </c>
      <c r="AT2879" t="s">
        <v>3017</v>
      </c>
      <c r="AU2879" t="s">
        <v>3018</v>
      </c>
    </row>
    <row r="2880" spans="1:47" x14ac:dyDescent="0.35">
      <c r="A2880">
        <v>348855</v>
      </c>
      <c r="B2880" t="s">
        <v>193</v>
      </c>
      <c r="C2880" t="s">
        <v>194</v>
      </c>
      <c r="D2880" s="2">
        <v>45819</v>
      </c>
      <c r="E2880">
        <v>53850</v>
      </c>
      <c r="F2880">
        <v>116</v>
      </c>
      <c r="G2880" t="s">
        <v>126</v>
      </c>
      <c r="H2880" t="s">
        <v>167</v>
      </c>
      <c r="I2880" t="s">
        <v>45</v>
      </c>
      <c r="K2880">
        <v>202506108057916</v>
      </c>
      <c r="L2880">
        <v>2343300010453</v>
      </c>
      <c r="M2880">
        <v>20250610</v>
      </c>
      <c r="N2880" t="s">
        <v>195</v>
      </c>
      <c r="Q2880" t="s">
        <v>47</v>
      </c>
      <c r="R2880">
        <v>136096.6</v>
      </c>
      <c r="S2880">
        <v>136096.6</v>
      </c>
      <c r="T2880">
        <v>4247777</v>
      </c>
      <c r="U2880">
        <v>233470236</v>
      </c>
      <c r="V2880" t="s">
        <v>206</v>
      </c>
      <c r="W2880" t="s">
        <v>49</v>
      </c>
      <c r="X2880" t="s">
        <v>117</v>
      </c>
      <c r="Y2880" t="s">
        <v>51</v>
      </c>
      <c r="Z2880">
        <v>1696</v>
      </c>
      <c r="AH2880">
        <v>0</v>
      </c>
      <c r="AI2880">
        <v>202506</v>
      </c>
      <c r="AJ2880" t="s">
        <v>86</v>
      </c>
      <c r="AK2880">
        <v>1</v>
      </c>
      <c r="AL2880">
        <v>1</v>
      </c>
      <c r="AM2880">
        <v>4247777</v>
      </c>
      <c r="AN2880">
        <v>1</v>
      </c>
      <c r="AO2880">
        <v>0</v>
      </c>
      <c r="AP2880" t="s">
        <v>3029</v>
      </c>
      <c r="AQ2880" t="s">
        <v>3012</v>
      </c>
      <c r="AR2880" t="s">
        <v>3030</v>
      </c>
      <c r="AS2880" t="s">
        <v>3014</v>
      </c>
      <c r="AU2880" t="s">
        <v>3014</v>
      </c>
    </row>
    <row r="2881" spans="1:47" x14ac:dyDescent="0.35">
      <c r="A2881">
        <v>348854</v>
      </c>
      <c r="B2881" t="s">
        <v>178</v>
      </c>
      <c r="C2881" t="s">
        <v>179</v>
      </c>
      <c r="D2881" s="2">
        <v>45819</v>
      </c>
      <c r="E2881">
        <v>53850</v>
      </c>
      <c r="F2881">
        <v>196</v>
      </c>
      <c r="G2881" t="s">
        <v>567</v>
      </c>
      <c r="H2881" t="s">
        <v>167</v>
      </c>
      <c r="I2881" t="s">
        <v>45</v>
      </c>
      <c r="K2881" t="s">
        <v>2788</v>
      </c>
      <c r="L2881">
        <v>1963302354339</v>
      </c>
      <c r="M2881">
        <v>20250610</v>
      </c>
      <c r="N2881" t="s">
        <v>3136</v>
      </c>
      <c r="Q2881" t="s">
        <v>170</v>
      </c>
      <c r="R2881">
        <v>1095.5999999999999</v>
      </c>
      <c r="S2881">
        <v>0</v>
      </c>
      <c r="T2881">
        <v>4943315</v>
      </c>
      <c r="U2881">
        <v>1578810713</v>
      </c>
      <c r="V2881" t="s">
        <v>1108</v>
      </c>
      <c r="W2881" t="s">
        <v>580</v>
      </c>
      <c r="X2881" t="s">
        <v>200</v>
      </c>
      <c r="Y2881" t="s">
        <v>51</v>
      </c>
      <c r="Z2881">
        <v>1453</v>
      </c>
      <c r="AH2881">
        <v>0</v>
      </c>
      <c r="AI2881">
        <v>202506</v>
      </c>
      <c r="AJ2881" t="s">
        <v>86</v>
      </c>
      <c r="AK2881">
        <v>1</v>
      </c>
      <c r="AL2881">
        <v>1</v>
      </c>
      <c r="AO2881">
        <v>1</v>
      </c>
      <c r="AP2881" t="s">
        <v>3015</v>
      </c>
      <c r="AQ2881" t="s">
        <v>3078</v>
      </c>
      <c r="AR2881" t="s">
        <v>3102</v>
      </c>
      <c r="AT2881" t="s">
        <v>3017</v>
      </c>
      <c r="AU2881" t="s">
        <v>3057</v>
      </c>
    </row>
    <row r="2882" spans="1:47" x14ac:dyDescent="0.35">
      <c r="A2882">
        <v>348853</v>
      </c>
      <c r="B2882" t="s">
        <v>178</v>
      </c>
      <c r="C2882" t="s">
        <v>179</v>
      </c>
      <c r="D2882" s="2">
        <v>45819</v>
      </c>
      <c r="E2882">
        <v>53850</v>
      </c>
      <c r="F2882">
        <v>268</v>
      </c>
      <c r="G2882" t="s">
        <v>83</v>
      </c>
      <c r="H2882" t="s">
        <v>167</v>
      </c>
      <c r="I2882" t="s">
        <v>45</v>
      </c>
      <c r="K2882" t="s">
        <v>2789</v>
      </c>
      <c r="L2882">
        <v>2683300005043</v>
      </c>
      <c r="M2882">
        <v>20250610</v>
      </c>
      <c r="N2882" t="s">
        <v>3136</v>
      </c>
      <c r="Q2882" t="s">
        <v>170</v>
      </c>
      <c r="R2882">
        <v>1898.42</v>
      </c>
      <c r="S2882">
        <v>0</v>
      </c>
      <c r="T2882">
        <v>1687990</v>
      </c>
      <c r="U2882">
        <v>3703970792</v>
      </c>
      <c r="V2882" t="s">
        <v>1114</v>
      </c>
      <c r="W2882" t="s">
        <v>49</v>
      </c>
      <c r="X2882" t="s">
        <v>200</v>
      </c>
      <c r="Y2882" t="s">
        <v>51</v>
      </c>
      <c r="Z2882">
        <v>1891</v>
      </c>
      <c r="AH2882">
        <v>0</v>
      </c>
      <c r="AI2882">
        <v>202506</v>
      </c>
      <c r="AJ2882" t="s">
        <v>119</v>
      </c>
      <c r="AK2882">
        <v>1</v>
      </c>
      <c r="AL2882">
        <v>1</v>
      </c>
      <c r="AM2882">
        <v>1687990</v>
      </c>
      <c r="AN2882">
        <v>1</v>
      </c>
      <c r="AO2882">
        <v>1</v>
      </c>
      <c r="AP2882" t="s">
        <v>3015</v>
      </c>
      <c r="AQ2882" t="s">
        <v>3012</v>
      </c>
      <c r="AR2882" t="s">
        <v>3016</v>
      </c>
      <c r="AT2882" t="s">
        <v>3017</v>
      </c>
      <c r="AU2882" t="s">
        <v>3018</v>
      </c>
    </row>
    <row r="2883" spans="1:47" x14ac:dyDescent="0.35">
      <c r="A2883">
        <v>348852</v>
      </c>
      <c r="B2883" t="s">
        <v>178</v>
      </c>
      <c r="C2883" t="s">
        <v>179</v>
      </c>
      <c r="D2883" s="2">
        <v>45819</v>
      </c>
      <c r="E2883">
        <v>53850</v>
      </c>
      <c r="F2883">
        <v>147</v>
      </c>
      <c r="G2883" t="s">
        <v>771</v>
      </c>
      <c r="H2883" t="s">
        <v>167</v>
      </c>
      <c r="I2883" t="s">
        <v>45</v>
      </c>
      <c r="K2883">
        <v>202506108058305</v>
      </c>
      <c r="L2883">
        <v>1473300001779</v>
      </c>
      <c r="M2883">
        <v>20250610</v>
      </c>
      <c r="N2883" t="s">
        <v>3136</v>
      </c>
      <c r="Q2883" t="s">
        <v>170</v>
      </c>
      <c r="R2883">
        <v>5331.37</v>
      </c>
      <c r="S2883">
        <v>0</v>
      </c>
      <c r="T2883">
        <v>4609332</v>
      </c>
      <c r="U2883" t="s">
        <v>2790</v>
      </c>
      <c r="V2883" t="s">
        <v>2791</v>
      </c>
      <c r="W2883" t="s">
        <v>187</v>
      </c>
      <c r="Y2883" t="s">
        <v>51</v>
      </c>
      <c r="AH2883">
        <v>0</v>
      </c>
      <c r="AI2883">
        <v>202506</v>
      </c>
      <c r="AJ2883" t="s">
        <v>86</v>
      </c>
      <c r="AK2883">
        <v>1</v>
      </c>
      <c r="AL2883">
        <v>1</v>
      </c>
      <c r="AO2883">
        <v>1</v>
      </c>
      <c r="AP2883" t="s">
        <v>3015</v>
      </c>
      <c r="AQ2883" t="s">
        <v>3044</v>
      </c>
      <c r="AR2883" t="s">
        <v>3045</v>
      </c>
      <c r="AS2883" t="s">
        <v>3046</v>
      </c>
      <c r="AU2883" t="s">
        <v>3046</v>
      </c>
    </row>
    <row r="2884" spans="1:47" x14ac:dyDescent="0.35">
      <c r="A2884">
        <v>348851</v>
      </c>
      <c r="B2884" t="s">
        <v>178</v>
      </c>
      <c r="C2884" t="s">
        <v>179</v>
      </c>
      <c r="D2884" s="2">
        <v>45819</v>
      </c>
      <c r="E2884">
        <v>53850</v>
      </c>
      <c r="F2884">
        <v>149</v>
      </c>
      <c r="G2884" t="s">
        <v>449</v>
      </c>
      <c r="H2884" t="s">
        <v>167</v>
      </c>
      <c r="I2884" t="s">
        <v>45</v>
      </c>
      <c r="K2884" t="s">
        <v>2778</v>
      </c>
      <c r="L2884">
        <v>1493300664043</v>
      </c>
      <c r="M2884">
        <v>20250610</v>
      </c>
      <c r="N2884" t="s">
        <v>3136</v>
      </c>
      <c r="Q2884" t="s">
        <v>170</v>
      </c>
      <c r="R2884">
        <v>3216.9</v>
      </c>
      <c r="S2884">
        <v>0</v>
      </c>
      <c r="T2884">
        <v>4230775</v>
      </c>
      <c r="U2884" t="s">
        <v>2792</v>
      </c>
      <c r="V2884" t="s">
        <v>2793</v>
      </c>
      <c r="W2884" t="s">
        <v>187</v>
      </c>
      <c r="Y2884" t="s">
        <v>51</v>
      </c>
      <c r="Z2884">
        <v>1046</v>
      </c>
      <c r="AH2884">
        <v>0</v>
      </c>
      <c r="AI2884">
        <v>202506</v>
      </c>
      <c r="AJ2884" t="s">
        <v>86</v>
      </c>
      <c r="AK2884">
        <v>1</v>
      </c>
      <c r="AL2884">
        <v>1</v>
      </c>
      <c r="AO2884">
        <v>1</v>
      </c>
      <c r="AP2884" t="s">
        <v>3015</v>
      </c>
      <c r="AQ2884" t="s">
        <v>3044</v>
      </c>
      <c r="AR2884" t="s">
        <v>3045</v>
      </c>
      <c r="AS2884" t="s">
        <v>3046</v>
      </c>
      <c r="AU2884" t="s">
        <v>3046</v>
      </c>
    </row>
    <row r="2885" spans="1:47" x14ac:dyDescent="0.35">
      <c r="A2885">
        <v>348850</v>
      </c>
      <c r="B2885" t="s">
        <v>172</v>
      </c>
      <c r="C2885" t="s">
        <v>173</v>
      </c>
      <c r="D2885" s="2">
        <v>45819</v>
      </c>
      <c r="E2885">
        <v>53850</v>
      </c>
      <c r="F2885">
        <v>174</v>
      </c>
      <c r="G2885" t="s">
        <v>224</v>
      </c>
      <c r="H2885" t="s">
        <v>167</v>
      </c>
      <c r="I2885" t="s">
        <v>45</v>
      </c>
      <c r="K2885">
        <v>202506108058413</v>
      </c>
      <c r="L2885">
        <v>1933300021419</v>
      </c>
      <c r="M2885">
        <v>20250610</v>
      </c>
      <c r="N2885" t="s">
        <v>97</v>
      </c>
      <c r="Q2885" t="s">
        <v>47</v>
      </c>
      <c r="R2885">
        <v>115000</v>
      </c>
      <c r="S2885">
        <v>0</v>
      </c>
      <c r="T2885">
        <v>4193406</v>
      </c>
      <c r="U2885" t="s">
        <v>2794</v>
      </c>
      <c r="V2885" t="s">
        <v>2795</v>
      </c>
      <c r="W2885" t="s">
        <v>187</v>
      </c>
      <c r="Y2885" t="s">
        <v>51</v>
      </c>
      <c r="Z2885">
        <v>1583</v>
      </c>
      <c r="AH2885">
        <v>0</v>
      </c>
      <c r="AI2885">
        <v>202506</v>
      </c>
      <c r="AJ2885" t="s">
        <v>86</v>
      </c>
      <c r="AK2885">
        <v>1</v>
      </c>
      <c r="AL2885">
        <v>1</v>
      </c>
      <c r="AO2885">
        <v>0</v>
      </c>
      <c r="AP2885" t="s">
        <v>3015</v>
      </c>
      <c r="AQ2885" t="s">
        <v>3044</v>
      </c>
      <c r="AR2885" t="s">
        <v>3045</v>
      </c>
      <c r="AS2885" t="s">
        <v>3046</v>
      </c>
      <c r="AU2885" t="s">
        <v>3046</v>
      </c>
    </row>
    <row r="2886" spans="1:47" x14ac:dyDescent="0.35">
      <c r="A2886">
        <v>348849</v>
      </c>
      <c r="B2886" t="s">
        <v>333</v>
      </c>
      <c r="C2886" t="s">
        <v>334</v>
      </c>
      <c r="D2886" s="2">
        <v>45819</v>
      </c>
      <c r="E2886">
        <v>53850</v>
      </c>
      <c r="F2886">
        <v>99</v>
      </c>
      <c r="G2886" t="s">
        <v>335</v>
      </c>
      <c r="H2886" t="s">
        <v>167</v>
      </c>
      <c r="I2886" t="s">
        <v>45</v>
      </c>
      <c r="K2886">
        <v>202506108058046</v>
      </c>
      <c r="M2886">
        <v>20250610</v>
      </c>
      <c r="N2886" t="s">
        <v>3136</v>
      </c>
      <c r="Q2886" t="s">
        <v>170</v>
      </c>
      <c r="R2886">
        <v>9833.6</v>
      </c>
      <c r="S2886">
        <v>0</v>
      </c>
      <c r="T2886">
        <v>3006477</v>
      </c>
      <c r="U2886" t="s">
        <v>2783</v>
      </c>
      <c r="V2886" t="s">
        <v>2784</v>
      </c>
      <c r="W2886" t="s">
        <v>187</v>
      </c>
      <c r="Y2886" t="s">
        <v>51</v>
      </c>
      <c r="Z2886">
        <v>1463</v>
      </c>
      <c r="AH2886">
        <v>0</v>
      </c>
      <c r="AI2886">
        <v>202506</v>
      </c>
      <c r="AJ2886" t="s">
        <v>86</v>
      </c>
      <c r="AK2886">
        <v>1</v>
      </c>
      <c r="AL2886">
        <v>0</v>
      </c>
      <c r="AO2886">
        <v>1</v>
      </c>
      <c r="AP2886" t="s">
        <v>3015</v>
      </c>
      <c r="AQ2886" t="s">
        <v>3044</v>
      </c>
      <c r="AR2886" t="s">
        <v>3045</v>
      </c>
      <c r="AS2886" t="s">
        <v>3046</v>
      </c>
      <c r="AU2886" t="s">
        <v>3046</v>
      </c>
    </row>
    <row r="2887" spans="1:47" x14ac:dyDescent="0.35">
      <c r="A2887">
        <v>348848</v>
      </c>
      <c r="B2887" t="s">
        <v>178</v>
      </c>
      <c r="C2887" t="s">
        <v>179</v>
      </c>
      <c r="D2887" s="2">
        <v>45819</v>
      </c>
      <c r="E2887">
        <v>53850</v>
      </c>
      <c r="F2887">
        <v>109</v>
      </c>
      <c r="G2887" t="s">
        <v>89</v>
      </c>
      <c r="H2887" t="s">
        <v>167</v>
      </c>
      <c r="I2887" t="s">
        <v>45</v>
      </c>
      <c r="K2887" t="s">
        <v>2796</v>
      </c>
      <c r="L2887">
        <v>1093306674452</v>
      </c>
      <c r="M2887">
        <v>20250610</v>
      </c>
      <c r="N2887" t="s">
        <v>3136</v>
      </c>
      <c r="Q2887" t="s">
        <v>170</v>
      </c>
      <c r="R2887">
        <v>2616.7199999999998</v>
      </c>
      <c r="S2887">
        <v>0</v>
      </c>
      <c r="T2887">
        <v>4924753</v>
      </c>
      <c r="U2887">
        <v>7222270725</v>
      </c>
      <c r="V2887" t="s">
        <v>1118</v>
      </c>
      <c r="W2887" t="s">
        <v>49</v>
      </c>
      <c r="X2887" t="s">
        <v>713</v>
      </c>
      <c r="Y2887" t="s">
        <v>51</v>
      </c>
      <c r="Z2887">
        <v>1903</v>
      </c>
      <c r="AH2887">
        <v>0</v>
      </c>
      <c r="AI2887">
        <v>202506</v>
      </c>
      <c r="AJ2887" t="s">
        <v>86</v>
      </c>
      <c r="AK2887">
        <v>1</v>
      </c>
      <c r="AL2887">
        <v>1</v>
      </c>
      <c r="AO2887">
        <v>1</v>
      </c>
      <c r="AP2887" t="s">
        <v>3015</v>
      </c>
      <c r="AQ2887" t="s">
        <v>3012</v>
      </c>
      <c r="AR2887" t="s">
        <v>3016</v>
      </c>
      <c r="AT2887" t="s">
        <v>3017</v>
      </c>
      <c r="AU2887" t="s">
        <v>3018</v>
      </c>
    </row>
    <row r="2888" spans="1:47" x14ac:dyDescent="0.35">
      <c r="A2888">
        <v>348847</v>
      </c>
      <c r="B2888" t="s">
        <v>333</v>
      </c>
      <c r="C2888" t="s">
        <v>334</v>
      </c>
      <c r="D2888" s="2">
        <v>45819</v>
      </c>
      <c r="E2888">
        <v>53850</v>
      </c>
      <c r="F2888">
        <v>261</v>
      </c>
      <c r="G2888" t="s">
        <v>136</v>
      </c>
      <c r="H2888" t="s">
        <v>167</v>
      </c>
      <c r="I2888" t="s">
        <v>45</v>
      </c>
      <c r="K2888">
        <v>202506108058511</v>
      </c>
      <c r="M2888">
        <v>20250610</v>
      </c>
      <c r="N2888" t="s">
        <v>515</v>
      </c>
      <c r="Q2888" t="s">
        <v>170</v>
      </c>
      <c r="R2888">
        <v>19126.5</v>
      </c>
      <c r="S2888">
        <v>0</v>
      </c>
      <c r="T2888">
        <v>4173710</v>
      </c>
      <c r="U2888" t="s">
        <v>916</v>
      </c>
      <c r="V2888" t="s">
        <v>917</v>
      </c>
      <c r="W2888" t="s">
        <v>187</v>
      </c>
      <c r="Y2888" t="s">
        <v>51</v>
      </c>
      <c r="AH2888">
        <v>0</v>
      </c>
      <c r="AI2888">
        <v>202506</v>
      </c>
      <c r="AL2888">
        <v>0</v>
      </c>
      <c r="AO2888">
        <v>0</v>
      </c>
      <c r="AP2888" t="s">
        <v>3015</v>
      </c>
      <c r="AQ2888" t="s">
        <v>3044</v>
      </c>
      <c r="AR2888" t="s">
        <v>3045</v>
      </c>
      <c r="AS2888" t="s">
        <v>3046</v>
      </c>
      <c r="AU2888" t="s">
        <v>3046</v>
      </c>
    </row>
    <row r="2889" spans="1:47" x14ac:dyDescent="0.35">
      <c r="A2889">
        <v>348846</v>
      </c>
      <c r="B2889" t="s">
        <v>178</v>
      </c>
      <c r="C2889" t="s">
        <v>179</v>
      </c>
      <c r="D2889" s="2">
        <v>45819</v>
      </c>
      <c r="E2889">
        <v>53850</v>
      </c>
      <c r="F2889">
        <v>164</v>
      </c>
      <c r="G2889" t="s">
        <v>651</v>
      </c>
      <c r="H2889" t="s">
        <v>167</v>
      </c>
      <c r="I2889" t="s">
        <v>45</v>
      </c>
      <c r="K2889">
        <v>202506108058364</v>
      </c>
      <c r="L2889">
        <v>1643300370057</v>
      </c>
      <c r="M2889">
        <v>20250610</v>
      </c>
      <c r="N2889" t="s">
        <v>3136</v>
      </c>
      <c r="Q2889" t="s">
        <v>170</v>
      </c>
      <c r="R2889">
        <v>13210.56</v>
      </c>
      <c r="S2889">
        <v>0</v>
      </c>
      <c r="T2889">
        <v>816125</v>
      </c>
      <c r="U2889" t="s">
        <v>2311</v>
      </c>
      <c r="V2889" t="s">
        <v>2312</v>
      </c>
      <c r="W2889" t="s">
        <v>187</v>
      </c>
      <c r="Y2889" t="s">
        <v>51</v>
      </c>
      <c r="Z2889">
        <v>793</v>
      </c>
      <c r="AH2889">
        <v>0</v>
      </c>
      <c r="AI2889">
        <v>202506</v>
      </c>
      <c r="AJ2889" t="s">
        <v>86</v>
      </c>
      <c r="AK2889">
        <v>1</v>
      </c>
      <c r="AL2889">
        <v>1</v>
      </c>
      <c r="AO2889">
        <v>1</v>
      </c>
      <c r="AP2889" t="s">
        <v>3015</v>
      </c>
      <c r="AQ2889" t="s">
        <v>3044</v>
      </c>
      <c r="AR2889" t="s">
        <v>3045</v>
      </c>
      <c r="AS2889" t="s">
        <v>3046</v>
      </c>
      <c r="AU2889" t="s">
        <v>3046</v>
      </c>
    </row>
    <row r="2890" spans="1:47" x14ac:dyDescent="0.35">
      <c r="A2890">
        <v>348845</v>
      </c>
      <c r="B2890" t="s">
        <v>172</v>
      </c>
      <c r="C2890" t="s">
        <v>173</v>
      </c>
      <c r="D2890" s="2">
        <v>45819</v>
      </c>
      <c r="E2890">
        <v>53850</v>
      </c>
      <c r="F2890">
        <v>196</v>
      </c>
      <c r="G2890" t="s">
        <v>567</v>
      </c>
      <c r="H2890" t="s">
        <v>167</v>
      </c>
      <c r="I2890" t="s">
        <v>45</v>
      </c>
      <c r="K2890">
        <v>202506108058491</v>
      </c>
      <c r="L2890">
        <v>1963302353139</v>
      </c>
      <c r="M2890">
        <v>20250610</v>
      </c>
      <c r="N2890" t="s">
        <v>81</v>
      </c>
      <c r="Q2890" t="s">
        <v>47</v>
      </c>
      <c r="R2890">
        <v>116502.98</v>
      </c>
      <c r="S2890">
        <v>0</v>
      </c>
      <c r="T2890">
        <v>4799894</v>
      </c>
      <c r="U2890">
        <v>3147630713</v>
      </c>
      <c r="V2890" t="s">
        <v>2797</v>
      </c>
      <c r="W2890" t="s">
        <v>49</v>
      </c>
      <c r="X2890" t="s">
        <v>85</v>
      </c>
      <c r="Y2890" t="s">
        <v>51</v>
      </c>
      <c r="Z2890">
        <v>1453</v>
      </c>
      <c r="AH2890">
        <v>0</v>
      </c>
      <c r="AI2890">
        <v>202506</v>
      </c>
      <c r="AJ2890" t="s">
        <v>119</v>
      </c>
      <c r="AK2890">
        <v>1</v>
      </c>
      <c r="AL2890">
        <v>1</v>
      </c>
      <c r="AO2890">
        <v>0</v>
      </c>
      <c r="AP2890" t="s">
        <v>3015</v>
      </c>
      <c r="AQ2890" t="s">
        <v>3012</v>
      </c>
      <c r="AR2890" t="s">
        <v>3016</v>
      </c>
      <c r="AT2890" t="s">
        <v>3017</v>
      </c>
      <c r="AU2890" t="s">
        <v>3018</v>
      </c>
    </row>
    <row r="2891" spans="1:47" x14ac:dyDescent="0.35">
      <c r="A2891">
        <v>348844</v>
      </c>
      <c r="B2891" t="s">
        <v>193</v>
      </c>
      <c r="C2891" t="s">
        <v>194</v>
      </c>
      <c r="D2891" s="2">
        <v>45819</v>
      </c>
      <c r="E2891">
        <v>53850</v>
      </c>
      <c r="F2891">
        <v>108</v>
      </c>
      <c r="G2891" t="s">
        <v>124</v>
      </c>
      <c r="H2891" t="s">
        <v>167</v>
      </c>
      <c r="I2891" t="s">
        <v>45</v>
      </c>
      <c r="K2891">
        <v>202506108058142</v>
      </c>
      <c r="L2891">
        <v>1083306291105</v>
      </c>
      <c r="M2891">
        <v>20250610</v>
      </c>
      <c r="N2891" t="s">
        <v>266</v>
      </c>
      <c r="Q2891" t="s">
        <v>47</v>
      </c>
      <c r="R2891">
        <v>90456.55</v>
      </c>
      <c r="S2891">
        <v>90456.55</v>
      </c>
      <c r="T2891">
        <v>4227057</v>
      </c>
      <c r="U2891">
        <v>4874620729</v>
      </c>
      <c r="V2891" t="s">
        <v>250</v>
      </c>
      <c r="W2891" t="s">
        <v>49</v>
      </c>
      <c r="X2891" t="s">
        <v>62</v>
      </c>
      <c r="Y2891" t="s">
        <v>51</v>
      </c>
      <c r="Z2891">
        <v>1058</v>
      </c>
      <c r="AH2891">
        <v>0</v>
      </c>
      <c r="AI2891">
        <v>202506</v>
      </c>
      <c r="AJ2891" t="s">
        <v>119</v>
      </c>
      <c r="AK2891">
        <v>1</v>
      </c>
      <c r="AL2891">
        <v>1</v>
      </c>
      <c r="AM2891">
        <v>4227057</v>
      </c>
      <c r="AN2891">
        <v>1</v>
      </c>
      <c r="AO2891">
        <v>0</v>
      </c>
      <c r="AP2891" t="s">
        <v>3015</v>
      </c>
      <c r="AQ2891" t="s">
        <v>3012</v>
      </c>
      <c r="AR2891" t="s">
        <v>3016</v>
      </c>
      <c r="AT2891" t="s">
        <v>3017</v>
      </c>
      <c r="AU2891" t="s">
        <v>3018</v>
      </c>
    </row>
    <row r="2892" spans="1:47" x14ac:dyDescent="0.35">
      <c r="A2892">
        <v>348843</v>
      </c>
      <c r="B2892" t="s">
        <v>333</v>
      </c>
      <c r="C2892" t="s">
        <v>334</v>
      </c>
      <c r="D2892" s="2">
        <v>45819</v>
      </c>
      <c r="E2892">
        <v>53850</v>
      </c>
      <c r="F2892">
        <v>99</v>
      </c>
      <c r="G2892" t="s">
        <v>335</v>
      </c>
      <c r="H2892" t="s">
        <v>167</v>
      </c>
      <c r="I2892" t="s">
        <v>45</v>
      </c>
      <c r="K2892">
        <v>202506108058047</v>
      </c>
      <c r="M2892">
        <v>20250610</v>
      </c>
      <c r="N2892" t="s">
        <v>3136</v>
      </c>
      <c r="Q2892" t="s">
        <v>170</v>
      </c>
      <c r="R2892">
        <v>9833.6</v>
      </c>
      <c r="S2892">
        <v>0</v>
      </c>
      <c r="T2892">
        <v>3006477</v>
      </c>
      <c r="U2892" t="s">
        <v>2783</v>
      </c>
      <c r="V2892" t="s">
        <v>2784</v>
      </c>
      <c r="W2892" t="s">
        <v>187</v>
      </c>
      <c r="Y2892" t="s">
        <v>51</v>
      </c>
      <c r="Z2892">
        <v>1463</v>
      </c>
      <c r="AH2892">
        <v>0</v>
      </c>
      <c r="AI2892">
        <v>202506</v>
      </c>
      <c r="AJ2892" t="s">
        <v>86</v>
      </c>
      <c r="AK2892">
        <v>1</v>
      </c>
      <c r="AL2892">
        <v>0</v>
      </c>
      <c r="AO2892">
        <v>1</v>
      </c>
      <c r="AP2892" t="s">
        <v>3015</v>
      </c>
      <c r="AQ2892" t="s">
        <v>3044</v>
      </c>
      <c r="AR2892" t="s">
        <v>3045</v>
      </c>
      <c r="AS2892" t="s">
        <v>3046</v>
      </c>
      <c r="AU2892" t="s">
        <v>3046</v>
      </c>
    </row>
    <row r="2893" spans="1:47" x14ac:dyDescent="0.35">
      <c r="A2893">
        <v>348842</v>
      </c>
      <c r="B2893" t="s">
        <v>172</v>
      </c>
      <c r="C2893" t="s">
        <v>173</v>
      </c>
      <c r="D2893" s="2">
        <v>45819</v>
      </c>
      <c r="E2893">
        <v>53850</v>
      </c>
      <c r="F2893">
        <v>116</v>
      </c>
      <c r="G2893" t="s">
        <v>126</v>
      </c>
      <c r="H2893" t="s">
        <v>167</v>
      </c>
      <c r="I2893" t="s">
        <v>45</v>
      </c>
      <c r="K2893">
        <v>202506108058199</v>
      </c>
      <c r="L2893">
        <v>1163307623245</v>
      </c>
      <c r="M2893">
        <v>20250610</v>
      </c>
      <c r="N2893" t="s">
        <v>231</v>
      </c>
      <c r="Q2893" t="s">
        <v>47</v>
      </c>
      <c r="R2893">
        <v>261560</v>
      </c>
      <c r="S2893">
        <v>0</v>
      </c>
      <c r="T2893">
        <v>3725043</v>
      </c>
      <c r="U2893">
        <v>8672980722</v>
      </c>
      <c r="V2893" t="s">
        <v>2798</v>
      </c>
      <c r="W2893" t="s">
        <v>49</v>
      </c>
      <c r="X2893" t="s">
        <v>364</v>
      </c>
      <c r="Y2893" t="s">
        <v>51</v>
      </c>
      <c r="Z2893">
        <v>1919</v>
      </c>
      <c r="AH2893">
        <v>0</v>
      </c>
      <c r="AI2893">
        <v>202506</v>
      </c>
      <c r="AJ2893" t="s">
        <v>86</v>
      </c>
      <c r="AK2893">
        <v>1</v>
      </c>
      <c r="AL2893">
        <v>1</v>
      </c>
      <c r="AO2893">
        <v>0</v>
      </c>
      <c r="AP2893" t="s">
        <v>3062</v>
      </c>
      <c r="AQ2893" t="s">
        <v>3012</v>
      </c>
      <c r="AR2893" t="s">
        <v>3063</v>
      </c>
      <c r="AS2893" t="s">
        <v>3014</v>
      </c>
      <c r="AU2893" t="s">
        <v>3014</v>
      </c>
    </row>
    <row r="2894" spans="1:47" x14ac:dyDescent="0.35">
      <c r="A2894">
        <v>348841</v>
      </c>
      <c r="B2894" t="s">
        <v>193</v>
      </c>
      <c r="C2894" t="s">
        <v>194</v>
      </c>
      <c r="D2894" s="2">
        <v>45819</v>
      </c>
      <c r="E2894">
        <v>53850</v>
      </c>
      <c r="F2894">
        <v>118</v>
      </c>
      <c r="G2894" t="s">
        <v>254</v>
      </c>
      <c r="H2894" t="s">
        <v>167</v>
      </c>
      <c r="I2894" t="s">
        <v>45</v>
      </c>
      <c r="K2894">
        <v>202506108057381</v>
      </c>
      <c r="L2894">
        <v>1023308722503</v>
      </c>
      <c r="M2894">
        <v>20250610</v>
      </c>
      <c r="N2894" t="s">
        <v>195</v>
      </c>
      <c r="Q2894" t="s">
        <v>47</v>
      </c>
      <c r="R2894">
        <v>18800</v>
      </c>
      <c r="S2894">
        <v>18800</v>
      </c>
      <c r="T2894">
        <v>413650</v>
      </c>
      <c r="U2894">
        <v>3657230722</v>
      </c>
      <c r="V2894" t="s">
        <v>196</v>
      </c>
      <c r="W2894" t="s">
        <v>190</v>
      </c>
      <c r="X2894" t="s">
        <v>197</v>
      </c>
      <c r="Y2894" t="s">
        <v>51</v>
      </c>
      <c r="Z2894">
        <v>1306</v>
      </c>
      <c r="AH2894">
        <v>0</v>
      </c>
      <c r="AI2894">
        <v>202506</v>
      </c>
      <c r="AJ2894" t="s">
        <v>119</v>
      </c>
      <c r="AK2894">
        <v>1</v>
      </c>
      <c r="AL2894">
        <v>1</v>
      </c>
      <c r="AM2894">
        <v>413650</v>
      </c>
      <c r="AN2894">
        <v>1</v>
      </c>
      <c r="AO2894">
        <v>0</v>
      </c>
      <c r="AP2894" t="s">
        <v>3050</v>
      </c>
      <c r="AQ2894" t="s">
        <v>3047</v>
      </c>
      <c r="AR2894" t="s">
        <v>3051</v>
      </c>
      <c r="AS2894" t="s">
        <v>3049</v>
      </c>
      <c r="AU2894" t="s">
        <v>3049</v>
      </c>
    </row>
    <row r="2895" spans="1:47" x14ac:dyDescent="0.35">
      <c r="A2895">
        <v>348840</v>
      </c>
      <c r="B2895" t="s">
        <v>178</v>
      </c>
      <c r="C2895" t="s">
        <v>179</v>
      </c>
      <c r="D2895" s="2">
        <v>45819</v>
      </c>
      <c r="E2895">
        <v>53850</v>
      </c>
      <c r="F2895">
        <v>109</v>
      </c>
      <c r="G2895" t="s">
        <v>89</v>
      </c>
      <c r="H2895" t="s">
        <v>167</v>
      </c>
      <c r="I2895" t="s">
        <v>45</v>
      </c>
      <c r="K2895" t="s">
        <v>2799</v>
      </c>
      <c r="L2895">
        <v>1093306672791</v>
      </c>
      <c r="M2895">
        <v>20250610</v>
      </c>
      <c r="N2895" t="s">
        <v>3136</v>
      </c>
      <c r="Q2895" t="s">
        <v>170</v>
      </c>
      <c r="R2895">
        <v>1248.1500000000001</v>
      </c>
      <c r="S2895">
        <v>0</v>
      </c>
      <c r="T2895">
        <v>4711527</v>
      </c>
      <c r="U2895">
        <v>6286800724</v>
      </c>
      <c r="V2895" t="s">
        <v>2800</v>
      </c>
      <c r="W2895" t="s">
        <v>49</v>
      </c>
      <c r="X2895" t="s">
        <v>432</v>
      </c>
      <c r="Y2895" t="s">
        <v>51</v>
      </c>
      <c r="Z2895">
        <v>502</v>
      </c>
      <c r="AH2895">
        <v>0</v>
      </c>
      <c r="AI2895">
        <v>202506</v>
      </c>
      <c r="AJ2895" t="s">
        <v>86</v>
      </c>
      <c r="AK2895">
        <v>1</v>
      </c>
      <c r="AL2895">
        <v>1</v>
      </c>
      <c r="AO2895">
        <v>1</v>
      </c>
      <c r="AP2895" t="s">
        <v>3015</v>
      </c>
      <c r="AQ2895" t="s">
        <v>3012</v>
      </c>
      <c r="AR2895" t="s">
        <v>3016</v>
      </c>
      <c r="AT2895" t="s">
        <v>3017</v>
      </c>
      <c r="AU2895" t="s">
        <v>3018</v>
      </c>
    </row>
    <row r="2896" spans="1:47" x14ac:dyDescent="0.35">
      <c r="A2896">
        <v>348839</v>
      </c>
      <c r="B2896" t="s">
        <v>178</v>
      </c>
      <c r="C2896" t="s">
        <v>179</v>
      </c>
      <c r="D2896" s="2">
        <v>45819</v>
      </c>
      <c r="E2896">
        <v>53850</v>
      </c>
      <c r="F2896">
        <v>110</v>
      </c>
      <c r="G2896" t="s">
        <v>230</v>
      </c>
      <c r="H2896" t="s">
        <v>167</v>
      </c>
      <c r="I2896" t="s">
        <v>45</v>
      </c>
      <c r="K2896">
        <v>202506108058174</v>
      </c>
      <c r="L2896">
        <v>1103306284439</v>
      </c>
      <c r="M2896">
        <v>20250610</v>
      </c>
      <c r="N2896" t="s">
        <v>3136</v>
      </c>
      <c r="Q2896" t="s">
        <v>170</v>
      </c>
      <c r="R2896">
        <v>35138.76</v>
      </c>
      <c r="S2896">
        <v>0</v>
      </c>
      <c r="T2896">
        <v>548785</v>
      </c>
      <c r="U2896" t="s">
        <v>2801</v>
      </c>
      <c r="V2896" t="s">
        <v>2802</v>
      </c>
      <c r="W2896" t="s">
        <v>187</v>
      </c>
      <c r="Y2896" t="s">
        <v>51</v>
      </c>
      <c r="Z2896">
        <v>1072</v>
      </c>
      <c r="AH2896">
        <v>0</v>
      </c>
      <c r="AI2896">
        <v>202506</v>
      </c>
      <c r="AJ2896" t="s">
        <v>86</v>
      </c>
      <c r="AK2896">
        <v>1</v>
      </c>
      <c r="AL2896">
        <v>1</v>
      </c>
      <c r="AO2896">
        <v>1</v>
      </c>
      <c r="AP2896" t="s">
        <v>3015</v>
      </c>
      <c r="AQ2896" t="s">
        <v>3044</v>
      </c>
      <c r="AR2896" t="s">
        <v>3045</v>
      </c>
      <c r="AS2896" t="s">
        <v>3046</v>
      </c>
      <c r="AU2896" t="s">
        <v>3046</v>
      </c>
    </row>
    <row r="2897" spans="1:47" x14ac:dyDescent="0.35">
      <c r="A2897">
        <v>348838</v>
      </c>
      <c r="B2897" t="s">
        <v>193</v>
      </c>
      <c r="C2897" t="s">
        <v>194</v>
      </c>
      <c r="D2897" s="2">
        <v>45819</v>
      </c>
      <c r="E2897">
        <v>53850</v>
      </c>
      <c r="F2897">
        <v>195</v>
      </c>
      <c r="G2897" t="s">
        <v>498</v>
      </c>
      <c r="H2897" t="s">
        <v>167</v>
      </c>
      <c r="I2897" t="s">
        <v>45</v>
      </c>
      <c r="K2897" t="s">
        <v>2776</v>
      </c>
      <c r="L2897">
        <v>1953300026976</v>
      </c>
      <c r="M2897">
        <v>20250610</v>
      </c>
      <c r="N2897" t="s">
        <v>195</v>
      </c>
      <c r="Q2897" t="s">
        <v>47</v>
      </c>
      <c r="R2897">
        <v>44000</v>
      </c>
      <c r="S2897">
        <v>44000</v>
      </c>
      <c r="T2897">
        <v>4081785</v>
      </c>
      <c r="U2897" t="s">
        <v>499</v>
      </c>
      <c r="V2897" t="s">
        <v>500</v>
      </c>
      <c r="W2897" t="s">
        <v>69</v>
      </c>
      <c r="X2897" t="s">
        <v>501</v>
      </c>
      <c r="Y2897" t="s">
        <v>51</v>
      </c>
      <c r="Z2897">
        <v>938</v>
      </c>
      <c r="AH2897">
        <v>0</v>
      </c>
      <c r="AI2897">
        <v>202506</v>
      </c>
      <c r="AJ2897" t="s">
        <v>119</v>
      </c>
      <c r="AK2897">
        <v>1</v>
      </c>
      <c r="AL2897">
        <v>1</v>
      </c>
      <c r="AM2897">
        <v>4081785</v>
      </c>
      <c r="AN2897">
        <v>1</v>
      </c>
      <c r="AO2897">
        <v>0</v>
      </c>
      <c r="AP2897" t="s">
        <v>3015</v>
      </c>
      <c r="AQ2897" t="s">
        <v>3021</v>
      </c>
      <c r="AR2897" t="s">
        <v>3022</v>
      </c>
      <c r="AT2897" t="s">
        <v>3017</v>
      </c>
      <c r="AU2897" t="s">
        <v>3014</v>
      </c>
    </row>
    <row r="2898" spans="1:47" x14ac:dyDescent="0.35">
      <c r="A2898">
        <v>348837</v>
      </c>
      <c r="B2898" t="s">
        <v>172</v>
      </c>
      <c r="C2898" t="s">
        <v>173</v>
      </c>
      <c r="D2898" s="2">
        <v>45819</v>
      </c>
      <c r="E2898">
        <v>53850</v>
      </c>
      <c r="F2898">
        <v>103</v>
      </c>
      <c r="G2898" t="s">
        <v>80</v>
      </c>
      <c r="H2898" t="s">
        <v>167</v>
      </c>
      <c r="I2898" t="s">
        <v>45</v>
      </c>
      <c r="K2898">
        <v>202506108058114</v>
      </c>
      <c r="L2898">
        <v>1033306986160</v>
      </c>
      <c r="M2898">
        <v>20250610</v>
      </c>
      <c r="N2898" t="s">
        <v>325</v>
      </c>
      <c r="Q2898" t="s">
        <v>47</v>
      </c>
      <c r="R2898">
        <v>141000</v>
      </c>
      <c r="S2898">
        <v>0</v>
      </c>
      <c r="T2898">
        <v>606758</v>
      </c>
      <c r="U2898" t="s">
        <v>393</v>
      </c>
      <c r="V2898" t="s">
        <v>394</v>
      </c>
      <c r="W2898" t="s">
        <v>187</v>
      </c>
      <c r="Y2898" t="s">
        <v>51</v>
      </c>
      <c r="Z2898">
        <v>1224</v>
      </c>
      <c r="AH2898">
        <v>0</v>
      </c>
      <c r="AI2898">
        <v>202506</v>
      </c>
      <c r="AJ2898" t="s">
        <v>86</v>
      </c>
      <c r="AK2898">
        <v>1</v>
      </c>
      <c r="AL2898">
        <v>1</v>
      </c>
      <c r="AO2898">
        <v>0</v>
      </c>
      <c r="AP2898" t="s">
        <v>3015</v>
      </c>
      <c r="AQ2898" t="s">
        <v>3044</v>
      </c>
      <c r="AR2898" t="s">
        <v>3045</v>
      </c>
      <c r="AS2898" t="s">
        <v>3046</v>
      </c>
      <c r="AU2898" t="s">
        <v>3046</v>
      </c>
    </row>
    <row r="2899" spans="1:47" x14ac:dyDescent="0.35">
      <c r="A2899">
        <v>348836</v>
      </c>
      <c r="B2899" t="s">
        <v>172</v>
      </c>
      <c r="C2899" t="s">
        <v>173</v>
      </c>
      <c r="D2899" s="2">
        <v>45819</v>
      </c>
      <c r="E2899">
        <v>53850</v>
      </c>
      <c r="F2899">
        <v>103</v>
      </c>
      <c r="G2899" t="s">
        <v>80</v>
      </c>
      <c r="H2899" t="s">
        <v>167</v>
      </c>
      <c r="I2899" t="s">
        <v>45</v>
      </c>
      <c r="K2899">
        <v>202506108058114</v>
      </c>
      <c r="L2899">
        <v>1033306986160</v>
      </c>
      <c r="M2899">
        <v>20250610</v>
      </c>
      <c r="N2899" t="s">
        <v>325</v>
      </c>
      <c r="Q2899" t="s">
        <v>47</v>
      </c>
      <c r="R2899">
        <v>141000</v>
      </c>
      <c r="S2899">
        <v>0</v>
      </c>
      <c r="T2899">
        <v>4041365</v>
      </c>
      <c r="U2899" t="s">
        <v>386</v>
      </c>
      <c r="V2899" t="s">
        <v>387</v>
      </c>
      <c r="W2899" t="s">
        <v>187</v>
      </c>
      <c r="Y2899" t="s">
        <v>51</v>
      </c>
      <c r="AH2899">
        <v>0</v>
      </c>
      <c r="AI2899">
        <v>202506</v>
      </c>
      <c r="AJ2899" t="s">
        <v>86</v>
      </c>
      <c r="AK2899">
        <v>1</v>
      </c>
      <c r="AL2899">
        <v>1</v>
      </c>
      <c r="AO2899">
        <v>0</v>
      </c>
      <c r="AP2899" t="s">
        <v>3015</v>
      </c>
      <c r="AQ2899" t="s">
        <v>3044</v>
      </c>
      <c r="AR2899" t="s">
        <v>3045</v>
      </c>
      <c r="AS2899" t="s">
        <v>3046</v>
      </c>
      <c r="AU2899" t="s">
        <v>3046</v>
      </c>
    </row>
    <row r="2900" spans="1:47" x14ac:dyDescent="0.35">
      <c r="A2900">
        <v>348835</v>
      </c>
      <c r="B2900" t="s">
        <v>193</v>
      </c>
      <c r="C2900" t="s">
        <v>194</v>
      </c>
      <c r="D2900" s="2">
        <v>45819</v>
      </c>
      <c r="E2900">
        <v>53850</v>
      </c>
      <c r="F2900">
        <v>167</v>
      </c>
      <c r="G2900" t="s">
        <v>278</v>
      </c>
      <c r="H2900" t="s">
        <v>167</v>
      </c>
      <c r="I2900" t="s">
        <v>45</v>
      </c>
      <c r="K2900">
        <v>202506108058372</v>
      </c>
      <c r="L2900">
        <v>1673301673746</v>
      </c>
      <c r="M2900">
        <v>20250610</v>
      </c>
      <c r="N2900" t="s">
        <v>266</v>
      </c>
      <c r="Q2900" t="s">
        <v>47</v>
      </c>
      <c r="R2900">
        <v>25000</v>
      </c>
      <c r="S2900">
        <v>25000</v>
      </c>
      <c r="T2900">
        <v>133153</v>
      </c>
      <c r="U2900" t="s">
        <v>2803</v>
      </c>
      <c r="V2900" t="s">
        <v>2804</v>
      </c>
      <c r="W2900" t="s">
        <v>187</v>
      </c>
      <c r="Y2900" t="s">
        <v>51</v>
      </c>
      <c r="Z2900">
        <v>1427</v>
      </c>
      <c r="AH2900">
        <v>0</v>
      </c>
      <c r="AI2900">
        <v>202506</v>
      </c>
      <c r="AJ2900" t="s">
        <v>86</v>
      </c>
      <c r="AK2900">
        <v>1</v>
      </c>
      <c r="AL2900">
        <v>1</v>
      </c>
      <c r="AO2900">
        <v>0</v>
      </c>
      <c r="AP2900" t="s">
        <v>3015</v>
      </c>
      <c r="AQ2900" t="s">
        <v>3044</v>
      </c>
      <c r="AR2900" t="s">
        <v>3045</v>
      </c>
      <c r="AS2900" t="s">
        <v>3046</v>
      </c>
      <c r="AU2900" t="s">
        <v>3046</v>
      </c>
    </row>
    <row r="2901" spans="1:47" x14ac:dyDescent="0.35">
      <c r="A2901">
        <v>348834</v>
      </c>
      <c r="B2901" t="s">
        <v>172</v>
      </c>
      <c r="C2901" t="s">
        <v>173</v>
      </c>
      <c r="D2901" s="2">
        <v>45819</v>
      </c>
      <c r="E2901">
        <v>53850</v>
      </c>
      <c r="F2901">
        <v>116</v>
      </c>
      <c r="G2901" t="s">
        <v>126</v>
      </c>
      <c r="H2901" t="s">
        <v>167</v>
      </c>
      <c r="I2901" t="s">
        <v>45</v>
      </c>
      <c r="K2901">
        <v>202506108057916</v>
      </c>
      <c r="L2901">
        <v>2343300010453</v>
      </c>
      <c r="M2901">
        <v>20250610</v>
      </c>
      <c r="N2901" t="s">
        <v>195</v>
      </c>
      <c r="Q2901" t="s">
        <v>47</v>
      </c>
      <c r="R2901">
        <v>136096.6</v>
      </c>
      <c r="S2901">
        <v>136096.6</v>
      </c>
      <c r="T2901">
        <v>4247777</v>
      </c>
      <c r="U2901">
        <v>233470236</v>
      </c>
      <c r="V2901" t="s">
        <v>206</v>
      </c>
      <c r="W2901" t="s">
        <v>49</v>
      </c>
      <c r="X2901" t="s">
        <v>117</v>
      </c>
      <c r="Y2901" t="s">
        <v>51</v>
      </c>
      <c r="Z2901">
        <v>1696</v>
      </c>
      <c r="AH2901">
        <v>0</v>
      </c>
      <c r="AI2901">
        <v>202506</v>
      </c>
      <c r="AJ2901" t="s">
        <v>86</v>
      </c>
      <c r="AK2901">
        <v>1</v>
      </c>
      <c r="AL2901">
        <v>1</v>
      </c>
      <c r="AM2901">
        <v>4247777</v>
      </c>
      <c r="AN2901">
        <v>1</v>
      </c>
      <c r="AO2901">
        <v>0</v>
      </c>
      <c r="AP2901" t="s">
        <v>3029</v>
      </c>
      <c r="AQ2901" t="s">
        <v>3012</v>
      </c>
      <c r="AR2901" t="s">
        <v>3030</v>
      </c>
      <c r="AS2901" t="s">
        <v>3014</v>
      </c>
      <c r="AU2901" t="s">
        <v>3014</v>
      </c>
    </row>
    <row r="2902" spans="1:47" x14ac:dyDescent="0.35">
      <c r="A2902">
        <v>348833</v>
      </c>
      <c r="B2902" t="s">
        <v>172</v>
      </c>
      <c r="C2902" t="s">
        <v>173</v>
      </c>
      <c r="D2902" s="2">
        <v>45819</v>
      </c>
      <c r="E2902">
        <v>53850</v>
      </c>
      <c r="F2902">
        <v>103</v>
      </c>
      <c r="G2902" t="s">
        <v>80</v>
      </c>
      <c r="H2902" t="s">
        <v>167</v>
      </c>
      <c r="I2902" t="s">
        <v>45</v>
      </c>
      <c r="K2902">
        <v>202506108058114</v>
      </c>
      <c r="L2902">
        <v>1033306986160</v>
      </c>
      <c r="M2902">
        <v>20250610</v>
      </c>
      <c r="N2902" t="s">
        <v>325</v>
      </c>
      <c r="Q2902" t="s">
        <v>47</v>
      </c>
      <c r="R2902">
        <v>141000</v>
      </c>
      <c r="S2902">
        <v>0</v>
      </c>
      <c r="T2902">
        <v>4055669</v>
      </c>
      <c r="U2902" t="s">
        <v>326</v>
      </c>
      <c r="V2902" t="s">
        <v>327</v>
      </c>
      <c r="W2902" t="s">
        <v>187</v>
      </c>
      <c r="Y2902" t="s">
        <v>51</v>
      </c>
      <c r="AH2902">
        <v>0</v>
      </c>
      <c r="AI2902">
        <v>202506</v>
      </c>
      <c r="AJ2902" t="s">
        <v>86</v>
      </c>
      <c r="AK2902">
        <v>1</v>
      </c>
      <c r="AL2902">
        <v>1</v>
      </c>
      <c r="AO2902">
        <v>0</v>
      </c>
      <c r="AP2902" t="s">
        <v>3015</v>
      </c>
      <c r="AQ2902" t="s">
        <v>3044</v>
      </c>
      <c r="AR2902" t="s">
        <v>3045</v>
      </c>
      <c r="AS2902" t="s">
        <v>3046</v>
      </c>
      <c r="AU2902" t="s">
        <v>3046</v>
      </c>
    </row>
    <row r="2903" spans="1:47" x14ac:dyDescent="0.35">
      <c r="A2903">
        <v>348832</v>
      </c>
      <c r="B2903" t="s">
        <v>178</v>
      </c>
      <c r="C2903" t="s">
        <v>179</v>
      </c>
      <c r="D2903" s="2">
        <v>45819</v>
      </c>
      <c r="E2903">
        <v>53850</v>
      </c>
      <c r="F2903">
        <v>161</v>
      </c>
      <c r="G2903" t="s">
        <v>111</v>
      </c>
      <c r="H2903" t="s">
        <v>167</v>
      </c>
      <c r="I2903" t="s">
        <v>45</v>
      </c>
      <c r="K2903">
        <v>202506108057656</v>
      </c>
      <c r="L2903">
        <v>1613300029653</v>
      </c>
      <c r="M2903">
        <v>20250610</v>
      </c>
      <c r="N2903" t="s">
        <v>659</v>
      </c>
      <c r="Q2903" t="s">
        <v>170</v>
      </c>
      <c r="R2903">
        <v>434214.95</v>
      </c>
      <c r="S2903">
        <v>0</v>
      </c>
      <c r="T2903">
        <v>4088769</v>
      </c>
      <c r="U2903">
        <v>5150120722</v>
      </c>
      <c r="V2903" t="s">
        <v>270</v>
      </c>
      <c r="W2903" t="s">
        <v>49</v>
      </c>
      <c r="X2903" t="s">
        <v>110</v>
      </c>
      <c r="Y2903" t="s">
        <v>51</v>
      </c>
      <c r="Z2903">
        <v>1903</v>
      </c>
      <c r="AH2903">
        <v>0</v>
      </c>
      <c r="AI2903">
        <v>202506</v>
      </c>
      <c r="AJ2903" t="s">
        <v>56</v>
      </c>
      <c r="AK2903">
        <v>0</v>
      </c>
      <c r="AL2903">
        <v>1</v>
      </c>
      <c r="AM2903">
        <v>4088769</v>
      </c>
      <c r="AN2903">
        <v>1</v>
      </c>
      <c r="AO2903">
        <v>0</v>
      </c>
      <c r="AP2903" t="s">
        <v>3026</v>
      </c>
      <c r="AQ2903" t="s">
        <v>3012</v>
      </c>
      <c r="AR2903" t="s">
        <v>3027</v>
      </c>
      <c r="AS2903" t="s">
        <v>3028</v>
      </c>
      <c r="AU2903" t="s">
        <v>3028</v>
      </c>
    </row>
    <row r="2904" spans="1:47" x14ac:dyDescent="0.35">
      <c r="A2904">
        <v>348831</v>
      </c>
      <c r="B2904" t="s">
        <v>172</v>
      </c>
      <c r="C2904" t="s">
        <v>173</v>
      </c>
      <c r="D2904" s="2">
        <v>45819</v>
      </c>
      <c r="E2904">
        <v>53850</v>
      </c>
      <c r="F2904">
        <v>171</v>
      </c>
      <c r="G2904" t="s">
        <v>198</v>
      </c>
      <c r="H2904" t="s">
        <v>167</v>
      </c>
      <c r="I2904" t="s">
        <v>45</v>
      </c>
      <c r="K2904" t="s">
        <v>2776</v>
      </c>
      <c r="L2904">
        <v>1713305728950</v>
      </c>
      <c r="M2904">
        <v>20250610</v>
      </c>
      <c r="N2904" t="s">
        <v>195</v>
      </c>
      <c r="Q2904" t="s">
        <v>47</v>
      </c>
      <c r="R2904">
        <v>191560</v>
      </c>
      <c r="S2904">
        <v>191560</v>
      </c>
      <c r="T2904">
        <v>572895</v>
      </c>
      <c r="U2904">
        <v>4161600723</v>
      </c>
      <c r="V2904" t="s">
        <v>199</v>
      </c>
      <c r="W2904" t="s">
        <v>49</v>
      </c>
      <c r="X2904" t="s">
        <v>200</v>
      </c>
      <c r="Y2904" t="s">
        <v>51</v>
      </c>
      <c r="Z2904">
        <v>1903</v>
      </c>
      <c r="AH2904">
        <v>0</v>
      </c>
      <c r="AI2904">
        <v>202506</v>
      </c>
      <c r="AJ2904" t="s">
        <v>119</v>
      </c>
      <c r="AK2904">
        <v>1</v>
      </c>
      <c r="AL2904">
        <v>1</v>
      </c>
      <c r="AM2904">
        <v>572895</v>
      </c>
      <c r="AN2904">
        <v>1</v>
      </c>
      <c r="AO2904">
        <v>0</v>
      </c>
      <c r="AP2904" t="s">
        <v>3015</v>
      </c>
      <c r="AQ2904" t="s">
        <v>3012</v>
      </c>
      <c r="AR2904" t="s">
        <v>3016</v>
      </c>
      <c r="AT2904" t="s">
        <v>3017</v>
      </c>
      <c r="AU2904" t="s">
        <v>3018</v>
      </c>
    </row>
    <row r="2905" spans="1:47" x14ac:dyDescent="0.35">
      <c r="A2905">
        <v>348830</v>
      </c>
      <c r="B2905" t="s">
        <v>172</v>
      </c>
      <c r="C2905" t="s">
        <v>173</v>
      </c>
      <c r="D2905" s="2">
        <v>45819</v>
      </c>
      <c r="E2905">
        <v>53850</v>
      </c>
      <c r="F2905">
        <v>121</v>
      </c>
      <c r="G2905" t="s">
        <v>140</v>
      </c>
      <c r="H2905" t="s">
        <v>167</v>
      </c>
      <c r="I2905" t="s">
        <v>45</v>
      </c>
      <c r="K2905">
        <v>202506108058216</v>
      </c>
      <c r="L2905">
        <v>1213300010279</v>
      </c>
      <c r="M2905">
        <v>20250610</v>
      </c>
      <c r="N2905" t="s">
        <v>81</v>
      </c>
      <c r="Q2905" t="s">
        <v>47</v>
      </c>
      <c r="R2905">
        <v>100000</v>
      </c>
      <c r="S2905">
        <v>0</v>
      </c>
      <c r="T2905">
        <v>1001714</v>
      </c>
      <c r="U2905" t="s">
        <v>2805</v>
      </c>
      <c r="V2905" t="s">
        <v>2806</v>
      </c>
      <c r="W2905" t="s">
        <v>69</v>
      </c>
      <c r="X2905" t="s">
        <v>234</v>
      </c>
      <c r="Y2905" t="s">
        <v>51</v>
      </c>
      <c r="Z2905">
        <v>928</v>
      </c>
      <c r="AH2905">
        <v>0</v>
      </c>
      <c r="AI2905">
        <v>202506</v>
      </c>
      <c r="AJ2905" t="s">
        <v>119</v>
      </c>
      <c r="AK2905">
        <v>1</v>
      </c>
      <c r="AL2905">
        <v>1</v>
      </c>
      <c r="AO2905">
        <v>0</v>
      </c>
      <c r="AP2905" t="s">
        <v>3015</v>
      </c>
      <c r="AQ2905" t="s">
        <v>3021</v>
      </c>
      <c r="AR2905" t="s">
        <v>3022</v>
      </c>
      <c r="AT2905" t="s">
        <v>3017</v>
      </c>
      <c r="AU2905" t="s">
        <v>3014</v>
      </c>
    </row>
    <row r="2906" spans="1:47" x14ac:dyDescent="0.35">
      <c r="A2906">
        <v>348829</v>
      </c>
      <c r="B2906" t="s">
        <v>164</v>
      </c>
      <c r="C2906" t="s">
        <v>165</v>
      </c>
      <c r="D2906" s="2">
        <v>45819</v>
      </c>
      <c r="E2906">
        <v>53850</v>
      </c>
      <c r="F2906">
        <v>156</v>
      </c>
      <c r="G2906" t="s">
        <v>1584</v>
      </c>
      <c r="H2906" t="s">
        <v>167</v>
      </c>
      <c r="I2906" t="s">
        <v>45</v>
      </c>
      <c r="K2906" t="s">
        <v>2807</v>
      </c>
      <c r="L2906">
        <v>1563300003383</v>
      </c>
      <c r="M2906">
        <v>20250609</v>
      </c>
      <c r="N2906" t="s">
        <v>168</v>
      </c>
      <c r="P2906" t="s">
        <v>255</v>
      </c>
      <c r="Q2906" t="s">
        <v>170</v>
      </c>
      <c r="R2906">
        <v>2381</v>
      </c>
      <c r="S2906">
        <v>0</v>
      </c>
      <c r="T2906">
        <v>4933160</v>
      </c>
      <c r="U2906">
        <v>3217170731</v>
      </c>
      <c r="V2906" t="s">
        <v>2808</v>
      </c>
      <c r="W2906" t="s">
        <v>49</v>
      </c>
      <c r="X2906" t="s">
        <v>2809</v>
      </c>
      <c r="Y2906" t="s">
        <v>51</v>
      </c>
      <c r="Z2906">
        <v>609</v>
      </c>
      <c r="AH2906">
        <v>0</v>
      </c>
      <c r="AI2906">
        <v>202506</v>
      </c>
      <c r="AJ2906" t="s">
        <v>86</v>
      </c>
      <c r="AK2906">
        <v>1</v>
      </c>
      <c r="AL2906">
        <v>1</v>
      </c>
      <c r="AO2906">
        <v>0</v>
      </c>
      <c r="AP2906" t="s">
        <v>3015</v>
      </c>
      <c r="AQ2906" t="s">
        <v>3012</v>
      </c>
      <c r="AR2906" t="s">
        <v>3016</v>
      </c>
      <c r="AT2906" t="s">
        <v>3017</v>
      </c>
      <c r="AU2906" t="s">
        <v>3018</v>
      </c>
    </row>
    <row r="2907" spans="1:47" x14ac:dyDescent="0.35">
      <c r="A2907">
        <v>348828</v>
      </c>
      <c r="B2907" t="s">
        <v>164</v>
      </c>
      <c r="C2907" t="s">
        <v>165</v>
      </c>
      <c r="D2907" s="2">
        <v>45818</v>
      </c>
      <c r="E2907">
        <v>53850</v>
      </c>
      <c r="F2907">
        <v>148</v>
      </c>
      <c r="G2907" t="s">
        <v>78</v>
      </c>
      <c r="H2907" t="s">
        <v>167</v>
      </c>
      <c r="I2907" t="s">
        <v>45</v>
      </c>
      <c r="K2907">
        <v>202506098053349</v>
      </c>
      <c r="L2907">
        <v>1483300003872</v>
      </c>
      <c r="M2907">
        <v>20250609</v>
      </c>
      <c r="N2907" t="s">
        <v>168</v>
      </c>
      <c r="P2907" t="s">
        <v>169</v>
      </c>
      <c r="Q2907" t="s">
        <v>47</v>
      </c>
      <c r="R2907">
        <v>20456.400000000001</v>
      </c>
      <c r="S2907">
        <v>0</v>
      </c>
      <c r="T2907">
        <v>4602337</v>
      </c>
      <c r="U2907">
        <v>1418030621</v>
      </c>
      <c r="V2907" t="s">
        <v>1203</v>
      </c>
      <c r="W2907" t="s">
        <v>49</v>
      </c>
      <c r="X2907" t="s">
        <v>698</v>
      </c>
      <c r="Y2907" t="s">
        <v>51</v>
      </c>
      <c r="Z2907">
        <v>982</v>
      </c>
      <c r="AH2907">
        <v>0</v>
      </c>
      <c r="AI2907">
        <v>202506</v>
      </c>
      <c r="AJ2907" t="s">
        <v>86</v>
      </c>
      <c r="AK2907">
        <v>1</v>
      </c>
      <c r="AL2907">
        <v>1</v>
      </c>
      <c r="AO2907">
        <v>0</v>
      </c>
      <c r="AP2907" t="s">
        <v>3015</v>
      </c>
      <c r="AQ2907" t="s">
        <v>3012</v>
      </c>
      <c r="AR2907" t="s">
        <v>3016</v>
      </c>
      <c r="AT2907" t="s">
        <v>3017</v>
      </c>
      <c r="AU2907" t="s">
        <v>3018</v>
      </c>
    </row>
    <row r="2908" spans="1:47" x14ac:dyDescent="0.35">
      <c r="A2908">
        <v>348827</v>
      </c>
      <c r="B2908" t="s">
        <v>178</v>
      </c>
      <c r="C2908" t="s">
        <v>179</v>
      </c>
      <c r="D2908" s="2">
        <v>45818</v>
      </c>
      <c r="E2908">
        <v>53850</v>
      </c>
      <c r="F2908">
        <v>274</v>
      </c>
      <c r="G2908" t="s">
        <v>427</v>
      </c>
      <c r="H2908" t="s">
        <v>167</v>
      </c>
      <c r="I2908" t="s">
        <v>45</v>
      </c>
      <c r="K2908">
        <v>202506098055200</v>
      </c>
      <c r="L2908">
        <v>2743300000954</v>
      </c>
      <c r="M2908">
        <v>20250609</v>
      </c>
      <c r="N2908" t="s">
        <v>3136</v>
      </c>
      <c r="Q2908" t="s">
        <v>170</v>
      </c>
      <c r="R2908">
        <v>5555.95</v>
      </c>
      <c r="S2908">
        <v>0</v>
      </c>
      <c r="T2908">
        <v>1666695</v>
      </c>
      <c r="U2908" t="s">
        <v>2810</v>
      </c>
      <c r="V2908" t="s">
        <v>2811</v>
      </c>
      <c r="W2908" t="s">
        <v>187</v>
      </c>
      <c r="Y2908" t="s">
        <v>51</v>
      </c>
      <c r="Z2908">
        <v>1751</v>
      </c>
      <c r="AH2908">
        <v>0</v>
      </c>
      <c r="AI2908">
        <v>202506</v>
      </c>
      <c r="AJ2908" t="s">
        <v>52</v>
      </c>
      <c r="AK2908">
        <v>0</v>
      </c>
      <c r="AL2908">
        <v>1</v>
      </c>
      <c r="AO2908">
        <v>1</v>
      </c>
      <c r="AP2908" t="s">
        <v>3015</v>
      </c>
      <c r="AQ2908" t="s">
        <v>3044</v>
      </c>
      <c r="AR2908" t="s">
        <v>3045</v>
      </c>
      <c r="AS2908" t="s">
        <v>3046</v>
      </c>
      <c r="AU2908" t="s">
        <v>3046</v>
      </c>
    </row>
    <row r="2909" spans="1:47" x14ac:dyDescent="0.35">
      <c r="A2909">
        <v>348826</v>
      </c>
      <c r="B2909" t="s">
        <v>178</v>
      </c>
      <c r="C2909" t="s">
        <v>179</v>
      </c>
      <c r="D2909" s="2">
        <v>45818</v>
      </c>
      <c r="E2909">
        <v>53850</v>
      </c>
      <c r="F2909">
        <v>120</v>
      </c>
      <c r="G2909" t="s">
        <v>411</v>
      </c>
      <c r="H2909" t="s">
        <v>167</v>
      </c>
      <c r="I2909" t="s">
        <v>45</v>
      </c>
      <c r="K2909" t="s">
        <v>2812</v>
      </c>
      <c r="L2909">
        <v>1203300002401</v>
      </c>
      <c r="M2909">
        <v>20250609</v>
      </c>
      <c r="N2909" t="s">
        <v>3136</v>
      </c>
      <c r="Q2909" t="s">
        <v>170</v>
      </c>
      <c r="R2909">
        <v>1153.07</v>
      </c>
      <c r="S2909">
        <v>0</v>
      </c>
      <c r="T2909">
        <v>613876</v>
      </c>
      <c r="U2909">
        <v>574290722</v>
      </c>
      <c r="V2909" t="s">
        <v>545</v>
      </c>
      <c r="W2909" t="s">
        <v>546</v>
      </c>
      <c r="X2909" t="s">
        <v>421</v>
      </c>
      <c r="Y2909" t="s">
        <v>51</v>
      </c>
      <c r="Z2909">
        <v>1058</v>
      </c>
      <c r="AH2909">
        <v>0</v>
      </c>
      <c r="AI2909">
        <v>202506</v>
      </c>
      <c r="AJ2909" t="s">
        <v>119</v>
      </c>
      <c r="AK2909">
        <v>1</v>
      </c>
      <c r="AL2909">
        <v>1</v>
      </c>
      <c r="AM2909">
        <v>613876</v>
      </c>
      <c r="AN2909">
        <v>1</v>
      </c>
      <c r="AO2909">
        <v>1</v>
      </c>
      <c r="AP2909" t="s">
        <v>3015</v>
      </c>
      <c r="AQ2909" t="s">
        <v>3076</v>
      </c>
      <c r="AR2909" t="s">
        <v>3077</v>
      </c>
      <c r="AT2909" t="s">
        <v>3017</v>
      </c>
      <c r="AU2909" t="s">
        <v>3014</v>
      </c>
    </row>
    <row r="2910" spans="1:47" x14ac:dyDescent="0.35">
      <c r="A2910">
        <v>348825</v>
      </c>
      <c r="B2910" t="s">
        <v>164</v>
      </c>
      <c r="C2910" t="s">
        <v>165</v>
      </c>
      <c r="D2910" s="2">
        <v>45818</v>
      </c>
      <c r="E2910">
        <v>53850</v>
      </c>
      <c r="F2910">
        <v>102</v>
      </c>
      <c r="G2910" t="s">
        <v>151</v>
      </c>
      <c r="H2910" t="s">
        <v>167</v>
      </c>
      <c r="I2910" t="s">
        <v>45</v>
      </c>
      <c r="K2910">
        <v>202506098053220</v>
      </c>
      <c r="L2910">
        <v>1023308716491</v>
      </c>
      <c r="M2910">
        <v>20250609</v>
      </c>
      <c r="N2910" t="s">
        <v>168</v>
      </c>
      <c r="P2910" t="s">
        <v>203</v>
      </c>
      <c r="Q2910" t="s">
        <v>47</v>
      </c>
      <c r="R2910">
        <v>45000</v>
      </c>
      <c r="S2910">
        <v>0</v>
      </c>
      <c r="T2910">
        <v>3970</v>
      </c>
      <c r="U2910" t="s">
        <v>718</v>
      </c>
      <c r="V2910" t="s">
        <v>719</v>
      </c>
      <c r="W2910" t="s">
        <v>187</v>
      </c>
      <c r="Y2910" t="s">
        <v>51</v>
      </c>
      <c r="Z2910">
        <v>1431</v>
      </c>
      <c r="AH2910">
        <v>0</v>
      </c>
      <c r="AI2910">
        <v>202506</v>
      </c>
      <c r="AJ2910" t="s">
        <v>56</v>
      </c>
      <c r="AK2910">
        <v>0</v>
      </c>
      <c r="AL2910">
        <v>1</v>
      </c>
      <c r="AO2910">
        <v>0</v>
      </c>
      <c r="AP2910" t="s">
        <v>3015</v>
      </c>
      <c r="AQ2910" t="s">
        <v>3044</v>
      </c>
      <c r="AR2910" t="s">
        <v>3045</v>
      </c>
      <c r="AS2910" t="s">
        <v>3046</v>
      </c>
      <c r="AU2910" t="s">
        <v>3046</v>
      </c>
    </row>
    <row r="2911" spans="1:47" x14ac:dyDescent="0.35">
      <c r="A2911">
        <v>348824</v>
      </c>
      <c r="B2911" t="s">
        <v>214</v>
      </c>
      <c r="C2911" t="s">
        <v>215</v>
      </c>
      <c r="D2911" s="2">
        <v>45818</v>
      </c>
      <c r="E2911">
        <v>53850</v>
      </c>
      <c r="F2911">
        <v>109</v>
      </c>
      <c r="G2911" t="s">
        <v>89</v>
      </c>
      <c r="H2911" t="s">
        <v>167</v>
      </c>
      <c r="I2911" t="s">
        <v>45</v>
      </c>
      <c r="K2911">
        <v>202506098053678</v>
      </c>
      <c r="L2911">
        <v>1093306667367</v>
      </c>
      <c r="M2911">
        <v>20250609</v>
      </c>
      <c r="N2911" t="s">
        <v>168</v>
      </c>
      <c r="P2911" t="s">
        <v>511</v>
      </c>
      <c r="Q2911" t="s">
        <v>47</v>
      </c>
      <c r="R2911">
        <v>15403.59</v>
      </c>
      <c r="S2911">
        <v>0</v>
      </c>
      <c r="T2911">
        <v>4026861</v>
      </c>
      <c r="U2911">
        <v>5195820724</v>
      </c>
      <c r="V2911" t="s">
        <v>1011</v>
      </c>
      <c r="W2911" t="s">
        <v>49</v>
      </c>
      <c r="X2911" t="s">
        <v>131</v>
      </c>
      <c r="Y2911" t="s">
        <v>51</v>
      </c>
      <c r="Z2911">
        <v>1696</v>
      </c>
      <c r="AH2911">
        <v>0</v>
      </c>
      <c r="AI2911">
        <v>202506</v>
      </c>
      <c r="AJ2911" t="s">
        <v>56</v>
      </c>
      <c r="AK2911">
        <v>0</v>
      </c>
      <c r="AL2911">
        <v>1</v>
      </c>
      <c r="AM2911">
        <v>4026861</v>
      </c>
      <c r="AN2911">
        <v>1</v>
      </c>
      <c r="AO2911">
        <v>0</v>
      </c>
      <c r="AP2911" t="s">
        <v>3033</v>
      </c>
      <c r="AQ2911" t="s">
        <v>3012</v>
      </c>
      <c r="AR2911" t="s">
        <v>3034</v>
      </c>
      <c r="AS2911" t="s">
        <v>3014</v>
      </c>
      <c r="AU2911" t="s">
        <v>3014</v>
      </c>
    </row>
    <row r="2912" spans="1:47" x14ac:dyDescent="0.35">
      <c r="A2912">
        <v>348823</v>
      </c>
      <c r="B2912" t="s">
        <v>172</v>
      </c>
      <c r="C2912" t="s">
        <v>173</v>
      </c>
      <c r="D2912" s="2">
        <v>45818</v>
      </c>
      <c r="E2912">
        <v>53850</v>
      </c>
      <c r="F2912">
        <v>103</v>
      </c>
      <c r="G2912" t="s">
        <v>80</v>
      </c>
      <c r="H2912" t="s">
        <v>167</v>
      </c>
      <c r="I2912" t="s">
        <v>45</v>
      </c>
      <c r="K2912" t="s">
        <v>2813</v>
      </c>
      <c r="L2912">
        <v>1033306978505</v>
      </c>
      <c r="M2912">
        <v>20250609</v>
      </c>
      <c r="N2912" t="s">
        <v>175</v>
      </c>
      <c r="Q2912" t="s">
        <v>47</v>
      </c>
      <c r="R2912">
        <v>102000</v>
      </c>
      <c r="S2912">
        <v>0</v>
      </c>
      <c r="T2912">
        <v>4917206</v>
      </c>
      <c r="U2912">
        <v>8210620723</v>
      </c>
      <c r="V2912" t="s">
        <v>2814</v>
      </c>
      <c r="W2912" t="s">
        <v>49</v>
      </c>
      <c r="X2912" t="s">
        <v>364</v>
      </c>
      <c r="Y2912" t="s">
        <v>51</v>
      </c>
      <c r="Z2912">
        <v>739</v>
      </c>
      <c r="AH2912">
        <v>0</v>
      </c>
      <c r="AI2912">
        <v>202506</v>
      </c>
      <c r="AJ2912" t="s">
        <v>86</v>
      </c>
      <c r="AK2912">
        <v>1</v>
      </c>
      <c r="AL2912">
        <v>1</v>
      </c>
      <c r="AO2912">
        <v>1</v>
      </c>
      <c r="AP2912" t="s">
        <v>3062</v>
      </c>
      <c r="AQ2912" t="s">
        <v>3012</v>
      </c>
      <c r="AR2912" t="s">
        <v>3063</v>
      </c>
      <c r="AS2912" t="s">
        <v>3014</v>
      </c>
      <c r="AU2912" t="s">
        <v>3014</v>
      </c>
    </row>
    <row r="2913" spans="1:47" x14ac:dyDescent="0.35">
      <c r="A2913">
        <v>348822</v>
      </c>
      <c r="B2913" t="s">
        <v>172</v>
      </c>
      <c r="C2913" t="s">
        <v>173</v>
      </c>
      <c r="D2913" s="2">
        <v>45818</v>
      </c>
      <c r="E2913">
        <v>53850</v>
      </c>
      <c r="F2913">
        <v>111</v>
      </c>
      <c r="G2913" t="s">
        <v>458</v>
      </c>
      <c r="H2913" t="s">
        <v>167</v>
      </c>
      <c r="I2913" t="s">
        <v>45</v>
      </c>
      <c r="K2913">
        <v>202506098054794</v>
      </c>
      <c r="L2913">
        <v>1113302817195</v>
      </c>
      <c r="M2913">
        <v>20250609</v>
      </c>
      <c r="N2913" t="s">
        <v>81</v>
      </c>
      <c r="Q2913" t="s">
        <v>47</v>
      </c>
      <c r="R2913">
        <v>118493.59</v>
      </c>
      <c r="S2913">
        <v>0</v>
      </c>
      <c r="T2913">
        <v>456132</v>
      </c>
      <c r="U2913" t="s">
        <v>2815</v>
      </c>
      <c r="V2913" t="s">
        <v>2816</v>
      </c>
      <c r="W2913" t="s">
        <v>187</v>
      </c>
      <c r="Y2913" t="s">
        <v>51</v>
      </c>
      <c r="Z2913">
        <v>445</v>
      </c>
      <c r="AH2913">
        <v>0</v>
      </c>
      <c r="AI2913">
        <v>202506</v>
      </c>
      <c r="AJ2913" t="s">
        <v>86</v>
      </c>
      <c r="AK2913">
        <v>1</v>
      </c>
      <c r="AL2913">
        <v>1</v>
      </c>
      <c r="AO2913">
        <v>0</v>
      </c>
      <c r="AP2913" t="s">
        <v>3015</v>
      </c>
      <c r="AQ2913" t="s">
        <v>3044</v>
      </c>
      <c r="AR2913" t="s">
        <v>3045</v>
      </c>
      <c r="AS2913" t="s">
        <v>3046</v>
      </c>
      <c r="AU2913" t="s">
        <v>3046</v>
      </c>
    </row>
    <row r="2914" spans="1:47" x14ac:dyDescent="0.35">
      <c r="A2914">
        <v>348821</v>
      </c>
      <c r="B2914" t="s">
        <v>178</v>
      </c>
      <c r="C2914" t="s">
        <v>179</v>
      </c>
      <c r="D2914" s="2">
        <v>45818</v>
      </c>
      <c r="E2914">
        <v>53850</v>
      </c>
      <c r="F2914">
        <v>279</v>
      </c>
      <c r="G2914" t="s">
        <v>587</v>
      </c>
      <c r="H2914" t="s">
        <v>167</v>
      </c>
      <c r="I2914" t="s">
        <v>45</v>
      </c>
      <c r="K2914" t="s">
        <v>2817</v>
      </c>
      <c r="L2914">
        <v>2793300001520</v>
      </c>
      <c r="M2914">
        <v>20250609</v>
      </c>
      <c r="N2914" t="s">
        <v>3136</v>
      </c>
      <c r="Q2914" t="s">
        <v>170</v>
      </c>
      <c r="R2914">
        <v>1399.88</v>
      </c>
      <c r="S2914">
        <v>0</v>
      </c>
      <c r="T2914">
        <v>1693372</v>
      </c>
      <c r="U2914" t="s">
        <v>2818</v>
      </c>
      <c r="V2914" t="s">
        <v>2819</v>
      </c>
      <c r="W2914" t="s">
        <v>69</v>
      </c>
      <c r="X2914" t="s">
        <v>200</v>
      </c>
      <c r="Y2914" t="s">
        <v>51</v>
      </c>
      <c r="Z2914">
        <v>1786</v>
      </c>
      <c r="AH2914">
        <v>0</v>
      </c>
      <c r="AI2914">
        <v>202506</v>
      </c>
      <c r="AJ2914" t="s">
        <v>114</v>
      </c>
      <c r="AK2914">
        <v>1</v>
      </c>
      <c r="AL2914">
        <v>1</v>
      </c>
      <c r="AO2914">
        <v>1</v>
      </c>
      <c r="AP2914" t="s">
        <v>3015</v>
      </c>
      <c r="AQ2914" t="s">
        <v>3021</v>
      </c>
      <c r="AR2914" t="s">
        <v>3022</v>
      </c>
      <c r="AT2914" t="s">
        <v>3017</v>
      </c>
      <c r="AU2914" t="s">
        <v>3014</v>
      </c>
    </row>
    <row r="2915" spans="1:47" x14ac:dyDescent="0.35">
      <c r="A2915">
        <v>348820</v>
      </c>
      <c r="B2915" t="s">
        <v>178</v>
      </c>
      <c r="C2915" t="s">
        <v>179</v>
      </c>
      <c r="D2915" s="2">
        <v>45818</v>
      </c>
      <c r="E2915">
        <v>53850</v>
      </c>
      <c r="F2915">
        <v>136</v>
      </c>
      <c r="G2915" t="s">
        <v>551</v>
      </c>
      <c r="H2915" t="s">
        <v>167</v>
      </c>
      <c r="I2915" t="s">
        <v>45</v>
      </c>
      <c r="K2915">
        <v>202506098053697</v>
      </c>
      <c r="L2915">
        <v>1363300003325</v>
      </c>
      <c r="M2915">
        <v>20250609</v>
      </c>
      <c r="N2915" t="s">
        <v>699</v>
      </c>
      <c r="Q2915" t="s">
        <v>170</v>
      </c>
      <c r="R2915">
        <v>1156392.72</v>
      </c>
      <c r="S2915">
        <v>0</v>
      </c>
      <c r="T2915">
        <v>4395683</v>
      </c>
      <c r="U2915">
        <v>2036760037</v>
      </c>
      <c r="V2915" t="s">
        <v>553</v>
      </c>
      <c r="W2915" t="s">
        <v>49</v>
      </c>
      <c r="X2915" t="s">
        <v>554</v>
      </c>
      <c r="Y2915" t="s">
        <v>51</v>
      </c>
      <c r="Z2915">
        <v>1627</v>
      </c>
      <c r="AH2915">
        <v>0</v>
      </c>
      <c r="AI2915">
        <v>202506</v>
      </c>
      <c r="AJ2915" t="s">
        <v>56</v>
      </c>
      <c r="AK2915">
        <v>0</v>
      </c>
      <c r="AL2915">
        <v>1</v>
      </c>
      <c r="AO2915">
        <v>0</v>
      </c>
      <c r="AP2915" t="s">
        <v>3015</v>
      </c>
      <c r="AQ2915" t="s">
        <v>3012</v>
      </c>
      <c r="AR2915" t="s">
        <v>3016</v>
      </c>
      <c r="AT2915" t="s">
        <v>3017</v>
      </c>
      <c r="AU2915" t="s">
        <v>3018</v>
      </c>
    </row>
    <row r="2916" spans="1:47" x14ac:dyDescent="0.35">
      <c r="A2916">
        <v>348819</v>
      </c>
      <c r="B2916" t="s">
        <v>193</v>
      </c>
      <c r="C2916" t="s">
        <v>194</v>
      </c>
      <c r="D2916" s="2">
        <v>45818</v>
      </c>
      <c r="E2916">
        <v>53850</v>
      </c>
      <c r="F2916">
        <v>178</v>
      </c>
      <c r="G2916" t="s">
        <v>315</v>
      </c>
      <c r="H2916" t="s">
        <v>167</v>
      </c>
      <c r="I2916" t="s">
        <v>45</v>
      </c>
      <c r="K2916">
        <v>202506098055031</v>
      </c>
      <c r="L2916">
        <v>1783301005731</v>
      </c>
      <c r="M2916">
        <v>20250609</v>
      </c>
      <c r="N2916" t="s">
        <v>266</v>
      </c>
      <c r="Q2916" t="s">
        <v>47</v>
      </c>
      <c r="R2916">
        <v>20000</v>
      </c>
      <c r="S2916">
        <v>20000</v>
      </c>
      <c r="T2916">
        <v>3745189</v>
      </c>
      <c r="U2916" t="s">
        <v>2820</v>
      </c>
      <c r="V2916" t="s">
        <v>2821</v>
      </c>
      <c r="W2916" t="s">
        <v>187</v>
      </c>
      <c r="Y2916" t="s">
        <v>51</v>
      </c>
      <c r="AH2916">
        <v>0</v>
      </c>
      <c r="AI2916">
        <v>202506</v>
      </c>
      <c r="AJ2916" t="s">
        <v>86</v>
      </c>
      <c r="AK2916">
        <v>1</v>
      </c>
      <c r="AL2916">
        <v>1</v>
      </c>
      <c r="AO2916">
        <v>0</v>
      </c>
      <c r="AP2916" t="s">
        <v>3015</v>
      </c>
      <c r="AQ2916" t="s">
        <v>3044</v>
      </c>
      <c r="AR2916" t="s">
        <v>3045</v>
      </c>
      <c r="AS2916" t="s">
        <v>3046</v>
      </c>
      <c r="AU2916" t="s">
        <v>3046</v>
      </c>
    </row>
    <row r="2917" spans="1:47" x14ac:dyDescent="0.35">
      <c r="A2917">
        <v>348818</v>
      </c>
      <c r="B2917" t="s">
        <v>193</v>
      </c>
      <c r="C2917" t="s">
        <v>194</v>
      </c>
      <c r="D2917" s="2">
        <v>45818</v>
      </c>
      <c r="E2917">
        <v>53850</v>
      </c>
      <c r="F2917">
        <v>114</v>
      </c>
      <c r="G2917" t="s">
        <v>188</v>
      </c>
      <c r="H2917" t="s">
        <v>167</v>
      </c>
      <c r="I2917" t="s">
        <v>45</v>
      </c>
      <c r="K2917" t="s">
        <v>2813</v>
      </c>
      <c r="L2917">
        <v>1143306280621</v>
      </c>
      <c r="M2917">
        <v>20250609</v>
      </c>
      <c r="N2917" t="s">
        <v>266</v>
      </c>
      <c r="Q2917" t="s">
        <v>47</v>
      </c>
      <c r="R2917">
        <v>78400</v>
      </c>
      <c r="S2917">
        <v>78400</v>
      </c>
      <c r="T2917">
        <v>4658875</v>
      </c>
      <c r="U2917">
        <v>3230890711</v>
      </c>
      <c r="V2917" t="s">
        <v>1363</v>
      </c>
      <c r="W2917" t="s">
        <v>49</v>
      </c>
      <c r="X2917" t="s">
        <v>131</v>
      </c>
      <c r="Y2917" t="s">
        <v>51</v>
      </c>
      <c r="Z2917">
        <v>870</v>
      </c>
      <c r="AH2917">
        <v>0</v>
      </c>
      <c r="AI2917">
        <v>202506</v>
      </c>
      <c r="AJ2917" t="s">
        <v>56</v>
      </c>
      <c r="AK2917">
        <v>0</v>
      </c>
      <c r="AL2917">
        <v>1</v>
      </c>
      <c r="AM2917">
        <v>4658875</v>
      </c>
      <c r="AN2917">
        <v>1</v>
      </c>
      <c r="AO2917">
        <v>0</v>
      </c>
      <c r="AP2917" t="s">
        <v>3033</v>
      </c>
      <c r="AQ2917" t="s">
        <v>3012</v>
      </c>
      <c r="AR2917" t="s">
        <v>3034</v>
      </c>
      <c r="AS2917" t="s">
        <v>3014</v>
      </c>
      <c r="AU2917" t="s">
        <v>3014</v>
      </c>
    </row>
    <row r="2918" spans="1:47" x14ac:dyDescent="0.35">
      <c r="A2918">
        <v>348817</v>
      </c>
      <c r="B2918" t="s">
        <v>172</v>
      </c>
      <c r="C2918" t="s">
        <v>173</v>
      </c>
      <c r="D2918" s="2">
        <v>45818</v>
      </c>
      <c r="E2918">
        <v>53850</v>
      </c>
      <c r="F2918">
        <v>161</v>
      </c>
      <c r="G2918" t="s">
        <v>111</v>
      </c>
      <c r="H2918" t="s">
        <v>167</v>
      </c>
      <c r="I2918" t="s">
        <v>45</v>
      </c>
      <c r="K2918" t="s">
        <v>2813</v>
      </c>
      <c r="L2918">
        <v>1613300029653</v>
      </c>
      <c r="M2918">
        <v>20250609</v>
      </c>
      <c r="N2918" t="s">
        <v>175</v>
      </c>
      <c r="Q2918" t="s">
        <v>47</v>
      </c>
      <c r="R2918">
        <v>115427.47</v>
      </c>
      <c r="S2918">
        <v>10800</v>
      </c>
      <c r="T2918">
        <v>4088769</v>
      </c>
      <c r="U2918">
        <v>5150120722</v>
      </c>
      <c r="V2918" t="s">
        <v>270</v>
      </c>
      <c r="W2918" t="s">
        <v>49</v>
      </c>
      <c r="X2918" t="s">
        <v>110</v>
      </c>
      <c r="Y2918" t="s">
        <v>51</v>
      </c>
      <c r="Z2918">
        <v>1903</v>
      </c>
      <c r="AH2918">
        <v>0</v>
      </c>
      <c r="AI2918">
        <v>202506</v>
      </c>
      <c r="AJ2918" t="s">
        <v>56</v>
      </c>
      <c r="AK2918">
        <v>0</v>
      </c>
      <c r="AL2918">
        <v>1</v>
      </c>
      <c r="AM2918">
        <v>4088769</v>
      </c>
      <c r="AN2918">
        <v>1</v>
      </c>
      <c r="AO2918">
        <v>1</v>
      </c>
      <c r="AP2918" t="s">
        <v>3026</v>
      </c>
      <c r="AQ2918" t="s">
        <v>3012</v>
      </c>
      <c r="AR2918" t="s">
        <v>3027</v>
      </c>
      <c r="AS2918" t="s">
        <v>3028</v>
      </c>
      <c r="AU2918" t="s">
        <v>3028</v>
      </c>
    </row>
    <row r="2919" spans="1:47" x14ac:dyDescent="0.35">
      <c r="A2919">
        <v>348816</v>
      </c>
      <c r="B2919" t="s">
        <v>178</v>
      </c>
      <c r="C2919" t="s">
        <v>179</v>
      </c>
      <c r="D2919" s="2">
        <v>45818</v>
      </c>
      <c r="E2919">
        <v>53850</v>
      </c>
      <c r="F2919">
        <v>267</v>
      </c>
      <c r="G2919" t="s">
        <v>349</v>
      </c>
      <c r="H2919" t="s">
        <v>167</v>
      </c>
      <c r="I2919" t="s">
        <v>45</v>
      </c>
      <c r="K2919" t="s">
        <v>2822</v>
      </c>
      <c r="L2919">
        <v>2673300000258</v>
      </c>
      <c r="M2919">
        <v>20250609</v>
      </c>
      <c r="N2919" t="s">
        <v>3136</v>
      </c>
      <c r="Q2919" t="s">
        <v>170</v>
      </c>
      <c r="R2919">
        <v>1342.29</v>
      </c>
      <c r="S2919">
        <v>0</v>
      </c>
      <c r="T2919">
        <v>1616725</v>
      </c>
      <c r="U2919">
        <v>2694030798</v>
      </c>
      <c r="V2919" t="s">
        <v>641</v>
      </c>
      <c r="W2919" t="s">
        <v>49</v>
      </c>
      <c r="X2919" t="s">
        <v>200</v>
      </c>
      <c r="Y2919" t="s">
        <v>51</v>
      </c>
      <c r="Z2919">
        <v>1878</v>
      </c>
      <c r="AH2919">
        <v>0</v>
      </c>
      <c r="AI2919">
        <v>202506</v>
      </c>
      <c r="AJ2919" t="s">
        <v>119</v>
      </c>
      <c r="AK2919">
        <v>1</v>
      </c>
      <c r="AL2919">
        <v>1</v>
      </c>
      <c r="AM2919">
        <v>1616725</v>
      </c>
      <c r="AN2919">
        <v>1</v>
      </c>
      <c r="AO2919">
        <v>1</v>
      </c>
      <c r="AP2919" t="s">
        <v>3015</v>
      </c>
      <c r="AQ2919" t="s">
        <v>3012</v>
      </c>
      <c r="AR2919" t="s">
        <v>3016</v>
      </c>
      <c r="AT2919" t="s">
        <v>3017</v>
      </c>
      <c r="AU2919" t="s">
        <v>3018</v>
      </c>
    </row>
    <row r="2920" spans="1:47" x14ac:dyDescent="0.35">
      <c r="A2920">
        <v>348815</v>
      </c>
      <c r="B2920" t="s">
        <v>193</v>
      </c>
      <c r="C2920" t="s">
        <v>194</v>
      </c>
      <c r="D2920" s="2">
        <v>45818</v>
      </c>
      <c r="E2920">
        <v>53850</v>
      </c>
      <c r="F2920">
        <v>170</v>
      </c>
      <c r="G2920" t="s">
        <v>211</v>
      </c>
      <c r="H2920" t="s">
        <v>167</v>
      </c>
      <c r="I2920" t="s">
        <v>45</v>
      </c>
      <c r="K2920">
        <v>202506098054330</v>
      </c>
      <c r="L2920">
        <v>1703300000428</v>
      </c>
      <c r="M2920">
        <v>20250609</v>
      </c>
      <c r="N2920" t="s">
        <v>195</v>
      </c>
      <c r="Q2920" t="s">
        <v>47</v>
      </c>
      <c r="R2920">
        <v>49850</v>
      </c>
      <c r="S2920">
        <v>49850</v>
      </c>
      <c r="T2920">
        <v>4833134</v>
      </c>
      <c r="U2920">
        <v>7323170725</v>
      </c>
      <c r="V2920" t="s">
        <v>425</v>
      </c>
      <c r="W2920" t="s">
        <v>49</v>
      </c>
      <c r="X2920" t="s">
        <v>413</v>
      </c>
      <c r="Y2920" t="s">
        <v>51</v>
      </c>
      <c r="Z2920">
        <v>694</v>
      </c>
      <c r="AH2920">
        <v>0</v>
      </c>
      <c r="AI2920">
        <v>202506</v>
      </c>
      <c r="AJ2920" t="s">
        <v>56</v>
      </c>
      <c r="AK2920">
        <v>0</v>
      </c>
      <c r="AL2920">
        <v>1</v>
      </c>
      <c r="AM2920">
        <v>4833134</v>
      </c>
      <c r="AN2920">
        <v>1</v>
      </c>
      <c r="AO2920">
        <v>0</v>
      </c>
      <c r="AP2920" t="s">
        <v>3015</v>
      </c>
      <c r="AQ2920" t="s">
        <v>3012</v>
      </c>
      <c r="AR2920" t="s">
        <v>3016</v>
      </c>
      <c r="AT2920" t="s">
        <v>3017</v>
      </c>
      <c r="AU2920" t="s">
        <v>3018</v>
      </c>
    </row>
    <row r="2921" spans="1:47" x14ac:dyDescent="0.35">
      <c r="A2921">
        <v>348814</v>
      </c>
      <c r="B2921" t="s">
        <v>193</v>
      </c>
      <c r="C2921" t="s">
        <v>194</v>
      </c>
      <c r="D2921" s="2">
        <v>45818</v>
      </c>
      <c r="E2921">
        <v>53850</v>
      </c>
      <c r="F2921">
        <v>182</v>
      </c>
      <c r="G2921" t="s">
        <v>318</v>
      </c>
      <c r="H2921" t="s">
        <v>167</v>
      </c>
      <c r="I2921" t="s">
        <v>45</v>
      </c>
      <c r="K2921" t="s">
        <v>2813</v>
      </c>
      <c r="L2921">
        <v>1823300169301</v>
      </c>
      <c r="M2921">
        <v>20250609</v>
      </c>
      <c r="N2921" t="s">
        <v>195</v>
      </c>
      <c r="Q2921" t="s">
        <v>47</v>
      </c>
      <c r="R2921">
        <v>43875</v>
      </c>
      <c r="S2921">
        <v>43875</v>
      </c>
      <c r="T2921">
        <v>4284957</v>
      </c>
      <c r="U2921" t="s">
        <v>455</v>
      </c>
      <c r="V2921" t="s">
        <v>456</v>
      </c>
      <c r="W2921" t="s">
        <v>69</v>
      </c>
      <c r="X2921" t="s">
        <v>197</v>
      </c>
      <c r="Y2921" t="s">
        <v>51</v>
      </c>
      <c r="Z2921">
        <v>1656</v>
      </c>
      <c r="AH2921">
        <v>0</v>
      </c>
      <c r="AI2921">
        <v>202506</v>
      </c>
      <c r="AJ2921" t="s">
        <v>119</v>
      </c>
      <c r="AK2921">
        <v>1</v>
      </c>
      <c r="AL2921">
        <v>1</v>
      </c>
      <c r="AM2921">
        <v>4284957</v>
      </c>
      <c r="AN2921">
        <v>1</v>
      </c>
      <c r="AO2921">
        <v>0</v>
      </c>
      <c r="AP2921" t="s">
        <v>3050</v>
      </c>
      <c r="AQ2921" t="s">
        <v>3021</v>
      </c>
      <c r="AR2921" t="s">
        <v>3070</v>
      </c>
      <c r="AS2921" t="s">
        <v>3055</v>
      </c>
      <c r="AU2921" t="s">
        <v>3055</v>
      </c>
    </row>
    <row r="2922" spans="1:47" x14ac:dyDescent="0.35">
      <c r="A2922">
        <v>348813</v>
      </c>
      <c r="B2922" t="s">
        <v>178</v>
      </c>
      <c r="C2922" t="s">
        <v>179</v>
      </c>
      <c r="D2922" s="2">
        <v>45818</v>
      </c>
      <c r="E2922">
        <v>53850</v>
      </c>
      <c r="F2922">
        <v>167</v>
      </c>
      <c r="G2922" t="s">
        <v>278</v>
      </c>
      <c r="H2922" t="s">
        <v>167</v>
      </c>
      <c r="I2922" t="s">
        <v>45</v>
      </c>
      <c r="K2922" t="s">
        <v>2823</v>
      </c>
      <c r="L2922">
        <v>1673301674288</v>
      </c>
      <c r="M2922">
        <v>20250609</v>
      </c>
      <c r="N2922" t="s">
        <v>3136</v>
      </c>
      <c r="Q2922" t="s">
        <v>170</v>
      </c>
      <c r="R2922">
        <v>1289.72</v>
      </c>
      <c r="S2922">
        <v>0</v>
      </c>
      <c r="T2922">
        <v>562079</v>
      </c>
      <c r="U2922">
        <v>4629890726</v>
      </c>
      <c r="V2922" t="s">
        <v>1116</v>
      </c>
      <c r="W2922" t="s">
        <v>49</v>
      </c>
      <c r="X2922" t="s">
        <v>597</v>
      </c>
      <c r="Y2922" t="s">
        <v>51</v>
      </c>
      <c r="Z2922">
        <v>1175</v>
      </c>
      <c r="AH2922">
        <v>0</v>
      </c>
      <c r="AI2922">
        <v>202506</v>
      </c>
      <c r="AJ2922" t="s">
        <v>119</v>
      </c>
      <c r="AK2922">
        <v>1</v>
      </c>
      <c r="AL2922">
        <v>1</v>
      </c>
      <c r="AM2922">
        <v>562079</v>
      </c>
      <c r="AN2922">
        <v>1</v>
      </c>
      <c r="AO2922">
        <v>1</v>
      </c>
      <c r="AP2922" t="s">
        <v>3015</v>
      </c>
      <c r="AQ2922" t="s">
        <v>3012</v>
      </c>
      <c r="AR2922" t="s">
        <v>3016</v>
      </c>
      <c r="AT2922" t="s">
        <v>3017</v>
      </c>
      <c r="AU2922" t="s">
        <v>3018</v>
      </c>
    </row>
    <row r="2923" spans="1:47" x14ac:dyDescent="0.35">
      <c r="A2923">
        <v>348812</v>
      </c>
      <c r="B2923" t="s">
        <v>178</v>
      </c>
      <c r="C2923" t="s">
        <v>179</v>
      </c>
      <c r="D2923" s="2">
        <v>45818</v>
      </c>
      <c r="E2923">
        <v>53850</v>
      </c>
      <c r="F2923">
        <v>102</v>
      </c>
      <c r="G2923" t="s">
        <v>151</v>
      </c>
      <c r="H2923" t="s">
        <v>167</v>
      </c>
      <c r="I2923" t="s">
        <v>45</v>
      </c>
      <c r="K2923" t="s">
        <v>2824</v>
      </c>
      <c r="L2923">
        <v>1023308717200</v>
      </c>
      <c r="M2923">
        <v>20250609</v>
      </c>
      <c r="N2923" t="s">
        <v>3136</v>
      </c>
      <c r="Q2923" t="s">
        <v>170</v>
      </c>
      <c r="R2923">
        <v>1025.23</v>
      </c>
      <c r="S2923">
        <v>0</v>
      </c>
      <c r="T2923">
        <v>4140619</v>
      </c>
      <c r="U2923">
        <v>5799380729</v>
      </c>
      <c r="V2923" t="s">
        <v>2032</v>
      </c>
      <c r="W2923" t="s">
        <v>49</v>
      </c>
      <c r="X2923" t="s">
        <v>597</v>
      </c>
      <c r="Y2923" t="s">
        <v>51</v>
      </c>
      <c r="Z2923">
        <v>1203</v>
      </c>
      <c r="AH2923">
        <v>0</v>
      </c>
      <c r="AI2923">
        <v>202506</v>
      </c>
      <c r="AJ2923" t="s">
        <v>86</v>
      </c>
      <c r="AK2923">
        <v>1</v>
      </c>
      <c r="AL2923">
        <v>1</v>
      </c>
      <c r="AM2923">
        <v>4140619</v>
      </c>
      <c r="AN2923">
        <v>1</v>
      </c>
      <c r="AO2923">
        <v>1</v>
      </c>
      <c r="AP2923" t="s">
        <v>3015</v>
      </c>
      <c r="AQ2923" t="s">
        <v>3012</v>
      </c>
      <c r="AR2923" t="s">
        <v>3016</v>
      </c>
      <c r="AT2923" t="s">
        <v>3017</v>
      </c>
      <c r="AU2923" t="s">
        <v>3018</v>
      </c>
    </row>
    <row r="2924" spans="1:47" x14ac:dyDescent="0.35">
      <c r="A2924">
        <v>348811</v>
      </c>
      <c r="B2924" t="s">
        <v>193</v>
      </c>
      <c r="C2924" t="s">
        <v>194</v>
      </c>
      <c r="D2924" s="2">
        <v>45818</v>
      </c>
      <c r="E2924">
        <v>53850</v>
      </c>
      <c r="F2924">
        <v>267</v>
      </c>
      <c r="G2924" t="s">
        <v>349</v>
      </c>
      <c r="H2924" t="s">
        <v>167</v>
      </c>
      <c r="I2924" t="s">
        <v>45</v>
      </c>
      <c r="K2924">
        <v>202506098055168</v>
      </c>
      <c r="L2924">
        <v>2673300003600</v>
      </c>
      <c r="M2924">
        <v>20250609</v>
      </c>
      <c r="N2924" t="s">
        <v>266</v>
      </c>
      <c r="Q2924" t="s">
        <v>47</v>
      </c>
      <c r="R2924">
        <v>90000</v>
      </c>
      <c r="S2924">
        <v>90000</v>
      </c>
      <c r="T2924">
        <v>1705101</v>
      </c>
      <c r="U2924">
        <v>2896870793</v>
      </c>
      <c r="V2924" t="s">
        <v>439</v>
      </c>
      <c r="W2924" t="s">
        <v>190</v>
      </c>
      <c r="X2924" t="s">
        <v>200</v>
      </c>
      <c r="Y2924" t="s">
        <v>51</v>
      </c>
      <c r="Z2924">
        <v>1878</v>
      </c>
      <c r="AH2924">
        <v>0</v>
      </c>
      <c r="AI2924">
        <v>202506</v>
      </c>
      <c r="AJ2924" t="s">
        <v>119</v>
      </c>
      <c r="AK2924">
        <v>1</v>
      </c>
      <c r="AL2924">
        <v>1</v>
      </c>
      <c r="AM2924">
        <v>1705101</v>
      </c>
      <c r="AN2924">
        <v>1</v>
      </c>
      <c r="AO2924">
        <v>0</v>
      </c>
      <c r="AP2924" t="s">
        <v>3015</v>
      </c>
      <c r="AQ2924" t="s">
        <v>3047</v>
      </c>
      <c r="AR2924" t="s">
        <v>3056</v>
      </c>
      <c r="AT2924" t="s">
        <v>3017</v>
      </c>
      <c r="AU2924" t="s">
        <v>3057</v>
      </c>
    </row>
    <row r="2925" spans="1:47" x14ac:dyDescent="0.35">
      <c r="A2925">
        <v>348810</v>
      </c>
      <c r="B2925" t="s">
        <v>193</v>
      </c>
      <c r="C2925" t="s">
        <v>194</v>
      </c>
      <c r="D2925" s="2">
        <v>45818</v>
      </c>
      <c r="E2925">
        <v>53850</v>
      </c>
      <c r="F2925">
        <v>188</v>
      </c>
      <c r="G2925" t="s">
        <v>419</v>
      </c>
      <c r="H2925" t="s">
        <v>167</v>
      </c>
      <c r="I2925" t="s">
        <v>45</v>
      </c>
      <c r="K2925" t="s">
        <v>2813</v>
      </c>
      <c r="L2925">
        <v>1883300028081</v>
      </c>
      <c r="M2925">
        <v>20250609</v>
      </c>
      <c r="N2925" t="s">
        <v>195</v>
      </c>
      <c r="Q2925" t="s">
        <v>47</v>
      </c>
      <c r="R2925">
        <v>41700</v>
      </c>
      <c r="S2925">
        <v>41700</v>
      </c>
      <c r="T2925">
        <v>3001543</v>
      </c>
      <c r="U2925">
        <v>943900738</v>
      </c>
      <c r="V2925" t="s">
        <v>420</v>
      </c>
      <c r="W2925" t="s">
        <v>49</v>
      </c>
      <c r="X2925" t="s">
        <v>421</v>
      </c>
      <c r="Y2925" t="s">
        <v>51</v>
      </c>
      <c r="Z2925">
        <v>1627</v>
      </c>
      <c r="AH2925">
        <v>0</v>
      </c>
      <c r="AI2925">
        <v>202506</v>
      </c>
      <c r="AJ2925" t="s">
        <v>86</v>
      </c>
      <c r="AK2925">
        <v>1</v>
      </c>
      <c r="AL2925">
        <v>1</v>
      </c>
      <c r="AM2925">
        <v>3001543</v>
      </c>
      <c r="AN2925">
        <v>1</v>
      </c>
      <c r="AO2925">
        <v>0</v>
      </c>
      <c r="AP2925" t="s">
        <v>3015</v>
      </c>
      <c r="AQ2925" t="s">
        <v>3012</v>
      </c>
      <c r="AR2925" t="s">
        <v>3016</v>
      </c>
      <c r="AT2925" t="s">
        <v>3017</v>
      </c>
      <c r="AU2925" t="s">
        <v>3018</v>
      </c>
    </row>
    <row r="2926" spans="1:47" x14ac:dyDescent="0.35">
      <c r="A2926">
        <v>348809</v>
      </c>
      <c r="B2926" t="s">
        <v>172</v>
      </c>
      <c r="C2926" t="s">
        <v>173</v>
      </c>
      <c r="D2926" s="2">
        <v>45818</v>
      </c>
      <c r="E2926">
        <v>53850</v>
      </c>
      <c r="F2926">
        <v>128</v>
      </c>
      <c r="G2926" t="s">
        <v>94</v>
      </c>
      <c r="H2926" t="s">
        <v>167</v>
      </c>
      <c r="I2926" t="s">
        <v>45</v>
      </c>
      <c r="K2926" t="s">
        <v>2813</v>
      </c>
      <c r="L2926">
        <v>1283300001665</v>
      </c>
      <c r="M2926">
        <v>20250609</v>
      </c>
      <c r="N2926" t="s">
        <v>175</v>
      </c>
      <c r="Q2926" t="s">
        <v>47</v>
      </c>
      <c r="R2926">
        <v>148675.4</v>
      </c>
      <c r="S2926">
        <v>1790</v>
      </c>
      <c r="T2926">
        <v>4254896</v>
      </c>
      <c r="U2926">
        <v>6234730726</v>
      </c>
      <c r="V2926" t="s">
        <v>95</v>
      </c>
      <c r="W2926" t="s">
        <v>49</v>
      </c>
      <c r="X2926" t="s">
        <v>96</v>
      </c>
      <c r="Y2926" t="s">
        <v>51</v>
      </c>
      <c r="Z2926">
        <v>1919</v>
      </c>
      <c r="AH2926">
        <v>0</v>
      </c>
      <c r="AI2926">
        <v>202506</v>
      </c>
      <c r="AJ2926" t="s">
        <v>86</v>
      </c>
      <c r="AK2926">
        <v>1</v>
      </c>
      <c r="AL2926">
        <v>1</v>
      </c>
      <c r="AO2926">
        <v>1</v>
      </c>
      <c r="AP2926" t="s">
        <v>3015</v>
      </c>
      <c r="AQ2926" t="s">
        <v>3012</v>
      </c>
      <c r="AR2926" t="s">
        <v>3016</v>
      </c>
      <c r="AT2926" t="s">
        <v>3017</v>
      </c>
      <c r="AU2926" t="s">
        <v>3018</v>
      </c>
    </row>
    <row r="2927" spans="1:47" x14ac:dyDescent="0.35">
      <c r="A2927">
        <v>348808</v>
      </c>
      <c r="B2927" t="s">
        <v>178</v>
      </c>
      <c r="C2927" t="s">
        <v>179</v>
      </c>
      <c r="D2927" s="2">
        <v>45818</v>
      </c>
      <c r="E2927">
        <v>53850</v>
      </c>
      <c r="F2927">
        <v>192</v>
      </c>
      <c r="G2927" t="s">
        <v>66</v>
      </c>
      <c r="H2927" t="s">
        <v>167</v>
      </c>
      <c r="I2927" t="s">
        <v>45</v>
      </c>
      <c r="K2927">
        <v>202506098055085</v>
      </c>
      <c r="L2927">
        <v>1923300181649</v>
      </c>
      <c r="M2927">
        <v>20250609</v>
      </c>
      <c r="N2927" t="s">
        <v>3136</v>
      </c>
      <c r="Q2927" t="s">
        <v>170</v>
      </c>
      <c r="R2927">
        <v>11906.71</v>
      </c>
      <c r="S2927">
        <v>0</v>
      </c>
      <c r="T2927">
        <v>4717312</v>
      </c>
      <c r="U2927" t="s">
        <v>2825</v>
      </c>
      <c r="V2927" t="s">
        <v>2826</v>
      </c>
      <c r="W2927" t="s">
        <v>187</v>
      </c>
      <c r="Y2927" t="s">
        <v>51</v>
      </c>
      <c r="Z2927">
        <v>363</v>
      </c>
      <c r="AH2927">
        <v>0</v>
      </c>
      <c r="AI2927">
        <v>202506</v>
      </c>
      <c r="AJ2927" t="s">
        <v>86</v>
      </c>
      <c r="AK2927">
        <v>1</v>
      </c>
      <c r="AL2927">
        <v>1</v>
      </c>
      <c r="AO2927">
        <v>1</v>
      </c>
      <c r="AP2927" t="s">
        <v>3015</v>
      </c>
      <c r="AQ2927" t="s">
        <v>3044</v>
      </c>
      <c r="AR2927" t="s">
        <v>3045</v>
      </c>
      <c r="AS2927" t="s">
        <v>3046</v>
      </c>
      <c r="AU2927" t="s">
        <v>3046</v>
      </c>
    </row>
    <row r="2928" spans="1:47" x14ac:dyDescent="0.35">
      <c r="A2928">
        <v>348807</v>
      </c>
      <c r="B2928" t="s">
        <v>193</v>
      </c>
      <c r="C2928" t="s">
        <v>194</v>
      </c>
      <c r="D2928" s="2">
        <v>45818</v>
      </c>
      <c r="E2928">
        <v>53850</v>
      </c>
      <c r="F2928">
        <v>103</v>
      </c>
      <c r="G2928" t="s">
        <v>80</v>
      </c>
      <c r="H2928" t="s">
        <v>167</v>
      </c>
      <c r="I2928" t="s">
        <v>45</v>
      </c>
      <c r="K2928">
        <v>202506098054689</v>
      </c>
      <c r="L2928">
        <v>1033306985413</v>
      </c>
      <c r="M2928">
        <v>20250609</v>
      </c>
      <c r="N2928" t="s">
        <v>266</v>
      </c>
      <c r="Q2928" t="s">
        <v>47</v>
      </c>
      <c r="R2928">
        <v>38200</v>
      </c>
      <c r="S2928">
        <v>38200</v>
      </c>
      <c r="T2928">
        <v>3724611</v>
      </c>
      <c r="U2928" t="s">
        <v>2827</v>
      </c>
      <c r="V2928" t="s">
        <v>2828</v>
      </c>
      <c r="W2928" t="s">
        <v>187</v>
      </c>
      <c r="Y2928" t="s">
        <v>51</v>
      </c>
      <c r="Z2928">
        <v>407</v>
      </c>
      <c r="AH2928">
        <v>0</v>
      </c>
      <c r="AI2928">
        <v>202506</v>
      </c>
      <c r="AJ2928" t="s">
        <v>86</v>
      </c>
      <c r="AK2928">
        <v>1</v>
      </c>
      <c r="AL2928">
        <v>1</v>
      </c>
      <c r="AO2928">
        <v>0</v>
      </c>
      <c r="AP2928" t="s">
        <v>3015</v>
      </c>
      <c r="AQ2928" t="s">
        <v>3044</v>
      </c>
      <c r="AR2928" t="s">
        <v>3045</v>
      </c>
      <c r="AS2928" t="s">
        <v>3046</v>
      </c>
      <c r="AU2928" t="s">
        <v>3046</v>
      </c>
    </row>
    <row r="2929" spans="1:47" x14ac:dyDescent="0.35">
      <c r="A2929">
        <v>348806</v>
      </c>
      <c r="B2929" t="s">
        <v>178</v>
      </c>
      <c r="C2929" t="s">
        <v>179</v>
      </c>
      <c r="D2929" s="2">
        <v>45818</v>
      </c>
      <c r="E2929">
        <v>53850</v>
      </c>
      <c r="F2929">
        <v>109</v>
      </c>
      <c r="G2929" t="s">
        <v>89</v>
      </c>
      <c r="H2929" t="s">
        <v>167</v>
      </c>
      <c r="I2929" t="s">
        <v>45</v>
      </c>
      <c r="K2929" t="s">
        <v>2829</v>
      </c>
      <c r="L2929">
        <v>1093300221090</v>
      </c>
      <c r="M2929">
        <v>20250609</v>
      </c>
      <c r="N2929" t="s">
        <v>3136</v>
      </c>
      <c r="Q2929" t="s">
        <v>170</v>
      </c>
      <c r="R2929">
        <v>1399.42</v>
      </c>
      <c r="S2929">
        <v>0</v>
      </c>
      <c r="T2929">
        <v>4861802</v>
      </c>
      <c r="U2929">
        <v>3811090723</v>
      </c>
      <c r="V2929" t="s">
        <v>2020</v>
      </c>
      <c r="W2929" t="s">
        <v>49</v>
      </c>
      <c r="X2929" t="s">
        <v>421</v>
      </c>
      <c r="Y2929" t="s">
        <v>51</v>
      </c>
      <c r="Z2929">
        <v>1919</v>
      </c>
      <c r="AH2929">
        <v>0</v>
      </c>
      <c r="AI2929">
        <v>202506</v>
      </c>
      <c r="AJ2929" t="s">
        <v>86</v>
      </c>
      <c r="AK2929">
        <v>1</v>
      </c>
      <c r="AL2929">
        <v>1</v>
      </c>
      <c r="AO2929">
        <v>1</v>
      </c>
      <c r="AP2929" t="s">
        <v>3015</v>
      </c>
      <c r="AQ2929" t="s">
        <v>3012</v>
      </c>
      <c r="AR2929" t="s">
        <v>3016</v>
      </c>
      <c r="AT2929" t="s">
        <v>3017</v>
      </c>
      <c r="AU2929" t="s">
        <v>3018</v>
      </c>
    </row>
    <row r="2930" spans="1:47" x14ac:dyDescent="0.35">
      <c r="A2930">
        <v>348805</v>
      </c>
      <c r="B2930" t="s">
        <v>193</v>
      </c>
      <c r="C2930" t="s">
        <v>194</v>
      </c>
      <c r="D2930" s="2">
        <v>45818</v>
      </c>
      <c r="E2930">
        <v>53850</v>
      </c>
      <c r="F2930">
        <v>268</v>
      </c>
      <c r="G2930" t="s">
        <v>83</v>
      </c>
      <c r="H2930" t="s">
        <v>167</v>
      </c>
      <c r="I2930" t="s">
        <v>45</v>
      </c>
      <c r="K2930">
        <v>202506098054590</v>
      </c>
      <c r="L2930">
        <v>2683300010030</v>
      </c>
      <c r="M2930">
        <v>20250609</v>
      </c>
      <c r="N2930" t="s">
        <v>195</v>
      </c>
      <c r="Q2930" t="s">
        <v>47</v>
      </c>
      <c r="R2930">
        <v>37290</v>
      </c>
      <c r="S2930">
        <v>37290</v>
      </c>
      <c r="T2930">
        <v>4966939</v>
      </c>
      <c r="U2930" t="s">
        <v>221</v>
      </c>
      <c r="V2930" t="s">
        <v>222</v>
      </c>
      <c r="W2930" t="s">
        <v>69</v>
      </c>
      <c r="X2930" t="s">
        <v>55</v>
      </c>
      <c r="Y2930" t="s">
        <v>51</v>
      </c>
      <c r="Z2930">
        <v>1870</v>
      </c>
      <c r="AH2930">
        <v>0</v>
      </c>
      <c r="AI2930">
        <v>202506</v>
      </c>
      <c r="AJ2930" t="s">
        <v>56</v>
      </c>
      <c r="AK2930">
        <v>0</v>
      </c>
      <c r="AL2930">
        <v>1</v>
      </c>
      <c r="AM2930">
        <v>4966939</v>
      </c>
      <c r="AN2930">
        <v>1</v>
      </c>
      <c r="AO2930">
        <v>0</v>
      </c>
      <c r="AP2930" t="s">
        <v>3015</v>
      </c>
      <c r="AQ2930" t="s">
        <v>3021</v>
      </c>
      <c r="AR2930" t="s">
        <v>3022</v>
      </c>
      <c r="AT2930" t="s">
        <v>3017</v>
      </c>
      <c r="AU2930" t="s">
        <v>3014</v>
      </c>
    </row>
    <row r="2931" spans="1:47" x14ac:dyDescent="0.35">
      <c r="A2931">
        <v>348804</v>
      </c>
      <c r="B2931" t="s">
        <v>193</v>
      </c>
      <c r="C2931" t="s">
        <v>194</v>
      </c>
      <c r="D2931" s="2">
        <v>45818</v>
      </c>
      <c r="E2931">
        <v>53850</v>
      </c>
      <c r="F2931">
        <v>268</v>
      </c>
      <c r="G2931" t="s">
        <v>83</v>
      </c>
      <c r="H2931" t="s">
        <v>167</v>
      </c>
      <c r="I2931" t="s">
        <v>45</v>
      </c>
      <c r="K2931" t="s">
        <v>2813</v>
      </c>
      <c r="L2931">
        <v>2683300006671</v>
      </c>
      <c r="M2931">
        <v>20250609</v>
      </c>
      <c r="N2931" t="s">
        <v>195</v>
      </c>
      <c r="Q2931" t="s">
        <v>47</v>
      </c>
      <c r="R2931">
        <v>16300</v>
      </c>
      <c r="S2931">
        <v>16300</v>
      </c>
      <c r="T2931">
        <v>1704716</v>
      </c>
      <c r="U2931">
        <v>3109600795</v>
      </c>
      <c r="V2931" t="s">
        <v>579</v>
      </c>
      <c r="W2931" t="s">
        <v>580</v>
      </c>
      <c r="X2931" t="s">
        <v>131</v>
      </c>
      <c r="Y2931" t="s">
        <v>51</v>
      </c>
      <c r="Z2931">
        <v>1891</v>
      </c>
      <c r="AH2931">
        <v>0</v>
      </c>
      <c r="AI2931">
        <v>202506</v>
      </c>
      <c r="AJ2931" t="s">
        <v>52</v>
      </c>
      <c r="AK2931">
        <v>0</v>
      </c>
      <c r="AL2931">
        <v>1</v>
      </c>
      <c r="AO2931">
        <v>0</v>
      </c>
      <c r="AP2931" t="s">
        <v>3033</v>
      </c>
      <c r="AQ2931" t="s">
        <v>3078</v>
      </c>
      <c r="AR2931" t="s">
        <v>3079</v>
      </c>
      <c r="AS2931" t="s">
        <v>3049</v>
      </c>
      <c r="AU2931" t="s">
        <v>3049</v>
      </c>
    </row>
    <row r="2932" spans="1:47" x14ac:dyDescent="0.35">
      <c r="A2932">
        <v>348803</v>
      </c>
      <c r="B2932" t="s">
        <v>193</v>
      </c>
      <c r="C2932" t="s">
        <v>194</v>
      </c>
      <c r="D2932" s="2">
        <v>45818</v>
      </c>
      <c r="E2932">
        <v>53850</v>
      </c>
      <c r="F2932">
        <v>198</v>
      </c>
      <c r="G2932" t="s">
        <v>300</v>
      </c>
      <c r="H2932" t="s">
        <v>167</v>
      </c>
      <c r="I2932" t="s">
        <v>45</v>
      </c>
      <c r="K2932" t="s">
        <v>2813</v>
      </c>
      <c r="L2932">
        <v>1983300002455</v>
      </c>
      <c r="M2932">
        <v>20250609</v>
      </c>
      <c r="N2932" t="s">
        <v>175</v>
      </c>
      <c r="Q2932" t="s">
        <v>47</v>
      </c>
      <c r="R2932">
        <v>31380</v>
      </c>
      <c r="S2932">
        <v>31380</v>
      </c>
      <c r="T2932">
        <v>4830377</v>
      </c>
      <c r="U2932" t="s">
        <v>2307</v>
      </c>
      <c r="V2932" t="s">
        <v>2308</v>
      </c>
      <c r="W2932" t="s">
        <v>69</v>
      </c>
      <c r="X2932" t="s">
        <v>55</v>
      </c>
      <c r="Y2932" t="s">
        <v>51</v>
      </c>
      <c r="Z2932">
        <v>1923</v>
      </c>
      <c r="AH2932">
        <v>0</v>
      </c>
      <c r="AI2932">
        <v>202506</v>
      </c>
      <c r="AJ2932" t="s">
        <v>56</v>
      </c>
      <c r="AK2932">
        <v>0</v>
      </c>
      <c r="AL2932">
        <v>1</v>
      </c>
      <c r="AM2932">
        <v>4830377</v>
      </c>
      <c r="AN2932">
        <v>1</v>
      </c>
      <c r="AO2932">
        <v>1</v>
      </c>
      <c r="AP2932" t="s">
        <v>3015</v>
      </c>
      <c r="AQ2932" t="s">
        <v>3021</v>
      </c>
      <c r="AR2932" t="s">
        <v>3022</v>
      </c>
      <c r="AT2932" t="s">
        <v>3017</v>
      </c>
      <c r="AU2932" t="s">
        <v>3014</v>
      </c>
    </row>
    <row r="2933" spans="1:47" x14ac:dyDescent="0.35">
      <c r="A2933">
        <v>348802</v>
      </c>
      <c r="B2933" t="s">
        <v>193</v>
      </c>
      <c r="C2933" t="s">
        <v>194</v>
      </c>
      <c r="D2933" s="2">
        <v>45818</v>
      </c>
      <c r="E2933">
        <v>53850</v>
      </c>
      <c r="F2933">
        <v>102</v>
      </c>
      <c r="G2933" t="s">
        <v>151</v>
      </c>
      <c r="H2933" t="s">
        <v>167</v>
      </c>
      <c r="I2933" t="s">
        <v>45</v>
      </c>
      <c r="K2933" t="s">
        <v>2813</v>
      </c>
      <c r="L2933">
        <v>1023308720537</v>
      </c>
      <c r="M2933">
        <v>20250609</v>
      </c>
      <c r="N2933" t="s">
        <v>195</v>
      </c>
      <c r="Q2933" t="s">
        <v>47</v>
      </c>
      <c r="R2933">
        <v>43640</v>
      </c>
      <c r="S2933">
        <v>43640</v>
      </c>
      <c r="T2933">
        <v>4653840</v>
      </c>
      <c r="U2933">
        <v>7052850729</v>
      </c>
      <c r="V2933" t="s">
        <v>485</v>
      </c>
      <c r="W2933" t="s">
        <v>49</v>
      </c>
      <c r="X2933" t="s">
        <v>200</v>
      </c>
      <c r="Y2933" t="s">
        <v>51</v>
      </c>
      <c r="Z2933">
        <v>979</v>
      </c>
      <c r="AH2933">
        <v>0</v>
      </c>
      <c r="AI2933">
        <v>202506</v>
      </c>
      <c r="AJ2933" t="s">
        <v>86</v>
      </c>
      <c r="AK2933">
        <v>1</v>
      </c>
      <c r="AL2933">
        <v>1</v>
      </c>
      <c r="AM2933">
        <v>4653840</v>
      </c>
      <c r="AN2933">
        <v>1</v>
      </c>
      <c r="AO2933">
        <v>0</v>
      </c>
      <c r="AP2933" t="s">
        <v>3015</v>
      </c>
      <c r="AQ2933" t="s">
        <v>3012</v>
      </c>
      <c r="AR2933" t="s">
        <v>3016</v>
      </c>
      <c r="AT2933" t="s">
        <v>3017</v>
      </c>
      <c r="AU2933" t="s">
        <v>3018</v>
      </c>
    </row>
    <row r="2934" spans="1:47" x14ac:dyDescent="0.35">
      <c r="A2934">
        <v>348801</v>
      </c>
      <c r="B2934" t="s">
        <v>172</v>
      </c>
      <c r="C2934" t="s">
        <v>173</v>
      </c>
      <c r="D2934" s="2">
        <v>45818</v>
      </c>
      <c r="E2934">
        <v>53850</v>
      </c>
      <c r="F2934">
        <v>111</v>
      </c>
      <c r="G2934" t="s">
        <v>458</v>
      </c>
      <c r="H2934" t="s">
        <v>167</v>
      </c>
      <c r="I2934" t="s">
        <v>45</v>
      </c>
      <c r="K2934">
        <v>202506098054794</v>
      </c>
      <c r="L2934">
        <v>1113302817195</v>
      </c>
      <c r="M2934">
        <v>20250609</v>
      </c>
      <c r="N2934" t="s">
        <v>81</v>
      </c>
      <c r="Q2934" t="s">
        <v>47</v>
      </c>
      <c r="R2934">
        <v>118493.59</v>
      </c>
      <c r="S2934">
        <v>0</v>
      </c>
      <c r="T2934">
        <v>4425262</v>
      </c>
      <c r="U2934" t="s">
        <v>2830</v>
      </c>
      <c r="V2934" t="s">
        <v>2831</v>
      </c>
      <c r="W2934" t="s">
        <v>187</v>
      </c>
      <c r="Y2934" t="s">
        <v>51</v>
      </c>
      <c r="Z2934">
        <v>445</v>
      </c>
      <c r="AH2934">
        <v>0</v>
      </c>
      <c r="AI2934">
        <v>202506</v>
      </c>
      <c r="AJ2934" t="s">
        <v>86</v>
      </c>
      <c r="AK2934">
        <v>1</v>
      </c>
      <c r="AL2934">
        <v>1</v>
      </c>
      <c r="AO2934">
        <v>0</v>
      </c>
      <c r="AP2934" t="s">
        <v>3015</v>
      </c>
      <c r="AQ2934" t="s">
        <v>3044</v>
      </c>
      <c r="AR2934" t="s">
        <v>3045</v>
      </c>
      <c r="AS2934" t="s">
        <v>3046</v>
      </c>
      <c r="AU2934" t="s">
        <v>3046</v>
      </c>
    </row>
    <row r="2935" spans="1:47" x14ac:dyDescent="0.35">
      <c r="A2935">
        <v>348800</v>
      </c>
      <c r="B2935" t="s">
        <v>178</v>
      </c>
      <c r="C2935" t="s">
        <v>179</v>
      </c>
      <c r="D2935" s="2">
        <v>45818</v>
      </c>
      <c r="E2935">
        <v>53850</v>
      </c>
      <c r="F2935">
        <v>188</v>
      </c>
      <c r="G2935" t="s">
        <v>419</v>
      </c>
      <c r="H2935" t="s">
        <v>167</v>
      </c>
      <c r="I2935" t="s">
        <v>45</v>
      </c>
      <c r="K2935" t="s">
        <v>2832</v>
      </c>
      <c r="L2935">
        <v>1883300028081</v>
      </c>
      <c r="M2935">
        <v>20250609</v>
      </c>
      <c r="N2935" t="s">
        <v>3136</v>
      </c>
      <c r="Q2935" t="s">
        <v>170</v>
      </c>
      <c r="R2935">
        <v>1130.8599999999999</v>
      </c>
      <c r="S2935">
        <v>0</v>
      </c>
      <c r="T2935">
        <v>3001543</v>
      </c>
      <c r="U2935">
        <v>943900738</v>
      </c>
      <c r="V2935" t="s">
        <v>420</v>
      </c>
      <c r="W2935" t="s">
        <v>49</v>
      </c>
      <c r="X2935" t="s">
        <v>421</v>
      </c>
      <c r="Y2935" t="s">
        <v>51</v>
      </c>
      <c r="Z2935">
        <v>1627</v>
      </c>
      <c r="AH2935">
        <v>0</v>
      </c>
      <c r="AI2935">
        <v>202506</v>
      </c>
      <c r="AJ2935" t="s">
        <v>86</v>
      </c>
      <c r="AK2935">
        <v>1</v>
      </c>
      <c r="AL2935">
        <v>1</v>
      </c>
      <c r="AM2935">
        <v>3001543</v>
      </c>
      <c r="AN2935">
        <v>1</v>
      </c>
      <c r="AO2935">
        <v>1</v>
      </c>
      <c r="AP2935" t="s">
        <v>3015</v>
      </c>
      <c r="AQ2935" t="s">
        <v>3012</v>
      </c>
      <c r="AR2935" t="s">
        <v>3016</v>
      </c>
      <c r="AT2935" t="s">
        <v>3017</v>
      </c>
      <c r="AU2935" t="s">
        <v>3018</v>
      </c>
    </row>
    <row r="2936" spans="1:47" x14ac:dyDescent="0.35">
      <c r="A2936">
        <v>348799</v>
      </c>
      <c r="B2936" t="s">
        <v>164</v>
      </c>
      <c r="C2936" t="s">
        <v>165</v>
      </c>
      <c r="D2936" s="2">
        <v>45818</v>
      </c>
      <c r="E2936">
        <v>53850</v>
      </c>
      <c r="F2936">
        <v>259</v>
      </c>
      <c r="G2936" t="s">
        <v>361</v>
      </c>
      <c r="H2936" t="s">
        <v>167</v>
      </c>
      <c r="I2936" t="s">
        <v>45</v>
      </c>
      <c r="K2936" t="s">
        <v>2833</v>
      </c>
      <c r="L2936">
        <v>2593300000091</v>
      </c>
      <c r="M2936">
        <v>20250609</v>
      </c>
      <c r="N2936" t="s">
        <v>168</v>
      </c>
      <c r="P2936" t="s">
        <v>255</v>
      </c>
      <c r="Q2936" t="s">
        <v>170</v>
      </c>
      <c r="R2936">
        <v>2500</v>
      </c>
      <c r="S2936">
        <v>0</v>
      </c>
      <c r="T2936">
        <v>4731214</v>
      </c>
      <c r="U2936">
        <v>5978380722</v>
      </c>
      <c r="V2936" t="s">
        <v>877</v>
      </c>
      <c r="W2936" t="s">
        <v>620</v>
      </c>
      <c r="X2936" t="s">
        <v>736</v>
      </c>
      <c r="Y2936" t="s">
        <v>51</v>
      </c>
      <c r="Z2936">
        <v>1530</v>
      </c>
      <c r="AH2936">
        <v>0</v>
      </c>
      <c r="AI2936">
        <v>202506</v>
      </c>
      <c r="AJ2936" t="s">
        <v>86</v>
      </c>
      <c r="AK2936">
        <v>1</v>
      </c>
      <c r="AL2936">
        <v>1</v>
      </c>
      <c r="AO2936">
        <v>0</v>
      </c>
      <c r="AP2936" t="s">
        <v>3015</v>
      </c>
      <c r="AQ2936" t="s">
        <v>3080</v>
      </c>
      <c r="AR2936" t="s">
        <v>3081</v>
      </c>
      <c r="AT2936" t="s">
        <v>3017</v>
      </c>
      <c r="AU2936" t="s">
        <v>3057</v>
      </c>
    </row>
    <row r="2937" spans="1:47" x14ac:dyDescent="0.35">
      <c r="A2937">
        <v>348798</v>
      </c>
      <c r="B2937" t="s">
        <v>172</v>
      </c>
      <c r="C2937" t="s">
        <v>173</v>
      </c>
      <c r="D2937" s="2">
        <v>45818</v>
      </c>
      <c r="E2937">
        <v>53850</v>
      </c>
      <c r="F2937">
        <v>129</v>
      </c>
      <c r="G2937" t="s">
        <v>227</v>
      </c>
      <c r="H2937" t="s">
        <v>167</v>
      </c>
      <c r="I2937" t="s">
        <v>45</v>
      </c>
      <c r="K2937">
        <v>202506098054845</v>
      </c>
      <c r="L2937">
        <v>2343300010453</v>
      </c>
      <c r="M2937">
        <v>20250609</v>
      </c>
      <c r="N2937" t="s">
        <v>81</v>
      </c>
      <c r="Q2937" t="s">
        <v>47</v>
      </c>
      <c r="R2937">
        <v>101566</v>
      </c>
      <c r="S2937">
        <v>0</v>
      </c>
      <c r="T2937">
        <v>4247777</v>
      </c>
      <c r="U2937">
        <v>233470236</v>
      </c>
      <c r="V2937" t="s">
        <v>206</v>
      </c>
      <c r="W2937" t="s">
        <v>49</v>
      </c>
      <c r="X2937" t="s">
        <v>117</v>
      </c>
      <c r="Y2937" t="s">
        <v>51</v>
      </c>
      <c r="Z2937">
        <v>1696</v>
      </c>
      <c r="AH2937">
        <v>0</v>
      </c>
      <c r="AI2937">
        <v>202506</v>
      </c>
      <c r="AJ2937" t="s">
        <v>86</v>
      </c>
      <c r="AK2937">
        <v>1</v>
      </c>
      <c r="AL2937">
        <v>1</v>
      </c>
      <c r="AM2937">
        <v>4247777</v>
      </c>
      <c r="AN2937">
        <v>1</v>
      </c>
      <c r="AO2937">
        <v>0</v>
      </c>
      <c r="AP2937" t="s">
        <v>3029</v>
      </c>
      <c r="AQ2937" t="s">
        <v>3012</v>
      </c>
      <c r="AR2937" t="s">
        <v>3030</v>
      </c>
      <c r="AS2937" t="s">
        <v>3014</v>
      </c>
      <c r="AU2937" t="s">
        <v>3014</v>
      </c>
    </row>
    <row r="2938" spans="1:47" x14ac:dyDescent="0.35">
      <c r="A2938">
        <v>348797</v>
      </c>
      <c r="B2938" t="s">
        <v>178</v>
      </c>
      <c r="C2938" t="s">
        <v>179</v>
      </c>
      <c r="D2938" s="2">
        <v>45818</v>
      </c>
      <c r="E2938">
        <v>53850</v>
      </c>
      <c r="F2938">
        <v>136</v>
      </c>
      <c r="G2938" t="s">
        <v>551</v>
      </c>
      <c r="H2938" t="s">
        <v>167</v>
      </c>
      <c r="I2938" t="s">
        <v>45</v>
      </c>
      <c r="K2938">
        <v>202506098053696</v>
      </c>
      <c r="L2938">
        <v>1361147800126</v>
      </c>
      <c r="M2938">
        <v>20250609</v>
      </c>
      <c r="N2938" t="s">
        <v>731</v>
      </c>
      <c r="Q2938" t="s">
        <v>47</v>
      </c>
      <c r="R2938">
        <v>1156392.72</v>
      </c>
      <c r="S2938">
        <v>0</v>
      </c>
      <c r="T2938">
        <v>4395683</v>
      </c>
      <c r="U2938">
        <v>2036760037</v>
      </c>
      <c r="V2938" t="s">
        <v>553</v>
      </c>
      <c r="W2938" t="s">
        <v>49</v>
      </c>
      <c r="X2938" t="s">
        <v>554</v>
      </c>
      <c r="Y2938" t="s">
        <v>51</v>
      </c>
      <c r="Z2938">
        <v>1627</v>
      </c>
      <c r="AH2938">
        <v>0</v>
      </c>
      <c r="AI2938">
        <v>202506</v>
      </c>
      <c r="AJ2938" t="s">
        <v>56</v>
      </c>
      <c r="AK2938">
        <v>0</v>
      </c>
      <c r="AL2938">
        <v>1</v>
      </c>
      <c r="AO2938">
        <v>0</v>
      </c>
      <c r="AP2938" t="s">
        <v>3015</v>
      </c>
      <c r="AQ2938" t="s">
        <v>3012</v>
      </c>
      <c r="AR2938" t="s">
        <v>3016</v>
      </c>
      <c r="AT2938" t="s">
        <v>3017</v>
      </c>
      <c r="AU2938" t="s">
        <v>3018</v>
      </c>
    </row>
    <row r="2939" spans="1:47" x14ac:dyDescent="0.35">
      <c r="A2939">
        <v>348796</v>
      </c>
      <c r="B2939" t="s">
        <v>164</v>
      </c>
      <c r="C2939" t="s">
        <v>165</v>
      </c>
      <c r="D2939" s="2">
        <v>45818</v>
      </c>
      <c r="E2939">
        <v>53850</v>
      </c>
      <c r="F2939">
        <v>109</v>
      </c>
      <c r="G2939" t="s">
        <v>89</v>
      </c>
      <c r="H2939" t="s">
        <v>167</v>
      </c>
      <c r="I2939" t="s">
        <v>45</v>
      </c>
      <c r="K2939" t="s">
        <v>2834</v>
      </c>
      <c r="L2939">
        <v>1093307073406</v>
      </c>
      <c r="M2939">
        <v>20250609</v>
      </c>
      <c r="N2939" t="s">
        <v>168</v>
      </c>
      <c r="P2939" t="s">
        <v>255</v>
      </c>
      <c r="Q2939" t="s">
        <v>47</v>
      </c>
      <c r="R2939">
        <v>2500</v>
      </c>
      <c r="S2939">
        <v>0</v>
      </c>
      <c r="T2939">
        <v>4831184</v>
      </c>
      <c r="U2939">
        <v>7770790728</v>
      </c>
      <c r="V2939" t="s">
        <v>2835</v>
      </c>
      <c r="W2939" t="s">
        <v>49</v>
      </c>
      <c r="X2939" t="s">
        <v>686</v>
      </c>
      <c r="Y2939" t="s">
        <v>51</v>
      </c>
      <c r="Z2939">
        <v>1107</v>
      </c>
      <c r="AH2939">
        <v>0</v>
      </c>
      <c r="AI2939">
        <v>202506</v>
      </c>
      <c r="AJ2939" t="s">
        <v>56</v>
      </c>
      <c r="AK2939">
        <v>0</v>
      </c>
      <c r="AL2939">
        <v>1</v>
      </c>
      <c r="AO2939">
        <v>0</v>
      </c>
      <c r="AP2939" t="s">
        <v>3015</v>
      </c>
      <c r="AQ2939" t="s">
        <v>3012</v>
      </c>
      <c r="AR2939" t="s">
        <v>3016</v>
      </c>
      <c r="AT2939" t="s">
        <v>3017</v>
      </c>
      <c r="AU2939" t="s">
        <v>3018</v>
      </c>
    </row>
    <row r="2940" spans="1:47" x14ac:dyDescent="0.35">
      <c r="A2940">
        <v>348795</v>
      </c>
      <c r="B2940" t="s">
        <v>172</v>
      </c>
      <c r="C2940" t="s">
        <v>173</v>
      </c>
      <c r="D2940" s="2">
        <v>45818</v>
      </c>
      <c r="E2940">
        <v>53850</v>
      </c>
      <c r="F2940">
        <v>111</v>
      </c>
      <c r="G2940" t="s">
        <v>458</v>
      </c>
      <c r="H2940" t="s">
        <v>167</v>
      </c>
      <c r="I2940" t="s">
        <v>45</v>
      </c>
      <c r="K2940">
        <v>202506098054794</v>
      </c>
      <c r="L2940">
        <v>1113302817195</v>
      </c>
      <c r="M2940">
        <v>20250609</v>
      </c>
      <c r="N2940" t="s">
        <v>81</v>
      </c>
      <c r="Q2940" t="s">
        <v>47</v>
      </c>
      <c r="R2940">
        <v>118493.59</v>
      </c>
      <c r="S2940">
        <v>0</v>
      </c>
      <c r="T2940">
        <v>541375</v>
      </c>
      <c r="U2940" t="s">
        <v>2836</v>
      </c>
      <c r="V2940" t="s">
        <v>2837</v>
      </c>
      <c r="W2940" t="s">
        <v>187</v>
      </c>
      <c r="Y2940" t="s">
        <v>51</v>
      </c>
      <c r="Z2940">
        <v>593</v>
      </c>
      <c r="AH2940">
        <v>0</v>
      </c>
      <c r="AI2940">
        <v>202506</v>
      </c>
      <c r="AJ2940" t="s">
        <v>86</v>
      </c>
      <c r="AK2940">
        <v>1</v>
      </c>
      <c r="AL2940">
        <v>1</v>
      </c>
      <c r="AO2940">
        <v>0</v>
      </c>
      <c r="AP2940" t="s">
        <v>3015</v>
      </c>
      <c r="AQ2940" t="s">
        <v>3044</v>
      </c>
      <c r="AR2940" t="s">
        <v>3045</v>
      </c>
      <c r="AS2940" t="s">
        <v>3046</v>
      </c>
      <c r="AU2940" t="s">
        <v>3046</v>
      </c>
    </row>
    <row r="2941" spans="1:47" x14ac:dyDescent="0.35">
      <c r="A2941">
        <v>348794</v>
      </c>
      <c r="B2941" t="s">
        <v>172</v>
      </c>
      <c r="C2941" t="s">
        <v>173</v>
      </c>
      <c r="D2941" s="2">
        <v>45818</v>
      </c>
      <c r="E2941">
        <v>53850</v>
      </c>
      <c r="F2941">
        <v>108</v>
      </c>
      <c r="G2941" t="s">
        <v>124</v>
      </c>
      <c r="H2941" t="s">
        <v>167</v>
      </c>
      <c r="I2941" t="s">
        <v>45</v>
      </c>
      <c r="K2941" t="s">
        <v>2813</v>
      </c>
      <c r="L2941">
        <v>1083306291105</v>
      </c>
      <c r="M2941">
        <v>20250609</v>
      </c>
      <c r="N2941" t="s">
        <v>175</v>
      </c>
      <c r="Q2941" t="s">
        <v>47</v>
      </c>
      <c r="R2941">
        <v>166170.51999999999</v>
      </c>
      <c r="S2941">
        <v>85891.55</v>
      </c>
      <c r="T2941">
        <v>4227057</v>
      </c>
      <c r="U2941">
        <v>4874620729</v>
      </c>
      <c r="V2941" t="s">
        <v>250</v>
      </c>
      <c r="W2941" t="s">
        <v>49</v>
      </c>
      <c r="X2941" t="s">
        <v>62</v>
      </c>
      <c r="Y2941" t="s">
        <v>51</v>
      </c>
      <c r="Z2941">
        <v>1058</v>
      </c>
      <c r="AH2941">
        <v>0</v>
      </c>
      <c r="AI2941">
        <v>202506</v>
      </c>
      <c r="AJ2941" t="s">
        <v>119</v>
      </c>
      <c r="AK2941">
        <v>1</v>
      </c>
      <c r="AL2941">
        <v>1</v>
      </c>
      <c r="AM2941">
        <v>4227057</v>
      </c>
      <c r="AN2941">
        <v>1</v>
      </c>
      <c r="AO2941">
        <v>1</v>
      </c>
      <c r="AP2941" t="s">
        <v>3015</v>
      </c>
      <c r="AQ2941" t="s">
        <v>3012</v>
      </c>
      <c r="AR2941" t="s">
        <v>3016</v>
      </c>
      <c r="AT2941" t="s">
        <v>3017</v>
      </c>
      <c r="AU2941" t="s">
        <v>3018</v>
      </c>
    </row>
    <row r="2942" spans="1:47" x14ac:dyDescent="0.35">
      <c r="A2942">
        <v>348793</v>
      </c>
      <c r="B2942" t="s">
        <v>164</v>
      </c>
      <c r="C2942" t="s">
        <v>165</v>
      </c>
      <c r="D2942" s="2">
        <v>45818</v>
      </c>
      <c r="E2942">
        <v>53850</v>
      </c>
      <c r="F2942">
        <v>121</v>
      </c>
      <c r="G2942" t="s">
        <v>140</v>
      </c>
      <c r="H2942" t="s">
        <v>167</v>
      </c>
      <c r="I2942" t="s">
        <v>45</v>
      </c>
      <c r="K2942" t="s">
        <v>2838</v>
      </c>
      <c r="L2942">
        <v>1213300001913</v>
      </c>
      <c r="M2942">
        <v>20250609</v>
      </c>
      <c r="N2942" t="s">
        <v>168</v>
      </c>
      <c r="P2942" t="s">
        <v>169</v>
      </c>
      <c r="Q2942" t="s">
        <v>47</v>
      </c>
      <c r="R2942">
        <v>2420</v>
      </c>
      <c r="S2942">
        <v>0</v>
      </c>
      <c r="T2942">
        <v>4794759</v>
      </c>
      <c r="U2942">
        <v>7627090728</v>
      </c>
      <c r="V2942" t="s">
        <v>868</v>
      </c>
      <c r="W2942" t="s">
        <v>49</v>
      </c>
      <c r="X2942" t="s">
        <v>50</v>
      </c>
      <c r="Y2942" t="s">
        <v>51</v>
      </c>
      <c r="Z2942">
        <v>928</v>
      </c>
      <c r="AH2942">
        <v>0</v>
      </c>
      <c r="AI2942">
        <v>202506</v>
      </c>
      <c r="AJ2942" t="s">
        <v>86</v>
      </c>
      <c r="AK2942">
        <v>1</v>
      </c>
      <c r="AL2942">
        <v>1</v>
      </c>
      <c r="AO2942">
        <v>0</v>
      </c>
      <c r="AP2942" t="s">
        <v>3011</v>
      </c>
      <c r="AQ2942" t="s">
        <v>3012</v>
      </c>
      <c r="AR2942" t="s">
        <v>3013</v>
      </c>
      <c r="AS2942" t="s">
        <v>3014</v>
      </c>
      <c r="AU2942" t="s">
        <v>3014</v>
      </c>
    </row>
    <row r="2943" spans="1:47" x14ac:dyDescent="0.35">
      <c r="A2943">
        <v>348792</v>
      </c>
      <c r="B2943" t="s">
        <v>178</v>
      </c>
      <c r="C2943" t="s">
        <v>179</v>
      </c>
      <c r="D2943" s="2">
        <v>45818</v>
      </c>
      <c r="E2943">
        <v>53850</v>
      </c>
      <c r="F2943">
        <v>137</v>
      </c>
      <c r="G2943" t="s">
        <v>166</v>
      </c>
      <c r="H2943" t="s">
        <v>167</v>
      </c>
      <c r="I2943" t="s">
        <v>45</v>
      </c>
      <c r="K2943" t="s">
        <v>2839</v>
      </c>
      <c r="L2943">
        <v>1373300005221</v>
      </c>
      <c r="M2943">
        <v>20250609</v>
      </c>
      <c r="N2943" t="s">
        <v>3136</v>
      </c>
      <c r="Q2943" t="s">
        <v>170</v>
      </c>
      <c r="R2943">
        <v>1025.6600000000001</v>
      </c>
      <c r="S2943">
        <v>0</v>
      </c>
      <c r="T2943">
        <v>4896820</v>
      </c>
      <c r="U2943">
        <v>1790220709</v>
      </c>
      <c r="V2943" t="s">
        <v>2048</v>
      </c>
      <c r="W2943" t="s">
        <v>49</v>
      </c>
      <c r="X2943" t="s">
        <v>451</v>
      </c>
      <c r="Y2943" t="s">
        <v>51</v>
      </c>
      <c r="Z2943">
        <v>1856</v>
      </c>
      <c r="AH2943">
        <v>0</v>
      </c>
      <c r="AI2943">
        <v>202506</v>
      </c>
      <c r="AJ2943" t="s">
        <v>56</v>
      </c>
      <c r="AK2943">
        <v>0</v>
      </c>
      <c r="AL2943">
        <v>1</v>
      </c>
      <c r="AO2943">
        <v>1</v>
      </c>
      <c r="AP2943" t="s">
        <v>3015</v>
      </c>
      <c r="AQ2943" t="s">
        <v>3012</v>
      </c>
      <c r="AR2943" t="s">
        <v>3016</v>
      </c>
      <c r="AT2943" t="s">
        <v>3017</v>
      </c>
      <c r="AU2943" t="s">
        <v>3018</v>
      </c>
    </row>
    <row r="2944" spans="1:47" x14ac:dyDescent="0.35">
      <c r="A2944">
        <v>348791</v>
      </c>
      <c r="B2944" t="s">
        <v>178</v>
      </c>
      <c r="C2944" t="s">
        <v>179</v>
      </c>
      <c r="D2944" s="2">
        <v>45818</v>
      </c>
      <c r="E2944">
        <v>53850</v>
      </c>
      <c r="F2944">
        <v>192</v>
      </c>
      <c r="G2944" t="s">
        <v>66</v>
      </c>
      <c r="H2944" t="s">
        <v>167</v>
      </c>
      <c r="I2944" t="s">
        <v>45</v>
      </c>
      <c r="K2944">
        <v>202506098055085</v>
      </c>
      <c r="L2944">
        <v>1923300181649</v>
      </c>
      <c r="M2944">
        <v>20250609</v>
      </c>
      <c r="N2944" t="s">
        <v>3136</v>
      </c>
      <c r="Q2944" t="s">
        <v>170</v>
      </c>
      <c r="R2944">
        <v>11906.71</v>
      </c>
      <c r="S2944">
        <v>0</v>
      </c>
      <c r="T2944">
        <v>4306613</v>
      </c>
      <c r="U2944" t="s">
        <v>2840</v>
      </c>
      <c r="V2944" t="s">
        <v>2841</v>
      </c>
      <c r="W2944" t="s">
        <v>187</v>
      </c>
      <c r="Y2944" t="s">
        <v>51</v>
      </c>
      <c r="AH2944">
        <v>0</v>
      </c>
      <c r="AI2944">
        <v>202506</v>
      </c>
      <c r="AJ2944" t="s">
        <v>86</v>
      </c>
      <c r="AK2944">
        <v>1</v>
      </c>
      <c r="AL2944">
        <v>1</v>
      </c>
      <c r="AO2944">
        <v>1</v>
      </c>
      <c r="AP2944" t="s">
        <v>3015</v>
      </c>
      <c r="AQ2944" t="s">
        <v>3044</v>
      </c>
      <c r="AR2944" t="s">
        <v>3045</v>
      </c>
      <c r="AS2944" t="s">
        <v>3046</v>
      </c>
      <c r="AU2944" t="s">
        <v>3046</v>
      </c>
    </row>
    <row r="2945" spans="1:47" x14ac:dyDescent="0.35">
      <c r="A2945">
        <v>348790</v>
      </c>
      <c r="B2945" t="s">
        <v>172</v>
      </c>
      <c r="C2945" t="s">
        <v>173</v>
      </c>
      <c r="D2945" s="2">
        <v>45818</v>
      </c>
      <c r="E2945">
        <v>53850</v>
      </c>
      <c r="F2945">
        <v>116</v>
      </c>
      <c r="G2945" t="s">
        <v>126</v>
      </c>
      <c r="H2945" t="s">
        <v>167</v>
      </c>
      <c r="I2945" t="s">
        <v>45</v>
      </c>
      <c r="K2945" t="s">
        <v>2813</v>
      </c>
      <c r="L2945">
        <v>1163307623465</v>
      </c>
      <c r="M2945">
        <v>20250609</v>
      </c>
      <c r="N2945" t="s">
        <v>175</v>
      </c>
      <c r="Q2945" t="s">
        <v>47</v>
      </c>
      <c r="R2945">
        <v>95000</v>
      </c>
      <c r="S2945">
        <v>0</v>
      </c>
      <c r="T2945">
        <v>3738297</v>
      </c>
      <c r="U2945">
        <v>8684570727</v>
      </c>
      <c r="V2945" t="s">
        <v>469</v>
      </c>
      <c r="W2945" t="s">
        <v>49</v>
      </c>
      <c r="X2945" t="s">
        <v>364</v>
      </c>
      <c r="Y2945" t="s">
        <v>51</v>
      </c>
      <c r="Z2945">
        <v>739</v>
      </c>
      <c r="AH2945">
        <v>0</v>
      </c>
      <c r="AI2945">
        <v>202506</v>
      </c>
      <c r="AJ2945" t="s">
        <v>86</v>
      </c>
      <c r="AK2945">
        <v>1</v>
      </c>
      <c r="AL2945">
        <v>1</v>
      </c>
      <c r="AO2945">
        <v>1</v>
      </c>
      <c r="AP2945" t="s">
        <v>3062</v>
      </c>
      <c r="AQ2945" t="s">
        <v>3012</v>
      </c>
      <c r="AR2945" t="s">
        <v>3063</v>
      </c>
      <c r="AS2945" t="s">
        <v>3014</v>
      </c>
      <c r="AU2945" t="s">
        <v>3014</v>
      </c>
    </row>
    <row r="2946" spans="1:47" x14ac:dyDescent="0.35">
      <c r="A2946">
        <v>348789</v>
      </c>
      <c r="B2946" t="s">
        <v>178</v>
      </c>
      <c r="C2946" t="s">
        <v>179</v>
      </c>
      <c r="D2946" s="2">
        <v>45818</v>
      </c>
      <c r="E2946">
        <v>53850</v>
      </c>
      <c r="F2946">
        <v>105</v>
      </c>
      <c r="G2946" t="s">
        <v>60</v>
      </c>
      <c r="H2946" t="s">
        <v>167</v>
      </c>
      <c r="I2946" t="s">
        <v>45</v>
      </c>
      <c r="K2946">
        <v>202506098052986</v>
      </c>
      <c r="L2946">
        <v>1053306287103</v>
      </c>
      <c r="M2946">
        <v>20250609</v>
      </c>
      <c r="N2946" t="s">
        <v>46</v>
      </c>
      <c r="P2946" t="s">
        <v>51</v>
      </c>
      <c r="Q2946" t="s">
        <v>47</v>
      </c>
      <c r="R2946">
        <v>3816880.07</v>
      </c>
      <c r="S2946">
        <v>0</v>
      </c>
      <c r="T2946">
        <v>4263360</v>
      </c>
      <c r="U2946">
        <v>5982300724</v>
      </c>
      <c r="V2946" t="s">
        <v>61</v>
      </c>
      <c r="W2946" t="s">
        <v>49</v>
      </c>
      <c r="X2946" t="s">
        <v>62</v>
      </c>
      <c r="Y2946" t="s">
        <v>51</v>
      </c>
      <c r="Z2946">
        <v>1058</v>
      </c>
      <c r="AH2946">
        <v>0</v>
      </c>
      <c r="AI2946">
        <v>202506</v>
      </c>
      <c r="AJ2946" t="s">
        <v>86</v>
      </c>
      <c r="AK2946">
        <v>1</v>
      </c>
      <c r="AL2946">
        <v>1</v>
      </c>
      <c r="AO2946">
        <v>0</v>
      </c>
      <c r="AP2946" t="s">
        <v>3015</v>
      </c>
      <c r="AQ2946" t="s">
        <v>3012</v>
      </c>
      <c r="AR2946" t="s">
        <v>3016</v>
      </c>
      <c r="AT2946" t="s">
        <v>3017</v>
      </c>
      <c r="AU2946" t="s">
        <v>3018</v>
      </c>
    </row>
    <row r="2947" spans="1:47" x14ac:dyDescent="0.35">
      <c r="A2947">
        <v>348788</v>
      </c>
      <c r="B2947" t="s">
        <v>164</v>
      </c>
      <c r="C2947" t="s">
        <v>165</v>
      </c>
      <c r="D2947" s="2">
        <v>45818</v>
      </c>
      <c r="E2947">
        <v>53850</v>
      </c>
      <c r="F2947">
        <v>149</v>
      </c>
      <c r="G2947" t="s">
        <v>449</v>
      </c>
      <c r="H2947" t="s">
        <v>167</v>
      </c>
      <c r="I2947" t="s">
        <v>45</v>
      </c>
      <c r="K2947">
        <v>202506098053351</v>
      </c>
      <c r="L2947">
        <v>1493300663564</v>
      </c>
      <c r="M2947">
        <v>20250609</v>
      </c>
      <c r="N2947" t="s">
        <v>168</v>
      </c>
      <c r="P2947" t="s">
        <v>255</v>
      </c>
      <c r="Q2947" t="s">
        <v>47</v>
      </c>
      <c r="R2947">
        <v>22973</v>
      </c>
      <c r="S2947">
        <v>0</v>
      </c>
      <c r="T2947">
        <v>4851736</v>
      </c>
      <c r="U2947">
        <v>8243781211</v>
      </c>
      <c r="V2947" t="s">
        <v>450</v>
      </c>
      <c r="W2947" t="s">
        <v>49</v>
      </c>
      <c r="X2947" t="s">
        <v>451</v>
      </c>
      <c r="Y2947" t="s">
        <v>51</v>
      </c>
      <c r="Z2947">
        <v>1256</v>
      </c>
      <c r="AH2947">
        <v>0</v>
      </c>
      <c r="AI2947">
        <v>202506</v>
      </c>
      <c r="AJ2947" t="s">
        <v>86</v>
      </c>
      <c r="AK2947">
        <v>1</v>
      </c>
      <c r="AL2947">
        <v>1</v>
      </c>
      <c r="AO2947">
        <v>0</v>
      </c>
      <c r="AP2947" t="s">
        <v>3015</v>
      </c>
      <c r="AQ2947" t="s">
        <v>3012</v>
      </c>
      <c r="AR2947" t="s">
        <v>3016</v>
      </c>
      <c r="AT2947" t="s">
        <v>3017</v>
      </c>
      <c r="AU2947" t="s">
        <v>3018</v>
      </c>
    </row>
    <row r="2948" spans="1:47" x14ac:dyDescent="0.35">
      <c r="A2948">
        <v>348787</v>
      </c>
      <c r="B2948" t="s">
        <v>178</v>
      </c>
      <c r="C2948" t="s">
        <v>179</v>
      </c>
      <c r="D2948" s="2">
        <v>45818</v>
      </c>
      <c r="E2948">
        <v>53850</v>
      </c>
      <c r="F2948">
        <v>109</v>
      </c>
      <c r="G2948" t="s">
        <v>89</v>
      </c>
      <c r="H2948" t="s">
        <v>167</v>
      </c>
      <c r="I2948" t="s">
        <v>45</v>
      </c>
      <c r="K2948" t="s">
        <v>2842</v>
      </c>
      <c r="L2948">
        <v>1093306677028</v>
      </c>
      <c r="M2948">
        <v>20250609</v>
      </c>
      <c r="N2948" t="s">
        <v>3136</v>
      </c>
      <c r="Q2948" t="s">
        <v>170</v>
      </c>
      <c r="R2948">
        <v>2669.27</v>
      </c>
      <c r="S2948">
        <v>0</v>
      </c>
      <c r="T2948">
        <v>3711845</v>
      </c>
      <c r="U2948">
        <v>8604300726</v>
      </c>
      <c r="V2948" t="s">
        <v>1128</v>
      </c>
      <c r="W2948" t="s">
        <v>49</v>
      </c>
      <c r="X2948" t="s">
        <v>432</v>
      </c>
      <c r="Y2948" t="s">
        <v>51</v>
      </c>
      <c r="Z2948">
        <v>502</v>
      </c>
      <c r="AH2948">
        <v>0</v>
      </c>
      <c r="AI2948">
        <v>202506</v>
      </c>
      <c r="AJ2948" t="s">
        <v>86</v>
      </c>
      <c r="AK2948">
        <v>1</v>
      </c>
      <c r="AL2948">
        <v>1</v>
      </c>
      <c r="AO2948">
        <v>1</v>
      </c>
      <c r="AP2948" t="s">
        <v>3015</v>
      </c>
      <c r="AQ2948" t="s">
        <v>3012</v>
      </c>
      <c r="AR2948" t="s">
        <v>3016</v>
      </c>
      <c r="AT2948" t="s">
        <v>3017</v>
      </c>
      <c r="AU2948" t="s">
        <v>3018</v>
      </c>
    </row>
    <row r="2949" spans="1:47" x14ac:dyDescent="0.35">
      <c r="A2949">
        <v>348786</v>
      </c>
      <c r="B2949" t="s">
        <v>214</v>
      </c>
      <c r="C2949" t="s">
        <v>215</v>
      </c>
      <c r="D2949" s="2">
        <v>45818</v>
      </c>
      <c r="E2949">
        <v>53850</v>
      </c>
      <c r="F2949">
        <v>109</v>
      </c>
      <c r="G2949" t="s">
        <v>89</v>
      </c>
      <c r="H2949" t="s">
        <v>167</v>
      </c>
      <c r="I2949" t="s">
        <v>45</v>
      </c>
      <c r="K2949">
        <v>202506098053677</v>
      </c>
      <c r="L2949">
        <v>1093306667367</v>
      </c>
      <c r="M2949">
        <v>20250609</v>
      </c>
      <c r="N2949" t="s">
        <v>168</v>
      </c>
      <c r="P2949" t="s">
        <v>511</v>
      </c>
      <c r="Q2949" t="s">
        <v>47</v>
      </c>
      <c r="R2949">
        <v>16582.78</v>
      </c>
      <c r="S2949">
        <v>0</v>
      </c>
      <c r="T2949">
        <v>4026861</v>
      </c>
      <c r="U2949">
        <v>5195820724</v>
      </c>
      <c r="V2949" t="s">
        <v>1011</v>
      </c>
      <c r="W2949" t="s">
        <v>49</v>
      </c>
      <c r="X2949" t="s">
        <v>131</v>
      </c>
      <c r="Y2949" t="s">
        <v>51</v>
      </c>
      <c r="Z2949">
        <v>1696</v>
      </c>
      <c r="AH2949">
        <v>0</v>
      </c>
      <c r="AI2949">
        <v>202506</v>
      </c>
      <c r="AJ2949" t="s">
        <v>56</v>
      </c>
      <c r="AK2949">
        <v>0</v>
      </c>
      <c r="AL2949">
        <v>1</v>
      </c>
      <c r="AM2949">
        <v>4026861</v>
      </c>
      <c r="AN2949">
        <v>1</v>
      </c>
      <c r="AO2949">
        <v>0</v>
      </c>
      <c r="AP2949" t="s">
        <v>3033</v>
      </c>
      <c r="AQ2949" t="s">
        <v>3012</v>
      </c>
      <c r="AR2949" t="s">
        <v>3034</v>
      </c>
      <c r="AS2949" t="s">
        <v>3014</v>
      </c>
      <c r="AU2949" t="s">
        <v>3014</v>
      </c>
    </row>
    <row r="2950" spans="1:47" x14ac:dyDescent="0.35">
      <c r="A2950">
        <v>348785</v>
      </c>
      <c r="B2950" t="s">
        <v>172</v>
      </c>
      <c r="C2950" t="s">
        <v>173</v>
      </c>
      <c r="D2950" s="2">
        <v>45818</v>
      </c>
      <c r="E2950">
        <v>53850</v>
      </c>
      <c r="F2950">
        <v>143</v>
      </c>
      <c r="G2950" t="s">
        <v>654</v>
      </c>
      <c r="H2950" t="s">
        <v>167</v>
      </c>
      <c r="I2950" t="s">
        <v>45</v>
      </c>
      <c r="K2950">
        <v>202506098054888</v>
      </c>
      <c r="L2950">
        <v>1433300351202</v>
      </c>
      <c r="M2950">
        <v>20250609</v>
      </c>
      <c r="N2950" t="s">
        <v>97</v>
      </c>
      <c r="Q2950" t="s">
        <v>47</v>
      </c>
      <c r="R2950">
        <v>140000</v>
      </c>
      <c r="S2950">
        <v>0</v>
      </c>
      <c r="T2950">
        <v>4625323</v>
      </c>
      <c r="U2950" t="s">
        <v>2843</v>
      </c>
      <c r="V2950" t="s">
        <v>2844</v>
      </c>
      <c r="W2950" t="s">
        <v>187</v>
      </c>
      <c r="Y2950" t="s">
        <v>51</v>
      </c>
      <c r="Z2950">
        <v>860</v>
      </c>
      <c r="AH2950">
        <v>0</v>
      </c>
      <c r="AI2950">
        <v>202506</v>
      </c>
      <c r="AJ2950" t="s">
        <v>86</v>
      </c>
      <c r="AK2950">
        <v>1</v>
      </c>
      <c r="AL2950">
        <v>1</v>
      </c>
      <c r="AO2950">
        <v>0</v>
      </c>
      <c r="AP2950" t="s">
        <v>3015</v>
      </c>
      <c r="AQ2950" t="s">
        <v>3044</v>
      </c>
      <c r="AR2950" t="s">
        <v>3045</v>
      </c>
      <c r="AS2950" t="s">
        <v>3046</v>
      </c>
      <c r="AU2950" t="s">
        <v>3046</v>
      </c>
    </row>
    <row r="2951" spans="1:47" x14ac:dyDescent="0.35">
      <c r="A2951">
        <v>348784</v>
      </c>
      <c r="B2951" t="s">
        <v>178</v>
      </c>
      <c r="C2951" t="s">
        <v>179</v>
      </c>
      <c r="D2951" s="2">
        <v>45818</v>
      </c>
      <c r="E2951">
        <v>53850</v>
      </c>
      <c r="F2951">
        <v>284</v>
      </c>
      <c r="G2951" t="s">
        <v>184</v>
      </c>
      <c r="H2951" t="s">
        <v>167</v>
      </c>
      <c r="I2951" t="s">
        <v>45</v>
      </c>
      <c r="K2951" t="s">
        <v>2845</v>
      </c>
      <c r="L2951">
        <v>2843300001336</v>
      </c>
      <c r="M2951">
        <v>20250609</v>
      </c>
      <c r="N2951" t="s">
        <v>3136</v>
      </c>
      <c r="Q2951" t="s">
        <v>170</v>
      </c>
      <c r="R2951">
        <v>1620.54</v>
      </c>
      <c r="S2951">
        <v>0</v>
      </c>
      <c r="T2951">
        <v>1684901</v>
      </c>
      <c r="U2951">
        <v>2403010693</v>
      </c>
      <c r="V2951" t="s">
        <v>557</v>
      </c>
      <c r="W2951" t="s">
        <v>49</v>
      </c>
      <c r="X2951" t="s">
        <v>299</v>
      </c>
      <c r="Y2951" t="s">
        <v>51</v>
      </c>
      <c r="Z2951">
        <v>1767</v>
      </c>
      <c r="AH2951">
        <v>0</v>
      </c>
      <c r="AI2951">
        <v>202506</v>
      </c>
      <c r="AJ2951" t="s">
        <v>56</v>
      </c>
      <c r="AK2951">
        <v>0</v>
      </c>
      <c r="AL2951">
        <v>1</v>
      </c>
      <c r="AO2951">
        <v>1</v>
      </c>
      <c r="AP2951" t="s">
        <v>3015</v>
      </c>
      <c r="AQ2951" t="s">
        <v>3012</v>
      </c>
      <c r="AR2951" t="s">
        <v>3016</v>
      </c>
      <c r="AT2951" t="s">
        <v>3017</v>
      </c>
      <c r="AU2951" t="s">
        <v>3018</v>
      </c>
    </row>
    <row r="2952" spans="1:47" x14ac:dyDescent="0.35">
      <c r="A2952">
        <v>348783</v>
      </c>
      <c r="B2952" t="s">
        <v>178</v>
      </c>
      <c r="C2952" t="s">
        <v>179</v>
      </c>
      <c r="D2952" s="2">
        <v>45818</v>
      </c>
      <c r="E2952">
        <v>53850</v>
      </c>
      <c r="F2952">
        <v>169</v>
      </c>
      <c r="G2952" t="s">
        <v>57</v>
      </c>
      <c r="H2952" t="s">
        <v>167</v>
      </c>
      <c r="I2952" t="s">
        <v>45</v>
      </c>
      <c r="K2952">
        <v>202506098054318</v>
      </c>
      <c r="L2952">
        <v>1693302224337</v>
      </c>
      <c r="M2952">
        <v>20250609</v>
      </c>
      <c r="N2952" t="s">
        <v>258</v>
      </c>
      <c r="Q2952" t="s">
        <v>170</v>
      </c>
      <c r="R2952">
        <v>240000</v>
      </c>
      <c r="S2952">
        <v>0</v>
      </c>
      <c r="T2952">
        <v>4566922</v>
      </c>
      <c r="U2952" t="s">
        <v>1425</v>
      </c>
      <c r="V2952" t="s">
        <v>1426</v>
      </c>
      <c r="W2952" t="s">
        <v>187</v>
      </c>
      <c r="Y2952" t="s">
        <v>51</v>
      </c>
      <c r="Z2952">
        <v>1261</v>
      </c>
      <c r="AH2952">
        <v>0</v>
      </c>
      <c r="AI2952">
        <v>202506</v>
      </c>
      <c r="AJ2952" t="s">
        <v>86</v>
      </c>
      <c r="AK2952">
        <v>1</v>
      </c>
      <c r="AL2952">
        <v>1</v>
      </c>
      <c r="AO2952">
        <v>0</v>
      </c>
      <c r="AP2952" t="s">
        <v>3015</v>
      </c>
      <c r="AQ2952" t="s">
        <v>3044</v>
      </c>
      <c r="AR2952" t="s">
        <v>3045</v>
      </c>
      <c r="AS2952" t="s">
        <v>3046</v>
      </c>
      <c r="AU2952" t="s">
        <v>3046</v>
      </c>
    </row>
    <row r="2953" spans="1:47" x14ac:dyDescent="0.35">
      <c r="A2953">
        <v>348782</v>
      </c>
      <c r="B2953" t="s">
        <v>178</v>
      </c>
      <c r="C2953" t="s">
        <v>179</v>
      </c>
      <c r="D2953" s="2">
        <v>45818</v>
      </c>
      <c r="E2953">
        <v>53850</v>
      </c>
      <c r="F2953">
        <v>216</v>
      </c>
      <c r="G2953" t="s">
        <v>817</v>
      </c>
      <c r="H2953" t="s">
        <v>167</v>
      </c>
      <c r="I2953" t="s">
        <v>45</v>
      </c>
      <c r="K2953" t="s">
        <v>2846</v>
      </c>
      <c r="L2953">
        <v>2163300012270</v>
      </c>
      <c r="M2953">
        <v>20250609</v>
      </c>
      <c r="N2953" t="s">
        <v>3136</v>
      </c>
      <c r="Q2953" t="s">
        <v>170</v>
      </c>
      <c r="R2953">
        <v>1140.96</v>
      </c>
      <c r="S2953">
        <v>0</v>
      </c>
      <c r="T2953">
        <v>3723660</v>
      </c>
      <c r="U2953">
        <v>1453600676</v>
      </c>
      <c r="V2953" t="s">
        <v>1126</v>
      </c>
      <c r="W2953" t="s">
        <v>49</v>
      </c>
      <c r="X2953" t="s">
        <v>241</v>
      </c>
      <c r="Y2953" t="s">
        <v>51</v>
      </c>
      <c r="Z2953">
        <v>1595</v>
      </c>
      <c r="AH2953">
        <v>0</v>
      </c>
      <c r="AI2953">
        <v>202506</v>
      </c>
      <c r="AJ2953" t="s">
        <v>52</v>
      </c>
      <c r="AK2953">
        <v>0</v>
      </c>
      <c r="AL2953">
        <v>1</v>
      </c>
      <c r="AO2953">
        <v>1</v>
      </c>
      <c r="AP2953" t="s">
        <v>3015</v>
      </c>
      <c r="AQ2953" t="s">
        <v>3012</v>
      </c>
      <c r="AR2953" t="s">
        <v>3016</v>
      </c>
      <c r="AT2953" t="s">
        <v>3017</v>
      </c>
      <c r="AU2953" t="s">
        <v>3018</v>
      </c>
    </row>
    <row r="2954" spans="1:47" x14ac:dyDescent="0.35">
      <c r="A2954">
        <v>348781</v>
      </c>
      <c r="B2954" t="s">
        <v>178</v>
      </c>
      <c r="C2954" t="s">
        <v>179</v>
      </c>
      <c r="D2954" s="2">
        <v>45818</v>
      </c>
      <c r="E2954">
        <v>53850</v>
      </c>
      <c r="F2954">
        <v>175</v>
      </c>
      <c r="G2954" t="s">
        <v>99</v>
      </c>
      <c r="H2954" t="s">
        <v>167</v>
      </c>
      <c r="I2954" t="s">
        <v>45</v>
      </c>
      <c r="K2954" t="s">
        <v>2847</v>
      </c>
      <c r="L2954">
        <v>1753302203838</v>
      </c>
      <c r="M2954">
        <v>20250609</v>
      </c>
      <c r="N2954" t="s">
        <v>3136</v>
      </c>
      <c r="Q2954" t="s">
        <v>170</v>
      </c>
      <c r="R2954">
        <v>1189.71</v>
      </c>
      <c r="S2954">
        <v>0</v>
      </c>
      <c r="T2954">
        <v>4913064</v>
      </c>
      <c r="U2954">
        <v>1222420778</v>
      </c>
      <c r="V2954" t="s">
        <v>2848</v>
      </c>
      <c r="W2954" t="s">
        <v>49</v>
      </c>
      <c r="X2954" t="s">
        <v>432</v>
      </c>
      <c r="Y2954" t="s">
        <v>51</v>
      </c>
      <c r="Z2954">
        <v>1110</v>
      </c>
      <c r="AH2954">
        <v>0</v>
      </c>
      <c r="AI2954">
        <v>202506</v>
      </c>
      <c r="AJ2954" t="s">
        <v>52</v>
      </c>
      <c r="AK2954">
        <v>0</v>
      </c>
      <c r="AL2954">
        <v>1</v>
      </c>
      <c r="AO2954">
        <v>1</v>
      </c>
      <c r="AP2954" t="s">
        <v>3015</v>
      </c>
      <c r="AQ2954" t="s">
        <v>3012</v>
      </c>
      <c r="AR2954" t="s">
        <v>3016</v>
      </c>
      <c r="AT2954" t="s">
        <v>3017</v>
      </c>
      <c r="AU2954" t="s">
        <v>3018</v>
      </c>
    </row>
    <row r="2955" spans="1:47" x14ac:dyDescent="0.35">
      <c r="A2955">
        <v>348780</v>
      </c>
      <c r="B2955" t="s">
        <v>164</v>
      </c>
      <c r="C2955" t="s">
        <v>165</v>
      </c>
      <c r="D2955" s="2">
        <v>45818</v>
      </c>
      <c r="E2955">
        <v>53850</v>
      </c>
      <c r="F2955">
        <v>271</v>
      </c>
      <c r="G2955" t="s">
        <v>275</v>
      </c>
      <c r="H2955" t="s">
        <v>167</v>
      </c>
      <c r="I2955" t="s">
        <v>45</v>
      </c>
      <c r="K2955">
        <v>202506098053686</v>
      </c>
      <c r="L2955">
        <v>2713300010112</v>
      </c>
      <c r="M2955">
        <v>20250609</v>
      </c>
      <c r="N2955" t="s">
        <v>168</v>
      </c>
      <c r="P2955" t="s">
        <v>435</v>
      </c>
      <c r="Q2955" t="s">
        <v>47</v>
      </c>
      <c r="R2955">
        <v>5000</v>
      </c>
      <c r="S2955">
        <v>0</v>
      </c>
      <c r="T2955">
        <v>1611557</v>
      </c>
      <c r="U2955" t="s">
        <v>890</v>
      </c>
      <c r="V2955" t="s">
        <v>891</v>
      </c>
      <c r="W2955" t="s">
        <v>69</v>
      </c>
      <c r="X2955" t="s">
        <v>402</v>
      </c>
      <c r="Y2955" t="s">
        <v>51</v>
      </c>
      <c r="Z2955">
        <v>1850</v>
      </c>
      <c r="AH2955">
        <v>0</v>
      </c>
      <c r="AI2955">
        <v>202506</v>
      </c>
      <c r="AJ2955" t="s">
        <v>52</v>
      </c>
      <c r="AK2955">
        <v>0</v>
      </c>
      <c r="AL2955">
        <v>1</v>
      </c>
      <c r="AO2955">
        <v>0</v>
      </c>
      <c r="AP2955" t="s">
        <v>3015</v>
      </c>
      <c r="AQ2955" t="s">
        <v>3021</v>
      </c>
      <c r="AR2955" t="s">
        <v>3022</v>
      </c>
      <c r="AT2955" t="s">
        <v>3017</v>
      </c>
      <c r="AU2955" t="s">
        <v>3014</v>
      </c>
    </row>
    <row r="2956" spans="1:47" x14ac:dyDescent="0.35">
      <c r="A2956">
        <v>348779</v>
      </c>
      <c r="B2956" t="s">
        <v>193</v>
      </c>
      <c r="C2956" t="s">
        <v>194</v>
      </c>
      <c r="D2956" s="2">
        <v>45818</v>
      </c>
      <c r="E2956">
        <v>53850</v>
      </c>
      <c r="F2956">
        <v>268</v>
      </c>
      <c r="G2956" t="s">
        <v>83</v>
      </c>
      <c r="H2956" t="s">
        <v>167</v>
      </c>
      <c r="I2956" t="s">
        <v>45</v>
      </c>
      <c r="K2956">
        <v>202506098054587</v>
      </c>
      <c r="L2956">
        <v>2683300006749</v>
      </c>
      <c r="M2956">
        <v>20250609</v>
      </c>
      <c r="N2956" t="s">
        <v>195</v>
      </c>
      <c r="Q2956" t="s">
        <v>47</v>
      </c>
      <c r="R2956">
        <v>15910</v>
      </c>
      <c r="S2956">
        <v>15910</v>
      </c>
      <c r="T2956">
        <v>1705239</v>
      </c>
      <c r="U2956" t="s">
        <v>1121</v>
      </c>
      <c r="V2956" t="s">
        <v>1122</v>
      </c>
      <c r="W2956" t="s">
        <v>69</v>
      </c>
      <c r="X2956" t="s">
        <v>131</v>
      </c>
      <c r="Y2956" t="s">
        <v>51</v>
      </c>
      <c r="Z2956">
        <v>1834</v>
      </c>
      <c r="AH2956">
        <v>0</v>
      </c>
      <c r="AI2956">
        <v>202506</v>
      </c>
      <c r="AJ2956" t="s">
        <v>119</v>
      </c>
      <c r="AK2956">
        <v>1</v>
      </c>
      <c r="AL2956">
        <v>1</v>
      </c>
      <c r="AM2956">
        <v>1705239</v>
      </c>
      <c r="AN2956">
        <v>1</v>
      </c>
      <c r="AO2956">
        <v>0</v>
      </c>
      <c r="AP2956" t="s">
        <v>3033</v>
      </c>
      <c r="AQ2956" t="s">
        <v>3021</v>
      </c>
      <c r="AR2956" t="s">
        <v>3054</v>
      </c>
      <c r="AS2956" t="s">
        <v>3055</v>
      </c>
      <c r="AU2956" t="s">
        <v>3055</v>
      </c>
    </row>
    <row r="2957" spans="1:47" x14ac:dyDescent="0.35">
      <c r="A2957">
        <v>348778</v>
      </c>
      <c r="B2957" t="s">
        <v>193</v>
      </c>
      <c r="C2957" t="s">
        <v>194</v>
      </c>
      <c r="D2957" s="2">
        <v>45818</v>
      </c>
      <c r="E2957">
        <v>53850</v>
      </c>
      <c r="F2957">
        <v>137</v>
      </c>
      <c r="G2957" t="s">
        <v>166</v>
      </c>
      <c r="H2957" t="s">
        <v>167</v>
      </c>
      <c r="I2957" t="s">
        <v>45</v>
      </c>
      <c r="K2957">
        <v>202506098054873</v>
      </c>
      <c r="L2957">
        <v>1373304102703</v>
      </c>
      <c r="M2957">
        <v>20250609</v>
      </c>
      <c r="N2957" t="s">
        <v>266</v>
      </c>
      <c r="Q2957" t="s">
        <v>47</v>
      </c>
      <c r="R2957">
        <v>18000</v>
      </c>
      <c r="S2957">
        <v>18000</v>
      </c>
      <c r="T2957">
        <v>1001333</v>
      </c>
      <c r="U2957" t="s">
        <v>692</v>
      </c>
      <c r="V2957" t="s">
        <v>693</v>
      </c>
      <c r="W2957" t="s">
        <v>69</v>
      </c>
      <c r="X2957" t="s">
        <v>131</v>
      </c>
      <c r="Y2957" t="s">
        <v>51</v>
      </c>
      <c r="Z2957">
        <v>1867</v>
      </c>
      <c r="AH2957">
        <v>0</v>
      </c>
      <c r="AI2957">
        <v>202506</v>
      </c>
      <c r="AJ2957" t="s">
        <v>56</v>
      </c>
      <c r="AK2957">
        <v>0</v>
      </c>
      <c r="AL2957">
        <v>1</v>
      </c>
      <c r="AM2957">
        <v>1001333</v>
      </c>
      <c r="AN2957">
        <v>1</v>
      </c>
      <c r="AO2957">
        <v>0</v>
      </c>
      <c r="AP2957" t="s">
        <v>3033</v>
      </c>
      <c r="AQ2957" t="s">
        <v>3021</v>
      </c>
      <c r="AR2957" t="s">
        <v>3054</v>
      </c>
      <c r="AS2957" t="s">
        <v>3055</v>
      </c>
      <c r="AU2957" t="s">
        <v>3055</v>
      </c>
    </row>
    <row r="2958" spans="1:47" x14ac:dyDescent="0.35">
      <c r="A2958">
        <v>348777</v>
      </c>
      <c r="B2958" t="s">
        <v>193</v>
      </c>
      <c r="C2958" t="s">
        <v>194</v>
      </c>
      <c r="D2958" s="2">
        <v>45818</v>
      </c>
      <c r="E2958">
        <v>53850</v>
      </c>
      <c r="F2958">
        <v>108</v>
      </c>
      <c r="G2958" t="s">
        <v>124</v>
      </c>
      <c r="H2958" t="s">
        <v>167</v>
      </c>
      <c r="I2958" t="s">
        <v>45</v>
      </c>
      <c r="K2958" t="s">
        <v>2813</v>
      </c>
      <c r="L2958">
        <v>1083306291105</v>
      </c>
      <c r="M2958">
        <v>20250609</v>
      </c>
      <c r="N2958" t="s">
        <v>175</v>
      </c>
      <c r="Q2958" t="s">
        <v>47</v>
      </c>
      <c r="R2958">
        <v>166170.51999999999</v>
      </c>
      <c r="S2958">
        <v>85891.55</v>
      </c>
      <c r="T2958">
        <v>4227057</v>
      </c>
      <c r="U2958">
        <v>4874620729</v>
      </c>
      <c r="V2958" t="s">
        <v>250</v>
      </c>
      <c r="W2958" t="s">
        <v>49</v>
      </c>
      <c r="X2958" t="s">
        <v>62</v>
      </c>
      <c r="Y2958" t="s">
        <v>51</v>
      </c>
      <c r="Z2958">
        <v>1058</v>
      </c>
      <c r="AH2958">
        <v>0</v>
      </c>
      <c r="AI2958">
        <v>202506</v>
      </c>
      <c r="AJ2958" t="s">
        <v>119</v>
      </c>
      <c r="AK2958">
        <v>1</v>
      </c>
      <c r="AL2958">
        <v>1</v>
      </c>
      <c r="AM2958">
        <v>4227057</v>
      </c>
      <c r="AN2958">
        <v>1</v>
      </c>
      <c r="AO2958">
        <v>1</v>
      </c>
      <c r="AP2958" t="s">
        <v>3015</v>
      </c>
      <c r="AQ2958" t="s">
        <v>3012</v>
      </c>
      <c r="AR2958" t="s">
        <v>3016</v>
      </c>
      <c r="AT2958" t="s">
        <v>3017</v>
      </c>
      <c r="AU2958" t="s">
        <v>3018</v>
      </c>
    </row>
    <row r="2959" spans="1:47" x14ac:dyDescent="0.35">
      <c r="A2959">
        <v>348776</v>
      </c>
      <c r="B2959" t="s">
        <v>172</v>
      </c>
      <c r="C2959" t="s">
        <v>173</v>
      </c>
      <c r="D2959" s="2">
        <v>45818</v>
      </c>
      <c r="E2959">
        <v>53850</v>
      </c>
      <c r="F2959">
        <v>175</v>
      </c>
      <c r="G2959" t="s">
        <v>99</v>
      </c>
      <c r="H2959" t="s">
        <v>167</v>
      </c>
      <c r="I2959" t="s">
        <v>45</v>
      </c>
      <c r="K2959" t="s">
        <v>2813</v>
      </c>
      <c r="L2959">
        <v>1753302203127</v>
      </c>
      <c r="M2959">
        <v>20250609</v>
      </c>
      <c r="N2959" t="s">
        <v>175</v>
      </c>
      <c r="Q2959" t="s">
        <v>47</v>
      </c>
      <c r="R2959">
        <v>130423.76</v>
      </c>
      <c r="S2959">
        <v>33195</v>
      </c>
      <c r="T2959">
        <v>4160138</v>
      </c>
      <c r="U2959">
        <v>484200779</v>
      </c>
      <c r="V2959" t="s">
        <v>100</v>
      </c>
      <c r="W2959" t="s">
        <v>49</v>
      </c>
      <c r="X2959" t="s">
        <v>101</v>
      </c>
      <c r="Y2959" t="s">
        <v>51</v>
      </c>
      <c r="Z2959">
        <v>739</v>
      </c>
      <c r="AH2959">
        <v>0</v>
      </c>
      <c r="AI2959">
        <v>202506</v>
      </c>
      <c r="AJ2959" t="s">
        <v>86</v>
      </c>
      <c r="AK2959">
        <v>1</v>
      </c>
      <c r="AL2959">
        <v>1</v>
      </c>
      <c r="AM2959">
        <v>4160138</v>
      </c>
      <c r="AN2959">
        <v>1</v>
      </c>
      <c r="AO2959">
        <v>1</v>
      </c>
      <c r="AP2959" t="s">
        <v>3015</v>
      </c>
      <c r="AQ2959" t="s">
        <v>3012</v>
      </c>
      <c r="AR2959" t="s">
        <v>3016</v>
      </c>
      <c r="AT2959" t="s">
        <v>3017</v>
      </c>
      <c r="AU2959" t="s">
        <v>3018</v>
      </c>
    </row>
    <row r="2960" spans="1:47" x14ac:dyDescent="0.35">
      <c r="A2960">
        <v>348775</v>
      </c>
      <c r="B2960" t="s">
        <v>178</v>
      </c>
      <c r="C2960" t="s">
        <v>179</v>
      </c>
      <c r="D2960" s="2">
        <v>45818</v>
      </c>
      <c r="E2960">
        <v>53850</v>
      </c>
      <c r="F2960">
        <v>274</v>
      </c>
      <c r="G2960" t="s">
        <v>427</v>
      </c>
      <c r="H2960" t="s">
        <v>167</v>
      </c>
      <c r="I2960" t="s">
        <v>45</v>
      </c>
      <c r="K2960">
        <v>202506098055200</v>
      </c>
      <c r="L2960">
        <v>2743300000954</v>
      </c>
      <c r="M2960">
        <v>20250609</v>
      </c>
      <c r="N2960" t="s">
        <v>3136</v>
      </c>
      <c r="Q2960" t="s">
        <v>170</v>
      </c>
      <c r="R2960">
        <v>5555.95</v>
      </c>
      <c r="S2960">
        <v>0</v>
      </c>
      <c r="T2960">
        <v>1666696</v>
      </c>
      <c r="U2960" t="s">
        <v>2849</v>
      </c>
      <c r="V2960" t="s">
        <v>2850</v>
      </c>
      <c r="W2960" t="s">
        <v>187</v>
      </c>
      <c r="Y2960" t="s">
        <v>51</v>
      </c>
      <c r="Z2960">
        <v>1751</v>
      </c>
      <c r="AH2960">
        <v>0</v>
      </c>
      <c r="AI2960">
        <v>202506</v>
      </c>
      <c r="AJ2960" t="s">
        <v>52</v>
      </c>
      <c r="AK2960">
        <v>0</v>
      </c>
      <c r="AL2960">
        <v>1</v>
      </c>
      <c r="AO2960">
        <v>1</v>
      </c>
      <c r="AP2960" t="s">
        <v>3015</v>
      </c>
      <c r="AQ2960" t="s">
        <v>3044</v>
      </c>
      <c r="AR2960" t="s">
        <v>3045</v>
      </c>
      <c r="AS2960" t="s">
        <v>3046</v>
      </c>
      <c r="AU2960" t="s">
        <v>3046</v>
      </c>
    </row>
    <row r="2961" spans="1:47" x14ac:dyDescent="0.35">
      <c r="A2961">
        <v>348774</v>
      </c>
      <c r="B2961" t="s">
        <v>172</v>
      </c>
      <c r="C2961" t="s">
        <v>173</v>
      </c>
      <c r="D2961" s="2">
        <v>45818</v>
      </c>
      <c r="E2961">
        <v>53850</v>
      </c>
      <c r="F2961">
        <v>111</v>
      </c>
      <c r="G2961" t="s">
        <v>458</v>
      </c>
      <c r="H2961" t="s">
        <v>167</v>
      </c>
      <c r="I2961" t="s">
        <v>45</v>
      </c>
      <c r="K2961">
        <v>202506098054794</v>
      </c>
      <c r="L2961">
        <v>1113302817195</v>
      </c>
      <c r="M2961">
        <v>20250609</v>
      </c>
      <c r="N2961" t="s">
        <v>81</v>
      </c>
      <c r="Q2961" t="s">
        <v>47</v>
      </c>
      <c r="R2961">
        <v>118493.59</v>
      </c>
      <c r="S2961">
        <v>0</v>
      </c>
      <c r="T2961">
        <v>4425270</v>
      </c>
      <c r="U2961" t="s">
        <v>2851</v>
      </c>
      <c r="V2961" t="s">
        <v>2852</v>
      </c>
      <c r="W2961" t="s">
        <v>187</v>
      </c>
      <c r="Y2961" t="s">
        <v>51</v>
      </c>
      <c r="Z2961">
        <v>593</v>
      </c>
      <c r="AH2961">
        <v>0</v>
      </c>
      <c r="AI2961">
        <v>202506</v>
      </c>
      <c r="AJ2961" t="s">
        <v>86</v>
      </c>
      <c r="AK2961">
        <v>1</v>
      </c>
      <c r="AL2961">
        <v>1</v>
      </c>
      <c r="AO2961">
        <v>0</v>
      </c>
      <c r="AP2961" t="s">
        <v>3015</v>
      </c>
      <c r="AQ2961" t="s">
        <v>3044</v>
      </c>
      <c r="AR2961" t="s">
        <v>3045</v>
      </c>
      <c r="AS2961" t="s">
        <v>3046</v>
      </c>
      <c r="AU2961" t="s">
        <v>3046</v>
      </c>
    </row>
    <row r="2962" spans="1:47" x14ac:dyDescent="0.35">
      <c r="A2962">
        <v>348773</v>
      </c>
      <c r="B2962" t="s">
        <v>193</v>
      </c>
      <c r="C2962" t="s">
        <v>194</v>
      </c>
      <c r="D2962" s="2">
        <v>45818</v>
      </c>
      <c r="E2962">
        <v>53850</v>
      </c>
      <c r="F2962">
        <v>178</v>
      </c>
      <c r="G2962" t="s">
        <v>315</v>
      </c>
      <c r="H2962" t="s">
        <v>167</v>
      </c>
      <c r="I2962" t="s">
        <v>45</v>
      </c>
      <c r="K2962">
        <v>202506098055031</v>
      </c>
      <c r="L2962">
        <v>1783301005731</v>
      </c>
      <c r="M2962">
        <v>20250609</v>
      </c>
      <c r="N2962" t="s">
        <v>266</v>
      </c>
      <c r="Q2962" t="s">
        <v>47</v>
      </c>
      <c r="R2962">
        <v>20000</v>
      </c>
      <c r="S2962">
        <v>20000</v>
      </c>
      <c r="T2962">
        <v>4901486</v>
      </c>
      <c r="U2962" t="s">
        <v>2853</v>
      </c>
      <c r="V2962" t="s">
        <v>2854</v>
      </c>
      <c r="W2962" t="s">
        <v>187</v>
      </c>
      <c r="Y2962" t="s">
        <v>51</v>
      </c>
      <c r="AH2962">
        <v>0</v>
      </c>
      <c r="AI2962">
        <v>202506</v>
      </c>
      <c r="AJ2962" t="s">
        <v>86</v>
      </c>
      <c r="AK2962">
        <v>1</v>
      </c>
      <c r="AL2962">
        <v>1</v>
      </c>
      <c r="AO2962">
        <v>0</v>
      </c>
      <c r="AP2962" t="s">
        <v>3015</v>
      </c>
      <c r="AQ2962" t="s">
        <v>3044</v>
      </c>
      <c r="AR2962" t="s">
        <v>3045</v>
      </c>
      <c r="AS2962" t="s">
        <v>3046</v>
      </c>
      <c r="AU2962" t="s">
        <v>3046</v>
      </c>
    </row>
    <row r="2963" spans="1:47" x14ac:dyDescent="0.35">
      <c r="A2963">
        <v>348772</v>
      </c>
      <c r="B2963" t="s">
        <v>178</v>
      </c>
      <c r="C2963" t="s">
        <v>179</v>
      </c>
      <c r="D2963" s="2">
        <v>45818</v>
      </c>
      <c r="E2963">
        <v>53850</v>
      </c>
      <c r="F2963">
        <v>120</v>
      </c>
      <c r="G2963" t="s">
        <v>411</v>
      </c>
      <c r="H2963" t="s">
        <v>167</v>
      </c>
      <c r="I2963" t="s">
        <v>45</v>
      </c>
      <c r="K2963" t="s">
        <v>2855</v>
      </c>
      <c r="L2963">
        <v>1203300002401</v>
      </c>
      <c r="M2963">
        <v>20250609</v>
      </c>
      <c r="N2963" t="s">
        <v>3136</v>
      </c>
      <c r="Q2963" t="s">
        <v>170</v>
      </c>
      <c r="R2963">
        <v>1099.3900000000001</v>
      </c>
      <c r="S2963">
        <v>0</v>
      </c>
      <c r="T2963">
        <v>613876</v>
      </c>
      <c r="U2963">
        <v>574290722</v>
      </c>
      <c r="V2963" t="s">
        <v>545</v>
      </c>
      <c r="W2963" t="s">
        <v>546</v>
      </c>
      <c r="X2963" t="s">
        <v>421</v>
      </c>
      <c r="Y2963" t="s">
        <v>51</v>
      </c>
      <c r="Z2963">
        <v>1058</v>
      </c>
      <c r="AH2963">
        <v>0</v>
      </c>
      <c r="AI2963">
        <v>202506</v>
      </c>
      <c r="AJ2963" t="s">
        <v>119</v>
      </c>
      <c r="AK2963">
        <v>1</v>
      </c>
      <c r="AL2963">
        <v>1</v>
      </c>
      <c r="AM2963">
        <v>613876</v>
      </c>
      <c r="AN2963">
        <v>1</v>
      </c>
      <c r="AO2963">
        <v>1</v>
      </c>
      <c r="AP2963" t="s">
        <v>3015</v>
      </c>
      <c r="AQ2963" t="s">
        <v>3076</v>
      </c>
      <c r="AR2963" t="s">
        <v>3077</v>
      </c>
      <c r="AT2963" t="s">
        <v>3017</v>
      </c>
      <c r="AU2963" t="s">
        <v>3014</v>
      </c>
    </row>
    <row r="2964" spans="1:47" x14ac:dyDescent="0.35">
      <c r="A2964">
        <v>348771</v>
      </c>
      <c r="B2964" t="s">
        <v>178</v>
      </c>
      <c r="C2964" t="s">
        <v>179</v>
      </c>
      <c r="D2964" s="2">
        <v>45818</v>
      </c>
      <c r="E2964">
        <v>53850</v>
      </c>
      <c r="F2964">
        <v>271</v>
      </c>
      <c r="G2964" t="s">
        <v>275</v>
      </c>
      <c r="H2964" t="s">
        <v>167</v>
      </c>
      <c r="I2964" t="s">
        <v>45</v>
      </c>
      <c r="K2964" t="s">
        <v>2856</v>
      </c>
      <c r="L2964">
        <v>2713300003639</v>
      </c>
      <c r="M2964">
        <v>20250609</v>
      </c>
      <c r="N2964" t="s">
        <v>3136</v>
      </c>
      <c r="Q2964" t="s">
        <v>170</v>
      </c>
      <c r="R2964">
        <v>1013.51</v>
      </c>
      <c r="S2964">
        <v>0</v>
      </c>
      <c r="T2964">
        <v>1702847</v>
      </c>
      <c r="U2964">
        <v>1542760697</v>
      </c>
      <c r="V2964" t="s">
        <v>2857</v>
      </c>
      <c r="W2964" t="s">
        <v>49</v>
      </c>
      <c r="X2964" t="s">
        <v>713</v>
      </c>
      <c r="Y2964" t="s">
        <v>51</v>
      </c>
      <c r="Z2964">
        <v>1387</v>
      </c>
      <c r="AH2964">
        <v>0</v>
      </c>
      <c r="AI2964">
        <v>202506</v>
      </c>
      <c r="AJ2964" t="s">
        <v>56</v>
      </c>
      <c r="AK2964">
        <v>0</v>
      </c>
      <c r="AL2964">
        <v>1</v>
      </c>
      <c r="AM2964">
        <v>1702847</v>
      </c>
      <c r="AN2964">
        <v>1</v>
      </c>
      <c r="AO2964">
        <v>1</v>
      </c>
      <c r="AP2964" t="s">
        <v>3015</v>
      </c>
      <c r="AQ2964" t="s">
        <v>3012</v>
      </c>
      <c r="AR2964" t="s">
        <v>3016</v>
      </c>
      <c r="AT2964" t="s">
        <v>3017</v>
      </c>
      <c r="AU2964" t="s">
        <v>3018</v>
      </c>
    </row>
    <row r="2965" spans="1:47" x14ac:dyDescent="0.35">
      <c r="A2965">
        <v>348770</v>
      </c>
      <c r="B2965" t="s">
        <v>193</v>
      </c>
      <c r="C2965" t="s">
        <v>194</v>
      </c>
      <c r="D2965" s="2">
        <v>45818</v>
      </c>
      <c r="E2965">
        <v>53850</v>
      </c>
      <c r="F2965">
        <v>104</v>
      </c>
      <c r="G2965" t="s">
        <v>108</v>
      </c>
      <c r="H2965" t="s">
        <v>167</v>
      </c>
      <c r="I2965" t="s">
        <v>45</v>
      </c>
      <c r="K2965" t="s">
        <v>2813</v>
      </c>
      <c r="L2965">
        <v>1043305922900</v>
      </c>
      <c r="M2965">
        <v>20250609</v>
      </c>
      <c r="N2965" t="s">
        <v>195</v>
      </c>
      <c r="Q2965" t="s">
        <v>47</v>
      </c>
      <c r="R2965">
        <v>44680</v>
      </c>
      <c r="S2965">
        <v>44680</v>
      </c>
      <c r="T2965">
        <v>592290</v>
      </c>
      <c r="U2965" t="s">
        <v>444</v>
      </c>
      <c r="V2965" t="s">
        <v>445</v>
      </c>
      <c r="W2965" t="s">
        <v>69</v>
      </c>
      <c r="X2965" t="s">
        <v>446</v>
      </c>
      <c r="Y2965" t="s">
        <v>51</v>
      </c>
      <c r="Z2965">
        <v>1902</v>
      </c>
      <c r="AH2965">
        <v>0</v>
      </c>
      <c r="AI2965">
        <v>202506</v>
      </c>
      <c r="AJ2965" t="s">
        <v>119</v>
      </c>
      <c r="AK2965">
        <v>1</v>
      </c>
      <c r="AL2965">
        <v>1</v>
      </c>
      <c r="AM2965">
        <v>592290</v>
      </c>
      <c r="AN2965">
        <v>1</v>
      </c>
      <c r="AO2965">
        <v>0</v>
      </c>
      <c r="AP2965" t="s">
        <v>3015</v>
      </c>
      <c r="AQ2965" t="s">
        <v>3021</v>
      </c>
      <c r="AR2965" t="s">
        <v>3022</v>
      </c>
      <c r="AT2965" t="s">
        <v>3017</v>
      </c>
      <c r="AU2965" t="s">
        <v>3014</v>
      </c>
    </row>
    <row r="2966" spans="1:47" x14ac:dyDescent="0.35">
      <c r="A2966">
        <v>348769</v>
      </c>
      <c r="B2966" t="s">
        <v>178</v>
      </c>
      <c r="C2966" t="s">
        <v>179</v>
      </c>
      <c r="D2966" s="2">
        <v>45818</v>
      </c>
      <c r="E2966">
        <v>53850</v>
      </c>
      <c r="F2966">
        <v>141</v>
      </c>
      <c r="G2966" t="s">
        <v>105</v>
      </c>
      <c r="H2966" t="s">
        <v>167</v>
      </c>
      <c r="I2966" t="s">
        <v>45</v>
      </c>
      <c r="K2966">
        <v>202506098052815</v>
      </c>
      <c r="L2966">
        <v>1413300003855</v>
      </c>
      <c r="M2966">
        <v>20250609</v>
      </c>
      <c r="N2966" t="s">
        <v>46</v>
      </c>
      <c r="P2966" t="s">
        <v>51</v>
      </c>
      <c r="Q2966" t="s">
        <v>47</v>
      </c>
      <c r="R2966">
        <v>1500000</v>
      </c>
      <c r="S2966">
        <v>0</v>
      </c>
      <c r="T2966">
        <v>4968719</v>
      </c>
      <c r="U2966">
        <v>5154150758</v>
      </c>
      <c r="V2966" t="s">
        <v>2258</v>
      </c>
      <c r="W2966" t="s">
        <v>49</v>
      </c>
      <c r="X2966" t="s">
        <v>2619</v>
      </c>
      <c r="Y2966" t="s">
        <v>51</v>
      </c>
      <c r="Z2966">
        <v>1627</v>
      </c>
      <c r="AH2966">
        <v>0</v>
      </c>
      <c r="AI2966">
        <v>202506</v>
      </c>
      <c r="AJ2966" t="s">
        <v>56</v>
      </c>
      <c r="AK2966">
        <v>0</v>
      </c>
      <c r="AL2966">
        <v>1</v>
      </c>
      <c r="AO2966">
        <v>0</v>
      </c>
      <c r="AP2966" t="s">
        <v>3015</v>
      </c>
      <c r="AQ2966" t="s">
        <v>3012</v>
      </c>
      <c r="AR2966" t="s">
        <v>3016</v>
      </c>
      <c r="AT2966" t="s">
        <v>3017</v>
      </c>
      <c r="AU2966" t="s">
        <v>3018</v>
      </c>
    </row>
    <row r="2967" spans="1:47" x14ac:dyDescent="0.35">
      <c r="A2967">
        <v>348768</v>
      </c>
      <c r="B2967" t="s">
        <v>178</v>
      </c>
      <c r="C2967" t="s">
        <v>179</v>
      </c>
      <c r="D2967" s="2">
        <v>45818</v>
      </c>
      <c r="E2967">
        <v>53850</v>
      </c>
      <c r="F2967">
        <v>109</v>
      </c>
      <c r="G2967" t="s">
        <v>89</v>
      </c>
      <c r="H2967" t="s">
        <v>167</v>
      </c>
      <c r="I2967" t="s">
        <v>45</v>
      </c>
      <c r="K2967" t="s">
        <v>2858</v>
      </c>
      <c r="L2967">
        <v>1093306674566</v>
      </c>
      <c r="M2967">
        <v>20250609</v>
      </c>
      <c r="N2967" t="s">
        <v>3136</v>
      </c>
      <c r="Q2967" t="s">
        <v>170</v>
      </c>
      <c r="R2967">
        <v>2718.95</v>
      </c>
      <c r="S2967">
        <v>0</v>
      </c>
      <c r="T2967">
        <v>4931444</v>
      </c>
      <c r="U2967">
        <v>7632590720</v>
      </c>
      <c r="V2967" t="s">
        <v>2014</v>
      </c>
      <c r="W2967" t="s">
        <v>49</v>
      </c>
      <c r="X2967" t="s">
        <v>590</v>
      </c>
      <c r="Y2967" t="s">
        <v>51</v>
      </c>
      <c r="Z2967">
        <v>502</v>
      </c>
      <c r="AH2967">
        <v>0</v>
      </c>
      <c r="AI2967">
        <v>202506</v>
      </c>
      <c r="AJ2967" t="s">
        <v>86</v>
      </c>
      <c r="AK2967">
        <v>1</v>
      </c>
      <c r="AL2967">
        <v>1</v>
      </c>
      <c r="AO2967">
        <v>1</v>
      </c>
      <c r="AP2967" t="s">
        <v>3015</v>
      </c>
      <c r="AQ2967" t="s">
        <v>3012</v>
      </c>
      <c r="AR2967" t="s">
        <v>3016</v>
      </c>
      <c r="AT2967" t="s">
        <v>3017</v>
      </c>
      <c r="AU2967" t="s">
        <v>3018</v>
      </c>
    </row>
    <row r="2968" spans="1:47" x14ac:dyDescent="0.35">
      <c r="A2968">
        <v>348767</v>
      </c>
      <c r="B2968" t="s">
        <v>172</v>
      </c>
      <c r="C2968" t="s">
        <v>173</v>
      </c>
      <c r="D2968" s="2">
        <v>45818</v>
      </c>
      <c r="E2968">
        <v>53850</v>
      </c>
      <c r="F2968">
        <v>287</v>
      </c>
      <c r="G2968" t="s">
        <v>707</v>
      </c>
      <c r="H2968" t="s">
        <v>167</v>
      </c>
      <c r="I2968" t="s">
        <v>45</v>
      </c>
      <c r="K2968" t="s">
        <v>2813</v>
      </c>
      <c r="L2968">
        <v>2873300001853</v>
      </c>
      <c r="M2968">
        <v>20250609</v>
      </c>
      <c r="N2968" t="s">
        <v>175</v>
      </c>
      <c r="Q2968" t="s">
        <v>47</v>
      </c>
      <c r="R2968">
        <v>104280.22</v>
      </c>
      <c r="S2968">
        <v>0</v>
      </c>
      <c r="T2968">
        <v>3722213</v>
      </c>
      <c r="U2968">
        <v>2021570698</v>
      </c>
      <c r="V2968" t="s">
        <v>708</v>
      </c>
      <c r="W2968" t="s">
        <v>49</v>
      </c>
      <c r="X2968" t="s">
        <v>117</v>
      </c>
      <c r="Y2968" t="s">
        <v>51</v>
      </c>
      <c r="Z2968">
        <v>1877</v>
      </c>
      <c r="AH2968">
        <v>0</v>
      </c>
      <c r="AI2968">
        <v>202506</v>
      </c>
      <c r="AJ2968" t="s">
        <v>86</v>
      </c>
      <c r="AK2968">
        <v>1</v>
      </c>
      <c r="AL2968">
        <v>1</v>
      </c>
      <c r="AM2968">
        <v>3722213</v>
      </c>
      <c r="AN2968">
        <v>1</v>
      </c>
      <c r="AO2968">
        <v>1</v>
      </c>
      <c r="AP2968" t="s">
        <v>3029</v>
      </c>
      <c r="AQ2968" t="s">
        <v>3012</v>
      </c>
      <c r="AR2968" t="s">
        <v>3030</v>
      </c>
      <c r="AS2968" t="s">
        <v>3014</v>
      </c>
      <c r="AU2968" t="s">
        <v>3014</v>
      </c>
    </row>
    <row r="2969" spans="1:47" x14ac:dyDescent="0.35">
      <c r="A2969">
        <v>348766</v>
      </c>
      <c r="B2969" t="s">
        <v>178</v>
      </c>
      <c r="C2969" t="s">
        <v>179</v>
      </c>
      <c r="D2969" s="2">
        <v>45818</v>
      </c>
      <c r="E2969">
        <v>53850</v>
      </c>
      <c r="F2969">
        <v>171</v>
      </c>
      <c r="G2969" t="s">
        <v>198</v>
      </c>
      <c r="H2969" t="s">
        <v>167</v>
      </c>
      <c r="I2969" t="s">
        <v>45</v>
      </c>
      <c r="K2969" t="s">
        <v>2859</v>
      </c>
      <c r="L2969">
        <v>1713302216097</v>
      </c>
      <c r="M2969">
        <v>20250609</v>
      </c>
      <c r="N2969" t="s">
        <v>3136</v>
      </c>
      <c r="Q2969" t="s">
        <v>170</v>
      </c>
      <c r="R2969">
        <v>1528.63</v>
      </c>
      <c r="S2969">
        <v>0</v>
      </c>
      <c r="T2969">
        <v>4780929</v>
      </c>
      <c r="U2969">
        <v>7472640726</v>
      </c>
      <c r="V2969" t="s">
        <v>2043</v>
      </c>
      <c r="W2969" t="s">
        <v>49</v>
      </c>
      <c r="X2969" t="s">
        <v>432</v>
      </c>
      <c r="Y2969" t="s">
        <v>51</v>
      </c>
      <c r="Z2969">
        <v>1118</v>
      </c>
      <c r="AH2969">
        <v>0</v>
      </c>
      <c r="AI2969">
        <v>202506</v>
      </c>
      <c r="AJ2969" t="s">
        <v>86</v>
      </c>
      <c r="AK2969">
        <v>1</v>
      </c>
      <c r="AL2969">
        <v>1</v>
      </c>
      <c r="AM2969">
        <v>4780929</v>
      </c>
      <c r="AN2969">
        <v>1</v>
      </c>
      <c r="AO2969">
        <v>1</v>
      </c>
      <c r="AP2969" t="s">
        <v>3015</v>
      </c>
      <c r="AQ2969" t="s">
        <v>3012</v>
      </c>
      <c r="AR2969" t="s">
        <v>3016</v>
      </c>
      <c r="AT2969" t="s">
        <v>3017</v>
      </c>
      <c r="AU2969" t="s">
        <v>3018</v>
      </c>
    </row>
    <row r="2970" spans="1:47" x14ac:dyDescent="0.35">
      <c r="A2970">
        <v>348765</v>
      </c>
      <c r="B2970" t="s">
        <v>172</v>
      </c>
      <c r="C2970" t="s">
        <v>173</v>
      </c>
      <c r="D2970" s="2">
        <v>45818</v>
      </c>
      <c r="E2970">
        <v>53850</v>
      </c>
      <c r="F2970">
        <v>111</v>
      </c>
      <c r="G2970" t="s">
        <v>458</v>
      </c>
      <c r="H2970" t="s">
        <v>167</v>
      </c>
      <c r="I2970" t="s">
        <v>45</v>
      </c>
      <c r="K2970">
        <v>202506098054794</v>
      </c>
      <c r="L2970">
        <v>1113302817195</v>
      </c>
      <c r="M2970">
        <v>20250609</v>
      </c>
      <c r="N2970" t="s">
        <v>81</v>
      </c>
      <c r="Q2970" t="s">
        <v>47</v>
      </c>
      <c r="R2970">
        <v>118493.59</v>
      </c>
      <c r="S2970">
        <v>0</v>
      </c>
      <c r="T2970">
        <v>1001090</v>
      </c>
      <c r="U2970" t="s">
        <v>2860</v>
      </c>
      <c r="V2970" t="s">
        <v>2861</v>
      </c>
      <c r="W2970" t="s">
        <v>187</v>
      </c>
      <c r="Y2970" t="s">
        <v>51</v>
      </c>
      <c r="Z2970">
        <v>1430</v>
      </c>
      <c r="AH2970">
        <v>0</v>
      </c>
      <c r="AI2970">
        <v>202506</v>
      </c>
      <c r="AJ2970" t="s">
        <v>86</v>
      </c>
      <c r="AK2970">
        <v>1</v>
      </c>
      <c r="AL2970">
        <v>1</v>
      </c>
      <c r="AO2970">
        <v>0</v>
      </c>
      <c r="AP2970" t="s">
        <v>3015</v>
      </c>
      <c r="AQ2970" t="s">
        <v>3044</v>
      </c>
      <c r="AR2970" t="s">
        <v>3045</v>
      </c>
      <c r="AS2970" t="s">
        <v>3046</v>
      </c>
      <c r="AU2970" t="s">
        <v>3046</v>
      </c>
    </row>
    <row r="2971" spans="1:47" x14ac:dyDescent="0.35">
      <c r="A2971">
        <v>348764</v>
      </c>
      <c r="B2971" t="s">
        <v>172</v>
      </c>
      <c r="C2971" t="s">
        <v>173</v>
      </c>
      <c r="D2971" s="2">
        <v>45818</v>
      </c>
      <c r="E2971">
        <v>53850</v>
      </c>
      <c r="F2971">
        <v>143</v>
      </c>
      <c r="G2971" t="s">
        <v>654</v>
      </c>
      <c r="H2971" t="s">
        <v>167</v>
      </c>
      <c r="I2971" t="s">
        <v>45</v>
      </c>
      <c r="K2971">
        <v>202506098054888</v>
      </c>
      <c r="L2971">
        <v>1433300351202</v>
      </c>
      <c r="M2971">
        <v>20250609</v>
      </c>
      <c r="N2971" t="s">
        <v>97</v>
      </c>
      <c r="Q2971" t="s">
        <v>47</v>
      </c>
      <c r="R2971">
        <v>140000</v>
      </c>
      <c r="S2971">
        <v>0</v>
      </c>
      <c r="T2971">
        <v>4625326</v>
      </c>
      <c r="U2971" t="s">
        <v>2862</v>
      </c>
      <c r="V2971" t="s">
        <v>2863</v>
      </c>
      <c r="W2971" t="s">
        <v>187</v>
      </c>
      <c r="Y2971" t="s">
        <v>51</v>
      </c>
      <c r="AH2971">
        <v>0</v>
      </c>
      <c r="AI2971">
        <v>202506</v>
      </c>
      <c r="AJ2971" t="s">
        <v>86</v>
      </c>
      <c r="AK2971">
        <v>1</v>
      </c>
      <c r="AL2971">
        <v>1</v>
      </c>
      <c r="AO2971">
        <v>0</v>
      </c>
      <c r="AP2971" t="s">
        <v>3015</v>
      </c>
      <c r="AQ2971" t="s">
        <v>3044</v>
      </c>
      <c r="AR2971" t="s">
        <v>3045</v>
      </c>
      <c r="AS2971" t="s">
        <v>3046</v>
      </c>
      <c r="AU2971" t="s">
        <v>3046</v>
      </c>
    </row>
    <row r="2972" spans="1:47" x14ac:dyDescent="0.35">
      <c r="A2972">
        <v>348763</v>
      </c>
      <c r="B2972" t="s">
        <v>172</v>
      </c>
      <c r="C2972" t="s">
        <v>173</v>
      </c>
      <c r="D2972" s="2">
        <v>45818</v>
      </c>
      <c r="E2972">
        <v>53850</v>
      </c>
      <c r="F2972">
        <v>182</v>
      </c>
      <c r="G2972" t="s">
        <v>318</v>
      </c>
      <c r="H2972" t="s">
        <v>167</v>
      </c>
      <c r="I2972" t="s">
        <v>45</v>
      </c>
      <c r="K2972" t="s">
        <v>2813</v>
      </c>
      <c r="L2972">
        <v>1823300169301</v>
      </c>
      <c r="M2972">
        <v>20250609</v>
      </c>
      <c r="N2972" t="s">
        <v>195</v>
      </c>
      <c r="Q2972" t="s">
        <v>47</v>
      </c>
      <c r="R2972">
        <v>43875</v>
      </c>
      <c r="S2972">
        <v>43875</v>
      </c>
      <c r="T2972">
        <v>4284957</v>
      </c>
      <c r="U2972" t="s">
        <v>455</v>
      </c>
      <c r="V2972" t="s">
        <v>456</v>
      </c>
      <c r="W2972" t="s">
        <v>69</v>
      </c>
      <c r="X2972" t="s">
        <v>197</v>
      </c>
      <c r="Y2972" t="s">
        <v>51</v>
      </c>
      <c r="Z2972">
        <v>1656</v>
      </c>
      <c r="AH2972">
        <v>0</v>
      </c>
      <c r="AI2972">
        <v>202506</v>
      </c>
      <c r="AJ2972" t="s">
        <v>119</v>
      </c>
      <c r="AK2972">
        <v>1</v>
      </c>
      <c r="AL2972">
        <v>1</v>
      </c>
      <c r="AM2972">
        <v>4284957</v>
      </c>
      <c r="AN2972">
        <v>1</v>
      </c>
      <c r="AO2972">
        <v>0</v>
      </c>
      <c r="AP2972" t="s">
        <v>3050</v>
      </c>
      <c r="AQ2972" t="s">
        <v>3021</v>
      </c>
      <c r="AR2972" t="s">
        <v>3070</v>
      </c>
      <c r="AS2972" t="s">
        <v>3055</v>
      </c>
      <c r="AU2972" t="s">
        <v>3055</v>
      </c>
    </row>
    <row r="2973" spans="1:47" x14ac:dyDescent="0.35">
      <c r="A2973">
        <v>348762</v>
      </c>
      <c r="B2973" t="s">
        <v>178</v>
      </c>
      <c r="C2973" t="s">
        <v>179</v>
      </c>
      <c r="D2973" s="2">
        <v>45818</v>
      </c>
      <c r="E2973">
        <v>53850</v>
      </c>
      <c r="F2973">
        <v>204</v>
      </c>
      <c r="G2973" t="s">
        <v>329</v>
      </c>
      <c r="H2973" t="s">
        <v>167</v>
      </c>
      <c r="I2973" t="s">
        <v>45</v>
      </c>
      <c r="K2973" t="s">
        <v>2864</v>
      </c>
      <c r="L2973">
        <v>2043300012553</v>
      </c>
      <c r="M2973">
        <v>20250609</v>
      </c>
      <c r="N2973" t="s">
        <v>3136</v>
      </c>
      <c r="Q2973" t="s">
        <v>170</v>
      </c>
      <c r="R2973">
        <v>1076.3599999999999</v>
      </c>
      <c r="S2973">
        <v>0</v>
      </c>
      <c r="T2973">
        <v>4902092</v>
      </c>
      <c r="U2973">
        <v>14374361005</v>
      </c>
      <c r="V2973" t="s">
        <v>1104</v>
      </c>
      <c r="W2973" t="s">
        <v>49</v>
      </c>
      <c r="X2973" t="s">
        <v>200</v>
      </c>
      <c r="Y2973" t="s">
        <v>51</v>
      </c>
      <c r="Z2973">
        <v>1810</v>
      </c>
      <c r="AH2973">
        <v>0</v>
      </c>
      <c r="AI2973">
        <v>202506</v>
      </c>
      <c r="AJ2973" t="s">
        <v>86</v>
      </c>
      <c r="AK2973">
        <v>1</v>
      </c>
      <c r="AL2973">
        <v>1</v>
      </c>
      <c r="AM2973">
        <v>4902092</v>
      </c>
      <c r="AN2973">
        <v>1</v>
      </c>
      <c r="AO2973">
        <v>1</v>
      </c>
      <c r="AP2973" t="s">
        <v>3015</v>
      </c>
      <c r="AQ2973" t="s">
        <v>3012</v>
      </c>
      <c r="AR2973" t="s">
        <v>3016</v>
      </c>
      <c r="AT2973" t="s">
        <v>3017</v>
      </c>
      <c r="AU2973" t="s">
        <v>3018</v>
      </c>
    </row>
    <row r="2974" spans="1:47" x14ac:dyDescent="0.35">
      <c r="A2974">
        <v>348761</v>
      </c>
      <c r="B2974" t="s">
        <v>178</v>
      </c>
      <c r="C2974" t="s">
        <v>179</v>
      </c>
      <c r="D2974" s="2">
        <v>45818</v>
      </c>
      <c r="E2974">
        <v>53850</v>
      </c>
      <c r="F2974">
        <v>136</v>
      </c>
      <c r="G2974" t="s">
        <v>551</v>
      </c>
      <c r="H2974" t="s">
        <v>167</v>
      </c>
      <c r="I2974" t="s">
        <v>45</v>
      </c>
      <c r="K2974">
        <v>202506098053698</v>
      </c>
      <c r="L2974">
        <v>1363300003325</v>
      </c>
      <c r="M2974">
        <v>20250609</v>
      </c>
      <c r="N2974" t="s">
        <v>1047</v>
      </c>
      <c r="Q2974" t="s">
        <v>47</v>
      </c>
      <c r="R2974">
        <v>999996.13</v>
      </c>
      <c r="S2974">
        <v>0</v>
      </c>
      <c r="T2974">
        <v>4395683</v>
      </c>
      <c r="U2974">
        <v>2036760037</v>
      </c>
      <c r="V2974" t="s">
        <v>553</v>
      </c>
      <c r="W2974" t="s">
        <v>49</v>
      </c>
      <c r="X2974" t="s">
        <v>554</v>
      </c>
      <c r="Y2974" t="s">
        <v>51</v>
      </c>
      <c r="Z2974">
        <v>1627</v>
      </c>
      <c r="AH2974">
        <v>0</v>
      </c>
      <c r="AI2974">
        <v>202506</v>
      </c>
      <c r="AJ2974" t="s">
        <v>56</v>
      </c>
      <c r="AK2974">
        <v>0</v>
      </c>
      <c r="AL2974">
        <v>1</v>
      </c>
      <c r="AO2974">
        <v>0</v>
      </c>
      <c r="AP2974" t="s">
        <v>3015</v>
      </c>
      <c r="AQ2974" t="s">
        <v>3012</v>
      </c>
      <c r="AR2974" t="s">
        <v>3016</v>
      </c>
      <c r="AT2974" t="s">
        <v>3017</v>
      </c>
      <c r="AU2974" t="s">
        <v>3018</v>
      </c>
    </row>
    <row r="2975" spans="1:47" x14ac:dyDescent="0.35">
      <c r="A2975">
        <v>348760</v>
      </c>
      <c r="B2975" t="s">
        <v>193</v>
      </c>
      <c r="C2975" t="s">
        <v>194</v>
      </c>
      <c r="D2975" s="2">
        <v>45818</v>
      </c>
      <c r="E2975">
        <v>53850</v>
      </c>
      <c r="F2975">
        <v>102</v>
      </c>
      <c r="G2975" t="s">
        <v>151</v>
      </c>
      <c r="H2975" t="s">
        <v>167</v>
      </c>
      <c r="I2975" t="s">
        <v>45</v>
      </c>
      <c r="K2975">
        <v>202506078053893</v>
      </c>
      <c r="L2975">
        <v>1023308722503</v>
      </c>
      <c r="M2975">
        <v>20250607</v>
      </c>
      <c r="N2975" t="s">
        <v>195</v>
      </c>
      <c r="Q2975" t="s">
        <v>47</v>
      </c>
      <c r="R2975">
        <v>19510</v>
      </c>
      <c r="S2975">
        <v>19510</v>
      </c>
      <c r="T2975">
        <v>413650</v>
      </c>
      <c r="U2975">
        <v>3657230722</v>
      </c>
      <c r="V2975" t="s">
        <v>196</v>
      </c>
      <c r="W2975" t="s">
        <v>190</v>
      </c>
      <c r="X2975" t="s">
        <v>197</v>
      </c>
      <c r="Y2975" t="s">
        <v>51</v>
      </c>
      <c r="Z2975">
        <v>1306</v>
      </c>
      <c r="AH2975">
        <v>0</v>
      </c>
      <c r="AI2975">
        <v>202506</v>
      </c>
      <c r="AJ2975" t="s">
        <v>119</v>
      </c>
      <c r="AK2975">
        <v>1</v>
      </c>
      <c r="AL2975">
        <v>1</v>
      </c>
      <c r="AM2975">
        <v>413650</v>
      </c>
      <c r="AN2975">
        <v>1</v>
      </c>
      <c r="AO2975">
        <v>0</v>
      </c>
      <c r="AP2975" t="s">
        <v>3050</v>
      </c>
      <c r="AQ2975" t="s">
        <v>3047</v>
      </c>
      <c r="AR2975" t="s">
        <v>3051</v>
      </c>
      <c r="AS2975" t="s">
        <v>3049</v>
      </c>
      <c r="AU2975" t="s">
        <v>3049</v>
      </c>
    </row>
    <row r="2976" spans="1:47" x14ac:dyDescent="0.35">
      <c r="A2976">
        <v>348759</v>
      </c>
      <c r="B2976" t="s">
        <v>164</v>
      </c>
      <c r="C2976" t="s">
        <v>165</v>
      </c>
      <c r="D2976" s="2">
        <v>45818</v>
      </c>
      <c r="E2976">
        <v>53850</v>
      </c>
      <c r="F2976">
        <v>109</v>
      </c>
      <c r="G2976" t="s">
        <v>89</v>
      </c>
      <c r="H2976" t="s">
        <v>167</v>
      </c>
      <c r="I2976" t="s">
        <v>45</v>
      </c>
      <c r="K2976" t="s">
        <v>2865</v>
      </c>
      <c r="L2976">
        <v>1093306672844</v>
      </c>
      <c r="M2976">
        <v>20250606</v>
      </c>
      <c r="N2976" t="s">
        <v>168</v>
      </c>
      <c r="P2976" t="s">
        <v>255</v>
      </c>
      <c r="Q2976" t="s">
        <v>170</v>
      </c>
      <c r="R2976">
        <v>4200</v>
      </c>
      <c r="S2976">
        <v>0</v>
      </c>
      <c r="T2976">
        <v>440311</v>
      </c>
      <c r="U2976">
        <v>3550290724</v>
      </c>
      <c r="V2976" t="s">
        <v>90</v>
      </c>
      <c r="W2976" t="s">
        <v>49</v>
      </c>
      <c r="X2976" t="s">
        <v>91</v>
      </c>
      <c r="Y2976" t="s">
        <v>51</v>
      </c>
      <c r="Z2976">
        <v>1903</v>
      </c>
      <c r="AH2976">
        <v>0</v>
      </c>
      <c r="AI2976">
        <v>202506</v>
      </c>
      <c r="AJ2976" t="s">
        <v>119</v>
      </c>
      <c r="AK2976">
        <v>1</v>
      </c>
      <c r="AL2976">
        <v>1</v>
      </c>
      <c r="AM2976">
        <v>440311</v>
      </c>
      <c r="AN2976">
        <v>1</v>
      </c>
      <c r="AO2976">
        <v>0</v>
      </c>
      <c r="AP2976" t="s">
        <v>1100</v>
      </c>
      <c r="AQ2976" t="s">
        <v>3012</v>
      </c>
      <c r="AR2976" t="s">
        <v>3023</v>
      </c>
      <c r="AS2976" t="s">
        <v>3014</v>
      </c>
      <c r="AU2976" t="s">
        <v>3014</v>
      </c>
    </row>
    <row r="2977" spans="1:47" x14ac:dyDescent="0.35">
      <c r="A2977">
        <v>348758</v>
      </c>
      <c r="B2977" t="s">
        <v>178</v>
      </c>
      <c r="C2977" t="s">
        <v>179</v>
      </c>
      <c r="D2977" s="2">
        <v>45815</v>
      </c>
      <c r="E2977">
        <v>53850</v>
      </c>
      <c r="F2977">
        <v>147</v>
      </c>
      <c r="G2977" t="s">
        <v>771</v>
      </c>
      <c r="H2977" t="s">
        <v>167</v>
      </c>
      <c r="I2977" t="s">
        <v>45</v>
      </c>
      <c r="K2977">
        <v>202506068048398</v>
      </c>
      <c r="L2977">
        <v>1473300001691</v>
      </c>
      <c r="M2977">
        <v>20250606</v>
      </c>
      <c r="N2977" t="s">
        <v>3136</v>
      </c>
      <c r="Q2977" t="s">
        <v>170</v>
      </c>
      <c r="R2977">
        <v>22560.58</v>
      </c>
      <c r="S2977">
        <v>0</v>
      </c>
      <c r="T2977">
        <v>4420547</v>
      </c>
      <c r="U2977" t="s">
        <v>2866</v>
      </c>
      <c r="V2977" t="s">
        <v>2867</v>
      </c>
      <c r="W2977" t="s">
        <v>187</v>
      </c>
      <c r="Y2977" t="s">
        <v>51</v>
      </c>
      <c r="Z2977">
        <v>1428</v>
      </c>
      <c r="AH2977">
        <v>0</v>
      </c>
      <c r="AI2977">
        <v>202506</v>
      </c>
      <c r="AJ2977" t="s">
        <v>86</v>
      </c>
      <c r="AK2977">
        <v>1</v>
      </c>
      <c r="AL2977">
        <v>1</v>
      </c>
      <c r="AO2977">
        <v>1</v>
      </c>
      <c r="AP2977" t="s">
        <v>3015</v>
      </c>
      <c r="AQ2977" t="s">
        <v>3044</v>
      </c>
      <c r="AR2977" t="s">
        <v>3045</v>
      </c>
      <c r="AS2977" t="s">
        <v>3046</v>
      </c>
      <c r="AU2977" t="s">
        <v>3046</v>
      </c>
    </row>
    <row r="2978" spans="1:47" x14ac:dyDescent="0.35">
      <c r="A2978">
        <v>348757</v>
      </c>
      <c r="B2978" t="s">
        <v>193</v>
      </c>
      <c r="C2978" t="s">
        <v>194</v>
      </c>
      <c r="D2978" s="2">
        <v>45815</v>
      </c>
      <c r="E2978">
        <v>53850</v>
      </c>
      <c r="F2978">
        <v>102</v>
      </c>
      <c r="G2978" t="s">
        <v>151</v>
      </c>
      <c r="H2978" t="s">
        <v>167</v>
      </c>
      <c r="I2978" t="s">
        <v>45</v>
      </c>
      <c r="K2978" t="s">
        <v>2868</v>
      </c>
      <c r="L2978">
        <v>1023308722503</v>
      </c>
      <c r="M2978">
        <v>20250606</v>
      </c>
      <c r="N2978" t="s">
        <v>195</v>
      </c>
      <c r="Q2978" t="s">
        <v>47</v>
      </c>
      <c r="R2978">
        <v>32850</v>
      </c>
      <c r="S2978">
        <v>32850</v>
      </c>
      <c r="T2978">
        <v>413650</v>
      </c>
      <c r="U2978">
        <v>3657230722</v>
      </c>
      <c r="V2978" t="s">
        <v>196</v>
      </c>
      <c r="W2978" t="s">
        <v>190</v>
      </c>
      <c r="X2978" t="s">
        <v>197</v>
      </c>
      <c r="Y2978" t="s">
        <v>51</v>
      </c>
      <c r="Z2978">
        <v>1306</v>
      </c>
      <c r="AH2978">
        <v>0</v>
      </c>
      <c r="AI2978">
        <v>202506</v>
      </c>
      <c r="AJ2978" t="s">
        <v>119</v>
      </c>
      <c r="AK2978">
        <v>1</v>
      </c>
      <c r="AL2978">
        <v>1</v>
      </c>
      <c r="AM2978">
        <v>413650</v>
      </c>
      <c r="AN2978">
        <v>1</v>
      </c>
      <c r="AO2978">
        <v>0</v>
      </c>
      <c r="AP2978" t="s">
        <v>3050</v>
      </c>
      <c r="AQ2978" t="s">
        <v>3047</v>
      </c>
      <c r="AR2978" t="s">
        <v>3051</v>
      </c>
      <c r="AS2978" t="s">
        <v>3049</v>
      </c>
      <c r="AU2978" t="s">
        <v>3049</v>
      </c>
    </row>
    <row r="2979" spans="1:47" x14ac:dyDescent="0.35">
      <c r="A2979">
        <v>348756</v>
      </c>
      <c r="B2979" t="s">
        <v>193</v>
      </c>
      <c r="C2979" t="s">
        <v>194</v>
      </c>
      <c r="D2979" s="2">
        <v>45815</v>
      </c>
      <c r="E2979">
        <v>53850</v>
      </c>
      <c r="F2979">
        <v>171</v>
      </c>
      <c r="G2979" t="s">
        <v>198</v>
      </c>
      <c r="H2979" t="s">
        <v>167</v>
      </c>
      <c r="I2979" t="s">
        <v>45</v>
      </c>
      <c r="K2979" t="s">
        <v>2868</v>
      </c>
      <c r="L2979">
        <v>1713302214147</v>
      </c>
      <c r="M2979">
        <v>20250606</v>
      </c>
      <c r="N2979" t="s">
        <v>195</v>
      </c>
      <c r="Q2979" t="s">
        <v>47</v>
      </c>
      <c r="R2979">
        <v>128126.37</v>
      </c>
      <c r="S2979">
        <v>128126.37</v>
      </c>
      <c r="T2979">
        <v>4199319</v>
      </c>
      <c r="U2979">
        <v>6037810725</v>
      </c>
      <c r="V2979" t="s">
        <v>1144</v>
      </c>
      <c r="W2979" t="s">
        <v>49</v>
      </c>
      <c r="X2979" t="s">
        <v>200</v>
      </c>
      <c r="Y2979" t="s">
        <v>51</v>
      </c>
      <c r="Z2979">
        <v>1903</v>
      </c>
      <c r="AH2979">
        <v>0</v>
      </c>
      <c r="AI2979">
        <v>202506</v>
      </c>
      <c r="AJ2979" t="s">
        <v>86</v>
      </c>
      <c r="AK2979">
        <v>1</v>
      </c>
      <c r="AL2979">
        <v>1</v>
      </c>
      <c r="AM2979">
        <v>4199319</v>
      </c>
      <c r="AN2979">
        <v>1</v>
      </c>
      <c r="AO2979">
        <v>0</v>
      </c>
      <c r="AP2979" t="s">
        <v>3015</v>
      </c>
      <c r="AQ2979" t="s">
        <v>3012</v>
      </c>
      <c r="AR2979" t="s">
        <v>3016</v>
      </c>
      <c r="AT2979" t="s">
        <v>3017</v>
      </c>
      <c r="AU2979" t="s">
        <v>3018</v>
      </c>
    </row>
    <row r="2980" spans="1:47" x14ac:dyDescent="0.35">
      <c r="A2980">
        <v>348755</v>
      </c>
      <c r="B2980" t="s">
        <v>172</v>
      </c>
      <c r="C2980" t="s">
        <v>173</v>
      </c>
      <c r="D2980" s="2">
        <v>45815</v>
      </c>
      <c r="E2980">
        <v>53850</v>
      </c>
      <c r="F2980">
        <v>171</v>
      </c>
      <c r="G2980" t="s">
        <v>198</v>
      </c>
      <c r="H2980" t="s">
        <v>167</v>
      </c>
      <c r="I2980" t="s">
        <v>45</v>
      </c>
      <c r="K2980" t="s">
        <v>2868</v>
      </c>
      <c r="L2980">
        <v>1713302214147</v>
      </c>
      <c r="M2980">
        <v>20250606</v>
      </c>
      <c r="N2980" t="s">
        <v>195</v>
      </c>
      <c r="Q2980" t="s">
        <v>47</v>
      </c>
      <c r="R2980">
        <v>128126.37</v>
      </c>
      <c r="S2980">
        <v>128126.37</v>
      </c>
      <c r="T2980">
        <v>4199319</v>
      </c>
      <c r="U2980">
        <v>6037810725</v>
      </c>
      <c r="V2980" t="s">
        <v>1144</v>
      </c>
      <c r="W2980" t="s">
        <v>49</v>
      </c>
      <c r="X2980" t="s">
        <v>200</v>
      </c>
      <c r="Y2980" t="s">
        <v>51</v>
      </c>
      <c r="Z2980">
        <v>1903</v>
      </c>
      <c r="AH2980">
        <v>0</v>
      </c>
      <c r="AI2980">
        <v>202506</v>
      </c>
      <c r="AJ2980" t="s">
        <v>86</v>
      </c>
      <c r="AK2980">
        <v>1</v>
      </c>
      <c r="AL2980">
        <v>1</v>
      </c>
      <c r="AM2980">
        <v>4199319</v>
      </c>
      <c r="AN2980">
        <v>1</v>
      </c>
      <c r="AO2980">
        <v>0</v>
      </c>
      <c r="AP2980" t="s">
        <v>3015</v>
      </c>
      <c r="AQ2980" t="s">
        <v>3012</v>
      </c>
      <c r="AR2980" t="s">
        <v>3016</v>
      </c>
      <c r="AT2980" t="s">
        <v>3017</v>
      </c>
      <c r="AU2980" t="s">
        <v>3018</v>
      </c>
    </row>
    <row r="2981" spans="1:47" x14ac:dyDescent="0.35">
      <c r="A2981">
        <v>348754</v>
      </c>
      <c r="B2981" t="s">
        <v>172</v>
      </c>
      <c r="C2981" t="s">
        <v>173</v>
      </c>
      <c r="D2981" s="2">
        <v>45815</v>
      </c>
      <c r="E2981">
        <v>53850</v>
      </c>
      <c r="F2981">
        <v>116</v>
      </c>
      <c r="G2981" t="s">
        <v>126</v>
      </c>
      <c r="H2981" t="s">
        <v>167</v>
      </c>
      <c r="I2981" t="s">
        <v>45</v>
      </c>
      <c r="K2981">
        <v>202506068048048</v>
      </c>
      <c r="L2981">
        <v>2343300010453</v>
      </c>
      <c r="M2981">
        <v>20250606</v>
      </c>
      <c r="N2981" t="s">
        <v>195</v>
      </c>
      <c r="Q2981" t="s">
        <v>47</v>
      </c>
      <c r="R2981">
        <v>126487.25</v>
      </c>
      <c r="S2981">
        <v>126487.25</v>
      </c>
      <c r="T2981">
        <v>4247777</v>
      </c>
      <c r="U2981">
        <v>233470236</v>
      </c>
      <c r="V2981" t="s">
        <v>206</v>
      </c>
      <c r="W2981" t="s">
        <v>49</v>
      </c>
      <c r="X2981" t="s">
        <v>117</v>
      </c>
      <c r="Y2981" t="s">
        <v>51</v>
      </c>
      <c r="Z2981">
        <v>1696</v>
      </c>
      <c r="AH2981">
        <v>0</v>
      </c>
      <c r="AI2981">
        <v>202506</v>
      </c>
      <c r="AJ2981" t="s">
        <v>86</v>
      </c>
      <c r="AK2981">
        <v>1</v>
      </c>
      <c r="AL2981">
        <v>1</v>
      </c>
      <c r="AM2981">
        <v>4247777</v>
      </c>
      <c r="AN2981">
        <v>1</v>
      </c>
      <c r="AO2981">
        <v>0</v>
      </c>
      <c r="AP2981" t="s">
        <v>3029</v>
      </c>
      <c r="AQ2981" t="s">
        <v>3012</v>
      </c>
      <c r="AR2981" t="s">
        <v>3030</v>
      </c>
      <c r="AS2981" t="s">
        <v>3014</v>
      </c>
      <c r="AU2981" t="s">
        <v>3014</v>
      </c>
    </row>
    <row r="2982" spans="1:47" x14ac:dyDescent="0.35">
      <c r="A2982">
        <v>348753</v>
      </c>
      <c r="B2982" t="s">
        <v>333</v>
      </c>
      <c r="C2982" t="s">
        <v>334</v>
      </c>
      <c r="D2982" s="2">
        <v>45815</v>
      </c>
      <c r="E2982">
        <v>53850</v>
      </c>
      <c r="F2982">
        <v>122</v>
      </c>
      <c r="G2982" t="s">
        <v>43</v>
      </c>
      <c r="H2982" t="s">
        <v>167</v>
      </c>
      <c r="I2982" t="s">
        <v>45</v>
      </c>
      <c r="K2982">
        <v>202506068048325</v>
      </c>
      <c r="M2982">
        <v>20250606</v>
      </c>
      <c r="N2982" t="s">
        <v>1356</v>
      </c>
      <c r="Q2982" t="s">
        <v>170</v>
      </c>
      <c r="R2982">
        <v>25000</v>
      </c>
      <c r="S2982">
        <v>0</v>
      </c>
      <c r="T2982">
        <v>4958588</v>
      </c>
      <c r="U2982" t="s">
        <v>2869</v>
      </c>
      <c r="V2982" t="s">
        <v>2870</v>
      </c>
      <c r="W2982" t="s">
        <v>187</v>
      </c>
      <c r="Y2982" t="s">
        <v>51</v>
      </c>
      <c r="Z2982">
        <v>968</v>
      </c>
      <c r="AH2982">
        <v>0</v>
      </c>
      <c r="AI2982">
        <v>202506</v>
      </c>
      <c r="AL2982">
        <v>0</v>
      </c>
      <c r="AO2982">
        <v>0</v>
      </c>
      <c r="AP2982" t="s">
        <v>3015</v>
      </c>
      <c r="AQ2982" t="s">
        <v>3044</v>
      </c>
      <c r="AR2982" t="s">
        <v>3045</v>
      </c>
      <c r="AS2982" t="s">
        <v>3046</v>
      </c>
      <c r="AU2982" t="s">
        <v>3046</v>
      </c>
    </row>
    <row r="2983" spans="1:47" x14ac:dyDescent="0.35">
      <c r="A2983">
        <v>348752</v>
      </c>
      <c r="B2983" t="s">
        <v>178</v>
      </c>
      <c r="C2983" t="s">
        <v>179</v>
      </c>
      <c r="D2983" s="2">
        <v>45815</v>
      </c>
      <c r="E2983">
        <v>53850</v>
      </c>
      <c r="F2983">
        <v>173</v>
      </c>
      <c r="G2983" t="s">
        <v>1409</v>
      </c>
      <c r="H2983" t="s">
        <v>167</v>
      </c>
      <c r="I2983" t="s">
        <v>45</v>
      </c>
      <c r="K2983" t="s">
        <v>2871</v>
      </c>
      <c r="L2983">
        <v>1733302703033</v>
      </c>
      <c r="M2983">
        <v>20250606</v>
      </c>
      <c r="N2983" t="s">
        <v>3136</v>
      </c>
      <c r="Q2983" t="s">
        <v>170</v>
      </c>
      <c r="R2983">
        <v>3970.27</v>
      </c>
      <c r="S2983">
        <v>0</v>
      </c>
      <c r="T2983">
        <v>496541</v>
      </c>
      <c r="U2983" t="s">
        <v>2872</v>
      </c>
      <c r="V2983" t="s">
        <v>2873</v>
      </c>
      <c r="W2983" t="s">
        <v>187</v>
      </c>
      <c r="Y2983" t="s">
        <v>51</v>
      </c>
      <c r="Z2983">
        <v>1470</v>
      </c>
      <c r="AH2983">
        <v>0</v>
      </c>
      <c r="AI2983">
        <v>202506</v>
      </c>
      <c r="AJ2983" t="s">
        <v>86</v>
      </c>
      <c r="AK2983">
        <v>1</v>
      </c>
      <c r="AL2983">
        <v>1</v>
      </c>
      <c r="AO2983">
        <v>1</v>
      </c>
      <c r="AP2983" t="s">
        <v>3015</v>
      </c>
      <c r="AQ2983" t="s">
        <v>3044</v>
      </c>
      <c r="AR2983" t="s">
        <v>3045</v>
      </c>
      <c r="AS2983" t="s">
        <v>3046</v>
      </c>
      <c r="AU2983" t="s">
        <v>3046</v>
      </c>
    </row>
    <row r="2984" spans="1:47" x14ac:dyDescent="0.35">
      <c r="A2984">
        <v>348751</v>
      </c>
      <c r="B2984" t="s">
        <v>214</v>
      </c>
      <c r="C2984" t="s">
        <v>215</v>
      </c>
      <c r="D2984" s="2">
        <v>45815</v>
      </c>
      <c r="E2984">
        <v>53850</v>
      </c>
      <c r="F2984">
        <v>109</v>
      </c>
      <c r="G2984" t="s">
        <v>89</v>
      </c>
      <c r="H2984" t="s">
        <v>167</v>
      </c>
      <c r="I2984" t="s">
        <v>45</v>
      </c>
      <c r="K2984">
        <v>202506068047342</v>
      </c>
      <c r="L2984">
        <v>1093306667367</v>
      </c>
      <c r="M2984">
        <v>20250606</v>
      </c>
      <c r="N2984" t="s">
        <v>168</v>
      </c>
      <c r="P2984" t="s">
        <v>511</v>
      </c>
      <c r="Q2984" t="s">
        <v>47</v>
      </c>
      <c r="R2984">
        <v>21154.46</v>
      </c>
      <c r="S2984">
        <v>0</v>
      </c>
      <c r="T2984">
        <v>4026861</v>
      </c>
      <c r="U2984">
        <v>5195820724</v>
      </c>
      <c r="V2984" t="s">
        <v>1011</v>
      </c>
      <c r="W2984" t="s">
        <v>49</v>
      </c>
      <c r="X2984" t="s">
        <v>131</v>
      </c>
      <c r="Y2984" t="s">
        <v>51</v>
      </c>
      <c r="Z2984">
        <v>1696</v>
      </c>
      <c r="AH2984">
        <v>0</v>
      </c>
      <c r="AI2984">
        <v>202506</v>
      </c>
      <c r="AJ2984" t="s">
        <v>56</v>
      </c>
      <c r="AK2984">
        <v>0</v>
      </c>
      <c r="AL2984">
        <v>1</v>
      </c>
      <c r="AM2984">
        <v>4026861</v>
      </c>
      <c r="AN2984">
        <v>1</v>
      </c>
      <c r="AO2984">
        <v>0</v>
      </c>
      <c r="AP2984" t="s">
        <v>3033</v>
      </c>
      <c r="AQ2984" t="s">
        <v>3012</v>
      </c>
      <c r="AR2984" t="s">
        <v>3034</v>
      </c>
      <c r="AS2984" t="s">
        <v>3014</v>
      </c>
      <c r="AU2984" t="s">
        <v>3014</v>
      </c>
    </row>
    <row r="2985" spans="1:47" x14ac:dyDescent="0.35">
      <c r="A2985">
        <v>348750</v>
      </c>
      <c r="B2985" t="s">
        <v>193</v>
      </c>
      <c r="C2985" t="s">
        <v>194</v>
      </c>
      <c r="D2985" s="2">
        <v>45815</v>
      </c>
      <c r="E2985">
        <v>53850</v>
      </c>
      <c r="F2985">
        <v>273</v>
      </c>
      <c r="G2985" t="s">
        <v>133</v>
      </c>
      <c r="H2985" t="s">
        <v>167</v>
      </c>
      <c r="I2985" t="s">
        <v>45</v>
      </c>
      <c r="K2985">
        <v>202506068048117</v>
      </c>
      <c r="L2985">
        <v>2733300001040</v>
      </c>
      <c r="M2985">
        <v>20250606</v>
      </c>
      <c r="N2985" t="s">
        <v>195</v>
      </c>
      <c r="Q2985" t="s">
        <v>47</v>
      </c>
      <c r="R2985">
        <v>32500</v>
      </c>
      <c r="S2985">
        <v>32500</v>
      </c>
      <c r="T2985">
        <v>1615776</v>
      </c>
      <c r="U2985" t="s">
        <v>384</v>
      </c>
      <c r="V2985" t="s">
        <v>385</v>
      </c>
      <c r="W2985" t="s">
        <v>69</v>
      </c>
      <c r="X2985" t="s">
        <v>55</v>
      </c>
      <c r="Y2985" t="s">
        <v>51</v>
      </c>
      <c r="Z2985">
        <v>1765</v>
      </c>
      <c r="AH2985">
        <v>0</v>
      </c>
      <c r="AI2985">
        <v>202506</v>
      </c>
      <c r="AJ2985" t="s">
        <v>119</v>
      </c>
      <c r="AK2985">
        <v>1</v>
      </c>
      <c r="AL2985">
        <v>1</v>
      </c>
      <c r="AM2985">
        <v>1615776</v>
      </c>
      <c r="AN2985">
        <v>1</v>
      </c>
      <c r="AO2985">
        <v>0</v>
      </c>
      <c r="AP2985" t="s">
        <v>3015</v>
      </c>
      <c r="AQ2985" t="s">
        <v>3021</v>
      </c>
      <c r="AR2985" t="s">
        <v>3022</v>
      </c>
      <c r="AT2985" t="s">
        <v>3017</v>
      </c>
      <c r="AU2985" t="s">
        <v>3014</v>
      </c>
    </row>
    <row r="2986" spans="1:47" x14ac:dyDescent="0.35">
      <c r="A2986">
        <v>348749</v>
      </c>
      <c r="B2986" t="s">
        <v>193</v>
      </c>
      <c r="C2986" t="s">
        <v>194</v>
      </c>
      <c r="D2986" s="2">
        <v>45815</v>
      </c>
      <c r="E2986">
        <v>53850</v>
      </c>
      <c r="F2986">
        <v>287</v>
      </c>
      <c r="G2986" t="s">
        <v>707</v>
      </c>
      <c r="H2986" t="s">
        <v>167</v>
      </c>
      <c r="I2986" t="s">
        <v>45</v>
      </c>
      <c r="K2986" t="s">
        <v>2868</v>
      </c>
      <c r="L2986">
        <v>2873300001853</v>
      </c>
      <c r="M2986">
        <v>20250606</v>
      </c>
      <c r="N2986" t="s">
        <v>175</v>
      </c>
      <c r="Q2986" t="s">
        <v>47</v>
      </c>
      <c r="R2986">
        <v>72046.12</v>
      </c>
      <c r="S2986">
        <v>39535</v>
      </c>
      <c r="T2986">
        <v>3722213</v>
      </c>
      <c r="U2986">
        <v>2021570698</v>
      </c>
      <c r="V2986" t="s">
        <v>708</v>
      </c>
      <c r="W2986" t="s">
        <v>49</v>
      </c>
      <c r="X2986" t="s">
        <v>117</v>
      </c>
      <c r="Y2986" t="s">
        <v>51</v>
      </c>
      <c r="Z2986">
        <v>1877</v>
      </c>
      <c r="AH2986">
        <v>0</v>
      </c>
      <c r="AI2986">
        <v>202506</v>
      </c>
      <c r="AJ2986" t="s">
        <v>86</v>
      </c>
      <c r="AK2986">
        <v>1</v>
      </c>
      <c r="AL2986">
        <v>1</v>
      </c>
      <c r="AM2986">
        <v>3722213</v>
      </c>
      <c r="AN2986">
        <v>1</v>
      </c>
      <c r="AO2986">
        <v>1</v>
      </c>
      <c r="AP2986" t="s">
        <v>3029</v>
      </c>
      <c r="AQ2986" t="s">
        <v>3012</v>
      </c>
      <c r="AR2986" t="s">
        <v>3030</v>
      </c>
      <c r="AS2986" t="s">
        <v>3014</v>
      </c>
      <c r="AU2986" t="s">
        <v>3014</v>
      </c>
    </row>
    <row r="2987" spans="1:47" x14ac:dyDescent="0.35">
      <c r="A2987">
        <v>348748</v>
      </c>
      <c r="B2987" t="s">
        <v>193</v>
      </c>
      <c r="C2987" t="s">
        <v>194</v>
      </c>
      <c r="D2987" s="2">
        <v>45815</v>
      </c>
      <c r="E2987">
        <v>53850</v>
      </c>
      <c r="F2987">
        <v>116</v>
      </c>
      <c r="G2987" t="s">
        <v>126</v>
      </c>
      <c r="H2987" t="s">
        <v>167</v>
      </c>
      <c r="I2987" t="s">
        <v>45</v>
      </c>
      <c r="K2987">
        <v>202506068048048</v>
      </c>
      <c r="L2987">
        <v>2343300010453</v>
      </c>
      <c r="M2987">
        <v>20250606</v>
      </c>
      <c r="N2987" t="s">
        <v>195</v>
      </c>
      <c r="Q2987" t="s">
        <v>47</v>
      </c>
      <c r="R2987">
        <v>126487.25</v>
      </c>
      <c r="S2987">
        <v>126487.25</v>
      </c>
      <c r="T2987">
        <v>4247777</v>
      </c>
      <c r="U2987">
        <v>233470236</v>
      </c>
      <c r="V2987" t="s">
        <v>206</v>
      </c>
      <c r="W2987" t="s">
        <v>49</v>
      </c>
      <c r="X2987" t="s">
        <v>117</v>
      </c>
      <c r="Y2987" t="s">
        <v>51</v>
      </c>
      <c r="Z2987">
        <v>1696</v>
      </c>
      <c r="AH2987">
        <v>0</v>
      </c>
      <c r="AI2987">
        <v>202506</v>
      </c>
      <c r="AJ2987" t="s">
        <v>86</v>
      </c>
      <c r="AK2987">
        <v>1</v>
      </c>
      <c r="AL2987">
        <v>1</v>
      </c>
      <c r="AM2987">
        <v>4247777</v>
      </c>
      <c r="AN2987">
        <v>1</v>
      </c>
      <c r="AO2987">
        <v>0</v>
      </c>
      <c r="AP2987" t="s">
        <v>3029</v>
      </c>
      <c r="AQ2987" t="s">
        <v>3012</v>
      </c>
      <c r="AR2987" t="s">
        <v>3030</v>
      </c>
      <c r="AS2987" t="s">
        <v>3014</v>
      </c>
      <c r="AU2987" t="s">
        <v>3014</v>
      </c>
    </row>
    <row r="2988" spans="1:47" x14ac:dyDescent="0.35">
      <c r="A2988">
        <v>348747</v>
      </c>
      <c r="B2988" t="s">
        <v>164</v>
      </c>
      <c r="C2988" t="s">
        <v>165</v>
      </c>
      <c r="D2988" s="2">
        <v>45815</v>
      </c>
      <c r="E2988">
        <v>53850</v>
      </c>
      <c r="F2988">
        <v>261</v>
      </c>
      <c r="G2988" t="s">
        <v>136</v>
      </c>
      <c r="H2988" t="s">
        <v>167</v>
      </c>
      <c r="I2988" t="s">
        <v>45</v>
      </c>
      <c r="K2988" t="s">
        <v>2874</v>
      </c>
      <c r="L2988">
        <v>2613300001265</v>
      </c>
      <c r="M2988">
        <v>20250606</v>
      </c>
      <c r="N2988" t="s">
        <v>168</v>
      </c>
      <c r="P2988" t="s">
        <v>203</v>
      </c>
      <c r="Q2988" t="s">
        <v>47</v>
      </c>
      <c r="R2988">
        <v>2500</v>
      </c>
      <c r="S2988">
        <v>0</v>
      </c>
      <c r="T2988">
        <v>1625403</v>
      </c>
      <c r="U2988" t="s">
        <v>870</v>
      </c>
      <c r="V2988" t="s">
        <v>871</v>
      </c>
      <c r="W2988" t="s">
        <v>187</v>
      </c>
      <c r="Y2988" t="s">
        <v>51</v>
      </c>
      <c r="Z2988">
        <v>1755</v>
      </c>
      <c r="AH2988">
        <v>0</v>
      </c>
      <c r="AI2988">
        <v>202506</v>
      </c>
      <c r="AJ2988" t="s">
        <v>56</v>
      </c>
      <c r="AK2988">
        <v>0</v>
      </c>
      <c r="AL2988">
        <v>1</v>
      </c>
      <c r="AO2988">
        <v>0</v>
      </c>
      <c r="AP2988" t="s">
        <v>3015</v>
      </c>
      <c r="AQ2988" t="s">
        <v>3044</v>
      </c>
      <c r="AR2988" t="s">
        <v>3045</v>
      </c>
      <c r="AS2988" t="s">
        <v>3046</v>
      </c>
      <c r="AU2988" t="s">
        <v>3046</v>
      </c>
    </row>
    <row r="2989" spans="1:47" x14ac:dyDescent="0.35">
      <c r="A2989">
        <v>348746</v>
      </c>
      <c r="B2989" t="s">
        <v>164</v>
      </c>
      <c r="C2989" t="s">
        <v>165</v>
      </c>
      <c r="D2989" s="2">
        <v>45815</v>
      </c>
      <c r="E2989">
        <v>53850</v>
      </c>
      <c r="F2989">
        <v>174</v>
      </c>
      <c r="G2989" t="s">
        <v>224</v>
      </c>
      <c r="H2989" t="s">
        <v>167</v>
      </c>
      <c r="I2989" t="s">
        <v>45</v>
      </c>
      <c r="K2989" t="s">
        <v>2875</v>
      </c>
      <c r="L2989">
        <v>1743302879664</v>
      </c>
      <c r="M2989">
        <v>20250606</v>
      </c>
      <c r="N2989" t="s">
        <v>168</v>
      </c>
      <c r="P2989" t="s">
        <v>169</v>
      </c>
      <c r="Q2989" t="s">
        <v>170</v>
      </c>
      <c r="R2989">
        <v>2500</v>
      </c>
      <c r="S2989">
        <v>0</v>
      </c>
      <c r="T2989">
        <v>4885492</v>
      </c>
      <c r="U2989" t="s">
        <v>2876</v>
      </c>
      <c r="V2989" t="s">
        <v>2877</v>
      </c>
      <c r="W2989" t="s">
        <v>69</v>
      </c>
      <c r="X2989" t="s">
        <v>595</v>
      </c>
      <c r="Y2989" t="s">
        <v>51</v>
      </c>
      <c r="Z2989">
        <v>720</v>
      </c>
      <c r="AH2989">
        <v>0</v>
      </c>
      <c r="AI2989">
        <v>202506</v>
      </c>
      <c r="AJ2989" t="s">
        <v>86</v>
      </c>
      <c r="AK2989">
        <v>1</v>
      </c>
      <c r="AL2989">
        <v>1</v>
      </c>
      <c r="AO2989">
        <v>0</v>
      </c>
      <c r="AP2989" t="s">
        <v>3015</v>
      </c>
      <c r="AQ2989" t="s">
        <v>3021</v>
      </c>
      <c r="AR2989" t="s">
        <v>3022</v>
      </c>
      <c r="AT2989" t="s">
        <v>3017</v>
      </c>
      <c r="AU2989" t="s">
        <v>3014</v>
      </c>
    </row>
    <row r="2990" spans="1:47" x14ac:dyDescent="0.35">
      <c r="A2990">
        <v>348745</v>
      </c>
      <c r="B2990" t="s">
        <v>178</v>
      </c>
      <c r="C2990" t="s">
        <v>179</v>
      </c>
      <c r="D2990" s="2">
        <v>45815</v>
      </c>
      <c r="E2990">
        <v>53850</v>
      </c>
      <c r="F2990">
        <v>267</v>
      </c>
      <c r="G2990" t="s">
        <v>349</v>
      </c>
      <c r="H2990" t="s">
        <v>167</v>
      </c>
      <c r="I2990" t="s">
        <v>45</v>
      </c>
      <c r="K2990" t="s">
        <v>2878</v>
      </c>
      <c r="L2990">
        <v>2673300010262</v>
      </c>
      <c r="M2990">
        <v>20250606</v>
      </c>
      <c r="N2990" t="s">
        <v>3136</v>
      </c>
      <c r="Q2990" t="s">
        <v>170</v>
      </c>
      <c r="R2990">
        <v>1129.19</v>
      </c>
      <c r="S2990">
        <v>0</v>
      </c>
      <c r="T2990">
        <v>1616725</v>
      </c>
      <c r="U2990">
        <v>2694030798</v>
      </c>
      <c r="V2990" t="s">
        <v>641</v>
      </c>
      <c r="W2990" t="s">
        <v>49</v>
      </c>
      <c r="X2990" t="s">
        <v>200</v>
      </c>
      <c r="Y2990" t="s">
        <v>51</v>
      </c>
      <c r="Z2990">
        <v>1878</v>
      </c>
      <c r="AH2990">
        <v>0</v>
      </c>
      <c r="AI2990">
        <v>202506</v>
      </c>
      <c r="AJ2990" t="s">
        <v>119</v>
      </c>
      <c r="AK2990">
        <v>1</v>
      </c>
      <c r="AL2990">
        <v>1</v>
      </c>
      <c r="AM2990">
        <v>1616725</v>
      </c>
      <c r="AN2990">
        <v>1</v>
      </c>
      <c r="AO2990">
        <v>1</v>
      </c>
      <c r="AP2990" t="s">
        <v>3015</v>
      </c>
      <c r="AQ2990" t="s">
        <v>3012</v>
      </c>
      <c r="AR2990" t="s">
        <v>3016</v>
      </c>
      <c r="AT2990" t="s">
        <v>3017</v>
      </c>
      <c r="AU2990" t="s">
        <v>3018</v>
      </c>
    </row>
    <row r="2991" spans="1:47" x14ac:dyDescent="0.35">
      <c r="A2991">
        <v>348744</v>
      </c>
      <c r="B2991" t="s">
        <v>178</v>
      </c>
      <c r="C2991" t="s">
        <v>179</v>
      </c>
      <c r="D2991" s="2">
        <v>45815</v>
      </c>
      <c r="E2991">
        <v>53850</v>
      </c>
      <c r="F2991">
        <v>117</v>
      </c>
      <c r="G2991" t="s">
        <v>490</v>
      </c>
      <c r="H2991" t="s">
        <v>167</v>
      </c>
      <c r="I2991" t="s">
        <v>45</v>
      </c>
      <c r="K2991" t="s">
        <v>2879</v>
      </c>
      <c r="L2991">
        <v>1173300538726</v>
      </c>
      <c r="M2991">
        <v>20250606</v>
      </c>
      <c r="N2991" t="s">
        <v>3136</v>
      </c>
      <c r="Q2991" t="s">
        <v>170</v>
      </c>
      <c r="R2991">
        <v>1694.4</v>
      </c>
      <c r="S2991">
        <v>0</v>
      </c>
      <c r="T2991">
        <v>4784989</v>
      </c>
      <c r="U2991">
        <v>1269590772</v>
      </c>
      <c r="V2991" t="s">
        <v>492</v>
      </c>
      <c r="W2991" t="s">
        <v>49</v>
      </c>
      <c r="X2991" t="s">
        <v>413</v>
      </c>
      <c r="Y2991" t="s">
        <v>51</v>
      </c>
      <c r="Z2991">
        <v>1926</v>
      </c>
      <c r="AH2991">
        <v>0</v>
      </c>
      <c r="AI2991">
        <v>202506</v>
      </c>
      <c r="AJ2991" t="s">
        <v>119</v>
      </c>
      <c r="AK2991">
        <v>1</v>
      </c>
      <c r="AL2991">
        <v>1</v>
      </c>
      <c r="AM2991">
        <v>4784989</v>
      </c>
      <c r="AN2991">
        <v>1</v>
      </c>
      <c r="AO2991">
        <v>1</v>
      </c>
      <c r="AP2991" t="s">
        <v>3015</v>
      </c>
      <c r="AQ2991" t="s">
        <v>3012</v>
      </c>
      <c r="AR2991" t="s">
        <v>3016</v>
      </c>
      <c r="AT2991" t="s">
        <v>3017</v>
      </c>
      <c r="AU2991" t="s">
        <v>3018</v>
      </c>
    </row>
    <row r="2992" spans="1:47" x14ac:dyDescent="0.35">
      <c r="A2992">
        <v>348743</v>
      </c>
      <c r="B2992" t="s">
        <v>193</v>
      </c>
      <c r="C2992" t="s">
        <v>194</v>
      </c>
      <c r="D2992" s="2">
        <v>45815</v>
      </c>
      <c r="E2992">
        <v>53850</v>
      </c>
      <c r="F2992">
        <v>279</v>
      </c>
      <c r="G2992" t="s">
        <v>587</v>
      </c>
      <c r="H2992" t="s">
        <v>167</v>
      </c>
      <c r="I2992" t="s">
        <v>45</v>
      </c>
      <c r="K2992">
        <v>202506068048669</v>
      </c>
      <c r="L2992">
        <v>2793300011675</v>
      </c>
      <c r="M2992">
        <v>20250606</v>
      </c>
      <c r="N2992" t="s">
        <v>266</v>
      </c>
      <c r="Q2992" t="s">
        <v>47</v>
      </c>
      <c r="R2992">
        <v>20600</v>
      </c>
      <c r="S2992">
        <v>20600</v>
      </c>
      <c r="T2992">
        <v>3745333</v>
      </c>
      <c r="U2992" t="s">
        <v>2880</v>
      </c>
      <c r="V2992" t="s">
        <v>2881</v>
      </c>
      <c r="W2992" t="s">
        <v>187</v>
      </c>
      <c r="Y2992" t="s">
        <v>51</v>
      </c>
      <c r="Z2992">
        <v>1847</v>
      </c>
      <c r="AH2992">
        <v>0</v>
      </c>
      <c r="AI2992">
        <v>202506</v>
      </c>
      <c r="AJ2992" t="s">
        <v>86</v>
      </c>
      <c r="AK2992">
        <v>1</v>
      </c>
      <c r="AL2992">
        <v>1</v>
      </c>
      <c r="AM2992">
        <v>3745333</v>
      </c>
      <c r="AN2992">
        <v>1</v>
      </c>
      <c r="AO2992">
        <v>0</v>
      </c>
      <c r="AP2992" t="s">
        <v>3015</v>
      </c>
      <c r="AQ2992" t="s">
        <v>3044</v>
      </c>
      <c r="AR2992" t="s">
        <v>3045</v>
      </c>
      <c r="AS2992" t="s">
        <v>3046</v>
      </c>
      <c r="AU2992" t="s">
        <v>3046</v>
      </c>
    </row>
    <row r="2993" spans="1:47" x14ac:dyDescent="0.35">
      <c r="A2993">
        <v>348742</v>
      </c>
      <c r="B2993" t="s">
        <v>172</v>
      </c>
      <c r="C2993" t="s">
        <v>173</v>
      </c>
      <c r="D2993" s="2">
        <v>45815</v>
      </c>
      <c r="E2993">
        <v>53850</v>
      </c>
      <c r="F2993">
        <v>109</v>
      </c>
      <c r="G2993" t="s">
        <v>89</v>
      </c>
      <c r="H2993" t="s">
        <v>167</v>
      </c>
      <c r="I2993" t="s">
        <v>45</v>
      </c>
      <c r="K2993">
        <v>202506068048241</v>
      </c>
      <c r="L2993">
        <v>1093306674139</v>
      </c>
      <c r="M2993">
        <v>20250606</v>
      </c>
      <c r="N2993" t="s">
        <v>231</v>
      </c>
      <c r="Q2993" t="s">
        <v>47</v>
      </c>
      <c r="R2993">
        <v>395000</v>
      </c>
      <c r="S2993">
        <v>0</v>
      </c>
      <c r="T2993">
        <v>435408</v>
      </c>
      <c r="U2993" t="s">
        <v>2882</v>
      </c>
      <c r="V2993" t="s">
        <v>2883</v>
      </c>
      <c r="W2993" t="s">
        <v>187</v>
      </c>
      <c r="Y2993" t="s">
        <v>51</v>
      </c>
      <c r="Z2993">
        <v>778</v>
      </c>
      <c r="AH2993">
        <v>0</v>
      </c>
      <c r="AI2993">
        <v>202506</v>
      </c>
      <c r="AJ2993" t="s">
        <v>86</v>
      </c>
      <c r="AK2993">
        <v>1</v>
      </c>
      <c r="AL2993">
        <v>1</v>
      </c>
      <c r="AO2993">
        <v>0</v>
      </c>
      <c r="AP2993" t="s">
        <v>3015</v>
      </c>
      <c r="AQ2993" t="s">
        <v>3044</v>
      </c>
      <c r="AR2993" t="s">
        <v>3045</v>
      </c>
      <c r="AS2993" t="s">
        <v>3046</v>
      </c>
      <c r="AU2993" t="s">
        <v>3046</v>
      </c>
    </row>
    <row r="2994" spans="1:47" x14ac:dyDescent="0.35">
      <c r="A2994">
        <v>348741</v>
      </c>
      <c r="B2994" t="s">
        <v>214</v>
      </c>
      <c r="C2994" t="s">
        <v>215</v>
      </c>
      <c r="D2994" s="2">
        <v>45815</v>
      </c>
      <c r="E2994">
        <v>53850</v>
      </c>
      <c r="F2994">
        <v>267</v>
      </c>
      <c r="G2994" t="s">
        <v>349</v>
      </c>
      <c r="H2994" t="s">
        <v>167</v>
      </c>
      <c r="I2994" t="s">
        <v>45</v>
      </c>
      <c r="K2994">
        <v>202506068047348</v>
      </c>
      <c r="L2994">
        <v>2673300010274</v>
      </c>
      <c r="M2994">
        <v>20250606</v>
      </c>
      <c r="N2994" t="s">
        <v>168</v>
      </c>
      <c r="P2994" t="s">
        <v>339</v>
      </c>
      <c r="Q2994" t="s">
        <v>170</v>
      </c>
      <c r="R2994">
        <v>36359.74</v>
      </c>
      <c r="S2994">
        <v>0</v>
      </c>
      <c r="T2994">
        <v>4992646</v>
      </c>
      <c r="U2994">
        <v>3152440792</v>
      </c>
      <c r="V2994" t="s">
        <v>2240</v>
      </c>
      <c r="W2994" t="s">
        <v>49</v>
      </c>
      <c r="X2994" t="s">
        <v>710</v>
      </c>
      <c r="Y2994" t="s">
        <v>51</v>
      </c>
      <c r="Z2994">
        <v>1627</v>
      </c>
      <c r="AH2994">
        <v>0</v>
      </c>
      <c r="AI2994">
        <v>202506</v>
      </c>
      <c r="AJ2994" t="s">
        <v>86</v>
      </c>
      <c r="AK2994">
        <v>1</v>
      </c>
      <c r="AL2994">
        <v>1</v>
      </c>
      <c r="AO2994">
        <v>0</v>
      </c>
      <c r="AP2994" t="s">
        <v>3015</v>
      </c>
      <c r="AQ2994" t="s">
        <v>3012</v>
      </c>
      <c r="AR2994" t="s">
        <v>3016</v>
      </c>
      <c r="AT2994" t="s">
        <v>3017</v>
      </c>
      <c r="AU2994" t="s">
        <v>3018</v>
      </c>
    </row>
    <row r="2995" spans="1:47" x14ac:dyDescent="0.35">
      <c r="A2995">
        <v>348740</v>
      </c>
      <c r="B2995" t="s">
        <v>193</v>
      </c>
      <c r="C2995" t="s">
        <v>194</v>
      </c>
      <c r="D2995" s="2">
        <v>45815</v>
      </c>
      <c r="E2995">
        <v>53850</v>
      </c>
      <c r="F2995">
        <v>161</v>
      </c>
      <c r="G2995" t="s">
        <v>111</v>
      </c>
      <c r="H2995" t="s">
        <v>167</v>
      </c>
      <c r="I2995" t="s">
        <v>45</v>
      </c>
      <c r="K2995" t="s">
        <v>2868</v>
      </c>
      <c r="L2995">
        <v>1613300031333</v>
      </c>
      <c r="M2995">
        <v>20250606</v>
      </c>
      <c r="N2995" t="s">
        <v>175</v>
      </c>
      <c r="Q2995" t="s">
        <v>47</v>
      </c>
      <c r="R2995">
        <v>39001.15</v>
      </c>
      <c r="S2995">
        <v>35000</v>
      </c>
      <c r="T2995">
        <v>511904</v>
      </c>
      <c r="U2995" t="s">
        <v>388</v>
      </c>
      <c r="V2995" t="s">
        <v>389</v>
      </c>
      <c r="W2995" t="s">
        <v>69</v>
      </c>
      <c r="X2995" t="s">
        <v>55</v>
      </c>
      <c r="Y2995" t="s">
        <v>51</v>
      </c>
      <c r="Z2995">
        <v>857</v>
      </c>
      <c r="AH2995">
        <v>0</v>
      </c>
      <c r="AI2995">
        <v>202506</v>
      </c>
      <c r="AJ2995" t="s">
        <v>119</v>
      </c>
      <c r="AK2995">
        <v>1</v>
      </c>
      <c r="AL2995">
        <v>1</v>
      </c>
      <c r="AM2995">
        <v>511904</v>
      </c>
      <c r="AN2995">
        <v>1</v>
      </c>
      <c r="AO2995">
        <v>1</v>
      </c>
      <c r="AP2995" t="s">
        <v>3015</v>
      </c>
      <c r="AQ2995" t="s">
        <v>3021</v>
      </c>
      <c r="AR2995" t="s">
        <v>3022</v>
      </c>
      <c r="AT2995" t="s">
        <v>3017</v>
      </c>
      <c r="AU2995" t="s">
        <v>3014</v>
      </c>
    </row>
    <row r="2996" spans="1:47" x14ac:dyDescent="0.35">
      <c r="A2996">
        <v>348739</v>
      </c>
      <c r="B2996" t="s">
        <v>178</v>
      </c>
      <c r="C2996" t="s">
        <v>179</v>
      </c>
      <c r="D2996" s="2">
        <v>45815</v>
      </c>
      <c r="E2996">
        <v>53850</v>
      </c>
      <c r="F2996">
        <v>102</v>
      </c>
      <c r="G2996" t="s">
        <v>151</v>
      </c>
      <c r="H2996" t="s">
        <v>167</v>
      </c>
      <c r="I2996" t="s">
        <v>45</v>
      </c>
      <c r="K2996">
        <v>202506068046908</v>
      </c>
      <c r="L2996">
        <v>1023308719030</v>
      </c>
      <c r="M2996">
        <v>20250606</v>
      </c>
      <c r="N2996" t="s">
        <v>46</v>
      </c>
      <c r="P2996" t="s">
        <v>51</v>
      </c>
      <c r="Q2996" t="s">
        <v>47</v>
      </c>
      <c r="R2996">
        <v>1000000</v>
      </c>
      <c r="S2996">
        <v>0</v>
      </c>
      <c r="T2996">
        <v>4414552</v>
      </c>
      <c r="U2996">
        <v>6605700720</v>
      </c>
      <c r="V2996" t="s">
        <v>2454</v>
      </c>
      <c r="W2996" t="s">
        <v>49</v>
      </c>
      <c r="X2996" t="s">
        <v>364</v>
      </c>
      <c r="Y2996" t="s">
        <v>51</v>
      </c>
      <c r="Z2996">
        <v>739</v>
      </c>
      <c r="AH2996">
        <v>0</v>
      </c>
      <c r="AI2996">
        <v>202506</v>
      </c>
      <c r="AJ2996" t="s">
        <v>56</v>
      </c>
      <c r="AK2996">
        <v>0</v>
      </c>
      <c r="AL2996">
        <v>1</v>
      </c>
      <c r="AO2996">
        <v>0</v>
      </c>
      <c r="AP2996" t="s">
        <v>3062</v>
      </c>
      <c r="AQ2996" t="s">
        <v>3012</v>
      </c>
      <c r="AR2996" t="s">
        <v>3063</v>
      </c>
      <c r="AS2996" t="s">
        <v>3014</v>
      </c>
      <c r="AU2996" t="s">
        <v>3014</v>
      </c>
    </row>
    <row r="2997" spans="1:47" x14ac:dyDescent="0.35">
      <c r="A2997">
        <v>348738</v>
      </c>
      <c r="B2997" t="s">
        <v>178</v>
      </c>
      <c r="C2997" t="s">
        <v>179</v>
      </c>
      <c r="D2997" s="2">
        <v>45815</v>
      </c>
      <c r="E2997">
        <v>53850</v>
      </c>
      <c r="F2997">
        <v>105</v>
      </c>
      <c r="G2997" t="s">
        <v>60</v>
      </c>
      <c r="H2997" t="s">
        <v>167</v>
      </c>
      <c r="I2997" t="s">
        <v>45</v>
      </c>
      <c r="K2997" t="s">
        <v>2884</v>
      </c>
      <c r="L2997">
        <v>1053306286975</v>
      </c>
      <c r="M2997">
        <v>20250606</v>
      </c>
      <c r="N2997" t="s">
        <v>3136</v>
      </c>
      <c r="Q2997" t="s">
        <v>170</v>
      </c>
      <c r="R2997">
        <v>1184.79</v>
      </c>
      <c r="S2997">
        <v>0</v>
      </c>
      <c r="T2997">
        <v>434072</v>
      </c>
      <c r="U2997" t="s">
        <v>2885</v>
      </c>
      <c r="V2997" t="s">
        <v>2886</v>
      </c>
      <c r="W2997" t="s">
        <v>187</v>
      </c>
      <c r="Y2997" t="s">
        <v>51</v>
      </c>
      <c r="Z2997">
        <v>833</v>
      </c>
      <c r="AH2997">
        <v>0</v>
      </c>
      <c r="AI2997">
        <v>202506</v>
      </c>
      <c r="AJ2997" t="s">
        <v>52</v>
      </c>
      <c r="AK2997">
        <v>0</v>
      </c>
      <c r="AL2997">
        <v>1</v>
      </c>
      <c r="AO2997">
        <v>1</v>
      </c>
      <c r="AP2997" t="s">
        <v>3015</v>
      </c>
      <c r="AQ2997" t="s">
        <v>3044</v>
      </c>
      <c r="AR2997" t="s">
        <v>3045</v>
      </c>
      <c r="AS2997" t="s">
        <v>3046</v>
      </c>
      <c r="AU2997" t="s">
        <v>3046</v>
      </c>
    </row>
    <row r="2998" spans="1:47" x14ac:dyDescent="0.35">
      <c r="A2998">
        <v>348737</v>
      </c>
      <c r="B2998" t="s">
        <v>193</v>
      </c>
      <c r="C2998" t="s">
        <v>194</v>
      </c>
      <c r="D2998" s="2">
        <v>45815</v>
      </c>
      <c r="E2998">
        <v>53850</v>
      </c>
      <c r="F2998">
        <v>171</v>
      </c>
      <c r="G2998" t="s">
        <v>198</v>
      </c>
      <c r="H2998" t="s">
        <v>167</v>
      </c>
      <c r="I2998" t="s">
        <v>45</v>
      </c>
      <c r="K2998" t="s">
        <v>2868</v>
      </c>
      <c r="L2998">
        <v>1713305728950</v>
      </c>
      <c r="M2998">
        <v>20250606</v>
      </c>
      <c r="N2998" t="s">
        <v>195</v>
      </c>
      <c r="Q2998" t="s">
        <v>47</v>
      </c>
      <c r="R2998">
        <v>323898.65999999997</v>
      </c>
      <c r="S2998">
        <v>323898.65999999997</v>
      </c>
      <c r="T2998">
        <v>572895</v>
      </c>
      <c r="U2998">
        <v>4161600723</v>
      </c>
      <c r="V2998" t="s">
        <v>199</v>
      </c>
      <c r="W2998" t="s">
        <v>49</v>
      </c>
      <c r="X2998" t="s">
        <v>200</v>
      </c>
      <c r="Y2998" t="s">
        <v>51</v>
      </c>
      <c r="Z2998">
        <v>1903</v>
      </c>
      <c r="AH2998">
        <v>0</v>
      </c>
      <c r="AI2998">
        <v>202506</v>
      </c>
      <c r="AJ2998" t="s">
        <v>119</v>
      </c>
      <c r="AK2998">
        <v>1</v>
      </c>
      <c r="AL2998">
        <v>1</v>
      </c>
      <c r="AM2998">
        <v>572895</v>
      </c>
      <c r="AN2998">
        <v>1</v>
      </c>
      <c r="AO2998">
        <v>0</v>
      </c>
      <c r="AP2998" t="s">
        <v>3015</v>
      </c>
      <c r="AQ2998" t="s">
        <v>3012</v>
      </c>
      <c r="AR2998" t="s">
        <v>3016</v>
      </c>
      <c r="AT2998" t="s">
        <v>3017</v>
      </c>
      <c r="AU2998" t="s">
        <v>3018</v>
      </c>
    </row>
    <row r="2999" spans="1:47" x14ac:dyDescent="0.35">
      <c r="A2999">
        <v>348736</v>
      </c>
      <c r="B2999" t="s">
        <v>178</v>
      </c>
      <c r="C2999" t="s">
        <v>179</v>
      </c>
      <c r="D2999" s="2">
        <v>45815</v>
      </c>
      <c r="E2999">
        <v>53850</v>
      </c>
      <c r="F2999">
        <v>173</v>
      </c>
      <c r="G2999" t="s">
        <v>1409</v>
      </c>
      <c r="H2999" t="s">
        <v>167</v>
      </c>
      <c r="I2999" t="s">
        <v>45</v>
      </c>
      <c r="K2999" t="s">
        <v>2871</v>
      </c>
      <c r="L2999">
        <v>1733302703033</v>
      </c>
      <c r="M2999">
        <v>20250606</v>
      </c>
      <c r="N2999" t="s">
        <v>3136</v>
      </c>
      <c r="Q2999" t="s">
        <v>170</v>
      </c>
      <c r="R2999">
        <v>3970.27</v>
      </c>
      <c r="S2999">
        <v>0</v>
      </c>
      <c r="T2999">
        <v>571081</v>
      </c>
      <c r="U2999" t="s">
        <v>2887</v>
      </c>
      <c r="V2999" t="s">
        <v>2888</v>
      </c>
      <c r="W2999" t="s">
        <v>187</v>
      </c>
      <c r="Y2999" t="s">
        <v>51</v>
      </c>
      <c r="Z2999">
        <v>1179</v>
      </c>
      <c r="AH2999">
        <v>0</v>
      </c>
      <c r="AI2999">
        <v>202506</v>
      </c>
      <c r="AJ2999" t="s">
        <v>86</v>
      </c>
      <c r="AK2999">
        <v>1</v>
      </c>
      <c r="AL2999">
        <v>1</v>
      </c>
      <c r="AO2999">
        <v>1</v>
      </c>
      <c r="AP2999" t="s">
        <v>3015</v>
      </c>
      <c r="AQ2999" t="s">
        <v>3044</v>
      </c>
      <c r="AR2999" t="s">
        <v>3045</v>
      </c>
      <c r="AS2999" t="s">
        <v>3046</v>
      </c>
      <c r="AU2999" t="s">
        <v>3046</v>
      </c>
    </row>
    <row r="3000" spans="1:47" x14ac:dyDescent="0.35">
      <c r="A3000">
        <v>348735</v>
      </c>
      <c r="B3000" t="s">
        <v>193</v>
      </c>
      <c r="C3000" t="s">
        <v>194</v>
      </c>
      <c r="D3000" s="2">
        <v>45815</v>
      </c>
      <c r="E3000">
        <v>53850</v>
      </c>
      <c r="F3000">
        <v>174</v>
      </c>
      <c r="G3000" t="s">
        <v>224</v>
      </c>
      <c r="H3000" t="s">
        <v>167</v>
      </c>
      <c r="I3000" t="s">
        <v>45</v>
      </c>
      <c r="K3000" t="s">
        <v>2868</v>
      </c>
      <c r="L3000">
        <v>1743302879903</v>
      </c>
      <c r="M3000">
        <v>20250606</v>
      </c>
      <c r="N3000" t="s">
        <v>175</v>
      </c>
      <c r="Q3000" t="s">
        <v>47</v>
      </c>
      <c r="R3000">
        <v>49205.23</v>
      </c>
      <c r="S3000">
        <v>45000</v>
      </c>
      <c r="T3000">
        <v>4928259</v>
      </c>
      <c r="U3000">
        <v>8287320728</v>
      </c>
      <c r="V3000" t="s">
        <v>1171</v>
      </c>
      <c r="W3000" t="s">
        <v>49</v>
      </c>
      <c r="X3000" t="s">
        <v>117</v>
      </c>
      <c r="Y3000" t="s">
        <v>51</v>
      </c>
      <c r="Z3000">
        <v>448</v>
      </c>
      <c r="AH3000">
        <v>0</v>
      </c>
      <c r="AI3000">
        <v>202506</v>
      </c>
      <c r="AJ3000" t="s">
        <v>86</v>
      </c>
      <c r="AK3000">
        <v>1</v>
      </c>
      <c r="AL3000">
        <v>1</v>
      </c>
      <c r="AM3000">
        <v>4928259</v>
      </c>
      <c r="AN3000">
        <v>1</v>
      </c>
      <c r="AO3000">
        <v>1</v>
      </c>
      <c r="AP3000" t="s">
        <v>3029</v>
      </c>
      <c r="AQ3000" t="s">
        <v>3012</v>
      </c>
      <c r="AR3000" t="s">
        <v>3030</v>
      </c>
      <c r="AS3000" t="s">
        <v>3014</v>
      </c>
      <c r="AU3000" t="s">
        <v>3014</v>
      </c>
    </row>
    <row r="3001" spans="1:47" x14ac:dyDescent="0.35">
      <c r="A3001">
        <v>348734</v>
      </c>
      <c r="B3001" t="s">
        <v>178</v>
      </c>
      <c r="C3001" t="s">
        <v>179</v>
      </c>
      <c r="D3001" s="2">
        <v>45815</v>
      </c>
      <c r="E3001">
        <v>53850</v>
      </c>
      <c r="F3001">
        <v>134</v>
      </c>
      <c r="G3001" t="s">
        <v>804</v>
      </c>
      <c r="H3001" t="s">
        <v>167</v>
      </c>
      <c r="I3001" t="s">
        <v>45</v>
      </c>
      <c r="K3001">
        <v>202506068048357</v>
      </c>
      <c r="L3001">
        <v>1303300001226</v>
      </c>
      <c r="M3001">
        <v>20250606</v>
      </c>
      <c r="N3001" t="s">
        <v>3136</v>
      </c>
      <c r="Q3001" t="s">
        <v>170</v>
      </c>
      <c r="R3001">
        <v>26834.720000000001</v>
      </c>
      <c r="S3001">
        <v>0</v>
      </c>
      <c r="T3001">
        <v>4005229</v>
      </c>
      <c r="U3001" t="s">
        <v>2889</v>
      </c>
      <c r="V3001" t="s">
        <v>2890</v>
      </c>
      <c r="W3001" t="s">
        <v>187</v>
      </c>
      <c r="Y3001" t="s">
        <v>51</v>
      </c>
      <c r="Z3001">
        <v>801</v>
      </c>
      <c r="AH3001">
        <v>0</v>
      </c>
      <c r="AI3001">
        <v>202506</v>
      </c>
      <c r="AJ3001" t="s">
        <v>86</v>
      </c>
      <c r="AK3001">
        <v>1</v>
      </c>
      <c r="AL3001">
        <v>1</v>
      </c>
      <c r="AO3001">
        <v>1</v>
      </c>
      <c r="AP3001" t="s">
        <v>3015</v>
      </c>
      <c r="AQ3001" t="s">
        <v>3044</v>
      </c>
      <c r="AR3001" t="s">
        <v>3045</v>
      </c>
      <c r="AS3001" t="s">
        <v>3046</v>
      </c>
      <c r="AU3001" t="s">
        <v>3046</v>
      </c>
    </row>
    <row r="3002" spans="1:47" x14ac:dyDescent="0.35">
      <c r="A3002">
        <v>348733</v>
      </c>
      <c r="B3002" t="s">
        <v>178</v>
      </c>
      <c r="C3002" t="s">
        <v>179</v>
      </c>
      <c r="D3002" s="2">
        <v>45815</v>
      </c>
      <c r="E3002">
        <v>53850</v>
      </c>
      <c r="F3002">
        <v>181</v>
      </c>
      <c r="G3002" t="s">
        <v>180</v>
      </c>
      <c r="H3002" t="s">
        <v>167</v>
      </c>
      <c r="I3002" t="s">
        <v>45</v>
      </c>
      <c r="K3002">
        <v>202506068048512</v>
      </c>
      <c r="L3002">
        <v>1813300010594</v>
      </c>
      <c r="M3002">
        <v>20250606</v>
      </c>
      <c r="N3002" t="s">
        <v>3136</v>
      </c>
      <c r="Q3002" t="s">
        <v>170</v>
      </c>
      <c r="R3002">
        <v>18063.330000000002</v>
      </c>
      <c r="S3002">
        <v>0</v>
      </c>
      <c r="T3002">
        <v>601835</v>
      </c>
      <c r="U3002">
        <v>83003310725</v>
      </c>
      <c r="V3002" t="s">
        <v>182</v>
      </c>
      <c r="W3002" t="s">
        <v>183</v>
      </c>
      <c r="Y3002" t="s">
        <v>51</v>
      </c>
      <c r="Z3002">
        <v>1401</v>
      </c>
      <c r="AH3002">
        <v>0</v>
      </c>
      <c r="AI3002">
        <v>202506</v>
      </c>
      <c r="AJ3002" t="s">
        <v>86</v>
      </c>
      <c r="AK3002">
        <v>1</v>
      </c>
      <c r="AL3002">
        <v>1</v>
      </c>
      <c r="AO3002">
        <v>1</v>
      </c>
      <c r="AP3002" t="s">
        <v>3015</v>
      </c>
      <c r="AQ3002" t="s">
        <v>3042</v>
      </c>
      <c r="AR3002" t="s">
        <v>3043</v>
      </c>
      <c r="AS3002" t="s">
        <v>3037</v>
      </c>
      <c r="AU3002" t="s">
        <v>3037</v>
      </c>
    </row>
    <row r="3003" spans="1:47" x14ac:dyDescent="0.35">
      <c r="A3003">
        <v>348732</v>
      </c>
      <c r="B3003" t="s">
        <v>164</v>
      </c>
      <c r="C3003" t="s">
        <v>165</v>
      </c>
      <c r="D3003" s="2">
        <v>45815</v>
      </c>
      <c r="E3003">
        <v>53850</v>
      </c>
      <c r="F3003">
        <v>111</v>
      </c>
      <c r="G3003" t="s">
        <v>458</v>
      </c>
      <c r="H3003" t="s">
        <v>167</v>
      </c>
      <c r="I3003" t="s">
        <v>45</v>
      </c>
      <c r="K3003">
        <v>202506068045588</v>
      </c>
      <c r="L3003">
        <v>1113305626850</v>
      </c>
      <c r="M3003">
        <v>20250606</v>
      </c>
      <c r="N3003" t="s">
        <v>168</v>
      </c>
      <c r="P3003" t="s">
        <v>169</v>
      </c>
      <c r="Q3003" t="s">
        <v>170</v>
      </c>
      <c r="R3003">
        <v>5000</v>
      </c>
      <c r="S3003">
        <v>0</v>
      </c>
      <c r="T3003">
        <v>562685</v>
      </c>
      <c r="U3003" t="s">
        <v>459</v>
      </c>
      <c r="V3003" t="s">
        <v>460</v>
      </c>
      <c r="W3003" t="s">
        <v>187</v>
      </c>
      <c r="Y3003" t="s">
        <v>51</v>
      </c>
      <c r="Z3003">
        <v>593</v>
      </c>
      <c r="AH3003">
        <v>0</v>
      </c>
      <c r="AI3003">
        <v>202506</v>
      </c>
      <c r="AJ3003" t="s">
        <v>86</v>
      </c>
      <c r="AK3003">
        <v>1</v>
      </c>
      <c r="AL3003">
        <v>1</v>
      </c>
      <c r="AO3003">
        <v>0</v>
      </c>
      <c r="AP3003" t="s">
        <v>3015</v>
      </c>
      <c r="AQ3003" t="s">
        <v>3044</v>
      </c>
      <c r="AR3003" t="s">
        <v>3045</v>
      </c>
      <c r="AS3003" t="s">
        <v>3046</v>
      </c>
      <c r="AU3003" t="s">
        <v>3046</v>
      </c>
    </row>
    <row r="3004" spans="1:47" x14ac:dyDescent="0.35">
      <c r="A3004">
        <v>348731</v>
      </c>
      <c r="B3004" t="s">
        <v>214</v>
      </c>
      <c r="C3004" t="s">
        <v>215</v>
      </c>
      <c r="D3004" s="2">
        <v>45815</v>
      </c>
      <c r="E3004">
        <v>53850</v>
      </c>
      <c r="F3004">
        <v>226</v>
      </c>
      <c r="G3004" t="s">
        <v>129</v>
      </c>
      <c r="H3004" t="s">
        <v>167</v>
      </c>
      <c r="I3004" t="s">
        <v>45</v>
      </c>
      <c r="K3004">
        <v>202506068047007</v>
      </c>
      <c r="L3004">
        <v>1453300003928</v>
      </c>
      <c r="M3004">
        <v>20250606</v>
      </c>
      <c r="N3004" t="s">
        <v>168</v>
      </c>
      <c r="P3004" t="s">
        <v>217</v>
      </c>
      <c r="Q3004" t="s">
        <v>47</v>
      </c>
      <c r="R3004">
        <v>30000</v>
      </c>
      <c r="S3004">
        <v>0</v>
      </c>
      <c r="T3004">
        <v>3726295</v>
      </c>
      <c r="U3004">
        <v>10503411216</v>
      </c>
      <c r="V3004" t="s">
        <v>1172</v>
      </c>
      <c r="W3004" t="s">
        <v>49</v>
      </c>
      <c r="X3004" t="s">
        <v>1173</v>
      </c>
      <c r="Y3004" t="s">
        <v>51</v>
      </c>
      <c r="Z3004">
        <v>1932</v>
      </c>
      <c r="AH3004">
        <v>0</v>
      </c>
      <c r="AI3004">
        <v>202506</v>
      </c>
      <c r="AJ3004" t="s">
        <v>86</v>
      </c>
      <c r="AK3004">
        <v>1</v>
      </c>
      <c r="AL3004">
        <v>1</v>
      </c>
      <c r="AO3004">
        <v>0</v>
      </c>
      <c r="AP3004" t="s">
        <v>3015</v>
      </c>
      <c r="AQ3004" t="s">
        <v>3012</v>
      </c>
      <c r="AR3004" t="s">
        <v>3016</v>
      </c>
      <c r="AT3004" t="s">
        <v>3017</v>
      </c>
      <c r="AU3004" t="s">
        <v>3018</v>
      </c>
    </row>
    <row r="3005" spans="1:47" x14ac:dyDescent="0.35">
      <c r="A3005">
        <v>348730</v>
      </c>
      <c r="B3005" t="s">
        <v>178</v>
      </c>
      <c r="C3005" t="s">
        <v>179</v>
      </c>
      <c r="D3005" s="2">
        <v>45815</v>
      </c>
      <c r="E3005">
        <v>53850</v>
      </c>
      <c r="F3005">
        <v>105</v>
      </c>
      <c r="G3005" t="s">
        <v>60</v>
      </c>
      <c r="H3005" t="s">
        <v>167</v>
      </c>
      <c r="I3005" t="s">
        <v>45</v>
      </c>
      <c r="K3005">
        <v>202506068048227</v>
      </c>
      <c r="L3005">
        <v>1053305150380</v>
      </c>
      <c r="M3005">
        <v>20250606</v>
      </c>
      <c r="N3005" t="s">
        <v>344</v>
      </c>
      <c r="Q3005" t="s">
        <v>170</v>
      </c>
      <c r="R3005">
        <v>200200</v>
      </c>
      <c r="S3005">
        <v>0</v>
      </c>
      <c r="T3005">
        <v>515038</v>
      </c>
      <c r="U3005" t="s">
        <v>2891</v>
      </c>
      <c r="V3005" t="s">
        <v>2892</v>
      </c>
      <c r="W3005" t="s">
        <v>187</v>
      </c>
      <c r="Y3005" t="s">
        <v>51</v>
      </c>
      <c r="AH3005">
        <v>0</v>
      </c>
      <c r="AI3005">
        <v>202506</v>
      </c>
      <c r="AJ3005" t="s">
        <v>86</v>
      </c>
      <c r="AK3005">
        <v>1</v>
      </c>
      <c r="AL3005">
        <v>1</v>
      </c>
      <c r="AO3005">
        <v>0</v>
      </c>
      <c r="AP3005" t="s">
        <v>3015</v>
      </c>
      <c r="AQ3005" t="s">
        <v>3044</v>
      </c>
      <c r="AR3005" t="s">
        <v>3045</v>
      </c>
      <c r="AS3005" t="s">
        <v>3046</v>
      </c>
      <c r="AU3005" t="s">
        <v>3046</v>
      </c>
    </row>
    <row r="3006" spans="1:47" x14ac:dyDescent="0.35">
      <c r="A3006">
        <v>348729</v>
      </c>
      <c r="B3006" t="s">
        <v>172</v>
      </c>
      <c r="C3006" t="s">
        <v>173</v>
      </c>
      <c r="D3006" s="2">
        <v>45815</v>
      </c>
      <c r="E3006">
        <v>53850</v>
      </c>
      <c r="F3006">
        <v>161</v>
      </c>
      <c r="G3006" t="s">
        <v>111</v>
      </c>
      <c r="H3006" t="s">
        <v>167</v>
      </c>
      <c r="I3006" t="s">
        <v>45</v>
      </c>
      <c r="K3006" t="s">
        <v>2868</v>
      </c>
      <c r="L3006">
        <v>1613300029653</v>
      </c>
      <c r="M3006">
        <v>20250606</v>
      </c>
      <c r="N3006" t="s">
        <v>175</v>
      </c>
      <c r="Q3006" t="s">
        <v>47</v>
      </c>
      <c r="R3006">
        <v>94634.78</v>
      </c>
      <c r="S3006">
        <v>10400</v>
      </c>
      <c r="T3006">
        <v>4088769</v>
      </c>
      <c r="U3006">
        <v>5150120722</v>
      </c>
      <c r="V3006" t="s">
        <v>270</v>
      </c>
      <c r="W3006" t="s">
        <v>49</v>
      </c>
      <c r="X3006" t="s">
        <v>110</v>
      </c>
      <c r="Y3006" t="s">
        <v>51</v>
      </c>
      <c r="Z3006">
        <v>1903</v>
      </c>
      <c r="AH3006">
        <v>0</v>
      </c>
      <c r="AI3006">
        <v>202506</v>
      </c>
      <c r="AJ3006" t="s">
        <v>56</v>
      </c>
      <c r="AK3006">
        <v>0</v>
      </c>
      <c r="AL3006">
        <v>1</v>
      </c>
      <c r="AM3006">
        <v>4088769</v>
      </c>
      <c r="AN3006">
        <v>1</v>
      </c>
      <c r="AO3006">
        <v>1</v>
      </c>
      <c r="AP3006" t="s">
        <v>3026</v>
      </c>
      <c r="AQ3006" t="s">
        <v>3012</v>
      </c>
      <c r="AR3006" t="s">
        <v>3027</v>
      </c>
      <c r="AS3006" t="s">
        <v>3028</v>
      </c>
      <c r="AU3006" t="s">
        <v>3028</v>
      </c>
    </row>
    <row r="3007" spans="1:47" x14ac:dyDescent="0.35">
      <c r="A3007">
        <v>348728</v>
      </c>
      <c r="B3007" t="s">
        <v>178</v>
      </c>
      <c r="C3007" t="s">
        <v>179</v>
      </c>
      <c r="D3007" s="2">
        <v>45815</v>
      </c>
      <c r="E3007">
        <v>53850</v>
      </c>
      <c r="F3007">
        <v>173</v>
      </c>
      <c r="G3007" t="s">
        <v>1409</v>
      </c>
      <c r="H3007" t="s">
        <v>167</v>
      </c>
      <c r="I3007" t="s">
        <v>45</v>
      </c>
      <c r="K3007" t="s">
        <v>2871</v>
      </c>
      <c r="L3007">
        <v>1733302703033</v>
      </c>
      <c r="M3007">
        <v>20250606</v>
      </c>
      <c r="N3007" t="s">
        <v>3136</v>
      </c>
      <c r="Q3007" t="s">
        <v>170</v>
      </c>
      <c r="R3007">
        <v>3970.27</v>
      </c>
      <c r="S3007">
        <v>0</v>
      </c>
      <c r="T3007">
        <v>571084</v>
      </c>
      <c r="U3007" t="s">
        <v>2893</v>
      </c>
      <c r="V3007" t="s">
        <v>2894</v>
      </c>
      <c r="W3007" t="s">
        <v>187</v>
      </c>
      <c r="Y3007" t="s">
        <v>51</v>
      </c>
      <c r="AH3007">
        <v>0</v>
      </c>
      <c r="AI3007">
        <v>202506</v>
      </c>
      <c r="AJ3007" t="s">
        <v>86</v>
      </c>
      <c r="AK3007">
        <v>1</v>
      </c>
      <c r="AL3007">
        <v>1</v>
      </c>
      <c r="AO3007">
        <v>1</v>
      </c>
      <c r="AP3007" t="s">
        <v>3015</v>
      </c>
      <c r="AQ3007" t="s">
        <v>3044</v>
      </c>
      <c r="AR3007" t="s">
        <v>3045</v>
      </c>
      <c r="AS3007" t="s">
        <v>3046</v>
      </c>
      <c r="AU3007" t="s">
        <v>3046</v>
      </c>
    </row>
    <row r="3008" spans="1:47" x14ac:dyDescent="0.35">
      <c r="A3008">
        <v>348727</v>
      </c>
      <c r="B3008" t="s">
        <v>178</v>
      </c>
      <c r="C3008" t="s">
        <v>179</v>
      </c>
      <c r="D3008" s="2">
        <v>45815</v>
      </c>
      <c r="E3008">
        <v>53850</v>
      </c>
      <c r="F3008">
        <v>274</v>
      </c>
      <c r="G3008" t="s">
        <v>427</v>
      </c>
      <c r="H3008" t="s">
        <v>167</v>
      </c>
      <c r="I3008" t="s">
        <v>45</v>
      </c>
      <c r="K3008">
        <v>202506068048663</v>
      </c>
      <c r="L3008">
        <v>2743300010228</v>
      </c>
      <c r="M3008">
        <v>20250606</v>
      </c>
      <c r="N3008" t="s">
        <v>3136</v>
      </c>
      <c r="Q3008" t="s">
        <v>170</v>
      </c>
      <c r="R3008">
        <v>8000.27</v>
      </c>
      <c r="S3008">
        <v>0</v>
      </c>
      <c r="T3008">
        <v>1665626</v>
      </c>
      <c r="U3008" t="s">
        <v>2895</v>
      </c>
      <c r="V3008" t="s">
        <v>2896</v>
      </c>
      <c r="W3008" t="s">
        <v>187</v>
      </c>
      <c r="Y3008" t="s">
        <v>51</v>
      </c>
      <c r="Z3008">
        <v>1751</v>
      </c>
      <c r="AH3008">
        <v>0</v>
      </c>
      <c r="AI3008">
        <v>202506</v>
      </c>
      <c r="AJ3008" t="s">
        <v>52</v>
      </c>
      <c r="AK3008">
        <v>0</v>
      </c>
      <c r="AL3008">
        <v>1</v>
      </c>
      <c r="AO3008">
        <v>1</v>
      </c>
      <c r="AP3008" t="s">
        <v>3015</v>
      </c>
      <c r="AQ3008" t="s">
        <v>3044</v>
      </c>
      <c r="AR3008" t="s">
        <v>3045</v>
      </c>
      <c r="AS3008" t="s">
        <v>3046</v>
      </c>
      <c r="AU3008" t="s">
        <v>3046</v>
      </c>
    </row>
    <row r="3009" spans="1:47" x14ac:dyDescent="0.35">
      <c r="A3009">
        <v>348726</v>
      </c>
      <c r="B3009" t="s">
        <v>178</v>
      </c>
      <c r="C3009" t="s">
        <v>179</v>
      </c>
      <c r="D3009" s="2">
        <v>45815</v>
      </c>
      <c r="E3009">
        <v>53850</v>
      </c>
      <c r="F3009">
        <v>192</v>
      </c>
      <c r="G3009" t="s">
        <v>66</v>
      </c>
      <c r="H3009" t="s">
        <v>167</v>
      </c>
      <c r="I3009" t="s">
        <v>45</v>
      </c>
      <c r="K3009">
        <v>202506068046636</v>
      </c>
      <c r="L3009">
        <v>1923300182666</v>
      </c>
      <c r="M3009">
        <v>20250606</v>
      </c>
      <c r="N3009" t="s">
        <v>46</v>
      </c>
      <c r="P3009" t="s">
        <v>51</v>
      </c>
      <c r="Q3009" t="s">
        <v>47</v>
      </c>
      <c r="R3009">
        <v>500000</v>
      </c>
      <c r="S3009">
        <v>0</v>
      </c>
      <c r="T3009">
        <v>3007445</v>
      </c>
      <c r="U3009">
        <v>1846730735</v>
      </c>
      <c r="V3009" t="s">
        <v>2357</v>
      </c>
      <c r="W3009" t="s">
        <v>49</v>
      </c>
      <c r="X3009" t="s">
        <v>110</v>
      </c>
      <c r="Y3009" t="s">
        <v>51</v>
      </c>
      <c r="Z3009">
        <v>1627</v>
      </c>
      <c r="AH3009">
        <v>0</v>
      </c>
      <c r="AI3009">
        <v>202506</v>
      </c>
      <c r="AJ3009" t="s">
        <v>86</v>
      </c>
      <c r="AK3009">
        <v>1</v>
      </c>
      <c r="AL3009">
        <v>1</v>
      </c>
      <c r="AO3009">
        <v>0</v>
      </c>
      <c r="AP3009" t="s">
        <v>3026</v>
      </c>
      <c r="AQ3009" t="s">
        <v>3012</v>
      </c>
      <c r="AR3009" t="s">
        <v>3027</v>
      </c>
      <c r="AS3009" t="s">
        <v>3028</v>
      </c>
      <c r="AU3009" t="s">
        <v>3028</v>
      </c>
    </row>
    <row r="3010" spans="1:47" x14ac:dyDescent="0.35">
      <c r="A3010">
        <v>348725</v>
      </c>
      <c r="B3010" t="s">
        <v>178</v>
      </c>
      <c r="C3010" t="s">
        <v>179</v>
      </c>
      <c r="D3010" s="2">
        <v>45815</v>
      </c>
      <c r="E3010">
        <v>53850</v>
      </c>
      <c r="F3010">
        <v>268</v>
      </c>
      <c r="G3010" t="s">
        <v>83</v>
      </c>
      <c r="H3010" t="s">
        <v>167</v>
      </c>
      <c r="I3010" t="s">
        <v>45</v>
      </c>
      <c r="K3010">
        <v>202506068048083</v>
      </c>
      <c r="L3010">
        <v>2683300000171</v>
      </c>
      <c r="M3010">
        <v>20250606</v>
      </c>
      <c r="N3010" t="s">
        <v>416</v>
      </c>
      <c r="Q3010" t="s">
        <v>170</v>
      </c>
      <c r="R3010">
        <v>1424724.92</v>
      </c>
      <c r="S3010">
        <v>0</v>
      </c>
      <c r="T3010">
        <v>1606212</v>
      </c>
      <c r="U3010">
        <v>1495180794</v>
      </c>
      <c r="V3010" t="s">
        <v>120</v>
      </c>
      <c r="W3010" t="s">
        <v>49</v>
      </c>
      <c r="X3010" t="s">
        <v>121</v>
      </c>
      <c r="Y3010" t="s">
        <v>51</v>
      </c>
      <c r="Z3010">
        <v>1627</v>
      </c>
      <c r="AH3010">
        <v>0</v>
      </c>
      <c r="AI3010">
        <v>202506</v>
      </c>
      <c r="AJ3010" t="s">
        <v>86</v>
      </c>
      <c r="AK3010">
        <v>1</v>
      </c>
      <c r="AL3010">
        <v>1</v>
      </c>
      <c r="AO3010">
        <v>0</v>
      </c>
      <c r="AP3010" t="s">
        <v>3015</v>
      </c>
      <c r="AQ3010" t="s">
        <v>3012</v>
      </c>
      <c r="AR3010" t="s">
        <v>3016</v>
      </c>
      <c r="AT3010" t="s">
        <v>3017</v>
      </c>
      <c r="AU3010" t="s">
        <v>3018</v>
      </c>
    </row>
    <row r="3011" spans="1:47" x14ac:dyDescent="0.35">
      <c r="A3011">
        <v>348724</v>
      </c>
      <c r="B3011" t="s">
        <v>193</v>
      </c>
      <c r="C3011" t="s">
        <v>194</v>
      </c>
      <c r="D3011" s="2">
        <v>45815</v>
      </c>
      <c r="E3011">
        <v>53850</v>
      </c>
      <c r="F3011">
        <v>190</v>
      </c>
      <c r="G3011" t="s">
        <v>145</v>
      </c>
      <c r="H3011" t="s">
        <v>167</v>
      </c>
      <c r="I3011" t="s">
        <v>45</v>
      </c>
      <c r="K3011">
        <v>202506068047992</v>
      </c>
      <c r="L3011">
        <v>1903300007929</v>
      </c>
      <c r="M3011">
        <v>20250606</v>
      </c>
      <c r="N3011" t="s">
        <v>195</v>
      </c>
      <c r="Q3011" t="s">
        <v>47</v>
      </c>
      <c r="R3011">
        <v>16300</v>
      </c>
      <c r="S3011">
        <v>16300</v>
      </c>
      <c r="T3011">
        <v>3034190</v>
      </c>
      <c r="U3011" t="s">
        <v>1964</v>
      </c>
      <c r="V3011" t="s">
        <v>1965</v>
      </c>
      <c r="W3011" t="s">
        <v>69</v>
      </c>
      <c r="X3011" t="s">
        <v>131</v>
      </c>
      <c r="Y3011" t="s">
        <v>51</v>
      </c>
      <c r="Z3011">
        <v>1361</v>
      </c>
      <c r="AH3011">
        <v>0</v>
      </c>
      <c r="AI3011">
        <v>202506</v>
      </c>
      <c r="AJ3011" t="s">
        <v>114</v>
      </c>
      <c r="AK3011">
        <v>1</v>
      </c>
      <c r="AL3011">
        <v>1</v>
      </c>
      <c r="AM3011">
        <v>3034190</v>
      </c>
      <c r="AN3011">
        <v>1</v>
      </c>
      <c r="AO3011">
        <v>0</v>
      </c>
      <c r="AP3011" t="s">
        <v>3033</v>
      </c>
      <c r="AQ3011" t="s">
        <v>3021</v>
      </c>
      <c r="AR3011" t="s">
        <v>3054</v>
      </c>
      <c r="AS3011" t="s">
        <v>3055</v>
      </c>
      <c r="AU3011" t="s">
        <v>3055</v>
      </c>
    </row>
    <row r="3012" spans="1:47" x14ac:dyDescent="0.35">
      <c r="A3012">
        <v>348723</v>
      </c>
      <c r="B3012" t="s">
        <v>193</v>
      </c>
      <c r="C3012" t="s">
        <v>194</v>
      </c>
      <c r="D3012" s="2">
        <v>45815</v>
      </c>
      <c r="E3012">
        <v>53850</v>
      </c>
      <c r="F3012">
        <v>134</v>
      </c>
      <c r="G3012" t="s">
        <v>804</v>
      </c>
      <c r="H3012" t="s">
        <v>167</v>
      </c>
      <c r="I3012" t="s">
        <v>45</v>
      </c>
      <c r="K3012" t="s">
        <v>2868</v>
      </c>
      <c r="L3012">
        <v>1343300002724</v>
      </c>
      <c r="M3012">
        <v>20250606</v>
      </c>
      <c r="N3012" t="s">
        <v>175</v>
      </c>
      <c r="Q3012" t="s">
        <v>47</v>
      </c>
      <c r="R3012">
        <v>40325</v>
      </c>
      <c r="S3012">
        <v>36670</v>
      </c>
      <c r="T3012">
        <v>4876967</v>
      </c>
      <c r="U3012" t="s">
        <v>1353</v>
      </c>
      <c r="V3012" t="s">
        <v>1354</v>
      </c>
      <c r="W3012" t="s">
        <v>69</v>
      </c>
      <c r="X3012" t="s">
        <v>1355</v>
      </c>
      <c r="Y3012" t="s">
        <v>51</v>
      </c>
      <c r="Z3012">
        <v>1562</v>
      </c>
      <c r="AH3012">
        <v>0</v>
      </c>
      <c r="AI3012">
        <v>202506</v>
      </c>
      <c r="AJ3012" t="s">
        <v>119</v>
      </c>
      <c r="AK3012">
        <v>1</v>
      </c>
      <c r="AL3012">
        <v>1</v>
      </c>
      <c r="AM3012">
        <v>4876967</v>
      </c>
      <c r="AN3012">
        <v>1</v>
      </c>
      <c r="AO3012">
        <v>1</v>
      </c>
      <c r="AP3012" t="s">
        <v>3015</v>
      </c>
      <c r="AQ3012" t="s">
        <v>3021</v>
      </c>
      <c r="AR3012" t="s">
        <v>3022</v>
      </c>
      <c r="AT3012" t="s">
        <v>3017</v>
      </c>
      <c r="AU3012" t="s">
        <v>3014</v>
      </c>
    </row>
    <row r="3013" spans="1:47" x14ac:dyDescent="0.35">
      <c r="A3013">
        <v>348722</v>
      </c>
      <c r="B3013" t="s">
        <v>172</v>
      </c>
      <c r="C3013" t="s">
        <v>173</v>
      </c>
      <c r="D3013" s="2">
        <v>45815</v>
      </c>
      <c r="E3013">
        <v>53850</v>
      </c>
      <c r="F3013">
        <v>171</v>
      </c>
      <c r="G3013" t="s">
        <v>198</v>
      </c>
      <c r="H3013" t="s">
        <v>167</v>
      </c>
      <c r="I3013" t="s">
        <v>45</v>
      </c>
      <c r="K3013" t="s">
        <v>2868</v>
      </c>
      <c r="L3013">
        <v>1713305728950</v>
      </c>
      <c r="M3013">
        <v>20250606</v>
      </c>
      <c r="N3013" t="s">
        <v>195</v>
      </c>
      <c r="Q3013" t="s">
        <v>47</v>
      </c>
      <c r="R3013">
        <v>323898.65999999997</v>
      </c>
      <c r="S3013">
        <v>323898.65999999997</v>
      </c>
      <c r="T3013">
        <v>572895</v>
      </c>
      <c r="U3013">
        <v>4161600723</v>
      </c>
      <c r="V3013" t="s">
        <v>199</v>
      </c>
      <c r="W3013" t="s">
        <v>49</v>
      </c>
      <c r="X3013" t="s">
        <v>200</v>
      </c>
      <c r="Y3013" t="s">
        <v>51</v>
      </c>
      <c r="Z3013">
        <v>1903</v>
      </c>
      <c r="AH3013">
        <v>0</v>
      </c>
      <c r="AI3013">
        <v>202506</v>
      </c>
      <c r="AJ3013" t="s">
        <v>119</v>
      </c>
      <c r="AK3013">
        <v>1</v>
      </c>
      <c r="AL3013">
        <v>1</v>
      </c>
      <c r="AM3013">
        <v>572895</v>
      </c>
      <c r="AN3013">
        <v>1</v>
      </c>
      <c r="AO3013">
        <v>0</v>
      </c>
      <c r="AP3013" t="s">
        <v>3015</v>
      </c>
      <c r="AQ3013" t="s">
        <v>3012</v>
      </c>
      <c r="AR3013" t="s">
        <v>3016</v>
      </c>
      <c r="AT3013" t="s">
        <v>3017</v>
      </c>
      <c r="AU3013" t="s">
        <v>3018</v>
      </c>
    </row>
    <row r="3014" spans="1:47" x14ac:dyDescent="0.35">
      <c r="A3014">
        <v>348721</v>
      </c>
      <c r="B3014" t="s">
        <v>178</v>
      </c>
      <c r="C3014" t="s">
        <v>179</v>
      </c>
      <c r="D3014" s="2">
        <v>45815</v>
      </c>
      <c r="E3014">
        <v>53850</v>
      </c>
      <c r="F3014">
        <v>174</v>
      </c>
      <c r="G3014" t="s">
        <v>224</v>
      </c>
      <c r="H3014" t="s">
        <v>167</v>
      </c>
      <c r="I3014" t="s">
        <v>45</v>
      </c>
      <c r="K3014">
        <v>202506058047514</v>
      </c>
      <c r="L3014">
        <v>1740050064849</v>
      </c>
      <c r="M3014">
        <v>20250605</v>
      </c>
      <c r="N3014" t="s">
        <v>1663</v>
      </c>
      <c r="Q3014" t="s">
        <v>170</v>
      </c>
      <c r="R3014">
        <v>238758.39999999999</v>
      </c>
      <c r="S3014">
        <v>0</v>
      </c>
      <c r="T3014">
        <v>4060269</v>
      </c>
      <c r="U3014" t="s">
        <v>2897</v>
      </c>
      <c r="V3014" t="s">
        <v>2898</v>
      </c>
      <c r="W3014" t="s">
        <v>187</v>
      </c>
      <c r="Y3014" t="s">
        <v>51</v>
      </c>
      <c r="Z3014">
        <v>448</v>
      </c>
      <c r="AH3014">
        <v>0</v>
      </c>
      <c r="AI3014">
        <v>202506</v>
      </c>
      <c r="AJ3014" t="s">
        <v>86</v>
      </c>
      <c r="AK3014">
        <v>1</v>
      </c>
      <c r="AL3014">
        <v>1</v>
      </c>
      <c r="AO3014">
        <v>0</v>
      </c>
      <c r="AP3014" t="s">
        <v>3015</v>
      </c>
      <c r="AQ3014" t="s">
        <v>3044</v>
      </c>
      <c r="AR3014" t="s">
        <v>3045</v>
      </c>
      <c r="AS3014" t="s">
        <v>3046</v>
      </c>
      <c r="AU3014" t="s">
        <v>3046</v>
      </c>
    </row>
    <row r="3015" spans="1:47" x14ac:dyDescent="0.35">
      <c r="A3015">
        <v>348720</v>
      </c>
      <c r="B3015" t="s">
        <v>172</v>
      </c>
      <c r="C3015" t="s">
        <v>173</v>
      </c>
      <c r="D3015" s="2">
        <v>45814</v>
      </c>
      <c r="E3015">
        <v>53850</v>
      </c>
      <c r="F3015">
        <v>116</v>
      </c>
      <c r="G3015" t="s">
        <v>126</v>
      </c>
      <c r="H3015" t="s">
        <v>167</v>
      </c>
      <c r="I3015" t="s">
        <v>45</v>
      </c>
      <c r="K3015">
        <v>202506058044914</v>
      </c>
      <c r="L3015">
        <v>2343300010453</v>
      </c>
      <c r="M3015">
        <v>20250605</v>
      </c>
      <c r="N3015" t="s">
        <v>195</v>
      </c>
      <c r="Q3015" t="s">
        <v>47</v>
      </c>
      <c r="R3015">
        <v>88073.8</v>
      </c>
      <c r="S3015">
        <v>88073.8</v>
      </c>
      <c r="T3015">
        <v>4247777</v>
      </c>
      <c r="U3015">
        <v>233470236</v>
      </c>
      <c r="V3015" t="s">
        <v>206</v>
      </c>
      <c r="W3015" t="s">
        <v>49</v>
      </c>
      <c r="X3015" t="s">
        <v>117</v>
      </c>
      <c r="Y3015" t="s">
        <v>51</v>
      </c>
      <c r="Z3015">
        <v>1696</v>
      </c>
      <c r="AH3015">
        <v>0</v>
      </c>
      <c r="AI3015">
        <v>202506</v>
      </c>
      <c r="AJ3015" t="s">
        <v>86</v>
      </c>
      <c r="AK3015">
        <v>1</v>
      </c>
      <c r="AL3015">
        <v>1</v>
      </c>
      <c r="AM3015">
        <v>4247777</v>
      </c>
      <c r="AN3015">
        <v>1</v>
      </c>
      <c r="AO3015">
        <v>0</v>
      </c>
      <c r="AP3015" t="s">
        <v>3029</v>
      </c>
      <c r="AQ3015" t="s">
        <v>3012</v>
      </c>
      <c r="AR3015" t="s">
        <v>3030</v>
      </c>
      <c r="AS3015" t="s">
        <v>3014</v>
      </c>
      <c r="AU3015" t="s">
        <v>3014</v>
      </c>
    </row>
    <row r="3016" spans="1:47" x14ac:dyDescent="0.35">
      <c r="A3016">
        <v>348719</v>
      </c>
      <c r="B3016" t="s">
        <v>333</v>
      </c>
      <c r="C3016" t="s">
        <v>334</v>
      </c>
      <c r="D3016" s="2">
        <v>45814</v>
      </c>
      <c r="E3016">
        <v>53850</v>
      </c>
      <c r="F3016">
        <v>99</v>
      </c>
      <c r="G3016" t="s">
        <v>335</v>
      </c>
      <c r="H3016" t="s">
        <v>167</v>
      </c>
      <c r="I3016" t="s">
        <v>45</v>
      </c>
      <c r="K3016">
        <v>202506058044119</v>
      </c>
      <c r="M3016">
        <v>20250605</v>
      </c>
      <c r="N3016" t="s">
        <v>46</v>
      </c>
      <c r="P3016" t="s">
        <v>51</v>
      </c>
      <c r="Q3016" t="s">
        <v>47</v>
      </c>
      <c r="R3016">
        <v>1276347.6399999999</v>
      </c>
      <c r="S3016">
        <v>0</v>
      </c>
      <c r="T3016">
        <v>1900001</v>
      </c>
      <c r="U3016">
        <v>604840777</v>
      </c>
      <c r="V3016" t="s">
        <v>1301</v>
      </c>
      <c r="W3016" t="s">
        <v>1302</v>
      </c>
      <c r="X3016" t="s">
        <v>1303</v>
      </c>
      <c r="Y3016" t="s">
        <v>51</v>
      </c>
      <c r="AH3016">
        <v>0</v>
      </c>
      <c r="AI3016">
        <v>202506</v>
      </c>
      <c r="AJ3016" t="s">
        <v>114</v>
      </c>
      <c r="AK3016">
        <v>1</v>
      </c>
      <c r="AL3016">
        <v>0</v>
      </c>
      <c r="AM3016">
        <v>1900001</v>
      </c>
      <c r="AN3016">
        <v>1</v>
      </c>
      <c r="AO3016">
        <v>0</v>
      </c>
      <c r="AP3016" t="s">
        <v>3015</v>
      </c>
      <c r="AQ3016" t="s">
        <v>3113</v>
      </c>
      <c r="AR3016" t="s">
        <v>3114</v>
      </c>
      <c r="AT3016" t="s">
        <v>3017</v>
      </c>
      <c r="AU3016" t="s">
        <v>3037</v>
      </c>
    </row>
    <row r="3017" spans="1:47" x14ac:dyDescent="0.35">
      <c r="A3017">
        <v>348718</v>
      </c>
      <c r="B3017" t="s">
        <v>178</v>
      </c>
      <c r="C3017" t="s">
        <v>179</v>
      </c>
      <c r="D3017" s="2">
        <v>45814</v>
      </c>
      <c r="E3017">
        <v>53850</v>
      </c>
      <c r="F3017">
        <v>192</v>
      </c>
      <c r="G3017" t="s">
        <v>66</v>
      </c>
      <c r="H3017" t="s">
        <v>167</v>
      </c>
      <c r="I3017" t="s">
        <v>45</v>
      </c>
      <c r="K3017">
        <v>202506058044158</v>
      </c>
      <c r="L3017">
        <v>1923300182666</v>
      </c>
      <c r="M3017">
        <v>20250605</v>
      </c>
      <c r="N3017" t="s">
        <v>46</v>
      </c>
      <c r="P3017" t="s">
        <v>51</v>
      </c>
      <c r="Q3017" t="s">
        <v>47</v>
      </c>
      <c r="R3017">
        <v>640000</v>
      </c>
      <c r="S3017">
        <v>0</v>
      </c>
      <c r="T3017">
        <v>3007445</v>
      </c>
      <c r="U3017">
        <v>1846730735</v>
      </c>
      <c r="V3017" t="s">
        <v>2357</v>
      </c>
      <c r="W3017" t="s">
        <v>49</v>
      </c>
      <c r="X3017" t="s">
        <v>110</v>
      </c>
      <c r="Y3017" t="s">
        <v>51</v>
      </c>
      <c r="Z3017">
        <v>1627</v>
      </c>
      <c r="AH3017">
        <v>0</v>
      </c>
      <c r="AI3017">
        <v>202506</v>
      </c>
      <c r="AJ3017" t="s">
        <v>86</v>
      </c>
      <c r="AK3017">
        <v>1</v>
      </c>
      <c r="AL3017">
        <v>1</v>
      </c>
      <c r="AO3017">
        <v>0</v>
      </c>
      <c r="AP3017" t="s">
        <v>3026</v>
      </c>
      <c r="AQ3017" t="s">
        <v>3012</v>
      </c>
      <c r="AR3017" t="s">
        <v>3027</v>
      </c>
      <c r="AS3017" t="s">
        <v>3028</v>
      </c>
      <c r="AU3017" t="s">
        <v>3028</v>
      </c>
    </row>
    <row r="3018" spans="1:47" x14ac:dyDescent="0.35">
      <c r="A3018">
        <v>348717</v>
      </c>
      <c r="B3018" t="s">
        <v>193</v>
      </c>
      <c r="C3018" t="s">
        <v>194</v>
      </c>
      <c r="D3018" s="2">
        <v>45814</v>
      </c>
      <c r="E3018">
        <v>53850</v>
      </c>
      <c r="F3018">
        <v>259</v>
      </c>
      <c r="G3018" t="s">
        <v>361</v>
      </c>
      <c r="H3018" t="s">
        <v>167</v>
      </c>
      <c r="I3018" t="s">
        <v>45</v>
      </c>
      <c r="K3018" t="s">
        <v>2899</v>
      </c>
      <c r="L3018">
        <v>2593300000146</v>
      </c>
      <c r="M3018">
        <v>20250605</v>
      </c>
      <c r="N3018" t="s">
        <v>175</v>
      </c>
      <c r="Q3018" t="s">
        <v>47</v>
      </c>
      <c r="R3018">
        <v>38649.93</v>
      </c>
      <c r="S3018">
        <v>37300</v>
      </c>
      <c r="T3018">
        <v>4574357</v>
      </c>
      <c r="U3018">
        <v>5690380729</v>
      </c>
      <c r="V3018" t="s">
        <v>486</v>
      </c>
      <c r="W3018" t="s">
        <v>49</v>
      </c>
      <c r="X3018" t="s">
        <v>117</v>
      </c>
      <c r="Y3018" t="s">
        <v>51</v>
      </c>
      <c r="Z3018">
        <v>1058</v>
      </c>
      <c r="AH3018">
        <v>0</v>
      </c>
      <c r="AI3018">
        <v>202506</v>
      </c>
      <c r="AJ3018" t="s">
        <v>119</v>
      </c>
      <c r="AK3018">
        <v>1</v>
      </c>
      <c r="AL3018">
        <v>1</v>
      </c>
      <c r="AM3018">
        <v>4574357</v>
      </c>
      <c r="AN3018">
        <v>1</v>
      </c>
      <c r="AO3018">
        <v>1</v>
      </c>
      <c r="AP3018" t="s">
        <v>3029</v>
      </c>
      <c r="AQ3018" t="s">
        <v>3012</v>
      </c>
      <c r="AR3018" t="s">
        <v>3030</v>
      </c>
      <c r="AS3018" t="s">
        <v>3014</v>
      </c>
      <c r="AU3018" t="s">
        <v>3014</v>
      </c>
    </row>
    <row r="3019" spans="1:47" x14ac:dyDescent="0.35">
      <c r="A3019">
        <v>348716</v>
      </c>
      <c r="B3019" t="s">
        <v>172</v>
      </c>
      <c r="C3019" t="s">
        <v>173</v>
      </c>
      <c r="D3019" s="2">
        <v>45814</v>
      </c>
      <c r="E3019">
        <v>53850</v>
      </c>
      <c r="F3019">
        <v>174</v>
      </c>
      <c r="G3019" t="s">
        <v>224</v>
      </c>
      <c r="H3019" t="s">
        <v>167</v>
      </c>
      <c r="I3019" t="s">
        <v>45</v>
      </c>
      <c r="K3019">
        <v>202506058045380</v>
      </c>
      <c r="L3019">
        <v>1743302880040</v>
      </c>
      <c r="M3019">
        <v>20250605</v>
      </c>
      <c r="N3019" t="s">
        <v>231</v>
      </c>
      <c r="Q3019" t="s">
        <v>47</v>
      </c>
      <c r="R3019">
        <v>100687.5</v>
      </c>
      <c r="S3019">
        <v>0</v>
      </c>
      <c r="T3019">
        <v>4945451</v>
      </c>
      <c r="U3019" t="s">
        <v>1193</v>
      </c>
      <c r="V3019" t="s">
        <v>1194</v>
      </c>
      <c r="W3019" t="s">
        <v>187</v>
      </c>
      <c r="Y3019" t="s">
        <v>51</v>
      </c>
      <c r="Z3019">
        <v>1106</v>
      </c>
      <c r="AH3019">
        <v>0</v>
      </c>
      <c r="AI3019">
        <v>202506</v>
      </c>
      <c r="AJ3019" t="s">
        <v>86</v>
      </c>
      <c r="AK3019">
        <v>1</v>
      </c>
      <c r="AL3019">
        <v>1</v>
      </c>
      <c r="AO3019">
        <v>0</v>
      </c>
      <c r="AP3019" t="s">
        <v>3015</v>
      </c>
      <c r="AQ3019" t="s">
        <v>3044</v>
      </c>
      <c r="AR3019" t="s">
        <v>3045</v>
      </c>
      <c r="AS3019" t="s">
        <v>3046</v>
      </c>
      <c r="AU3019" t="s">
        <v>3046</v>
      </c>
    </row>
    <row r="3020" spans="1:47" x14ac:dyDescent="0.35">
      <c r="A3020">
        <v>348715</v>
      </c>
      <c r="B3020" t="s">
        <v>178</v>
      </c>
      <c r="C3020" t="s">
        <v>179</v>
      </c>
      <c r="D3020" s="2">
        <v>45814</v>
      </c>
      <c r="E3020">
        <v>53850</v>
      </c>
      <c r="F3020">
        <v>102</v>
      </c>
      <c r="G3020" t="s">
        <v>151</v>
      </c>
      <c r="H3020" t="s">
        <v>167</v>
      </c>
      <c r="I3020" t="s">
        <v>45</v>
      </c>
      <c r="K3020">
        <v>202506058043310</v>
      </c>
      <c r="L3020">
        <v>1023308719030</v>
      </c>
      <c r="M3020">
        <v>20250605</v>
      </c>
      <c r="N3020" t="s">
        <v>46</v>
      </c>
      <c r="P3020" t="s">
        <v>51</v>
      </c>
      <c r="Q3020" t="s">
        <v>47</v>
      </c>
      <c r="R3020">
        <v>10000000</v>
      </c>
      <c r="S3020">
        <v>0</v>
      </c>
      <c r="T3020">
        <v>4414552</v>
      </c>
      <c r="U3020">
        <v>6605700720</v>
      </c>
      <c r="V3020" t="s">
        <v>2454</v>
      </c>
      <c r="W3020" t="s">
        <v>49</v>
      </c>
      <c r="X3020" t="s">
        <v>364</v>
      </c>
      <c r="Y3020" t="s">
        <v>51</v>
      </c>
      <c r="Z3020">
        <v>739</v>
      </c>
      <c r="AH3020">
        <v>0</v>
      </c>
      <c r="AI3020">
        <v>202506</v>
      </c>
      <c r="AJ3020" t="s">
        <v>56</v>
      </c>
      <c r="AK3020">
        <v>0</v>
      </c>
      <c r="AL3020">
        <v>1</v>
      </c>
      <c r="AO3020">
        <v>0</v>
      </c>
      <c r="AP3020" t="s">
        <v>3062</v>
      </c>
      <c r="AQ3020" t="s">
        <v>3012</v>
      </c>
      <c r="AR3020" t="s">
        <v>3063</v>
      </c>
      <c r="AS3020" t="s">
        <v>3014</v>
      </c>
      <c r="AU3020" t="s">
        <v>3014</v>
      </c>
    </row>
    <row r="3021" spans="1:47" x14ac:dyDescent="0.35">
      <c r="A3021">
        <v>348714</v>
      </c>
      <c r="B3021" t="s">
        <v>193</v>
      </c>
      <c r="C3021" t="s">
        <v>194</v>
      </c>
      <c r="D3021" s="2">
        <v>45814</v>
      </c>
      <c r="E3021">
        <v>53850</v>
      </c>
      <c r="F3021">
        <v>114</v>
      </c>
      <c r="G3021" t="s">
        <v>188</v>
      </c>
      <c r="H3021" t="s">
        <v>167</v>
      </c>
      <c r="I3021" t="s">
        <v>45</v>
      </c>
      <c r="K3021">
        <v>202506058045190</v>
      </c>
      <c r="L3021">
        <v>1143306280621</v>
      </c>
      <c r="M3021">
        <v>20250605</v>
      </c>
      <c r="N3021" t="s">
        <v>266</v>
      </c>
      <c r="Q3021" t="s">
        <v>47</v>
      </c>
      <c r="R3021">
        <v>54600</v>
      </c>
      <c r="S3021">
        <v>54600</v>
      </c>
      <c r="T3021">
        <v>4658875</v>
      </c>
      <c r="U3021">
        <v>3230890711</v>
      </c>
      <c r="V3021" t="s">
        <v>1363</v>
      </c>
      <c r="W3021" t="s">
        <v>49</v>
      </c>
      <c r="X3021" t="s">
        <v>131</v>
      </c>
      <c r="Y3021" t="s">
        <v>51</v>
      </c>
      <c r="Z3021">
        <v>870</v>
      </c>
      <c r="AH3021">
        <v>0</v>
      </c>
      <c r="AI3021">
        <v>202506</v>
      </c>
      <c r="AJ3021" t="s">
        <v>56</v>
      </c>
      <c r="AK3021">
        <v>0</v>
      </c>
      <c r="AL3021">
        <v>1</v>
      </c>
      <c r="AM3021">
        <v>4658875</v>
      </c>
      <c r="AN3021">
        <v>1</v>
      </c>
      <c r="AO3021">
        <v>0</v>
      </c>
      <c r="AP3021" t="s">
        <v>3033</v>
      </c>
      <c r="AQ3021" t="s">
        <v>3012</v>
      </c>
      <c r="AR3021" t="s">
        <v>3034</v>
      </c>
      <c r="AS3021" t="s">
        <v>3014</v>
      </c>
      <c r="AU3021" t="s">
        <v>3014</v>
      </c>
    </row>
    <row r="3022" spans="1:47" x14ac:dyDescent="0.35">
      <c r="A3022">
        <v>348713</v>
      </c>
      <c r="B3022" t="s">
        <v>178</v>
      </c>
      <c r="C3022" t="s">
        <v>179</v>
      </c>
      <c r="D3022" s="2">
        <v>45814</v>
      </c>
      <c r="E3022">
        <v>53850</v>
      </c>
      <c r="F3022">
        <v>104</v>
      </c>
      <c r="G3022" t="s">
        <v>108</v>
      </c>
      <c r="H3022" t="s">
        <v>167</v>
      </c>
      <c r="I3022" t="s">
        <v>45</v>
      </c>
      <c r="K3022">
        <v>202506058044539</v>
      </c>
      <c r="L3022">
        <v>1043304173550</v>
      </c>
      <c r="M3022">
        <v>20250605</v>
      </c>
      <c r="N3022" t="s">
        <v>220</v>
      </c>
      <c r="Q3022" t="s">
        <v>170</v>
      </c>
      <c r="R3022">
        <v>362243.12</v>
      </c>
      <c r="S3022">
        <v>0</v>
      </c>
      <c r="T3022">
        <v>417355</v>
      </c>
      <c r="U3022">
        <v>374690725</v>
      </c>
      <c r="V3022" t="s">
        <v>109</v>
      </c>
      <c r="W3022" t="s">
        <v>49</v>
      </c>
      <c r="X3022" t="s">
        <v>110</v>
      </c>
      <c r="Y3022" t="s">
        <v>51</v>
      </c>
      <c r="Z3022">
        <v>1919</v>
      </c>
      <c r="AH3022">
        <v>0</v>
      </c>
      <c r="AI3022">
        <v>202506</v>
      </c>
      <c r="AJ3022" t="s">
        <v>86</v>
      </c>
      <c r="AK3022">
        <v>1</v>
      </c>
      <c r="AL3022">
        <v>1</v>
      </c>
      <c r="AM3022">
        <v>417355</v>
      </c>
      <c r="AN3022">
        <v>1</v>
      </c>
      <c r="AO3022">
        <v>0</v>
      </c>
      <c r="AP3022" t="s">
        <v>3026</v>
      </c>
      <c r="AQ3022" t="s">
        <v>3012</v>
      </c>
      <c r="AR3022" t="s">
        <v>3027</v>
      </c>
      <c r="AS3022" t="s">
        <v>3028</v>
      </c>
      <c r="AU3022" t="s">
        <v>3028</v>
      </c>
    </row>
    <row r="3023" spans="1:47" x14ac:dyDescent="0.35">
      <c r="A3023">
        <v>348712</v>
      </c>
      <c r="B3023" t="s">
        <v>193</v>
      </c>
      <c r="C3023" t="s">
        <v>194</v>
      </c>
      <c r="D3023" s="2">
        <v>45814</v>
      </c>
      <c r="E3023">
        <v>53850</v>
      </c>
      <c r="F3023">
        <v>116</v>
      </c>
      <c r="G3023" t="s">
        <v>126</v>
      </c>
      <c r="H3023" t="s">
        <v>167</v>
      </c>
      <c r="I3023" t="s">
        <v>45</v>
      </c>
      <c r="K3023">
        <v>202506058044914</v>
      </c>
      <c r="L3023">
        <v>2343300010453</v>
      </c>
      <c r="M3023">
        <v>20250605</v>
      </c>
      <c r="N3023" t="s">
        <v>195</v>
      </c>
      <c r="Q3023" t="s">
        <v>47</v>
      </c>
      <c r="R3023">
        <v>88073.8</v>
      </c>
      <c r="S3023">
        <v>88073.8</v>
      </c>
      <c r="T3023">
        <v>4247777</v>
      </c>
      <c r="U3023">
        <v>233470236</v>
      </c>
      <c r="V3023" t="s">
        <v>206</v>
      </c>
      <c r="W3023" t="s">
        <v>49</v>
      </c>
      <c r="X3023" t="s">
        <v>117</v>
      </c>
      <c r="Y3023" t="s">
        <v>51</v>
      </c>
      <c r="Z3023">
        <v>1696</v>
      </c>
      <c r="AH3023">
        <v>0</v>
      </c>
      <c r="AI3023">
        <v>202506</v>
      </c>
      <c r="AJ3023" t="s">
        <v>86</v>
      </c>
      <c r="AK3023">
        <v>1</v>
      </c>
      <c r="AL3023">
        <v>1</v>
      </c>
      <c r="AM3023">
        <v>4247777</v>
      </c>
      <c r="AN3023">
        <v>1</v>
      </c>
      <c r="AO3023">
        <v>0</v>
      </c>
      <c r="AP3023" t="s">
        <v>3029</v>
      </c>
      <c r="AQ3023" t="s">
        <v>3012</v>
      </c>
      <c r="AR3023" t="s">
        <v>3030</v>
      </c>
      <c r="AS3023" t="s">
        <v>3014</v>
      </c>
      <c r="AU3023" t="s">
        <v>3014</v>
      </c>
    </row>
    <row r="3024" spans="1:47" x14ac:dyDescent="0.35">
      <c r="A3024">
        <v>348711</v>
      </c>
      <c r="B3024" t="s">
        <v>178</v>
      </c>
      <c r="C3024" t="s">
        <v>179</v>
      </c>
      <c r="D3024" s="2">
        <v>45814</v>
      </c>
      <c r="E3024">
        <v>53850</v>
      </c>
      <c r="F3024">
        <v>102</v>
      </c>
      <c r="G3024" t="s">
        <v>151</v>
      </c>
      <c r="H3024" t="s">
        <v>167</v>
      </c>
      <c r="I3024" t="s">
        <v>45</v>
      </c>
      <c r="K3024" t="s">
        <v>2900</v>
      </c>
      <c r="L3024">
        <v>2333300010665</v>
      </c>
      <c r="M3024">
        <v>20250605</v>
      </c>
      <c r="N3024" t="s">
        <v>3136</v>
      </c>
      <c r="Q3024" t="s">
        <v>170</v>
      </c>
      <c r="R3024">
        <v>2929.56</v>
      </c>
      <c r="S3024">
        <v>0</v>
      </c>
      <c r="T3024">
        <v>4731205</v>
      </c>
      <c r="U3024" t="s">
        <v>2901</v>
      </c>
      <c r="V3024" t="s">
        <v>2902</v>
      </c>
      <c r="W3024" t="s">
        <v>187</v>
      </c>
      <c r="Y3024" t="s">
        <v>51</v>
      </c>
      <c r="AH3024">
        <v>0</v>
      </c>
      <c r="AI3024">
        <v>202506</v>
      </c>
      <c r="AJ3024" t="s">
        <v>86</v>
      </c>
      <c r="AK3024">
        <v>1</v>
      </c>
      <c r="AL3024">
        <v>1</v>
      </c>
      <c r="AO3024">
        <v>1</v>
      </c>
      <c r="AP3024" t="s">
        <v>3015</v>
      </c>
      <c r="AQ3024" t="s">
        <v>3044</v>
      </c>
      <c r="AR3024" t="s">
        <v>3045</v>
      </c>
      <c r="AS3024" t="s">
        <v>3046</v>
      </c>
      <c r="AU3024" t="s">
        <v>3046</v>
      </c>
    </row>
    <row r="3025" spans="1:47" x14ac:dyDescent="0.35">
      <c r="A3025">
        <v>348710</v>
      </c>
      <c r="B3025" t="s">
        <v>193</v>
      </c>
      <c r="C3025" t="s">
        <v>194</v>
      </c>
      <c r="D3025" s="2">
        <v>45814</v>
      </c>
      <c r="E3025">
        <v>53850</v>
      </c>
      <c r="F3025">
        <v>287</v>
      </c>
      <c r="G3025" t="s">
        <v>707</v>
      </c>
      <c r="H3025" t="s">
        <v>167</v>
      </c>
      <c r="I3025" t="s">
        <v>45</v>
      </c>
      <c r="K3025" t="s">
        <v>2899</v>
      </c>
      <c r="L3025">
        <v>2873300001853</v>
      </c>
      <c r="M3025">
        <v>20250605</v>
      </c>
      <c r="N3025" t="s">
        <v>175</v>
      </c>
      <c r="Q3025" t="s">
        <v>47</v>
      </c>
      <c r="R3025">
        <v>49494.82</v>
      </c>
      <c r="S3025">
        <v>34995</v>
      </c>
      <c r="T3025">
        <v>3722213</v>
      </c>
      <c r="U3025">
        <v>2021570698</v>
      </c>
      <c r="V3025" t="s">
        <v>708</v>
      </c>
      <c r="W3025" t="s">
        <v>49</v>
      </c>
      <c r="X3025" t="s">
        <v>117</v>
      </c>
      <c r="Y3025" t="s">
        <v>51</v>
      </c>
      <c r="Z3025">
        <v>1877</v>
      </c>
      <c r="AH3025">
        <v>0</v>
      </c>
      <c r="AI3025">
        <v>202506</v>
      </c>
      <c r="AJ3025" t="s">
        <v>86</v>
      </c>
      <c r="AK3025">
        <v>1</v>
      </c>
      <c r="AL3025">
        <v>1</v>
      </c>
      <c r="AM3025">
        <v>3722213</v>
      </c>
      <c r="AN3025">
        <v>1</v>
      </c>
      <c r="AO3025">
        <v>1</v>
      </c>
      <c r="AP3025" t="s">
        <v>3029</v>
      </c>
      <c r="AQ3025" t="s">
        <v>3012</v>
      </c>
      <c r="AR3025" t="s">
        <v>3030</v>
      </c>
      <c r="AS3025" t="s">
        <v>3014</v>
      </c>
      <c r="AU3025" t="s">
        <v>3014</v>
      </c>
    </row>
    <row r="3026" spans="1:47" x14ac:dyDescent="0.35">
      <c r="A3026">
        <v>348709</v>
      </c>
      <c r="B3026" t="s">
        <v>164</v>
      </c>
      <c r="C3026" t="s">
        <v>165</v>
      </c>
      <c r="D3026" s="2">
        <v>45814</v>
      </c>
      <c r="E3026">
        <v>53850</v>
      </c>
      <c r="F3026">
        <v>273</v>
      </c>
      <c r="G3026" t="s">
        <v>133</v>
      </c>
      <c r="H3026" t="s">
        <v>167</v>
      </c>
      <c r="I3026" t="s">
        <v>45</v>
      </c>
      <c r="K3026" t="s">
        <v>2903</v>
      </c>
      <c r="L3026">
        <v>2733300000307</v>
      </c>
      <c r="M3026">
        <v>20250605</v>
      </c>
      <c r="N3026" t="s">
        <v>168</v>
      </c>
      <c r="P3026" t="s">
        <v>169</v>
      </c>
      <c r="Q3026" t="s">
        <v>47</v>
      </c>
      <c r="R3026">
        <v>1590</v>
      </c>
      <c r="S3026">
        <v>0</v>
      </c>
      <c r="T3026">
        <v>1610982</v>
      </c>
      <c r="U3026" t="s">
        <v>2904</v>
      </c>
      <c r="V3026" t="s">
        <v>2905</v>
      </c>
      <c r="W3026" t="s">
        <v>187</v>
      </c>
      <c r="Y3026" t="s">
        <v>51</v>
      </c>
      <c r="Z3026">
        <v>1295</v>
      </c>
      <c r="AH3026">
        <v>0</v>
      </c>
      <c r="AI3026">
        <v>202506</v>
      </c>
      <c r="AJ3026" t="s">
        <v>119</v>
      </c>
      <c r="AK3026">
        <v>1</v>
      </c>
      <c r="AL3026">
        <v>1</v>
      </c>
      <c r="AO3026">
        <v>0</v>
      </c>
      <c r="AP3026" t="s">
        <v>3015</v>
      </c>
      <c r="AQ3026" t="s">
        <v>3044</v>
      </c>
      <c r="AR3026" t="s">
        <v>3045</v>
      </c>
      <c r="AS3026" t="s">
        <v>3046</v>
      </c>
      <c r="AU3026" t="s">
        <v>3046</v>
      </c>
    </row>
    <row r="3027" spans="1:47" x14ac:dyDescent="0.35">
      <c r="A3027">
        <v>348708</v>
      </c>
      <c r="B3027" t="s">
        <v>193</v>
      </c>
      <c r="C3027" t="s">
        <v>194</v>
      </c>
      <c r="D3027" s="2">
        <v>45814</v>
      </c>
      <c r="E3027">
        <v>53850</v>
      </c>
      <c r="F3027">
        <v>269</v>
      </c>
      <c r="G3027" t="s">
        <v>265</v>
      </c>
      <c r="H3027" t="s">
        <v>167</v>
      </c>
      <c r="I3027" t="s">
        <v>45</v>
      </c>
      <c r="K3027" t="s">
        <v>2899</v>
      </c>
      <c r="L3027">
        <v>2693300001614</v>
      </c>
      <c r="M3027">
        <v>20250605</v>
      </c>
      <c r="N3027" t="s">
        <v>266</v>
      </c>
      <c r="Q3027" t="s">
        <v>47</v>
      </c>
      <c r="R3027">
        <v>41670</v>
      </c>
      <c r="S3027">
        <v>41670</v>
      </c>
      <c r="T3027">
        <v>1695085</v>
      </c>
      <c r="U3027" t="s">
        <v>267</v>
      </c>
      <c r="V3027" t="s">
        <v>268</v>
      </c>
      <c r="W3027" t="s">
        <v>69</v>
      </c>
      <c r="X3027" t="s">
        <v>55</v>
      </c>
      <c r="Y3027" t="s">
        <v>51</v>
      </c>
      <c r="Z3027">
        <v>1805</v>
      </c>
      <c r="AH3027">
        <v>0</v>
      </c>
      <c r="AI3027">
        <v>202506</v>
      </c>
      <c r="AJ3027" t="s">
        <v>119</v>
      </c>
      <c r="AK3027">
        <v>1</v>
      </c>
      <c r="AL3027">
        <v>1</v>
      </c>
      <c r="AM3027">
        <v>1695085</v>
      </c>
      <c r="AN3027">
        <v>1</v>
      </c>
      <c r="AO3027">
        <v>0</v>
      </c>
      <c r="AP3027" t="s">
        <v>3015</v>
      </c>
      <c r="AQ3027" t="s">
        <v>3021</v>
      </c>
      <c r="AR3027" t="s">
        <v>3022</v>
      </c>
      <c r="AT3027" t="s">
        <v>3017</v>
      </c>
      <c r="AU3027" t="s">
        <v>3014</v>
      </c>
    </row>
    <row r="3028" spans="1:47" x14ac:dyDescent="0.35">
      <c r="A3028">
        <v>348707</v>
      </c>
      <c r="B3028" t="s">
        <v>172</v>
      </c>
      <c r="C3028" t="s">
        <v>173</v>
      </c>
      <c r="D3028" s="2">
        <v>45814</v>
      </c>
      <c r="E3028">
        <v>53850</v>
      </c>
      <c r="F3028">
        <v>171</v>
      </c>
      <c r="G3028" t="s">
        <v>198</v>
      </c>
      <c r="H3028" t="s">
        <v>167</v>
      </c>
      <c r="I3028" t="s">
        <v>45</v>
      </c>
      <c r="K3028" t="s">
        <v>2899</v>
      </c>
      <c r="L3028">
        <v>1713305728950</v>
      </c>
      <c r="M3028">
        <v>20250605</v>
      </c>
      <c r="N3028" t="s">
        <v>195</v>
      </c>
      <c r="Q3028" t="s">
        <v>47</v>
      </c>
      <c r="R3028">
        <v>448704.1</v>
      </c>
      <c r="S3028">
        <v>448704.1</v>
      </c>
      <c r="T3028">
        <v>572895</v>
      </c>
      <c r="U3028">
        <v>4161600723</v>
      </c>
      <c r="V3028" t="s">
        <v>199</v>
      </c>
      <c r="W3028" t="s">
        <v>49</v>
      </c>
      <c r="X3028" t="s">
        <v>200</v>
      </c>
      <c r="Y3028" t="s">
        <v>51</v>
      </c>
      <c r="Z3028">
        <v>1903</v>
      </c>
      <c r="AH3028">
        <v>0</v>
      </c>
      <c r="AI3028">
        <v>202506</v>
      </c>
      <c r="AJ3028" t="s">
        <v>119</v>
      </c>
      <c r="AK3028">
        <v>1</v>
      </c>
      <c r="AL3028">
        <v>1</v>
      </c>
      <c r="AM3028">
        <v>572895</v>
      </c>
      <c r="AN3028">
        <v>1</v>
      </c>
      <c r="AO3028">
        <v>0</v>
      </c>
      <c r="AP3028" t="s">
        <v>3015</v>
      </c>
      <c r="AQ3028" t="s">
        <v>3012</v>
      </c>
      <c r="AR3028" t="s">
        <v>3016</v>
      </c>
      <c r="AT3028" t="s">
        <v>3017</v>
      </c>
      <c r="AU3028" t="s">
        <v>3018</v>
      </c>
    </row>
    <row r="3029" spans="1:47" x14ac:dyDescent="0.35">
      <c r="A3029">
        <v>348706</v>
      </c>
      <c r="B3029" t="s">
        <v>178</v>
      </c>
      <c r="C3029" t="s">
        <v>179</v>
      </c>
      <c r="D3029" s="2">
        <v>45814</v>
      </c>
      <c r="E3029">
        <v>53850</v>
      </c>
      <c r="F3029">
        <v>175</v>
      </c>
      <c r="G3029" t="s">
        <v>99</v>
      </c>
      <c r="H3029" t="s">
        <v>167</v>
      </c>
      <c r="I3029" t="s">
        <v>45</v>
      </c>
      <c r="K3029">
        <v>202506058042566</v>
      </c>
      <c r="L3029">
        <v>1753305636160</v>
      </c>
      <c r="M3029">
        <v>20250605</v>
      </c>
      <c r="N3029" t="s">
        <v>236</v>
      </c>
      <c r="P3029" t="s">
        <v>51</v>
      </c>
      <c r="Q3029" t="s">
        <v>170</v>
      </c>
      <c r="R3029">
        <v>306431.34999999998</v>
      </c>
      <c r="S3029">
        <v>0</v>
      </c>
      <c r="T3029">
        <v>563616</v>
      </c>
      <c r="U3029">
        <v>55560775</v>
      </c>
      <c r="V3029" t="s">
        <v>856</v>
      </c>
      <c r="W3029" t="s">
        <v>49</v>
      </c>
      <c r="X3029" t="s">
        <v>110</v>
      </c>
      <c r="Y3029" t="s">
        <v>51</v>
      </c>
      <c r="Z3029">
        <v>739</v>
      </c>
      <c r="AH3029">
        <v>0</v>
      </c>
      <c r="AI3029">
        <v>202506</v>
      </c>
      <c r="AJ3029" t="s">
        <v>114</v>
      </c>
      <c r="AK3029">
        <v>1</v>
      </c>
      <c r="AL3029">
        <v>1</v>
      </c>
      <c r="AO3029">
        <v>0</v>
      </c>
      <c r="AP3029" t="s">
        <v>3026</v>
      </c>
      <c r="AQ3029" t="s">
        <v>3012</v>
      </c>
      <c r="AR3029" t="s">
        <v>3027</v>
      </c>
      <c r="AS3029" t="s">
        <v>3028</v>
      </c>
      <c r="AU3029" t="s">
        <v>3028</v>
      </c>
    </row>
    <row r="3030" spans="1:47" x14ac:dyDescent="0.35">
      <c r="A3030">
        <v>348705</v>
      </c>
      <c r="B3030" t="s">
        <v>193</v>
      </c>
      <c r="C3030" t="s">
        <v>194</v>
      </c>
      <c r="D3030" s="2">
        <v>45814</v>
      </c>
      <c r="E3030">
        <v>53850</v>
      </c>
      <c r="F3030">
        <v>102</v>
      </c>
      <c r="G3030" t="s">
        <v>151</v>
      </c>
      <c r="H3030" t="s">
        <v>167</v>
      </c>
      <c r="I3030" t="s">
        <v>45</v>
      </c>
      <c r="K3030" t="s">
        <v>2899</v>
      </c>
      <c r="L3030">
        <v>1023308722503</v>
      </c>
      <c r="M3030">
        <v>20250605</v>
      </c>
      <c r="N3030" t="s">
        <v>175</v>
      </c>
      <c r="Q3030" t="s">
        <v>47</v>
      </c>
      <c r="R3030">
        <v>39310</v>
      </c>
      <c r="S3030">
        <v>39310</v>
      </c>
      <c r="T3030">
        <v>413650</v>
      </c>
      <c r="U3030">
        <v>3657230722</v>
      </c>
      <c r="V3030" t="s">
        <v>196</v>
      </c>
      <c r="W3030" t="s">
        <v>190</v>
      </c>
      <c r="X3030" t="s">
        <v>197</v>
      </c>
      <c r="Y3030" t="s">
        <v>51</v>
      </c>
      <c r="Z3030">
        <v>1306</v>
      </c>
      <c r="AH3030">
        <v>0</v>
      </c>
      <c r="AI3030">
        <v>202506</v>
      </c>
      <c r="AJ3030" t="s">
        <v>119</v>
      </c>
      <c r="AK3030">
        <v>1</v>
      </c>
      <c r="AL3030">
        <v>1</v>
      </c>
      <c r="AM3030">
        <v>413650</v>
      </c>
      <c r="AN3030">
        <v>1</v>
      </c>
      <c r="AO3030">
        <v>1</v>
      </c>
      <c r="AP3030" t="s">
        <v>3050</v>
      </c>
      <c r="AQ3030" t="s">
        <v>3047</v>
      </c>
      <c r="AR3030" t="s">
        <v>3051</v>
      </c>
      <c r="AS3030" t="s">
        <v>3049</v>
      </c>
      <c r="AU3030" t="s">
        <v>3049</v>
      </c>
    </row>
    <row r="3031" spans="1:47" x14ac:dyDescent="0.35">
      <c r="A3031">
        <v>348704</v>
      </c>
      <c r="B3031" t="s">
        <v>178</v>
      </c>
      <c r="C3031" t="s">
        <v>179</v>
      </c>
      <c r="D3031" s="2">
        <v>45814</v>
      </c>
      <c r="E3031">
        <v>53850</v>
      </c>
      <c r="F3031">
        <v>108</v>
      </c>
      <c r="G3031" t="s">
        <v>124</v>
      </c>
      <c r="H3031" t="s">
        <v>167</v>
      </c>
      <c r="I3031" t="s">
        <v>45</v>
      </c>
      <c r="K3031">
        <v>202506058044562</v>
      </c>
      <c r="L3031">
        <v>1083306290997</v>
      </c>
      <c r="M3031">
        <v>20250605</v>
      </c>
      <c r="N3031" t="s">
        <v>258</v>
      </c>
      <c r="Q3031" t="s">
        <v>170</v>
      </c>
      <c r="R3031">
        <v>238000</v>
      </c>
      <c r="S3031">
        <v>0</v>
      </c>
      <c r="T3031">
        <v>487505</v>
      </c>
      <c r="U3031" t="s">
        <v>2906</v>
      </c>
      <c r="V3031" t="s">
        <v>2907</v>
      </c>
      <c r="W3031" t="s">
        <v>187</v>
      </c>
      <c r="Y3031" t="s">
        <v>51</v>
      </c>
      <c r="Z3031">
        <v>667</v>
      </c>
      <c r="AH3031">
        <v>0</v>
      </c>
      <c r="AI3031">
        <v>202506</v>
      </c>
      <c r="AJ3031" t="s">
        <v>86</v>
      </c>
      <c r="AK3031">
        <v>1</v>
      </c>
      <c r="AL3031">
        <v>1</v>
      </c>
      <c r="AO3031">
        <v>0</v>
      </c>
      <c r="AP3031" t="s">
        <v>3015</v>
      </c>
      <c r="AQ3031" t="s">
        <v>3044</v>
      </c>
      <c r="AR3031" t="s">
        <v>3045</v>
      </c>
      <c r="AS3031" t="s">
        <v>3046</v>
      </c>
      <c r="AU3031" t="s">
        <v>3046</v>
      </c>
    </row>
    <row r="3032" spans="1:47" x14ac:dyDescent="0.35">
      <c r="A3032">
        <v>348703</v>
      </c>
      <c r="B3032" t="s">
        <v>178</v>
      </c>
      <c r="C3032" t="s">
        <v>179</v>
      </c>
      <c r="D3032" s="2">
        <v>45814</v>
      </c>
      <c r="E3032">
        <v>53850</v>
      </c>
      <c r="F3032">
        <v>188</v>
      </c>
      <c r="G3032" t="s">
        <v>419</v>
      </c>
      <c r="H3032" t="s">
        <v>167</v>
      </c>
      <c r="I3032" t="s">
        <v>45</v>
      </c>
      <c r="K3032">
        <v>202506058042825</v>
      </c>
      <c r="L3032">
        <v>1883300028081</v>
      </c>
      <c r="M3032">
        <v>20250605</v>
      </c>
      <c r="N3032" t="s">
        <v>310</v>
      </c>
      <c r="Q3032" t="s">
        <v>170</v>
      </c>
      <c r="R3032">
        <v>797953.32</v>
      </c>
      <c r="S3032">
        <v>0</v>
      </c>
      <c r="T3032">
        <v>3001543</v>
      </c>
      <c r="U3032">
        <v>943900738</v>
      </c>
      <c r="V3032" t="s">
        <v>1226</v>
      </c>
      <c r="W3032" t="s">
        <v>49</v>
      </c>
      <c r="X3032" t="s">
        <v>421</v>
      </c>
      <c r="Y3032" t="s">
        <v>51</v>
      </c>
      <c r="Z3032">
        <v>1627</v>
      </c>
      <c r="AH3032">
        <v>0</v>
      </c>
      <c r="AI3032">
        <v>202506</v>
      </c>
      <c r="AJ3032" t="s">
        <v>86</v>
      </c>
      <c r="AK3032">
        <v>1</v>
      </c>
      <c r="AL3032">
        <v>1</v>
      </c>
      <c r="AM3032">
        <v>3001543</v>
      </c>
      <c r="AN3032">
        <v>1</v>
      </c>
      <c r="AO3032">
        <v>0</v>
      </c>
      <c r="AP3032" t="s">
        <v>3015</v>
      </c>
      <c r="AQ3032" t="s">
        <v>3012</v>
      </c>
      <c r="AR3032" t="s">
        <v>3016</v>
      </c>
      <c r="AT3032" t="s">
        <v>3017</v>
      </c>
      <c r="AU3032" t="s">
        <v>3018</v>
      </c>
    </row>
    <row r="3033" spans="1:47" x14ac:dyDescent="0.35">
      <c r="A3033">
        <v>348702</v>
      </c>
      <c r="B3033" t="s">
        <v>178</v>
      </c>
      <c r="C3033" t="s">
        <v>179</v>
      </c>
      <c r="D3033" s="2">
        <v>45814</v>
      </c>
      <c r="E3033">
        <v>53850</v>
      </c>
      <c r="F3033">
        <v>109</v>
      </c>
      <c r="G3033" t="s">
        <v>89</v>
      </c>
      <c r="H3033" t="s">
        <v>167</v>
      </c>
      <c r="I3033" t="s">
        <v>45</v>
      </c>
      <c r="K3033">
        <v>202506058044566</v>
      </c>
      <c r="L3033">
        <v>1093304102436</v>
      </c>
      <c r="M3033">
        <v>20250605</v>
      </c>
      <c r="N3033" t="s">
        <v>220</v>
      </c>
      <c r="Q3033" t="s">
        <v>170</v>
      </c>
      <c r="R3033">
        <v>345635.16</v>
      </c>
      <c r="S3033">
        <v>0</v>
      </c>
      <c r="T3033">
        <v>4142804</v>
      </c>
      <c r="U3033">
        <v>4794510729</v>
      </c>
      <c r="V3033" t="s">
        <v>1006</v>
      </c>
      <c r="W3033" t="s">
        <v>49</v>
      </c>
      <c r="X3033" t="s">
        <v>110</v>
      </c>
      <c r="Y3033" t="s">
        <v>51</v>
      </c>
      <c r="Z3033">
        <v>1919</v>
      </c>
      <c r="AH3033">
        <v>0</v>
      </c>
      <c r="AI3033">
        <v>202506</v>
      </c>
      <c r="AJ3033" t="s">
        <v>56</v>
      </c>
      <c r="AK3033">
        <v>0</v>
      </c>
      <c r="AL3033">
        <v>1</v>
      </c>
      <c r="AO3033">
        <v>0</v>
      </c>
      <c r="AP3033" t="s">
        <v>3026</v>
      </c>
      <c r="AQ3033" t="s">
        <v>3012</v>
      </c>
      <c r="AR3033" t="s">
        <v>3027</v>
      </c>
      <c r="AS3033" t="s">
        <v>3028</v>
      </c>
      <c r="AU3033" t="s">
        <v>3028</v>
      </c>
    </row>
    <row r="3034" spans="1:47" x14ac:dyDescent="0.35">
      <c r="A3034">
        <v>348701</v>
      </c>
      <c r="B3034" t="s">
        <v>193</v>
      </c>
      <c r="C3034" t="s">
        <v>194</v>
      </c>
      <c r="D3034" s="2">
        <v>45814</v>
      </c>
      <c r="E3034">
        <v>53850</v>
      </c>
      <c r="F3034">
        <v>171</v>
      </c>
      <c r="G3034" t="s">
        <v>198</v>
      </c>
      <c r="H3034" t="s">
        <v>167</v>
      </c>
      <c r="I3034" t="s">
        <v>45</v>
      </c>
      <c r="K3034" t="s">
        <v>2899</v>
      </c>
      <c r="L3034">
        <v>1713302214147</v>
      </c>
      <c r="M3034">
        <v>20250605</v>
      </c>
      <c r="N3034" t="s">
        <v>195</v>
      </c>
      <c r="Q3034" t="s">
        <v>47</v>
      </c>
      <c r="R3034">
        <v>174585</v>
      </c>
      <c r="S3034">
        <v>174585</v>
      </c>
      <c r="T3034">
        <v>4199319</v>
      </c>
      <c r="U3034">
        <v>6037810725</v>
      </c>
      <c r="V3034" t="s">
        <v>1144</v>
      </c>
      <c r="W3034" t="s">
        <v>49</v>
      </c>
      <c r="X3034" t="s">
        <v>200</v>
      </c>
      <c r="Y3034" t="s">
        <v>51</v>
      </c>
      <c r="Z3034">
        <v>1903</v>
      </c>
      <c r="AH3034">
        <v>0</v>
      </c>
      <c r="AI3034">
        <v>202506</v>
      </c>
      <c r="AJ3034" t="s">
        <v>86</v>
      </c>
      <c r="AK3034">
        <v>1</v>
      </c>
      <c r="AL3034">
        <v>1</v>
      </c>
      <c r="AM3034">
        <v>4199319</v>
      </c>
      <c r="AN3034">
        <v>1</v>
      </c>
      <c r="AO3034">
        <v>0</v>
      </c>
      <c r="AP3034" t="s">
        <v>3015</v>
      </c>
      <c r="AQ3034" t="s">
        <v>3012</v>
      </c>
      <c r="AR3034" t="s">
        <v>3016</v>
      </c>
      <c r="AT3034" t="s">
        <v>3017</v>
      </c>
      <c r="AU3034" t="s">
        <v>3018</v>
      </c>
    </row>
    <row r="3035" spans="1:47" x14ac:dyDescent="0.35">
      <c r="A3035">
        <v>348700</v>
      </c>
      <c r="B3035" t="s">
        <v>164</v>
      </c>
      <c r="C3035" t="s">
        <v>165</v>
      </c>
      <c r="D3035" s="2">
        <v>45814</v>
      </c>
      <c r="E3035">
        <v>53850</v>
      </c>
      <c r="F3035">
        <v>174</v>
      </c>
      <c r="G3035" t="s">
        <v>224</v>
      </c>
      <c r="H3035" t="s">
        <v>167</v>
      </c>
      <c r="I3035" t="s">
        <v>45</v>
      </c>
      <c r="K3035" t="s">
        <v>2908</v>
      </c>
      <c r="L3035">
        <v>1743302877913</v>
      </c>
      <c r="M3035">
        <v>20250605</v>
      </c>
      <c r="N3035" t="s">
        <v>168</v>
      </c>
      <c r="P3035" t="s">
        <v>169</v>
      </c>
      <c r="Q3035" t="s">
        <v>47</v>
      </c>
      <c r="R3035">
        <v>2584.3000000000002</v>
      </c>
      <c r="S3035">
        <v>0</v>
      </c>
      <c r="T3035">
        <v>4180010</v>
      </c>
      <c r="U3035">
        <v>5953650727</v>
      </c>
      <c r="V3035" t="s">
        <v>1261</v>
      </c>
      <c r="W3035" t="s">
        <v>190</v>
      </c>
      <c r="X3035" t="s">
        <v>1262</v>
      </c>
      <c r="Y3035" t="s">
        <v>51</v>
      </c>
      <c r="Z3035">
        <v>720</v>
      </c>
      <c r="AH3035">
        <v>0</v>
      </c>
      <c r="AI3035">
        <v>202506</v>
      </c>
      <c r="AJ3035" t="s">
        <v>86</v>
      </c>
      <c r="AK3035">
        <v>1</v>
      </c>
      <c r="AL3035">
        <v>1</v>
      </c>
      <c r="AO3035">
        <v>0</v>
      </c>
      <c r="AP3035" t="s">
        <v>3015</v>
      </c>
      <c r="AQ3035" t="s">
        <v>3047</v>
      </c>
      <c r="AR3035" t="s">
        <v>3056</v>
      </c>
      <c r="AT3035" t="s">
        <v>3017</v>
      </c>
      <c r="AU3035" t="s">
        <v>3057</v>
      </c>
    </row>
    <row r="3036" spans="1:47" x14ac:dyDescent="0.35">
      <c r="A3036">
        <v>348699</v>
      </c>
      <c r="B3036" t="s">
        <v>178</v>
      </c>
      <c r="C3036" t="s">
        <v>179</v>
      </c>
      <c r="D3036" s="2">
        <v>45814</v>
      </c>
      <c r="E3036">
        <v>53850</v>
      </c>
      <c r="F3036">
        <v>147</v>
      </c>
      <c r="G3036" t="s">
        <v>771</v>
      </c>
      <c r="H3036" t="s">
        <v>167</v>
      </c>
      <c r="I3036" t="s">
        <v>45</v>
      </c>
      <c r="K3036" t="s">
        <v>2909</v>
      </c>
      <c r="L3036">
        <v>1473300002811</v>
      </c>
      <c r="M3036">
        <v>20250605</v>
      </c>
      <c r="N3036" t="s">
        <v>3136</v>
      </c>
      <c r="Q3036" t="s">
        <v>170</v>
      </c>
      <c r="R3036">
        <v>4754.72</v>
      </c>
      <c r="S3036">
        <v>0</v>
      </c>
      <c r="T3036">
        <v>4921138</v>
      </c>
      <c r="U3036">
        <v>92008910637</v>
      </c>
      <c r="V3036" t="s">
        <v>2239</v>
      </c>
      <c r="W3036" t="s">
        <v>183</v>
      </c>
      <c r="Y3036" t="s">
        <v>51</v>
      </c>
      <c r="Z3036">
        <v>1356</v>
      </c>
      <c r="AH3036">
        <v>0</v>
      </c>
      <c r="AI3036">
        <v>202506</v>
      </c>
      <c r="AJ3036" t="s">
        <v>86</v>
      </c>
      <c r="AK3036">
        <v>1</v>
      </c>
      <c r="AL3036">
        <v>1</v>
      </c>
      <c r="AO3036">
        <v>1</v>
      </c>
      <c r="AP3036" t="s">
        <v>3015</v>
      </c>
      <c r="AQ3036" t="s">
        <v>3042</v>
      </c>
      <c r="AR3036" t="s">
        <v>3043</v>
      </c>
      <c r="AS3036" t="s">
        <v>3037</v>
      </c>
      <c r="AU3036" t="s">
        <v>3037</v>
      </c>
    </row>
    <row r="3037" spans="1:47" x14ac:dyDescent="0.35">
      <c r="A3037">
        <v>348698</v>
      </c>
      <c r="B3037" t="s">
        <v>178</v>
      </c>
      <c r="C3037" t="s">
        <v>179</v>
      </c>
      <c r="D3037" s="2">
        <v>45814</v>
      </c>
      <c r="E3037">
        <v>53850</v>
      </c>
      <c r="F3037">
        <v>102</v>
      </c>
      <c r="G3037" t="s">
        <v>151</v>
      </c>
      <c r="H3037" t="s">
        <v>167</v>
      </c>
      <c r="I3037" t="s">
        <v>45</v>
      </c>
      <c r="K3037">
        <v>202506058045064</v>
      </c>
      <c r="L3037">
        <v>1023308723686</v>
      </c>
      <c r="M3037">
        <v>20250605</v>
      </c>
      <c r="N3037" t="s">
        <v>236</v>
      </c>
      <c r="P3037" t="s">
        <v>51</v>
      </c>
      <c r="Q3037" t="s">
        <v>170</v>
      </c>
      <c r="R3037">
        <v>1536000</v>
      </c>
      <c r="S3037">
        <v>0</v>
      </c>
      <c r="T3037">
        <v>531420</v>
      </c>
      <c r="U3037" t="s">
        <v>744</v>
      </c>
      <c r="V3037" t="s">
        <v>745</v>
      </c>
      <c r="W3037" t="s">
        <v>69</v>
      </c>
      <c r="X3037" t="s">
        <v>746</v>
      </c>
      <c r="Y3037" t="s">
        <v>51</v>
      </c>
      <c r="Z3037">
        <v>1306</v>
      </c>
      <c r="AH3037">
        <v>0</v>
      </c>
      <c r="AI3037">
        <v>202506</v>
      </c>
      <c r="AJ3037" t="s">
        <v>56</v>
      </c>
      <c r="AK3037">
        <v>0</v>
      </c>
      <c r="AL3037">
        <v>1</v>
      </c>
      <c r="AM3037">
        <v>531420</v>
      </c>
      <c r="AN3037">
        <v>1</v>
      </c>
      <c r="AO3037">
        <v>0</v>
      </c>
      <c r="AP3037" t="s">
        <v>3015</v>
      </c>
      <c r="AQ3037" t="s">
        <v>3021</v>
      </c>
      <c r="AR3037" t="s">
        <v>3022</v>
      </c>
      <c r="AT3037" t="s">
        <v>3017</v>
      </c>
      <c r="AU3037" t="s">
        <v>3014</v>
      </c>
    </row>
    <row r="3038" spans="1:47" x14ac:dyDescent="0.35">
      <c r="A3038">
        <v>348697</v>
      </c>
      <c r="B3038" t="s">
        <v>172</v>
      </c>
      <c r="C3038" t="s">
        <v>173</v>
      </c>
      <c r="D3038" s="2">
        <v>45814</v>
      </c>
      <c r="E3038">
        <v>53850</v>
      </c>
      <c r="F3038">
        <v>110</v>
      </c>
      <c r="G3038" t="s">
        <v>230</v>
      </c>
      <c r="H3038" t="s">
        <v>167</v>
      </c>
      <c r="I3038" t="s">
        <v>45</v>
      </c>
      <c r="K3038">
        <v>202506058045177</v>
      </c>
      <c r="L3038">
        <v>1103306287662</v>
      </c>
      <c r="M3038">
        <v>20250605</v>
      </c>
      <c r="N3038" t="s">
        <v>81</v>
      </c>
      <c r="Q3038" t="s">
        <v>47</v>
      </c>
      <c r="R3038">
        <v>200000</v>
      </c>
      <c r="S3038">
        <v>0</v>
      </c>
      <c r="T3038">
        <v>4014921</v>
      </c>
      <c r="U3038" t="s">
        <v>1958</v>
      </c>
      <c r="V3038" t="s">
        <v>1959</v>
      </c>
      <c r="W3038" t="s">
        <v>187</v>
      </c>
      <c r="Y3038" t="s">
        <v>51</v>
      </c>
      <c r="Z3038">
        <v>1072</v>
      </c>
      <c r="AH3038">
        <v>0</v>
      </c>
      <c r="AI3038">
        <v>202506</v>
      </c>
      <c r="AJ3038" t="s">
        <v>119</v>
      </c>
      <c r="AK3038">
        <v>1</v>
      </c>
      <c r="AL3038">
        <v>1</v>
      </c>
      <c r="AO3038">
        <v>0</v>
      </c>
      <c r="AP3038" t="s">
        <v>3015</v>
      </c>
      <c r="AQ3038" t="s">
        <v>3044</v>
      </c>
      <c r="AR3038" t="s">
        <v>3045</v>
      </c>
      <c r="AS3038" t="s">
        <v>3046</v>
      </c>
      <c r="AU3038" t="s">
        <v>3046</v>
      </c>
    </row>
    <row r="3039" spans="1:47" x14ac:dyDescent="0.35">
      <c r="A3039">
        <v>348696</v>
      </c>
      <c r="B3039" t="s">
        <v>164</v>
      </c>
      <c r="C3039" t="s">
        <v>165</v>
      </c>
      <c r="D3039" s="2">
        <v>45814</v>
      </c>
      <c r="E3039">
        <v>53850</v>
      </c>
      <c r="F3039">
        <v>261</v>
      </c>
      <c r="G3039" t="s">
        <v>136</v>
      </c>
      <c r="H3039" t="s">
        <v>167</v>
      </c>
      <c r="I3039" t="s">
        <v>45</v>
      </c>
      <c r="K3039" t="s">
        <v>2910</v>
      </c>
      <c r="L3039">
        <v>2613300001265</v>
      </c>
      <c r="M3039">
        <v>20250605</v>
      </c>
      <c r="N3039" t="s">
        <v>168</v>
      </c>
      <c r="P3039" t="s">
        <v>203</v>
      </c>
      <c r="Q3039" t="s">
        <v>47</v>
      </c>
      <c r="R3039">
        <v>3511.9</v>
      </c>
      <c r="S3039">
        <v>0</v>
      </c>
      <c r="T3039">
        <v>1625403</v>
      </c>
      <c r="U3039" t="s">
        <v>870</v>
      </c>
      <c r="V3039" t="s">
        <v>871</v>
      </c>
      <c r="W3039" t="s">
        <v>187</v>
      </c>
      <c r="Y3039" t="s">
        <v>51</v>
      </c>
      <c r="Z3039">
        <v>1755</v>
      </c>
      <c r="AH3039">
        <v>0</v>
      </c>
      <c r="AI3039">
        <v>202506</v>
      </c>
      <c r="AJ3039" t="s">
        <v>56</v>
      </c>
      <c r="AK3039">
        <v>0</v>
      </c>
      <c r="AL3039">
        <v>1</v>
      </c>
      <c r="AO3039">
        <v>0</v>
      </c>
      <c r="AP3039" t="s">
        <v>3015</v>
      </c>
      <c r="AQ3039" t="s">
        <v>3044</v>
      </c>
      <c r="AR3039" t="s">
        <v>3045</v>
      </c>
      <c r="AS3039" t="s">
        <v>3046</v>
      </c>
      <c r="AU3039" t="s">
        <v>3046</v>
      </c>
    </row>
    <row r="3040" spans="1:47" x14ac:dyDescent="0.35">
      <c r="A3040">
        <v>348695</v>
      </c>
      <c r="B3040" t="s">
        <v>178</v>
      </c>
      <c r="C3040" t="s">
        <v>179</v>
      </c>
      <c r="D3040" s="2">
        <v>45814</v>
      </c>
      <c r="E3040">
        <v>53850</v>
      </c>
      <c r="F3040">
        <v>102</v>
      </c>
      <c r="G3040" t="s">
        <v>151</v>
      </c>
      <c r="H3040" t="s">
        <v>167</v>
      </c>
      <c r="I3040" t="s">
        <v>45</v>
      </c>
      <c r="K3040" t="s">
        <v>2900</v>
      </c>
      <c r="L3040">
        <v>2333300010665</v>
      </c>
      <c r="M3040">
        <v>20250605</v>
      </c>
      <c r="N3040" t="s">
        <v>3136</v>
      </c>
      <c r="Q3040" t="s">
        <v>170</v>
      </c>
      <c r="R3040">
        <v>2929.56</v>
      </c>
      <c r="S3040">
        <v>0</v>
      </c>
      <c r="T3040">
        <v>4731171</v>
      </c>
      <c r="U3040" t="s">
        <v>2911</v>
      </c>
      <c r="V3040" t="s">
        <v>2912</v>
      </c>
      <c r="W3040" t="s">
        <v>187</v>
      </c>
      <c r="Y3040" t="s">
        <v>51</v>
      </c>
      <c r="AH3040">
        <v>0</v>
      </c>
      <c r="AI3040">
        <v>202506</v>
      </c>
      <c r="AJ3040" t="s">
        <v>86</v>
      </c>
      <c r="AK3040">
        <v>1</v>
      </c>
      <c r="AL3040">
        <v>1</v>
      </c>
      <c r="AO3040">
        <v>1</v>
      </c>
      <c r="AP3040" t="s">
        <v>3015</v>
      </c>
      <c r="AQ3040" t="s">
        <v>3044</v>
      </c>
      <c r="AR3040" t="s">
        <v>3045</v>
      </c>
      <c r="AS3040" t="s">
        <v>3046</v>
      </c>
      <c r="AU3040" t="s">
        <v>3046</v>
      </c>
    </row>
    <row r="3041" spans="1:47" x14ac:dyDescent="0.35">
      <c r="A3041">
        <v>348694</v>
      </c>
      <c r="B3041" t="s">
        <v>172</v>
      </c>
      <c r="C3041" t="s">
        <v>173</v>
      </c>
      <c r="D3041" s="2">
        <v>45814</v>
      </c>
      <c r="E3041">
        <v>53850</v>
      </c>
      <c r="F3041">
        <v>171</v>
      </c>
      <c r="G3041" t="s">
        <v>198</v>
      </c>
      <c r="H3041" t="s">
        <v>167</v>
      </c>
      <c r="I3041" t="s">
        <v>45</v>
      </c>
      <c r="K3041" t="s">
        <v>2899</v>
      </c>
      <c r="L3041">
        <v>1713302214147</v>
      </c>
      <c r="M3041">
        <v>20250605</v>
      </c>
      <c r="N3041" t="s">
        <v>195</v>
      </c>
      <c r="Q3041" t="s">
        <v>47</v>
      </c>
      <c r="R3041">
        <v>174585</v>
      </c>
      <c r="S3041">
        <v>174585</v>
      </c>
      <c r="T3041">
        <v>4199319</v>
      </c>
      <c r="U3041">
        <v>6037810725</v>
      </c>
      <c r="V3041" t="s">
        <v>1144</v>
      </c>
      <c r="W3041" t="s">
        <v>49</v>
      </c>
      <c r="X3041" t="s">
        <v>200</v>
      </c>
      <c r="Y3041" t="s">
        <v>51</v>
      </c>
      <c r="Z3041">
        <v>1903</v>
      </c>
      <c r="AH3041">
        <v>0</v>
      </c>
      <c r="AI3041">
        <v>202506</v>
      </c>
      <c r="AJ3041" t="s">
        <v>86</v>
      </c>
      <c r="AK3041">
        <v>1</v>
      </c>
      <c r="AL3041">
        <v>1</v>
      </c>
      <c r="AM3041">
        <v>4199319</v>
      </c>
      <c r="AN3041">
        <v>1</v>
      </c>
      <c r="AO3041">
        <v>0</v>
      </c>
      <c r="AP3041" t="s">
        <v>3015</v>
      </c>
      <c r="AQ3041" t="s">
        <v>3012</v>
      </c>
      <c r="AR3041" t="s">
        <v>3016</v>
      </c>
      <c r="AT3041" t="s">
        <v>3017</v>
      </c>
      <c r="AU3041" t="s">
        <v>3018</v>
      </c>
    </row>
    <row r="3042" spans="1:47" x14ac:dyDescent="0.35">
      <c r="A3042">
        <v>348693</v>
      </c>
      <c r="B3042" t="s">
        <v>178</v>
      </c>
      <c r="C3042" t="s">
        <v>179</v>
      </c>
      <c r="D3042" s="2">
        <v>45814</v>
      </c>
      <c r="E3042">
        <v>53850</v>
      </c>
      <c r="F3042">
        <v>109</v>
      </c>
      <c r="G3042" t="s">
        <v>89</v>
      </c>
      <c r="H3042" t="s">
        <v>167</v>
      </c>
      <c r="I3042" t="s">
        <v>45</v>
      </c>
      <c r="K3042">
        <v>202506058045164</v>
      </c>
      <c r="L3042">
        <v>1093306671972</v>
      </c>
      <c r="M3042">
        <v>20250605</v>
      </c>
      <c r="N3042" t="s">
        <v>3136</v>
      </c>
      <c r="Q3042" t="s">
        <v>170</v>
      </c>
      <c r="R3042">
        <v>13670.64</v>
      </c>
      <c r="S3042">
        <v>0</v>
      </c>
      <c r="T3042">
        <v>4565764</v>
      </c>
      <c r="U3042" t="s">
        <v>2913</v>
      </c>
      <c r="V3042" t="s">
        <v>2914</v>
      </c>
      <c r="W3042" t="s">
        <v>187</v>
      </c>
      <c r="Y3042" t="s">
        <v>51</v>
      </c>
      <c r="Z3042">
        <v>1918</v>
      </c>
      <c r="AH3042">
        <v>0</v>
      </c>
      <c r="AI3042">
        <v>202506</v>
      </c>
      <c r="AJ3042" t="s">
        <v>86</v>
      </c>
      <c r="AK3042">
        <v>1</v>
      </c>
      <c r="AL3042">
        <v>1</v>
      </c>
      <c r="AO3042">
        <v>1</v>
      </c>
      <c r="AP3042" t="s">
        <v>3015</v>
      </c>
      <c r="AQ3042" t="s">
        <v>3044</v>
      </c>
      <c r="AR3042" t="s">
        <v>3045</v>
      </c>
      <c r="AS3042" t="s">
        <v>3046</v>
      </c>
      <c r="AU3042" t="s">
        <v>3046</v>
      </c>
    </row>
    <row r="3043" spans="1:47" x14ac:dyDescent="0.35">
      <c r="A3043">
        <v>348692</v>
      </c>
      <c r="B3043" t="s">
        <v>172</v>
      </c>
      <c r="C3043" t="s">
        <v>173</v>
      </c>
      <c r="D3043" s="2">
        <v>45814</v>
      </c>
      <c r="E3043">
        <v>53850</v>
      </c>
      <c r="F3043">
        <v>114</v>
      </c>
      <c r="G3043" t="s">
        <v>188</v>
      </c>
      <c r="H3043" t="s">
        <v>167</v>
      </c>
      <c r="I3043" t="s">
        <v>45</v>
      </c>
      <c r="K3043" t="s">
        <v>2899</v>
      </c>
      <c r="L3043">
        <v>1143306285135</v>
      </c>
      <c r="M3043">
        <v>20250605</v>
      </c>
      <c r="N3043" t="s">
        <v>175</v>
      </c>
      <c r="Q3043" t="s">
        <v>47</v>
      </c>
      <c r="R3043">
        <v>38550</v>
      </c>
      <c r="S3043">
        <v>3550</v>
      </c>
      <c r="T3043">
        <v>3730898</v>
      </c>
      <c r="U3043" t="s">
        <v>835</v>
      </c>
      <c r="V3043" t="s">
        <v>836</v>
      </c>
      <c r="W3043" t="s">
        <v>69</v>
      </c>
      <c r="X3043" t="s">
        <v>131</v>
      </c>
      <c r="Y3043" t="s">
        <v>51</v>
      </c>
      <c r="Z3043">
        <v>869</v>
      </c>
      <c r="AH3043">
        <v>0</v>
      </c>
      <c r="AI3043">
        <v>202506</v>
      </c>
      <c r="AJ3043" t="s">
        <v>56</v>
      </c>
      <c r="AK3043">
        <v>0</v>
      </c>
      <c r="AL3043">
        <v>1</v>
      </c>
      <c r="AM3043">
        <v>3730898</v>
      </c>
      <c r="AN3043">
        <v>1</v>
      </c>
      <c r="AO3043">
        <v>1</v>
      </c>
      <c r="AP3043" t="s">
        <v>3033</v>
      </c>
      <c r="AQ3043" t="s">
        <v>3021</v>
      </c>
      <c r="AR3043" t="s">
        <v>3054</v>
      </c>
      <c r="AS3043" t="s">
        <v>3055</v>
      </c>
      <c r="AU3043" t="s">
        <v>3055</v>
      </c>
    </row>
    <row r="3044" spans="1:47" x14ac:dyDescent="0.35">
      <c r="A3044">
        <v>348691</v>
      </c>
      <c r="B3044" t="s">
        <v>214</v>
      </c>
      <c r="C3044" t="s">
        <v>215</v>
      </c>
      <c r="D3044" s="2">
        <v>45814</v>
      </c>
      <c r="E3044">
        <v>53850</v>
      </c>
      <c r="F3044">
        <v>120</v>
      </c>
      <c r="G3044" t="s">
        <v>411</v>
      </c>
      <c r="H3044" t="s">
        <v>167</v>
      </c>
      <c r="I3044" t="s">
        <v>45</v>
      </c>
      <c r="K3044">
        <v>202506058043929</v>
      </c>
      <c r="L3044">
        <v>1203300001729</v>
      </c>
      <c r="M3044">
        <v>20250605</v>
      </c>
      <c r="N3044" t="s">
        <v>168</v>
      </c>
      <c r="P3044" t="s">
        <v>217</v>
      </c>
      <c r="Q3044" t="s">
        <v>47</v>
      </c>
      <c r="R3044">
        <v>40001.46</v>
      </c>
      <c r="S3044">
        <v>0</v>
      </c>
      <c r="T3044">
        <v>4535200</v>
      </c>
      <c r="U3044" t="s">
        <v>2915</v>
      </c>
      <c r="V3044" t="s">
        <v>2916</v>
      </c>
      <c r="W3044" t="s">
        <v>187</v>
      </c>
      <c r="Y3044" t="s">
        <v>51</v>
      </c>
      <c r="Z3044">
        <v>716</v>
      </c>
      <c r="AH3044">
        <v>0</v>
      </c>
      <c r="AI3044">
        <v>202506</v>
      </c>
      <c r="AJ3044" t="s">
        <v>86</v>
      </c>
      <c r="AK3044">
        <v>1</v>
      </c>
      <c r="AL3044">
        <v>1</v>
      </c>
      <c r="AO3044">
        <v>0</v>
      </c>
      <c r="AP3044" t="s">
        <v>3015</v>
      </c>
      <c r="AQ3044" t="s">
        <v>3044</v>
      </c>
      <c r="AR3044" t="s">
        <v>3045</v>
      </c>
      <c r="AS3044" t="s">
        <v>3046</v>
      </c>
      <c r="AU3044" t="s">
        <v>3046</v>
      </c>
    </row>
    <row r="3045" spans="1:47" x14ac:dyDescent="0.35">
      <c r="A3045">
        <v>348690</v>
      </c>
      <c r="B3045" t="s">
        <v>178</v>
      </c>
      <c r="C3045" t="s">
        <v>179</v>
      </c>
      <c r="D3045" s="2">
        <v>45814</v>
      </c>
      <c r="E3045">
        <v>53850</v>
      </c>
      <c r="F3045">
        <v>102</v>
      </c>
      <c r="G3045" t="s">
        <v>151</v>
      </c>
      <c r="H3045" t="s">
        <v>167</v>
      </c>
      <c r="I3045" t="s">
        <v>45</v>
      </c>
      <c r="K3045">
        <v>202506058043120</v>
      </c>
      <c r="L3045">
        <v>1023308727640</v>
      </c>
      <c r="M3045">
        <v>20250605</v>
      </c>
      <c r="N3045" t="s">
        <v>46</v>
      </c>
      <c r="P3045" t="s">
        <v>51</v>
      </c>
      <c r="Q3045" t="s">
        <v>47</v>
      </c>
      <c r="R3045">
        <v>1025000</v>
      </c>
      <c r="S3045">
        <v>0</v>
      </c>
      <c r="T3045">
        <v>3728814</v>
      </c>
      <c r="U3045">
        <v>5509200720</v>
      </c>
      <c r="V3045" t="s">
        <v>415</v>
      </c>
      <c r="W3045" t="s">
        <v>49</v>
      </c>
      <c r="X3045" t="s">
        <v>257</v>
      </c>
      <c r="Y3045" t="s">
        <v>51</v>
      </c>
      <c r="Z3045">
        <v>739</v>
      </c>
      <c r="AH3045">
        <v>0</v>
      </c>
      <c r="AI3045">
        <v>202506</v>
      </c>
      <c r="AJ3045" t="s">
        <v>86</v>
      </c>
      <c r="AK3045">
        <v>1</v>
      </c>
      <c r="AL3045">
        <v>1</v>
      </c>
      <c r="AO3045">
        <v>0</v>
      </c>
      <c r="AP3045" t="s">
        <v>3015</v>
      </c>
      <c r="AQ3045" t="s">
        <v>3012</v>
      </c>
      <c r="AR3045" t="s">
        <v>3016</v>
      </c>
      <c r="AT3045" t="s">
        <v>3017</v>
      </c>
      <c r="AU3045" t="s">
        <v>3018</v>
      </c>
    </row>
    <row r="3046" spans="1:47" x14ac:dyDescent="0.35">
      <c r="A3046">
        <v>348689</v>
      </c>
      <c r="B3046" t="s">
        <v>172</v>
      </c>
      <c r="C3046" t="s">
        <v>173</v>
      </c>
      <c r="D3046" s="2">
        <v>45814</v>
      </c>
      <c r="E3046">
        <v>53850</v>
      </c>
      <c r="F3046">
        <v>171</v>
      </c>
      <c r="G3046" t="s">
        <v>198</v>
      </c>
      <c r="H3046" t="s">
        <v>167</v>
      </c>
      <c r="I3046" t="s">
        <v>45</v>
      </c>
      <c r="K3046">
        <v>202506058045364</v>
      </c>
      <c r="L3046">
        <v>1713302219001</v>
      </c>
      <c r="M3046">
        <v>20250605</v>
      </c>
      <c r="N3046" t="s">
        <v>231</v>
      </c>
      <c r="Q3046" t="s">
        <v>47</v>
      </c>
      <c r="R3046">
        <v>150000</v>
      </c>
      <c r="S3046">
        <v>0</v>
      </c>
      <c r="T3046">
        <v>602610</v>
      </c>
      <c r="U3046" t="s">
        <v>2917</v>
      </c>
      <c r="V3046" t="s">
        <v>2918</v>
      </c>
      <c r="W3046" t="s">
        <v>187</v>
      </c>
      <c r="Y3046" t="s">
        <v>51</v>
      </c>
      <c r="Z3046">
        <v>856</v>
      </c>
      <c r="AH3046">
        <v>0</v>
      </c>
      <c r="AI3046">
        <v>202506</v>
      </c>
      <c r="AJ3046" t="s">
        <v>86</v>
      </c>
      <c r="AK3046">
        <v>1</v>
      </c>
      <c r="AL3046">
        <v>1</v>
      </c>
      <c r="AO3046">
        <v>0</v>
      </c>
      <c r="AP3046" t="s">
        <v>3015</v>
      </c>
      <c r="AQ3046" t="s">
        <v>3044</v>
      </c>
      <c r="AR3046" t="s">
        <v>3045</v>
      </c>
      <c r="AS3046" t="s">
        <v>3046</v>
      </c>
      <c r="AU3046" t="s">
        <v>3046</v>
      </c>
    </row>
    <row r="3047" spans="1:47" x14ac:dyDescent="0.35">
      <c r="A3047">
        <v>348688</v>
      </c>
      <c r="B3047" t="s">
        <v>178</v>
      </c>
      <c r="C3047" t="s">
        <v>179</v>
      </c>
      <c r="D3047" s="2">
        <v>45814</v>
      </c>
      <c r="E3047">
        <v>53850</v>
      </c>
      <c r="F3047">
        <v>109</v>
      </c>
      <c r="G3047" t="s">
        <v>89</v>
      </c>
      <c r="H3047" t="s">
        <v>167</v>
      </c>
      <c r="I3047" t="s">
        <v>45</v>
      </c>
      <c r="K3047">
        <v>202506058045164</v>
      </c>
      <c r="L3047">
        <v>1093306671972</v>
      </c>
      <c r="M3047">
        <v>20250605</v>
      </c>
      <c r="N3047" t="s">
        <v>3136</v>
      </c>
      <c r="Q3047" t="s">
        <v>170</v>
      </c>
      <c r="R3047">
        <v>13670.64</v>
      </c>
      <c r="S3047">
        <v>0</v>
      </c>
      <c r="T3047">
        <v>4565769</v>
      </c>
      <c r="U3047" t="s">
        <v>2919</v>
      </c>
      <c r="V3047" t="s">
        <v>2920</v>
      </c>
      <c r="W3047" t="s">
        <v>187</v>
      </c>
      <c r="Y3047" t="s">
        <v>51</v>
      </c>
      <c r="Z3047">
        <v>1918</v>
      </c>
      <c r="AH3047">
        <v>0</v>
      </c>
      <c r="AI3047">
        <v>202506</v>
      </c>
      <c r="AJ3047" t="s">
        <v>86</v>
      </c>
      <c r="AK3047">
        <v>1</v>
      </c>
      <c r="AL3047">
        <v>1</v>
      </c>
      <c r="AO3047">
        <v>1</v>
      </c>
      <c r="AP3047" t="s">
        <v>3015</v>
      </c>
      <c r="AQ3047" t="s">
        <v>3044</v>
      </c>
      <c r="AR3047" t="s">
        <v>3045</v>
      </c>
      <c r="AS3047" t="s">
        <v>3046</v>
      </c>
      <c r="AU3047" t="s">
        <v>3046</v>
      </c>
    </row>
    <row r="3048" spans="1:47" x14ac:dyDescent="0.35">
      <c r="A3048">
        <v>348687</v>
      </c>
      <c r="B3048" t="s">
        <v>178</v>
      </c>
      <c r="C3048" t="s">
        <v>179</v>
      </c>
      <c r="D3048" s="2">
        <v>45814</v>
      </c>
      <c r="E3048">
        <v>53850</v>
      </c>
      <c r="F3048">
        <v>105</v>
      </c>
      <c r="G3048" t="s">
        <v>60</v>
      </c>
      <c r="H3048" t="s">
        <v>167</v>
      </c>
      <c r="I3048" t="s">
        <v>45</v>
      </c>
      <c r="K3048">
        <v>202506058045139</v>
      </c>
      <c r="L3048">
        <v>1053300516650</v>
      </c>
      <c r="M3048">
        <v>20250605</v>
      </c>
      <c r="N3048" t="s">
        <v>1002</v>
      </c>
      <c r="Q3048" t="s">
        <v>47</v>
      </c>
      <c r="R3048">
        <v>225000</v>
      </c>
      <c r="S3048">
        <v>0</v>
      </c>
      <c r="T3048">
        <v>51665</v>
      </c>
      <c r="U3048" t="s">
        <v>1457</v>
      </c>
      <c r="V3048" t="s">
        <v>1458</v>
      </c>
      <c r="W3048" t="s">
        <v>187</v>
      </c>
      <c r="Y3048" t="s">
        <v>51</v>
      </c>
      <c r="Z3048">
        <v>1471</v>
      </c>
      <c r="AH3048">
        <v>0</v>
      </c>
      <c r="AI3048">
        <v>202506</v>
      </c>
      <c r="AJ3048" t="s">
        <v>86</v>
      </c>
      <c r="AK3048">
        <v>1</v>
      </c>
      <c r="AL3048">
        <v>1</v>
      </c>
      <c r="AO3048">
        <v>0</v>
      </c>
      <c r="AP3048" t="s">
        <v>3015</v>
      </c>
      <c r="AQ3048" t="s">
        <v>3044</v>
      </c>
      <c r="AR3048" t="s">
        <v>3045</v>
      </c>
      <c r="AS3048" t="s">
        <v>3046</v>
      </c>
      <c r="AU3048" t="s">
        <v>3046</v>
      </c>
    </row>
    <row r="3049" spans="1:47" x14ac:dyDescent="0.35">
      <c r="A3049">
        <v>348686</v>
      </c>
      <c r="B3049" t="s">
        <v>193</v>
      </c>
      <c r="C3049" t="s">
        <v>194</v>
      </c>
      <c r="D3049" s="2">
        <v>45814</v>
      </c>
      <c r="E3049">
        <v>53850</v>
      </c>
      <c r="F3049">
        <v>171</v>
      </c>
      <c r="G3049" t="s">
        <v>198</v>
      </c>
      <c r="H3049" t="s">
        <v>167</v>
      </c>
      <c r="I3049" t="s">
        <v>45</v>
      </c>
      <c r="K3049" t="s">
        <v>2899</v>
      </c>
      <c r="L3049">
        <v>1713305728950</v>
      </c>
      <c r="M3049">
        <v>20250605</v>
      </c>
      <c r="N3049" t="s">
        <v>195</v>
      </c>
      <c r="Q3049" t="s">
        <v>47</v>
      </c>
      <c r="R3049">
        <v>448704.1</v>
      </c>
      <c r="S3049">
        <v>448704.1</v>
      </c>
      <c r="T3049">
        <v>572895</v>
      </c>
      <c r="U3049">
        <v>4161600723</v>
      </c>
      <c r="V3049" t="s">
        <v>199</v>
      </c>
      <c r="W3049" t="s">
        <v>49</v>
      </c>
      <c r="X3049" t="s">
        <v>200</v>
      </c>
      <c r="Y3049" t="s">
        <v>51</v>
      </c>
      <c r="Z3049">
        <v>1903</v>
      </c>
      <c r="AH3049">
        <v>0</v>
      </c>
      <c r="AI3049">
        <v>202506</v>
      </c>
      <c r="AJ3049" t="s">
        <v>119</v>
      </c>
      <c r="AK3049">
        <v>1</v>
      </c>
      <c r="AL3049">
        <v>1</v>
      </c>
      <c r="AM3049">
        <v>572895</v>
      </c>
      <c r="AN3049">
        <v>1</v>
      </c>
      <c r="AO3049">
        <v>0</v>
      </c>
      <c r="AP3049" t="s">
        <v>3015</v>
      </c>
      <c r="AQ3049" t="s">
        <v>3012</v>
      </c>
      <c r="AR3049" t="s">
        <v>3016</v>
      </c>
      <c r="AT3049" t="s">
        <v>3017</v>
      </c>
      <c r="AU3049" t="s">
        <v>3018</v>
      </c>
    </row>
    <row r="3050" spans="1:47" x14ac:dyDescent="0.35">
      <c r="A3050">
        <v>348685</v>
      </c>
      <c r="B3050" t="s">
        <v>164</v>
      </c>
      <c r="C3050" t="s">
        <v>165</v>
      </c>
      <c r="D3050" s="2">
        <v>45814</v>
      </c>
      <c r="E3050">
        <v>53850</v>
      </c>
      <c r="F3050">
        <v>103</v>
      </c>
      <c r="G3050" t="s">
        <v>80</v>
      </c>
      <c r="H3050" t="s">
        <v>167</v>
      </c>
      <c r="I3050" t="s">
        <v>45</v>
      </c>
      <c r="K3050" t="s">
        <v>2921</v>
      </c>
      <c r="L3050">
        <v>1033304289290</v>
      </c>
      <c r="M3050">
        <v>20250605</v>
      </c>
      <c r="N3050" t="s">
        <v>168</v>
      </c>
      <c r="P3050" t="s">
        <v>255</v>
      </c>
      <c r="Q3050" t="s">
        <v>170</v>
      </c>
      <c r="R3050">
        <v>3000</v>
      </c>
      <c r="S3050">
        <v>0</v>
      </c>
      <c r="T3050">
        <v>428929</v>
      </c>
      <c r="U3050">
        <v>3895840720</v>
      </c>
      <c r="V3050" t="s">
        <v>684</v>
      </c>
      <c r="W3050" t="s">
        <v>685</v>
      </c>
      <c r="X3050" t="s">
        <v>686</v>
      </c>
      <c r="Y3050" t="s">
        <v>51</v>
      </c>
      <c r="Z3050">
        <v>1274</v>
      </c>
      <c r="AH3050">
        <v>0</v>
      </c>
      <c r="AI3050">
        <v>202506</v>
      </c>
      <c r="AJ3050" t="s">
        <v>86</v>
      </c>
      <c r="AK3050">
        <v>1</v>
      </c>
      <c r="AL3050">
        <v>1</v>
      </c>
      <c r="AO3050">
        <v>0</v>
      </c>
      <c r="AP3050" t="s">
        <v>3015</v>
      </c>
      <c r="AQ3050" t="s">
        <v>3082</v>
      </c>
      <c r="AR3050" t="s">
        <v>3083</v>
      </c>
      <c r="AT3050" t="s">
        <v>3017</v>
      </c>
      <c r="AU3050" t="s">
        <v>3018</v>
      </c>
    </row>
    <row r="3051" spans="1:47" x14ac:dyDescent="0.35">
      <c r="A3051">
        <v>348684</v>
      </c>
      <c r="B3051" t="s">
        <v>193</v>
      </c>
      <c r="C3051" t="s">
        <v>194</v>
      </c>
      <c r="D3051" s="2">
        <v>45814</v>
      </c>
      <c r="E3051">
        <v>53850</v>
      </c>
      <c r="F3051">
        <v>131</v>
      </c>
      <c r="G3051" t="s">
        <v>216</v>
      </c>
      <c r="H3051" t="s">
        <v>167</v>
      </c>
      <c r="I3051" t="s">
        <v>45</v>
      </c>
      <c r="K3051" t="s">
        <v>2899</v>
      </c>
      <c r="L3051">
        <v>1313300002205</v>
      </c>
      <c r="M3051">
        <v>20250605</v>
      </c>
      <c r="N3051" t="s">
        <v>175</v>
      </c>
      <c r="Q3051" t="s">
        <v>47</v>
      </c>
      <c r="R3051">
        <v>34000</v>
      </c>
      <c r="S3051">
        <v>34000</v>
      </c>
      <c r="T3051">
        <v>4055163</v>
      </c>
      <c r="U3051" t="s">
        <v>522</v>
      </c>
      <c r="V3051" t="s">
        <v>523</v>
      </c>
      <c r="W3051" t="s">
        <v>69</v>
      </c>
      <c r="X3051" t="s">
        <v>131</v>
      </c>
      <c r="Y3051" t="s">
        <v>51</v>
      </c>
      <c r="Z3051">
        <v>915</v>
      </c>
      <c r="AH3051">
        <v>0</v>
      </c>
      <c r="AI3051">
        <v>202506</v>
      </c>
      <c r="AJ3051" t="s">
        <v>119</v>
      </c>
      <c r="AK3051">
        <v>1</v>
      </c>
      <c r="AL3051">
        <v>1</v>
      </c>
      <c r="AM3051">
        <v>4055163</v>
      </c>
      <c r="AN3051">
        <v>1</v>
      </c>
      <c r="AO3051">
        <v>1</v>
      </c>
      <c r="AP3051" t="s">
        <v>3033</v>
      </c>
      <c r="AQ3051" t="s">
        <v>3021</v>
      </c>
      <c r="AR3051" t="s">
        <v>3054</v>
      </c>
      <c r="AS3051" t="s">
        <v>3055</v>
      </c>
      <c r="AU3051" t="s">
        <v>3055</v>
      </c>
    </row>
    <row r="3052" spans="1:47" x14ac:dyDescent="0.35">
      <c r="A3052">
        <v>348683</v>
      </c>
      <c r="B3052" t="s">
        <v>214</v>
      </c>
      <c r="C3052" t="s">
        <v>215</v>
      </c>
      <c r="D3052" s="2">
        <v>45814</v>
      </c>
      <c r="E3052">
        <v>53850</v>
      </c>
      <c r="F3052">
        <v>131</v>
      </c>
      <c r="G3052" t="s">
        <v>216</v>
      </c>
      <c r="H3052" t="s">
        <v>167</v>
      </c>
      <c r="I3052" t="s">
        <v>45</v>
      </c>
      <c r="K3052">
        <v>202506058044261</v>
      </c>
      <c r="L3052">
        <v>1313300001588</v>
      </c>
      <c r="M3052">
        <v>20250605</v>
      </c>
      <c r="N3052" t="s">
        <v>168</v>
      </c>
      <c r="P3052" t="s">
        <v>2223</v>
      </c>
      <c r="Q3052" t="s">
        <v>47</v>
      </c>
      <c r="R3052">
        <v>134983.79999999999</v>
      </c>
      <c r="S3052">
        <v>0</v>
      </c>
      <c r="T3052">
        <v>4121868</v>
      </c>
      <c r="U3052">
        <v>5913290630</v>
      </c>
      <c r="V3052" t="s">
        <v>1164</v>
      </c>
      <c r="W3052" t="s">
        <v>49</v>
      </c>
      <c r="X3052" t="s">
        <v>1165</v>
      </c>
      <c r="Y3052" t="s">
        <v>51</v>
      </c>
      <c r="Z3052">
        <v>739</v>
      </c>
      <c r="AH3052">
        <v>0</v>
      </c>
      <c r="AI3052">
        <v>202506</v>
      </c>
      <c r="AJ3052" t="s">
        <v>56</v>
      </c>
      <c r="AK3052">
        <v>0</v>
      </c>
      <c r="AL3052">
        <v>1</v>
      </c>
      <c r="AO3052">
        <v>0</v>
      </c>
      <c r="AP3052" t="s">
        <v>3015</v>
      </c>
      <c r="AQ3052" t="s">
        <v>3012</v>
      </c>
      <c r="AR3052" t="s">
        <v>3016</v>
      </c>
      <c r="AT3052" t="s">
        <v>3017</v>
      </c>
      <c r="AU3052" t="s">
        <v>3018</v>
      </c>
    </row>
    <row r="3053" spans="1:47" x14ac:dyDescent="0.35">
      <c r="A3053">
        <v>348682</v>
      </c>
      <c r="B3053" t="s">
        <v>178</v>
      </c>
      <c r="C3053" t="s">
        <v>179</v>
      </c>
      <c r="D3053" s="2">
        <v>45814</v>
      </c>
      <c r="E3053">
        <v>53850</v>
      </c>
      <c r="F3053">
        <v>116</v>
      </c>
      <c r="G3053" t="s">
        <v>126</v>
      </c>
      <c r="H3053" t="s">
        <v>167</v>
      </c>
      <c r="I3053" t="s">
        <v>45</v>
      </c>
      <c r="K3053">
        <v>202506058042478</v>
      </c>
      <c r="L3053">
        <v>2173300010307</v>
      </c>
      <c r="M3053">
        <v>20250605</v>
      </c>
      <c r="N3053" t="s">
        <v>236</v>
      </c>
      <c r="P3053" t="s">
        <v>51</v>
      </c>
      <c r="Q3053" t="s">
        <v>170</v>
      </c>
      <c r="R3053">
        <v>1200000</v>
      </c>
      <c r="S3053">
        <v>0</v>
      </c>
      <c r="T3053">
        <v>4434879</v>
      </c>
      <c r="U3053">
        <v>1595620061</v>
      </c>
      <c r="V3053" t="s">
        <v>1443</v>
      </c>
      <c r="W3053" t="s">
        <v>49</v>
      </c>
      <c r="X3053" t="s">
        <v>1444</v>
      </c>
      <c r="Y3053" t="s">
        <v>51</v>
      </c>
      <c r="Z3053">
        <v>1696</v>
      </c>
      <c r="AH3053">
        <v>0</v>
      </c>
      <c r="AI3053">
        <v>202506</v>
      </c>
      <c r="AJ3053" t="s">
        <v>86</v>
      </c>
      <c r="AK3053">
        <v>1</v>
      </c>
      <c r="AL3053">
        <v>1</v>
      </c>
      <c r="AO3053">
        <v>0</v>
      </c>
      <c r="AP3053" t="s">
        <v>3015</v>
      </c>
      <c r="AQ3053" t="s">
        <v>3012</v>
      </c>
      <c r="AR3053" t="s">
        <v>3016</v>
      </c>
      <c r="AT3053" t="s">
        <v>3017</v>
      </c>
      <c r="AU3053" t="s">
        <v>3018</v>
      </c>
    </row>
    <row r="3054" spans="1:47" x14ac:dyDescent="0.35">
      <c r="A3054">
        <v>348681</v>
      </c>
      <c r="B3054" t="s">
        <v>214</v>
      </c>
      <c r="C3054" t="s">
        <v>215</v>
      </c>
      <c r="D3054" s="2">
        <v>45814</v>
      </c>
      <c r="E3054">
        <v>53850</v>
      </c>
      <c r="F3054">
        <v>121</v>
      </c>
      <c r="G3054" t="s">
        <v>140</v>
      </c>
      <c r="H3054" t="s">
        <v>167</v>
      </c>
      <c r="I3054" t="s">
        <v>45</v>
      </c>
      <c r="K3054">
        <v>202506058043926</v>
      </c>
      <c r="L3054">
        <v>1213300003010</v>
      </c>
      <c r="M3054">
        <v>20250605</v>
      </c>
      <c r="N3054" t="s">
        <v>168</v>
      </c>
      <c r="P3054" t="s">
        <v>217</v>
      </c>
      <c r="Q3054" t="s">
        <v>47</v>
      </c>
      <c r="R3054">
        <v>27000</v>
      </c>
      <c r="S3054">
        <v>0</v>
      </c>
      <c r="T3054">
        <v>4974937</v>
      </c>
      <c r="U3054" t="s">
        <v>2922</v>
      </c>
      <c r="V3054" t="s">
        <v>2923</v>
      </c>
      <c r="W3054" t="s">
        <v>187</v>
      </c>
      <c r="Y3054" t="s">
        <v>51</v>
      </c>
      <c r="AH3054">
        <v>0</v>
      </c>
      <c r="AI3054">
        <v>202506</v>
      </c>
      <c r="AJ3054" t="s">
        <v>86</v>
      </c>
      <c r="AK3054">
        <v>1</v>
      </c>
      <c r="AL3054">
        <v>1</v>
      </c>
      <c r="AO3054">
        <v>0</v>
      </c>
      <c r="AP3054" t="s">
        <v>3015</v>
      </c>
      <c r="AQ3054" t="s">
        <v>3044</v>
      </c>
      <c r="AR3054" t="s">
        <v>3045</v>
      </c>
      <c r="AS3054" t="s">
        <v>3046</v>
      </c>
      <c r="AU3054" t="s">
        <v>3046</v>
      </c>
    </row>
    <row r="3055" spans="1:47" x14ac:dyDescent="0.35">
      <c r="A3055">
        <v>348680</v>
      </c>
      <c r="B3055" t="s">
        <v>214</v>
      </c>
      <c r="C3055" t="s">
        <v>215</v>
      </c>
      <c r="D3055" s="2">
        <v>45814</v>
      </c>
      <c r="E3055">
        <v>53850</v>
      </c>
      <c r="F3055">
        <v>170</v>
      </c>
      <c r="G3055" t="s">
        <v>211</v>
      </c>
      <c r="H3055" t="s">
        <v>167</v>
      </c>
      <c r="I3055" t="s">
        <v>45</v>
      </c>
      <c r="K3055">
        <v>202506058044251</v>
      </c>
      <c r="L3055">
        <v>1703306288195</v>
      </c>
      <c r="M3055">
        <v>20250605</v>
      </c>
      <c r="N3055" t="s">
        <v>168</v>
      </c>
      <c r="P3055" t="s">
        <v>339</v>
      </c>
      <c r="Q3055" t="s">
        <v>170</v>
      </c>
      <c r="R3055">
        <v>42912.62</v>
      </c>
      <c r="S3055">
        <v>0</v>
      </c>
      <c r="T3055">
        <v>4401631</v>
      </c>
      <c r="U3055">
        <v>4724350725</v>
      </c>
      <c r="V3055" t="s">
        <v>949</v>
      </c>
      <c r="W3055" t="s">
        <v>49</v>
      </c>
      <c r="X3055" t="s">
        <v>241</v>
      </c>
      <c r="Y3055" t="s">
        <v>51</v>
      </c>
      <c r="Z3055">
        <v>1919</v>
      </c>
      <c r="AH3055">
        <v>0</v>
      </c>
      <c r="AI3055">
        <v>202506</v>
      </c>
      <c r="AJ3055" t="s">
        <v>86</v>
      </c>
      <c r="AK3055">
        <v>1</v>
      </c>
      <c r="AL3055">
        <v>1</v>
      </c>
      <c r="AO3055">
        <v>0</v>
      </c>
      <c r="AP3055" t="s">
        <v>3015</v>
      </c>
      <c r="AQ3055" t="s">
        <v>3012</v>
      </c>
      <c r="AR3055" t="s">
        <v>3016</v>
      </c>
      <c r="AT3055" t="s">
        <v>3017</v>
      </c>
      <c r="AU3055" t="s">
        <v>3018</v>
      </c>
    </row>
    <row r="3056" spans="1:47" x14ac:dyDescent="0.35">
      <c r="A3056">
        <v>348679</v>
      </c>
      <c r="B3056" t="s">
        <v>214</v>
      </c>
      <c r="C3056" t="s">
        <v>215</v>
      </c>
      <c r="D3056" s="2">
        <v>45814</v>
      </c>
      <c r="E3056">
        <v>53850</v>
      </c>
      <c r="F3056">
        <v>121</v>
      </c>
      <c r="G3056" t="s">
        <v>140</v>
      </c>
      <c r="H3056" t="s">
        <v>167</v>
      </c>
      <c r="I3056" t="s">
        <v>45</v>
      </c>
      <c r="K3056">
        <v>202506058043926</v>
      </c>
      <c r="L3056">
        <v>1213300003010</v>
      </c>
      <c r="M3056">
        <v>20250605</v>
      </c>
      <c r="N3056" t="s">
        <v>168</v>
      </c>
      <c r="P3056" t="s">
        <v>217</v>
      </c>
      <c r="Q3056" t="s">
        <v>47</v>
      </c>
      <c r="R3056">
        <v>27000</v>
      </c>
      <c r="S3056">
        <v>0</v>
      </c>
      <c r="T3056">
        <v>4433949</v>
      </c>
      <c r="U3056" t="s">
        <v>2924</v>
      </c>
      <c r="V3056" t="s">
        <v>2925</v>
      </c>
      <c r="W3056" t="s">
        <v>187</v>
      </c>
      <c r="Y3056" t="s">
        <v>51</v>
      </c>
      <c r="Z3056">
        <v>928</v>
      </c>
      <c r="AH3056">
        <v>0</v>
      </c>
      <c r="AI3056">
        <v>202506</v>
      </c>
      <c r="AJ3056" t="s">
        <v>86</v>
      </c>
      <c r="AK3056">
        <v>1</v>
      </c>
      <c r="AL3056">
        <v>1</v>
      </c>
      <c r="AO3056">
        <v>0</v>
      </c>
      <c r="AP3056" t="s">
        <v>3015</v>
      </c>
      <c r="AQ3056" t="s">
        <v>3044</v>
      </c>
      <c r="AR3056" t="s">
        <v>3045</v>
      </c>
      <c r="AS3056" t="s">
        <v>3046</v>
      </c>
      <c r="AU3056" t="s">
        <v>3046</v>
      </c>
    </row>
    <row r="3057" spans="1:47" x14ac:dyDescent="0.35">
      <c r="A3057">
        <v>348678</v>
      </c>
      <c r="B3057" t="s">
        <v>178</v>
      </c>
      <c r="C3057" t="s">
        <v>179</v>
      </c>
      <c r="D3057" s="2">
        <v>45814</v>
      </c>
      <c r="E3057">
        <v>53850</v>
      </c>
      <c r="F3057">
        <v>182</v>
      </c>
      <c r="G3057" t="s">
        <v>318</v>
      </c>
      <c r="H3057" t="s">
        <v>167</v>
      </c>
      <c r="I3057" t="s">
        <v>45</v>
      </c>
      <c r="K3057">
        <v>202506058044831</v>
      </c>
      <c r="L3057">
        <v>1823300072312</v>
      </c>
      <c r="M3057">
        <v>20250605</v>
      </c>
      <c r="N3057" t="s">
        <v>258</v>
      </c>
      <c r="Q3057" t="s">
        <v>170</v>
      </c>
      <c r="R3057">
        <v>950000</v>
      </c>
      <c r="S3057">
        <v>0</v>
      </c>
      <c r="T3057">
        <v>3072878</v>
      </c>
      <c r="U3057">
        <v>333580736</v>
      </c>
      <c r="V3057" t="s">
        <v>454</v>
      </c>
      <c r="W3057" t="s">
        <v>49</v>
      </c>
      <c r="X3057" t="s">
        <v>421</v>
      </c>
      <c r="Y3057" t="s">
        <v>51</v>
      </c>
      <c r="Z3057">
        <v>1627</v>
      </c>
      <c r="AH3057">
        <v>0</v>
      </c>
      <c r="AI3057">
        <v>202506</v>
      </c>
      <c r="AJ3057" t="s">
        <v>86</v>
      </c>
      <c r="AK3057">
        <v>1</v>
      </c>
      <c r="AL3057">
        <v>1</v>
      </c>
      <c r="AO3057">
        <v>0</v>
      </c>
      <c r="AP3057" t="s">
        <v>3015</v>
      </c>
      <c r="AQ3057" t="s">
        <v>3012</v>
      </c>
      <c r="AR3057" t="s">
        <v>3016</v>
      </c>
      <c r="AT3057" t="s">
        <v>3017</v>
      </c>
      <c r="AU3057" t="s">
        <v>3018</v>
      </c>
    </row>
    <row r="3058" spans="1:47" x14ac:dyDescent="0.35">
      <c r="A3058">
        <v>348677</v>
      </c>
      <c r="B3058" t="s">
        <v>172</v>
      </c>
      <c r="C3058" t="s">
        <v>173</v>
      </c>
      <c r="D3058" s="2">
        <v>45814</v>
      </c>
      <c r="E3058">
        <v>53850</v>
      </c>
      <c r="F3058">
        <v>128</v>
      </c>
      <c r="G3058" t="s">
        <v>94</v>
      </c>
      <c r="H3058" t="s">
        <v>167</v>
      </c>
      <c r="I3058" t="s">
        <v>45</v>
      </c>
      <c r="K3058" t="s">
        <v>2899</v>
      </c>
      <c r="L3058">
        <v>1283300001665</v>
      </c>
      <c r="M3058">
        <v>20250605</v>
      </c>
      <c r="N3058" t="s">
        <v>175</v>
      </c>
      <c r="Q3058" t="s">
        <v>47</v>
      </c>
      <c r="R3058">
        <v>122563.95</v>
      </c>
      <c r="S3058">
        <v>4680</v>
      </c>
      <c r="T3058">
        <v>4254896</v>
      </c>
      <c r="U3058">
        <v>6234730726</v>
      </c>
      <c r="V3058" t="s">
        <v>95</v>
      </c>
      <c r="W3058" t="s">
        <v>49</v>
      </c>
      <c r="X3058" t="s">
        <v>96</v>
      </c>
      <c r="Y3058" t="s">
        <v>51</v>
      </c>
      <c r="Z3058">
        <v>1919</v>
      </c>
      <c r="AH3058">
        <v>0</v>
      </c>
      <c r="AI3058">
        <v>202506</v>
      </c>
      <c r="AJ3058" t="s">
        <v>86</v>
      </c>
      <c r="AK3058">
        <v>1</v>
      </c>
      <c r="AL3058">
        <v>1</v>
      </c>
      <c r="AO3058">
        <v>1</v>
      </c>
      <c r="AP3058" t="s">
        <v>3015</v>
      </c>
      <c r="AQ3058" t="s">
        <v>3012</v>
      </c>
      <c r="AR3058" t="s">
        <v>3016</v>
      </c>
      <c r="AT3058" t="s">
        <v>3017</v>
      </c>
      <c r="AU3058" t="s">
        <v>3018</v>
      </c>
    </row>
    <row r="3059" spans="1:47" x14ac:dyDescent="0.35">
      <c r="A3059">
        <v>348676</v>
      </c>
      <c r="B3059" t="s">
        <v>178</v>
      </c>
      <c r="C3059" t="s">
        <v>179</v>
      </c>
      <c r="D3059" s="2">
        <v>45813</v>
      </c>
      <c r="E3059">
        <v>53850</v>
      </c>
      <c r="F3059">
        <v>108</v>
      </c>
      <c r="G3059" t="s">
        <v>124</v>
      </c>
      <c r="H3059" t="s">
        <v>167</v>
      </c>
      <c r="I3059" t="s">
        <v>45</v>
      </c>
      <c r="K3059">
        <v>202506058040544</v>
      </c>
      <c r="L3059">
        <v>1085500039514</v>
      </c>
      <c r="M3059">
        <v>20250605</v>
      </c>
      <c r="N3059" t="s">
        <v>808</v>
      </c>
      <c r="Q3059" t="s">
        <v>47</v>
      </c>
      <c r="R3059">
        <v>196195.76</v>
      </c>
      <c r="S3059">
        <v>0</v>
      </c>
      <c r="T3059">
        <v>426147</v>
      </c>
      <c r="U3059" t="s">
        <v>1581</v>
      </c>
      <c r="V3059" t="s">
        <v>1582</v>
      </c>
      <c r="W3059" t="s">
        <v>187</v>
      </c>
      <c r="Y3059" t="s">
        <v>51</v>
      </c>
      <c r="AH3059">
        <v>0</v>
      </c>
      <c r="AI3059">
        <v>202506</v>
      </c>
      <c r="AJ3059" t="s">
        <v>86</v>
      </c>
      <c r="AK3059">
        <v>1</v>
      </c>
      <c r="AL3059">
        <v>1</v>
      </c>
      <c r="AO3059">
        <v>0</v>
      </c>
      <c r="AP3059" t="s">
        <v>3015</v>
      </c>
      <c r="AQ3059" t="s">
        <v>3044</v>
      </c>
      <c r="AR3059" t="s">
        <v>3045</v>
      </c>
      <c r="AS3059" t="s">
        <v>3046</v>
      </c>
      <c r="AU3059" t="s">
        <v>3046</v>
      </c>
    </row>
    <row r="3060" spans="1:47" x14ac:dyDescent="0.35">
      <c r="A3060">
        <v>348675</v>
      </c>
      <c r="B3060" t="s">
        <v>178</v>
      </c>
      <c r="C3060" t="s">
        <v>179</v>
      </c>
      <c r="D3060" s="2">
        <v>45813</v>
      </c>
      <c r="E3060">
        <v>53850</v>
      </c>
      <c r="F3060">
        <v>108</v>
      </c>
      <c r="G3060" t="s">
        <v>124</v>
      </c>
      <c r="H3060" t="s">
        <v>167</v>
      </c>
      <c r="I3060" t="s">
        <v>45</v>
      </c>
      <c r="K3060">
        <v>202506058040544</v>
      </c>
      <c r="L3060">
        <v>1085500039514</v>
      </c>
      <c r="M3060">
        <v>20250605</v>
      </c>
      <c r="N3060" t="s">
        <v>808</v>
      </c>
      <c r="Q3060" t="s">
        <v>47</v>
      </c>
      <c r="R3060">
        <v>196195.76</v>
      </c>
      <c r="S3060">
        <v>0</v>
      </c>
      <c r="T3060">
        <v>412179</v>
      </c>
      <c r="U3060" t="s">
        <v>1579</v>
      </c>
      <c r="V3060" t="s">
        <v>1580</v>
      </c>
      <c r="W3060" t="s">
        <v>187</v>
      </c>
      <c r="Y3060" t="s">
        <v>51</v>
      </c>
      <c r="Z3060">
        <v>667</v>
      </c>
      <c r="AH3060">
        <v>0</v>
      </c>
      <c r="AI3060">
        <v>202506</v>
      </c>
      <c r="AJ3060" t="s">
        <v>86</v>
      </c>
      <c r="AK3060">
        <v>1</v>
      </c>
      <c r="AL3060">
        <v>1</v>
      </c>
      <c r="AO3060">
        <v>0</v>
      </c>
      <c r="AP3060" t="s">
        <v>3015</v>
      </c>
      <c r="AQ3060" t="s">
        <v>3044</v>
      </c>
      <c r="AR3060" t="s">
        <v>3045</v>
      </c>
      <c r="AS3060" t="s">
        <v>3046</v>
      </c>
      <c r="AU3060" t="s">
        <v>3046</v>
      </c>
    </row>
    <row r="3061" spans="1:47" x14ac:dyDescent="0.35">
      <c r="A3061">
        <v>348674</v>
      </c>
      <c r="B3061" t="s">
        <v>164</v>
      </c>
      <c r="C3061" t="s">
        <v>165</v>
      </c>
      <c r="D3061" s="2">
        <v>45813</v>
      </c>
      <c r="E3061">
        <v>53850</v>
      </c>
      <c r="F3061">
        <v>105</v>
      </c>
      <c r="G3061" t="s">
        <v>60</v>
      </c>
      <c r="H3061" t="s">
        <v>167</v>
      </c>
      <c r="I3061" t="s">
        <v>45</v>
      </c>
      <c r="K3061" t="s">
        <v>2926</v>
      </c>
      <c r="L3061">
        <v>1053306295089</v>
      </c>
      <c r="M3061">
        <v>20250604</v>
      </c>
      <c r="N3061" t="s">
        <v>168</v>
      </c>
      <c r="P3061" t="s">
        <v>169</v>
      </c>
      <c r="Q3061" t="s">
        <v>47</v>
      </c>
      <c r="R3061">
        <v>1220</v>
      </c>
      <c r="S3061">
        <v>0</v>
      </c>
      <c r="T3061">
        <v>3716148</v>
      </c>
      <c r="U3061">
        <v>6264740728</v>
      </c>
      <c r="V3061" t="s">
        <v>1607</v>
      </c>
      <c r="W3061" t="s">
        <v>49</v>
      </c>
      <c r="X3061" t="s">
        <v>59</v>
      </c>
      <c r="Y3061" t="s">
        <v>51</v>
      </c>
      <c r="Z3061">
        <v>462</v>
      </c>
      <c r="AH3061">
        <v>0</v>
      </c>
      <c r="AI3061">
        <v>202506</v>
      </c>
      <c r="AJ3061" t="s">
        <v>119</v>
      </c>
      <c r="AK3061">
        <v>1</v>
      </c>
      <c r="AL3061">
        <v>1</v>
      </c>
      <c r="AO3061">
        <v>0</v>
      </c>
      <c r="AP3061" t="s">
        <v>3015</v>
      </c>
      <c r="AQ3061" t="s">
        <v>3012</v>
      </c>
      <c r="AR3061" t="s">
        <v>3016</v>
      </c>
      <c r="AT3061" t="s">
        <v>3017</v>
      </c>
      <c r="AU3061" t="s">
        <v>3018</v>
      </c>
    </row>
    <row r="3062" spans="1:47" x14ac:dyDescent="0.35">
      <c r="A3062">
        <v>348673</v>
      </c>
      <c r="B3062" t="s">
        <v>193</v>
      </c>
      <c r="C3062" t="s">
        <v>194</v>
      </c>
      <c r="D3062" s="2">
        <v>45813</v>
      </c>
      <c r="E3062">
        <v>53850</v>
      </c>
      <c r="F3062">
        <v>171</v>
      </c>
      <c r="G3062" t="s">
        <v>198</v>
      </c>
      <c r="H3062" t="s">
        <v>167</v>
      </c>
      <c r="I3062" t="s">
        <v>45</v>
      </c>
      <c r="K3062" t="s">
        <v>2927</v>
      </c>
      <c r="L3062">
        <v>1713305728950</v>
      </c>
      <c r="M3062">
        <v>20250604</v>
      </c>
      <c r="N3062" t="s">
        <v>195</v>
      </c>
      <c r="Q3062" t="s">
        <v>47</v>
      </c>
      <c r="R3062">
        <v>140467.79999999999</v>
      </c>
      <c r="S3062">
        <v>140467.79999999999</v>
      </c>
      <c r="T3062">
        <v>572895</v>
      </c>
      <c r="U3062">
        <v>4161600723</v>
      </c>
      <c r="V3062" t="s">
        <v>199</v>
      </c>
      <c r="W3062" t="s">
        <v>49</v>
      </c>
      <c r="X3062" t="s">
        <v>200</v>
      </c>
      <c r="Y3062" t="s">
        <v>51</v>
      </c>
      <c r="Z3062">
        <v>1903</v>
      </c>
      <c r="AH3062">
        <v>0</v>
      </c>
      <c r="AI3062">
        <v>202506</v>
      </c>
      <c r="AJ3062" t="s">
        <v>119</v>
      </c>
      <c r="AK3062">
        <v>1</v>
      </c>
      <c r="AL3062">
        <v>1</v>
      </c>
      <c r="AM3062">
        <v>572895</v>
      </c>
      <c r="AN3062">
        <v>1</v>
      </c>
      <c r="AO3062">
        <v>0</v>
      </c>
      <c r="AP3062" t="s">
        <v>3015</v>
      </c>
      <c r="AQ3062" t="s">
        <v>3012</v>
      </c>
      <c r="AR3062" t="s">
        <v>3016</v>
      </c>
      <c r="AT3062" t="s">
        <v>3017</v>
      </c>
      <c r="AU3062" t="s">
        <v>3018</v>
      </c>
    </row>
    <row r="3063" spans="1:47" x14ac:dyDescent="0.35">
      <c r="A3063">
        <v>348672</v>
      </c>
      <c r="B3063" t="s">
        <v>178</v>
      </c>
      <c r="C3063" t="s">
        <v>179</v>
      </c>
      <c r="D3063" s="2">
        <v>45813</v>
      </c>
      <c r="E3063">
        <v>53850</v>
      </c>
      <c r="F3063">
        <v>102</v>
      </c>
      <c r="G3063" t="s">
        <v>151</v>
      </c>
      <c r="H3063" t="s">
        <v>167</v>
      </c>
      <c r="I3063" t="s">
        <v>45</v>
      </c>
      <c r="K3063">
        <v>202506048041695</v>
      </c>
      <c r="L3063">
        <v>1023308725736</v>
      </c>
      <c r="M3063">
        <v>20250604</v>
      </c>
      <c r="N3063" t="s">
        <v>3136</v>
      </c>
      <c r="Q3063" t="s">
        <v>170</v>
      </c>
      <c r="R3063">
        <v>5726.29</v>
      </c>
      <c r="S3063">
        <v>0</v>
      </c>
      <c r="T3063">
        <v>83832</v>
      </c>
      <c r="U3063" t="s">
        <v>2928</v>
      </c>
      <c r="V3063" t="s">
        <v>2929</v>
      </c>
      <c r="W3063" t="s">
        <v>187</v>
      </c>
      <c r="Y3063" t="s">
        <v>51</v>
      </c>
      <c r="Z3063">
        <v>841</v>
      </c>
      <c r="AH3063">
        <v>0</v>
      </c>
      <c r="AI3063">
        <v>202506</v>
      </c>
      <c r="AJ3063" t="s">
        <v>86</v>
      </c>
      <c r="AK3063">
        <v>1</v>
      </c>
      <c r="AL3063">
        <v>1</v>
      </c>
      <c r="AO3063">
        <v>1</v>
      </c>
      <c r="AP3063" t="s">
        <v>3015</v>
      </c>
      <c r="AQ3063" t="s">
        <v>3044</v>
      </c>
      <c r="AR3063" t="s">
        <v>3045</v>
      </c>
      <c r="AS3063" t="s">
        <v>3046</v>
      </c>
      <c r="AU3063" t="s">
        <v>3046</v>
      </c>
    </row>
    <row r="3064" spans="1:47" x14ac:dyDescent="0.35">
      <c r="A3064">
        <v>348671</v>
      </c>
      <c r="B3064" t="s">
        <v>172</v>
      </c>
      <c r="C3064" t="s">
        <v>173</v>
      </c>
      <c r="D3064" s="2">
        <v>45813</v>
      </c>
      <c r="E3064">
        <v>53850</v>
      </c>
      <c r="F3064">
        <v>104</v>
      </c>
      <c r="G3064" t="s">
        <v>108</v>
      </c>
      <c r="H3064" t="s">
        <v>167</v>
      </c>
      <c r="I3064" t="s">
        <v>45</v>
      </c>
      <c r="K3064" t="s">
        <v>2927</v>
      </c>
      <c r="L3064">
        <v>1043304173550</v>
      </c>
      <c r="M3064">
        <v>20250604</v>
      </c>
      <c r="N3064" t="s">
        <v>175</v>
      </c>
      <c r="Q3064" t="s">
        <v>47</v>
      </c>
      <c r="R3064">
        <v>154309.92000000001</v>
      </c>
      <c r="S3064">
        <v>0</v>
      </c>
      <c r="T3064">
        <v>417355</v>
      </c>
      <c r="U3064">
        <v>374690725</v>
      </c>
      <c r="V3064" t="s">
        <v>109</v>
      </c>
      <c r="W3064" t="s">
        <v>49</v>
      </c>
      <c r="X3064" t="s">
        <v>110</v>
      </c>
      <c r="Y3064" t="s">
        <v>51</v>
      </c>
      <c r="Z3064">
        <v>1919</v>
      </c>
      <c r="AH3064">
        <v>0</v>
      </c>
      <c r="AI3064">
        <v>202506</v>
      </c>
      <c r="AJ3064" t="s">
        <v>86</v>
      </c>
      <c r="AK3064">
        <v>1</v>
      </c>
      <c r="AL3064">
        <v>1</v>
      </c>
      <c r="AM3064">
        <v>417355</v>
      </c>
      <c r="AN3064">
        <v>1</v>
      </c>
      <c r="AO3064">
        <v>1</v>
      </c>
      <c r="AP3064" t="s">
        <v>3026</v>
      </c>
      <c r="AQ3064" t="s">
        <v>3012</v>
      </c>
      <c r="AR3064" t="s">
        <v>3027</v>
      </c>
      <c r="AS3064" t="s">
        <v>3028</v>
      </c>
      <c r="AU3064" t="s">
        <v>3028</v>
      </c>
    </row>
    <row r="3065" spans="1:47" x14ac:dyDescent="0.35">
      <c r="A3065">
        <v>348670</v>
      </c>
      <c r="B3065" t="s">
        <v>178</v>
      </c>
      <c r="C3065" t="s">
        <v>179</v>
      </c>
      <c r="D3065" s="2">
        <v>45813</v>
      </c>
      <c r="E3065">
        <v>53850</v>
      </c>
      <c r="F3065">
        <v>137</v>
      </c>
      <c r="G3065" t="s">
        <v>166</v>
      </c>
      <c r="H3065" t="s">
        <v>167</v>
      </c>
      <c r="I3065" t="s">
        <v>45</v>
      </c>
      <c r="K3065">
        <v>202506048040108</v>
      </c>
      <c r="L3065">
        <v>1373300005928</v>
      </c>
      <c r="M3065">
        <v>20250604</v>
      </c>
      <c r="N3065" t="s">
        <v>46</v>
      </c>
      <c r="P3065" t="s">
        <v>51</v>
      </c>
      <c r="Q3065" t="s">
        <v>47</v>
      </c>
      <c r="R3065">
        <v>1173554.6599999999</v>
      </c>
      <c r="S3065">
        <v>0</v>
      </c>
      <c r="T3065">
        <v>4229326</v>
      </c>
      <c r="U3065">
        <v>70190707</v>
      </c>
      <c r="V3065" t="s">
        <v>2930</v>
      </c>
      <c r="W3065" t="s">
        <v>49</v>
      </c>
      <c r="X3065" t="s">
        <v>177</v>
      </c>
      <c r="Y3065" t="s">
        <v>51</v>
      </c>
      <c r="Z3065">
        <v>1856</v>
      </c>
      <c r="AH3065">
        <v>0</v>
      </c>
      <c r="AI3065">
        <v>202506</v>
      </c>
      <c r="AJ3065" t="s">
        <v>86</v>
      </c>
      <c r="AK3065">
        <v>1</v>
      </c>
      <c r="AL3065">
        <v>1</v>
      </c>
      <c r="AO3065">
        <v>0</v>
      </c>
      <c r="AP3065" t="s">
        <v>3015</v>
      </c>
      <c r="AQ3065" t="s">
        <v>3012</v>
      </c>
      <c r="AR3065" t="s">
        <v>3016</v>
      </c>
      <c r="AT3065" t="s">
        <v>3017</v>
      </c>
      <c r="AU3065" t="s">
        <v>3018</v>
      </c>
    </row>
    <row r="3066" spans="1:47" x14ac:dyDescent="0.35">
      <c r="A3066">
        <v>348669</v>
      </c>
      <c r="B3066" t="s">
        <v>172</v>
      </c>
      <c r="C3066" t="s">
        <v>173</v>
      </c>
      <c r="D3066" s="2">
        <v>45813</v>
      </c>
      <c r="E3066">
        <v>53850</v>
      </c>
      <c r="F3066">
        <v>149</v>
      </c>
      <c r="G3066" t="s">
        <v>449</v>
      </c>
      <c r="H3066" t="s">
        <v>167</v>
      </c>
      <c r="I3066" t="s">
        <v>45</v>
      </c>
      <c r="K3066" t="s">
        <v>2927</v>
      </c>
      <c r="L3066">
        <v>1493300663906</v>
      </c>
      <c r="M3066">
        <v>20250604</v>
      </c>
      <c r="N3066" t="s">
        <v>175</v>
      </c>
      <c r="Q3066" t="s">
        <v>47</v>
      </c>
      <c r="R3066">
        <v>299570</v>
      </c>
      <c r="S3066">
        <v>0</v>
      </c>
      <c r="T3066">
        <v>4178286</v>
      </c>
      <c r="U3066" t="s">
        <v>2250</v>
      </c>
      <c r="V3066" t="s">
        <v>2251</v>
      </c>
      <c r="W3066" t="s">
        <v>69</v>
      </c>
      <c r="X3066" t="s">
        <v>70</v>
      </c>
      <c r="Y3066" t="s">
        <v>51</v>
      </c>
      <c r="Z3066">
        <v>1910</v>
      </c>
      <c r="AH3066">
        <v>0</v>
      </c>
      <c r="AI3066">
        <v>202506</v>
      </c>
      <c r="AJ3066" t="s">
        <v>56</v>
      </c>
      <c r="AK3066">
        <v>0</v>
      </c>
      <c r="AL3066">
        <v>1</v>
      </c>
      <c r="AM3066">
        <v>4178286</v>
      </c>
      <c r="AN3066">
        <v>1</v>
      </c>
      <c r="AO3066">
        <v>1</v>
      </c>
      <c r="AP3066" t="s">
        <v>3015</v>
      </c>
      <c r="AQ3066" t="s">
        <v>3021</v>
      </c>
      <c r="AR3066" t="s">
        <v>3022</v>
      </c>
      <c r="AT3066" t="s">
        <v>3017</v>
      </c>
      <c r="AU3066" t="s">
        <v>3014</v>
      </c>
    </row>
    <row r="3067" spans="1:47" x14ac:dyDescent="0.35">
      <c r="A3067">
        <v>348668</v>
      </c>
      <c r="B3067" t="s">
        <v>193</v>
      </c>
      <c r="C3067" t="s">
        <v>194</v>
      </c>
      <c r="D3067" s="2">
        <v>45813</v>
      </c>
      <c r="E3067">
        <v>53850</v>
      </c>
      <c r="F3067">
        <v>267</v>
      </c>
      <c r="G3067" t="s">
        <v>349</v>
      </c>
      <c r="H3067" t="s">
        <v>167</v>
      </c>
      <c r="I3067" t="s">
        <v>45</v>
      </c>
      <c r="K3067">
        <v>202506048042148</v>
      </c>
      <c r="L3067">
        <v>2673300002283</v>
      </c>
      <c r="M3067">
        <v>20250604</v>
      </c>
      <c r="N3067" t="s">
        <v>266</v>
      </c>
      <c r="Q3067" t="s">
        <v>47</v>
      </c>
      <c r="R3067">
        <v>41760</v>
      </c>
      <c r="S3067">
        <v>41760</v>
      </c>
      <c r="T3067">
        <v>1653892</v>
      </c>
      <c r="U3067">
        <v>3605780794</v>
      </c>
      <c r="V3067" t="s">
        <v>1227</v>
      </c>
      <c r="W3067" t="s">
        <v>49</v>
      </c>
      <c r="X3067" t="s">
        <v>131</v>
      </c>
      <c r="Y3067" t="s">
        <v>51</v>
      </c>
      <c r="Z3067">
        <v>1891</v>
      </c>
      <c r="AH3067">
        <v>0</v>
      </c>
      <c r="AI3067">
        <v>202506</v>
      </c>
      <c r="AJ3067" t="s">
        <v>86</v>
      </c>
      <c r="AK3067">
        <v>1</v>
      </c>
      <c r="AL3067">
        <v>1</v>
      </c>
      <c r="AO3067">
        <v>0</v>
      </c>
      <c r="AP3067" t="s">
        <v>3033</v>
      </c>
      <c r="AQ3067" t="s">
        <v>3012</v>
      </c>
      <c r="AR3067" t="s">
        <v>3034</v>
      </c>
      <c r="AS3067" t="s">
        <v>3014</v>
      </c>
      <c r="AU3067" t="s">
        <v>3014</v>
      </c>
    </row>
    <row r="3068" spans="1:47" x14ac:dyDescent="0.35">
      <c r="A3068">
        <v>348667</v>
      </c>
      <c r="B3068" t="s">
        <v>164</v>
      </c>
      <c r="C3068" t="s">
        <v>165</v>
      </c>
      <c r="D3068" s="2">
        <v>45813</v>
      </c>
      <c r="E3068">
        <v>53850</v>
      </c>
      <c r="F3068">
        <v>116</v>
      </c>
      <c r="G3068" t="s">
        <v>126</v>
      </c>
      <c r="H3068" t="s">
        <v>167</v>
      </c>
      <c r="I3068" t="s">
        <v>45</v>
      </c>
      <c r="K3068">
        <v>202506048040448</v>
      </c>
      <c r="L3068">
        <v>1163307620851</v>
      </c>
      <c r="M3068">
        <v>20250604</v>
      </c>
      <c r="N3068" t="s">
        <v>168</v>
      </c>
      <c r="P3068" t="s">
        <v>435</v>
      </c>
      <c r="Q3068" t="s">
        <v>47</v>
      </c>
      <c r="R3068">
        <v>5800</v>
      </c>
      <c r="S3068">
        <v>0</v>
      </c>
      <c r="T3068">
        <v>4984414</v>
      </c>
      <c r="U3068" t="s">
        <v>1956</v>
      </c>
      <c r="V3068" t="s">
        <v>1957</v>
      </c>
      <c r="W3068" t="s">
        <v>187</v>
      </c>
      <c r="Y3068" t="s">
        <v>51</v>
      </c>
      <c r="Z3068">
        <v>535</v>
      </c>
      <c r="AH3068">
        <v>0</v>
      </c>
      <c r="AI3068">
        <v>202506</v>
      </c>
      <c r="AJ3068" t="s">
        <v>86</v>
      </c>
      <c r="AK3068">
        <v>1</v>
      </c>
      <c r="AL3068">
        <v>1</v>
      </c>
      <c r="AO3068">
        <v>0</v>
      </c>
      <c r="AP3068" t="s">
        <v>3015</v>
      </c>
      <c r="AQ3068" t="s">
        <v>3044</v>
      </c>
      <c r="AR3068" t="s">
        <v>3045</v>
      </c>
      <c r="AS3068" t="s">
        <v>3046</v>
      </c>
      <c r="AU3068" t="s">
        <v>3046</v>
      </c>
    </row>
    <row r="3069" spans="1:47" x14ac:dyDescent="0.35">
      <c r="A3069">
        <v>348666</v>
      </c>
      <c r="B3069" t="s">
        <v>178</v>
      </c>
      <c r="C3069" t="s">
        <v>179</v>
      </c>
      <c r="D3069" s="2">
        <v>45813</v>
      </c>
      <c r="E3069">
        <v>53850</v>
      </c>
      <c r="F3069">
        <v>273</v>
      </c>
      <c r="G3069" t="s">
        <v>133</v>
      </c>
      <c r="H3069" t="s">
        <v>167</v>
      </c>
      <c r="I3069" t="s">
        <v>45</v>
      </c>
      <c r="K3069">
        <v>202506048041603</v>
      </c>
      <c r="L3069">
        <v>2733300000142</v>
      </c>
      <c r="M3069">
        <v>20250604</v>
      </c>
      <c r="N3069" t="s">
        <v>659</v>
      </c>
      <c r="Q3069" t="s">
        <v>170</v>
      </c>
      <c r="R3069">
        <v>513150.03</v>
      </c>
      <c r="S3069">
        <v>0</v>
      </c>
      <c r="T3069">
        <v>1604768</v>
      </c>
      <c r="U3069">
        <v>1425470695</v>
      </c>
      <c r="V3069" t="s">
        <v>2931</v>
      </c>
      <c r="W3069" t="s">
        <v>49</v>
      </c>
      <c r="X3069" t="s">
        <v>91</v>
      </c>
      <c r="Y3069" t="s">
        <v>51</v>
      </c>
      <c r="Z3069">
        <v>1856</v>
      </c>
      <c r="AH3069">
        <v>0</v>
      </c>
      <c r="AI3069">
        <v>202506</v>
      </c>
      <c r="AJ3069" t="s">
        <v>86</v>
      </c>
      <c r="AK3069">
        <v>1</v>
      </c>
      <c r="AL3069">
        <v>1</v>
      </c>
      <c r="AO3069">
        <v>0</v>
      </c>
      <c r="AP3069" t="s">
        <v>1100</v>
      </c>
      <c r="AQ3069" t="s">
        <v>3012</v>
      </c>
      <c r="AR3069" t="s">
        <v>3023</v>
      </c>
      <c r="AS3069" t="s">
        <v>3014</v>
      </c>
      <c r="AU3069" t="s">
        <v>3014</v>
      </c>
    </row>
    <row r="3070" spans="1:47" x14ac:dyDescent="0.35">
      <c r="A3070">
        <v>348665</v>
      </c>
      <c r="B3070" t="s">
        <v>164</v>
      </c>
      <c r="C3070" t="s">
        <v>165</v>
      </c>
      <c r="D3070" s="2">
        <v>45813</v>
      </c>
      <c r="E3070">
        <v>53850</v>
      </c>
      <c r="F3070">
        <v>102</v>
      </c>
      <c r="G3070" t="s">
        <v>151</v>
      </c>
      <c r="H3070" t="s">
        <v>167</v>
      </c>
      <c r="I3070" t="s">
        <v>45</v>
      </c>
      <c r="K3070" t="s">
        <v>2932</v>
      </c>
      <c r="L3070">
        <v>1023308724471</v>
      </c>
      <c r="M3070">
        <v>20250604</v>
      </c>
      <c r="N3070" t="s">
        <v>168</v>
      </c>
      <c r="P3070" t="s">
        <v>435</v>
      </c>
      <c r="Q3070" t="s">
        <v>47</v>
      </c>
      <c r="R3070">
        <v>2000</v>
      </c>
      <c r="S3070">
        <v>0</v>
      </c>
      <c r="T3070">
        <v>4926972</v>
      </c>
      <c r="U3070">
        <v>8178330729</v>
      </c>
      <c r="V3070" t="s">
        <v>1750</v>
      </c>
      <c r="W3070" t="s">
        <v>49</v>
      </c>
      <c r="X3070" t="s">
        <v>131</v>
      </c>
      <c r="Y3070" t="s">
        <v>51</v>
      </c>
      <c r="Z3070">
        <v>1443</v>
      </c>
      <c r="AH3070">
        <v>0</v>
      </c>
      <c r="AI3070">
        <v>202506</v>
      </c>
      <c r="AJ3070" t="s">
        <v>86</v>
      </c>
      <c r="AK3070">
        <v>1</v>
      </c>
      <c r="AL3070">
        <v>1</v>
      </c>
      <c r="AO3070">
        <v>0</v>
      </c>
      <c r="AP3070" t="s">
        <v>3033</v>
      </c>
      <c r="AQ3070" t="s">
        <v>3012</v>
      </c>
      <c r="AR3070" t="s">
        <v>3034</v>
      </c>
      <c r="AS3070" t="s">
        <v>3014</v>
      </c>
      <c r="AU3070" t="s">
        <v>3014</v>
      </c>
    </row>
    <row r="3071" spans="1:47" x14ac:dyDescent="0.35">
      <c r="A3071">
        <v>348664</v>
      </c>
      <c r="B3071" t="s">
        <v>193</v>
      </c>
      <c r="C3071" t="s">
        <v>194</v>
      </c>
      <c r="D3071" s="2">
        <v>45813</v>
      </c>
      <c r="E3071">
        <v>53850</v>
      </c>
      <c r="F3071">
        <v>116</v>
      </c>
      <c r="G3071" t="s">
        <v>126</v>
      </c>
      <c r="H3071" t="s">
        <v>167</v>
      </c>
      <c r="I3071" t="s">
        <v>45</v>
      </c>
      <c r="K3071">
        <v>202506048041500</v>
      </c>
      <c r="L3071">
        <v>2343300010453</v>
      </c>
      <c r="M3071">
        <v>20250604</v>
      </c>
      <c r="N3071" t="s">
        <v>195</v>
      </c>
      <c r="Q3071" t="s">
        <v>47</v>
      </c>
      <c r="R3071">
        <v>73176.600000000006</v>
      </c>
      <c r="S3071">
        <v>73176.600000000006</v>
      </c>
      <c r="T3071">
        <v>4247777</v>
      </c>
      <c r="U3071">
        <v>233470236</v>
      </c>
      <c r="V3071" t="s">
        <v>206</v>
      </c>
      <c r="W3071" t="s">
        <v>49</v>
      </c>
      <c r="X3071" t="s">
        <v>117</v>
      </c>
      <c r="Y3071" t="s">
        <v>51</v>
      </c>
      <c r="Z3071">
        <v>1696</v>
      </c>
      <c r="AH3071">
        <v>0</v>
      </c>
      <c r="AI3071">
        <v>202506</v>
      </c>
      <c r="AJ3071" t="s">
        <v>86</v>
      </c>
      <c r="AK3071">
        <v>1</v>
      </c>
      <c r="AL3071">
        <v>1</v>
      </c>
      <c r="AM3071">
        <v>4247777</v>
      </c>
      <c r="AN3071">
        <v>1</v>
      </c>
      <c r="AO3071">
        <v>0</v>
      </c>
      <c r="AP3071" t="s">
        <v>3029</v>
      </c>
      <c r="AQ3071" t="s">
        <v>3012</v>
      </c>
      <c r="AR3071" t="s">
        <v>3030</v>
      </c>
      <c r="AS3071" t="s">
        <v>3014</v>
      </c>
      <c r="AU3071" t="s">
        <v>3014</v>
      </c>
    </row>
    <row r="3072" spans="1:47" x14ac:dyDescent="0.35">
      <c r="A3072">
        <v>348663</v>
      </c>
      <c r="B3072" t="s">
        <v>164</v>
      </c>
      <c r="C3072" t="s">
        <v>165</v>
      </c>
      <c r="D3072" s="2">
        <v>45813</v>
      </c>
      <c r="E3072">
        <v>53850</v>
      </c>
      <c r="F3072">
        <v>192</v>
      </c>
      <c r="G3072" t="s">
        <v>66</v>
      </c>
      <c r="H3072" t="s">
        <v>167</v>
      </c>
      <c r="I3072" t="s">
        <v>45</v>
      </c>
      <c r="K3072">
        <v>202506048039563</v>
      </c>
      <c r="L3072">
        <v>1923300185011</v>
      </c>
      <c r="M3072">
        <v>20250604</v>
      </c>
      <c r="N3072" t="s">
        <v>168</v>
      </c>
      <c r="P3072" t="s">
        <v>255</v>
      </c>
      <c r="Q3072" t="s">
        <v>47</v>
      </c>
      <c r="R3072">
        <v>6698.5</v>
      </c>
      <c r="S3072">
        <v>0</v>
      </c>
      <c r="T3072">
        <v>3710704</v>
      </c>
      <c r="U3072" t="s">
        <v>1187</v>
      </c>
      <c r="V3072" t="s">
        <v>1188</v>
      </c>
      <c r="W3072" t="s">
        <v>69</v>
      </c>
      <c r="X3072" t="s">
        <v>686</v>
      </c>
      <c r="Y3072" t="s">
        <v>51</v>
      </c>
      <c r="Z3072">
        <v>1907</v>
      </c>
      <c r="AH3072">
        <v>0</v>
      </c>
      <c r="AI3072">
        <v>202506</v>
      </c>
      <c r="AJ3072" t="s">
        <v>86</v>
      </c>
      <c r="AK3072">
        <v>1</v>
      </c>
      <c r="AL3072">
        <v>1</v>
      </c>
      <c r="AO3072">
        <v>0</v>
      </c>
      <c r="AP3072" t="s">
        <v>3015</v>
      </c>
      <c r="AQ3072" t="s">
        <v>3021</v>
      </c>
      <c r="AR3072" t="s">
        <v>3022</v>
      </c>
      <c r="AT3072" t="s">
        <v>3017</v>
      </c>
      <c r="AU3072" t="s">
        <v>3014</v>
      </c>
    </row>
    <row r="3073" spans="1:47" x14ac:dyDescent="0.35">
      <c r="A3073">
        <v>348662</v>
      </c>
      <c r="B3073" t="s">
        <v>164</v>
      </c>
      <c r="C3073" t="s">
        <v>165</v>
      </c>
      <c r="D3073" s="2">
        <v>45813</v>
      </c>
      <c r="E3073">
        <v>53850</v>
      </c>
      <c r="F3073">
        <v>157</v>
      </c>
      <c r="G3073" t="s">
        <v>201</v>
      </c>
      <c r="H3073" t="s">
        <v>167</v>
      </c>
      <c r="I3073" t="s">
        <v>45</v>
      </c>
      <c r="K3073" t="s">
        <v>2933</v>
      </c>
      <c r="L3073">
        <v>1573300000971</v>
      </c>
      <c r="M3073">
        <v>20250604</v>
      </c>
      <c r="N3073" t="s">
        <v>168</v>
      </c>
      <c r="P3073" t="s">
        <v>203</v>
      </c>
      <c r="Q3073" t="s">
        <v>47</v>
      </c>
      <c r="R3073">
        <v>2560.67</v>
      </c>
      <c r="S3073">
        <v>0</v>
      </c>
      <c r="T3073">
        <v>4254771</v>
      </c>
      <c r="U3073" t="s">
        <v>204</v>
      </c>
      <c r="V3073" t="s">
        <v>205</v>
      </c>
      <c r="W3073" t="s">
        <v>187</v>
      </c>
      <c r="Y3073" t="s">
        <v>51</v>
      </c>
      <c r="Z3073">
        <v>1116</v>
      </c>
      <c r="AH3073">
        <v>0</v>
      </c>
      <c r="AI3073">
        <v>202506</v>
      </c>
      <c r="AJ3073" t="s">
        <v>86</v>
      </c>
      <c r="AK3073">
        <v>1</v>
      </c>
      <c r="AL3073">
        <v>1</v>
      </c>
      <c r="AO3073">
        <v>0</v>
      </c>
      <c r="AP3073" t="s">
        <v>3015</v>
      </c>
      <c r="AQ3073" t="s">
        <v>3044</v>
      </c>
      <c r="AR3073" t="s">
        <v>3045</v>
      </c>
      <c r="AS3073" t="s">
        <v>3046</v>
      </c>
      <c r="AU3073" t="s">
        <v>3046</v>
      </c>
    </row>
    <row r="3074" spans="1:47" x14ac:dyDescent="0.35">
      <c r="A3074">
        <v>348661</v>
      </c>
      <c r="B3074" t="s">
        <v>193</v>
      </c>
      <c r="C3074" t="s">
        <v>194</v>
      </c>
      <c r="D3074" s="2">
        <v>45813</v>
      </c>
      <c r="E3074">
        <v>53850</v>
      </c>
      <c r="F3074">
        <v>108</v>
      </c>
      <c r="G3074" t="s">
        <v>124</v>
      </c>
      <c r="H3074" t="s">
        <v>167</v>
      </c>
      <c r="I3074" t="s">
        <v>45</v>
      </c>
      <c r="K3074" t="s">
        <v>2927</v>
      </c>
      <c r="L3074">
        <v>1083306291105</v>
      </c>
      <c r="M3074">
        <v>20250604</v>
      </c>
      <c r="N3074" t="s">
        <v>175</v>
      </c>
      <c r="Q3074" t="s">
        <v>47</v>
      </c>
      <c r="R3074">
        <v>162227.89000000001</v>
      </c>
      <c r="S3074">
        <v>128144.1</v>
      </c>
      <c r="T3074">
        <v>4227057</v>
      </c>
      <c r="U3074">
        <v>4874620729</v>
      </c>
      <c r="V3074" t="s">
        <v>250</v>
      </c>
      <c r="W3074" t="s">
        <v>49</v>
      </c>
      <c r="X3074" t="s">
        <v>62</v>
      </c>
      <c r="Y3074" t="s">
        <v>51</v>
      </c>
      <c r="Z3074">
        <v>1058</v>
      </c>
      <c r="AH3074">
        <v>0</v>
      </c>
      <c r="AI3074">
        <v>202506</v>
      </c>
      <c r="AJ3074" t="s">
        <v>119</v>
      </c>
      <c r="AK3074">
        <v>1</v>
      </c>
      <c r="AL3074">
        <v>1</v>
      </c>
      <c r="AM3074">
        <v>4227057</v>
      </c>
      <c r="AN3074">
        <v>1</v>
      </c>
      <c r="AO3074">
        <v>1</v>
      </c>
      <c r="AP3074" t="s">
        <v>3015</v>
      </c>
      <c r="AQ3074" t="s">
        <v>3012</v>
      </c>
      <c r="AR3074" t="s">
        <v>3016</v>
      </c>
      <c r="AT3074" t="s">
        <v>3017</v>
      </c>
      <c r="AU3074" t="s">
        <v>3018</v>
      </c>
    </row>
    <row r="3075" spans="1:47" x14ac:dyDescent="0.35">
      <c r="A3075">
        <v>348660</v>
      </c>
      <c r="B3075" t="s">
        <v>193</v>
      </c>
      <c r="C3075" t="s">
        <v>194</v>
      </c>
      <c r="D3075" s="2">
        <v>45813</v>
      </c>
      <c r="E3075">
        <v>53850</v>
      </c>
      <c r="F3075">
        <v>171</v>
      </c>
      <c r="G3075" t="s">
        <v>198</v>
      </c>
      <c r="H3075" t="s">
        <v>167</v>
      </c>
      <c r="I3075" t="s">
        <v>45</v>
      </c>
      <c r="K3075" t="s">
        <v>2927</v>
      </c>
      <c r="L3075">
        <v>1713302214147</v>
      </c>
      <c r="M3075">
        <v>20250604</v>
      </c>
      <c r="N3075" t="s">
        <v>195</v>
      </c>
      <c r="Q3075" t="s">
        <v>47</v>
      </c>
      <c r="R3075">
        <v>39145</v>
      </c>
      <c r="S3075">
        <v>39145</v>
      </c>
      <c r="T3075">
        <v>4199319</v>
      </c>
      <c r="U3075">
        <v>6037810725</v>
      </c>
      <c r="V3075" t="s">
        <v>1144</v>
      </c>
      <c r="W3075" t="s">
        <v>49</v>
      </c>
      <c r="X3075" t="s">
        <v>200</v>
      </c>
      <c r="Y3075" t="s">
        <v>51</v>
      </c>
      <c r="Z3075">
        <v>1903</v>
      </c>
      <c r="AH3075">
        <v>0</v>
      </c>
      <c r="AI3075">
        <v>202506</v>
      </c>
      <c r="AJ3075" t="s">
        <v>86</v>
      </c>
      <c r="AK3075">
        <v>1</v>
      </c>
      <c r="AL3075">
        <v>1</v>
      </c>
      <c r="AM3075">
        <v>4199319</v>
      </c>
      <c r="AN3075">
        <v>1</v>
      </c>
      <c r="AO3075">
        <v>0</v>
      </c>
      <c r="AP3075" t="s">
        <v>3015</v>
      </c>
      <c r="AQ3075" t="s">
        <v>3012</v>
      </c>
      <c r="AR3075" t="s">
        <v>3016</v>
      </c>
      <c r="AT3075" t="s">
        <v>3017</v>
      </c>
      <c r="AU3075" t="s">
        <v>3018</v>
      </c>
    </row>
    <row r="3076" spans="1:47" x14ac:dyDescent="0.35">
      <c r="A3076">
        <v>348659</v>
      </c>
      <c r="B3076" t="s">
        <v>193</v>
      </c>
      <c r="C3076" t="s">
        <v>194</v>
      </c>
      <c r="D3076" s="2">
        <v>45813</v>
      </c>
      <c r="E3076">
        <v>53850</v>
      </c>
      <c r="F3076">
        <v>102</v>
      </c>
      <c r="G3076" t="s">
        <v>151</v>
      </c>
      <c r="H3076" t="s">
        <v>167</v>
      </c>
      <c r="I3076" t="s">
        <v>45</v>
      </c>
      <c r="K3076">
        <v>202506048040678</v>
      </c>
      <c r="L3076">
        <v>1023308722503</v>
      </c>
      <c r="M3076">
        <v>20250604</v>
      </c>
      <c r="N3076" t="s">
        <v>195</v>
      </c>
      <c r="Q3076" t="s">
        <v>47</v>
      </c>
      <c r="R3076">
        <v>23870</v>
      </c>
      <c r="S3076">
        <v>23870</v>
      </c>
      <c r="T3076">
        <v>413650</v>
      </c>
      <c r="U3076">
        <v>3657230722</v>
      </c>
      <c r="V3076" t="s">
        <v>196</v>
      </c>
      <c r="W3076" t="s">
        <v>190</v>
      </c>
      <c r="X3076" t="s">
        <v>197</v>
      </c>
      <c r="Y3076" t="s">
        <v>51</v>
      </c>
      <c r="Z3076">
        <v>1306</v>
      </c>
      <c r="AH3076">
        <v>0</v>
      </c>
      <c r="AI3076">
        <v>202506</v>
      </c>
      <c r="AJ3076" t="s">
        <v>119</v>
      </c>
      <c r="AK3076">
        <v>1</v>
      </c>
      <c r="AL3076">
        <v>1</v>
      </c>
      <c r="AM3076">
        <v>413650</v>
      </c>
      <c r="AN3076">
        <v>1</v>
      </c>
      <c r="AO3076">
        <v>0</v>
      </c>
      <c r="AP3076" t="s">
        <v>3050</v>
      </c>
      <c r="AQ3076" t="s">
        <v>3047</v>
      </c>
      <c r="AR3076" t="s">
        <v>3051</v>
      </c>
      <c r="AS3076" t="s">
        <v>3049</v>
      </c>
      <c r="AU3076" t="s">
        <v>3049</v>
      </c>
    </row>
    <row r="3077" spans="1:47" x14ac:dyDescent="0.35">
      <c r="A3077">
        <v>348658</v>
      </c>
      <c r="B3077" t="s">
        <v>193</v>
      </c>
      <c r="C3077" t="s">
        <v>194</v>
      </c>
      <c r="D3077" s="2">
        <v>45813</v>
      </c>
      <c r="E3077">
        <v>53850</v>
      </c>
      <c r="F3077">
        <v>261</v>
      </c>
      <c r="G3077" t="s">
        <v>136</v>
      </c>
      <c r="H3077" t="s">
        <v>167</v>
      </c>
      <c r="I3077" t="s">
        <v>45</v>
      </c>
      <c r="K3077">
        <v>202506048041006</v>
      </c>
      <c r="L3077">
        <v>1393300071003</v>
      </c>
      <c r="M3077">
        <v>20250604</v>
      </c>
      <c r="N3077" t="s">
        <v>195</v>
      </c>
      <c r="Q3077" t="s">
        <v>47</v>
      </c>
      <c r="R3077">
        <v>16110</v>
      </c>
      <c r="S3077">
        <v>16110</v>
      </c>
      <c r="T3077">
        <v>4174753</v>
      </c>
      <c r="U3077">
        <v>823380944</v>
      </c>
      <c r="V3077" t="s">
        <v>2934</v>
      </c>
      <c r="W3077" t="s">
        <v>190</v>
      </c>
      <c r="X3077" t="s">
        <v>131</v>
      </c>
      <c r="Y3077" t="s">
        <v>51</v>
      </c>
      <c r="Z3077">
        <v>1782</v>
      </c>
      <c r="AH3077">
        <v>0</v>
      </c>
      <c r="AI3077">
        <v>202506</v>
      </c>
      <c r="AJ3077" t="s">
        <v>56</v>
      </c>
      <c r="AK3077">
        <v>0</v>
      </c>
      <c r="AL3077">
        <v>1</v>
      </c>
      <c r="AM3077">
        <v>4174753</v>
      </c>
      <c r="AN3077">
        <v>1</v>
      </c>
      <c r="AO3077">
        <v>0</v>
      </c>
      <c r="AP3077" t="s">
        <v>3033</v>
      </c>
      <c r="AQ3077" t="s">
        <v>3047</v>
      </c>
      <c r="AR3077" t="s">
        <v>3048</v>
      </c>
      <c r="AS3077" t="s">
        <v>3049</v>
      </c>
      <c r="AU3077" t="s">
        <v>3049</v>
      </c>
    </row>
    <row r="3078" spans="1:47" x14ac:dyDescent="0.35">
      <c r="A3078">
        <v>348657</v>
      </c>
      <c r="B3078" t="s">
        <v>172</v>
      </c>
      <c r="C3078" t="s">
        <v>173</v>
      </c>
      <c r="D3078" s="2">
        <v>45813</v>
      </c>
      <c r="E3078">
        <v>53850</v>
      </c>
      <c r="F3078">
        <v>171</v>
      </c>
      <c r="G3078" t="s">
        <v>198</v>
      </c>
      <c r="H3078" t="s">
        <v>167</v>
      </c>
      <c r="I3078" t="s">
        <v>45</v>
      </c>
      <c r="K3078" t="s">
        <v>2927</v>
      </c>
      <c r="L3078">
        <v>1713305728950</v>
      </c>
      <c r="M3078">
        <v>20250604</v>
      </c>
      <c r="N3078" t="s">
        <v>195</v>
      </c>
      <c r="Q3078" t="s">
        <v>47</v>
      </c>
      <c r="R3078">
        <v>140467.79999999999</v>
      </c>
      <c r="S3078">
        <v>140467.79999999999</v>
      </c>
      <c r="T3078">
        <v>572895</v>
      </c>
      <c r="U3078">
        <v>4161600723</v>
      </c>
      <c r="V3078" t="s">
        <v>199</v>
      </c>
      <c r="W3078" t="s">
        <v>49</v>
      </c>
      <c r="X3078" t="s">
        <v>200</v>
      </c>
      <c r="Y3078" t="s">
        <v>51</v>
      </c>
      <c r="Z3078">
        <v>1903</v>
      </c>
      <c r="AH3078">
        <v>0</v>
      </c>
      <c r="AI3078">
        <v>202506</v>
      </c>
      <c r="AJ3078" t="s">
        <v>119</v>
      </c>
      <c r="AK3078">
        <v>1</v>
      </c>
      <c r="AL3078">
        <v>1</v>
      </c>
      <c r="AM3078">
        <v>572895</v>
      </c>
      <c r="AN3078">
        <v>1</v>
      </c>
      <c r="AO3078">
        <v>0</v>
      </c>
      <c r="AP3078" t="s">
        <v>3015</v>
      </c>
      <c r="AQ3078" t="s">
        <v>3012</v>
      </c>
      <c r="AR3078" t="s">
        <v>3016</v>
      </c>
      <c r="AT3078" t="s">
        <v>3017</v>
      </c>
      <c r="AU3078" t="s">
        <v>3018</v>
      </c>
    </row>
    <row r="3079" spans="1:47" x14ac:dyDescent="0.35">
      <c r="A3079">
        <v>348656</v>
      </c>
      <c r="B3079" t="s">
        <v>193</v>
      </c>
      <c r="C3079" t="s">
        <v>194</v>
      </c>
      <c r="D3079" s="2">
        <v>45813</v>
      </c>
      <c r="E3079">
        <v>53850</v>
      </c>
      <c r="F3079">
        <v>104</v>
      </c>
      <c r="G3079" t="s">
        <v>108</v>
      </c>
      <c r="H3079" t="s">
        <v>167</v>
      </c>
      <c r="I3079" t="s">
        <v>45</v>
      </c>
      <c r="K3079" t="s">
        <v>2927</v>
      </c>
      <c r="L3079">
        <v>1043305922900</v>
      </c>
      <c r="M3079">
        <v>20250604</v>
      </c>
      <c r="N3079" t="s">
        <v>175</v>
      </c>
      <c r="Q3079" t="s">
        <v>47</v>
      </c>
      <c r="R3079">
        <v>39367.980000000003</v>
      </c>
      <c r="S3079">
        <v>34810</v>
      </c>
      <c r="T3079">
        <v>592290</v>
      </c>
      <c r="U3079" t="s">
        <v>444</v>
      </c>
      <c r="V3079" t="s">
        <v>445</v>
      </c>
      <c r="W3079" t="s">
        <v>69</v>
      </c>
      <c r="X3079" t="s">
        <v>446</v>
      </c>
      <c r="Y3079" t="s">
        <v>51</v>
      </c>
      <c r="Z3079">
        <v>1902</v>
      </c>
      <c r="AH3079">
        <v>0</v>
      </c>
      <c r="AI3079">
        <v>202506</v>
      </c>
      <c r="AJ3079" t="s">
        <v>119</v>
      </c>
      <c r="AK3079">
        <v>1</v>
      </c>
      <c r="AL3079">
        <v>1</v>
      </c>
      <c r="AM3079">
        <v>592290</v>
      </c>
      <c r="AN3079">
        <v>1</v>
      </c>
      <c r="AO3079">
        <v>1</v>
      </c>
      <c r="AP3079" t="s">
        <v>3015</v>
      </c>
      <c r="AQ3079" t="s">
        <v>3021</v>
      </c>
      <c r="AR3079" t="s">
        <v>3022</v>
      </c>
      <c r="AT3079" t="s">
        <v>3017</v>
      </c>
      <c r="AU3079" t="s">
        <v>3014</v>
      </c>
    </row>
    <row r="3080" spans="1:47" x14ac:dyDescent="0.35">
      <c r="A3080">
        <v>348655</v>
      </c>
      <c r="B3080" t="s">
        <v>164</v>
      </c>
      <c r="C3080" t="s">
        <v>165</v>
      </c>
      <c r="D3080" s="2">
        <v>45813</v>
      </c>
      <c r="E3080">
        <v>53850</v>
      </c>
      <c r="F3080">
        <v>111</v>
      </c>
      <c r="G3080" t="s">
        <v>458</v>
      </c>
      <c r="H3080" t="s">
        <v>167</v>
      </c>
      <c r="I3080" t="s">
        <v>45</v>
      </c>
      <c r="K3080" t="s">
        <v>2935</v>
      </c>
      <c r="L3080">
        <v>1113305626850</v>
      </c>
      <c r="M3080">
        <v>20250604</v>
      </c>
      <c r="N3080" t="s">
        <v>168</v>
      </c>
      <c r="P3080" t="s">
        <v>169</v>
      </c>
      <c r="Q3080" t="s">
        <v>170</v>
      </c>
      <c r="R3080">
        <v>1341.63</v>
      </c>
      <c r="S3080">
        <v>0</v>
      </c>
      <c r="T3080">
        <v>562685</v>
      </c>
      <c r="U3080" t="s">
        <v>459</v>
      </c>
      <c r="V3080" t="s">
        <v>460</v>
      </c>
      <c r="W3080" t="s">
        <v>187</v>
      </c>
      <c r="Y3080" t="s">
        <v>51</v>
      </c>
      <c r="Z3080">
        <v>593</v>
      </c>
      <c r="AH3080">
        <v>0</v>
      </c>
      <c r="AI3080">
        <v>202506</v>
      </c>
      <c r="AJ3080" t="s">
        <v>86</v>
      </c>
      <c r="AK3080">
        <v>1</v>
      </c>
      <c r="AL3080">
        <v>1</v>
      </c>
      <c r="AO3080">
        <v>0</v>
      </c>
      <c r="AP3080" t="s">
        <v>3015</v>
      </c>
      <c r="AQ3080" t="s">
        <v>3044</v>
      </c>
      <c r="AR3080" t="s">
        <v>3045</v>
      </c>
      <c r="AS3080" t="s">
        <v>3046</v>
      </c>
      <c r="AU3080" t="s">
        <v>3046</v>
      </c>
    </row>
    <row r="3081" spans="1:47" x14ac:dyDescent="0.35">
      <c r="A3081">
        <v>348654</v>
      </c>
      <c r="B3081" t="s">
        <v>164</v>
      </c>
      <c r="C3081" t="s">
        <v>165</v>
      </c>
      <c r="D3081" s="2">
        <v>45813</v>
      </c>
      <c r="E3081">
        <v>53850</v>
      </c>
      <c r="F3081">
        <v>118</v>
      </c>
      <c r="G3081" t="s">
        <v>254</v>
      </c>
      <c r="H3081" t="s">
        <v>167</v>
      </c>
      <c r="I3081" t="s">
        <v>45</v>
      </c>
      <c r="K3081" t="s">
        <v>2936</v>
      </c>
      <c r="L3081">
        <v>1183306277717</v>
      </c>
      <c r="M3081">
        <v>20250604</v>
      </c>
      <c r="N3081" t="s">
        <v>168</v>
      </c>
      <c r="P3081" t="s">
        <v>255</v>
      </c>
      <c r="Q3081" t="s">
        <v>47</v>
      </c>
      <c r="R3081">
        <v>2000</v>
      </c>
      <c r="S3081">
        <v>0</v>
      </c>
      <c r="T3081">
        <v>4237439</v>
      </c>
      <c r="U3081">
        <v>5982410721</v>
      </c>
      <c r="V3081" t="s">
        <v>484</v>
      </c>
      <c r="W3081" t="s">
        <v>49</v>
      </c>
      <c r="X3081" t="s">
        <v>65</v>
      </c>
      <c r="Y3081" t="s">
        <v>51</v>
      </c>
      <c r="Z3081">
        <v>1203</v>
      </c>
      <c r="AH3081">
        <v>0</v>
      </c>
      <c r="AI3081">
        <v>202506</v>
      </c>
      <c r="AJ3081" t="s">
        <v>86</v>
      </c>
      <c r="AK3081">
        <v>1</v>
      </c>
      <c r="AL3081">
        <v>1</v>
      </c>
      <c r="AO3081">
        <v>0</v>
      </c>
      <c r="AP3081" t="s">
        <v>3019</v>
      </c>
      <c r="AQ3081" t="s">
        <v>3012</v>
      </c>
      <c r="AR3081" t="s">
        <v>3020</v>
      </c>
      <c r="AS3081" t="s">
        <v>3014</v>
      </c>
      <c r="AU3081" t="s">
        <v>3014</v>
      </c>
    </row>
    <row r="3082" spans="1:47" x14ac:dyDescent="0.35">
      <c r="A3082">
        <v>348653</v>
      </c>
      <c r="B3082" t="s">
        <v>172</v>
      </c>
      <c r="C3082" t="s">
        <v>173</v>
      </c>
      <c r="D3082" s="2">
        <v>45813</v>
      </c>
      <c r="E3082">
        <v>53850</v>
      </c>
      <c r="F3082">
        <v>108</v>
      </c>
      <c r="G3082" t="s">
        <v>124</v>
      </c>
      <c r="H3082" t="s">
        <v>167</v>
      </c>
      <c r="I3082" t="s">
        <v>45</v>
      </c>
      <c r="K3082" t="s">
        <v>2927</v>
      </c>
      <c r="L3082">
        <v>1083306290559</v>
      </c>
      <c r="M3082">
        <v>20250604</v>
      </c>
      <c r="N3082" t="s">
        <v>175</v>
      </c>
      <c r="Q3082" t="s">
        <v>47</v>
      </c>
      <c r="R3082">
        <v>108729.66</v>
      </c>
      <c r="S3082">
        <v>3000</v>
      </c>
      <c r="T3082">
        <v>4902977</v>
      </c>
      <c r="U3082">
        <v>8081970728</v>
      </c>
      <c r="V3082" t="s">
        <v>2044</v>
      </c>
      <c r="W3082" t="s">
        <v>49</v>
      </c>
      <c r="X3082" t="s">
        <v>397</v>
      </c>
      <c r="Y3082" t="s">
        <v>51</v>
      </c>
      <c r="Z3082">
        <v>1058</v>
      </c>
      <c r="AH3082">
        <v>0</v>
      </c>
      <c r="AI3082">
        <v>202506</v>
      </c>
      <c r="AJ3082" t="s">
        <v>86</v>
      </c>
      <c r="AK3082">
        <v>1</v>
      </c>
      <c r="AL3082">
        <v>1</v>
      </c>
      <c r="AO3082">
        <v>1</v>
      </c>
      <c r="AP3082" t="s">
        <v>3015</v>
      </c>
      <c r="AQ3082" t="s">
        <v>3012</v>
      </c>
      <c r="AR3082" t="s">
        <v>3016</v>
      </c>
      <c r="AT3082" t="s">
        <v>3017</v>
      </c>
      <c r="AU3082" t="s">
        <v>3018</v>
      </c>
    </row>
    <row r="3083" spans="1:47" x14ac:dyDescent="0.35">
      <c r="A3083">
        <v>348652</v>
      </c>
      <c r="B3083" t="s">
        <v>178</v>
      </c>
      <c r="C3083" t="s">
        <v>179</v>
      </c>
      <c r="D3083" s="2">
        <v>45813</v>
      </c>
      <c r="E3083">
        <v>53850</v>
      </c>
      <c r="F3083">
        <v>141</v>
      </c>
      <c r="G3083" t="s">
        <v>105</v>
      </c>
      <c r="H3083" t="s">
        <v>167</v>
      </c>
      <c r="I3083" t="s">
        <v>45</v>
      </c>
      <c r="K3083">
        <v>202506048040361</v>
      </c>
      <c r="L3083">
        <v>1413300003749</v>
      </c>
      <c r="M3083">
        <v>20250604</v>
      </c>
      <c r="N3083" t="s">
        <v>46</v>
      </c>
      <c r="P3083" t="s">
        <v>51</v>
      </c>
      <c r="Q3083" t="s">
        <v>47</v>
      </c>
      <c r="R3083">
        <v>1015378.22</v>
      </c>
      <c r="S3083">
        <v>0</v>
      </c>
      <c r="T3083">
        <v>4835947</v>
      </c>
      <c r="U3083">
        <v>3351210756</v>
      </c>
      <c r="V3083" t="s">
        <v>148</v>
      </c>
      <c r="W3083" t="s">
        <v>49</v>
      </c>
      <c r="X3083" t="s">
        <v>50</v>
      </c>
      <c r="Y3083" t="s">
        <v>51</v>
      </c>
      <c r="Z3083">
        <v>1627</v>
      </c>
      <c r="AH3083">
        <v>0</v>
      </c>
      <c r="AI3083">
        <v>202506</v>
      </c>
      <c r="AJ3083" t="s">
        <v>56</v>
      </c>
      <c r="AK3083">
        <v>0</v>
      </c>
      <c r="AL3083">
        <v>1</v>
      </c>
      <c r="AO3083">
        <v>0</v>
      </c>
      <c r="AP3083" t="s">
        <v>3011</v>
      </c>
      <c r="AQ3083" t="s">
        <v>3012</v>
      </c>
      <c r="AR3083" t="s">
        <v>3013</v>
      </c>
      <c r="AS3083" t="s">
        <v>3014</v>
      </c>
      <c r="AU3083" t="s">
        <v>3014</v>
      </c>
    </row>
    <row r="3084" spans="1:47" x14ac:dyDescent="0.35">
      <c r="A3084">
        <v>348651</v>
      </c>
      <c r="B3084" t="s">
        <v>333</v>
      </c>
      <c r="C3084" t="s">
        <v>334</v>
      </c>
      <c r="D3084" s="2">
        <v>45813</v>
      </c>
      <c r="E3084">
        <v>53850</v>
      </c>
      <c r="F3084">
        <v>102</v>
      </c>
      <c r="G3084" t="s">
        <v>151</v>
      </c>
      <c r="H3084" t="s">
        <v>167</v>
      </c>
      <c r="I3084" t="s">
        <v>45</v>
      </c>
      <c r="K3084">
        <v>202506048041678</v>
      </c>
      <c r="M3084">
        <v>20250604</v>
      </c>
      <c r="N3084" t="s">
        <v>515</v>
      </c>
      <c r="Q3084" t="s">
        <v>170</v>
      </c>
      <c r="R3084">
        <v>47100</v>
      </c>
      <c r="S3084">
        <v>0</v>
      </c>
      <c r="T3084">
        <v>4070953</v>
      </c>
      <c r="U3084" t="s">
        <v>1472</v>
      </c>
      <c r="V3084" t="s">
        <v>1473</v>
      </c>
      <c r="W3084" t="s">
        <v>187</v>
      </c>
      <c r="Y3084" t="s">
        <v>51</v>
      </c>
      <c r="Z3084">
        <v>1431</v>
      </c>
      <c r="AH3084">
        <v>0</v>
      </c>
      <c r="AI3084">
        <v>202506</v>
      </c>
      <c r="AL3084">
        <v>0</v>
      </c>
      <c r="AO3084">
        <v>0</v>
      </c>
      <c r="AP3084" t="s">
        <v>3015</v>
      </c>
      <c r="AQ3084" t="s">
        <v>3044</v>
      </c>
      <c r="AR3084" t="s">
        <v>3045</v>
      </c>
      <c r="AS3084" t="s">
        <v>3046</v>
      </c>
      <c r="AU3084" t="s">
        <v>3046</v>
      </c>
    </row>
    <row r="3085" spans="1:47" x14ac:dyDescent="0.35">
      <c r="A3085">
        <v>348650</v>
      </c>
      <c r="B3085" t="s">
        <v>172</v>
      </c>
      <c r="C3085" t="s">
        <v>173</v>
      </c>
      <c r="D3085" s="2">
        <v>45813</v>
      </c>
      <c r="E3085">
        <v>53850</v>
      </c>
      <c r="F3085">
        <v>121</v>
      </c>
      <c r="G3085" t="s">
        <v>140</v>
      </c>
      <c r="H3085" t="s">
        <v>167</v>
      </c>
      <c r="I3085" t="s">
        <v>45</v>
      </c>
      <c r="K3085" t="s">
        <v>2927</v>
      </c>
      <c r="L3085">
        <v>1213300002600</v>
      </c>
      <c r="M3085">
        <v>20250604</v>
      </c>
      <c r="N3085" t="s">
        <v>175</v>
      </c>
      <c r="Q3085" t="s">
        <v>47</v>
      </c>
      <c r="R3085">
        <v>352979.66</v>
      </c>
      <c r="S3085">
        <v>0</v>
      </c>
      <c r="T3085">
        <v>4939345</v>
      </c>
      <c r="U3085">
        <v>5754810728</v>
      </c>
      <c r="V3085" t="s">
        <v>570</v>
      </c>
      <c r="W3085" t="s">
        <v>49</v>
      </c>
      <c r="X3085" t="s">
        <v>117</v>
      </c>
      <c r="Y3085" t="s">
        <v>51</v>
      </c>
      <c r="Z3085">
        <v>1058</v>
      </c>
      <c r="AH3085">
        <v>0</v>
      </c>
      <c r="AI3085">
        <v>202506</v>
      </c>
      <c r="AJ3085" t="s">
        <v>119</v>
      </c>
      <c r="AK3085">
        <v>1</v>
      </c>
      <c r="AL3085">
        <v>1</v>
      </c>
      <c r="AO3085">
        <v>1</v>
      </c>
      <c r="AP3085" t="s">
        <v>3029</v>
      </c>
      <c r="AQ3085" t="s">
        <v>3012</v>
      </c>
      <c r="AR3085" t="s">
        <v>3030</v>
      </c>
      <c r="AS3085" t="s">
        <v>3014</v>
      </c>
      <c r="AU3085" t="s">
        <v>3014</v>
      </c>
    </row>
    <row r="3086" spans="1:47" x14ac:dyDescent="0.35">
      <c r="A3086">
        <v>348649</v>
      </c>
      <c r="B3086" t="s">
        <v>164</v>
      </c>
      <c r="C3086" t="s">
        <v>165</v>
      </c>
      <c r="D3086" s="2">
        <v>45813</v>
      </c>
      <c r="E3086">
        <v>53850</v>
      </c>
      <c r="F3086">
        <v>118</v>
      </c>
      <c r="G3086" t="s">
        <v>254</v>
      </c>
      <c r="H3086" t="s">
        <v>167</v>
      </c>
      <c r="I3086" t="s">
        <v>45</v>
      </c>
      <c r="K3086">
        <v>202506048038971</v>
      </c>
      <c r="L3086">
        <v>1183306279384</v>
      </c>
      <c r="M3086">
        <v>20250604</v>
      </c>
      <c r="N3086" t="s">
        <v>168</v>
      </c>
      <c r="P3086" t="s">
        <v>255</v>
      </c>
      <c r="Q3086" t="s">
        <v>170</v>
      </c>
      <c r="R3086">
        <v>20000</v>
      </c>
      <c r="S3086">
        <v>0</v>
      </c>
      <c r="T3086">
        <v>4896093</v>
      </c>
      <c r="U3086">
        <v>8070110724</v>
      </c>
      <c r="V3086" t="s">
        <v>256</v>
      </c>
      <c r="W3086" t="s">
        <v>49</v>
      </c>
      <c r="X3086" t="s">
        <v>257</v>
      </c>
      <c r="Y3086" t="s">
        <v>51</v>
      </c>
      <c r="Z3086">
        <v>979</v>
      </c>
      <c r="AH3086">
        <v>0</v>
      </c>
      <c r="AI3086">
        <v>202506</v>
      </c>
      <c r="AJ3086" t="s">
        <v>86</v>
      </c>
      <c r="AK3086">
        <v>1</v>
      </c>
      <c r="AL3086">
        <v>1</v>
      </c>
      <c r="AO3086">
        <v>0</v>
      </c>
      <c r="AP3086" t="s">
        <v>3015</v>
      </c>
      <c r="AQ3086" t="s">
        <v>3012</v>
      </c>
      <c r="AR3086" t="s">
        <v>3016</v>
      </c>
      <c r="AT3086" t="s">
        <v>3017</v>
      </c>
      <c r="AU3086" t="s">
        <v>3018</v>
      </c>
    </row>
    <row r="3087" spans="1:47" x14ac:dyDescent="0.35">
      <c r="A3087">
        <v>348648</v>
      </c>
      <c r="B3087" t="s">
        <v>214</v>
      </c>
      <c r="C3087" t="s">
        <v>215</v>
      </c>
      <c r="D3087" s="2">
        <v>45813</v>
      </c>
      <c r="E3087">
        <v>53850</v>
      </c>
      <c r="F3087">
        <v>148</v>
      </c>
      <c r="G3087" t="s">
        <v>78</v>
      </c>
      <c r="H3087" t="s">
        <v>167</v>
      </c>
      <c r="I3087" t="s">
        <v>45</v>
      </c>
      <c r="K3087">
        <v>202506048038686</v>
      </c>
      <c r="L3087">
        <v>1483303001176</v>
      </c>
      <c r="M3087">
        <v>20250604</v>
      </c>
      <c r="N3087" t="s">
        <v>168</v>
      </c>
      <c r="P3087" t="s">
        <v>217</v>
      </c>
      <c r="Q3087" t="s">
        <v>170</v>
      </c>
      <c r="R3087">
        <v>25000</v>
      </c>
      <c r="S3087">
        <v>0</v>
      </c>
      <c r="T3087">
        <v>2012964</v>
      </c>
      <c r="U3087" t="s">
        <v>1850</v>
      </c>
      <c r="V3087" t="s">
        <v>1851</v>
      </c>
      <c r="W3087" t="s">
        <v>187</v>
      </c>
      <c r="Y3087" t="s">
        <v>51</v>
      </c>
      <c r="Z3087">
        <v>1636</v>
      </c>
      <c r="AH3087">
        <v>0</v>
      </c>
      <c r="AI3087">
        <v>202506</v>
      </c>
      <c r="AJ3087" t="s">
        <v>86</v>
      </c>
      <c r="AK3087">
        <v>1</v>
      </c>
      <c r="AL3087">
        <v>1</v>
      </c>
      <c r="AO3087">
        <v>0</v>
      </c>
      <c r="AP3087" t="s">
        <v>3015</v>
      </c>
      <c r="AQ3087" t="s">
        <v>3044</v>
      </c>
      <c r="AR3087" t="s">
        <v>3045</v>
      </c>
      <c r="AS3087" t="s">
        <v>3046</v>
      </c>
      <c r="AU3087" t="s">
        <v>3046</v>
      </c>
    </row>
    <row r="3088" spans="1:47" x14ac:dyDescent="0.35">
      <c r="A3088">
        <v>348647</v>
      </c>
      <c r="B3088" t="s">
        <v>193</v>
      </c>
      <c r="C3088" t="s">
        <v>194</v>
      </c>
      <c r="D3088" s="2">
        <v>45813</v>
      </c>
      <c r="E3088">
        <v>53850</v>
      </c>
      <c r="F3088">
        <v>188</v>
      </c>
      <c r="G3088" t="s">
        <v>419</v>
      </c>
      <c r="H3088" t="s">
        <v>167</v>
      </c>
      <c r="I3088" t="s">
        <v>45</v>
      </c>
      <c r="K3088">
        <v>202506048041361</v>
      </c>
      <c r="L3088">
        <v>1883300132629</v>
      </c>
      <c r="M3088">
        <v>20250604</v>
      </c>
      <c r="N3088" t="s">
        <v>195</v>
      </c>
      <c r="Q3088" t="s">
        <v>47</v>
      </c>
      <c r="R3088">
        <v>25000</v>
      </c>
      <c r="S3088">
        <v>25000</v>
      </c>
      <c r="T3088">
        <v>4857436</v>
      </c>
      <c r="U3088" t="s">
        <v>2293</v>
      </c>
      <c r="V3088" t="s">
        <v>2294</v>
      </c>
      <c r="W3088" t="s">
        <v>342</v>
      </c>
      <c r="X3088" t="s">
        <v>131</v>
      </c>
      <c r="Y3088" t="s">
        <v>51</v>
      </c>
      <c r="Z3088">
        <v>637</v>
      </c>
      <c r="AH3088">
        <v>0</v>
      </c>
      <c r="AI3088">
        <v>202506</v>
      </c>
      <c r="AJ3088" t="s">
        <v>119</v>
      </c>
      <c r="AK3088">
        <v>1</v>
      </c>
      <c r="AL3088">
        <v>1</v>
      </c>
      <c r="AM3088">
        <v>4857436</v>
      </c>
      <c r="AN3088">
        <v>1</v>
      </c>
      <c r="AO3088">
        <v>0</v>
      </c>
      <c r="AP3088" t="s">
        <v>3033</v>
      </c>
      <c r="AQ3088" t="s">
        <v>3060</v>
      </c>
      <c r="AR3088" t="s">
        <v>3125</v>
      </c>
      <c r="AS3088" t="s">
        <v>3055</v>
      </c>
      <c r="AU3088" t="s">
        <v>3055</v>
      </c>
    </row>
    <row r="3089" spans="1:47" x14ac:dyDescent="0.35">
      <c r="A3089">
        <v>348646</v>
      </c>
      <c r="B3089" t="s">
        <v>193</v>
      </c>
      <c r="C3089" t="s">
        <v>194</v>
      </c>
      <c r="D3089" s="2">
        <v>45813</v>
      </c>
      <c r="E3089">
        <v>53850</v>
      </c>
      <c r="F3089">
        <v>128</v>
      </c>
      <c r="G3089" t="s">
        <v>94</v>
      </c>
      <c r="H3089" t="s">
        <v>167</v>
      </c>
      <c r="I3089" t="s">
        <v>45</v>
      </c>
      <c r="K3089">
        <v>202506048040960</v>
      </c>
      <c r="L3089">
        <v>1283300003941</v>
      </c>
      <c r="M3089">
        <v>20250604</v>
      </c>
      <c r="N3089" t="s">
        <v>195</v>
      </c>
      <c r="Q3089" t="s">
        <v>47</v>
      </c>
      <c r="R3089">
        <v>35030</v>
      </c>
      <c r="S3089">
        <v>35030</v>
      </c>
      <c r="T3089">
        <v>4916499</v>
      </c>
      <c r="U3089" t="s">
        <v>382</v>
      </c>
      <c r="V3089" t="s">
        <v>383</v>
      </c>
      <c r="W3089" t="s">
        <v>69</v>
      </c>
      <c r="X3089" t="s">
        <v>55</v>
      </c>
      <c r="Y3089" t="s">
        <v>51</v>
      </c>
      <c r="Z3089">
        <v>1166</v>
      </c>
      <c r="AH3089">
        <v>0</v>
      </c>
      <c r="AI3089">
        <v>202506</v>
      </c>
      <c r="AJ3089" t="s">
        <v>119</v>
      </c>
      <c r="AK3089">
        <v>1</v>
      </c>
      <c r="AL3089">
        <v>1</v>
      </c>
      <c r="AM3089">
        <v>4916499</v>
      </c>
      <c r="AN3089">
        <v>1</v>
      </c>
      <c r="AO3089">
        <v>0</v>
      </c>
      <c r="AP3089" t="s">
        <v>3015</v>
      </c>
      <c r="AQ3089" t="s">
        <v>3021</v>
      </c>
      <c r="AR3089" t="s">
        <v>3022</v>
      </c>
      <c r="AT3089" t="s">
        <v>3017</v>
      </c>
      <c r="AU3089" t="s">
        <v>3014</v>
      </c>
    </row>
    <row r="3090" spans="1:47" x14ac:dyDescent="0.35">
      <c r="A3090">
        <v>348645</v>
      </c>
      <c r="B3090" t="s">
        <v>164</v>
      </c>
      <c r="C3090" t="s">
        <v>165</v>
      </c>
      <c r="D3090" s="2">
        <v>45813</v>
      </c>
      <c r="E3090">
        <v>53850</v>
      </c>
      <c r="F3090">
        <v>157</v>
      </c>
      <c r="G3090" t="s">
        <v>201</v>
      </c>
      <c r="H3090" t="s">
        <v>167</v>
      </c>
      <c r="I3090" t="s">
        <v>45</v>
      </c>
      <c r="K3090" t="s">
        <v>2933</v>
      </c>
      <c r="L3090">
        <v>1573300000971</v>
      </c>
      <c r="M3090">
        <v>20250604</v>
      </c>
      <c r="N3090" t="s">
        <v>168</v>
      </c>
      <c r="P3090" t="s">
        <v>203</v>
      </c>
      <c r="Q3090" t="s">
        <v>47</v>
      </c>
      <c r="R3090">
        <v>2560.67</v>
      </c>
      <c r="S3090">
        <v>0</v>
      </c>
      <c r="T3090">
        <v>4254772</v>
      </c>
      <c r="U3090" t="s">
        <v>263</v>
      </c>
      <c r="V3090" t="s">
        <v>264</v>
      </c>
      <c r="W3090" t="s">
        <v>187</v>
      </c>
      <c r="Y3090" t="s">
        <v>51</v>
      </c>
      <c r="AH3090">
        <v>0</v>
      </c>
      <c r="AI3090">
        <v>202506</v>
      </c>
      <c r="AJ3090" t="s">
        <v>86</v>
      </c>
      <c r="AK3090">
        <v>1</v>
      </c>
      <c r="AL3090">
        <v>1</v>
      </c>
      <c r="AO3090">
        <v>0</v>
      </c>
      <c r="AP3090" t="s">
        <v>3015</v>
      </c>
      <c r="AQ3090" t="s">
        <v>3044</v>
      </c>
      <c r="AR3090" t="s">
        <v>3045</v>
      </c>
      <c r="AS3090" t="s">
        <v>3046</v>
      </c>
      <c r="AU3090" t="s">
        <v>3046</v>
      </c>
    </row>
    <row r="3091" spans="1:47" x14ac:dyDescent="0.35">
      <c r="A3091">
        <v>348644</v>
      </c>
      <c r="B3091" t="s">
        <v>178</v>
      </c>
      <c r="C3091" t="s">
        <v>179</v>
      </c>
      <c r="D3091" s="2">
        <v>45813</v>
      </c>
      <c r="E3091">
        <v>53850</v>
      </c>
      <c r="F3091">
        <v>136</v>
      </c>
      <c r="G3091" t="s">
        <v>551</v>
      </c>
      <c r="H3091" t="s">
        <v>167</v>
      </c>
      <c r="I3091" t="s">
        <v>45</v>
      </c>
      <c r="K3091">
        <v>202506048040454</v>
      </c>
      <c r="L3091">
        <v>1363300003325</v>
      </c>
      <c r="M3091">
        <v>20250604</v>
      </c>
      <c r="N3091" t="s">
        <v>552</v>
      </c>
      <c r="Q3091" t="s">
        <v>170</v>
      </c>
      <c r="R3091">
        <v>700000</v>
      </c>
      <c r="S3091">
        <v>0</v>
      </c>
      <c r="T3091">
        <v>4395683</v>
      </c>
      <c r="U3091">
        <v>2036760037</v>
      </c>
      <c r="V3091" t="s">
        <v>553</v>
      </c>
      <c r="W3091" t="s">
        <v>49</v>
      </c>
      <c r="X3091" t="s">
        <v>554</v>
      </c>
      <c r="Y3091" t="s">
        <v>51</v>
      </c>
      <c r="Z3091">
        <v>1627</v>
      </c>
      <c r="AH3091">
        <v>0</v>
      </c>
      <c r="AI3091">
        <v>202506</v>
      </c>
      <c r="AJ3091" t="s">
        <v>56</v>
      </c>
      <c r="AK3091">
        <v>0</v>
      </c>
      <c r="AL3091">
        <v>1</v>
      </c>
      <c r="AO3091">
        <v>0</v>
      </c>
      <c r="AP3091" t="s">
        <v>3015</v>
      </c>
      <c r="AQ3091" t="s">
        <v>3012</v>
      </c>
      <c r="AR3091" t="s">
        <v>3016</v>
      </c>
      <c r="AT3091" t="s">
        <v>3017</v>
      </c>
      <c r="AU3091" t="s">
        <v>3018</v>
      </c>
    </row>
    <row r="3092" spans="1:47" x14ac:dyDescent="0.35">
      <c r="A3092">
        <v>348643</v>
      </c>
      <c r="B3092" t="s">
        <v>178</v>
      </c>
      <c r="C3092" t="s">
        <v>179</v>
      </c>
      <c r="D3092" s="2">
        <v>45813</v>
      </c>
      <c r="E3092">
        <v>53850</v>
      </c>
      <c r="F3092">
        <v>170</v>
      </c>
      <c r="G3092" t="s">
        <v>211</v>
      </c>
      <c r="H3092" t="s">
        <v>167</v>
      </c>
      <c r="I3092" t="s">
        <v>45</v>
      </c>
      <c r="K3092">
        <v>202506048041179</v>
      </c>
      <c r="L3092">
        <v>1703306288195</v>
      </c>
      <c r="M3092">
        <v>20250604</v>
      </c>
      <c r="N3092" t="s">
        <v>1263</v>
      </c>
      <c r="Q3092" t="s">
        <v>47</v>
      </c>
      <c r="R3092">
        <v>2268731.63</v>
      </c>
      <c r="S3092">
        <v>0</v>
      </c>
      <c r="T3092">
        <v>4401631</v>
      </c>
      <c r="U3092">
        <v>4724350725</v>
      </c>
      <c r="V3092" t="s">
        <v>949</v>
      </c>
      <c r="W3092" t="s">
        <v>49</v>
      </c>
      <c r="X3092" t="s">
        <v>241</v>
      </c>
      <c r="Y3092" t="s">
        <v>51</v>
      </c>
      <c r="Z3092">
        <v>1919</v>
      </c>
      <c r="AH3092">
        <v>0</v>
      </c>
      <c r="AI3092">
        <v>202506</v>
      </c>
      <c r="AJ3092" t="s">
        <v>86</v>
      </c>
      <c r="AK3092">
        <v>1</v>
      </c>
      <c r="AL3092">
        <v>1</v>
      </c>
      <c r="AO3092">
        <v>0</v>
      </c>
      <c r="AP3092" t="s">
        <v>3015</v>
      </c>
      <c r="AQ3092" t="s">
        <v>3012</v>
      </c>
      <c r="AR3092" t="s">
        <v>3016</v>
      </c>
      <c r="AT3092" t="s">
        <v>3017</v>
      </c>
      <c r="AU3092" t="s">
        <v>3018</v>
      </c>
    </row>
    <row r="3093" spans="1:47" x14ac:dyDescent="0.35">
      <c r="A3093">
        <v>348642</v>
      </c>
      <c r="B3093" t="s">
        <v>178</v>
      </c>
      <c r="C3093" t="s">
        <v>179</v>
      </c>
      <c r="D3093" s="2">
        <v>45813</v>
      </c>
      <c r="E3093">
        <v>53850</v>
      </c>
      <c r="F3093">
        <v>182</v>
      </c>
      <c r="G3093" t="s">
        <v>318</v>
      </c>
      <c r="H3093" t="s">
        <v>167</v>
      </c>
      <c r="I3093" t="s">
        <v>45</v>
      </c>
      <c r="K3093">
        <v>202506048039695</v>
      </c>
      <c r="L3093">
        <v>1823300152957</v>
      </c>
      <c r="M3093">
        <v>20250604</v>
      </c>
      <c r="N3093" t="s">
        <v>46</v>
      </c>
      <c r="P3093" t="s">
        <v>51</v>
      </c>
      <c r="Q3093" t="s">
        <v>47</v>
      </c>
      <c r="R3093">
        <v>300000</v>
      </c>
      <c r="S3093">
        <v>0</v>
      </c>
      <c r="T3093">
        <v>3006585</v>
      </c>
      <c r="U3093" t="s">
        <v>2937</v>
      </c>
      <c r="V3093" t="s">
        <v>2938</v>
      </c>
      <c r="W3093" t="s">
        <v>187</v>
      </c>
      <c r="Y3093" t="s">
        <v>51</v>
      </c>
      <c r="Z3093">
        <v>619</v>
      </c>
      <c r="AH3093">
        <v>0</v>
      </c>
      <c r="AI3093">
        <v>202506</v>
      </c>
      <c r="AJ3093" t="s">
        <v>86</v>
      </c>
      <c r="AK3093">
        <v>1</v>
      </c>
      <c r="AL3093">
        <v>1</v>
      </c>
      <c r="AO3093">
        <v>0</v>
      </c>
      <c r="AP3093" t="s">
        <v>3015</v>
      </c>
      <c r="AQ3093" t="s">
        <v>3044</v>
      </c>
      <c r="AR3093" t="s">
        <v>3045</v>
      </c>
      <c r="AS3093" t="s">
        <v>3046</v>
      </c>
      <c r="AU3093" t="s">
        <v>3046</v>
      </c>
    </row>
    <row r="3094" spans="1:47" x14ac:dyDescent="0.35">
      <c r="A3094">
        <v>348641</v>
      </c>
      <c r="B3094" t="s">
        <v>172</v>
      </c>
      <c r="C3094" t="s">
        <v>173</v>
      </c>
      <c r="D3094" s="2">
        <v>45813</v>
      </c>
      <c r="E3094">
        <v>53850</v>
      </c>
      <c r="F3094">
        <v>108</v>
      </c>
      <c r="G3094" t="s">
        <v>124</v>
      </c>
      <c r="H3094" t="s">
        <v>167</v>
      </c>
      <c r="I3094" t="s">
        <v>45</v>
      </c>
      <c r="K3094" t="s">
        <v>2927</v>
      </c>
      <c r="L3094">
        <v>1083306291105</v>
      </c>
      <c r="M3094">
        <v>20250604</v>
      </c>
      <c r="N3094" t="s">
        <v>175</v>
      </c>
      <c r="Q3094" t="s">
        <v>47</v>
      </c>
      <c r="R3094">
        <v>162227.89000000001</v>
      </c>
      <c r="S3094">
        <v>128144.1</v>
      </c>
      <c r="T3094">
        <v>4227057</v>
      </c>
      <c r="U3094">
        <v>4874620729</v>
      </c>
      <c r="V3094" t="s">
        <v>250</v>
      </c>
      <c r="W3094" t="s">
        <v>49</v>
      </c>
      <c r="X3094" t="s">
        <v>62</v>
      </c>
      <c r="Y3094" t="s">
        <v>51</v>
      </c>
      <c r="Z3094">
        <v>1058</v>
      </c>
      <c r="AH3094">
        <v>0</v>
      </c>
      <c r="AI3094">
        <v>202506</v>
      </c>
      <c r="AJ3094" t="s">
        <v>119</v>
      </c>
      <c r="AK3094">
        <v>1</v>
      </c>
      <c r="AL3094">
        <v>1</v>
      </c>
      <c r="AM3094">
        <v>4227057</v>
      </c>
      <c r="AN3094">
        <v>1</v>
      </c>
      <c r="AO3094">
        <v>1</v>
      </c>
      <c r="AP3094" t="s">
        <v>3015</v>
      </c>
      <c r="AQ3094" t="s">
        <v>3012</v>
      </c>
      <c r="AR3094" t="s">
        <v>3016</v>
      </c>
      <c r="AT3094" t="s">
        <v>3017</v>
      </c>
      <c r="AU3094" t="s">
        <v>3018</v>
      </c>
    </row>
    <row r="3095" spans="1:47" x14ac:dyDescent="0.35">
      <c r="A3095">
        <v>348640</v>
      </c>
      <c r="B3095" t="s">
        <v>193</v>
      </c>
      <c r="C3095" t="s">
        <v>194</v>
      </c>
      <c r="D3095" s="2">
        <v>45813</v>
      </c>
      <c r="E3095">
        <v>53850</v>
      </c>
      <c r="F3095">
        <v>102</v>
      </c>
      <c r="G3095" t="s">
        <v>151</v>
      </c>
      <c r="H3095" t="s">
        <v>167</v>
      </c>
      <c r="I3095" t="s">
        <v>45</v>
      </c>
      <c r="K3095">
        <v>202506048041662</v>
      </c>
      <c r="L3095">
        <v>1023300460530</v>
      </c>
      <c r="M3095">
        <v>20250604</v>
      </c>
      <c r="N3095" t="s">
        <v>266</v>
      </c>
      <c r="Q3095" t="s">
        <v>47</v>
      </c>
      <c r="R3095">
        <v>29000</v>
      </c>
      <c r="S3095">
        <v>29000</v>
      </c>
      <c r="T3095">
        <v>46053</v>
      </c>
      <c r="U3095" t="s">
        <v>2939</v>
      </c>
      <c r="V3095" t="s">
        <v>2940</v>
      </c>
      <c r="W3095" t="s">
        <v>187</v>
      </c>
      <c r="Y3095" t="s">
        <v>51</v>
      </c>
      <c r="Z3095">
        <v>1443</v>
      </c>
      <c r="AH3095">
        <v>0</v>
      </c>
      <c r="AI3095">
        <v>202506</v>
      </c>
      <c r="AJ3095" t="s">
        <v>119</v>
      </c>
      <c r="AK3095">
        <v>1</v>
      </c>
      <c r="AL3095">
        <v>1</v>
      </c>
      <c r="AM3095">
        <v>46053</v>
      </c>
      <c r="AN3095">
        <v>1</v>
      </c>
      <c r="AO3095">
        <v>0</v>
      </c>
      <c r="AP3095" t="s">
        <v>3015</v>
      </c>
      <c r="AQ3095" t="s">
        <v>3044</v>
      </c>
      <c r="AR3095" t="s">
        <v>3045</v>
      </c>
      <c r="AS3095" t="s">
        <v>3046</v>
      </c>
      <c r="AU3095" t="s">
        <v>3046</v>
      </c>
    </row>
    <row r="3096" spans="1:47" x14ac:dyDescent="0.35">
      <c r="A3096">
        <v>348639</v>
      </c>
      <c r="B3096" t="s">
        <v>172</v>
      </c>
      <c r="C3096" t="s">
        <v>173</v>
      </c>
      <c r="D3096" s="2">
        <v>45813</v>
      </c>
      <c r="E3096">
        <v>53850</v>
      </c>
      <c r="F3096">
        <v>118</v>
      </c>
      <c r="G3096" t="s">
        <v>254</v>
      </c>
      <c r="H3096" t="s">
        <v>167</v>
      </c>
      <c r="I3096" t="s">
        <v>45</v>
      </c>
      <c r="K3096" t="s">
        <v>2927</v>
      </c>
      <c r="L3096">
        <v>1183306280338</v>
      </c>
      <c r="M3096">
        <v>20250604</v>
      </c>
      <c r="N3096" t="s">
        <v>175</v>
      </c>
      <c r="Q3096" t="s">
        <v>47</v>
      </c>
      <c r="R3096">
        <v>120000</v>
      </c>
      <c r="S3096">
        <v>0</v>
      </c>
      <c r="T3096">
        <v>4979859</v>
      </c>
      <c r="U3096">
        <v>8669660725</v>
      </c>
      <c r="V3096" t="s">
        <v>1098</v>
      </c>
      <c r="W3096" t="s">
        <v>49</v>
      </c>
      <c r="X3096" t="s">
        <v>839</v>
      </c>
      <c r="Y3096" t="s">
        <v>51</v>
      </c>
      <c r="Z3096">
        <v>979</v>
      </c>
      <c r="AH3096">
        <v>0</v>
      </c>
      <c r="AI3096">
        <v>202506</v>
      </c>
      <c r="AJ3096" t="s">
        <v>86</v>
      </c>
      <c r="AK3096">
        <v>1</v>
      </c>
      <c r="AL3096">
        <v>1</v>
      </c>
      <c r="AO3096">
        <v>1</v>
      </c>
      <c r="AP3096" t="s">
        <v>3015</v>
      </c>
      <c r="AQ3096" t="s">
        <v>3012</v>
      </c>
      <c r="AR3096" t="s">
        <v>3016</v>
      </c>
      <c r="AT3096" t="s">
        <v>3017</v>
      </c>
      <c r="AU3096" t="s">
        <v>3018</v>
      </c>
    </row>
    <row r="3097" spans="1:47" x14ac:dyDescent="0.35">
      <c r="A3097">
        <v>348638</v>
      </c>
      <c r="B3097" t="s">
        <v>333</v>
      </c>
      <c r="C3097" t="s">
        <v>334</v>
      </c>
      <c r="D3097" s="2">
        <v>45813</v>
      </c>
      <c r="E3097">
        <v>53850</v>
      </c>
      <c r="F3097">
        <v>99</v>
      </c>
      <c r="G3097" t="s">
        <v>335</v>
      </c>
      <c r="H3097" t="s">
        <v>167</v>
      </c>
      <c r="I3097" t="s">
        <v>45</v>
      </c>
      <c r="K3097">
        <v>202506048039616</v>
      </c>
      <c r="M3097">
        <v>20250604</v>
      </c>
      <c r="N3097" t="s">
        <v>46</v>
      </c>
      <c r="P3097" t="s">
        <v>51</v>
      </c>
      <c r="Q3097" t="s">
        <v>47</v>
      </c>
      <c r="R3097">
        <v>1236219.4099999999</v>
      </c>
      <c r="S3097">
        <v>0</v>
      </c>
      <c r="T3097">
        <v>1900001</v>
      </c>
      <c r="U3097">
        <v>604840777</v>
      </c>
      <c r="V3097" t="s">
        <v>1301</v>
      </c>
      <c r="W3097" t="s">
        <v>1302</v>
      </c>
      <c r="X3097" t="s">
        <v>1303</v>
      </c>
      <c r="Y3097" t="s">
        <v>51</v>
      </c>
      <c r="AH3097">
        <v>0</v>
      </c>
      <c r="AI3097">
        <v>202506</v>
      </c>
      <c r="AJ3097" t="s">
        <v>114</v>
      </c>
      <c r="AK3097">
        <v>1</v>
      </c>
      <c r="AL3097">
        <v>0</v>
      </c>
      <c r="AM3097">
        <v>1900001</v>
      </c>
      <c r="AN3097">
        <v>1</v>
      </c>
      <c r="AO3097">
        <v>0</v>
      </c>
      <c r="AP3097" t="s">
        <v>3015</v>
      </c>
      <c r="AQ3097" t="s">
        <v>3113</v>
      </c>
      <c r="AR3097" t="s">
        <v>3114</v>
      </c>
      <c r="AT3097" t="s">
        <v>3017</v>
      </c>
      <c r="AU3097" t="s">
        <v>3037</v>
      </c>
    </row>
    <row r="3098" spans="1:47" x14ac:dyDescent="0.35">
      <c r="A3098">
        <v>348637</v>
      </c>
      <c r="B3098" t="s">
        <v>178</v>
      </c>
      <c r="C3098" t="s">
        <v>179</v>
      </c>
      <c r="D3098" s="2">
        <v>45813</v>
      </c>
      <c r="E3098">
        <v>53850</v>
      </c>
      <c r="F3098">
        <v>145</v>
      </c>
      <c r="G3098" t="s">
        <v>115</v>
      </c>
      <c r="H3098" t="s">
        <v>167</v>
      </c>
      <c r="I3098" t="s">
        <v>45</v>
      </c>
      <c r="K3098">
        <v>202506048040341</v>
      </c>
      <c r="L3098">
        <v>1453300003755</v>
      </c>
      <c r="M3098">
        <v>20250604</v>
      </c>
      <c r="N3098" t="s">
        <v>46</v>
      </c>
      <c r="P3098" t="s">
        <v>51</v>
      </c>
      <c r="Q3098" t="s">
        <v>47</v>
      </c>
      <c r="R3098">
        <v>1269710.27</v>
      </c>
      <c r="S3098">
        <v>0</v>
      </c>
      <c r="T3098">
        <v>4991602</v>
      </c>
      <c r="U3098">
        <v>80153690633</v>
      </c>
      <c r="V3098" t="s">
        <v>1335</v>
      </c>
      <c r="W3098" t="s">
        <v>69</v>
      </c>
      <c r="X3098" t="s">
        <v>1336</v>
      </c>
      <c r="Y3098" t="s">
        <v>51</v>
      </c>
      <c r="Z3098">
        <v>1222</v>
      </c>
      <c r="AH3098">
        <v>0</v>
      </c>
      <c r="AI3098">
        <v>202506</v>
      </c>
      <c r="AJ3098" t="s">
        <v>86</v>
      </c>
      <c r="AK3098">
        <v>1</v>
      </c>
      <c r="AL3098">
        <v>1</v>
      </c>
      <c r="AO3098">
        <v>0</v>
      </c>
      <c r="AP3098" t="s">
        <v>3015</v>
      </c>
      <c r="AQ3098" t="s">
        <v>3021</v>
      </c>
      <c r="AR3098" t="s">
        <v>3022</v>
      </c>
      <c r="AT3098" t="s">
        <v>3017</v>
      </c>
      <c r="AU3098" t="s">
        <v>3014</v>
      </c>
    </row>
    <row r="3099" spans="1:47" x14ac:dyDescent="0.35">
      <c r="A3099">
        <v>348636</v>
      </c>
      <c r="B3099" t="s">
        <v>178</v>
      </c>
      <c r="C3099" t="s">
        <v>179</v>
      </c>
      <c r="D3099" s="2">
        <v>45813</v>
      </c>
      <c r="E3099">
        <v>53850</v>
      </c>
      <c r="F3099">
        <v>141</v>
      </c>
      <c r="G3099" t="s">
        <v>105</v>
      </c>
      <c r="H3099" t="s">
        <v>167</v>
      </c>
      <c r="I3099" t="s">
        <v>45</v>
      </c>
      <c r="K3099">
        <v>202506048040270</v>
      </c>
      <c r="L3099">
        <v>1413300004417</v>
      </c>
      <c r="M3099">
        <v>20250604</v>
      </c>
      <c r="N3099" t="s">
        <v>46</v>
      </c>
      <c r="P3099" t="s">
        <v>51</v>
      </c>
      <c r="Q3099" t="s">
        <v>47</v>
      </c>
      <c r="R3099">
        <v>3070000</v>
      </c>
      <c r="S3099">
        <v>0</v>
      </c>
      <c r="T3099">
        <v>4329517</v>
      </c>
      <c r="U3099">
        <v>1146860752</v>
      </c>
      <c r="V3099" t="s">
        <v>2941</v>
      </c>
      <c r="W3099" t="s">
        <v>49</v>
      </c>
      <c r="X3099" t="s">
        <v>421</v>
      </c>
      <c r="Y3099" t="s">
        <v>51</v>
      </c>
      <c r="Z3099">
        <v>1940</v>
      </c>
      <c r="AH3099">
        <v>0</v>
      </c>
      <c r="AI3099">
        <v>202506</v>
      </c>
      <c r="AJ3099" t="s">
        <v>86</v>
      </c>
      <c r="AK3099">
        <v>1</v>
      </c>
      <c r="AL3099">
        <v>1</v>
      </c>
      <c r="AO3099">
        <v>0</v>
      </c>
      <c r="AP3099" t="s">
        <v>3015</v>
      </c>
      <c r="AQ3099" t="s">
        <v>3012</v>
      </c>
      <c r="AR3099" t="s">
        <v>3016</v>
      </c>
      <c r="AT3099" t="s">
        <v>3017</v>
      </c>
      <c r="AU3099" t="s">
        <v>3018</v>
      </c>
    </row>
    <row r="3100" spans="1:47" x14ac:dyDescent="0.35">
      <c r="A3100">
        <v>348635</v>
      </c>
      <c r="B3100" t="s">
        <v>193</v>
      </c>
      <c r="C3100" t="s">
        <v>194</v>
      </c>
      <c r="D3100" s="2">
        <v>45813</v>
      </c>
      <c r="E3100">
        <v>53850</v>
      </c>
      <c r="F3100">
        <v>189</v>
      </c>
      <c r="G3100" t="s">
        <v>286</v>
      </c>
      <c r="H3100" t="s">
        <v>167</v>
      </c>
      <c r="I3100" t="s">
        <v>45</v>
      </c>
      <c r="K3100">
        <v>202506048042034</v>
      </c>
      <c r="L3100">
        <v>1893300023546</v>
      </c>
      <c r="M3100">
        <v>20250604</v>
      </c>
      <c r="N3100" t="s">
        <v>266</v>
      </c>
      <c r="Q3100" t="s">
        <v>47</v>
      </c>
      <c r="R3100">
        <v>58920</v>
      </c>
      <c r="S3100">
        <v>58920</v>
      </c>
      <c r="T3100">
        <v>3064562</v>
      </c>
      <c r="U3100" t="s">
        <v>287</v>
      </c>
      <c r="V3100" t="s">
        <v>288</v>
      </c>
      <c r="W3100" t="s">
        <v>69</v>
      </c>
      <c r="X3100" t="s">
        <v>55</v>
      </c>
      <c r="Y3100" t="s">
        <v>51</v>
      </c>
      <c r="Z3100">
        <v>1620</v>
      </c>
      <c r="AH3100">
        <v>0</v>
      </c>
      <c r="AI3100">
        <v>202506</v>
      </c>
      <c r="AJ3100" t="s">
        <v>56</v>
      </c>
      <c r="AK3100">
        <v>0</v>
      </c>
      <c r="AL3100">
        <v>1</v>
      </c>
      <c r="AM3100">
        <v>3064562</v>
      </c>
      <c r="AN3100">
        <v>1</v>
      </c>
      <c r="AO3100">
        <v>0</v>
      </c>
      <c r="AP3100" t="s">
        <v>3015</v>
      </c>
      <c r="AQ3100" t="s">
        <v>3021</v>
      </c>
      <c r="AR3100" t="s">
        <v>3022</v>
      </c>
      <c r="AT3100" t="s">
        <v>3017</v>
      </c>
      <c r="AU3100" t="s">
        <v>3014</v>
      </c>
    </row>
    <row r="3101" spans="1:47" x14ac:dyDescent="0.35">
      <c r="A3101">
        <v>348634</v>
      </c>
      <c r="B3101" t="s">
        <v>164</v>
      </c>
      <c r="C3101" t="s">
        <v>165</v>
      </c>
      <c r="D3101" s="2">
        <v>45813</v>
      </c>
      <c r="E3101">
        <v>53850</v>
      </c>
      <c r="F3101">
        <v>171</v>
      </c>
      <c r="G3101" t="s">
        <v>198</v>
      </c>
      <c r="H3101" t="s">
        <v>167</v>
      </c>
      <c r="I3101" t="s">
        <v>45</v>
      </c>
      <c r="K3101" t="s">
        <v>2942</v>
      </c>
      <c r="L3101">
        <v>1713302217768</v>
      </c>
      <c r="M3101">
        <v>20250604</v>
      </c>
      <c r="N3101" t="s">
        <v>168</v>
      </c>
      <c r="P3101" t="s">
        <v>169</v>
      </c>
      <c r="Q3101" t="s">
        <v>170</v>
      </c>
      <c r="R3101">
        <v>2000</v>
      </c>
      <c r="S3101">
        <v>0</v>
      </c>
      <c r="T3101">
        <v>4955332</v>
      </c>
      <c r="U3101" t="s">
        <v>2943</v>
      </c>
      <c r="V3101" t="s">
        <v>2944</v>
      </c>
      <c r="W3101" t="s">
        <v>187</v>
      </c>
      <c r="Y3101" t="s">
        <v>51</v>
      </c>
      <c r="Z3101">
        <v>662</v>
      </c>
      <c r="AH3101">
        <v>0</v>
      </c>
      <c r="AI3101">
        <v>202506</v>
      </c>
      <c r="AJ3101" t="s">
        <v>86</v>
      </c>
      <c r="AK3101">
        <v>1</v>
      </c>
      <c r="AL3101">
        <v>1</v>
      </c>
      <c r="AO3101">
        <v>0</v>
      </c>
      <c r="AP3101" t="s">
        <v>3015</v>
      </c>
      <c r="AQ3101" t="s">
        <v>3044</v>
      </c>
      <c r="AR3101" t="s">
        <v>3045</v>
      </c>
      <c r="AS3101" t="s">
        <v>3046</v>
      </c>
      <c r="AU3101" t="s">
        <v>3046</v>
      </c>
    </row>
    <row r="3102" spans="1:47" x14ac:dyDescent="0.35">
      <c r="A3102">
        <v>348633</v>
      </c>
      <c r="B3102" t="s">
        <v>178</v>
      </c>
      <c r="C3102" t="s">
        <v>179</v>
      </c>
      <c r="D3102" s="2">
        <v>45812</v>
      </c>
      <c r="E3102">
        <v>53850</v>
      </c>
      <c r="F3102">
        <v>114</v>
      </c>
      <c r="G3102" t="s">
        <v>188</v>
      </c>
      <c r="H3102" t="s">
        <v>167</v>
      </c>
      <c r="I3102" t="s">
        <v>45</v>
      </c>
      <c r="K3102">
        <v>202506048034485</v>
      </c>
      <c r="L3102">
        <v>1143306278589</v>
      </c>
      <c r="M3102">
        <v>20250604</v>
      </c>
      <c r="N3102" t="s">
        <v>303</v>
      </c>
      <c r="Q3102" t="s">
        <v>170</v>
      </c>
      <c r="R3102">
        <v>2100000</v>
      </c>
      <c r="S3102">
        <v>0</v>
      </c>
      <c r="T3102">
        <v>4096156</v>
      </c>
      <c r="U3102" t="s">
        <v>1541</v>
      </c>
      <c r="V3102" t="s">
        <v>1542</v>
      </c>
      <c r="W3102" t="s">
        <v>187</v>
      </c>
      <c r="Y3102" t="s">
        <v>51</v>
      </c>
      <c r="Z3102">
        <v>804</v>
      </c>
      <c r="AH3102">
        <v>0</v>
      </c>
      <c r="AI3102">
        <v>202506</v>
      </c>
      <c r="AJ3102" t="s">
        <v>52</v>
      </c>
      <c r="AK3102">
        <v>0</v>
      </c>
      <c r="AL3102">
        <v>1</v>
      </c>
      <c r="AO3102">
        <v>0</v>
      </c>
      <c r="AP3102" t="s">
        <v>3015</v>
      </c>
      <c r="AQ3102" t="s">
        <v>3044</v>
      </c>
      <c r="AR3102" t="s">
        <v>3045</v>
      </c>
      <c r="AS3102" t="s">
        <v>3046</v>
      </c>
      <c r="AU3102" t="s">
        <v>3046</v>
      </c>
    </row>
    <row r="3103" spans="1:47" x14ac:dyDescent="0.35">
      <c r="A3103">
        <v>348632</v>
      </c>
      <c r="B3103" t="s">
        <v>178</v>
      </c>
      <c r="C3103" t="s">
        <v>179</v>
      </c>
      <c r="D3103" s="2">
        <v>45812</v>
      </c>
      <c r="E3103">
        <v>53850</v>
      </c>
      <c r="F3103">
        <v>114</v>
      </c>
      <c r="G3103" t="s">
        <v>188</v>
      </c>
      <c r="H3103" t="s">
        <v>167</v>
      </c>
      <c r="I3103" t="s">
        <v>45</v>
      </c>
      <c r="K3103">
        <v>202506048034485</v>
      </c>
      <c r="L3103">
        <v>1143306278589</v>
      </c>
      <c r="M3103">
        <v>20250604</v>
      </c>
      <c r="N3103" t="s">
        <v>303</v>
      </c>
      <c r="Q3103" t="s">
        <v>170</v>
      </c>
      <c r="R3103">
        <v>2100000</v>
      </c>
      <c r="S3103">
        <v>0</v>
      </c>
      <c r="T3103">
        <v>4175755</v>
      </c>
      <c r="U3103" t="s">
        <v>1531</v>
      </c>
      <c r="V3103" t="s">
        <v>1532</v>
      </c>
      <c r="W3103" t="s">
        <v>187</v>
      </c>
      <c r="Y3103" t="s">
        <v>51</v>
      </c>
      <c r="Z3103">
        <v>804</v>
      </c>
      <c r="AH3103">
        <v>0</v>
      </c>
      <c r="AI3103">
        <v>202506</v>
      </c>
      <c r="AJ3103" t="s">
        <v>52</v>
      </c>
      <c r="AK3103">
        <v>0</v>
      </c>
      <c r="AL3103">
        <v>1</v>
      </c>
      <c r="AO3103">
        <v>0</v>
      </c>
      <c r="AP3103" t="s">
        <v>3015</v>
      </c>
      <c r="AQ3103" t="s">
        <v>3044</v>
      </c>
      <c r="AR3103" t="s">
        <v>3045</v>
      </c>
      <c r="AS3103" t="s">
        <v>3046</v>
      </c>
      <c r="AU3103" t="s">
        <v>3046</v>
      </c>
    </row>
    <row r="3104" spans="1:47" x14ac:dyDescent="0.35">
      <c r="A3104">
        <v>348631</v>
      </c>
      <c r="B3104" t="s">
        <v>178</v>
      </c>
      <c r="C3104" t="s">
        <v>179</v>
      </c>
      <c r="D3104" s="2">
        <v>45812</v>
      </c>
      <c r="E3104">
        <v>53850</v>
      </c>
      <c r="F3104">
        <v>102</v>
      </c>
      <c r="G3104" t="s">
        <v>151</v>
      </c>
      <c r="H3104" t="s">
        <v>167</v>
      </c>
      <c r="I3104" t="s">
        <v>45</v>
      </c>
      <c r="K3104">
        <v>202506038033891</v>
      </c>
      <c r="L3104">
        <v>1023308723686</v>
      </c>
      <c r="M3104">
        <v>20250603</v>
      </c>
      <c r="N3104" t="s">
        <v>46</v>
      </c>
      <c r="P3104" t="s">
        <v>51</v>
      </c>
      <c r="Q3104" t="s">
        <v>47</v>
      </c>
      <c r="R3104">
        <v>1586000</v>
      </c>
      <c r="S3104">
        <v>0</v>
      </c>
      <c r="T3104">
        <v>531420</v>
      </c>
      <c r="U3104" t="s">
        <v>744</v>
      </c>
      <c r="V3104" t="s">
        <v>745</v>
      </c>
      <c r="W3104" t="s">
        <v>69</v>
      </c>
      <c r="X3104" t="s">
        <v>746</v>
      </c>
      <c r="Y3104" t="s">
        <v>51</v>
      </c>
      <c r="Z3104">
        <v>1306</v>
      </c>
      <c r="AH3104">
        <v>0</v>
      </c>
      <c r="AI3104">
        <v>202506</v>
      </c>
      <c r="AJ3104" t="s">
        <v>56</v>
      </c>
      <c r="AK3104">
        <v>0</v>
      </c>
      <c r="AL3104">
        <v>1</v>
      </c>
      <c r="AM3104">
        <v>531420</v>
      </c>
      <c r="AN3104">
        <v>1</v>
      </c>
      <c r="AO3104">
        <v>0</v>
      </c>
      <c r="AP3104" t="s">
        <v>3015</v>
      </c>
      <c r="AQ3104" t="s">
        <v>3021</v>
      </c>
      <c r="AR3104" t="s">
        <v>3022</v>
      </c>
      <c r="AT3104" t="s">
        <v>3017</v>
      </c>
      <c r="AU3104" t="s">
        <v>3014</v>
      </c>
    </row>
    <row r="3105" spans="1:47" x14ac:dyDescent="0.35">
      <c r="A3105">
        <v>348630</v>
      </c>
      <c r="B3105" t="s">
        <v>193</v>
      </c>
      <c r="C3105" t="s">
        <v>194</v>
      </c>
      <c r="D3105" s="2">
        <v>45812</v>
      </c>
      <c r="E3105">
        <v>53850</v>
      </c>
      <c r="F3105">
        <v>104</v>
      </c>
      <c r="G3105" t="s">
        <v>108</v>
      </c>
      <c r="H3105" t="s">
        <v>167</v>
      </c>
      <c r="I3105" t="s">
        <v>45</v>
      </c>
      <c r="K3105" t="s">
        <v>2945</v>
      </c>
      <c r="L3105">
        <v>1043305922900</v>
      </c>
      <c r="M3105">
        <v>20250603</v>
      </c>
      <c r="N3105" t="s">
        <v>195</v>
      </c>
      <c r="Q3105" t="s">
        <v>47</v>
      </c>
      <c r="R3105">
        <v>33240</v>
      </c>
      <c r="S3105">
        <v>33240</v>
      </c>
      <c r="T3105">
        <v>592290</v>
      </c>
      <c r="U3105" t="s">
        <v>444</v>
      </c>
      <c r="V3105" t="s">
        <v>445</v>
      </c>
      <c r="W3105" t="s">
        <v>69</v>
      </c>
      <c r="X3105" t="s">
        <v>446</v>
      </c>
      <c r="Y3105" t="s">
        <v>51</v>
      </c>
      <c r="Z3105">
        <v>1902</v>
      </c>
      <c r="AH3105">
        <v>0</v>
      </c>
      <c r="AI3105">
        <v>202506</v>
      </c>
      <c r="AJ3105" t="s">
        <v>119</v>
      </c>
      <c r="AK3105">
        <v>1</v>
      </c>
      <c r="AL3105">
        <v>1</v>
      </c>
      <c r="AM3105">
        <v>592290</v>
      </c>
      <c r="AN3105">
        <v>1</v>
      </c>
      <c r="AO3105">
        <v>0</v>
      </c>
      <c r="AP3105" t="s">
        <v>3015</v>
      </c>
      <c r="AQ3105" t="s">
        <v>3021</v>
      </c>
      <c r="AR3105" t="s">
        <v>3022</v>
      </c>
      <c r="AT3105" t="s">
        <v>3017</v>
      </c>
      <c r="AU3105" t="s">
        <v>3014</v>
      </c>
    </row>
    <row r="3106" spans="1:47" x14ac:dyDescent="0.35">
      <c r="A3106">
        <v>348629</v>
      </c>
      <c r="B3106" t="s">
        <v>193</v>
      </c>
      <c r="C3106" t="s">
        <v>194</v>
      </c>
      <c r="D3106" s="2">
        <v>45812</v>
      </c>
      <c r="E3106">
        <v>53850</v>
      </c>
      <c r="F3106">
        <v>114</v>
      </c>
      <c r="G3106" t="s">
        <v>188</v>
      </c>
      <c r="H3106" t="s">
        <v>167</v>
      </c>
      <c r="I3106" t="s">
        <v>45</v>
      </c>
      <c r="K3106" t="s">
        <v>2945</v>
      </c>
      <c r="L3106">
        <v>1143306280621</v>
      </c>
      <c r="M3106">
        <v>20250603</v>
      </c>
      <c r="N3106" t="s">
        <v>266</v>
      </c>
      <c r="Q3106" t="s">
        <v>47</v>
      </c>
      <c r="R3106">
        <v>85150</v>
      </c>
      <c r="S3106">
        <v>85150</v>
      </c>
      <c r="T3106">
        <v>4658875</v>
      </c>
      <c r="U3106">
        <v>3230890711</v>
      </c>
      <c r="V3106" t="s">
        <v>1363</v>
      </c>
      <c r="W3106" t="s">
        <v>49</v>
      </c>
      <c r="X3106" t="s">
        <v>131</v>
      </c>
      <c r="Y3106" t="s">
        <v>51</v>
      </c>
      <c r="Z3106">
        <v>870</v>
      </c>
      <c r="AH3106">
        <v>0</v>
      </c>
      <c r="AI3106">
        <v>202506</v>
      </c>
      <c r="AJ3106" t="s">
        <v>56</v>
      </c>
      <c r="AK3106">
        <v>0</v>
      </c>
      <c r="AL3106">
        <v>1</v>
      </c>
      <c r="AM3106">
        <v>4658875</v>
      </c>
      <c r="AN3106">
        <v>1</v>
      </c>
      <c r="AO3106">
        <v>0</v>
      </c>
      <c r="AP3106" t="s">
        <v>3033</v>
      </c>
      <c r="AQ3106" t="s">
        <v>3012</v>
      </c>
      <c r="AR3106" t="s">
        <v>3034</v>
      </c>
      <c r="AS3106" t="s">
        <v>3014</v>
      </c>
      <c r="AU3106" t="s">
        <v>3014</v>
      </c>
    </row>
    <row r="3107" spans="1:47" x14ac:dyDescent="0.35">
      <c r="A3107">
        <v>348628</v>
      </c>
      <c r="B3107" t="s">
        <v>172</v>
      </c>
      <c r="C3107" t="s">
        <v>173</v>
      </c>
      <c r="D3107" s="2">
        <v>45812</v>
      </c>
      <c r="E3107">
        <v>53850</v>
      </c>
      <c r="F3107">
        <v>102</v>
      </c>
      <c r="G3107" t="s">
        <v>151</v>
      </c>
      <c r="H3107" t="s">
        <v>167</v>
      </c>
      <c r="I3107" t="s">
        <v>45</v>
      </c>
      <c r="K3107" t="s">
        <v>2945</v>
      </c>
      <c r="L3107">
        <v>1023300660520</v>
      </c>
      <c r="M3107">
        <v>20250603</v>
      </c>
      <c r="N3107" t="s">
        <v>175</v>
      </c>
      <c r="Q3107" t="s">
        <v>47</v>
      </c>
      <c r="R3107">
        <v>143846.70000000001</v>
      </c>
      <c r="S3107">
        <v>50325</v>
      </c>
      <c r="T3107">
        <v>66052</v>
      </c>
      <c r="U3107">
        <v>398110726</v>
      </c>
      <c r="V3107" t="s">
        <v>426</v>
      </c>
      <c r="W3107" t="s">
        <v>49</v>
      </c>
      <c r="X3107" t="s">
        <v>59</v>
      </c>
      <c r="Y3107" t="s">
        <v>51</v>
      </c>
      <c r="Z3107">
        <v>1203</v>
      </c>
      <c r="AH3107">
        <v>0</v>
      </c>
      <c r="AI3107">
        <v>202506</v>
      </c>
      <c r="AJ3107" t="s">
        <v>119</v>
      </c>
      <c r="AK3107">
        <v>1</v>
      </c>
      <c r="AL3107">
        <v>1</v>
      </c>
      <c r="AM3107">
        <v>66052</v>
      </c>
      <c r="AN3107">
        <v>1</v>
      </c>
      <c r="AO3107">
        <v>1</v>
      </c>
      <c r="AP3107" t="s">
        <v>3015</v>
      </c>
      <c r="AQ3107" t="s">
        <v>3012</v>
      </c>
      <c r="AR3107" t="s">
        <v>3016</v>
      </c>
      <c r="AT3107" t="s">
        <v>3017</v>
      </c>
      <c r="AU3107" t="s">
        <v>3018</v>
      </c>
    </row>
    <row r="3108" spans="1:47" x14ac:dyDescent="0.35">
      <c r="A3108">
        <v>348627</v>
      </c>
      <c r="B3108" t="s">
        <v>178</v>
      </c>
      <c r="C3108" t="s">
        <v>179</v>
      </c>
      <c r="D3108" s="2">
        <v>45812</v>
      </c>
      <c r="E3108">
        <v>53850</v>
      </c>
      <c r="F3108">
        <v>132</v>
      </c>
      <c r="G3108" t="s">
        <v>92</v>
      </c>
      <c r="H3108" t="s">
        <v>167</v>
      </c>
      <c r="I3108" t="s">
        <v>45</v>
      </c>
      <c r="K3108">
        <v>202506038037960</v>
      </c>
      <c r="L3108">
        <v>1323300002559</v>
      </c>
      <c r="M3108">
        <v>20250603</v>
      </c>
      <c r="N3108" t="s">
        <v>236</v>
      </c>
      <c r="P3108" t="s">
        <v>51</v>
      </c>
      <c r="Q3108" t="s">
        <v>170</v>
      </c>
      <c r="R3108">
        <v>221000</v>
      </c>
      <c r="S3108">
        <v>0</v>
      </c>
      <c r="T3108">
        <v>4875371</v>
      </c>
      <c r="U3108" t="s">
        <v>2946</v>
      </c>
      <c r="V3108" t="s">
        <v>2947</v>
      </c>
      <c r="W3108" t="s">
        <v>187</v>
      </c>
      <c r="Y3108" t="s">
        <v>51</v>
      </c>
      <c r="Z3108">
        <v>1959</v>
      </c>
      <c r="AH3108">
        <v>0</v>
      </c>
      <c r="AI3108">
        <v>202506</v>
      </c>
      <c r="AJ3108" t="s">
        <v>86</v>
      </c>
      <c r="AK3108">
        <v>1</v>
      </c>
      <c r="AL3108">
        <v>1</v>
      </c>
      <c r="AO3108">
        <v>0</v>
      </c>
      <c r="AP3108" t="s">
        <v>3015</v>
      </c>
      <c r="AQ3108" t="s">
        <v>3044</v>
      </c>
      <c r="AR3108" t="s">
        <v>3045</v>
      </c>
      <c r="AS3108" t="s">
        <v>3046</v>
      </c>
      <c r="AU3108" t="s">
        <v>3046</v>
      </c>
    </row>
    <row r="3109" spans="1:47" x14ac:dyDescent="0.35">
      <c r="A3109">
        <v>348626</v>
      </c>
      <c r="B3109" t="s">
        <v>193</v>
      </c>
      <c r="C3109" t="s">
        <v>194</v>
      </c>
      <c r="D3109" s="2">
        <v>45812</v>
      </c>
      <c r="E3109">
        <v>53850</v>
      </c>
      <c r="F3109">
        <v>287</v>
      </c>
      <c r="G3109" t="s">
        <v>707</v>
      </c>
      <c r="H3109" t="s">
        <v>167</v>
      </c>
      <c r="I3109" t="s">
        <v>45</v>
      </c>
      <c r="K3109" t="s">
        <v>2945</v>
      </c>
      <c r="L3109">
        <v>2873300001853</v>
      </c>
      <c r="M3109">
        <v>20250603</v>
      </c>
      <c r="N3109" t="s">
        <v>175</v>
      </c>
      <c r="Q3109" t="s">
        <v>47</v>
      </c>
      <c r="R3109">
        <v>153971.35</v>
      </c>
      <c r="S3109">
        <v>100735</v>
      </c>
      <c r="T3109">
        <v>3722213</v>
      </c>
      <c r="U3109">
        <v>2021570698</v>
      </c>
      <c r="V3109" t="s">
        <v>708</v>
      </c>
      <c r="W3109" t="s">
        <v>49</v>
      </c>
      <c r="X3109" t="s">
        <v>117</v>
      </c>
      <c r="Y3109" t="s">
        <v>51</v>
      </c>
      <c r="Z3109">
        <v>1877</v>
      </c>
      <c r="AH3109">
        <v>0</v>
      </c>
      <c r="AI3109">
        <v>202506</v>
      </c>
      <c r="AJ3109" t="s">
        <v>86</v>
      </c>
      <c r="AK3109">
        <v>1</v>
      </c>
      <c r="AL3109">
        <v>1</v>
      </c>
      <c r="AM3109">
        <v>3722213</v>
      </c>
      <c r="AN3109">
        <v>1</v>
      </c>
      <c r="AO3109">
        <v>1</v>
      </c>
      <c r="AP3109" t="s">
        <v>3029</v>
      </c>
      <c r="AQ3109" t="s">
        <v>3012</v>
      </c>
      <c r="AR3109" t="s">
        <v>3030</v>
      </c>
      <c r="AS3109" t="s">
        <v>3014</v>
      </c>
      <c r="AU3109" t="s">
        <v>3014</v>
      </c>
    </row>
    <row r="3110" spans="1:47" x14ac:dyDescent="0.35">
      <c r="A3110">
        <v>348625</v>
      </c>
      <c r="B3110" t="s">
        <v>193</v>
      </c>
      <c r="C3110" t="s">
        <v>194</v>
      </c>
      <c r="D3110" s="2">
        <v>45812</v>
      </c>
      <c r="E3110">
        <v>53850</v>
      </c>
      <c r="F3110">
        <v>102</v>
      </c>
      <c r="G3110" t="s">
        <v>151</v>
      </c>
      <c r="H3110" t="s">
        <v>167</v>
      </c>
      <c r="I3110" t="s">
        <v>45</v>
      </c>
      <c r="K3110" t="s">
        <v>2945</v>
      </c>
      <c r="L3110">
        <v>1023308728260</v>
      </c>
      <c r="M3110">
        <v>20250603</v>
      </c>
      <c r="N3110" t="s">
        <v>175</v>
      </c>
      <c r="Q3110" t="s">
        <v>47</v>
      </c>
      <c r="R3110">
        <v>48200</v>
      </c>
      <c r="S3110">
        <v>29850</v>
      </c>
      <c r="T3110">
        <v>500870</v>
      </c>
      <c r="U3110" t="s">
        <v>2948</v>
      </c>
      <c r="V3110" t="s">
        <v>2949</v>
      </c>
      <c r="W3110" t="s">
        <v>187</v>
      </c>
      <c r="Y3110" t="s">
        <v>51</v>
      </c>
      <c r="Z3110">
        <v>1576</v>
      </c>
      <c r="AH3110">
        <v>0</v>
      </c>
      <c r="AI3110">
        <v>202506</v>
      </c>
      <c r="AJ3110" t="s">
        <v>86</v>
      </c>
      <c r="AK3110">
        <v>1</v>
      </c>
      <c r="AL3110">
        <v>1</v>
      </c>
      <c r="AO3110">
        <v>1</v>
      </c>
      <c r="AP3110" t="s">
        <v>3015</v>
      </c>
      <c r="AQ3110" t="s">
        <v>3044</v>
      </c>
      <c r="AR3110" t="s">
        <v>3045</v>
      </c>
      <c r="AS3110" t="s">
        <v>3046</v>
      </c>
      <c r="AU3110" t="s">
        <v>3046</v>
      </c>
    </row>
    <row r="3111" spans="1:47" x14ac:dyDescent="0.35">
      <c r="A3111">
        <v>348624</v>
      </c>
      <c r="B3111" t="s">
        <v>172</v>
      </c>
      <c r="C3111" t="s">
        <v>173</v>
      </c>
      <c r="D3111" s="2">
        <v>45812</v>
      </c>
      <c r="E3111">
        <v>53850</v>
      </c>
      <c r="F3111">
        <v>174</v>
      </c>
      <c r="G3111" t="s">
        <v>224</v>
      </c>
      <c r="H3111" t="s">
        <v>167</v>
      </c>
      <c r="I3111" t="s">
        <v>45</v>
      </c>
      <c r="K3111" t="s">
        <v>2945</v>
      </c>
      <c r="L3111">
        <v>1743302879671</v>
      </c>
      <c r="M3111">
        <v>20250603</v>
      </c>
      <c r="N3111" t="s">
        <v>81</v>
      </c>
      <c r="Q3111" t="s">
        <v>47</v>
      </c>
      <c r="R3111">
        <v>100752.25</v>
      </c>
      <c r="S3111">
        <v>0</v>
      </c>
      <c r="T3111">
        <v>4866710</v>
      </c>
      <c r="U3111">
        <v>265680728</v>
      </c>
      <c r="V3111" t="s">
        <v>225</v>
      </c>
      <c r="W3111" t="s">
        <v>49</v>
      </c>
      <c r="X3111" t="s">
        <v>226</v>
      </c>
      <c r="Y3111" t="s">
        <v>51</v>
      </c>
      <c r="Z3111">
        <v>1058</v>
      </c>
      <c r="AH3111">
        <v>0</v>
      </c>
      <c r="AI3111">
        <v>202506</v>
      </c>
      <c r="AJ3111" t="s">
        <v>86</v>
      </c>
      <c r="AK3111">
        <v>1</v>
      </c>
      <c r="AL3111">
        <v>1</v>
      </c>
      <c r="AO3111">
        <v>0</v>
      </c>
      <c r="AP3111" t="s">
        <v>3015</v>
      </c>
      <c r="AQ3111" t="s">
        <v>3012</v>
      </c>
      <c r="AR3111" t="s">
        <v>3016</v>
      </c>
      <c r="AT3111" t="s">
        <v>3017</v>
      </c>
      <c r="AU3111" t="s">
        <v>3018</v>
      </c>
    </row>
    <row r="3112" spans="1:47" x14ac:dyDescent="0.35">
      <c r="A3112">
        <v>348623</v>
      </c>
      <c r="B3112" t="s">
        <v>193</v>
      </c>
      <c r="C3112" t="s">
        <v>194</v>
      </c>
      <c r="D3112" s="2">
        <v>45812</v>
      </c>
      <c r="E3112">
        <v>53850</v>
      </c>
      <c r="F3112">
        <v>148</v>
      </c>
      <c r="G3112" t="s">
        <v>78</v>
      </c>
      <c r="H3112" t="s">
        <v>167</v>
      </c>
      <c r="I3112" t="s">
        <v>45</v>
      </c>
      <c r="K3112" t="s">
        <v>2945</v>
      </c>
      <c r="L3112">
        <v>1483300005260</v>
      </c>
      <c r="M3112">
        <v>20250603</v>
      </c>
      <c r="N3112" t="s">
        <v>195</v>
      </c>
      <c r="Q3112" t="s">
        <v>47</v>
      </c>
      <c r="R3112">
        <v>36060</v>
      </c>
      <c r="S3112">
        <v>36060</v>
      </c>
      <c r="T3112">
        <v>4788424</v>
      </c>
      <c r="U3112" t="s">
        <v>2950</v>
      </c>
      <c r="V3112" t="s">
        <v>2951</v>
      </c>
      <c r="W3112" t="s">
        <v>69</v>
      </c>
      <c r="X3112" t="s">
        <v>74</v>
      </c>
      <c r="Y3112" t="s">
        <v>51</v>
      </c>
      <c r="Z3112">
        <v>1063</v>
      </c>
      <c r="AH3112">
        <v>0</v>
      </c>
      <c r="AI3112">
        <v>202506</v>
      </c>
      <c r="AJ3112" t="s">
        <v>86</v>
      </c>
      <c r="AK3112">
        <v>1</v>
      </c>
      <c r="AL3112">
        <v>1</v>
      </c>
      <c r="AO3112">
        <v>0</v>
      </c>
      <c r="AP3112" t="s">
        <v>3015</v>
      </c>
      <c r="AQ3112" t="s">
        <v>3021</v>
      </c>
      <c r="AR3112" t="s">
        <v>3022</v>
      </c>
      <c r="AT3112" t="s">
        <v>3017</v>
      </c>
      <c r="AU3112" t="s">
        <v>3014</v>
      </c>
    </row>
    <row r="3113" spans="1:47" x14ac:dyDescent="0.35">
      <c r="A3113">
        <v>348622</v>
      </c>
      <c r="B3113" t="s">
        <v>178</v>
      </c>
      <c r="C3113" t="s">
        <v>179</v>
      </c>
      <c r="D3113" s="2">
        <v>45812</v>
      </c>
      <c r="E3113">
        <v>53850</v>
      </c>
      <c r="F3113">
        <v>171</v>
      </c>
      <c r="G3113" t="s">
        <v>198</v>
      </c>
      <c r="H3113" t="s">
        <v>167</v>
      </c>
      <c r="I3113" t="s">
        <v>45</v>
      </c>
      <c r="K3113">
        <v>202506038036505</v>
      </c>
      <c r="L3113">
        <v>1713302213842</v>
      </c>
      <c r="M3113">
        <v>20250603</v>
      </c>
      <c r="N3113" t="s">
        <v>258</v>
      </c>
      <c r="Q3113" t="s">
        <v>170</v>
      </c>
      <c r="R3113">
        <v>2743358.23</v>
      </c>
      <c r="S3113">
        <v>0</v>
      </c>
      <c r="T3113">
        <v>4148505</v>
      </c>
      <c r="U3113">
        <v>5848860721</v>
      </c>
      <c r="V3113" t="s">
        <v>1281</v>
      </c>
      <c r="W3113" t="s">
        <v>49</v>
      </c>
      <c r="X3113" t="s">
        <v>260</v>
      </c>
      <c r="Y3113" t="s">
        <v>51</v>
      </c>
      <c r="Z3113">
        <v>1903</v>
      </c>
      <c r="AH3113">
        <v>0</v>
      </c>
      <c r="AI3113">
        <v>202506</v>
      </c>
      <c r="AJ3113" t="s">
        <v>86</v>
      </c>
      <c r="AK3113">
        <v>1</v>
      </c>
      <c r="AL3113">
        <v>1</v>
      </c>
      <c r="AO3113">
        <v>0</v>
      </c>
      <c r="AP3113" t="s">
        <v>3015</v>
      </c>
      <c r="AQ3113" t="s">
        <v>3012</v>
      </c>
      <c r="AR3113" t="s">
        <v>3016</v>
      </c>
      <c r="AT3113" t="s">
        <v>3017</v>
      </c>
      <c r="AU3113" t="s">
        <v>3018</v>
      </c>
    </row>
    <row r="3114" spans="1:47" x14ac:dyDescent="0.35">
      <c r="A3114">
        <v>348621</v>
      </c>
      <c r="B3114" t="s">
        <v>172</v>
      </c>
      <c r="C3114" t="s">
        <v>173</v>
      </c>
      <c r="D3114" s="2">
        <v>45812</v>
      </c>
      <c r="E3114">
        <v>53850</v>
      </c>
      <c r="F3114">
        <v>102</v>
      </c>
      <c r="G3114" t="s">
        <v>151</v>
      </c>
      <c r="H3114" t="s">
        <v>167</v>
      </c>
      <c r="I3114" t="s">
        <v>45</v>
      </c>
      <c r="K3114" t="s">
        <v>2945</v>
      </c>
      <c r="L3114">
        <v>1023306273368</v>
      </c>
      <c r="M3114">
        <v>20250603</v>
      </c>
      <c r="N3114" t="s">
        <v>175</v>
      </c>
      <c r="Q3114" t="s">
        <v>47</v>
      </c>
      <c r="R3114">
        <v>43750</v>
      </c>
      <c r="S3114">
        <v>0</v>
      </c>
      <c r="T3114">
        <v>4120919</v>
      </c>
      <c r="U3114" t="s">
        <v>2952</v>
      </c>
      <c r="V3114" t="s">
        <v>2953</v>
      </c>
      <c r="W3114" t="s">
        <v>69</v>
      </c>
      <c r="X3114" t="s">
        <v>2954</v>
      </c>
      <c r="Y3114" t="s">
        <v>51</v>
      </c>
      <c r="Z3114">
        <v>1306</v>
      </c>
      <c r="AH3114">
        <v>0</v>
      </c>
      <c r="AI3114">
        <v>202506</v>
      </c>
      <c r="AJ3114" t="s">
        <v>86</v>
      </c>
      <c r="AK3114">
        <v>1</v>
      </c>
      <c r="AL3114">
        <v>1</v>
      </c>
      <c r="AO3114">
        <v>1</v>
      </c>
      <c r="AP3114" t="s">
        <v>3134</v>
      </c>
      <c r="AQ3114" t="s">
        <v>3021</v>
      </c>
      <c r="AR3114" t="s">
        <v>3135</v>
      </c>
      <c r="AS3114" t="s">
        <v>3055</v>
      </c>
      <c r="AU3114" t="s">
        <v>3055</v>
      </c>
    </row>
    <row r="3115" spans="1:47" x14ac:dyDescent="0.35">
      <c r="A3115">
        <v>348620</v>
      </c>
      <c r="B3115" t="s">
        <v>178</v>
      </c>
      <c r="C3115" t="s">
        <v>179</v>
      </c>
      <c r="D3115" s="2">
        <v>45812</v>
      </c>
      <c r="E3115">
        <v>53850</v>
      </c>
      <c r="F3115">
        <v>185</v>
      </c>
      <c r="G3115" t="s">
        <v>235</v>
      </c>
      <c r="H3115" t="s">
        <v>167</v>
      </c>
      <c r="I3115" t="s">
        <v>45</v>
      </c>
      <c r="K3115" t="s">
        <v>2955</v>
      </c>
      <c r="L3115">
        <v>1853300026668</v>
      </c>
      <c r="M3115">
        <v>20250603</v>
      </c>
      <c r="N3115" t="s">
        <v>3136</v>
      </c>
      <c r="Q3115" t="s">
        <v>170</v>
      </c>
      <c r="R3115">
        <v>1596.63</v>
      </c>
      <c r="S3115">
        <v>0</v>
      </c>
      <c r="T3115">
        <v>3044870</v>
      </c>
      <c r="U3115" t="s">
        <v>2956</v>
      </c>
      <c r="V3115" t="s">
        <v>2957</v>
      </c>
      <c r="W3115" t="s">
        <v>187</v>
      </c>
      <c r="Y3115" t="s">
        <v>51</v>
      </c>
      <c r="Z3115">
        <v>1351</v>
      </c>
      <c r="AH3115">
        <v>0</v>
      </c>
      <c r="AI3115">
        <v>202506</v>
      </c>
      <c r="AJ3115" t="s">
        <v>86</v>
      </c>
      <c r="AK3115">
        <v>1</v>
      </c>
      <c r="AL3115">
        <v>1</v>
      </c>
      <c r="AO3115">
        <v>1</v>
      </c>
      <c r="AP3115" t="s">
        <v>3015</v>
      </c>
      <c r="AQ3115" t="s">
        <v>3044</v>
      </c>
      <c r="AR3115" t="s">
        <v>3045</v>
      </c>
      <c r="AS3115" t="s">
        <v>3046</v>
      </c>
      <c r="AU3115" t="s">
        <v>3046</v>
      </c>
    </row>
    <row r="3116" spans="1:47" x14ac:dyDescent="0.35">
      <c r="A3116">
        <v>348619</v>
      </c>
      <c r="B3116" t="s">
        <v>172</v>
      </c>
      <c r="C3116" t="s">
        <v>173</v>
      </c>
      <c r="D3116" s="2">
        <v>45812</v>
      </c>
      <c r="E3116">
        <v>53850</v>
      </c>
      <c r="F3116">
        <v>128</v>
      </c>
      <c r="G3116" t="s">
        <v>94</v>
      </c>
      <c r="H3116" t="s">
        <v>167</v>
      </c>
      <c r="I3116" t="s">
        <v>45</v>
      </c>
      <c r="K3116" t="s">
        <v>2945</v>
      </c>
      <c r="L3116">
        <v>1283300001665</v>
      </c>
      <c r="M3116">
        <v>20250603</v>
      </c>
      <c r="N3116" t="s">
        <v>175</v>
      </c>
      <c r="Q3116" t="s">
        <v>47</v>
      </c>
      <c r="R3116">
        <v>205700.1</v>
      </c>
      <c r="S3116">
        <v>0</v>
      </c>
      <c r="T3116">
        <v>4254896</v>
      </c>
      <c r="U3116">
        <v>6234730726</v>
      </c>
      <c r="V3116" t="s">
        <v>95</v>
      </c>
      <c r="W3116" t="s">
        <v>49</v>
      </c>
      <c r="X3116" t="s">
        <v>96</v>
      </c>
      <c r="Y3116" t="s">
        <v>51</v>
      </c>
      <c r="Z3116">
        <v>1919</v>
      </c>
      <c r="AH3116">
        <v>0</v>
      </c>
      <c r="AI3116">
        <v>202506</v>
      </c>
      <c r="AJ3116" t="s">
        <v>86</v>
      </c>
      <c r="AK3116">
        <v>1</v>
      </c>
      <c r="AL3116">
        <v>1</v>
      </c>
      <c r="AO3116">
        <v>1</v>
      </c>
      <c r="AP3116" t="s">
        <v>3015</v>
      </c>
      <c r="AQ3116" t="s">
        <v>3012</v>
      </c>
      <c r="AR3116" t="s">
        <v>3016</v>
      </c>
      <c r="AT3116" t="s">
        <v>3017</v>
      </c>
      <c r="AU3116" t="s">
        <v>3018</v>
      </c>
    </row>
    <row r="3117" spans="1:47" x14ac:dyDescent="0.35">
      <c r="A3117">
        <v>348618</v>
      </c>
      <c r="B3117" t="s">
        <v>172</v>
      </c>
      <c r="C3117" t="s">
        <v>173</v>
      </c>
      <c r="D3117" s="2">
        <v>45812</v>
      </c>
      <c r="E3117">
        <v>53850</v>
      </c>
      <c r="F3117">
        <v>108</v>
      </c>
      <c r="G3117" t="s">
        <v>124</v>
      </c>
      <c r="H3117" t="s">
        <v>167</v>
      </c>
      <c r="I3117" t="s">
        <v>45</v>
      </c>
      <c r="K3117" t="s">
        <v>2945</v>
      </c>
      <c r="L3117">
        <v>1083300011180</v>
      </c>
      <c r="M3117">
        <v>20250603</v>
      </c>
      <c r="N3117" t="s">
        <v>175</v>
      </c>
      <c r="Q3117" t="s">
        <v>47</v>
      </c>
      <c r="R3117">
        <v>149356.09</v>
      </c>
      <c r="S3117">
        <v>0</v>
      </c>
      <c r="T3117">
        <v>1118</v>
      </c>
      <c r="U3117">
        <v>3246700722</v>
      </c>
      <c r="V3117" t="s">
        <v>125</v>
      </c>
      <c r="W3117" t="s">
        <v>49</v>
      </c>
      <c r="X3117" t="s">
        <v>96</v>
      </c>
      <c r="Y3117" t="s">
        <v>51</v>
      </c>
      <c r="Z3117">
        <v>1058</v>
      </c>
      <c r="AH3117">
        <v>0</v>
      </c>
      <c r="AI3117">
        <v>202506</v>
      </c>
      <c r="AJ3117" t="s">
        <v>86</v>
      </c>
      <c r="AK3117">
        <v>1</v>
      </c>
      <c r="AL3117">
        <v>1</v>
      </c>
      <c r="AO3117">
        <v>1</v>
      </c>
      <c r="AP3117" t="s">
        <v>3015</v>
      </c>
      <c r="AQ3117" t="s">
        <v>3012</v>
      </c>
      <c r="AR3117" t="s">
        <v>3016</v>
      </c>
      <c r="AT3117" t="s">
        <v>3017</v>
      </c>
      <c r="AU3117" t="s">
        <v>3018</v>
      </c>
    </row>
    <row r="3118" spans="1:47" x14ac:dyDescent="0.35">
      <c r="A3118">
        <v>348617</v>
      </c>
      <c r="B3118" t="s">
        <v>172</v>
      </c>
      <c r="C3118" t="s">
        <v>173</v>
      </c>
      <c r="D3118" s="2">
        <v>45812</v>
      </c>
      <c r="E3118">
        <v>53850</v>
      </c>
      <c r="F3118">
        <v>116</v>
      </c>
      <c r="G3118" t="s">
        <v>126</v>
      </c>
      <c r="H3118" t="s">
        <v>167</v>
      </c>
      <c r="I3118" t="s">
        <v>45</v>
      </c>
      <c r="K3118">
        <v>202506038037062</v>
      </c>
      <c r="L3118">
        <v>2343300010453</v>
      </c>
      <c r="M3118">
        <v>20250603</v>
      </c>
      <c r="N3118" t="s">
        <v>195</v>
      </c>
      <c r="Q3118" t="s">
        <v>47</v>
      </c>
      <c r="R3118">
        <v>159640.85</v>
      </c>
      <c r="S3118">
        <v>159640.85</v>
      </c>
      <c r="T3118">
        <v>4247777</v>
      </c>
      <c r="U3118">
        <v>233470236</v>
      </c>
      <c r="V3118" t="s">
        <v>206</v>
      </c>
      <c r="W3118" t="s">
        <v>49</v>
      </c>
      <c r="X3118" t="s">
        <v>117</v>
      </c>
      <c r="Y3118" t="s">
        <v>51</v>
      </c>
      <c r="Z3118">
        <v>1696</v>
      </c>
      <c r="AH3118">
        <v>0</v>
      </c>
      <c r="AI3118">
        <v>202506</v>
      </c>
      <c r="AJ3118" t="s">
        <v>86</v>
      </c>
      <c r="AK3118">
        <v>1</v>
      </c>
      <c r="AL3118">
        <v>1</v>
      </c>
      <c r="AM3118">
        <v>4247777</v>
      </c>
      <c r="AN3118">
        <v>1</v>
      </c>
      <c r="AO3118">
        <v>0</v>
      </c>
      <c r="AP3118" t="s">
        <v>3029</v>
      </c>
      <c r="AQ3118" t="s">
        <v>3012</v>
      </c>
      <c r="AR3118" t="s">
        <v>3030</v>
      </c>
      <c r="AS3118" t="s">
        <v>3014</v>
      </c>
      <c r="AU3118" t="s">
        <v>3014</v>
      </c>
    </row>
    <row r="3119" spans="1:47" x14ac:dyDescent="0.35">
      <c r="A3119">
        <v>348616</v>
      </c>
      <c r="B3119" t="s">
        <v>178</v>
      </c>
      <c r="C3119" t="s">
        <v>179</v>
      </c>
      <c r="D3119" s="2">
        <v>45812</v>
      </c>
      <c r="E3119">
        <v>53850</v>
      </c>
      <c r="F3119">
        <v>125</v>
      </c>
      <c r="G3119" t="s">
        <v>75</v>
      </c>
      <c r="H3119" t="s">
        <v>167</v>
      </c>
      <c r="I3119" t="s">
        <v>45</v>
      </c>
      <c r="K3119">
        <v>202506038035852</v>
      </c>
      <c r="L3119">
        <v>1253300010013</v>
      </c>
      <c r="M3119">
        <v>20250603</v>
      </c>
      <c r="N3119" t="s">
        <v>220</v>
      </c>
      <c r="Q3119" t="s">
        <v>170</v>
      </c>
      <c r="R3119">
        <v>315913.33</v>
      </c>
      <c r="S3119">
        <v>0</v>
      </c>
      <c r="T3119">
        <v>4167043</v>
      </c>
      <c r="U3119">
        <v>269990636</v>
      </c>
      <c r="V3119" t="s">
        <v>239</v>
      </c>
      <c r="W3119" t="s">
        <v>49</v>
      </c>
      <c r="X3119" t="s">
        <v>110</v>
      </c>
      <c r="Y3119" t="s">
        <v>51</v>
      </c>
      <c r="Z3119">
        <v>982</v>
      </c>
      <c r="AH3119">
        <v>0</v>
      </c>
      <c r="AI3119">
        <v>202506</v>
      </c>
      <c r="AJ3119" t="s">
        <v>86</v>
      </c>
      <c r="AK3119">
        <v>1</v>
      </c>
      <c r="AL3119">
        <v>1</v>
      </c>
      <c r="AO3119">
        <v>0</v>
      </c>
      <c r="AP3119" t="s">
        <v>3026</v>
      </c>
      <c r="AQ3119" t="s">
        <v>3012</v>
      </c>
      <c r="AR3119" t="s">
        <v>3027</v>
      </c>
      <c r="AS3119" t="s">
        <v>3028</v>
      </c>
      <c r="AU3119" t="s">
        <v>3028</v>
      </c>
    </row>
    <row r="3120" spans="1:47" x14ac:dyDescent="0.35">
      <c r="A3120">
        <v>348615</v>
      </c>
      <c r="B3120" t="s">
        <v>214</v>
      </c>
      <c r="C3120" t="s">
        <v>215</v>
      </c>
      <c r="D3120" s="2">
        <v>45812</v>
      </c>
      <c r="E3120">
        <v>53850</v>
      </c>
      <c r="F3120">
        <v>141</v>
      </c>
      <c r="G3120" t="s">
        <v>105</v>
      </c>
      <c r="H3120" t="s">
        <v>167</v>
      </c>
      <c r="I3120" t="s">
        <v>45</v>
      </c>
      <c r="K3120">
        <v>202506038032485</v>
      </c>
      <c r="L3120">
        <v>1413300003985</v>
      </c>
      <c r="M3120">
        <v>20250603</v>
      </c>
      <c r="N3120" t="s">
        <v>168</v>
      </c>
      <c r="P3120" t="s">
        <v>217</v>
      </c>
      <c r="Q3120" t="s">
        <v>170</v>
      </c>
      <c r="R3120">
        <v>50000</v>
      </c>
      <c r="S3120">
        <v>0</v>
      </c>
      <c r="T3120">
        <v>4996689</v>
      </c>
      <c r="U3120">
        <v>80010360750</v>
      </c>
      <c r="V3120" t="s">
        <v>106</v>
      </c>
      <c r="W3120" t="s">
        <v>49</v>
      </c>
      <c r="X3120" t="s">
        <v>107</v>
      </c>
      <c r="Y3120" t="s">
        <v>51</v>
      </c>
      <c r="Z3120">
        <v>1940</v>
      </c>
      <c r="AH3120">
        <v>0</v>
      </c>
      <c r="AI3120">
        <v>202506</v>
      </c>
      <c r="AJ3120" t="s">
        <v>119</v>
      </c>
      <c r="AK3120">
        <v>1</v>
      </c>
      <c r="AL3120">
        <v>1</v>
      </c>
      <c r="AO3120">
        <v>0</v>
      </c>
      <c r="AP3120" t="s">
        <v>3024</v>
      </c>
      <c r="AQ3120" t="s">
        <v>3012</v>
      </c>
      <c r="AR3120" t="s">
        <v>3025</v>
      </c>
      <c r="AS3120" t="s">
        <v>3014</v>
      </c>
      <c r="AU3120" t="s">
        <v>3014</v>
      </c>
    </row>
    <row r="3121" spans="1:47" x14ac:dyDescent="0.35">
      <c r="A3121">
        <v>348614</v>
      </c>
      <c r="B3121" t="s">
        <v>193</v>
      </c>
      <c r="C3121" t="s">
        <v>194</v>
      </c>
      <c r="D3121" s="2">
        <v>45812</v>
      </c>
      <c r="E3121">
        <v>53850</v>
      </c>
      <c r="F3121">
        <v>102</v>
      </c>
      <c r="G3121" t="s">
        <v>151</v>
      </c>
      <c r="H3121" t="s">
        <v>167</v>
      </c>
      <c r="I3121" t="s">
        <v>45</v>
      </c>
      <c r="K3121" t="s">
        <v>2945</v>
      </c>
      <c r="L3121">
        <v>1023308728260</v>
      </c>
      <c r="M3121">
        <v>20250603</v>
      </c>
      <c r="N3121" t="s">
        <v>175</v>
      </c>
      <c r="Q3121" t="s">
        <v>47</v>
      </c>
      <c r="R3121">
        <v>48200</v>
      </c>
      <c r="S3121">
        <v>29850</v>
      </c>
      <c r="T3121">
        <v>4642713</v>
      </c>
      <c r="U3121" t="s">
        <v>2958</v>
      </c>
      <c r="V3121" t="s">
        <v>2959</v>
      </c>
      <c r="W3121" t="s">
        <v>187</v>
      </c>
      <c r="Y3121" t="s">
        <v>51</v>
      </c>
      <c r="AH3121">
        <v>0</v>
      </c>
      <c r="AI3121">
        <v>202506</v>
      </c>
      <c r="AJ3121" t="s">
        <v>86</v>
      </c>
      <c r="AK3121">
        <v>1</v>
      </c>
      <c r="AL3121">
        <v>1</v>
      </c>
      <c r="AO3121">
        <v>1</v>
      </c>
      <c r="AP3121" t="s">
        <v>3015</v>
      </c>
      <c r="AQ3121" t="s">
        <v>3044</v>
      </c>
      <c r="AR3121" t="s">
        <v>3045</v>
      </c>
      <c r="AS3121" t="s">
        <v>3046</v>
      </c>
      <c r="AU3121" t="s">
        <v>3046</v>
      </c>
    </row>
    <row r="3122" spans="1:47" x14ac:dyDescent="0.35">
      <c r="A3122">
        <v>348613</v>
      </c>
      <c r="B3122" t="s">
        <v>193</v>
      </c>
      <c r="C3122" t="s">
        <v>194</v>
      </c>
      <c r="D3122" s="2">
        <v>45812</v>
      </c>
      <c r="E3122">
        <v>53850</v>
      </c>
      <c r="F3122">
        <v>126</v>
      </c>
      <c r="G3122" t="s">
        <v>1148</v>
      </c>
      <c r="H3122" t="s">
        <v>167</v>
      </c>
      <c r="I3122" t="s">
        <v>45</v>
      </c>
      <c r="K3122" t="s">
        <v>2945</v>
      </c>
      <c r="L3122">
        <v>1263300003715</v>
      </c>
      <c r="M3122">
        <v>20250603</v>
      </c>
      <c r="N3122" t="s">
        <v>175</v>
      </c>
      <c r="Q3122" t="s">
        <v>47</v>
      </c>
      <c r="R3122">
        <v>26400</v>
      </c>
      <c r="S3122">
        <v>23000</v>
      </c>
      <c r="T3122">
        <v>3711827</v>
      </c>
      <c r="U3122" t="s">
        <v>2960</v>
      </c>
      <c r="V3122" t="s">
        <v>2961</v>
      </c>
      <c r="W3122" t="s">
        <v>187</v>
      </c>
      <c r="Y3122" t="s">
        <v>51</v>
      </c>
      <c r="Z3122">
        <v>1241</v>
      </c>
      <c r="AH3122">
        <v>0</v>
      </c>
      <c r="AI3122">
        <v>202506</v>
      </c>
      <c r="AJ3122" t="s">
        <v>86</v>
      </c>
      <c r="AK3122">
        <v>1</v>
      </c>
      <c r="AL3122">
        <v>1</v>
      </c>
      <c r="AO3122">
        <v>1</v>
      </c>
      <c r="AP3122" t="s">
        <v>3015</v>
      </c>
      <c r="AQ3122" t="s">
        <v>3044</v>
      </c>
      <c r="AR3122" t="s">
        <v>3045</v>
      </c>
      <c r="AS3122" t="s">
        <v>3046</v>
      </c>
      <c r="AU3122" t="s">
        <v>3046</v>
      </c>
    </row>
    <row r="3123" spans="1:47" x14ac:dyDescent="0.35">
      <c r="A3123">
        <v>348612</v>
      </c>
      <c r="B3123" t="s">
        <v>172</v>
      </c>
      <c r="C3123" t="s">
        <v>173</v>
      </c>
      <c r="D3123" s="2">
        <v>45812</v>
      </c>
      <c r="E3123">
        <v>53850</v>
      </c>
      <c r="F3123">
        <v>128</v>
      </c>
      <c r="G3123" t="s">
        <v>94</v>
      </c>
      <c r="H3123" t="s">
        <v>167</v>
      </c>
      <c r="I3123" t="s">
        <v>45</v>
      </c>
      <c r="K3123" t="s">
        <v>2945</v>
      </c>
      <c r="L3123">
        <v>1093306672844</v>
      </c>
      <c r="M3123">
        <v>20250603</v>
      </c>
      <c r="N3123" t="s">
        <v>175</v>
      </c>
      <c r="Q3123" t="s">
        <v>47</v>
      </c>
      <c r="R3123">
        <v>143575</v>
      </c>
      <c r="S3123">
        <v>10600</v>
      </c>
      <c r="T3123">
        <v>440311</v>
      </c>
      <c r="U3123">
        <v>3550290724</v>
      </c>
      <c r="V3123" t="s">
        <v>90</v>
      </c>
      <c r="W3123" t="s">
        <v>49</v>
      </c>
      <c r="X3123" t="s">
        <v>91</v>
      </c>
      <c r="Y3123" t="s">
        <v>51</v>
      </c>
      <c r="Z3123">
        <v>1903</v>
      </c>
      <c r="AH3123">
        <v>0</v>
      </c>
      <c r="AI3123">
        <v>202506</v>
      </c>
      <c r="AJ3123" t="s">
        <v>119</v>
      </c>
      <c r="AK3123">
        <v>1</v>
      </c>
      <c r="AL3123">
        <v>1</v>
      </c>
      <c r="AM3123">
        <v>440311</v>
      </c>
      <c r="AN3123">
        <v>1</v>
      </c>
      <c r="AO3123">
        <v>1</v>
      </c>
      <c r="AP3123" t="s">
        <v>1100</v>
      </c>
      <c r="AQ3123" t="s">
        <v>3012</v>
      </c>
      <c r="AR3123" t="s">
        <v>3023</v>
      </c>
      <c r="AS3123" t="s">
        <v>3014</v>
      </c>
      <c r="AU3123" t="s">
        <v>3014</v>
      </c>
    </row>
    <row r="3124" spans="1:47" x14ac:dyDescent="0.35">
      <c r="A3124">
        <v>348611</v>
      </c>
      <c r="B3124" t="s">
        <v>214</v>
      </c>
      <c r="C3124" t="s">
        <v>215</v>
      </c>
      <c r="D3124" s="2">
        <v>45812</v>
      </c>
      <c r="E3124">
        <v>53850</v>
      </c>
      <c r="F3124">
        <v>102</v>
      </c>
      <c r="G3124" t="s">
        <v>151</v>
      </c>
      <c r="H3124" t="s">
        <v>167</v>
      </c>
      <c r="I3124" t="s">
        <v>45</v>
      </c>
      <c r="K3124">
        <v>202506038034185</v>
      </c>
      <c r="L3124">
        <v>2583300001294</v>
      </c>
      <c r="M3124">
        <v>20250603</v>
      </c>
      <c r="N3124" t="s">
        <v>168</v>
      </c>
      <c r="P3124" t="s">
        <v>2962</v>
      </c>
      <c r="Q3124" t="s">
        <v>47</v>
      </c>
      <c r="R3124">
        <v>18467</v>
      </c>
      <c r="S3124">
        <v>0</v>
      </c>
      <c r="T3124">
        <v>4923983</v>
      </c>
      <c r="U3124">
        <v>8254330726</v>
      </c>
      <c r="V3124" t="s">
        <v>2084</v>
      </c>
      <c r="W3124" t="s">
        <v>49</v>
      </c>
      <c r="X3124" t="s">
        <v>257</v>
      </c>
      <c r="Y3124" t="s">
        <v>51</v>
      </c>
      <c r="Z3124">
        <v>1949</v>
      </c>
      <c r="AH3124">
        <v>0</v>
      </c>
      <c r="AI3124">
        <v>202506</v>
      </c>
      <c r="AJ3124" t="s">
        <v>86</v>
      </c>
      <c r="AK3124">
        <v>1</v>
      </c>
      <c r="AL3124">
        <v>1</v>
      </c>
      <c r="AO3124">
        <v>0</v>
      </c>
      <c r="AP3124" t="s">
        <v>3015</v>
      </c>
      <c r="AQ3124" t="s">
        <v>3012</v>
      </c>
      <c r="AR3124" t="s">
        <v>3016</v>
      </c>
      <c r="AT3124" t="s">
        <v>3017</v>
      </c>
      <c r="AU3124" t="s">
        <v>3018</v>
      </c>
    </row>
    <row r="3125" spans="1:47" x14ac:dyDescent="0.35">
      <c r="A3125">
        <v>348610</v>
      </c>
      <c r="B3125" t="s">
        <v>178</v>
      </c>
      <c r="C3125" t="s">
        <v>179</v>
      </c>
      <c r="D3125" s="2">
        <v>45812</v>
      </c>
      <c r="E3125">
        <v>53850</v>
      </c>
      <c r="F3125">
        <v>192</v>
      </c>
      <c r="G3125" t="s">
        <v>66</v>
      </c>
      <c r="H3125" t="s">
        <v>167</v>
      </c>
      <c r="I3125" t="s">
        <v>45</v>
      </c>
      <c r="K3125">
        <v>202506038034116</v>
      </c>
      <c r="L3125">
        <v>1923300183163</v>
      </c>
      <c r="M3125">
        <v>20250603</v>
      </c>
      <c r="N3125" t="s">
        <v>46</v>
      </c>
      <c r="P3125" t="s">
        <v>51</v>
      </c>
      <c r="Q3125" t="s">
        <v>47</v>
      </c>
      <c r="R3125">
        <v>2005000</v>
      </c>
      <c r="S3125">
        <v>0</v>
      </c>
      <c r="T3125">
        <v>4695944</v>
      </c>
      <c r="U3125" t="s">
        <v>67</v>
      </c>
      <c r="V3125" t="s">
        <v>68</v>
      </c>
      <c r="W3125" t="s">
        <v>69</v>
      </c>
      <c r="X3125" t="s">
        <v>70</v>
      </c>
      <c r="Y3125" t="s">
        <v>51</v>
      </c>
      <c r="Z3125">
        <v>481</v>
      </c>
      <c r="AH3125">
        <v>0</v>
      </c>
      <c r="AI3125">
        <v>202506</v>
      </c>
      <c r="AJ3125" t="s">
        <v>56</v>
      </c>
      <c r="AK3125">
        <v>0</v>
      </c>
      <c r="AL3125">
        <v>1</v>
      </c>
      <c r="AM3125">
        <v>4695944</v>
      </c>
      <c r="AN3125">
        <v>1</v>
      </c>
      <c r="AO3125">
        <v>0</v>
      </c>
      <c r="AP3125" t="s">
        <v>3015</v>
      </c>
      <c r="AQ3125" t="s">
        <v>3021</v>
      </c>
      <c r="AR3125" t="s">
        <v>3022</v>
      </c>
      <c r="AT3125" t="s">
        <v>3017</v>
      </c>
      <c r="AU3125" t="s">
        <v>3014</v>
      </c>
    </row>
    <row r="3126" spans="1:47" x14ac:dyDescent="0.35">
      <c r="A3126">
        <v>348609</v>
      </c>
      <c r="B3126" t="s">
        <v>178</v>
      </c>
      <c r="C3126" t="s">
        <v>179</v>
      </c>
      <c r="D3126" s="2">
        <v>45812</v>
      </c>
      <c r="E3126">
        <v>53850</v>
      </c>
      <c r="F3126">
        <v>116</v>
      </c>
      <c r="G3126" t="s">
        <v>126</v>
      </c>
      <c r="H3126" t="s">
        <v>167</v>
      </c>
      <c r="I3126" t="s">
        <v>45</v>
      </c>
      <c r="K3126">
        <v>202506038033994</v>
      </c>
      <c r="L3126">
        <v>2343300010453</v>
      </c>
      <c r="M3126">
        <v>20250603</v>
      </c>
      <c r="N3126" t="s">
        <v>46</v>
      </c>
      <c r="P3126" t="s">
        <v>51</v>
      </c>
      <c r="Q3126" t="s">
        <v>47</v>
      </c>
      <c r="R3126">
        <v>1300000</v>
      </c>
      <c r="S3126">
        <v>0</v>
      </c>
      <c r="T3126">
        <v>4247777</v>
      </c>
      <c r="U3126">
        <v>233470236</v>
      </c>
      <c r="V3126" t="s">
        <v>206</v>
      </c>
      <c r="W3126" t="s">
        <v>49</v>
      </c>
      <c r="X3126" t="s">
        <v>117</v>
      </c>
      <c r="Y3126" t="s">
        <v>51</v>
      </c>
      <c r="Z3126">
        <v>1696</v>
      </c>
      <c r="AH3126">
        <v>0</v>
      </c>
      <c r="AI3126">
        <v>202506</v>
      </c>
      <c r="AJ3126" t="s">
        <v>86</v>
      </c>
      <c r="AK3126">
        <v>1</v>
      </c>
      <c r="AL3126">
        <v>1</v>
      </c>
      <c r="AM3126">
        <v>4247777</v>
      </c>
      <c r="AN3126">
        <v>1</v>
      </c>
      <c r="AO3126">
        <v>0</v>
      </c>
      <c r="AP3126" t="s">
        <v>3029</v>
      </c>
      <c r="AQ3126" t="s">
        <v>3012</v>
      </c>
      <c r="AR3126" t="s">
        <v>3030</v>
      </c>
      <c r="AS3126" t="s">
        <v>3014</v>
      </c>
      <c r="AU3126" t="s">
        <v>3014</v>
      </c>
    </row>
    <row r="3127" spans="1:47" x14ac:dyDescent="0.35">
      <c r="A3127">
        <v>348608</v>
      </c>
      <c r="B3127" t="s">
        <v>172</v>
      </c>
      <c r="C3127" t="s">
        <v>173</v>
      </c>
      <c r="D3127" s="2">
        <v>45812</v>
      </c>
      <c r="E3127">
        <v>53850</v>
      </c>
      <c r="F3127">
        <v>102</v>
      </c>
      <c r="G3127" t="s">
        <v>151</v>
      </c>
      <c r="H3127" t="s">
        <v>167</v>
      </c>
      <c r="I3127" t="s">
        <v>45</v>
      </c>
      <c r="K3127">
        <v>202506038037699</v>
      </c>
      <c r="L3127">
        <v>1023308722151</v>
      </c>
      <c r="M3127">
        <v>20250603</v>
      </c>
      <c r="N3127" t="s">
        <v>231</v>
      </c>
      <c r="Q3127" t="s">
        <v>47</v>
      </c>
      <c r="R3127">
        <v>200000</v>
      </c>
      <c r="S3127">
        <v>0</v>
      </c>
      <c r="T3127">
        <v>430073</v>
      </c>
      <c r="U3127" t="s">
        <v>2963</v>
      </c>
      <c r="V3127" t="s">
        <v>2964</v>
      </c>
      <c r="W3127" t="s">
        <v>187</v>
      </c>
      <c r="Y3127" t="s">
        <v>51</v>
      </c>
      <c r="Z3127">
        <v>1648</v>
      </c>
      <c r="AH3127">
        <v>0</v>
      </c>
      <c r="AI3127">
        <v>202506</v>
      </c>
      <c r="AJ3127" t="s">
        <v>86</v>
      </c>
      <c r="AK3127">
        <v>1</v>
      </c>
      <c r="AL3127">
        <v>1</v>
      </c>
      <c r="AO3127">
        <v>0</v>
      </c>
      <c r="AP3127" t="s">
        <v>3015</v>
      </c>
      <c r="AQ3127" t="s">
        <v>3044</v>
      </c>
      <c r="AR3127" t="s">
        <v>3045</v>
      </c>
      <c r="AS3127" t="s">
        <v>3046</v>
      </c>
      <c r="AU3127" t="s">
        <v>3046</v>
      </c>
    </row>
    <row r="3128" spans="1:47" x14ac:dyDescent="0.35">
      <c r="A3128">
        <v>348607</v>
      </c>
      <c r="B3128" t="s">
        <v>178</v>
      </c>
      <c r="C3128" t="s">
        <v>179</v>
      </c>
      <c r="D3128" s="2">
        <v>45812</v>
      </c>
      <c r="E3128">
        <v>53850</v>
      </c>
      <c r="F3128">
        <v>102</v>
      </c>
      <c r="G3128" t="s">
        <v>151</v>
      </c>
      <c r="H3128" t="s">
        <v>167</v>
      </c>
      <c r="I3128" t="s">
        <v>45</v>
      </c>
      <c r="K3128">
        <v>202506038037724</v>
      </c>
      <c r="L3128">
        <v>2583302251708</v>
      </c>
      <c r="M3128">
        <v>20250603</v>
      </c>
      <c r="N3128" t="s">
        <v>3136</v>
      </c>
      <c r="Q3128" t="s">
        <v>170</v>
      </c>
      <c r="R3128">
        <v>10083.49</v>
      </c>
      <c r="S3128">
        <v>0</v>
      </c>
      <c r="T3128">
        <v>69892</v>
      </c>
      <c r="U3128" t="s">
        <v>2965</v>
      </c>
      <c r="V3128" t="s">
        <v>2966</v>
      </c>
      <c r="W3128" t="s">
        <v>187</v>
      </c>
      <c r="Y3128" t="s">
        <v>51</v>
      </c>
      <c r="Z3128">
        <v>1456</v>
      </c>
      <c r="AH3128">
        <v>0</v>
      </c>
      <c r="AI3128">
        <v>202506</v>
      </c>
      <c r="AJ3128" t="s">
        <v>86</v>
      </c>
      <c r="AK3128">
        <v>1</v>
      </c>
      <c r="AL3128">
        <v>1</v>
      </c>
      <c r="AO3128">
        <v>1</v>
      </c>
      <c r="AP3128" t="s">
        <v>3015</v>
      </c>
      <c r="AQ3128" t="s">
        <v>3044</v>
      </c>
      <c r="AR3128" t="s">
        <v>3045</v>
      </c>
      <c r="AS3128" t="s">
        <v>3046</v>
      </c>
      <c r="AU3128" t="s">
        <v>3046</v>
      </c>
    </row>
    <row r="3129" spans="1:47" x14ac:dyDescent="0.35">
      <c r="A3129">
        <v>348606</v>
      </c>
      <c r="B3129" t="s">
        <v>172</v>
      </c>
      <c r="C3129" t="s">
        <v>173</v>
      </c>
      <c r="D3129" s="2">
        <v>45812</v>
      </c>
      <c r="E3129">
        <v>53850</v>
      </c>
      <c r="F3129">
        <v>175</v>
      </c>
      <c r="G3129" t="s">
        <v>99</v>
      </c>
      <c r="H3129" t="s">
        <v>167</v>
      </c>
      <c r="I3129" t="s">
        <v>45</v>
      </c>
      <c r="K3129" t="s">
        <v>2945</v>
      </c>
      <c r="L3129">
        <v>1753302203127</v>
      </c>
      <c r="M3129">
        <v>20250603</v>
      </c>
      <c r="N3129" t="s">
        <v>175</v>
      </c>
      <c r="Q3129" t="s">
        <v>47</v>
      </c>
      <c r="R3129">
        <v>120377.64</v>
      </c>
      <c r="S3129">
        <v>20695</v>
      </c>
      <c r="T3129">
        <v>4160138</v>
      </c>
      <c r="U3129">
        <v>484200779</v>
      </c>
      <c r="V3129" t="s">
        <v>100</v>
      </c>
      <c r="W3129" t="s">
        <v>49</v>
      </c>
      <c r="X3129" t="s">
        <v>101</v>
      </c>
      <c r="Y3129" t="s">
        <v>51</v>
      </c>
      <c r="Z3129">
        <v>739</v>
      </c>
      <c r="AH3129">
        <v>0</v>
      </c>
      <c r="AI3129">
        <v>202506</v>
      </c>
      <c r="AJ3129" t="s">
        <v>86</v>
      </c>
      <c r="AK3129">
        <v>1</v>
      </c>
      <c r="AL3129">
        <v>1</v>
      </c>
      <c r="AM3129">
        <v>4160138</v>
      </c>
      <c r="AN3129">
        <v>1</v>
      </c>
      <c r="AO3129">
        <v>1</v>
      </c>
      <c r="AP3129" t="s">
        <v>3015</v>
      </c>
      <c r="AQ3129" t="s">
        <v>3012</v>
      </c>
      <c r="AR3129" t="s">
        <v>3016</v>
      </c>
      <c r="AT3129" t="s">
        <v>3017</v>
      </c>
      <c r="AU3129" t="s">
        <v>3018</v>
      </c>
    </row>
    <row r="3130" spans="1:47" x14ac:dyDescent="0.35">
      <c r="A3130">
        <v>348605</v>
      </c>
      <c r="B3130" t="s">
        <v>178</v>
      </c>
      <c r="C3130" t="s">
        <v>179</v>
      </c>
      <c r="D3130" s="2">
        <v>45812</v>
      </c>
      <c r="E3130">
        <v>53850</v>
      </c>
      <c r="F3130">
        <v>116</v>
      </c>
      <c r="G3130" t="s">
        <v>126</v>
      </c>
      <c r="H3130" t="s">
        <v>167</v>
      </c>
      <c r="I3130" t="s">
        <v>45</v>
      </c>
      <c r="K3130">
        <v>202506038032451</v>
      </c>
      <c r="L3130">
        <v>2343300010453</v>
      </c>
      <c r="M3130">
        <v>20250603</v>
      </c>
      <c r="N3130" t="s">
        <v>236</v>
      </c>
      <c r="P3130" t="s">
        <v>51</v>
      </c>
      <c r="Q3130" t="s">
        <v>170</v>
      </c>
      <c r="R3130">
        <v>962952.72</v>
      </c>
      <c r="S3130">
        <v>0</v>
      </c>
      <c r="T3130">
        <v>4247777</v>
      </c>
      <c r="U3130">
        <v>233470236</v>
      </c>
      <c r="V3130" t="s">
        <v>206</v>
      </c>
      <c r="W3130" t="s">
        <v>49</v>
      </c>
      <c r="X3130" t="s">
        <v>117</v>
      </c>
      <c r="Y3130" t="s">
        <v>51</v>
      </c>
      <c r="Z3130">
        <v>1696</v>
      </c>
      <c r="AH3130">
        <v>0</v>
      </c>
      <c r="AI3130">
        <v>202506</v>
      </c>
      <c r="AJ3130" t="s">
        <v>86</v>
      </c>
      <c r="AK3130">
        <v>1</v>
      </c>
      <c r="AL3130">
        <v>1</v>
      </c>
      <c r="AM3130">
        <v>4247777</v>
      </c>
      <c r="AN3130">
        <v>1</v>
      </c>
      <c r="AO3130">
        <v>0</v>
      </c>
      <c r="AP3130" t="s">
        <v>3029</v>
      </c>
      <c r="AQ3130" t="s">
        <v>3012</v>
      </c>
      <c r="AR3130" t="s">
        <v>3030</v>
      </c>
      <c r="AS3130" t="s">
        <v>3014</v>
      </c>
      <c r="AU3130" t="s">
        <v>3014</v>
      </c>
    </row>
    <row r="3131" spans="1:47" x14ac:dyDescent="0.35">
      <c r="A3131">
        <v>348604</v>
      </c>
      <c r="B3131" t="s">
        <v>178</v>
      </c>
      <c r="C3131" t="s">
        <v>179</v>
      </c>
      <c r="D3131" s="2">
        <v>45812</v>
      </c>
      <c r="E3131">
        <v>53850</v>
      </c>
      <c r="F3131">
        <v>116</v>
      </c>
      <c r="G3131" t="s">
        <v>126</v>
      </c>
      <c r="H3131" t="s">
        <v>167</v>
      </c>
      <c r="I3131" t="s">
        <v>45</v>
      </c>
      <c r="K3131">
        <v>202506038037044</v>
      </c>
      <c r="L3131">
        <v>2173300010307</v>
      </c>
      <c r="M3131">
        <v>20250603</v>
      </c>
      <c r="N3131" t="s">
        <v>242</v>
      </c>
      <c r="Q3131" t="s">
        <v>47</v>
      </c>
      <c r="R3131">
        <v>10000000</v>
      </c>
      <c r="S3131">
        <v>0</v>
      </c>
      <c r="T3131">
        <v>4434879</v>
      </c>
      <c r="U3131">
        <v>1595620061</v>
      </c>
      <c r="V3131" t="s">
        <v>1443</v>
      </c>
      <c r="W3131" t="s">
        <v>49</v>
      </c>
      <c r="X3131" t="s">
        <v>1444</v>
      </c>
      <c r="Y3131" t="s">
        <v>51</v>
      </c>
      <c r="Z3131">
        <v>1696</v>
      </c>
      <c r="AH3131">
        <v>0</v>
      </c>
      <c r="AI3131">
        <v>202506</v>
      </c>
      <c r="AJ3131" t="s">
        <v>86</v>
      </c>
      <c r="AK3131">
        <v>1</v>
      </c>
      <c r="AL3131">
        <v>1</v>
      </c>
      <c r="AO3131">
        <v>0</v>
      </c>
      <c r="AP3131" t="s">
        <v>3015</v>
      </c>
      <c r="AQ3131" t="s">
        <v>3012</v>
      </c>
      <c r="AR3131" t="s">
        <v>3016</v>
      </c>
      <c r="AT3131" t="s">
        <v>3017</v>
      </c>
      <c r="AU3131" t="s">
        <v>3018</v>
      </c>
    </row>
    <row r="3132" spans="1:47" x14ac:dyDescent="0.35">
      <c r="A3132">
        <v>348603</v>
      </c>
      <c r="B3132" t="s">
        <v>193</v>
      </c>
      <c r="C3132" t="s">
        <v>194</v>
      </c>
      <c r="D3132" s="2">
        <v>45812</v>
      </c>
      <c r="E3132">
        <v>53850</v>
      </c>
      <c r="F3132">
        <v>196</v>
      </c>
      <c r="G3132" t="s">
        <v>567</v>
      </c>
      <c r="H3132" t="s">
        <v>167</v>
      </c>
      <c r="I3132" t="s">
        <v>45</v>
      </c>
      <c r="K3132">
        <v>202506038036940</v>
      </c>
      <c r="L3132">
        <v>1963302353452</v>
      </c>
      <c r="M3132">
        <v>20250603</v>
      </c>
      <c r="N3132" t="s">
        <v>195</v>
      </c>
      <c r="Q3132" t="s">
        <v>47</v>
      </c>
      <c r="R3132">
        <v>32000</v>
      </c>
      <c r="S3132">
        <v>32000</v>
      </c>
      <c r="T3132">
        <v>4084962</v>
      </c>
      <c r="U3132" t="s">
        <v>1512</v>
      </c>
      <c r="V3132" t="s">
        <v>1513</v>
      </c>
      <c r="W3132" t="s">
        <v>342</v>
      </c>
      <c r="X3132" t="s">
        <v>590</v>
      </c>
      <c r="Y3132" t="s">
        <v>51</v>
      </c>
      <c r="Z3132">
        <v>1945</v>
      </c>
      <c r="AH3132">
        <v>0</v>
      </c>
      <c r="AI3132">
        <v>202506</v>
      </c>
      <c r="AJ3132" t="s">
        <v>56</v>
      </c>
      <c r="AK3132">
        <v>0</v>
      </c>
      <c r="AL3132">
        <v>1</v>
      </c>
      <c r="AM3132">
        <v>4084962</v>
      </c>
      <c r="AN3132">
        <v>1</v>
      </c>
      <c r="AO3132">
        <v>0</v>
      </c>
      <c r="AP3132" t="s">
        <v>3015</v>
      </c>
      <c r="AQ3132" t="s">
        <v>3060</v>
      </c>
      <c r="AR3132" t="s">
        <v>3061</v>
      </c>
      <c r="AT3132" t="s">
        <v>3017</v>
      </c>
      <c r="AU3132" t="s">
        <v>3014</v>
      </c>
    </row>
    <row r="3133" spans="1:47" x14ac:dyDescent="0.35">
      <c r="A3133">
        <v>348602</v>
      </c>
      <c r="B3133" t="s">
        <v>178</v>
      </c>
      <c r="C3133" t="s">
        <v>179</v>
      </c>
      <c r="D3133" s="2">
        <v>45812</v>
      </c>
      <c r="E3133">
        <v>53850</v>
      </c>
      <c r="F3133">
        <v>105</v>
      </c>
      <c r="G3133" t="s">
        <v>60</v>
      </c>
      <c r="H3133" t="s">
        <v>167</v>
      </c>
      <c r="I3133" t="s">
        <v>45</v>
      </c>
      <c r="K3133">
        <v>202506038033825</v>
      </c>
      <c r="L3133">
        <v>1053300516650</v>
      </c>
      <c r="M3133">
        <v>20250603</v>
      </c>
      <c r="N3133" t="s">
        <v>46</v>
      </c>
      <c r="P3133" t="s">
        <v>51</v>
      </c>
      <c r="Q3133" t="s">
        <v>47</v>
      </c>
      <c r="R3133">
        <v>225042.07</v>
      </c>
      <c r="S3133">
        <v>0</v>
      </c>
      <c r="T3133">
        <v>51665</v>
      </c>
      <c r="U3133" t="s">
        <v>1457</v>
      </c>
      <c r="V3133" t="s">
        <v>1458</v>
      </c>
      <c r="W3133" t="s">
        <v>187</v>
      </c>
      <c r="Y3133" t="s">
        <v>51</v>
      </c>
      <c r="Z3133">
        <v>1471</v>
      </c>
      <c r="AH3133">
        <v>0</v>
      </c>
      <c r="AI3133">
        <v>202506</v>
      </c>
      <c r="AJ3133" t="s">
        <v>86</v>
      </c>
      <c r="AK3133">
        <v>1</v>
      </c>
      <c r="AL3133">
        <v>1</v>
      </c>
      <c r="AO3133">
        <v>0</v>
      </c>
      <c r="AP3133" t="s">
        <v>3015</v>
      </c>
      <c r="AQ3133" t="s">
        <v>3044</v>
      </c>
      <c r="AR3133" t="s">
        <v>3045</v>
      </c>
      <c r="AS3133" t="s">
        <v>3046</v>
      </c>
      <c r="AU3133" t="s">
        <v>3046</v>
      </c>
    </row>
    <row r="3134" spans="1:47" x14ac:dyDescent="0.35">
      <c r="A3134">
        <v>348601</v>
      </c>
      <c r="B3134" t="s">
        <v>178</v>
      </c>
      <c r="C3134" t="s">
        <v>179</v>
      </c>
      <c r="D3134" s="2">
        <v>45812</v>
      </c>
      <c r="E3134">
        <v>53850</v>
      </c>
      <c r="F3134">
        <v>103</v>
      </c>
      <c r="G3134" t="s">
        <v>80</v>
      </c>
      <c r="H3134" t="s">
        <v>167</v>
      </c>
      <c r="I3134" t="s">
        <v>45</v>
      </c>
      <c r="K3134">
        <v>202506038033238</v>
      </c>
      <c r="L3134">
        <v>1033306985513</v>
      </c>
      <c r="M3134">
        <v>20250603</v>
      </c>
      <c r="N3134" t="s">
        <v>46</v>
      </c>
      <c r="P3134" t="s">
        <v>51</v>
      </c>
      <c r="Q3134" t="s">
        <v>47</v>
      </c>
      <c r="R3134">
        <v>431436.56</v>
      </c>
      <c r="S3134">
        <v>0</v>
      </c>
      <c r="T3134">
        <v>439797</v>
      </c>
      <c r="U3134" t="s">
        <v>2967</v>
      </c>
      <c r="V3134" t="s">
        <v>2968</v>
      </c>
      <c r="W3134" t="s">
        <v>187</v>
      </c>
      <c r="Y3134" t="s">
        <v>51</v>
      </c>
      <c r="AH3134">
        <v>0</v>
      </c>
      <c r="AI3134">
        <v>202506</v>
      </c>
      <c r="AJ3134" t="s">
        <v>86</v>
      </c>
      <c r="AK3134">
        <v>1</v>
      </c>
      <c r="AL3134">
        <v>1</v>
      </c>
      <c r="AO3134">
        <v>0</v>
      </c>
      <c r="AP3134" t="s">
        <v>3015</v>
      </c>
      <c r="AQ3134" t="s">
        <v>3044</v>
      </c>
      <c r="AR3134" t="s">
        <v>3045</v>
      </c>
      <c r="AS3134" t="s">
        <v>3046</v>
      </c>
      <c r="AU3134" t="s">
        <v>3046</v>
      </c>
    </row>
    <row r="3135" spans="1:47" x14ac:dyDescent="0.35">
      <c r="A3135">
        <v>348600</v>
      </c>
      <c r="B3135" t="s">
        <v>214</v>
      </c>
      <c r="C3135" t="s">
        <v>215</v>
      </c>
      <c r="D3135" s="2">
        <v>45812</v>
      </c>
      <c r="E3135">
        <v>53850</v>
      </c>
      <c r="F3135">
        <v>190</v>
      </c>
      <c r="G3135" t="s">
        <v>145</v>
      </c>
      <c r="H3135" t="s">
        <v>167</v>
      </c>
      <c r="I3135" t="s">
        <v>45</v>
      </c>
      <c r="K3135">
        <v>202506038034212</v>
      </c>
      <c r="L3135">
        <v>1903300017388</v>
      </c>
      <c r="M3135">
        <v>20250603</v>
      </c>
      <c r="N3135" t="s">
        <v>168</v>
      </c>
      <c r="P3135" t="s">
        <v>217</v>
      </c>
      <c r="Q3135" t="s">
        <v>47</v>
      </c>
      <c r="R3135">
        <v>23774.400000000001</v>
      </c>
      <c r="S3135">
        <v>0</v>
      </c>
      <c r="T3135">
        <v>4884959</v>
      </c>
      <c r="U3135">
        <v>6732580722</v>
      </c>
      <c r="V3135" t="s">
        <v>146</v>
      </c>
      <c r="W3135" t="s">
        <v>49</v>
      </c>
      <c r="X3135" t="s">
        <v>710</v>
      </c>
      <c r="Y3135" t="s">
        <v>51</v>
      </c>
      <c r="Z3135">
        <v>1926</v>
      </c>
      <c r="AH3135">
        <v>0</v>
      </c>
      <c r="AI3135">
        <v>202506</v>
      </c>
      <c r="AJ3135" t="s">
        <v>86</v>
      </c>
      <c r="AK3135">
        <v>1</v>
      </c>
      <c r="AL3135">
        <v>1</v>
      </c>
      <c r="AO3135">
        <v>0</v>
      </c>
      <c r="AP3135" t="s">
        <v>3015</v>
      </c>
      <c r="AQ3135" t="s">
        <v>3012</v>
      </c>
      <c r="AR3135" t="s">
        <v>3016</v>
      </c>
      <c r="AT3135" t="s">
        <v>3017</v>
      </c>
      <c r="AU3135" t="s">
        <v>3018</v>
      </c>
    </row>
    <row r="3136" spans="1:47" x14ac:dyDescent="0.35">
      <c r="A3136">
        <v>348599</v>
      </c>
      <c r="B3136" t="s">
        <v>172</v>
      </c>
      <c r="C3136" t="s">
        <v>173</v>
      </c>
      <c r="D3136" s="2">
        <v>45812</v>
      </c>
      <c r="E3136">
        <v>53850</v>
      </c>
      <c r="F3136">
        <v>114</v>
      </c>
      <c r="G3136" t="s">
        <v>188</v>
      </c>
      <c r="H3136" t="s">
        <v>167</v>
      </c>
      <c r="I3136" t="s">
        <v>45</v>
      </c>
      <c r="K3136" t="s">
        <v>2945</v>
      </c>
      <c r="L3136">
        <v>1143306280621</v>
      </c>
      <c r="M3136">
        <v>20250603</v>
      </c>
      <c r="N3136" t="s">
        <v>266</v>
      </c>
      <c r="Q3136" t="s">
        <v>47</v>
      </c>
      <c r="R3136">
        <v>85150</v>
      </c>
      <c r="S3136">
        <v>85150</v>
      </c>
      <c r="T3136">
        <v>4658875</v>
      </c>
      <c r="U3136">
        <v>3230890711</v>
      </c>
      <c r="V3136" t="s">
        <v>1363</v>
      </c>
      <c r="W3136" t="s">
        <v>49</v>
      </c>
      <c r="X3136" t="s">
        <v>131</v>
      </c>
      <c r="Y3136" t="s">
        <v>51</v>
      </c>
      <c r="Z3136">
        <v>870</v>
      </c>
      <c r="AH3136">
        <v>0</v>
      </c>
      <c r="AI3136">
        <v>202506</v>
      </c>
      <c r="AJ3136" t="s">
        <v>56</v>
      </c>
      <c r="AK3136">
        <v>0</v>
      </c>
      <c r="AL3136">
        <v>1</v>
      </c>
      <c r="AM3136">
        <v>4658875</v>
      </c>
      <c r="AN3136">
        <v>1</v>
      </c>
      <c r="AO3136">
        <v>0</v>
      </c>
      <c r="AP3136" t="s">
        <v>3033</v>
      </c>
      <c r="AQ3136" t="s">
        <v>3012</v>
      </c>
      <c r="AR3136" t="s">
        <v>3034</v>
      </c>
      <c r="AS3136" t="s">
        <v>3014</v>
      </c>
      <c r="AU3136" t="s">
        <v>3014</v>
      </c>
    </row>
    <row r="3137" spans="1:47" x14ac:dyDescent="0.35">
      <c r="A3137">
        <v>348598</v>
      </c>
      <c r="B3137" t="s">
        <v>193</v>
      </c>
      <c r="C3137" t="s">
        <v>194</v>
      </c>
      <c r="D3137" s="2">
        <v>45812</v>
      </c>
      <c r="E3137">
        <v>53850</v>
      </c>
      <c r="F3137">
        <v>102</v>
      </c>
      <c r="G3137" t="s">
        <v>151</v>
      </c>
      <c r="H3137" t="s">
        <v>167</v>
      </c>
      <c r="I3137" t="s">
        <v>45</v>
      </c>
      <c r="K3137" t="s">
        <v>2945</v>
      </c>
      <c r="L3137">
        <v>1023300660520</v>
      </c>
      <c r="M3137">
        <v>20250603</v>
      </c>
      <c r="N3137" t="s">
        <v>175</v>
      </c>
      <c r="Q3137" t="s">
        <v>47</v>
      </c>
      <c r="R3137">
        <v>143846.70000000001</v>
      </c>
      <c r="S3137">
        <v>50325</v>
      </c>
      <c r="T3137">
        <v>66052</v>
      </c>
      <c r="U3137">
        <v>398110726</v>
      </c>
      <c r="V3137" t="s">
        <v>426</v>
      </c>
      <c r="W3137" t="s">
        <v>49</v>
      </c>
      <c r="X3137" t="s">
        <v>59</v>
      </c>
      <c r="Y3137" t="s">
        <v>51</v>
      </c>
      <c r="Z3137">
        <v>1203</v>
      </c>
      <c r="AH3137">
        <v>0</v>
      </c>
      <c r="AI3137">
        <v>202506</v>
      </c>
      <c r="AJ3137" t="s">
        <v>119</v>
      </c>
      <c r="AK3137">
        <v>1</v>
      </c>
      <c r="AL3137">
        <v>1</v>
      </c>
      <c r="AM3137">
        <v>66052</v>
      </c>
      <c r="AN3137">
        <v>1</v>
      </c>
      <c r="AO3137">
        <v>1</v>
      </c>
      <c r="AP3137" t="s">
        <v>3015</v>
      </c>
      <c r="AQ3137" t="s">
        <v>3012</v>
      </c>
      <c r="AR3137" t="s">
        <v>3016</v>
      </c>
      <c r="AT3137" t="s">
        <v>3017</v>
      </c>
      <c r="AU3137" t="s">
        <v>3018</v>
      </c>
    </row>
    <row r="3138" spans="1:47" x14ac:dyDescent="0.35">
      <c r="A3138">
        <v>348597</v>
      </c>
      <c r="B3138" t="s">
        <v>178</v>
      </c>
      <c r="C3138" t="s">
        <v>179</v>
      </c>
      <c r="D3138" s="2">
        <v>45812</v>
      </c>
      <c r="E3138">
        <v>53850</v>
      </c>
      <c r="F3138">
        <v>132</v>
      </c>
      <c r="G3138" t="s">
        <v>92</v>
      </c>
      <c r="H3138" t="s">
        <v>167</v>
      </c>
      <c r="I3138" t="s">
        <v>45</v>
      </c>
      <c r="K3138">
        <v>202506038037960</v>
      </c>
      <c r="L3138">
        <v>1323300002559</v>
      </c>
      <c r="M3138">
        <v>20250603</v>
      </c>
      <c r="N3138" t="s">
        <v>236</v>
      </c>
      <c r="P3138" t="s">
        <v>51</v>
      </c>
      <c r="Q3138" t="s">
        <v>170</v>
      </c>
      <c r="R3138">
        <v>221000</v>
      </c>
      <c r="S3138">
        <v>0</v>
      </c>
      <c r="T3138">
        <v>4875374</v>
      </c>
      <c r="U3138" t="s">
        <v>2969</v>
      </c>
      <c r="V3138" t="s">
        <v>2970</v>
      </c>
      <c r="W3138" t="s">
        <v>187</v>
      </c>
      <c r="Y3138" t="s">
        <v>51</v>
      </c>
      <c r="Z3138">
        <v>1959</v>
      </c>
      <c r="AH3138">
        <v>0</v>
      </c>
      <c r="AI3138">
        <v>202506</v>
      </c>
      <c r="AJ3138" t="s">
        <v>86</v>
      </c>
      <c r="AK3138">
        <v>1</v>
      </c>
      <c r="AL3138">
        <v>1</v>
      </c>
      <c r="AO3138">
        <v>0</v>
      </c>
      <c r="AP3138" t="s">
        <v>3015</v>
      </c>
      <c r="AQ3138" t="s">
        <v>3044</v>
      </c>
      <c r="AR3138" t="s">
        <v>3045</v>
      </c>
      <c r="AS3138" t="s">
        <v>3046</v>
      </c>
      <c r="AU3138" t="s">
        <v>3046</v>
      </c>
    </row>
    <row r="3139" spans="1:47" x14ac:dyDescent="0.35">
      <c r="A3139">
        <v>348596</v>
      </c>
      <c r="B3139" t="s">
        <v>178</v>
      </c>
      <c r="C3139" t="s">
        <v>179</v>
      </c>
      <c r="D3139" s="2">
        <v>45812</v>
      </c>
      <c r="E3139">
        <v>53850</v>
      </c>
      <c r="F3139">
        <v>170</v>
      </c>
      <c r="G3139" t="s">
        <v>211</v>
      </c>
      <c r="H3139" t="s">
        <v>167</v>
      </c>
      <c r="I3139" t="s">
        <v>45</v>
      </c>
      <c r="K3139">
        <v>202506038038127</v>
      </c>
      <c r="L3139">
        <v>1703306290701</v>
      </c>
      <c r="M3139">
        <v>20250603</v>
      </c>
      <c r="N3139" t="s">
        <v>3136</v>
      </c>
      <c r="Q3139" t="s">
        <v>170</v>
      </c>
      <c r="R3139">
        <v>53329.599999999999</v>
      </c>
      <c r="S3139">
        <v>0</v>
      </c>
      <c r="T3139">
        <v>4104070</v>
      </c>
      <c r="U3139" t="s">
        <v>2971</v>
      </c>
      <c r="V3139" t="s">
        <v>2972</v>
      </c>
      <c r="W3139" t="s">
        <v>69</v>
      </c>
      <c r="X3139" t="s">
        <v>234</v>
      </c>
      <c r="Y3139" t="s">
        <v>51</v>
      </c>
      <c r="Z3139">
        <v>1920</v>
      </c>
      <c r="AH3139">
        <v>0</v>
      </c>
      <c r="AI3139">
        <v>202506</v>
      </c>
      <c r="AJ3139" t="s">
        <v>86</v>
      </c>
      <c r="AK3139">
        <v>1</v>
      </c>
      <c r="AL3139">
        <v>1</v>
      </c>
      <c r="AO3139">
        <v>1</v>
      </c>
      <c r="AP3139" t="s">
        <v>3015</v>
      </c>
      <c r="AQ3139" t="s">
        <v>3021</v>
      </c>
      <c r="AR3139" t="s">
        <v>3022</v>
      </c>
      <c r="AT3139" t="s">
        <v>3017</v>
      </c>
      <c r="AU3139" t="s">
        <v>3014</v>
      </c>
    </row>
    <row r="3140" spans="1:47" x14ac:dyDescent="0.35">
      <c r="A3140">
        <v>348595</v>
      </c>
      <c r="B3140" t="s">
        <v>178</v>
      </c>
      <c r="C3140" t="s">
        <v>179</v>
      </c>
      <c r="D3140" s="2">
        <v>45812</v>
      </c>
      <c r="E3140">
        <v>53850</v>
      </c>
      <c r="F3140">
        <v>171</v>
      </c>
      <c r="G3140" t="s">
        <v>198</v>
      </c>
      <c r="H3140" t="s">
        <v>167</v>
      </c>
      <c r="I3140" t="s">
        <v>45</v>
      </c>
      <c r="K3140">
        <v>202506038033055</v>
      </c>
      <c r="L3140">
        <v>1713302217591</v>
      </c>
      <c r="M3140">
        <v>20250603</v>
      </c>
      <c r="N3140" t="s">
        <v>46</v>
      </c>
      <c r="P3140" t="s">
        <v>51</v>
      </c>
      <c r="Q3140" t="s">
        <v>47</v>
      </c>
      <c r="R3140">
        <v>664021.56999999995</v>
      </c>
      <c r="S3140">
        <v>0</v>
      </c>
      <c r="T3140">
        <v>4805735</v>
      </c>
      <c r="U3140">
        <v>5001120723</v>
      </c>
      <c r="V3140" t="s">
        <v>2245</v>
      </c>
      <c r="W3140" t="s">
        <v>49</v>
      </c>
      <c r="X3140" t="s">
        <v>117</v>
      </c>
      <c r="Y3140" t="s">
        <v>51</v>
      </c>
      <c r="Z3140">
        <v>1903</v>
      </c>
      <c r="AH3140">
        <v>0</v>
      </c>
      <c r="AI3140">
        <v>202506</v>
      </c>
      <c r="AJ3140" t="s">
        <v>86</v>
      </c>
      <c r="AK3140">
        <v>1</v>
      </c>
      <c r="AL3140">
        <v>1</v>
      </c>
      <c r="AO3140">
        <v>0</v>
      </c>
      <c r="AP3140" t="s">
        <v>3029</v>
      </c>
      <c r="AQ3140" t="s">
        <v>3012</v>
      </c>
      <c r="AR3140" t="s">
        <v>3030</v>
      </c>
      <c r="AS3140" t="s">
        <v>3014</v>
      </c>
      <c r="AU3140" t="s">
        <v>3014</v>
      </c>
    </row>
    <row r="3141" spans="1:47" x14ac:dyDescent="0.35">
      <c r="A3141">
        <v>348594</v>
      </c>
      <c r="B3141" t="s">
        <v>178</v>
      </c>
      <c r="C3141" t="s">
        <v>179</v>
      </c>
      <c r="D3141" s="2">
        <v>45812</v>
      </c>
      <c r="E3141">
        <v>53850</v>
      </c>
      <c r="F3141">
        <v>266</v>
      </c>
      <c r="G3141" t="s">
        <v>1248</v>
      </c>
      <c r="H3141" t="s">
        <v>167</v>
      </c>
      <c r="I3141" t="s">
        <v>45</v>
      </c>
      <c r="K3141">
        <v>202506038033449</v>
      </c>
      <c r="L3141">
        <v>2663300000205</v>
      </c>
      <c r="M3141">
        <v>20250603</v>
      </c>
      <c r="N3141" t="s">
        <v>46</v>
      </c>
      <c r="P3141" t="s">
        <v>51</v>
      </c>
      <c r="Q3141" t="s">
        <v>47</v>
      </c>
      <c r="R3141">
        <v>320642.14</v>
      </c>
      <c r="S3141">
        <v>0</v>
      </c>
      <c r="T3141">
        <v>1627776</v>
      </c>
      <c r="U3141" t="s">
        <v>2973</v>
      </c>
      <c r="V3141" t="s">
        <v>2974</v>
      </c>
      <c r="W3141" t="s">
        <v>187</v>
      </c>
      <c r="Y3141" t="s">
        <v>51</v>
      </c>
      <c r="Z3141">
        <v>1785</v>
      </c>
      <c r="AH3141">
        <v>0</v>
      </c>
      <c r="AI3141">
        <v>202506</v>
      </c>
      <c r="AJ3141" t="s">
        <v>86</v>
      </c>
      <c r="AK3141">
        <v>1</v>
      </c>
      <c r="AL3141">
        <v>1</v>
      </c>
      <c r="AO3141">
        <v>0</v>
      </c>
      <c r="AP3141" t="s">
        <v>3015</v>
      </c>
      <c r="AQ3141" t="s">
        <v>3044</v>
      </c>
      <c r="AR3141" t="s">
        <v>3045</v>
      </c>
      <c r="AS3141" t="s">
        <v>3046</v>
      </c>
      <c r="AU3141" t="s">
        <v>3046</v>
      </c>
    </row>
    <row r="3142" spans="1:47" x14ac:dyDescent="0.35">
      <c r="A3142">
        <v>348593</v>
      </c>
      <c r="B3142" t="s">
        <v>164</v>
      </c>
      <c r="C3142" t="s">
        <v>165</v>
      </c>
      <c r="D3142" s="2">
        <v>45812</v>
      </c>
      <c r="E3142">
        <v>53850</v>
      </c>
      <c r="F3142">
        <v>109</v>
      </c>
      <c r="G3142" t="s">
        <v>89</v>
      </c>
      <c r="H3142" t="s">
        <v>167</v>
      </c>
      <c r="I3142" t="s">
        <v>45</v>
      </c>
      <c r="K3142" t="s">
        <v>2975</v>
      </c>
      <c r="L3142">
        <v>1093306671099</v>
      </c>
      <c r="M3142">
        <v>20250603</v>
      </c>
      <c r="N3142" t="s">
        <v>168</v>
      </c>
      <c r="P3142" t="s">
        <v>169</v>
      </c>
      <c r="Q3142" t="s">
        <v>170</v>
      </c>
      <c r="R3142">
        <v>3000</v>
      </c>
      <c r="S3142">
        <v>0</v>
      </c>
      <c r="T3142">
        <v>627869</v>
      </c>
      <c r="U3142" t="s">
        <v>2976</v>
      </c>
      <c r="V3142" t="s">
        <v>2977</v>
      </c>
      <c r="W3142" t="s">
        <v>187</v>
      </c>
      <c r="Y3142" t="s">
        <v>51</v>
      </c>
      <c r="Z3142">
        <v>743</v>
      </c>
      <c r="AH3142">
        <v>0</v>
      </c>
      <c r="AI3142">
        <v>202506</v>
      </c>
      <c r="AJ3142" t="s">
        <v>86</v>
      </c>
      <c r="AK3142">
        <v>1</v>
      </c>
      <c r="AL3142">
        <v>1</v>
      </c>
      <c r="AO3142">
        <v>0</v>
      </c>
      <c r="AP3142" t="s">
        <v>3015</v>
      </c>
      <c r="AQ3142" t="s">
        <v>3044</v>
      </c>
      <c r="AR3142" t="s">
        <v>3045</v>
      </c>
      <c r="AS3142" t="s">
        <v>3046</v>
      </c>
      <c r="AU3142" t="s">
        <v>3046</v>
      </c>
    </row>
    <row r="3143" spans="1:47" x14ac:dyDescent="0.35">
      <c r="A3143">
        <v>348592</v>
      </c>
      <c r="B3143" t="s">
        <v>178</v>
      </c>
      <c r="C3143" t="s">
        <v>179</v>
      </c>
      <c r="D3143" s="2">
        <v>45812</v>
      </c>
      <c r="E3143">
        <v>53850</v>
      </c>
      <c r="F3143">
        <v>266</v>
      </c>
      <c r="G3143" t="s">
        <v>1248</v>
      </c>
      <c r="H3143" t="s">
        <v>167</v>
      </c>
      <c r="I3143" t="s">
        <v>45</v>
      </c>
      <c r="K3143">
        <v>202506038033452</v>
      </c>
      <c r="L3143">
        <v>2663300001623</v>
      </c>
      <c r="M3143">
        <v>20250603</v>
      </c>
      <c r="N3143" t="s">
        <v>46</v>
      </c>
      <c r="P3143" t="s">
        <v>51</v>
      </c>
      <c r="Q3143" t="s">
        <v>47</v>
      </c>
      <c r="R3143">
        <v>311736.65999999997</v>
      </c>
      <c r="S3143">
        <v>0</v>
      </c>
      <c r="T3143">
        <v>1698772</v>
      </c>
      <c r="U3143" t="s">
        <v>2978</v>
      </c>
      <c r="V3143" t="s">
        <v>2979</v>
      </c>
      <c r="W3143" t="s">
        <v>187</v>
      </c>
      <c r="Y3143" t="s">
        <v>51</v>
      </c>
      <c r="Z3143">
        <v>1785</v>
      </c>
      <c r="AH3143">
        <v>0</v>
      </c>
      <c r="AI3143">
        <v>202506</v>
      </c>
      <c r="AJ3143" t="s">
        <v>86</v>
      </c>
      <c r="AK3143">
        <v>1</v>
      </c>
      <c r="AL3143">
        <v>1</v>
      </c>
      <c r="AO3143">
        <v>0</v>
      </c>
      <c r="AP3143" t="s">
        <v>3015</v>
      </c>
      <c r="AQ3143" t="s">
        <v>3044</v>
      </c>
      <c r="AR3143" t="s">
        <v>3045</v>
      </c>
      <c r="AS3143" t="s">
        <v>3046</v>
      </c>
      <c r="AU3143" t="s">
        <v>3046</v>
      </c>
    </row>
    <row r="3144" spans="1:47" x14ac:dyDescent="0.35">
      <c r="A3144">
        <v>348591</v>
      </c>
      <c r="B3144" t="s">
        <v>193</v>
      </c>
      <c r="C3144" t="s">
        <v>194</v>
      </c>
      <c r="D3144" s="2">
        <v>45812</v>
      </c>
      <c r="E3144">
        <v>53850</v>
      </c>
      <c r="F3144">
        <v>267</v>
      </c>
      <c r="G3144" t="s">
        <v>349</v>
      </c>
      <c r="H3144" t="s">
        <v>167</v>
      </c>
      <c r="I3144" t="s">
        <v>45</v>
      </c>
      <c r="K3144">
        <v>202506038038374</v>
      </c>
      <c r="L3144">
        <v>2673300003600</v>
      </c>
      <c r="M3144">
        <v>20250603</v>
      </c>
      <c r="N3144" t="s">
        <v>266</v>
      </c>
      <c r="Q3144" t="s">
        <v>47</v>
      </c>
      <c r="R3144">
        <v>65000</v>
      </c>
      <c r="S3144">
        <v>65000</v>
      </c>
      <c r="T3144">
        <v>1705101</v>
      </c>
      <c r="U3144">
        <v>2896870793</v>
      </c>
      <c r="V3144" t="s">
        <v>439</v>
      </c>
      <c r="W3144" t="s">
        <v>190</v>
      </c>
      <c r="X3144" t="s">
        <v>200</v>
      </c>
      <c r="Y3144" t="s">
        <v>51</v>
      </c>
      <c r="Z3144">
        <v>1878</v>
      </c>
      <c r="AH3144">
        <v>0</v>
      </c>
      <c r="AI3144">
        <v>202506</v>
      </c>
      <c r="AJ3144" t="s">
        <v>119</v>
      </c>
      <c r="AK3144">
        <v>1</v>
      </c>
      <c r="AL3144">
        <v>1</v>
      </c>
      <c r="AM3144">
        <v>1705101</v>
      </c>
      <c r="AN3144">
        <v>1</v>
      </c>
      <c r="AO3144">
        <v>0</v>
      </c>
      <c r="AP3144" t="s">
        <v>3015</v>
      </c>
      <c r="AQ3144" t="s">
        <v>3047</v>
      </c>
      <c r="AR3144" t="s">
        <v>3056</v>
      </c>
      <c r="AT3144" t="s">
        <v>3017</v>
      </c>
      <c r="AU3144" t="s">
        <v>3057</v>
      </c>
    </row>
    <row r="3145" spans="1:47" x14ac:dyDescent="0.35">
      <c r="A3145">
        <v>348590</v>
      </c>
      <c r="B3145" t="s">
        <v>193</v>
      </c>
      <c r="C3145" t="s">
        <v>194</v>
      </c>
      <c r="D3145" s="2">
        <v>45812</v>
      </c>
      <c r="E3145">
        <v>53850</v>
      </c>
      <c r="F3145">
        <v>126</v>
      </c>
      <c r="G3145" t="s">
        <v>1148</v>
      </c>
      <c r="H3145" t="s">
        <v>167</v>
      </c>
      <c r="I3145" t="s">
        <v>45</v>
      </c>
      <c r="K3145" t="s">
        <v>2945</v>
      </c>
      <c r="L3145">
        <v>1263300003715</v>
      </c>
      <c r="M3145">
        <v>20250603</v>
      </c>
      <c r="N3145" t="s">
        <v>175</v>
      </c>
      <c r="Q3145" t="s">
        <v>47</v>
      </c>
      <c r="R3145">
        <v>26400</v>
      </c>
      <c r="S3145">
        <v>23000</v>
      </c>
      <c r="T3145">
        <v>3711833</v>
      </c>
      <c r="U3145" t="s">
        <v>2980</v>
      </c>
      <c r="V3145" t="s">
        <v>2981</v>
      </c>
      <c r="W3145" t="s">
        <v>187</v>
      </c>
      <c r="Y3145" t="s">
        <v>51</v>
      </c>
      <c r="Z3145">
        <v>1241</v>
      </c>
      <c r="AH3145">
        <v>0</v>
      </c>
      <c r="AI3145">
        <v>202506</v>
      </c>
      <c r="AJ3145" t="s">
        <v>86</v>
      </c>
      <c r="AK3145">
        <v>1</v>
      </c>
      <c r="AL3145">
        <v>1</v>
      </c>
      <c r="AM3145">
        <v>3711833</v>
      </c>
      <c r="AN3145">
        <v>1</v>
      </c>
      <c r="AO3145">
        <v>1</v>
      </c>
      <c r="AP3145" t="s">
        <v>3015</v>
      </c>
      <c r="AQ3145" t="s">
        <v>3044</v>
      </c>
      <c r="AR3145" t="s">
        <v>3045</v>
      </c>
      <c r="AS3145" t="s">
        <v>3046</v>
      </c>
      <c r="AU3145" t="s">
        <v>3046</v>
      </c>
    </row>
    <row r="3146" spans="1:47" x14ac:dyDescent="0.35">
      <c r="A3146">
        <v>348589</v>
      </c>
      <c r="B3146" t="s">
        <v>193</v>
      </c>
      <c r="C3146" t="s">
        <v>194</v>
      </c>
      <c r="D3146" s="2">
        <v>45812</v>
      </c>
      <c r="E3146">
        <v>53850</v>
      </c>
      <c r="F3146">
        <v>102</v>
      </c>
      <c r="G3146" t="s">
        <v>151</v>
      </c>
      <c r="H3146" t="s">
        <v>167</v>
      </c>
      <c r="I3146" t="s">
        <v>45</v>
      </c>
      <c r="K3146">
        <v>202506038035018</v>
      </c>
      <c r="L3146">
        <v>1023308722503</v>
      </c>
      <c r="M3146">
        <v>20250603</v>
      </c>
      <c r="N3146" t="s">
        <v>195</v>
      </c>
      <c r="Q3146" t="s">
        <v>47</v>
      </c>
      <c r="R3146">
        <v>28900</v>
      </c>
      <c r="S3146">
        <v>28900</v>
      </c>
      <c r="T3146">
        <v>413650</v>
      </c>
      <c r="U3146">
        <v>3657230722</v>
      </c>
      <c r="V3146" t="s">
        <v>196</v>
      </c>
      <c r="W3146" t="s">
        <v>190</v>
      </c>
      <c r="X3146" t="s">
        <v>197</v>
      </c>
      <c r="Y3146" t="s">
        <v>51</v>
      </c>
      <c r="Z3146">
        <v>1306</v>
      </c>
      <c r="AH3146">
        <v>0</v>
      </c>
      <c r="AI3146">
        <v>202506</v>
      </c>
      <c r="AJ3146" t="s">
        <v>119</v>
      </c>
      <c r="AK3146">
        <v>1</v>
      </c>
      <c r="AL3146">
        <v>1</v>
      </c>
      <c r="AM3146">
        <v>413650</v>
      </c>
      <c r="AN3146">
        <v>1</v>
      </c>
      <c r="AO3146">
        <v>0</v>
      </c>
      <c r="AP3146" t="s">
        <v>3050</v>
      </c>
      <c r="AQ3146" t="s">
        <v>3047</v>
      </c>
      <c r="AR3146" t="s">
        <v>3051</v>
      </c>
      <c r="AS3146" t="s">
        <v>3049</v>
      </c>
      <c r="AU3146" t="s">
        <v>3049</v>
      </c>
    </row>
    <row r="3147" spans="1:47" x14ac:dyDescent="0.35">
      <c r="A3147">
        <v>348588</v>
      </c>
      <c r="B3147" t="s">
        <v>193</v>
      </c>
      <c r="C3147" t="s">
        <v>194</v>
      </c>
      <c r="D3147" s="2">
        <v>45812</v>
      </c>
      <c r="E3147">
        <v>53850</v>
      </c>
      <c r="F3147">
        <v>161</v>
      </c>
      <c r="G3147" t="s">
        <v>111</v>
      </c>
      <c r="H3147" t="s">
        <v>167</v>
      </c>
      <c r="I3147" t="s">
        <v>45</v>
      </c>
      <c r="K3147" t="s">
        <v>2945</v>
      </c>
      <c r="L3147">
        <v>1613300031333</v>
      </c>
      <c r="M3147">
        <v>20250603</v>
      </c>
      <c r="N3147" t="s">
        <v>195</v>
      </c>
      <c r="Q3147" t="s">
        <v>47</v>
      </c>
      <c r="R3147">
        <v>37940</v>
      </c>
      <c r="S3147">
        <v>37940</v>
      </c>
      <c r="T3147">
        <v>511904</v>
      </c>
      <c r="U3147" t="s">
        <v>388</v>
      </c>
      <c r="V3147" t="s">
        <v>389</v>
      </c>
      <c r="W3147" t="s">
        <v>69</v>
      </c>
      <c r="X3147" t="s">
        <v>55</v>
      </c>
      <c r="Y3147" t="s">
        <v>51</v>
      </c>
      <c r="Z3147">
        <v>857</v>
      </c>
      <c r="AH3147">
        <v>0</v>
      </c>
      <c r="AI3147">
        <v>202506</v>
      </c>
      <c r="AJ3147" t="s">
        <v>119</v>
      </c>
      <c r="AK3147">
        <v>1</v>
      </c>
      <c r="AL3147">
        <v>1</v>
      </c>
      <c r="AM3147">
        <v>511904</v>
      </c>
      <c r="AN3147">
        <v>1</v>
      </c>
      <c r="AO3147">
        <v>0</v>
      </c>
      <c r="AP3147" t="s">
        <v>3015</v>
      </c>
      <c r="AQ3147" t="s">
        <v>3021</v>
      </c>
      <c r="AR3147" t="s">
        <v>3022</v>
      </c>
      <c r="AT3147" t="s">
        <v>3017</v>
      </c>
      <c r="AU3147" t="s">
        <v>3014</v>
      </c>
    </row>
    <row r="3148" spans="1:47" x14ac:dyDescent="0.35">
      <c r="A3148">
        <v>348587</v>
      </c>
      <c r="B3148" t="s">
        <v>178</v>
      </c>
      <c r="C3148" t="s">
        <v>179</v>
      </c>
      <c r="D3148" s="2">
        <v>45812</v>
      </c>
      <c r="E3148">
        <v>53850</v>
      </c>
      <c r="F3148">
        <v>102</v>
      </c>
      <c r="G3148" t="s">
        <v>151</v>
      </c>
      <c r="H3148" t="s">
        <v>167</v>
      </c>
      <c r="I3148" t="s">
        <v>45</v>
      </c>
      <c r="K3148">
        <v>202506038034129</v>
      </c>
      <c r="L3148">
        <v>1023308719030</v>
      </c>
      <c r="M3148">
        <v>20250603</v>
      </c>
      <c r="N3148" t="s">
        <v>46</v>
      </c>
      <c r="P3148" t="s">
        <v>51</v>
      </c>
      <c r="Q3148" t="s">
        <v>47</v>
      </c>
      <c r="R3148">
        <v>4000000</v>
      </c>
      <c r="S3148">
        <v>0</v>
      </c>
      <c r="T3148">
        <v>4414552</v>
      </c>
      <c r="U3148">
        <v>6605700720</v>
      </c>
      <c r="V3148" t="s">
        <v>2454</v>
      </c>
      <c r="W3148" t="s">
        <v>49</v>
      </c>
      <c r="X3148" t="s">
        <v>364</v>
      </c>
      <c r="Y3148" t="s">
        <v>51</v>
      </c>
      <c r="Z3148">
        <v>739</v>
      </c>
      <c r="AH3148">
        <v>0</v>
      </c>
      <c r="AI3148">
        <v>202506</v>
      </c>
      <c r="AJ3148" t="s">
        <v>56</v>
      </c>
      <c r="AK3148">
        <v>0</v>
      </c>
      <c r="AL3148">
        <v>1</v>
      </c>
      <c r="AO3148">
        <v>0</v>
      </c>
      <c r="AP3148" t="s">
        <v>3062</v>
      </c>
      <c r="AQ3148" t="s">
        <v>3012</v>
      </c>
      <c r="AR3148" t="s">
        <v>3063</v>
      </c>
      <c r="AS3148" t="s">
        <v>3014</v>
      </c>
      <c r="AU3148" t="s">
        <v>3014</v>
      </c>
    </row>
    <row r="3149" spans="1:47" x14ac:dyDescent="0.35">
      <c r="A3149">
        <v>348586</v>
      </c>
      <c r="B3149" t="s">
        <v>193</v>
      </c>
      <c r="C3149" t="s">
        <v>194</v>
      </c>
      <c r="D3149" s="2">
        <v>45812</v>
      </c>
      <c r="E3149">
        <v>53850</v>
      </c>
      <c r="F3149">
        <v>176</v>
      </c>
      <c r="G3149" t="s">
        <v>390</v>
      </c>
      <c r="H3149" t="s">
        <v>167</v>
      </c>
      <c r="I3149" t="s">
        <v>45</v>
      </c>
      <c r="K3149" t="s">
        <v>2945</v>
      </c>
      <c r="L3149">
        <v>1763300019976</v>
      </c>
      <c r="M3149">
        <v>20250603</v>
      </c>
      <c r="N3149" t="s">
        <v>266</v>
      </c>
      <c r="Q3149" t="s">
        <v>47</v>
      </c>
      <c r="R3149">
        <v>29100</v>
      </c>
      <c r="S3149">
        <v>29100</v>
      </c>
      <c r="T3149">
        <v>4859706</v>
      </c>
      <c r="U3149" t="s">
        <v>2982</v>
      </c>
      <c r="V3149" t="s">
        <v>2983</v>
      </c>
      <c r="W3149" t="s">
        <v>187</v>
      </c>
      <c r="Y3149" t="s">
        <v>51</v>
      </c>
      <c r="Z3149">
        <v>440</v>
      </c>
      <c r="AH3149">
        <v>0</v>
      </c>
      <c r="AI3149">
        <v>202506</v>
      </c>
      <c r="AJ3149" t="s">
        <v>86</v>
      </c>
      <c r="AK3149">
        <v>1</v>
      </c>
      <c r="AL3149">
        <v>1</v>
      </c>
      <c r="AM3149">
        <v>4859706</v>
      </c>
      <c r="AN3149">
        <v>1</v>
      </c>
      <c r="AO3149">
        <v>0</v>
      </c>
      <c r="AP3149" t="s">
        <v>3015</v>
      </c>
      <c r="AQ3149" t="s">
        <v>3044</v>
      </c>
      <c r="AR3149" t="s">
        <v>3045</v>
      </c>
      <c r="AS3149" t="s">
        <v>3046</v>
      </c>
      <c r="AU3149" t="s">
        <v>3046</v>
      </c>
    </row>
    <row r="3150" spans="1:47" x14ac:dyDescent="0.35">
      <c r="A3150">
        <v>348585</v>
      </c>
      <c r="B3150" t="s">
        <v>172</v>
      </c>
      <c r="C3150" t="s">
        <v>173</v>
      </c>
      <c r="D3150" s="2">
        <v>45812</v>
      </c>
      <c r="E3150">
        <v>53850</v>
      </c>
      <c r="F3150">
        <v>104</v>
      </c>
      <c r="G3150" t="s">
        <v>108</v>
      </c>
      <c r="H3150" t="s">
        <v>167</v>
      </c>
      <c r="I3150" t="s">
        <v>45</v>
      </c>
      <c r="K3150">
        <v>202506038037778</v>
      </c>
      <c r="L3150">
        <v>1043301449156</v>
      </c>
      <c r="M3150">
        <v>20250603</v>
      </c>
      <c r="N3150" t="s">
        <v>81</v>
      </c>
      <c r="Q3150" t="s">
        <v>47</v>
      </c>
      <c r="R3150">
        <v>125646.6</v>
      </c>
      <c r="S3150">
        <v>0</v>
      </c>
      <c r="T3150">
        <v>15014</v>
      </c>
      <c r="U3150">
        <v>252860721</v>
      </c>
      <c r="V3150" t="s">
        <v>269</v>
      </c>
      <c r="W3150" t="s">
        <v>49</v>
      </c>
      <c r="X3150" t="s">
        <v>177</v>
      </c>
      <c r="Y3150" t="s">
        <v>51</v>
      </c>
      <c r="Z3150">
        <v>1696</v>
      </c>
      <c r="AH3150">
        <v>0</v>
      </c>
      <c r="AI3150">
        <v>202506</v>
      </c>
      <c r="AJ3150" t="s">
        <v>114</v>
      </c>
      <c r="AK3150">
        <v>1</v>
      </c>
      <c r="AL3150">
        <v>1</v>
      </c>
      <c r="AO3150">
        <v>0</v>
      </c>
      <c r="AP3150" t="s">
        <v>3015</v>
      </c>
      <c r="AQ3150" t="s">
        <v>3012</v>
      </c>
      <c r="AR3150" t="s">
        <v>3016</v>
      </c>
      <c r="AT3150" t="s">
        <v>3017</v>
      </c>
      <c r="AU3150" t="s">
        <v>3018</v>
      </c>
    </row>
    <row r="3151" spans="1:47" x14ac:dyDescent="0.35">
      <c r="A3151">
        <v>348584</v>
      </c>
      <c r="B3151" t="s">
        <v>172</v>
      </c>
      <c r="C3151" t="s">
        <v>173</v>
      </c>
      <c r="D3151" s="2">
        <v>45812</v>
      </c>
      <c r="E3151">
        <v>53850</v>
      </c>
      <c r="F3151">
        <v>192</v>
      </c>
      <c r="G3151" t="s">
        <v>66</v>
      </c>
      <c r="H3151" t="s">
        <v>167</v>
      </c>
      <c r="I3151" t="s">
        <v>45</v>
      </c>
      <c r="K3151" t="s">
        <v>2945</v>
      </c>
      <c r="L3151">
        <v>1923300180351</v>
      </c>
      <c r="M3151">
        <v>20250603</v>
      </c>
      <c r="N3151" t="s">
        <v>81</v>
      </c>
      <c r="Q3151" t="s">
        <v>47</v>
      </c>
      <c r="R3151">
        <v>171008.36</v>
      </c>
      <c r="S3151">
        <v>0</v>
      </c>
      <c r="T3151">
        <v>4365602</v>
      </c>
      <c r="U3151">
        <v>2514190731</v>
      </c>
      <c r="V3151" t="s">
        <v>240</v>
      </c>
      <c r="W3151" t="s">
        <v>49</v>
      </c>
      <c r="X3151" t="s">
        <v>241</v>
      </c>
      <c r="Y3151" t="s">
        <v>51</v>
      </c>
      <c r="Z3151">
        <v>1066</v>
      </c>
      <c r="AH3151">
        <v>0</v>
      </c>
      <c r="AI3151">
        <v>202506</v>
      </c>
      <c r="AJ3151" t="s">
        <v>86</v>
      </c>
      <c r="AK3151">
        <v>1</v>
      </c>
      <c r="AL3151">
        <v>1</v>
      </c>
      <c r="AO3151">
        <v>0</v>
      </c>
      <c r="AP3151" t="s">
        <v>3015</v>
      </c>
      <c r="AQ3151" t="s">
        <v>3012</v>
      </c>
      <c r="AR3151" t="s">
        <v>3016</v>
      </c>
      <c r="AT3151" t="s">
        <v>3017</v>
      </c>
      <c r="AU3151" t="s">
        <v>3018</v>
      </c>
    </row>
    <row r="3152" spans="1:47" x14ac:dyDescent="0.35">
      <c r="A3152">
        <v>348583</v>
      </c>
      <c r="B3152" t="s">
        <v>756</v>
      </c>
      <c r="C3152" t="s">
        <v>757</v>
      </c>
      <c r="D3152" s="2">
        <v>45812</v>
      </c>
      <c r="E3152">
        <v>53850</v>
      </c>
      <c r="F3152">
        <v>182</v>
      </c>
      <c r="G3152" t="s">
        <v>318</v>
      </c>
      <c r="H3152" t="s">
        <v>167</v>
      </c>
      <c r="I3152" t="s">
        <v>45</v>
      </c>
      <c r="K3152">
        <v>202506038038202</v>
      </c>
      <c r="L3152">
        <v>1823300038953</v>
      </c>
      <c r="M3152">
        <v>20250603</v>
      </c>
      <c r="N3152" t="s">
        <v>759</v>
      </c>
      <c r="Q3152" t="s">
        <v>170</v>
      </c>
      <c r="R3152">
        <v>33245</v>
      </c>
      <c r="S3152">
        <v>33245</v>
      </c>
      <c r="T3152">
        <v>4898608</v>
      </c>
      <c r="U3152">
        <v>3093910739</v>
      </c>
      <c r="V3152" t="s">
        <v>1101</v>
      </c>
      <c r="W3152" t="s">
        <v>49</v>
      </c>
      <c r="X3152" t="s">
        <v>1102</v>
      </c>
      <c r="Y3152" t="s">
        <v>51</v>
      </c>
      <c r="Z3152">
        <v>676</v>
      </c>
      <c r="AH3152">
        <v>0</v>
      </c>
      <c r="AI3152">
        <v>202506</v>
      </c>
      <c r="AJ3152" t="s">
        <v>86</v>
      </c>
      <c r="AK3152">
        <v>1</v>
      </c>
      <c r="AL3152">
        <v>0</v>
      </c>
      <c r="AM3152">
        <v>4898608</v>
      </c>
      <c r="AN3152">
        <v>1</v>
      </c>
      <c r="AO3152">
        <v>0</v>
      </c>
      <c r="AP3152" t="s">
        <v>3015</v>
      </c>
      <c r="AQ3152" t="s">
        <v>3012</v>
      </c>
      <c r="AR3152" t="s">
        <v>3016</v>
      </c>
      <c r="AT3152" t="s">
        <v>3017</v>
      </c>
      <c r="AU3152" t="s">
        <v>3018</v>
      </c>
    </row>
    <row r="3153" spans="1:47" x14ac:dyDescent="0.35">
      <c r="A3153">
        <v>348582</v>
      </c>
      <c r="B3153" t="s">
        <v>172</v>
      </c>
      <c r="C3153" t="s">
        <v>173</v>
      </c>
      <c r="D3153" s="2">
        <v>45812</v>
      </c>
      <c r="E3153">
        <v>53850</v>
      </c>
      <c r="F3153">
        <v>268</v>
      </c>
      <c r="G3153" t="s">
        <v>83</v>
      </c>
      <c r="H3153" t="s">
        <v>167</v>
      </c>
      <c r="I3153" t="s">
        <v>45</v>
      </c>
      <c r="K3153">
        <v>202506038038380</v>
      </c>
      <c r="L3153">
        <v>2683300006704</v>
      </c>
      <c r="M3153">
        <v>20250603</v>
      </c>
      <c r="N3153" t="s">
        <v>81</v>
      </c>
      <c r="Q3153" t="s">
        <v>47</v>
      </c>
      <c r="R3153">
        <v>87295.47</v>
      </c>
      <c r="S3153">
        <v>0</v>
      </c>
      <c r="T3153">
        <v>1705138</v>
      </c>
      <c r="U3153">
        <v>3015600798</v>
      </c>
      <c r="V3153" t="s">
        <v>2276</v>
      </c>
      <c r="W3153" t="s">
        <v>49</v>
      </c>
      <c r="X3153" t="s">
        <v>2277</v>
      </c>
      <c r="Y3153" t="s">
        <v>51</v>
      </c>
      <c r="Z3153">
        <v>1891</v>
      </c>
      <c r="AH3153">
        <v>0</v>
      </c>
      <c r="AI3153">
        <v>202506</v>
      </c>
      <c r="AJ3153" t="s">
        <v>86</v>
      </c>
      <c r="AK3153">
        <v>1</v>
      </c>
      <c r="AL3153">
        <v>1</v>
      </c>
      <c r="AO3153">
        <v>0</v>
      </c>
      <c r="AP3153" t="s">
        <v>3123</v>
      </c>
      <c r="AQ3153" t="s">
        <v>3012</v>
      </c>
      <c r="AR3153" t="s">
        <v>3124</v>
      </c>
      <c r="AS3153" t="s">
        <v>3014</v>
      </c>
      <c r="AU3153" t="s">
        <v>3014</v>
      </c>
    </row>
    <row r="3154" spans="1:47" x14ac:dyDescent="0.35">
      <c r="A3154">
        <v>348581</v>
      </c>
      <c r="B3154" t="s">
        <v>164</v>
      </c>
      <c r="C3154" t="s">
        <v>165</v>
      </c>
      <c r="D3154" s="2">
        <v>45812</v>
      </c>
      <c r="E3154">
        <v>53850</v>
      </c>
      <c r="F3154">
        <v>111</v>
      </c>
      <c r="G3154" t="s">
        <v>458</v>
      </c>
      <c r="H3154" t="s">
        <v>167</v>
      </c>
      <c r="I3154" t="s">
        <v>45</v>
      </c>
      <c r="K3154">
        <v>202506038032551</v>
      </c>
      <c r="L3154">
        <v>1113305626850</v>
      </c>
      <c r="M3154">
        <v>20250603</v>
      </c>
      <c r="N3154" t="s">
        <v>168</v>
      </c>
      <c r="P3154" t="s">
        <v>169</v>
      </c>
      <c r="Q3154" t="s">
        <v>170</v>
      </c>
      <c r="R3154">
        <v>5000</v>
      </c>
      <c r="S3154">
        <v>0</v>
      </c>
      <c r="T3154">
        <v>562685</v>
      </c>
      <c r="U3154" t="s">
        <v>459</v>
      </c>
      <c r="V3154" t="s">
        <v>460</v>
      </c>
      <c r="W3154" t="s">
        <v>187</v>
      </c>
      <c r="Y3154" t="s">
        <v>51</v>
      </c>
      <c r="Z3154">
        <v>593</v>
      </c>
      <c r="AH3154">
        <v>0</v>
      </c>
      <c r="AI3154">
        <v>202506</v>
      </c>
      <c r="AJ3154" t="s">
        <v>86</v>
      </c>
      <c r="AK3154">
        <v>1</v>
      </c>
      <c r="AL3154">
        <v>1</v>
      </c>
      <c r="AO3154">
        <v>0</v>
      </c>
      <c r="AP3154" t="s">
        <v>3015</v>
      </c>
      <c r="AQ3154" t="s">
        <v>3044</v>
      </c>
      <c r="AR3154" t="s">
        <v>3045</v>
      </c>
      <c r="AS3154" t="s">
        <v>3046</v>
      </c>
      <c r="AU3154" t="s">
        <v>3046</v>
      </c>
    </row>
    <row r="3155" spans="1:47" x14ac:dyDescent="0.35">
      <c r="A3155">
        <v>348580</v>
      </c>
      <c r="B3155" t="s">
        <v>178</v>
      </c>
      <c r="C3155" t="s">
        <v>179</v>
      </c>
      <c r="D3155" s="2">
        <v>45812</v>
      </c>
      <c r="E3155">
        <v>53850</v>
      </c>
      <c r="F3155">
        <v>102</v>
      </c>
      <c r="G3155" t="s">
        <v>151</v>
      </c>
      <c r="H3155" t="s">
        <v>167</v>
      </c>
      <c r="I3155" t="s">
        <v>45</v>
      </c>
      <c r="K3155">
        <v>202506038036202</v>
      </c>
      <c r="L3155">
        <v>1503300003188</v>
      </c>
      <c r="M3155">
        <v>20250603</v>
      </c>
      <c r="N3155" t="s">
        <v>223</v>
      </c>
      <c r="Q3155" t="s">
        <v>170</v>
      </c>
      <c r="R3155">
        <v>15000000</v>
      </c>
      <c r="S3155">
        <v>0</v>
      </c>
      <c r="T3155">
        <v>4269640</v>
      </c>
      <c r="U3155">
        <v>4797080969</v>
      </c>
      <c r="V3155" t="s">
        <v>152</v>
      </c>
      <c r="W3155" t="s">
        <v>153</v>
      </c>
      <c r="X3155" t="s">
        <v>210</v>
      </c>
      <c r="Y3155" t="s">
        <v>51</v>
      </c>
      <c r="Z3155">
        <v>1926</v>
      </c>
      <c r="AH3155">
        <v>0</v>
      </c>
      <c r="AI3155">
        <v>202506</v>
      </c>
      <c r="AJ3155" t="s">
        <v>86</v>
      </c>
      <c r="AK3155">
        <v>1</v>
      </c>
      <c r="AL3155">
        <v>1</v>
      </c>
      <c r="AO3155">
        <v>0</v>
      </c>
      <c r="AP3155" t="s">
        <v>3015</v>
      </c>
      <c r="AQ3155" t="s">
        <v>3035</v>
      </c>
      <c r="AR3155" t="s">
        <v>3036</v>
      </c>
      <c r="AT3155" t="s">
        <v>3017</v>
      </c>
      <c r="AU3155" t="s">
        <v>3037</v>
      </c>
    </row>
    <row r="3156" spans="1:47" x14ac:dyDescent="0.35">
      <c r="A3156">
        <v>348579</v>
      </c>
      <c r="B3156" t="s">
        <v>214</v>
      </c>
      <c r="C3156" t="s">
        <v>215</v>
      </c>
      <c r="D3156" s="2">
        <v>45812</v>
      </c>
      <c r="E3156">
        <v>53850</v>
      </c>
      <c r="F3156">
        <v>261</v>
      </c>
      <c r="G3156" t="s">
        <v>136</v>
      </c>
      <c r="H3156" t="s">
        <v>167</v>
      </c>
      <c r="I3156" t="s">
        <v>45</v>
      </c>
      <c r="K3156">
        <v>202506038033618</v>
      </c>
      <c r="L3156">
        <v>2613300000162</v>
      </c>
      <c r="M3156">
        <v>20250603</v>
      </c>
      <c r="N3156" t="s">
        <v>168</v>
      </c>
      <c r="P3156" t="s">
        <v>217</v>
      </c>
      <c r="Q3156" t="s">
        <v>47</v>
      </c>
      <c r="R3156">
        <v>15510</v>
      </c>
      <c r="S3156">
        <v>0</v>
      </c>
      <c r="T3156">
        <v>1602765</v>
      </c>
      <c r="U3156">
        <v>705090702</v>
      </c>
      <c r="V3156" t="s">
        <v>2984</v>
      </c>
      <c r="W3156" t="s">
        <v>49</v>
      </c>
      <c r="X3156" t="s">
        <v>686</v>
      </c>
      <c r="Y3156" t="s">
        <v>51</v>
      </c>
      <c r="Z3156">
        <v>1856</v>
      </c>
      <c r="AH3156">
        <v>0</v>
      </c>
      <c r="AI3156">
        <v>202506</v>
      </c>
      <c r="AJ3156" t="s">
        <v>52</v>
      </c>
      <c r="AK3156">
        <v>0</v>
      </c>
      <c r="AL3156">
        <v>1</v>
      </c>
      <c r="AO3156">
        <v>0</v>
      </c>
      <c r="AP3156" t="s">
        <v>3015</v>
      </c>
      <c r="AQ3156" t="s">
        <v>3012</v>
      </c>
      <c r="AR3156" t="s">
        <v>3016</v>
      </c>
      <c r="AT3156" t="s">
        <v>3017</v>
      </c>
      <c r="AU3156" t="s">
        <v>3018</v>
      </c>
    </row>
    <row r="3157" spans="1:47" x14ac:dyDescent="0.35">
      <c r="A3157">
        <v>348578</v>
      </c>
      <c r="B3157" t="s">
        <v>172</v>
      </c>
      <c r="C3157" t="s">
        <v>173</v>
      </c>
      <c r="D3157" s="2">
        <v>45812</v>
      </c>
      <c r="E3157">
        <v>53850</v>
      </c>
      <c r="F3157">
        <v>161</v>
      </c>
      <c r="G3157" t="s">
        <v>111</v>
      </c>
      <c r="H3157" t="s">
        <v>167</v>
      </c>
      <c r="I3157" t="s">
        <v>45</v>
      </c>
      <c r="K3157">
        <v>202506038038064</v>
      </c>
      <c r="L3157">
        <v>1613300032598</v>
      </c>
      <c r="M3157">
        <v>20250603</v>
      </c>
      <c r="N3157" t="s">
        <v>81</v>
      </c>
      <c r="Q3157" t="s">
        <v>47</v>
      </c>
      <c r="R3157">
        <v>209289.79</v>
      </c>
      <c r="S3157">
        <v>0</v>
      </c>
      <c r="T3157">
        <v>4103078</v>
      </c>
      <c r="U3157">
        <v>272810722</v>
      </c>
      <c r="V3157" t="s">
        <v>1767</v>
      </c>
      <c r="W3157" t="s">
        <v>49</v>
      </c>
      <c r="X3157" t="s">
        <v>299</v>
      </c>
      <c r="Y3157" t="s">
        <v>51</v>
      </c>
      <c r="Z3157">
        <v>1903</v>
      </c>
      <c r="AH3157">
        <v>0</v>
      </c>
      <c r="AI3157">
        <v>202506</v>
      </c>
      <c r="AJ3157" t="s">
        <v>119</v>
      </c>
      <c r="AK3157">
        <v>1</v>
      </c>
      <c r="AL3157">
        <v>1</v>
      </c>
      <c r="AO3157">
        <v>0</v>
      </c>
      <c r="AP3157" t="s">
        <v>3015</v>
      </c>
      <c r="AQ3157" t="s">
        <v>3012</v>
      </c>
      <c r="AR3157" t="s">
        <v>3016</v>
      </c>
      <c r="AT3157" t="s">
        <v>3017</v>
      </c>
      <c r="AU3157" t="s">
        <v>3018</v>
      </c>
    </row>
    <row r="3158" spans="1:47" x14ac:dyDescent="0.35">
      <c r="A3158">
        <v>348577</v>
      </c>
      <c r="B3158" t="s">
        <v>193</v>
      </c>
      <c r="C3158" t="s">
        <v>194</v>
      </c>
      <c r="D3158" s="2">
        <v>45812</v>
      </c>
      <c r="E3158">
        <v>53850</v>
      </c>
      <c r="F3158">
        <v>116</v>
      </c>
      <c r="G3158" t="s">
        <v>126</v>
      </c>
      <c r="H3158" t="s">
        <v>167</v>
      </c>
      <c r="I3158" t="s">
        <v>45</v>
      </c>
      <c r="K3158">
        <v>202506038037062</v>
      </c>
      <c r="L3158">
        <v>2343300010453</v>
      </c>
      <c r="M3158">
        <v>20250603</v>
      </c>
      <c r="N3158" t="s">
        <v>195</v>
      </c>
      <c r="Q3158" t="s">
        <v>47</v>
      </c>
      <c r="R3158">
        <v>159640.85</v>
      </c>
      <c r="S3158">
        <v>159640.85</v>
      </c>
      <c r="T3158">
        <v>4247777</v>
      </c>
      <c r="U3158">
        <v>233470236</v>
      </c>
      <c r="V3158" t="s">
        <v>206</v>
      </c>
      <c r="W3158" t="s">
        <v>49</v>
      </c>
      <c r="X3158" t="s">
        <v>117</v>
      </c>
      <c r="Y3158" t="s">
        <v>51</v>
      </c>
      <c r="Z3158">
        <v>1696</v>
      </c>
      <c r="AH3158">
        <v>0</v>
      </c>
      <c r="AI3158">
        <v>202506</v>
      </c>
      <c r="AJ3158" t="s">
        <v>86</v>
      </c>
      <c r="AK3158">
        <v>1</v>
      </c>
      <c r="AL3158">
        <v>1</v>
      </c>
      <c r="AM3158">
        <v>4247777</v>
      </c>
      <c r="AN3158">
        <v>1</v>
      </c>
      <c r="AO3158">
        <v>0</v>
      </c>
      <c r="AP3158" t="s">
        <v>3029</v>
      </c>
      <c r="AQ3158" t="s">
        <v>3012</v>
      </c>
      <c r="AR3158" t="s">
        <v>3030</v>
      </c>
      <c r="AS3158" t="s">
        <v>3014</v>
      </c>
      <c r="AU3158" t="s">
        <v>3014</v>
      </c>
    </row>
    <row r="3159" spans="1:47" x14ac:dyDescent="0.35">
      <c r="A3159">
        <v>348576</v>
      </c>
      <c r="B3159" t="s">
        <v>172</v>
      </c>
      <c r="C3159" t="s">
        <v>173</v>
      </c>
      <c r="D3159" s="2">
        <v>45812</v>
      </c>
      <c r="E3159">
        <v>53850</v>
      </c>
      <c r="F3159">
        <v>102</v>
      </c>
      <c r="G3159" t="s">
        <v>151</v>
      </c>
      <c r="H3159" t="s">
        <v>167</v>
      </c>
      <c r="I3159" t="s">
        <v>45</v>
      </c>
      <c r="K3159">
        <v>202506038037699</v>
      </c>
      <c r="L3159">
        <v>1023308722151</v>
      </c>
      <c r="M3159">
        <v>20250603</v>
      </c>
      <c r="N3159" t="s">
        <v>231</v>
      </c>
      <c r="Q3159" t="s">
        <v>47</v>
      </c>
      <c r="R3159">
        <v>200000</v>
      </c>
      <c r="S3159">
        <v>0</v>
      </c>
      <c r="T3159">
        <v>545860</v>
      </c>
      <c r="U3159" t="s">
        <v>2985</v>
      </c>
      <c r="V3159" t="s">
        <v>2986</v>
      </c>
      <c r="W3159" t="s">
        <v>187</v>
      </c>
      <c r="Y3159" t="s">
        <v>51</v>
      </c>
      <c r="Z3159">
        <v>1648</v>
      </c>
      <c r="AH3159">
        <v>0</v>
      </c>
      <c r="AI3159">
        <v>202506</v>
      </c>
      <c r="AJ3159" t="s">
        <v>86</v>
      </c>
      <c r="AK3159">
        <v>1</v>
      </c>
      <c r="AL3159">
        <v>1</v>
      </c>
      <c r="AO3159">
        <v>0</v>
      </c>
      <c r="AP3159" t="s">
        <v>3015</v>
      </c>
      <c r="AQ3159" t="s">
        <v>3044</v>
      </c>
      <c r="AR3159" t="s">
        <v>3045</v>
      </c>
      <c r="AS3159" t="s">
        <v>3046</v>
      </c>
      <c r="AU3159" t="s">
        <v>3046</v>
      </c>
    </row>
    <row r="3160" spans="1:47" x14ac:dyDescent="0.35">
      <c r="A3160">
        <v>348575</v>
      </c>
      <c r="B3160" t="s">
        <v>193</v>
      </c>
      <c r="C3160" t="s">
        <v>194</v>
      </c>
      <c r="D3160" s="2">
        <v>45812</v>
      </c>
      <c r="E3160">
        <v>53850</v>
      </c>
      <c r="F3160">
        <v>102</v>
      </c>
      <c r="G3160" t="s">
        <v>151</v>
      </c>
      <c r="H3160" t="s">
        <v>167</v>
      </c>
      <c r="I3160" t="s">
        <v>45</v>
      </c>
      <c r="K3160" t="s">
        <v>2945</v>
      </c>
      <c r="L3160">
        <v>1023308720537</v>
      </c>
      <c r="M3160">
        <v>20250603</v>
      </c>
      <c r="N3160" t="s">
        <v>195</v>
      </c>
      <c r="Q3160" t="s">
        <v>47</v>
      </c>
      <c r="R3160">
        <v>49330</v>
      </c>
      <c r="S3160">
        <v>49330</v>
      </c>
      <c r="T3160">
        <v>4653840</v>
      </c>
      <c r="U3160">
        <v>7052850729</v>
      </c>
      <c r="V3160" t="s">
        <v>1672</v>
      </c>
      <c r="W3160" t="s">
        <v>49</v>
      </c>
      <c r="X3160" t="s">
        <v>200</v>
      </c>
      <c r="Y3160" t="s">
        <v>51</v>
      </c>
      <c r="Z3160">
        <v>979</v>
      </c>
      <c r="AH3160">
        <v>0</v>
      </c>
      <c r="AI3160">
        <v>202506</v>
      </c>
      <c r="AJ3160" t="s">
        <v>86</v>
      </c>
      <c r="AK3160">
        <v>1</v>
      </c>
      <c r="AL3160">
        <v>1</v>
      </c>
      <c r="AM3160">
        <v>4653840</v>
      </c>
      <c r="AN3160">
        <v>1</v>
      </c>
      <c r="AO3160">
        <v>0</v>
      </c>
      <c r="AP3160" t="s">
        <v>3015</v>
      </c>
      <c r="AQ3160" t="s">
        <v>3012</v>
      </c>
      <c r="AR3160" t="s">
        <v>3016</v>
      </c>
      <c r="AT3160" t="s">
        <v>3017</v>
      </c>
      <c r="AU3160" t="s">
        <v>3018</v>
      </c>
    </row>
    <row r="3161" spans="1:47" x14ac:dyDescent="0.35">
      <c r="A3161">
        <v>348574</v>
      </c>
      <c r="B3161" t="s">
        <v>172</v>
      </c>
      <c r="C3161" t="s">
        <v>173</v>
      </c>
      <c r="D3161" s="2">
        <v>45812</v>
      </c>
      <c r="E3161">
        <v>53850</v>
      </c>
      <c r="F3161">
        <v>188</v>
      </c>
      <c r="G3161" t="s">
        <v>419</v>
      </c>
      <c r="H3161" t="s">
        <v>167</v>
      </c>
      <c r="I3161" t="s">
        <v>45</v>
      </c>
      <c r="K3161">
        <v>202506038038229</v>
      </c>
      <c r="L3161">
        <v>1883300051430</v>
      </c>
      <c r="M3161">
        <v>20250603</v>
      </c>
      <c r="N3161" t="s">
        <v>231</v>
      </c>
      <c r="Q3161" t="s">
        <v>47</v>
      </c>
      <c r="R3161">
        <v>120000</v>
      </c>
      <c r="S3161">
        <v>0</v>
      </c>
      <c r="T3161">
        <v>3002696</v>
      </c>
      <c r="U3161" t="s">
        <v>2987</v>
      </c>
      <c r="V3161" t="s">
        <v>2988</v>
      </c>
      <c r="W3161" t="s">
        <v>187</v>
      </c>
      <c r="Y3161" t="s">
        <v>51</v>
      </c>
      <c r="Z3161">
        <v>1112</v>
      </c>
      <c r="AH3161">
        <v>0</v>
      </c>
      <c r="AI3161">
        <v>202506</v>
      </c>
      <c r="AJ3161" t="s">
        <v>86</v>
      </c>
      <c r="AK3161">
        <v>1</v>
      </c>
      <c r="AL3161">
        <v>1</v>
      </c>
      <c r="AO3161">
        <v>0</v>
      </c>
      <c r="AP3161" t="s">
        <v>3015</v>
      </c>
      <c r="AQ3161" t="s">
        <v>3044</v>
      </c>
      <c r="AR3161" t="s">
        <v>3045</v>
      </c>
      <c r="AS3161" t="s">
        <v>3046</v>
      </c>
      <c r="AU3161" t="s">
        <v>3046</v>
      </c>
    </row>
    <row r="3162" spans="1:47" x14ac:dyDescent="0.35">
      <c r="A3162">
        <v>348573</v>
      </c>
      <c r="B3162" t="s">
        <v>193</v>
      </c>
      <c r="C3162" t="s">
        <v>194</v>
      </c>
      <c r="D3162" s="2">
        <v>45812</v>
      </c>
      <c r="E3162">
        <v>53850</v>
      </c>
      <c r="F3162">
        <v>167</v>
      </c>
      <c r="G3162" t="s">
        <v>278</v>
      </c>
      <c r="H3162" t="s">
        <v>167</v>
      </c>
      <c r="I3162" t="s">
        <v>45</v>
      </c>
      <c r="K3162">
        <v>202506038038078</v>
      </c>
      <c r="L3162">
        <v>1673301672849</v>
      </c>
      <c r="M3162">
        <v>20250603</v>
      </c>
      <c r="N3162" t="s">
        <v>266</v>
      </c>
      <c r="Q3162" t="s">
        <v>47</v>
      </c>
      <c r="R3162">
        <v>39450</v>
      </c>
      <c r="S3162">
        <v>39450</v>
      </c>
      <c r="T3162">
        <v>421715</v>
      </c>
      <c r="U3162" t="s">
        <v>279</v>
      </c>
      <c r="V3162" t="s">
        <v>280</v>
      </c>
      <c r="W3162" t="s">
        <v>69</v>
      </c>
      <c r="X3162" t="s">
        <v>55</v>
      </c>
      <c r="Y3162" t="s">
        <v>51</v>
      </c>
      <c r="Z3162">
        <v>1175</v>
      </c>
      <c r="AH3162">
        <v>0</v>
      </c>
      <c r="AI3162">
        <v>202506</v>
      </c>
      <c r="AJ3162" t="s">
        <v>114</v>
      </c>
      <c r="AK3162">
        <v>1</v>
      </c>
      <c r="AL3162">
        <v>1</v>
      </c>
      <c r="AM3162">
        <v>421715</v>
      </c>
      <c r="AN3162">
        <v>1</v>
      </c>
      <c r="AO3162">
        <v>0</v>
      </c>
      <c r="AP3162" t="s">
        <v>3015</v>
      </c>
      <c r="AQ3162" t="s">
        <v>3021</v>
      </c>
      <c r="AR3162" t="s">
        <v>3022</v>
      </c>
      <c r="AT3162" t="s">
        <v>3017</v>
      </c>
      <c r="AU3162" t="s">
        <v>3014</v>
      </c>
    </row>
    <row r="3163" spans="1:47" x14ac:dyDescent="0.35">
      <c r="A3163">
        <v>348572</v>
      </c>
      <c r="B3163" t="s">
        <v>178</v>
      </c>
      <c r="C3163" t="s">
        <v>179</v>
      </c>
      <c r="D3163" s="2">
        <v>45812</v>
      </c>
      <c r="E3163">
        <v>53850</v>
      </c>
      <c r="F3163">
        <v>102</v>
      </c>
      <c r="G3163" t="s">
        <v>151</v>
      </c>
      <c r="H3163" t="s">
        <v>167</v>
      </c>
      <c r="I3163" t="s">
        <v>45</v>
      </c>
      <c r="K3163">
        <v>202506038033985</v>
      </c>
      <c r="L3163">
        <v>1503300003188</v>
      </c>
      <c r="M3163">
        <v>20250603</v>
      </c>
      <c r="N3163" t="s">
        <v>46</v>
      </c>
      <c r="P3163" t="s">
        <v>51</v>
      </c>
      <c r="Q3163" t="s">
        <v>47</v>
      </c>
      <c r="R3163">
        <v>15000000</v>
      </c>
      <c r="S3163">
        <v>0</v>
      </c>
      <c r="T3163">
        <v>4269640</v>
      </c>
      <c r="U3163">
        <v>4797080969</v>
      </c>
      <c r="V3163" t="s">
        <v>152</v>
      </c>
      <c r="W3163" t="s">
        <v>153</v>
      </c>
      <c r="X3163" t="s">
        <v>210</v>
      </c>
      <c r="Y3163" t="s">
        <v>51</v>
      </c>
      <c r="Z3163">
        <v>1926</v>
      </c>
      <c r="AH3163">
        <v>0</v>
      </c>
      <c r="AI3163">
        <v>202506</v>
      </c>
      <c r="AJ3163" t="s">
        <v>86</v>
      </c>
      <c r="AK3163">
        <v>1</v>
      </c>
      <c r="AL3163">
        <v>1</v>
      </c>
      <c r="AO3163">
        <v>0</v>
      </c>
      <c r="AP3163" t="s">
        <v>3015</v>
      </c>
      <c r="AQ3163" t="s">
        <v>3035</v>
      </c>
      <c r="AR3163" t="s">
        <v>3036</v>
      </c>
      <c r="AT3163" t="s">
        <v>3017</v>
      </c>
      <c r="AU3163" t="s">
        <v>3037</v>
      </c>
    </row>
    <row r="3164" spans="1:47" x14ac:dyDescent="0.35">
      <c r="A3164">
        <v>348571</v>
      </c>
      <c r="B3164" t="s">
        <v>172</v>
      </c>
      <c r="C3164" t="s">
        <v>173</v>
      </c>
      <c r="D3164" s="2">
        <v>45812</v>
      </c>
      <c r="E3164">
        <v>53850</v>
      </c>
      <c r="F3164">
        <v>161</v>
      </c>
      <c r="G3164" t="s">
        <v>111</v>
      </c>
      <c r="H3164" t="s">
        <v>167</v>
      </c>
      <c r="I3164" t="s">
        <v>45</v>
      </c>
      <c r="K3164" t="s">
        <v>2945</v>
      </c>
      <c r="L3164">
        <v>1613300029653</v>
      </c>
      <c r="M3164">
        <v>20250603</v>
      </c>
      <c r="N3164" t="s">
        <v>175</v>
      </c>
      <c r="Q3164" t="s">
        <v>47</v>
      </c>
      <c r="R3164">
        <v>182944.14</v>
      </c>
      <c r="S3164">
        <v>0</v>
      </c>
      <c r="T3164">
        <v>4088769</v>
      </c>
      <c r="U3164">
        <v>5150120722</v>
      </c>
      <c r="V3164" t="s">
        <v>270</v>
      </c>
      <c r="W3164" t="s">
        <v>49</v>
      </c>
      <c r="X3164" t="s">
        <v>110</v>
      </c>
      <c r="Y3164" t="s">
        <v>51</v>
      </c>
      <c r="Z3164">
        <v>1903</v>
      </c>
      <c r="AH3164">
        <v>0</v>
      </c>
      <c r="AI3164">
        <v>202506</v>
      </c>
      <c r="AJ3164" t="s">
        <v>56</v>
      </c>
      <c r="AK3164">
        <v>0</v>
      </c>
      <c r="AL3164">
        <v>1</v>
      </c>
      <c r="AM3164">
        <v>4088769</v>
      </c>
      <c r="AN3164">
        <v>1</v>
      </c>
      <c r="AO3164">
        <v>1</v>
      </c>
      <c r="AP3164" t="s">
        <v>3026</v>
      </c>
      <c r="AQ3164" t="s">
        <v>3012</v>
      </c>
      <c r="AR3164" t="s">
        <v>3027</v>
      </c>
      <c r="AS3164" t="s">
        <v>3028</v>
      </c>
      <c r="AU3164" t="s">
        <v>3028</v>
      </c>
    </row>
    <row r="3165" spans="1:47" x14ac:dyDescent="0.35">
      <c r="A3165">
        <v>348570</v>
      </c>
      <c r="B3165" t="s">
        <v>172</v>
      </c>
      <c r="C3165" t="s">
        <v>173</v>
      </c>
      <c r="D3165" s="2">
        <v>45812</v>
      </c>
      <c r="E3165">
        <v>53850</v>
      </c>
      <c r="F3165">
        <v>287</v>
      </c>
      <c r="G3165" t="s">
        <v>707</v>
      </c>
      <c r="H3165" t="s">
        <v>167</v>
      </c>
      <c r="I3165" t="s">
        <v>45</v>
      </c>
      <c r="K3165" t="s">
        <v>2945</v>
      </c>
      <c r="L3165">
        <v>2873300001853</v>
      </c>
      <c r="M3165">
        <v>20250603</v>
      </c>
      <c r="N3165" t="s">
        <v>175</v>
      </c>
      <c r="Q3165" t="s">
        <v>47</v>
      </c>
      <c r="R3165">
        <v>153971.35</v>
      </c>
      <c r="S3165">
        <v>100735</v>
      </c>
      <c r="T3165">
        <v>3722213</v>
      </c>
      <c r="U3165">
        <v>2021570698</v>
      </c>
      <c r="V3165" t="s">
        <v>708</v>
      </c>
      <c r="W3165" t="s">
        <v>49</v>
      </c>
      <c r="X3165" t="s">
        <v>117</v>
      </c>
      <c r="Y3165" t="s">
        <v>51</v>
      </c>
      <c r="Z3165">
        <v>1877</v>
      </c>
      <c r="AH3165">
        <v>0</v>
      </c>
      <c r="AI3165">
        <v>202506</v>
      </c>
      <c r="AJ3165" t="s">
        <v>86</v>
      </c>
      <c r="AK3165">
        <v>1</v>
      </c>
      <c r="AL3165">
        <v>1</v>
      </c>
      <c r="AM3165">
        <v>3722213</v>
      </c>
      <c r="AN3165">
        <v>1</v>
      </c>
      <c r="AO3165">
        <v>1</v>
      </c>
      <c r="AP3165" t="s">
        <v>3029</v>
      </c>
      <c r="AQ3165" t="s">
        <v>3012</v>
      </c>
      <c r="AR3165" t="s">
        <v>3030</v>
      </c>
      <c r="AS3165" t="s">
        <v>3014</v>
      </c>
      <c r="AU3165" t="s">
        <v>3014</v>
      </c>
    </row>
    <row r="3166" spans="1:47" x14ac:dyDescent="0.35">
      <c r="A3166">
        <v>348569</v>
      </c>
      <c r="B3166" t="s">
        <v>193</v>
      </c>
      <c r="C3166" t="s">
        <v>194</v>
      </c>
      <c r="D3166" s="2">
        <v>45812</v>
      </c>
      <c r="E3166">
        <v>53850</v>
      </c>
      <c r="F3166">
        <v>118</v>
      </c>
      <c r="G3166" t="s">
        <v>254</v>
      </c>
      <c r="H3166" t="s">
        <v>167</v>
      </c>
      <c r="I3166" t="s">
        <v>45</v>
      </c>
      <c r="K3166">
        <v>202506038035019</v>
      </c>
      <c r="L3166">
        <v>1023308722503</v>
      </c>
      <c r="M3166">
        <v>20250603</v>
      </c>
      <c r="N3166" t="s">
        <v>195</v>
      </c>
      <c r="Q3166" t="s">
        <v>47</v>
      </c>
      <c r="R3166">
        <v>24020</v>
      </c>
      <c r="S3166">
        <v>24020</v>
      </c>
      <c r="T3166">
        <v>413650</v>
      </c>
      <c r="U3166">
        <v>3657230722</v>
      </c>
      <c r="V3166" t="s">
        <v>196</v>
      </c>
      <c r="W3166" t="s">
        <v>190</v>
      </c>
      <c r="X3166" t="s">
        <v>197</v>
      </c>
      <c r="Y3166" t="s">
        <v>51</v>
      </c>
      <c r="Z3166">
        <v>1306</v>
      </c>
      <c r="AH3166">
        <v>0</v>
      </c>
      <c r="AI3166">
        <v>202506</v>
      </c>
      <c r="AJ3166" t="s">
        <v>119</v>
      </c>
      <c r="AK3166">
        <v>1</v>
      </c>
      <c r="AL3166">
        <v>1</v>
      </c>
      <c r="AM3166">
        <v>413650</v>
      </c>
      <c r="AN3166">
        <v>1</v>
      </c>
      <c r="AO3166">
        <v>0</v>
      </c>
      <c r="AP3166" t="s">
        <v>3050</v>
      </c>
      <c r="AQ3166" t="s">
        <v>3047</v>
      </c>
      <c r="AR3166" t="s">
        <v>3051</v>
      </c>
      <c r="AS3166" t="s">
        <v>3049</v>
      </c>
      <c r="AU3166" t="s">
        <v>3049</v>
      </c>
    </row>
    <row r="3167" spans="1:47" x14ac:dyDescent="0.35">
      <c r="A3167">
        <v>348568</v>
      </c>
      <c r="B3167" t="s">
        <v>164</v>
      </c>
      <c r="C3167" t="s">
        <v>165</v>
      </c>
      <c r="D3167" s="2">
        <v>45812</v>
      </c>
      <c r="E3167">
        <v>53850</v>
      </c>
      <c r="F3167">
        <v>271</v>
      </c>
      <c r="G3167" t="s">
        <v>275</v>
      </c>
      <c r="H3167" t="s">
        <v>167</v>
      </c>
      <c r="I3167" t="s">
        <v>45</v>
      </c>
      <c r="K3167">
        <v>202506038034206</v>
      </c>
      <c r="L3167">
        <v>2713300010112</v>
      </c>
      <c r="M3167">
        <v>20250603</v>
      </c>
      <c r="N3167" t="s">
        <v>168</v>
      </c>
      <c r="P3167" t="s">
        <v>435</v>
      </c>
      <c r="Q3167" t="s">
        <v>47</v>
      </c>
      <c r="R3167">
        <v>5000</v>
      </c>
      <c r="S3167">
        <v>0</v>
      </c>
      <c r="T3167">
        <v>1611557</v>
      </c>
      <c r="U3167" t="s">
        <v>890</v>
      </c>
      <c r="V3167" t="s">
        <v>891</v>
      </c>
      <c r="W3167" t="s">
        <v>69</v>
      </c>
      <c r="X3167" t="s">
        <v>402</v>
      </c>
      <c r="Y3167" t="s">
        <v>51</v>
      </c>
      <c r="Z3167">
        <v>1850</v>
      </c>
      <c r="AH3167">
        <v>0</v>
      </c>
      <c r="AI3167">
        <v>202506</v>
      </c>
      <c r="AJ3167" t="s">
        <v>52</v>
      </c>
      <c r="AK3167">
        <v>0</v>
      </c>
      <c r="AL3167">
        <v>1</v>
      </c>
      <c r="AO3167">
        <v>0</v>
      </c>
      <c r="AP3167" t="s">
        <v>3015</v>
      </c>
      <c r="AQ3167" t="s">
        <v>3021</v>
      </c>
      <c r="AR3167" t="s">
        <v>3022</v>
      </c>
      <c r="AT3167" t="s">
        <v>3017</v>
      </c>
      <c r="AU3167" t="s">
        <v>3014</v>
      </c>
    </row>
    <row r="3168" spans="1:47" x14ac:dyDescent="0.35">
      <c r="A3168">
        <v>348567</v>
      </c>
      <c r="B3168" t="s">
        <v>178</v>
      </c>
      <c r="C3168" t="s">
        <v>179</v>
      </c>
      <c r="D3168" s="2">
        <v>45812</v>
      </c>
      <c r="E3168">
        <v>53850</v>
      </c>
      <c r="F3168">
        <v>122</v>
      </c>
      <c r="G3168" t="s">
        <v>43</v>
      </c>
      <c r="H3168" t="s">
        <v>167</v>
      </c>
      <c r="I3168" t="s">
        <v>45</v>
      </c>
      <c r="K3168">
        <v>202506038032376</v>
      </c>
      <c r="L3168">
        <v>1223300001682</v>
      </c>
      <c r="M3168">
        <v>20250603</v>
      </c>
      <c r="N3168" t="s">
        <v>236</v>
      </c>
      <c r="P3168" t="s">
        <v>51</v>
      </c>
      <c r="Q3168" t="s">
        <v>170</v>
      </c>
      <c r="R3168">
        <v>1700000</v>
      </c>
      <c r="S3168">
        <v>0</v>
      </c>
      <c r="T3168">
        <v>3711207</v>
      </c>
      <c r="U3168">
        <v>8825020723</v>
      </c>
      <c r="V3168" t="s">
        <v>48</v>
      </c>
      <c r="W3168" t="s">
        <v>49</v>
      </c>
      <c r="X3168" t="s">
        <v>50</v>
      </c>
      <c r="Y3168" t="s">
        <v>51</v>
      </c>
      <c r="Z3168">
        <v>1696</v>
      </c>
      <c r="AH3168">
        <v>0</v>
      </c>
      <c r="AI3168">
        <v>202506</v>
      </c>
      <c r="AJ3168" t="s">
        <v>86</v>
      </c>
      <c r="AK3168">
        <v>1</v>
      </c>
      <c r="AL3168">
        <v>1</v>
      </c>
      <c r="AO3168">
        <v>0</v>
      </c>
      <c r="AP3168" t="s">
        <v>3011</v>
      </c>
      <c r="AQ3168" t="s">
        <v>3012</v>
      </c>
      <c r="AR3168" t="s">
        <v>3013</v>
      </c>
      <c r="AS3168" t="s">
        <v>3014</v>
      </c>
      <c r="AU3168" t="s">
        <v>3014</v>
      </c>
    </row>
    <row r="3169" spans="1:47" x14ac:dyDescent="0.35">
      <c r="A3169">
        <v>348566</v>
      </c>
      <c r="B3169" t="s">
        <v>178</v>
      </c>
      <c r="C3169" t="s">
        <v>179</v>
      </c>
      <c r="D3169" s="2">
        <v>45812</v>
      </c>
      <c r="E3169">
        <v>53850</v>
      </c>
      <c r="F3169">
        <v>148</v>
      </c>
      <c r="G3169" t="s">
        <v>78</v>
      </c>
      <c r="H3169" t="s">
        <v>167</v>
      </c>
      <c r="I3169" t="s">
        <v>45</v>
      </c>
      <c r="K3169">
        <v>202506038036164</v>
      </c>
      <c r="L3169">
        <v>1483300003872</v>
      </c>
      <c r="M3169">
        <v>20250603</v>
      </c>
      <c r="N3169" t="s">
        <v>220</v>
      </c>
      <c r="Q3169" t="s">
        <v>170</v>
      </c>
      <c r="R3169">
        <v>939269.1</v>
      </c>
      <c r="S3169">
        <v>0</v>
      </c>
      <c r="T3169">
        <v>4602337</v>
      </c>
      <c r="U3169">
        <v>1418030621</v>
      </c>
      <c r="V3169" t="s">
        <v>1203</v>
      </c>
      <c r="W3169" t="s">
        <v>49</v>
      </c>
      <c r="X3169" t="s">
        <v>698</v>
      </c>
      <c r="Y3169" t="s">
        <v>51</v>
      </c>
      <c r="Z3169">
        <v>982</v>
      </c>
      <c r="AH3169">
        <v>0</v>
      </c>
      <c r="AI3169">
        <v>202506</v>
      </c>
      <c r="AJ3169" t="s">
        <v>86</v>
      </c>
      <c r="AK3169">
        <v>1</v>
      </c>
      <c r="AL3169">
        <v>1</v>
      </c>
      <c r="AO3169">
        <v>0</v>
      </c>
      <c r="AP3169" t="s">
        <v>3015</v>
      </c>
      <c r="AQ3169" t="s">
        <v>3012</v>
      </c>
      <c r="AR3169" t="s">
        <v>3016</v>
      </c>
      <c r="AT3169" t="s">
        <v>3017</v>
      </c>
      <c r="AU3169" t="s">
        <v>3018</v>
      </c>
    </row>
    <row r="3170" spans="1:47" x14ac:dyDescent="0.35">
      <c r="A3170">
        <v>348565</v>
      </c>
      <c r="B3170" t="s">
        <v>193</v>
      </c>
      <c r="C3170" t="s">
        <v>194</v>
      </c>
      <c r="D3170" s="2">
        <v>45812</v>
      </c>
      <c r="E3170">
        <v>53850</v>
      </c>
      <c r="F3170">
        <v>182</v>
      </c>
      <c r="G3170" t="s">
        <v>318</v>
      </c>
      <c r="H3170" t="s">
        <v>167</v>
      </c>
      <c r="I3170" t="s">
        <v>45</v>
      </c>
      <c r="K3170" t="s">
        <v>2945</v>
      </c>
      <c r="L3170">
        <v>1823300169301</v>
      </c>
      <c r="M3170">
        <v>20250603</v>
      </c>
      <c r="N3170" t="s">
        <v>195</v>
      </c>
      <c r="Q3170" t="s">
        <v>47</v>
      </c>
      <c r="R3170">
        <v>34285</v>
      </c>
      <c r="S3170">
        <v>34285</v>
      </c>
      <c r="T3170">
        <v>4284957</v>
      </c>
      <c r="U3170" t="s">
        <v>455</v>
      </c>
      <c r="V3170" t="s">
        <v>456</v>
      </c>
      <c r="W3170" t="s">
        <v>69</v>
      </c>
      <c r="X3170" t="s">
        <v>197</v>
      </c>
      <c r="Y3170" t="s">
        <v>51</v>
      </c>
      <c r="Z3170">
        <v>1656</v>
      </c>
      <c r="AH3170">
        <v>0</v>
      </c>
      <c r="AI3170">
        <v>202506</v>
      </c>
      <c r="AJ3170" t="s">
        <v>119</v>
      </c>
      <c r="AK3170">
        <v>1</v>
      </c>
      <c r="AL3170">
        <v>1</v>
      </c>
      <c r="AM3170">
        <v>4284957</v>
      </c>
      <c r="AN3170">
        <v>1</v>
      </c>
      <c r="AO3170">
        <v>0</v>
      </c>
      <c r="AP3170" t="s">
        <v>3050</v>
      </c>
      <c r="AQ3170" t="s">
        <v>3021</v>
      </c>
      <c r="AR3170" t="s">
        <v>3070</v>
      </c>
      <c r="AS3170" t="s">
        <v>3055</v>
      </c>
      <c r="AU3170" t="s">
        <v>3055</v>
      </c>
    </row>
    <row r="3171" spans="1:47" x14ac:dyDescent="0.35">
      <c r="A3171">
        <v>348564</v>
      </c>
      <c r="B3171" t="s">
        <v>193</v>
      </c>
      <c r="C3171" t="s">
        <v>194</v>
      </c>
      <c r="D3171" s="2">
        <v>45812</v>
      </c>
      <c r="E3171">
        <v>53850</v>
      </c>
      <c r="F3171">
        <v>102</v>
      </c>
      <c r="G3171" t="s">
        <v>151</v>
      </c>
      <c r="H3171" t="s">
        <v>167</v>
      </c>
      <c r="I3171" t="s">
        <v>45</v>
      </c>
      <c r="K3171">
        <v>202506018034780</v>
      </c>
      <c r="L3171">
        <v>1023308722503</v>
      </c>
      <c r="M3171">
        <v>20250601</v>
      </c>
      <c r="N3171" t="s">
        <v>195</v>
      </c>
      <c r="Q3171" t="s">
        <v>47</v>
      </c>
      <c r="R3171">
        <v>20520</v>
      </c>
      <c r="S3171">
        <v>20520</v>
      </c>
      <c r="T3171">
        <v>413650</v>
      </c>
      <c r="U3171">
        <v>3657230722</v>
      </c>
      <c r="V3171" t="s">
        <v>196</v>
      </c>
      <c r="W3171" t="s">
        <v>190</v>
      </c>
      <c r="X3171" t="s">
        <v>197</v>
      </c>
      <c r="Y3171" t="s">
        <v>51</v>
      </c>
      <c r="Z3171">
        <v>1306</v>
      </c>
      <c r="AH3171">
        <v>0</v>
      </c>
      <c r="AI3171">
        <v>202506</v>
      </c>
      <c r="AJ3171" t="s">
        <v>119</v>
      </c>
      <c r="AK3171">
        <v>1</v>
      </c>
      <c r="AL3171">
        <v>1</v>
      </c>
      <c r="AM3171">
        <v>413650</v>
      </c>
      <c r="AN3171">
        <v>1</v>
      </c>
      <c r="AO3171">
        <v>0</v>
      </c>
      <c r="AP3171" t="s">
        <v>3050</v>
      </c>
      <c r="AQ3171" t="s">
        <v>3047</v>
      </c>
      <c r="AR3171" t="s">
        <v>3051</v>
      </c>
      <c r="AS3171" t="s">
        <v>3049</v>
      </c>
      <c r="AU3171" t="s">
        <v>3049</v>
      </c>
    </row>
    <row r="3172" spans="1:47" x14ac:dyDescent="0.35">
      <c r="A3172">
        <v>348563</v>
      </c>
      <c r="B3172" t="s">
        <v>193</v>
      </c>
      <c r="C3172" t="s">
        <v>194</v>
      </c>
      <c r="D3172" s="2">
        <v>45812</v>
      </c>
      <c r="E3172">
        <v>53850</v>
      </c>
      <c r="F3172">
        <v>268</v>
      </c>
      <c r="G3172" t="s">
        <v>83</v>
      </c>
      <c r="H3172" t="s">
        <v>167</v>
      </c>
      <c r="I3172" t="s">
        <v>45</v>
      </c>
      <c r="K3172" t="s">
        <v>2989</v>
      </c>
      <c r="L3172">
        <v>2683300010030</v>
      </c>
      <c r="M3172">
        <v>20250601</v>
      </c>
      <c r="N3172" t="s">
        <v>195</v>
      </c>
      <c r="Q3172" t="s">
        <v>47</v>
      </c>
      <c r="R3172">
        <v>37865</v>
      </c>
      <c r="S3172">
        <v>37865</v>
      </c>
      <c r="T3172">
        <v>4966939</v>
      </c>
      <c r="U3172" t="s">
        <v>221</v>
      </c>
      <c r="V3172" t="s">
        <v>222</v>
      </c>
      <c r="W3172" t="s">
        <v>69</v>
      </c>
      <c r="X3172" t="s">
        <v>55</v>
      </c>
      <c r="Y3172" t="s">
        <v>51</v>
      </c>
      <c r="Z3172">
        <v>1870</v>
      </c>
      <c r="AH3172">
        <v>0</v>
      </c>
      <c r="AI3172">
        <v>202506</v>
      </c>
      <c r="AJ3172" t="s">
        <v>56</v>
      </c>
      <c r="AK3172">
        <v>0</v>
      </c>
      <c r="AL3172">
        <v>1</v>
      </c>
      <c r="AM3172">
        <v>4966939</v>
      </c>
      <c r="AN3172">
        <v>1</v>
      </c>
      <c r="AO3172">
        <v>0</v>
      </c>
      <c r="AP3172" t="s">
        <v>3015</v>
      </c>
      <c r="AQ3172" t="s">
        <v>3021</v>
      </c>
      <c r="AR3172" t="s">
        <v>3022</v>
      </c>
      <c r="AT3172" t="s">
        <v>3017</v>
      </c>
      <c r="AU3172" t="s">
        <v>3014</v>
      </c>
    </row>
    <row r="3173" spans="1:47" x14ac:dyDescent="0.35">
      <c r="A3173">
        <v>348557</v>
      </c>
      <c r="B3173" t="s">
        <v>178</v>
      </c>
      <c r="C3173" t="s">
        <v>179</v>
      </c>
      <c r="D3173" s="2">
        <v>45808</v>
      </c>
      <c r="E3173">
        <v>53850</v>
      </c>
      <c r="F3173">
        <v>182</v>
      </c>
      <c r="G3173" t="s">
        <v>318</v>
      </c>
      <c r="H3173" t="s">
        <v>167</v>
      </c>
      <c r="I3173" t="s">
        <v>45</v>
      </c>
      <c r="K3173">
        <v>202506028026175</v>
      </c>
      <c r="L3173">
        <v>1823300174272</v>
      </c>
      <c r="M3173">
        <v>20250602</v>
      </c>
      <c r="N3173" t="s">
        <v>924</v>
      </c>
      <c r="Q3173" t="s">
        <v>47</v>
      </c>
      <c r="R3173">
        <v>399998</v>
      </c>
      <c r="S3173">
        <v>0</v>
      </c>
      <c r="T3173">
        <v>3021782</v>
      </c>
      <c r="U3173" t="s">
        <v>2990</v>
      </c>
      <c r="V3173" t="s">
        <v>2991</v>
      </c>
      <c r="W3173" t="s">
        <v>187</v>
      </c>
      <c r="Y3173" t="s">
        <v>51</v>
      </c>
      <c r="Z3173">
        <v>616</v>
      </c>
      <c r="AH3173">
        <v>0</v>
      </c>
      <c r="AI3173">
        <v>202506</v>
      </c>
      <c r="AL3173">
        <v>1</v>
      </c>
      <c r="AO3173">
        <v>0</v>
      </c>
      <c r="AP3173" t="s">
        <v>3015</v>
      </c>
      <c r="AQ3173" t="s">
        <v>3044</v>
      </c>
      <c r="AR3173" t="s">
        <v>3045</v>
      </c>
      <c r="AS3173" t="s">
        <v>3046</v>
      </c>
      <c r="AU3173" t="s">
        <v>3046</v>
      </c>
    </row>
    <row r="3174" spans="1:47" x14ac:dyDescent="0.35">
      <c r="A3174">
        <v>348556</v>
      </c>
      <c r="B3174" t="s">
        <v>178</v>
      </c>
      <c r="C3174" t="s">
        <v>179</v>
      </c>
      <c r="D3174" s="2">
        <v>45808</v>
      </c>
      <c r="E3174">
        <v>53850</v>
      </c>
      <c r="F3174">
        <v>182</v>
      </c>
      <c r="G3174" t="s">
        <v>318</v>
      </c>
      <c r="H3174" t="s">
        <v>167</v>
      </c>
      <c r="I3174" t="s">
        <v>45</v>
      </c>
      <c r="K3174">
        <v>202506028026170</v>
      </c>
      <c r="L3174">
        <v>1823300017474</v>
      </c>
      <c r="M3174">
        <v>20250602</v>
      </c>
      <c r="N3174" t="s">
        <v>303</v>
      </c>
      <c r="Q3174" t="s">
        <v>170</v>
      </c>
      <c r="R3174">
        <v>706818.38</v>
      </c>
      <c r="S3174">
        <v>0</v>
      </c>
      <c r="T3174">
        <v>3041446</v>
      </c>
      <c r="U3174" t="s">
        <v>1091</v>
      </c>
      <c r="V3174" t="s">
        <v>1092</v>
      </c>
      <c r="W3174" t="s">
        <v>187</v>
      </c>
      <c r="Y3174" t="s">
        <v>51</v>
      </c>
      <c r="Z3174">
        <v>616</v>
      </c>
      <c r="AH3174">
        <v>0</v>
      </c>
      <c r="AI3174">
        <v>202506</v>
      </c>
      <c r="AL3174">
        <v>1</v>
      </c>
      <c r="AO3174">
        <v>0</v>
      </c>
      <c r="AP3174" t="s">
        <v>3015</v>
      </c>
      <c r="AQ3174" t="s">
        <v>3044</v>
      </c>
      <c r="AR3174" t="s">
        <v>3045</v>
      </c>
      <c r="AS3174" t="s">
        <v>3046</v>
      </c>
      <c r="AU3174" t="s">
        <v>3046</v>
      </c>
    </row>
    <row r="3175" spans="1:47" x14ac:dyDescent="0.35">
      <c r="A3175">
        <v>348555</v>
      </c>
      <c r="B3175" t="s">
        <v>178</v>
      </c>
      <c r="C3175" t="s">
        <v>179</v>
      </c>
      <c r="D3175" s="2">
        <v>45808</v>
      </c>
      <c r="E3175">
        <v>53850</v>
      </c>
      <c r="F3175">
        <v>109</v>
      </c>
      <c r="G3175" t="s">
        <v>89</v>
      </c>
      <c r="H3175" t="s">
        <v>167</v>
      </c>
      <c r="I3175" t="s">
        <v>45</v>
      </c>
      <c r="K3175">
        <v>202506028026093</v>
      </c>
      <c r="L3175">
        <v>1093306667173</v>
      </c>
      <c r="M3175">
        <v>20250602</v>
      </c>
      <c r="N3175" t="s">
        <v>924</v>
      </c>
      <c r="Q3175" t="s">
        <v>47</v>
      </c>
      <c r="R3175">
        <v>339998</v>
      </c>
      <c r="S3175">
        <v>0</v>
      </c>
      <c r="T3175">
        <v>546534</v>
      </c>
      <c r="U3175" t="s">
        <v>2992</v>
      </c>
      <c r="V3175" t="s">
        <v>2993</v>
      </c>
      <c r="W3175" t="s">
        <v>187</v>
      </c>
      <c r="Y3175" t="s">
        <v>51</v>
      </c>
      <c r="Z3175">
        <v>778</v>
      </c>
      <c r="AH3175">
        <v>0</v>
      </c>
      <c r="AI3175">
        <v>202506</v>
      </c>
      <c r="AL3175">
        <v>1</v>
      </c>
      <c r="AO3175">
        <v>0</v>
      </c>
      <c r="AP3175" t="s">
        <v>3015</v>
      </c>
      <c r="AQ3175" t="s">
        <v>3044</v>
      </c>
      <c r="AR3175" t="s">
        <v>3045</v>
      </c>
      <c r="AS3175" t="s">
        <v>3046</v>
      </c>
      <c r="AU3175" t="s">
        <v>3046</v>
      </c>
    </row>
    <row r="3176" spans="1:47" x14ac:dyDescent="0.35">
      <c r="A3176">
        <v>348554</v>
      </c>
      <c r="B3176" t="s">
        <v>178</v>
      </c>
      <c r="C3176" t="s">
        <v>179</v>
      </c>
      <c r="D3176" s="2">
        <v>45808</v>
      </c>
      <c r="E3176">
        <v>53850</v>
      </c>
      <c r="F3176">
        <v>182</v>
      </c>
      <c r="G3176" t="s">
        <v>318</v>
      </c>
      <c r="H3176" t="s">
        <v>167</v>
      </c>
      <c r="I3176" t="s">
        <v>45</v>
      </c>
      <c r="K3176">
        <v>202506028026175</v>
      </c>
      <c r="L3176">
        <v>1823300174272</v>
      </c>
      <c r="M3176">
        <v>20250602</v>
      </c>
      <c r="N3176" t="s">
        <v>924</v>
      </c>
      <c r="Q3176" t="s">
        <v>47</v>
      </c>
      <c r="R3176">
        <v>399998</v>
      </c>
      <c r="S3176">
        <v>0</v>
      </c>
      <c r="T3176">
        <v>3112495</v>
      </c>
      <c r="U3176" t="s">
        <v>2994</v>
      </c>
      <c r="V3176" t="s">
        <v>2995</v>
      </c>
      <c r="W3176" t="s">
        <v>187</v>
      </c>
      <c r="Y3176" t="s">
        <v>51</v>
      </c>
      <c r="Z3176">
        <v>433</v>
      </c>
      <c r="AH3176">
        <v>0</v>
      </c>
      <c r="AI3176">
        <v>202506</v>
      </c>
      <c r="AL3176">
        <v>1</v>
      </c>
      <c r="AO3176">
        <v>0</v>
      </c>
      <c r="AP3176" t="s">
        <v>3015</v>
      </c>
      <c r="AQ3176" t="s">
        <v>3044</v>
      </c>
      <c r="AR3176" t="s">
        <v>3045</v>
      </c>
      <c r="AS3176" t="s">
        <v>3046</v>
      </c>
      <c r="AU3176" t="s">
        <v>3046</v>
      </c>
    </row>
    <row r="3177" spans="1:47" x14ac:dyDescent="0.35">
      <c r="A3177">
        <v>348553</v>
      </c>
      <c r="B3177" t="s">
        <v>178</v>
      </c>
      <c r="C3177" t="s">
        <v>179</v>
      </c>
      <c r="D3177" s="2">
        <v>45808</v>
      </c>
      <c r="E3177">
        <v>53850</v>
      </c>
      <c r="F3177">
        <v>182</v>
      </c>
      <c r="G3177" t="s">
        <v>318</v>
      </c>
      <c r="H3177" t="s">
        <v>167</v>
      </c>
      <c r="I3177" t="s">
        <v>45</v>
      </c>
      <c r="K3177">
        <v>202506028026176</v>
      </c>
      <c r="L3177">
        <v>1883300171952</v>
      </c>
      <c r="M3177">
        <v>20250602</v>
      </c>
      <c r="N3177" t="s">
        <v>924</v>
      </c>
      <c r="Q3177" t="s">
        <v>47</v>
      </c>
      <c r="R3177">
        <v>399998</v>
      </c>
      <c r="S3177">
        <v>0</v>
      </c>
      <c r="T3177">
        <v>3112495</v>
      </c>
      <c r="U3177" t="s">
        <v>2994</v>
      </c>
      <c r="V3177" t="s">
        <v>2995</v>
      </c>
      <c r="W3177" t="s">
        <v>187</v>
      </c>
      <c r="Y3177" t="s">
        <v>51</v>
      </c>
      <c r="Z3177">
        <v>433</v>
      </c>
      <c r="AH3177">
        <v>0</v>
      </c>
      <c r="AI3177">
        <v>202506</v>
      </c>
      <c r="AL3177">
        <v>1</v>
      </c>
      <c r="AO3177">
        <v>0</v>
      </c>
      <c r="AP3177" t="s">
        <v>3015</v>
      </c>
      <c r="AQ3177" t="s">
        <v>3044</v>
      </c>
      <c r="AR3177" t="s">
        <v>3045</v>
      </c>
      <c r="AS3177" t="s">
        <v>3046</v>
      </c>
      <c r="AU3177" t="s">
        <v>3046</v>
      </c>
    </row>
    <row r="3178" spans="1:47" x14ac:dyDescent="0.35">
      <c r="A3178">
        <v>348552</v>
      </c>
      <c r="B3178" t="s">
        <v>178</v>
      </c>
      <c r="C3178" t="s">
        <v>179</v>
      </c>
      <c r="D3178" s="2">
        <v>45808</v>
      </c>
      <c r="E3178">
        <v>53850</v>
      </c>
      <c r="F3178">
        <v>109</v>
      </c>
      <c r="G3178" t="s">
        <v>89</v>
      </c>
      <c r="H3178" t="s">
        <v>167</v>
      </c>
      <c r="I3178" t="s">
        <v>45</v>
      </c>
      <c r="K3178">
        <v>202506028026093</v>
      </c>
      <c r="L3178">
        <v>1093306667173</v>
      </c>
      <c r="M3178">
        <v>20250602</v>
      </c>
      <c r="N3178" t="s">
        <v>924</v>
      </c>
      <c r="Q3178" t="s">
        <v>47</v>
      </c>
      <c r="R3178">
        <v>339998</v>
      </c>
      <c r="S3178">
        <v>0</v>
      </c>
      <c r="T3178">
        <v>460757</v>
      </c>
      <c r="U3178" t="s">
        <v>2996</v>
      </c>
      <c r="V3178" t="s">
        <v>2997</v>
      </c>
      <c r="W3178" t="s">
        <v>187</v>
      </c>
      <c r="Y3178" t="s">
        <v>51</v>
      </c>
      <c r="Z3178">
        <v>778</v>
      </c>
      <c r="AH3178">
        <v>0</v>
      </c>
      <c r="AI3178">
        <v>202506</v>
      </c>
      <c r="AL3178">
        <v>1</v>
      </c>
      <c r="AO3178">
        <v>0</v>
      </c>
      <c r="AP3178" t="s">
        <v>3015</v>
      </c>
      <c r="AQ3178" t="s">
        <v>3044</v>
      </c>
      <c r="AR3178" t="s">
        <v>3045</v>
      </c>
      <c r="AS3178" t="s">
        <v>3046</v>
      </c>
      <c r="AU3178" t="s">
        <v>3046</v>
      </c>
    </row>
    <row r="3179" spans="1:47" x14ac:dyDescent="0.35">
      <c r="A3179">
        <v>348551</v>
      </c>
      <c r="B3179" t="s">
        <v>178</v>
      </c>
      <c r="C3179" t="s">
        <v>179</v>
      </c>
      <c r="D3179" s="2">
        <v>45808</v>
      </c>
      <c r="E3179">
        <v>53850</v>
      </c>
      <c r="F3179">
        <v>182</v>
      </c>
      <c r="G3179" t="s">
        <v>318</v>
      </c>
      <c r="H3179" t="s">
        <v>167</v>
      </c>
      <c r="I3179" t="s">
        <v>45</v>
      </c>
      <c r="K3179">
        <v>202506028026176</v>
      </c>
      <c r="L3179">
        <v>1883300171952</v>
      </c>
      <c r="M3179">
        <v>20250602</v>
      </c>
      <c r="N3179" t="s">
        <v>924</v>
      </c>
      <c r="Q3179" t="s">
        <v>47</v>
      </c>
      <c r="R3179">
        <v>399998</v>
      </c>
      <c r="S3179">
        <v>0</v>
      </c>
      <c r="T3179">
        <v>4044525</v>
      </c>
      <c r="U3179" t="s">
        <v>2998</v>
      </c>
      <c r="V3179" t="s">
        <v>2999</v>
      </c>
      <c r="W3179" t="s">
        <v>187</v>
      </c>
      <c r="Y3179" t="s">
        <v>51</v>
      </c>
      <c r="AH3179">
        <v>0</v>
      </c>
      <c r="AI3179">
        <v>202506</v>
      </c>
      <c r="AL3179">
        <v>1</v>
      </c>
      <c r="AO3179">
        <v>0</v>
      </c>
      <c r="AP3179" t="s">
        <v>3015</v>
      </c>
      <c r="AQ3179" t="s">
        <v>3044</v>
      </c>
      <c r="AR3179" t="s">
        <v>3045</v>
      </c>
      <c r="AS3179" t="s">
        <v>3046</v>
      </c>
      <c r="AU3179" t="s">
        <v>3046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13e83b-330f-43e9-8a32-659de2db0e37" xsi:nil="true"/>
    <lcf76f155ced4ddcb4097134ff3c332f xmlns="26ed0658-0289-4c17-a65e-1511a42df96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5093D3EFB6B3489EE1E049962EC73A" ma:contentTypeVersion="10" ma:contentTypeDescription="Create a new document." ma:contentTypeScope="" ma:versionID="a1e08360c4010b2a3342b442862b7ece">
  <xsd:schema xmlns:xsd="http://www.w3.org/2001/XMLSchema" xmlns:xs="http://www.w3.org/2001/XMLSchema" xmlns:p="http://schemas.microsoft.com/office/2006/metadata/properties" xmlns:ns2="26ed0658-0289-4c17-a65e-1511a42df96c" xmlns:ns3="4113e83b-330f-43e9-8a32-659de2db0e37" targetNamespace="http://schemas.microsoft.com/office/2006/metadata/properties" ma:root="true" ma:fieldsID="267f231871f1ef5e2ff0b3d95ccc5b5e" ns2:_="" ns3:_="">
    <xsd:import namespace="26ed0658-0289-4c17-a65e-1511a42df96c"/>
    <xsd:import namespace="4113e83b-330f-43e9-8a32-659de2db0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d0658-0289-4c17-a65e-1511a42df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3e83b-330f-43e9-8a32-659de2db0e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2a37b6-2a8b-44e9-98be-ac89573471aa}" ma:internalName="TaxCatchAll" ma:showField="CatchAllData" ma:web="4113e83b-330f-43e9-8a32-659de2db0e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11B419-4729-4720-85BC-197D928E3DBA}">
  <ds:schemaRefs>
    <ds:schemaRef ds:uri="http://schemas.microsoft.com/office/2006/metadata/properties"/>
    <ds:schemaRef ds:uri="http://schemas.microsoft.com/office/infopath/2007/PartnerControls"/>
    <ds:schemaRef ds:uri="4113e83b-330f-43e9-8a32-659de2db0e37"/>
    <ds:schemaRef ds:uri="26ed0658-0289-4c17-a65e-1511a42df96c"/>
  </ds:schemaRefs>
</ds:datastoreItem>
</file>

<file path=customXml/itemProps2.xml><?xml version="1.0" encoding="utf-8"?>
<ds:datastoreItem xmlns:ds="http://schemas.openxmlformats.org/officeDocument/2006/customXml" ds:itemID="{5A044036-DE46-424C-B957-F809F4BE20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9020E0-12FE-4C91-A065-B746562E2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ed0658-0289-4c17-a65e-1511a42df96c"/>
    <ds:schemaRef ds:uri="4113e83b-330f-43e9-8a32-659de2db0e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Sintesi</vt:lpstr>
      <vt:lpstr>Analisi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Jafari, Sepehr</cp:lastModifiedBy>
  <dcterms:created xsi:type="dcterms:W3CDTF">2025-10-07T17:07:45Z</dcterms:created>
  <dcterms:modified xsi:type="dcterms:W3CDTF">2025-11-11T14:44:12Z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0x010100715093D3EFB6B3489EE1E049962EC73A</vt:lpwstr>
  </property>
  <property fmtid="{D5CDD505-2E9C-101B-9397-08002B2CF9AE}" pid="3" name="MediaServiceImageTags">
    <vt:lpwstr/>
  </property>
</Properties>
</file>